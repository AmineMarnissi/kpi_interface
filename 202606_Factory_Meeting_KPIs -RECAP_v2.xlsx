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Override PartName="/xl/threadedComments/threadedComment6.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sus\Desktop\QHSE\001 SMQ\KPI\"/>
    </mc:Choice>
  </mc:AlternateContent>
  <xr:revisionPtr revIDLastSave="0" documentId="13_ncr:1_{FAD799DE-D784-455D-9896-D54D3E9F8F0B}" xr6:coauthVersionLast="36" xr6:coauthVersionMax="47" xr10:uidLastSave="{00000000-0000-0000-0000-000000000000}"/>
  <bookViews>
    <workbookView xWindow="0" yWindow="0" windowWidth="15345" windowHeight="4080" tabRatio="859" xr2:uid="{1731F65D-BEA7-45C6-8F5F-2F2BE83F925B}"/>
  </bookViews>
  <sheets>
    <sheet name="Note" sheetId="11" r:id="rId1"/>
    <sheet name="Delivery" sheetId="1" r:id="rId2"/>
    <sheet name="People" sheetId="13" r:id="rId3"/>
    <sheet name="People_2" sheetId="29" r:id="rId4"/>
    <sheet name="Worked Hrs" sheetId="24" r:id="rId5"/>
    <sheet name="Quality" sheetId="12" r:id="rId6"/>
    <sheet name="Ph_QC" sheetId="20" r:id="rId7"/>
    <sheet name="Efficiency" sheetId="8" r:id="rId8"/>
    <sheet name="Costs &amp; Profitability" sheetId="14" r:id="rId9"/>
    <sheet name="Warehouse &amp; Inventory Managemen" sheetId="9" r:id="rId10"/>
    <sheet name="Logistic" sheetId="31" r:id="rId11"/>
    <sheet name="Capex" sheetId="15" r:id="rId12"/>
    <sheet name="Ratio" sheetId="22" state="hidden" r:id="rId13"/>
    <sheet name="Raio_calc-exp" sheetId="23" state="hidden" r:id="rId14"/>
  </sheets>
  <definedNames>
    <definedName name="_Fill" localSheetId="10" hidden="1">#REF!</definedName>
    <definedName name="_Fill" hidden="1">#REF!</definedName>
    <definedName name="_xlnm._FilterDatabase" localSheetId="2" hidden="1">People!$A$85:$C$135</definedName>
    <definedName name="_Key1" localSheetId="10" hidden="1">#REF!</definedName>
    <definedName name="_Key1" hidden="1">#REF!</definedName>
    <definedName name="_Key2" localSheetId="10" hidden="1">#REF!</definedName>
    <definedName name="_Key2" hidden="1">#REF!</definedName>
    <definedName name="_Order1" hidden="1">255</definedName>
    <definedName name="_Order2" hidden="1">255</definedName>
    <definedName name="_SCM01" localSheetId="10">#REF!</definedName>
    <definedName name="_SCM01">#REF!</definedName>
    <definedName name="_SCM02" localSheetId="10">#REF!</definedName>
    <definedName name="_SCM02">#REF!</definedName>
    <definedName name="a" localSheetId="10" hidden="1">#REF!</definedName>
    <definedName name="a" hidden="1">#REF!</definedName>
    <definedName name="aadfadfaf" localSheetId="10" hidden="1">{#N/A,#N/A,FALSE,"Amortization Table"}</definedName>
    <definedName name="aadfadfaf" hidden="1">{#N/A,#N/A,FALSE,"Amortization Table"}</definedName>
    <definedName name="ACCR1" localSheetId="10">#REF!</definedName>
    <definedName name="ACCR1">#REF!</definedName>
    <definedName name="accruals" localSheetId="10">#REF!</definedName>
    <definedName name="accruals">#REF!</definedName>
    <definedName name="adi_ars" localSheetId="10">#REF!</definedName>
    <definedName name="adi_ars">#REF!</definedName>
    <definedName name="ADI_less1m" localSheetId="10">#REF!</definedName>
    <definedName name="ADI_less1m">#REF!</definedName>
    <definedName name="adi_total_type" localSheetId="10">#REF!</definedName>
    <definedName name="adi_total_type">#REF!</definedName>
    <definedName name="adi_type_less1m" localSheetId="10">#REF!</definedName>
    <definedName name="adi_type_less1m">#REF!</definedName>
    <definedName name="adj" localSheetId="10">#REF!</definedName>
    <definedName name="adj">#REF!</definedName>
    <definedName name="AK" localSheetId="10">#REF!</definedName>
    <definedName name="AK">#REF!</definedName>
    <definedName name="AMMORT" localSheetId="10">#REF!:#REF!</definedName>
    <definedName name="AMMORT">#REF!:#REF!</definedName>
    <definedName name="Ammortamenti" localSheetId="10">#REF!:#REF!</definedName>
    <definedName name="Ammortamenti">#REF!:#REF!</definedName>
    <definedName name="Anag" localSheetId="10">#REF!</definedName>
    <definedName name="Anag">#REF!</definedName>
    <definedName name="anagr" localSheetId="10">#REF!</definedName>
    <definedName name="anagr">#REF!</definedName>
    <definedName name="ANAGRAFICA" localSheetId="10">#REF!</definedName>
    <definedName name="ANAGRAFICA">#REF!</definedName>
    <definedName name="answer">FALSE</definedName>
    <definedName name="ARS" localSheetId="10">#REF!</definedName>
    <definedName name="ARS">#REF!</definedName>
    <definedName name="ars_change" localSheetId="10">#REF!</definedName>
    <definedName name="ars_change">#REF!</definedName>
    <definedName name="AS2DocOpenMode" hidden="1">"AS2DocumentBrowse"</definedName>
    <definedName name="AT" localSheetId="10">#REF!</definedName>
    <definedName name="AT">#REF!</definedName>
    <definedName name="AT15JAN" localSheetId="10">#REF!</definedName>
    <definedName name="AT15JAN">#REF!</definedName>
    <definedName name="ATAPR15" localSheetId="10">#REF!</definedName>
    <definedName name="ATAPR15">#REF!</definedName>
    <definedName name="ATAUG14" localSheetId="10">#REF!</definedName>
    <definedName name="ATAUG14">#REF!</definedName>
    <definedName name="ATAUG15" localSheetId="10">#REF!</definedName>
    <definedName name="ATAUG15">#REF!</definedName>
    <definedName name="ATDEC" localSheetId="10">#REF!</definedName>
    <definedName name="ATDEC">#REF!</definedName>
    <definedName name="ATDEC15" localSheetId="10">#REF!</definedName>
    <definedName name="ATDEC15">#REF!</definedName>
    <definedName name="ATDEC2" localSheetId="10">#REF!</definedName>
    <definedName name="ATDEC2">#REF!</definedName>
    <definedName name="ATDEC3" localSheetId="10">#REF!</definedName>
    <definedName name="ATDEC3">#REF!</definedName>
    <definedName name="ATDEC4" localSheetId="10">#REF!</definedName>
    <definedName name="ATDEC4">#REF!</definedName>
    <definedName name="ATFEB" localSheetId="10">#REF!</definedName>
    <definedName name="ATFEB">#REF!</definedName>
    <definedName name="ATFEB16" localSheetId="10">#REF!</definedName>
    <definedName name="ATFEB16">#REF!</definedName>
    <definedName name="ATfeb16corr" localSheetId="10">#REF!</definedName>
    <definedName name="ATfeb16corr">#REF!</definedName>
    <definedName name="ATJAN" localSheetId="10">#REF!</definedName>
    <definedName name="ATJAN">#REF!</definedName>
    <definedName name="ATJAN15" localSheetId="10">#REF!</definedName>
    <definedName name="ATJAN15">#REF!</definedName>
    <definedName name="atjan16" localSheetId="10">#REF!</definedName>
    <definedName name="atjan16">#REF!</definedName>
    <definedName name="atjan161" localSheetId="10">#REF!</definedName>
    <definedName name="atjan161">#REF!</definedName>
    <definedName name="ATJUL14" localSheetId="10">#REF!</definedName>
    <definedName name="ATJUL14">#REF!</definedName>
    <definedName name="ATJULY13" localSheetId="10">#REF!</definedName>
    <definedName name="ATJULY13">#REF!</definedName>
    <definedName name="ATJULY15" localSheetId="10">#REF!</definedName>
    <definedName name="ATJULY15">#REF!</definedName>
    <definedName name="ATJUNE15" localSheetId="10">#REF!</definedName>
    <definedName name="ATJUNE15">#REF!</definedName>
    <definedName name="ATJUNE152" localSheetId="10">#REF!</definedName>
    <definedName name="ATJUNE152">#REF!</definedName>
    <definedName name="ATJUNE154" localSheetId="10">#REF!</definedName>
    <definedName name="ATJUNE154">#REF!</definedName>
    <definedName name="ATJUNE2" localSheetId="10">#REF!</definedName>
    <definedName name="ATJUNE2">#REF!</definedName>
    <definedName name="ATMAR" localSheetId="10">#REF!</definedName>
    <definedName name="ATMAR">#REF!</definedName>
    <definedName name="atmar152" localSheetId="10">#REF!</definedName>
    <definedName name="atmar152">#REF!</definedName>
    <definedName name="ATMAY15" localSheetId="10">#REF!</definedName>
    <definedName name="ATMAY15">#REF!</definedName>
    <definedName name="ATNOV14" localSheetId="10">#REF!</definedName>
    <definedName name="ATNOV14">#REF!</definedName>
    <definedName name="ATNOV15" localSheetId="10">#REF!</definedName>
    <definedName name="ATNOV15">#REF!</definedName>
    <definedName name="AToct14" localSheetId="10">#REF!</definedName>
    <definedName name="AToct14">#REF!</definedName>
    <definedName name="AToct15" localSheetId="10">#REF!</definedName>
    <definedName name="AToct15">#REF!</definedName>
    <definedName name="ATOCt2" localSheetId="10">#REF!</definedName>
    <definedName name="ATOCt2">#REF!</definedName>
    <definedName name="ATP" localSheetId="10">#REF!</definedName>
    <definedName name="ATP">#REF!</definedName>
    <definedName name="atsept14" localSheetId="10">#REF!</definedName>
    <definedName name="atsept14">#REF!</definedName>
    <definedName name="ATSEPT15" localSheetId="10">#REF!</definedName>
    <definedName name="ATSEPT15">#REF!</definedName>
    <definedName name="ATTEST" localSheetId="10">#REF!</definedName>
    <definedName name="ATTEST">#REF!</definedName>
    <definedName name="BANCA1" localSheetId="10">#REF!</definedName>
    <definedName name="BANCA1">#REF!</definedName>
    <definedName name="BDDEC" localSheetId="10">#REF!</definedName>
    <definedName name="BDDEC">#REF!</definedName>
    <definedName name="bdenom" localSheetId="10">#REF!</definedName>
    <definedName name="bdenom">#REF!</definedName>
    <definedName name="bdenom2" localSheetId="10">#REF!</definedName>
    <definedName name="bdenom2">#REF!</definedName>
    <definedName name="bdenomO" localSheetId="10">#REF!</definedName>
    <definedName name="bdenomO">#REF!</definedName>
    <definedName name="BDJAUG14" localSheetId="10">#REF!</definedName>
    <definedName name="BDJAUG14">#REF!</definedName>
    <definedName name="BDJJULY14" localSheetId="10">#REF!</definedName>
    <definedName name="BDJJULY14">#REF!</definedName>
    <definedName name="BDJNOV14" localSheetId="10">#REF!</definedName>
    <definedName name="BDJNOV14">#REF!</definedName>
    <definedName name="bdjoct" localSheetId="10">#REF!</definedName>
    <definedName name="bdjoct">#REF!</definedName>
    <definedName name="BDJSEPT14" localSheetId="10">#REF!</definedName>
    <definedName name="BDJSEPT14">#REF!</definedName>
    <definedName name="Beg_Bal" localSheetId="10">#REF!</definedName>
    <definedName name="Beg_Bal">#REF!</definedName>
    <definedName name="BKL" localSheetId="10">#REF!</definedName>
    <definedName name="BKL">#REF!</definedName>
    <definedName name="BLPH1" localSheetId="10" hidden="1">#REF!</definedName>
    <definedName name="BLPH1" hidden="1">#REF!</definedName>
    <definedName name="BLPH2" localSheetId="10" hidden="1">#REF!</definedName>
    <definedName name="BLPH2" hidden="1">#REF!</definedName>
    <definedName name="BLPH3" localSheetId="10" hidden="1">#REF!</definedName>
    <definedName name="BLPH3" hidden="1">#REF!</definedName>
    <definedName name="BLPH4" localSheetId="10" hidden="1">#REF!</definedName>
    <definedName name="BLPH4" hidden="1">#REF!</definedName>
    <definedName name="BLPH6" localSheetId="10" hidden="1">#REF!</definedName>
    <definedName name="BLPH6" hidden="1">#REF!</definedName>
    <definedName name="BLPH7" localSheetId="10" hidden="1">#REF!</definedName>
    <definedName name="BLPH7" hidden="1">#REF!</definedName>
    <definedName name="cambio" localSheetId="10">#REF!</definedName>
    <definedName name="cambio">#REF!</definedName>
    <definedName name="cambio_6" localSheetId="10">#REF!</definedName>
    <definedName name="cambio_6">#REF!</definedName>
    <definedName name="CAMBIO_DI_PIANO" localSheetId="10">#REF!</definedName>
    <definedName name="CAMBIO_DI_PIANO">#REF!</definedName>
    <definedName name="CAMBIO_DI_PIANO_6" localSheetId="10">#REF!</definedName>
    <definedName name="CAMBIO_DI_PIANO_6">#REF!</definedName>
    <definedName name="cambiost" localSheetId="10">#REF!</definedName>
    <definedName name="cambiost">#REF!</definedName>
    <definedName name="cambiost_2" localSheetId="10">#REF!</definedName>
    <definedName name="cambiost_2">#REF!</definedName>
    <definedName name="canestr" localSheetId="10">#REF!:#REF!</definedName>
    <definedName name="canestr">#REF!:#REF!</definedName>
    <definedName name="Case_" localSheetId="10">#REF!</definedName>
    <definedName name="Case_">#REF!</definedName>
    <definedName name="ccp" localSheetId="10">#REF!</definedName>
    <definedName name="ccp">#REF!</definedName>
    <definedName name="ce" localSheetId="10">#REF!</definedName>
    <definedName name="ce">#REF!</definedName>
    <definedName name="CE_SINT2" localSheetId="10">#REF!</definedName>
    <definedName name="CE_SINT2">#REF!</definedName>
    <definedName name="CHECK" localSheetId="10">#REF!:#REF!</definedName>
    <definedName name="CHECK">#REF!:#REF!</definedName>
    <definedName name="CIQWBGuid" hidden="1">"7c5c7847-0822-4ea7-99eb-2e6a67fea6aa"</definedName>
    <definedName name="COLL" localSheetId="10">#REF!</definedName>
    <definedName name="COLL">#REF!</definedName>
    <definedName name="CommessePreviousMonth" localSheetId="10">#REF!</definedName>
    <definedName name="CommessePreviousMonth">#REF!</definedName>
    <definedName name="Comps" localSheetId="10">#REF!</definedName>
    <definedName name="Comps">#REF!</definedName>
    <definedName name="CompsYtd" localSheetId="10">#REF!</definedName>
    <definedName name="CompsYtd">#REF!</definedName>
    <definedName name="contagiorni">#N/A</definedName>
    <definedName name="contoeconomico" localSheetId="10">#REF!</definedName>
    <definedName name="contoeconomico">#REF!</definedName>
    <definedName name="costi" localSheetId="10">#REF!</definedName>
    <definedName name="costi">#REF!</definedName>
    <definedName name="cp" localSheetId="10">#REF!</definedName>
    <definedName name="cp">#REF!</definedName>
    <definedName name="credit" localSheetId="10">#REF!</definedName>
    <definedName name="credit">#REF!</definedName>
    <definedName name="CUIR" localSheetId="10">#REF!</definedName>
    <definedName name="CUIR">#REF!</definedName>
    <definedName name="Cycle_time" localSheetId="10">#REF!</definedName>
    <definedName name="Cycle_time">#REF!</definedName>
    <definedName name="D" localSheetId="10">#REF!</definedName>
    <definedName name="D">#REF!</definedName>
    <definedName name="DAIDIR" localSheetId="10">#REF!</definedName>
    <definedName name="DAIDIR">#REF!</definedName>
    <definedName name="DAIDIR2" localSheetId="10">#REF!</definedName>
    <definedName name="DAIDIR2">#REF!</definedName>
    <definedName name="daily_order" localSheetId="10">#REF!</definedName>
    <definedName name="daily_order">#REF!</definedName>
    <definedName name="Data" localSheetId="10">#REF!</definedName>
    <definedName name="Data">#REF!</definedName>
    <definedName name="days" localSheetId="10">#REF!</definedName>
    <definedName name="days">#REF!</definedName>
    <definedName name="dec00month" localSheetId="10">#REF!</definedName>
    <definedName name="dec00month">#REF!</definedName>
    <definedName name="dec00sixmonth" localSheetId="10">#REF!</definedName>
    <definedName name="dec00sixmonth">#REF!</definedName>
    <definedName name="dec01month" localSheetId="10">#REF!</definedName>
    <definedName name="dec01month">#REF!</definedName>
    <definedName name="decsixmonths" localSheetId="10">#REF!</definedName>
    <definedName name="decsixmonths">#REF!</definedName>
    <definedName name="dedfed" localSheetId="10" hidden="1">{#N/A,#N/A,FALSE,"IncPr";#N/A,#N/A,FALSE,"InCoE"}</definedName>
    <definedName name="dedfed" hidden="1">{#N/A,#N/A,FALSE,"IncPr";#N/A,#N/A,FALSE,"InCoE"}</definedName>
    <definedName name="Denom" localSheetId="10">#REF!</definedName>
    <definedName name="Denom">#REF!</definedName>
    <definedName name="dfdfd" localSheetId="10" hidden="1">{#N/A,#N/A,FALSE,"FRR";#N/A,#N/A,FALSE,"ERR"}</definedName>
    <definedName name="dfdfd" hidden="1">{#N/A,#N/A,FALSE,"FRR";#N/A,#N/A,FALSE,"ERR"}</definedName>
    <definedName name="dfsdsds" localSheetId="10" hidden="1">{#N/A,#N/A,FALSE,"Amortization Table"}</definedName>
    <definedName name="dfsdsds" hidden="1">{#N/A,#N/A,FALSE,"Amortization Table"}</definedName>
    <definedName name="DIC_CDG" localSheetId="10">#REF!</definedName>
    <definedName name="DIC_CDG">#REF!</definedName>
    <definedName name="DIC_PAT" localSheetId="10">#REF!</definedName>
    <definedName name="DIC_PAT">#REF!</definedName>
    <definedName name="DICUI" localSheetId="10">#REF!</definedName>
    <definedName name="DICUI">#REF!</definedName>
    <definedName name="DIDI" localSheetId="10">#REF!</definedName>
    <definedName name="DIDI">#REF!</definedName>
    <definedName name="die" localSheetId="10">#REF!</definedName>
    <definedName name="die">#REF!</definedName>
    <definedName name="DIMA" localSheetId="10">#REF!</definedName>
    <definedName name="DIMA">#REF!</definedName>
    <definedName name="dir" localSheetId="10">#REF!</definedName>
    <definedName name="dir">#REF!</definedName>
    <definedName name="dsdsd" localSheetId="10" hidden="1">{#N/A,#N/A,FALSE,"FinPl"}</definedName>
    <definedName name="dsdsd" hidden="1">{#N/A,#N/A,FALSE,"FinPl"}</definedName>
    <definedName name="dt" localSheetId="10">#REF!</definedName>
    <definedName name="dt">#REF!</definedName>
    <definedName name="DTL" localSheetId="10">#REF!</definedName>
    <definedName name="DTL">#REF!</definedName>
    <definedName name="duedieci" localSheetId="10">#REF!</definedName>
    <definedName name="duedieci">#REF!</definedName>
    <definedName name="duenove" localSheetId="10">#REF!</definedName>
    <definedName name="duenove">#REF!</definedName>
    <definedName name="dueotto" localSheetId="10">#REF!</definedName>
    <definedName name="dueotto">#REF!</definedName>
    <definedName name="dueundici" localSheetId="10">#REF!</definedName>
    <definedName name="dueundici">#REF!</definedName>
    <definedName name="early" localSheetId="10">#REF!</definedName>
    <definedName name="early">#REF!</definedName>
    <definedName name="ECOSINT" localSheetId="10">#REF!</definedName>
    <definedName name="ECOSINT">#REF!</definedName>
    <definedName name="ECSINTEURO" localSheetId="10">#REF!</definedName>
    <definedName name="ECSINTEURO">#REF!</definedName>
    <definedName name="ee" localSheetId="10">#REF!</definedName>
    <definedName name="ee">#REF!</definedName>
    <definedName name="efdf" localSheetId="10" hidden="1">{#N/A,#N/A,FALSE,"Forex"}</definedName>
    <definedName name="efdf" hidden="1">{#N/A,#N/A,FALSE,"Forex"}</definedName>
    <definedName name="End_Bal" localSheetId="10">#REF!</definedName>
    <definedName name="End_Bal">#REF!</definedName>
    <definedName name="erere" localSheetId="10" hidden="1">{#N/A,#N/A,FALSE,"Ratio"}</definedName>
    <definedName name="erere" hidden="1">{#N/A,#N/A,FALSE,"Ratio"}</definedName>
    <definedName name="Excel_BuiltIn__FilterDatabase_4" localSheetId="10">#REF!</definedName>
    <definedName name="Excel_BuiltIn__FilterDatabase_4">#REF!</definedName>
    <definedName name="Excel_BuiltIn__FilterDatabase_8" localSheetId="10">#REF!</definedName>
    <definedName name="Excel_BuiltIn__FilterDatabase_8">#REF!</definedName>
    <definedName name="exrate" localSheetId="10">#REF!</definedName>
    <definedName name="exrate">#REF!</definedName>
    <definedName name="Extra_Pay" localSheetId="10">#REF!</definedName>
    <definedName name="Extra_Pay">#REF!</definedName>
    <definedName name="f" localSheetId="10">#REF!</definedName>
    <definedName name="f">#REF!</definedName>
    <definedName name="FBMDFO" localSheetId="10">#REF!</definedName>
    <definedName name="FBMDFO">#REF!</definedName>
    <definedName name="fdfd" localSheetId="10" hidden="1">{#N/A,#N/A,FALSE,"DeprTabl Rom"}</definedName>
    <definedName name="fdfd" hidden="1">{#N/A,#N/A,FALSE,"DeprTabl Rom"}</definedName>
    <definedName name="fdfdf" localSheetId="10" hidden="1">{#N/A,#N/A,FALSE,"P&amp;L";#N/A,#N/A,FALSE,"BS";#N/A,#N/A,FALSE,"CF"}</definedName>
    <definedName name="fdfdf" hidden="1">{#N/A,#N/A,FALSE,"P&amp;L";#N/A,#N/A,FALSE,"BS";#N/A,#N/A,FALSE,"CF"}</definedName>
    <definedName name="feb_17" localSheetId="10">#REF!</definedName>
    <definedName name="feb_17">#REF!</definedName>
    <definedName name="feb_18" localSheetId="10">#REF!</definedName>
    <definedName name="feb_18">#REF!</definedName>
    <definedName name="feb_bdg" localSheetId="10">#REF!</definedName>
    <definedName name="feb_bdg">#REF!</definedName>
    <definedName name="FLUSSI_FINANZIARI" localSheetId="10">#REF!</definedName>
    <definedName name="FLUSSI_FINANZIARI">#REF!</definedName>
    <definedName name="Fondi_ammortamento" localSheetId="10">#REF!:#REF!</definedName>
    <definedName name="Fondi_ammortamento">#REF!:#REF!</definedName>
    <definedName name="FONDO" localSheetId="10">#REF!</definedName>
    <definedName name="FONDO">#REF!</definedName>
    <definedName name="FR15jan" localSheetId="10">#REF!</definedName>
    <definedName name="FR15jan">#REF!</definedName>
    <definedName name="FRA" localSheetId="10">#REF!</definedName>
    <definedName name="FRA">#REF!</definedName>
    <definedName name="FRAJAN" localSheetId="10">#REF!</definedName>
    <definedName name="FRAJAN">#REF!</definedName>
    <definedName name="FRAPR215" localSheetId="10">#REF!</definedName>
    <definedName name="FRAPR215">#REF!</definedName>
    <definedName name="FRApril15" localSheetId="10">#REF!</definedName>
    <definedName name="FRApril15">#REF!</definedName>
    <definedName name="FRAUG14" localSheetId="10">#REF!</definedName>
    <definedName name="FRAUG14">#REF!</definedName>
    <definedName name="FRAUG15" localSheetId="10">#REF!</definedName>
    <definedName name="FRAUG15">#REF!</definedName>
    <definedName name="FRDEC" localSheetId="10">#REF!</definedName>
    <definedName name="FRDEC">#REF!</definedName>
    <definedName name="FRDEC15" localSheetId="10">#REF!</definedName>
    <definedName name="FRDEC15">#REF!</definedName>
    <definedName name="FRFEB" localSheetId="10">#REF!</definedName>
    <definedName name="FRFEB">#REF!</definedName>
    <definedName name="frfeb16" localSheetId="10">#REF!</definedName>
    <definedName name="frfeb16">#REF!</definedName>
    <definedName name="FRJAN15" localSheetId="10">#REF!</definedName>
    <definedName name="FRJAN15">#REF!</definedName>
    <definedName name="FRjan16" localSheetId="10">#REF!</definedName>
    <definedName name="FRjan16">#REF!</definedName>
    <definedName name="FRJuly15" localSheetId="10">#REF!</definedName>
    <definedName name="FRJuly15">#REF!</definedName>
    <definedName name="FRJUNE" localSheetId="10">#REF!</definedName>
    <definedName name="FRJUNE">#REF!</definedName>
    <definedName name="FRJUNE15" localSheetId="10">#REF!</definedName>
    <definedName name="FRJUNE15">#REF!</definedName>
    <definedName name="FRMAR" localSheetId="10">#REF!</definedName>
    <definedName name="FRMAR">#REF!</definedName>
    <definedName name="FRMAR15" localSheetId="10">#REF!</definedName>
    <definedName name="FRMAR15">#REF!</definedName>
    <definedName name="FRmay15" localSheetId="10">#REF!</definedName>
    <definedName name="FRmay15">#REF!</definedName>
    <definedName name="FRNOV14" localSheetId="10">#REF!</definedName>
    <definedName name="FRNOV14">#REF!</definedName>
    <definedName name="FRNOV15" localSheetId="10">#REF!</definedName>
    <definedName name="FRNOV15">#REF!</definedName>
    <definedName name="froct14" localSheetId="10">#REF!</definedName>
    <definedName name="froct14">#REF!</definedName>
    <definedName name="FRoct15" localSheetId="10">#REF!</definedName>
    <definedName name="FRoct15">#REF!</definedName>
    <definedName name="FRsept14" localSheetId="10">#REF!</definedName>
    <definedName name="FRsept14">#REF!</definedName>
    <definedName name="FRSEPT15" localSheetId="10">#REF!</definedName>
    <definedName name="FRSEPT15">#REF!</definedName>
    <definedName name="Full_Print" localSheetId="10">#REF!</definedName>
    <definedName name="Full_Print">#REF!</definedName>
    <definedName name="FX" localSheetId="10">#REF!</definedName>
    <definedName name="FX">#REF!</definedName>
    <definedName name="FX_O" localSheetId="10">#REF!</definedName>
    <definedName name="FX_O">#REF!</definedName>
    <definedName name="FXUS" localSheetId="10">#REF!</definedName>
    <definedName name="FXUS">#REF!</definedName>
    <definedName name="G" localSheetId="10">#REF!</definedName>
    <definedName name="G">#REF!</definedName>
    <definedName name="GBIL" localSheetId="10">#REF!</definedName>
    <definedName name="GBIL">#REF!</definedName>
    <definedName name="GBILNOV" localSheetId="10">#REF!</definedName>
    <definedName name="GBILNOV">#REF!</definedName>
    <definedName name="gbp" localSheetId="10">#REF!</definedName>
    <definedName name="gbp">#REF!</definedName>
    <definedName name="GGG" localSheetId="10">#REF!</definedName>
    <definedName name="GGG">#REF!</definedName>
    <definedName name="grade" localSheetId="10">#REF!</definedName>
    <definedName name="grade">#REF!</definedName>
    <definedName name="Header" localSheetId="10">#REF!</definedName>
    <definedName name="Header">#REF!</definedName>
    <definedName name="Header_Row" localSheetId="10">ROW(#REF!)</definedName>
    <definedName name="Header_Row">ROW(#REF!)</definedName>
    <definedName name="hiyw" localSheetId="10">#REF!</definedName>
    <definedName name="hiyw">#REF!</definedName>
    <definedName name="image" localSheetId="10">#REF!</definedName>
    <definedName name="image">#REF!</definedName>
    <definedName name="Immobilizzazioni" localSheetId="10">#REF!:#REF!</definedName>
    <definedName name="Immobilizzazioni">#REF!:#REF!</definedName>
    <definedName name="incassi" localSheetId="10">#REF!</definedName>
    <definedName name="incassi">#REF!</definedName>
    <definedName name="Int" localSheetId="10">#REF!</definedName>
    <definedName name="Int">#REF!</definedName>
    <definedName name="Interest_Rate" localSheetId="10">#REF!</definedName>
    <definedName name="Interest_Rate">#REF!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41526.0742361111</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39153.7791319444</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xRange0" localSheetId="10">#REF!</definedName>
    <definedName name="ixRange0">#REF!</definedName>
    <definedName name="ixRange1" localSheetId="10">#REF!</definedName>
    <definedName name="ixRange1">#REF!</definedName>
    <definedName name="ixRange10" localSheetId="10">#REF!</definedName>
    <definedName name="ixRange10">#REF!</definedName>
    <definedName name="ixRange100" localSheetId="10">#REF!</definedName>
    <definedName name="ixRange100">#REF!</definedName>
    <definedName name="ixRange101" localSheetId="10">#REF!</definedName>
    <definedName name="ixRange101">#REF!</definedName>
    <definedName name="ixRange102" localSheetId="10">#REF!</definedName>
    <definedName name="ixRange102">#REF!</definedName>
    <definedName name="ixRange103" localSheetId="10">#REF!</definedName>
    <definedName name="ixRange103">#REF!</definedName>
    <definedName name="ixRange104" localSheetId="10">#REF!</definedName>
    <definedName name="ixRange104">#REF!</definedName>
    <definedName name="ixRange105" localSheetId="10">#REF!</definedName>
    <definedName name="ixRange105">#REF!</definedName>
    <definedName name="ixRange106" localSheetId="10">#REF!</definedName>
    <definedName name="ixRange106">#REF!</definedName>
    <definedName name="ixRange107" localSheetId="10">#REF!</definedName>
    <definedName name="ixRange107">#REF!</definedName>
    <definedName name="ixRange108" localSheetId="10">#REF!</definedName>
    <definedName name="ixRange108">#REF!</definedName>
    <definedName name="ixRange109" localSheetId="10">#REF!</definedName>
    <definedName name="ixRange109">#REF!</definedName>
    <definedName name="ixRange11" localSheetId="10">#REF!</definedName>
    <definedName name="ixRange11">#REF!</definedName>
    <definedName name="ixRange110" localSheetId="10">#REF!</definedName>
    <definedName name="ixRange110">#REF!</definedName>
    <definedName name="ixRange111" localSheetId="10">#REF!</definedName>
    <definedName name="ixRange111">#REF!</definedName>
    <definedName name="ixRange112" localSheetId="10">#REF!</definedName>
    <definedName name="ixRange112">#REF!</definedName>
    <definedName name="ixRange113" localSheetId="10">#REF!</definedName>
    <definedName name="ixRange113">#REF!</definedName>
    <definedName name="ixRange114" localSheetId="10">#REF!</definedName>
    <definedName name="ixRange114">#REF!</definedName>
    <definedName name="ixRange115" localSheetId="10">#REF!</definedName>
    <definedName name="ixRange115">#REF!</definedName>
    <definedName name="ixRange116" localSheetId="10">#REF!</definedName>
    <definedName name="ixRange116">#REF!</definedName>
    <definedName name="ixRange117" localSheetId="10">#REF!</definedName>
    <definedName name="ixRange117">#REF!</definedName>
    <definedName name="ixRange118" localSheetId="10">#REF!</definedName>
    <definedName name="ixRange118">#REF!</definedName>
    <definedName name="ixRange119" localSheetId="10">#REF!</definedName>
    <definedName name="ixRange119">#REF!</definedName>
    <definedName name="ixRange12" localSheetId="10">#REF!</definedName>
    <definedName name="ixRange12">#REF!</definedName>
    <definedName name="ixRange120" localSheetId="10">#REF!</definedName>
    <definedName name="ixRange120">#REF!</definedName>
    <definedName name="ixRange121" localSheetId="10">#REF!</definedName>
    <definedName name="ixRange121">#REF!</definedName>
    <definedName name="ixRange122" localSheetId="10">#REF!</definedName>
    <definedName name="ixRange122">#REF!</definedName>
    <definedName name="ixRange123" localSheetId="10">#REF!</definedName>
    <definedName name="ixRange123">#REF!</definedName>
    <definedName name="ixRange124" localSheetId="10">#REF!</definedName>
    <definedName name="ixRange124">#REF!</definedName>
    <definedName name="ixRange125" localSheetId="10">#REF!</definedName>
    <definedName name="ixRange125">#REF!</definedName>
    <definedName name="ixRange126" localSheetId="10">#REF!</definedName>
    <definedName name="ixRange126">#REF!</definedName>
    <definedName name="ixRange127" localSheetId="10">#REF!</definedName>
    <definedName name="ixRange127">#REF!</definedName>
    <definedName name="ixRange128" localSheetId="10">#REF!</definedName>
    <definedName name="ixRange128">#REF!</definedName>
    <definedName name="ixRange129" localSheetId="10">#REF!</definedName>
    <definedName name="ixRange129">#REF!</definedName>
    <definedName name="ixRange13" localSheetId="10">#REF!</definedName>
    <definedName name="ixRange13">#REF!</definedName>
    <definedName name="ixRange130" localSheetId="10">#REF!</definedName>
    <definedName name="ixRange130">#REF!</definedName>
    <definedName name="ixRange131" localSheetId="10">#REF!</definedName>
    <definedName name="ixRange131">#REF!</definedName>
    <definedName name="ixRange132" localSheetId="10">#REF!</definedName>
    <definedName name="ixRange132">#REF!</definedName>
    <definedName name="ixRange133" localSheetId="10">#REF!</definedName>
    <definedName name="ixRange133">#REF!</definedName>
    <definedName name="ixRange134" localSheetId="10">#REF!</definedName>
    <definedName name="ixRange134">#REF!</definedName>
    <definedName name="ixRange135" localSheetId="10">#REF!</definedName>
    <definedName name="ixRange135">#REF!</definedName>
    <definedName name="ixRange136" localSheetId="10">#REF!</definedName>
    <definedName name="ixRange136">#REF!</definedName>
    <definedName name="ixRange137" localSheetId="10">#REF!</definedName>
    <definedName name="ixRange137">#REF!</definedName>
    <definedName name="ixRange138" localSheetId="10">#REF!</definedName>
    <definedName name="ixRange138">#REF!</definedName>
    <definedName name="ixRange139" localSheetId="10">#REF!</definedName>
    <definedName name="ixRange139">#REF!</definedName>
    <definedName name="ixRange14" localSheetId="10">#REF!</definedName>
    <definedName name="ixRange14">#REF!</definedName>
    <definedName name="ixRange141" localSheetId="10">#REF!</definedName>
    <definedName name="ixRange141">#REF!</definedName>
    <definedName name="ixRange142" localSheetId="10">#REF!</definedName>
    <definedName name="ixRange142">#REF!</definedName>
    <definedName name="ixRange143" localSheetId="10">#REF!</definedName>
    <definedName name="ixRange143">#REF!</definedName>
    <definedName name="ixRange144" localSheetId="10">#REF!</definedName>
    <definedName name="ixRange144">#REF!</definedName>
    <definedName name="ixRange145" localSheetId="10">#REF!</definedName>
    <definedName name="ixRange145">#REF!</definedName>
    <definedName name="ixRange146" localSheetId="10">#REF!</definedName>
    <definedName name="ixRange146">#REF!</definedName>
    <definedName name="ixRange147" localSheetId="10">#REF!</definedName>
    <definedName name="ixRange147">#REF!</definedName>
    <definedName name="ixRange148" localSheetId="10">#REF!</definedName>
    <definedName name="ixRange148">#REF!</definedName>
    <definedName name="ixRange149" localSheetId="10">#REF!</definedName>
    <definedName name="ixRange149">#REF!</definedName>
    <definedName name="ixRange15" localSheetId="10">#REF!</definedName>
    <definedName name="ixRange15">#REF!</definedName>
    <definedName name="ixRange150" localSheetId="10">#REF!</definedName>
    <definedName name="ixRange150">#REF!</definedName>
    <definedName name="ixRange151" localSheetId="10">#REF!</definedName>
    <definedName name="ixRange151">#REF!</definedName>
    <definedName name="ixRange152" localSheetId="10">#REF!</definedName>
    <definedName name="ixRange152">#REF!</definedName>
    <definedName name="ixRange153" localSheetId="10">#REF!</definedName>
    <definedName name="ixRange153">#REF!</definedName>
    <definedName name="ixRange154" localSheetId="10">#REF!</definedName>
    <definedName name="ixRange154">#REF!</definedName>
    <definedName name="ixRange155" localSheetId="10">#REF!</definedName>
    <definedName name="ixRange155">#REF!</definedName>
    <definedName name="ixRange156" localSheetId="10">#REF!</definedName>
    <definedName name="ixRange156">#REF!</definedName>
    <definedName name="ixRange157" localSheetId="10">#REF!</definedName>
    <definedName name="ixRange157">#REF!</definedName>
    <definedName name="ixRange158" localSheetId="10">#REF!</definedName>
    <definedName name="ixRange158">#REF!</definedName>
    <definedName name="ixRange159" localSheetId="10">#REF!</definedName>
    <definedName name="ixRange159">#REF!</definedName>
    <definedName name="ixRange16" localSheetId="10">#REF!</definedName>
    <definedName name="ixRange16">#REF!</definedName>
    <definedName name="ixRange160" localSheetId="10">#REF!</definedName>
    <definedName name="ixRange160">#REF!</definedName>
    <definedName name="ixRange161" localSheetId="10">#REF!</definedName>
    <definedName name="ixRange161">#REF!</definedName>
    <definedName name="ixRange162" localSheetId="10">#REF!</definedName>
    <definedName name="ixRange162">#REF!</definedName>
    <definedName name="ixRange163" localSheetId="10">#REF!</definedName>
    <definedName name="ixRange163">#REF!</definedName>
    <definedName name="ixRange164" localSheetId="10">#REF!</definedName>
    <definedName name="ixRange164">#REF!</definedName>
    <definedName name="ixRange165" localSheetId="10">#REF!</definedName>
    <definedName name="ixRange165">#REF!</definedName>
    <definedName name="ixRange166" localSheetId="10">#REF!</definedName>
    <definedName name="ixRange166">#REF!</definedName>
    <definedName name="ixRange167" localSheetId="10">#REF!</definedName>
    <definedName name="ixRange167">#REF!</definedName>
    <definedName name="ixRange168" localSheetId="10">#REF!</definedName>
    <definedName name="ixRange168">#REF!</definedName>
    <definedName name="ixRange169" localSheetId="10">#REF!</definedName>
    <definedName name="ixRange169">#REF!</definedName>
    <definedName name="ixRange17" localSheetId="10">#REF!</definedName>
    <definedName name="ixRange17">#REF!</definedName>
    <definedName name="ixRange170" localSheetId="10">#REF!</definedName>
    <definedName name="ixRange170">#REF!</definedName>
    <definedName name="ixRange171" localSheetId="10">#REF!</definedName>
    <definedName name="ixRange171">#REF!</definedName>
    <definedName name="ixRange172" localSheetId="10">#REF!</definedName>
    <definedName name="ixRange172">#REF!</definedName>
    <definedName name="ixRange173" localSheetId="10">#REF!</definedName>
    <definedName name="ixRange173">#REF!</definedName>
    <definedName name="ixRange174" localSheetId="10">#REF!</definedName>
    <definedName name="ixRange174">#REF!</definedName>
    <definedName name="ixRange175" localSheetId="10">#REF!</definedName>
    <definedName name="ixRange175">#REF!</definedName>
    <definedName name="ixRange176" localSheetId="10">#REF!</definedName>
    <definedName name="ixRange176">#REF!</definedName>
    <definedName name="ixRange177" localSheetId="10">#REF!</definedName>
    <definedName name="ixRange177">#REF!</definedName>
    <definedName name="ixRange178" localSheetId="10">#REF!</definedName>
    <definedName name="ixRange178">#REF!</definedName>
    <definedName name="ixRange179" localSheetId="10">#REF!</definedName>
    <definedName name="ixRange179">#REF!</definedName>
    <definedName name="ixRange18" localSheetId="10">#REF!</definedName>
    <definedName name="ixRange18">#REF!</definedName>
    <definedName name="ixRange180" localSheetId="10">#REF!</definedName>
    <definedName name="ixRange180">#REF!</definedName>
    <definedName name="ixRange181" localSheetId="10">#REF!</definedName>
    <definedName name="ixRange181">#REF!</definedName>
    <definedName name="ixRange182" localSheetId="10">#REF!</definedName>
    <definedName name="ixRange182">#REF!</definedName>
    <definedName name="ixRange183" localSheetId="10">#REF!</definedName>
    <definedName name="ixRange183">#REF!</definedName>
    <definedName name="ixRange184" localSheetId="10">#REF!</definedName>
    <definedName name="ixRange184">#REF!</definedName>
    <definedName name="ixRange185" localSheetId="10">#REF!</definedName>
    <definedName name="ixRange185">#REF!</definedName>
    <definedName name="ixRange186" localSheetId="10">#REF!</definedName>
    <definedName name="ixRange186">#REF!</definedName>
    <definedName name="ixRange187" localSheetId="10">#REF!</definedName>
    <definedName name="ixRange187">#REF!</definedName>
    <definedName name="ixRange188" localSheetId="10">#REF!</definedName>
    <definedName name="ixRange188">#REF!</definedName>
    <definedName name="ixRange189" localSheetId="10">#REF!</definedName>
    <definedName name="ixRange189">#REF!</definedName>
    <definedName name="ixRange19" localSheetId="10">#REF!</definedName>
    <definedName name="ixRange19">#REF!</definedName>
    <definedName name="ixRange190" localSheetId="10">#REF!</definedName>
    <definedName name="ixRange190">#REF!</definedName>
    <definedName name="ixRange191" localSheetId="10">#REF!</definedName>
    <definedName name="ixRange191">#REF!</definedName>
    <definedName name="ixRange192" localSheetId="10">#REF!</definedName>
    <definedName name="ixRange192">#REF!</definedName>
    <definedName name="ixRange193" localSheetId="10">#REF!</definedName>
    <definedName name="ixRange193">#REF!</definedName>
    <definedName name="ixRange194" localSheetId="10">#REF!</definedName>
    <definedName name="ixRange194">#REF!</definedName>
    <definedName name="ixRange195" localSheetId="10">#REF!</definedName>
    <definedName name="ixRange195">#REF!</definedName>
    <definedName name="ixRange196" localSheetId="10">#REF!</definedName>
    <definedName name="ixRange196">#REF!</definedName>
    <definedName name="ixRange197" localSheetId="10">#REF!</definedName>
    <definedName name="ixRange197">#REF!</definedName>
    <definedName name="ixRange198" localSheetId="10">#REF!</definedName>
    <definedName name="ixRange198">#REF!</definedName>
    <definedName name="ixRange199" localSheetId="10">#REF!</definedName>
    <definedName name="ixRange199">#REF!</definedName>
    <definedName name="ixRange2" localSheetId="10">#REF!</definedName>
    <definedName name="ixRange2">#REF!</definedName>
    <definedName name="ixRange201" localSheetId="10">#REF!</definedName>
    <definedName name="ixRange201">#REF!</definedName>
    <definedName name="ixRange202" localSheetId="10">#REF!</definedName>
    <definedName name="ixRange202">#REF!</definedName>
    <definedName name="ixRange203" localSheetId="10">#REF!</definedName>
    <definedName name="ixRange203">#REF!</definedName>
    <definedName name="ixRange204" localSheetId="10">#REF!</definedName>
    <definedName name="ixRange204">#REF!</definedName>
    <definedName name="ixRange205" localSheetId="10">#REF!</definedName>
    <definedName name="ixRange205">#REF!</definedName>
    <definedName name="ixRange206" localSheetId="10">#REF!</definedName>
    <definedName name="ixRange206">#REF!</definedName>
    <definedName name="ixRange207" localSheetId="10">#REF!</definedName>
    <definedName name="ixRange207">#REF!</definedName>
    <definedName name="ixRange208" localSheetId="10">#REF!</definedName>
    <definedName name="ixRange208">#REF!</definedName>
    <definedName name="ixRange209" localSheetId="10">#REF!</definedName>
    <definedName name="ixRange209">#REF!</definedName>
    <definedName name="ixRange21" localSheetId="10">#REF!</definedName>
    <definedName name="ixRange21">#REF!</definedName>
    <definedName name="ixRange210" localSheetId="10">#REF!</definedName>
    <definedName name="ixRange210">#REF!</definedName>
    <definedName name="ixRange211" localSheetId="10">#REF!</definedName>
    <definedName name="ixRange211">#REF!</definedName>
    <definedName name="ixRange212" localSheetId="10">#REF!</definedName>
    <definedName name="ixRange212">#REF!</definedName>
    <definedName name="ixRange213" localSheetId="10">#REF!</definedName>
    <definedName name="ixRange213">#REF!</definedName>
    <definedName name="ixRange214" localSheetId="10">#REF!</definedName>
    <definedName name="ixRange214">#REF!</definedName>
    <definedName name="ixRange215" localSheetId="10">#REF!</definedName>
    <definedName name="ixRange215">#REF!</definedName>
    <definedName name="ixRange216" localSheetId="10">#REF!</definedName>
    <definedName name="ixRange216">#REF!</definedName>
    <definedName name="ixRange217" localSheetId="10">#REF!</definedName>
    <definedName name="ixRange217">#REF!</definedName>
    <definedName name="ixRange218" localSheetId="10">#REF!</definedName>
    <definedName name="ixRange218">#REF!</definedName>
    <definedName name="ixRange219" localSheetId="10">#REF!</definedName>
    <definedName name="ixRange219">#REF!</definedName>
    <definedName name="ixRange22" localSheetId="10">#REF!</definedName>
    <definedName name="ixRange22">#REF!</definedName>
    <definedName name="ixRange220" localSheetId="10">#REF!</definedName>
    <definedName name="ixRange220">#REF!</definedName>
    <definedName name="ixRange221" localSheetId="10">#REF!</definedName>
    <definedName name="ixRange221">#REF!</definedName>
    <definedName name="ixRange222" localSheetId="10">#REF!</definedName>
    <definedName name="ixRange222">#REF!</definedName>
    <definedName name="ixRange223" localSheetId="10">#REF!</definedName>
    <definedName name="ixRange223">#REF!</definedName>
    <definedName name="ixRange224" localSheetId="10">#REF!</definedName>
    <definedName name="ixRange224">#REF!</definedName>
    <definedName name="ixRange225" localSheetId="10">#REF!</definedName>
    <definedName name="ixRange225">#REF!</definedName>
    <definedName name="ixRange226" localSheetId="10">#REF!</definedName>
    <definedName name="ixRange226">#REF!</definedName>
    <definedName name="ixRange227" localSheetId="10">#REF!</definedName>
    <definedName name="ixRange227">#REF!</definedName>
    <definedName name="ixRange228" localSheetId="10">#REF!</definedName>
    <definedName name="ixRange228">#REF!</definedName>
    <definedName name="ixRange229" localSheetId="10">#REF!</definedName>
    <definedName name="ixRange229">#REF!</definedName>
    <definedName name="ixRange23" localSheetId="10">#REF!</definedName>
    <definedName name="ixRange23">#REF!</definedName>
    <definedName name="ixRange230" localSheetId="10">#REF!</definedName>
    <definedName name="ixRange230">#REF!</definedName>
    <definedName name="ixRange231" localSheetId="10">#REF!</definedName>
    <definedName name="ixRange231">#REF!</definedName>
    <definedName name="ixRange232" localSheetId="10">#REF!</definedName>
    <definedName name="ixRange232">#REF!</definedName>
    <definedName name="ixRange233" localSheetId="10">#REF!</definedName>
    <definedName name="ixRange233">#REF!</definedName>
    <definedName name="ixRange234" localSheetId="10">#REF!</definedName>
    <definedName name="ixRange234">#REF!</definedName>
    <definedName name="ixRange235" localSheetId="10">#REF!</definedName>
    <definedName name="ixRange235">#REF!</definedName>
    <definedName name="ixRange236" localSheetId="10">#REF!</definedName>
    <definedName name="ixRange236">#REF!</definedName>
    <definedName name="ixRange237" localSheetId="10">#REF!</definedName>
    <definedName name="ixRange237">#REF!</definedName>
    <definedName name="ixRange238" localSheetId="10">#REF!</definedName>
    <definedName name="ixRange238">#REF!</definedName>
    <definedName name="ixRange239" localSheetId="10">#REF!</definedName>
    <definedName name="ixRange239">#REF!</definedName>
    <definedName name="ixRange24" localSheetId="10">#REF!</definedName>
    <definedName name="ixRange24">#REF!</definedName>
    <definedName name="ixRange240" localSheetId="10">#REF!</definedName>
    <definedName name="ixRange240">#REF!</definedName>
    <definedName name="ixRange241" localSheetId="10">#REF!</definedName>
    <definedName name="ixRange241">#REF!</definedName>
    <definedName name="ixRange242" localSheetId="10">#REF!</definedName>
    <definedName name="ixRange242">#REF!</definedName>
    <definedName name="ixRange243" localSheetId="10">#REF!</definedName>
    <definedName name="ixRange243">#REF!</definedName>
    <definedName name="ixRange244" localSheetId="10">#REF!</definedName>
    <definedName name="ixRange244">#REF!</definedName>
    <definedName name="ixRange245" localSheetId="10">#REF!</definedName>
    <definedName name="ixRange245">#REF!</definedName>
    <definedName name="ixRange246" localSheetId="10">#REF!</definedName>
    <definedName name="ixRange246">#REF!</definedName>
    <definedName name="ixRange247" localSheetId="10">#REF!</definedName>
    <definedName name="ixRange247">#REF!</definedName>
    <definedName name="ixRange248" localSheetId="10">#REF!</definedName>
    <definedName name="ixRange248">#REF!</definedName>
    <definedName name="ixRange249" localSheetId="10">#REF!</definedName>
    <definedName name="ixRange249">#REF!</definedName>
    <definedName name="ixRange25" localSheetId="10">#REF!</definedName>
    <definedName name="ixRange25">#REF!</definedName>
    <definedName name="ixRange250" localSheetId="10">#REF!</definedName>
    <definedName name="ixRange250">#REF!</definedName>
    <definedName name="ixRange251" localSheetId="10">#REF!</definedName>
    <definedName name="ixRange251">#REF!</definedName>
    <definedName name="ixRange252" localSheetId="10">#REF!</definedName>
    <definedName name="ixRange252">#REF!</definedName>
    <definedName name="ixRange253" localSheetId="10">#REF!</definedName>
    <definedName name="ixRange253">#REF!</definedName>
    <definedName name="ixRange254" localSheetId="10">#REF!</definedName>
    <definedName name="ixRange254">#REF!</definedName>
    <definedName name="ixRange255" localSheetId="10">#REF!</definedName>
    <definedName name="ixRange255">#REF!</definedName>
    <definedName name="ixRange256" localSheetId="10">#REF!</definedName>
    <definedName name="ixRange256">#REF!</definedName>
    <definedName name="ixRange257" localSheetId="10">#REF!</definedName>
    <definedName name="ixRange257">#REF!</definedName>
    <definedName name="ixRange258" localSheetId="10">#REF!</definedName>
    <definedName name="ixRange258">#REF!</definedName>
    <definedName name="ixRange259" localSheetId="10">#REF!</definedName>
    <definedName name="ixRange259">#REF!</definedName>
    <definedName name="ixRange26" localSheetId="10">#REF!</definedName>
    <definedName name="ixRange26">#REF!</definedName>
    <definedName name="ixRange261" localSheetId="10">#REF!</definedName>
    <definedName name="ixRange261">#REF!</definedName>
    <definedName name="ixRange262" localSheetId="10">#REF!</definedName>
    <definedName name="ixRange262">#REF!</definedName>
    <definedName name="ixRange263" localSheetId="10">#REF!</definedName>
    <definedName name="ixRange263">#REF!</definedName>
    <definedName name="ixRange264" localSheetId="10">#REF!</definedName>
    <definedName name="ixRange264">#REF!</definedName>
    <definedName name="ixRange265" localSheetId="10">#REF!</definedName>
    <definedName name="ixRange265">#REF!</definedName>
    <definedName name="ixRange266" localSheetId="10">#REF!</definedName>
    <definedName name="ixRange266">#REF!</definedName>
    <definedName name="ixRange267" localSheetId="10">#REF!</definedName>
    <definedName name="ixRange267">#REF!</definedName>
    <definedName name="ixRange268" localSheetId="10">#REF!</definedName>
    <definedName name="ixRange268">#REF!</definedName>
    <definedName name="ixRange269" localSheetId="10">#REF!</definedName>
    <definedName name="ixRange269">#REF!</definedName>
    <definedName name="ixRange27" localSheetId="10">#REF!</definedName>
    <definedName name="ixRange27">#REF!</definedName>
    <definedName name="ixRange270" localSheetId="10">#REF!</definedName>
    <definedName name="ixRange270">#REF!</definedName>
    <definedName name="ixRange271" localSheetId="10">#REF!</definedName>
    <definedName name="ixRange271">#REF!</definedName>
    <definedName name="ixRange272" localSheetId="10">#REF!</definedName>
    <definedName name="ixRange272">#REF!</definedName>
    <definedName name="ixRange273" localSheetId="10">#REF!</definedName>
    <definedName name="ixRange273">#REF!</definedName>
    <definedName name="ixRange274" localSheetId="10">#REF!</definedName>
    <definedName name="ixRange274">#REF!</definedName>
    <definedName name="ixRange275" localSheetId="10">#REF!</definedName>
    <definedName name="ixRange275">#REF!</definedName>
    <definedName name="ixRange276" localSheetId="10">#REF!</definedName>
    <definedName name="ixRange276">#REF!</definedName>
    <definedName name="ixRange277" localSheetId="10">#REF!</definedName>
    <definedName name="ixRange277">#REF!</definedName>
    <definedName name="ixRange278" localSheetId="10">#REF!</definedName>
    <definedName name="ixRange278">#REF!</definedName>
    <definedName name="ixRange279" localSheetId="10">#REF!</definedName>
    <definedName name="ixRange279">#REF!</definedName>
    <definedName name="ixRange28" localSheetId="10">#REF!</definedName>
    <definedName name="ixRange28">#REF!</definedName>
    <definedName name="ixRange280" localSheetId="10">#REF!</definedName>
    <definedName name="ixRange280">#REF!</definedName>
    <definedName name="ixRange281" localSheetId="10">#REF!</definedName>
    <definedName name="ixRange281">#REF!</definedName>
    <definedName name="ixRange282" localSheetId="10">#REF!</definedName>
    <definedName name="ixRange282">#REF!</definedName>
    <definedName name="ixRange283" localSheetId="10">#REF!</definedName>
    <definedName name="ixRange283">#REF!</definedName>
    <definedName name="ixRange284" localSheetId="10">#REF!</definedName>
    <definedName name="ixRange284">#REF!</definedName>
    <definedName name="ixRange285" localSheetId="10">#REF!</definedName>
    <definedName name="ixRange285">#REF!</definedName>
    <definedName name="ixRange286" localSheetId="10">#REF!</definedName>
    <definedName name="ixRange286">#REF!</definedName>
    <definedName name="ixRange287" localSheetId="10">#REF!</definedName>
    <definedName name="ixRange287">#REF!</definedName>
    <definedName name="ixRange288" localSheetId="10">#REF!</definedName>
    <definedName name="ixRange288">#REF!</definedName>
    <definedName name="ixRange289" localSheetId="10">#REF!</definedName>
    <definedName name="ixRange289">#REF!</definedName>
    <definedName name="ixRange29" localSheetId="10">#REF!</definedName>
    <definedName name="ixRange29">#REF!</definedName>
    <definedName name="ixRange290" localSheetId="10">#REF!</definedName>
    <definedName name="ixRange290">#REF!</definedName>
    <definedName name="ixRange291" localSheetId="10">#REF!</definedName>
    <definedName name="ixRange291">#REF!</definedName>
    <definedName name="ixRange292" localSheetId="10">#REF!</definedName>
    <definedName name="ixRange292">#REF!</definedName>
    <definedName name="ixRange293" localSheetId="10">#REF!</definedName>
    <definedName name="ixRange293">#REF!</definedName>
    <definedName name="ixRange294" localSheetId="10">#REF!</definedName>
    <definedName name="ixRange294">#REF!</definedName>
    <definedName name="ixRange295" localSheetId="10">#REF!</definedName>
    <definedName name="ixRange295">#REF!</definedName>
    <definedName name="ixRange296" localSheetId="10">#REF!</definedName>
    <definedName name="ixRange296">#REF!</definedName>
    <definedName name="ixRange297" localSheetId="10">#REF!</definedName>
    <definedName name="ixRange297">#REF!</definedName>
    <definedName name="ixRange298" localSheetId="10">#REF!</definedName>
    <definedName name="ixRange298">#REF!</definedName>
    <definedName name="ixRange299" localSheetId="10">#REF!</definedName>
    <definedName name="ixRange299">#REF!</definedName>
    <definedName name="ixRange3" localSheetId="10">#REF!</definedName>
    <definedName name="ixRange3">#REF!</definedName>
    <definedName name="ixRange30" localSheetId="10">#REF!</definedName>
    <definedName name="ixRange30">#REF!</definedName>
    <definedName name="ixRange300" localSheetId="10">#REF!</definedName>
    <definedName name="ixRange300">#REF!</definedName>
    <definedName name="ixRange301" localSheetId="10">#REF!</definedName>
    <definedName name="ixRange301">#REF!</definedName>
    <definedName name="ixRange302" localSheetId="10">#REF!</definedName>
    <definedName name="ixRange302">#REF!</definedName>
    <definedName name="ixRange303" localSheetId="10">#REF!</definedName>
    <definedName name="ixRange303">#REF!</definedName>
    <definedName name="ixRange304" localSheetId="10">#REF!</definedName>
    <definedName name="ixRange304">#REF!</definedName>
    <definedName name="ixRange305" localSheetId="10">#REF!</definedName>
    <definedName name="ixRange305">#REF!</definedName>
    <definedName name="ixRange306" localSheetId="10">#REF!</definedName>
    <definedName name="ixRange306">#REF!</definedName>
    <definedName name="ixRange307" localSheetId="10">#REF!</definedName>
    <definedName name="ixRange307">#REF!</definedName>
    <definedName name="ixRange308" localSheetId="10">#REF!</definedName>
    <definedName name="ixRange308">#REF!</definedName>
    <definedName name="ixRange309" localSheetId="10">#REF!</definedName>
    <definedName name="ixRange309">#REF!</definedName>
    <definedName name="ixRange31" localSheetId="10">#REF!</definedName>
    <definedName name="ixRange31">#REF!</definedName>
    <definedName name="ixRange310" localSheetId="10">#REF!</definedName>
    <definedName name="ixRange310">#REF!</definedName>
    <definedName name="ixRange311" localSheetId="10">#REF!</definedName>
    <definedName name="ixRange311">#REF!</definedName>
    <definedName name="ixRange312" localSheetId="10">#REF!</definedName>
    <definedName name="ixRange312">#REF!</definedName>
    <definedName name="ixRange313" localSheetId="10">#REF!</definedName>
    <definedName name="ixRange313">#REF!</definedName>
    <definedName name="ixRange314" localSheetId="10">#REF!</definedName>
    <definedName name="ixRange314">#REF!</definedName>
    <definedName name="ixRange315" localSheetId="10">#REF!</definedName>
    <definedName name="ixRange315">#REF!</definedName>
    <definedName name="ixRange316" localSheetId="10">#REF!</definedName>
    <definedName name="ixRange316">#REF!</definedName>
    <definedName name="ixRange317" localSheetId="10">#REF!</definedName>
    <definedName name="ixRange317">#REF!</definedName>
    <definedName name="ixRange318" localSheetId="10">#REF!</definedName>
    <definedName name="ixRange318">#REF!</definedName>
    <definedName name="ixRange319" localSheetId="10">#REF!</definedName>
    <definedName name="ixRange319">#REF!</definedName>
    <definedName name="ixRange32" localSheetId="10">#REF!</definedName>
    <definedName name="ixRange32">#REF!</definedName>
    <definedName name="ixRange321" localSheetId="10">#REF!</definedName>
    <definedName name="ixRange321">#REF!</definedName>
    <definedName name="ixRange322" localSheetId="10">#REF!</definedName>
    <definedName name="ixRange322">#REF!</definedName>
    <definedName name="ixRange323" localSheetId="10">#REF!</definedName>
    <definedName name="ixRange323">#REF!</definedName>
    <definedName name="ixRange324" localSheetId="10">#REF!</definedName>
    <definedName name="ixRange324">#REF!</definedName>
    <definedName name="ixRange325" localSheetId="10">#REF!</definedName>
    <definedName name="ixRange325">#REF!</definedName>
    <definedName name="ixRange326" localSheetId="10">#REF!</definedName>
    <definedName name="ixRange326">#REF!</definedName>
    <definedName name="ixRange327" localSheetId="10">#REF!</definedName>
    <definedName name="ixRange327">#REF!</definedName>
    <definedName name="ixRange328" localSheetId="10">#REF!</definedName>
    <definedName name="ixRange328">#REF!</definedName>
    <definedName name="ixRange329" localSheetId="10">#REF!</definedName>
    <definedName name="ixRange329">#REF!</definedName>
    <definedName name="ixRange33" localSheetId="10">#REF!</definedName>
    <definedName name="ixRange33">#REF!</definedName>
    <definedName name="ixRange330" localSheetId="10">#REF!</definedName>
    <definedName name="ixRange330">#REF!</definedName>
    <definedName name="ixRange331" localSheetId="10">#REF!</definedName>
    <definedName name="ixRange331">#REF!</definedName>
    <definedName name="ixRange332" localSheetId="10">#REF!</definedName>
    <definedName name="ixRange332">#REF!</definedName>
    <definedName name="ixRange333" localSheetId="10">#REF!</definedName>
    <definedName name="ixRange333">#REF!</definedName>
    <definedName name="ixRange334" localSheetId="10">#REF!</definedName>
    <definedName name="ixRange334">#REF!</definedName>
    <definedName name="ixRange335" localSheetId="10">#REF!</definedName>
    <definedName name="ixRange335">#REF!</definedName>
    <definedName name="ixRange336" localSheetId="10">#REF!</definedName>
    <definedName name="ixRange336">#REF!</definedName>
    <definedName name="ixRange337" localSheetId="10">#REF!</definedName>
    <definedName name="ixRange337">#REF!</definedName>
    <definedName name="ixRange338" localSheetId="10">#REF!</definedName>
    <definedName name="ixRange338">#REF!</definedName>
    <definedName name="ixRange339" localSheetId="10">#REF!</definedName>
    <definedName name="ixRange339">#REF!</definedName>
    <definedName name="ixRange34" localSheetId="10">#REF!</definedName>
    <definedName name="ixRange34">#REF!</definedName>
    <definedName name="ixRange340" localSheetId="10">#REF!</definedName>
    <definedName name="ixRange340">#REF!</definedName>
    <definedName name="ixRange341" localSheetId="10">#REF!</definedName>
    <definedName name="ixRange341">#REF!</definedName>
    <definedName name="ixRange342" localSheetId="10">#REF!</definedName>
    <definedName name="ixRange342">#REF!</definedName>
    <definedName name="ixRange343" localSheetId="10">#REF!</definedName>
    <definedName name="ixRange343">#REF!</definedName>
    <definedName name="ixRange344" localSheetId="10">#REF!</definedName>
    <definedName name="ixRange344">#REF!</definedName>
    <definedName name="ixRange345" localSheetId="10">#REF!</definedName>
    <definedName name="ixRange345">#REF!</definedName>
    <definedName name="ixRange346" localSheetId="10">#REF!</definedName>
    <definedName name="ixRange346">#REF!</definedName>
    <definedName name="ixRange347" localSheetId="10">#REF!</definedName>
    <definedName name="ixRange347">#REF!</definedName>
    <definedName name="ixRange348" localSheetId="10">#REF!</definedName>
    <definedName name="ixRange348">#REF!</definedName>
    <definedName name="ixRange349" localSheetId="10">#REF!</definedName>
    <definedName name="ixRange349">#REF!</definedName>
    <definedName name="ixRange35" localSheetId="10">#REF!</definedName>
    <definedName name="ixRange35">#REF!</definedName>
    <definedName name="ixRange350" localSheetId="10">#REF!</definedName>
    <definedName name="ixRange350">#REF!</definedName>
    <definedName name="ixRange351" localSheetId="10">#REF!</definedName>
    <definedName name="ixRange351">#REF!</definedName>
    <definedName name="ixRange352" localSheetId="10">#REF!</definedName>
    <definedName name="ixRange352">#REF!</definedName>
    <definedName name="ixRange353" localSheetId="10">#REF!</definedName>
    <definedName name="ixRange353">#REF!</definedName>
    <definedName name="ixRange354" localSheetId="10">#REF!</definedName>
    <definedName name="ixRange354">#REF!</definedName>
    <definedName name="ixRange355" localSheetId="10">#REF!</definedName>
    <definedName name="ixRange355">#REF!</definedName>
    <definedName name="ixRange356" localSheetId="10">#REF!</definedName>
    <definedName name="ixRange356">#REF!</definedName>
    <definedName name="ixRange357" localSheetId="10">#REF!</definedName>
    <definedName name="ixRange357">#REF!</definedName>
    <definedName name="ixRange358" localSheetId="10">#REF!</definedName>
    <definedName name="ixRange358">#REF!</definedName>
    <definedName name="ixRange359" localSheetId="10">#REF!</definedName>
    <definedName name="ixRange359">#REF!</definedName>
    <definedName name="ixRange36" localSheetId="10">#REF!</definedName>
    <definedName name="ixRange36">#REF!</definedName>
    <definedName name="ixRange360" localSheetId="10">#REF!</definedName>
    <definedName name="ixRange360">#REF!</definedName>
    <definedName name="ixRange361" localSheetId="10">#REF!</definedName>
    <definedName name="ixRange361">#REF!</definedName>
    <definedName name="ixRange362" localSheetId="10">#REF!</definedName>
    <definedName name="ixRange362">#REF!</definedName>
    <definedName name="ixRange363" localSheetId="10">#REF!</definedName>
    <definedName name="ixRange363">#REF!</definedName>
    <definedName name="ixRange364" localSheetId="10">#REF!</definedName>
    <definedName name="ixRange364">#REF!</definedName>
    <definedName name="ixRange365" localSheetId="10">#REF!</definedName>
    <definedName name="ixRange365">#REF!</definedName>
    <definedName name="ixRange366" localSheetId="10">#REF!</definedName>
    <definedName name="ixRange366">#REF!</definedName>
    <definedName name="ixRange367" localSheetId="10">#REF!</definedName>
    <definedName name="ixRange367">#REF!</definedName>
    <definedName name="ixRange368" localSheetId="10">#REF!</definedName>
    <definedName name="ixRange368">#REF!</definedName>
    <definedName name="ixRange369" localSheetId="10">#REF!</definedName>
    <definedName name="ixRange369">#REF!</definedName>
    <definedName name="ixRange37" localSheetId="10">#REF!</definedName>
    <definedName name="ixRange37">#REF!</definedName>
    <definedName name="ixRange370" localSheetId="10">#REF!</definedName>
    <definedName name="ixRange370">#REF!</definedName>
    <definedName name="ixRange371" localSheetId="10">#REF!</definedName>
    <definedName name="ixRange371">#REF!</definedName>
    <definedName name="ixRange372" localSheetId="10">#REF!</definedName>
    <definedName name="ixRange372">#REF!</definedName>
    <definedName name="ixRange373" localSheetId="10">#REF!</definedName>
    <definedName name="ixRange373">#REF!</definedName>
    <definedName name="ixRange374" localSheetId="10">#REF!</definedName>
    <definedName name="ixRange374">#REF!</definedName>
    <definedName name="ixRange375" localSheetId="10">#REF!</definedName>
    <definedName name="ixRange375">#REF!</definedName>
    <definedName name="ixRange376" localSheetId="10">#REF!</definedName>
    <definedName name="ixRange376">#REF!</definedName>
    <definedName name="ixRange377" localSheetId="10">#REF!</definedName>
    <definedName name="ixRange377">#REF!</definedName>
    <definedName name="ixRange378" localSheetId="10">#REF!</definedName>
    <definedName name="ixRange378">#REF!</definedName>
    <definedName name="ixRange379" localSheetId="10">#REF!</definedName>
    <definedName name="ixRange379">#REF!</definedName>
    <definedName name="ixRange38" localSheetId="10">#REF!</definedName>
    <definedName name="ixRange38">#REF!</definedName>
    <definedName name="ixRange381" localSheetId="10">#REF!</definedName>
    <definedName name="ixRange381">#REF!</definedName>
    <definedName name="ixRange382" localSheetId="10">#REF!</definedName>
    <definedName name="ixRange382">#REF!</definedName>
    <definedName name="ixRange383" localSheetId="10">#REF!</definedName>
    <definedName name="ixRange383">#REF!</definedName>
    <definedName name="ixRange384" localSheetId="10">#REF!</definedName>
    <definedName name="ixRange384">#REF!</definedName>
    <definedName name="ixRange385" localSheetId="10">#REF!</definedName>
    <definedName name="ixRange385">#REF!</definedName>
    <definedName name="ixRange386" localSheetId="10">#REF!</definedName>
    <definedName name="ixRange386">#REF!</definedName>
    <definedName name="ixRange387" localSheetId="10">#REF!</definedName>
    <definedName name="ixRange387">#REF!</definedName>
    <definedName name="ixRange388" localSheetId="10">#REF!</definedName>
    <definedName name="ixRange388">#REF!</definedName>
    <definedName name="ixRange389" localSheetId="10">#REF!</definedName>
    <definedName name="ixRange389">#REF!</definedName>
    <definedName name="ixRange39" localSheetId="10">#REF!</definedName>
    <definedName name="ixRange39">#REF!</definedName>
    <definedName name="ixRange390" localSheetId="10">#REF!</definedName>
    <definedName name="ixRange390">#REF!</definedName>
    <definedName name="ixRange391" localSheetId="10">#REF!</definedName>
    <definedName name="ixRange391">#REF!</definedName>
    <definedName name="ixRange392" localSheetId="10">#REF!</definedName>
    <definedName name="ixRange392">#REF!</definedName>
    <definedName name="ixRange393" localSheetId="10">#REF!</definedName>
    <definedName name="ixRange393">#REF!</definedName>
    <definedName name="ixRange394" localSheetId="10">#REF!</definedName>
    <definedName name="ixRange394">#REF!</definedName>
    <definedName name="ixRange395" localSheetId="10">#REF!</definedName>
    <definedName name="ixRange395">#REF!</definedName>
    <definedName name="ixRange396" localSheetId="10">#REF!</definedName>
    <definedName name="ixRange396">#REF!</definedName>
    <definedName name="ixRange397" localSheetId="10">#REF!</definedName>
    <definedName name="ixRange397">#REF!</definedName>
    <definedName name="ixRange398" localSheetId="10">#REF!</definedName>
    <definedName name="ixRange398">#REF!</definedName>
    <definedName name="ixRange399" localSheetId="10">#REF!</definedName>
    <definedName name="ixRange399">#REF!</definedName>
    <definedName name="ixRange4" localSheetId="10">#REF!</definedName>
    <definedName name="ixRange4">#REF!</definedName>
    <definedName name="ixRange40" localSheetId="10">#REF!</definedName>
    <definedName name="ixRange40">#REF!</definedName>
    <definedName name="ixRange400" localSheetId="10">#REF!</definedName>
    <definedName name="ixRange400">#REF!</definedName>
    <definedName name="ixRange401" localSheetId="10">#REF!</definedName>
    <definedName name="ixRange401">#REF!</definedName>
    <definedName name="ixRange402" localSheetId="10">#REF!</definedName>
    <definedName name="ixRange402">#REF!</definedName>
    <definedName name="ixRange403" localSheetId="10">#REF!</definedName>
    <definedName name="ixRange403">#REF!</definedName>
    <definedName name="ixRange404" localSheetId="10">#REF!</definedName>
    <definedName name="ixRange404">#REF!</definedName>
    <definedName name="ixRange405" localSheetId="10">#REF!</definedName>
    <definedName name="ixRange405">#REF!</definedName>
    <definedName name="ixRange406" localSheetId="10">#REF!</definedName>
    <definedName name="ixRange406">#REF!</definedName>
    <definedName name="ixRange407" localSheetId="10">#REF!</definedName>
    <definedName name="ixRange407">#REF!</definedName>
    <definedName name="ixRange408" localSheetId="10">#REF!</definedName>
    <definedName name="ixRange408">#REF!</definedName>
    <definedName name="ixRange409" localSheetId="10">#REF!</definedName>
    <definedName name="ixRange409">#REF!</definedName>
    <definedName name="ixRange41" localSheetId="10">#REF!</definedName>
    <definedName name="ixRange41">#REF!</definedName>
    <definedName name="ixRange410" localSheetId="10">#REF!</definedName>
    <definedName name="ixRange410">#REF!</definedName>
    <definedName name="ixRange411" localSheetId="10">#REF!</definedName>
    <definedName name="ixRange411">#REF!</definedName>
    <definedName name="ixRange412" localSheetId="10">#REF!</definedName>
    <definedName name="ixRange412">#REF!</definedName>
    <definedName name="ixRange413" localSheetId="10">#REF!</definedName>
    <definedName name="ixRange413">#REF!</definedName>
    <definedName name="ixRange414" localSheetId="10">#REF!</definedName>
    <definedName name="ixRange414">#REF!</definedName>
    <definedName name="ixRange415" localSheetId="10">#REF!</definedName>
    <definedName name="ixRange415">#REF!</definedName>
    <definedName name="ixRange416" localSheetId="10">#REF!</definedName>
    <definedName name="ixRange416">#REF!</definedName>
    <definedName name="ixRange417" localSheetId="10">#REF!</definedName>
    <definedName name="ixRange417">#REF!</definedName>
    <definedName name="ixRange418" localSheetId="10">#REF!</definedName>
    <definedName name="ixRange418">#REF!</definedName>
    <definedName name="ixRange419" localSheetId="10">#REF!</definedName>
    <definedName name="ixRange419">#REF!</definedName>
    <definedName name="ixRange42" localSheetId="10">#REF!</definedName>
    <definedName name="ixRange42">#REF!</definedName>
    <definedName name="ixRange420" localSheetId="10">#REF!</definedName>
    <definedName name="ixRange420">#REF!</definedName>
    <definedName name="ixRange421" localSheetId="10">#REF!</definedName>
    <definedName name="ixRange421">#REF!</definedName>
    <definedName name="ixRange422" localSheetId="10">#REF!</definedName>
    <definedName name="ixRange422">#REF!</definedName>
    <definedName name="ixRange423" localSheetId="10">#REF!</definedName>
    <definedName name="ixRange423">#REF!</definedName>
    <definedName name="ixRange424" localSheetId="10">#REF!</definedName>
    <definedName name="ixRange424">#REF!</definedName>
    <definedName name="ixRange425" localSheetId="10">#REF!</definedName>
    <definedName name="ixRange425">#REF!</definedName>
    <definedName name="ixRange426" localSheetId="10">#REF!</definedName>
    <definedName name="ixRange426">#REF!</definedName>
    <definedName name="ixRange427" localSheetId="10">#REF!</definedName>
    <definedName name="ixRange427">#REF!</definedName>
    <definedName name="ixRange428" localSheetId="10">#REF!</definedName>
    <definedName name="ixRange428">#REF!</definedName>
    <definedName name="ixRange429" localSheetId="10">#REF!</definedName>
    <definedName name="ixRange429">#REF!</definedName>
    <definedName name="ixRange43" localSheetId="10">#REF!</definedName>
    <definedName name="ixRange43">#REF!</definedName>
    <definedName name="ixRange430" localSheetId="10">#REF!</definedName>
    <definedName name="ixRange430">#REF!</definedName>
    <definedName name="ixRange431" localSheetId="10">#REF!</definedName>
    <definedName name="ixRange431">#REF!</definedName>
    <definedName name="ixRange432" localSheetId="10">#REF!</definedName>
    <definedName name="ixRange432">#REF!</definedName>
    <definedName name="ixRange433" localSheetId="10">#REF!</definedName>
    <definedName name="ixRange433">#REF!</definedName>
    <definedName name="ixRange434" localSheetId="10">#REF!</definedName>
    <definedName name="ixRange434">#REF!</definedName>
    <definedName name="ixRange435" localSheetId="10">#REF!</definedName>
    <definedName name="ixRange435">#REF!</definedName>
    <definedName name="ixRange436" localSheetId="10">#REF!</definedName>
    <definedName name="ixRange436">#REF!</definedName>
    <definedName name="ixRange437" localSheetId="10">#REF!</definedName>
    <definedName name="ixRange437">#REF!</definedName>
    <definedName name="ixRange438" localSheetId="10">#REF!</definedName>
    <definedName name="ixRange438">#REF!</definedName>
    <definedName name="ixRange439" localSheetId="10">#REF!</definedName>
    <definedName name="ixRange439">#REF!</definedName>
    <definedName name="ixRange44" localSheetId="10">#REF!</definedName>
    <definedName name="ixRange44">#REF!</definedName>
    <definedName name="ixRange441" localSheetId="10">#REF!</definedName>
    <definedName name="ixRange441">#REF!</definedName>
    <definedName name="ixRange442" localSheetId="10">#REF!</definedName>
    <definedName name="ixRange442">#REF!</definedName>
    <definedName name="ixRange443" localSheetId="10">#REF!</definedName>
    <definedName name="ixRange443">#REF!</definedName>
    <definedName name="ixRange444" localSheetId="10">#REF!</definedName>
    <definedName name="ixRange444">#REF!</definedName>
    <definedName name="ixRange445" localSheetId="10">#REF!</definedName>
    <definedName name="ixRange445">#REF!</definedName>
    <definedName name="ixRange446" localSheetId="10">#REF!</definedName>
    <definedName name="ixRange446">#REF!</definedName>
    <definedName name="ixRange447" localSheetId="10">#REF!</definedName>
    <definedName name="ixRange447">#REF!</definedName>
    <definedName name="ixRange448" localSheetId="10">#REF!</definedName>
    <definedName name="ixRange448">#REF!</definedName>
    <definedName name="ixRange449" localSheetId="10">#REF!</definedName>
    <definedName name="ixRange449">#REF!</definedName>
    <definedName name="ixRange45" localSheetId="10">#REF!</definedName>
    <definedName name="ixRange45">#REF!</definedName>
    <definedName name="ixRange450" localSheetId="10">#REF!</definedName>
    <definedName name="ixRange450">#REF!</definedName>
    <definedName name="ixRange451" localSheetId="10">#REF!</definedName>
    <definedName name="ixRange451">#REF!</definedName>
    <definedName name="ixRange452" localSheetId="10">#REF!</definedName>
    <definedName name="ixRange452">#REF!</definedName>
    <definedName name="ixRange453" localSheetId="10">#REF!</definedName>
    <definedName name="ixRange453">#REF!</definedName>
    <definedName name="ixRange454" localSheetId="10">#REF!</definedName>
    <definedName name="ixRange454">#REF!</definedName>
    <definedName name="ixRange455" localSheetId="10">#REF!</definedName>
    <definedName name="ixRange455">#REF!</definedName>
    <definedName name="ixRange456" localSheetId="10">#REF!</definedName>
    <definedName name="ixRange456">#REF!</definedName>
    <definedName name="ixRange457" localSheetId="10">#REF!</definedName>
    <definedName name="ixRange457">#REF!</definedName>
    <definedName name="ixRange458" localSheetId="10">#REF!</definedName>
    <definedName name="ixRange458">#REF!</definedName>
    <definedName name="ixRange459" localSheetId="10">#REF!</definedName>
    <definedName name="ixRange459">#REF!</definedName>
    <definedName name="ixRange46" localSheetId="10">#REF!</definedName>
    <definedName name="ixRange46">#REF!</definedName>
    <definedName name="ixRange460" localSheetId="10">#REF!</definedName>
    <definedName name="ixRange460">#REF!</definedName>
    <definedName name="ixRange461" localSheetId="10">#REF!</definedName>
    <definedName name="ixRange461">#REF!</definedName>
    <definedName name="ixRange462" localSheetId="10">#REF!</definedName>
    <definedName name="ixRange462">#REF!</definedName>
    <definedName name="ixRange463" localSheetId="10">#REF!</definedName>
    <definedName name="ixRange463">#REF!</definedName>
    <definedName name="ixRange464" localSheetId="10">#REF!</definedName>
    <definedName name="ixRange464">#REF!</definedName>
    <definedName name="ixRange465" localSheetId="10">#REF!</definedName>
    <definedName name="ixRange465">#REF!</definedName>
    <definedName name="ixRange466" localSheetId="10">#REF!</definedName>
    <definedName name="ixRange466">#REF!</definedName>
    <definedName name="ixRange467" localSheetId="10">#REF!</definedName>
    <definedName name="ixRange467">#REF!</definedName>
    <definedName name="ixRange468" localSheetId="10">#REF!</definedName>
    <definedName name="ixRange468">#REF!</definedName>
    <definedName name="ixRange469" localSheetId="10">#REF!</definedName>
    <definedName name="ixRange469">#REF!</definedName>
    <definedName name="ixRange47" localSheetId="10">#REF!</definedName>
    <definedName name="ixRange47">#REF!</definedName>
    <definedName name="ixRange470" localSheetId="10">#REF!</definedName>
    <definedName name="ixRange470">#REF!</definedName>
    <definedName name="ixRange471" localSheetId="10">#REF!</definedName>
    <definedName name="ixRange471">#REF!</definedName>
    <definedName name="ixRange472" localSheetId="10">#REF!</definedName>
    <definedName name="ixRange472">#REF!</definedName>
    <definedName name="ixRange473" localSheetId="10">#REF!</definedName>
    <definedName name="ixRange473">#REF!</definedName>
    <definedName name="ixRange474" localSheetId="10">#REF!</definedName>
    <definedName name="ixRange474">#REF!</definedName>
    <definedName name="ixRange475" localSheetId="10">#REF!</definedName>
    <definedName name="ixRange475">#REF!</definedName>
    <definedName name="ixRange476" localSheetId="10">#REF!</definedName>
    <definedName name="ixRange476">#REF!</definedName>
    <definedName name="ixRange477" localSheetId="10">#REF!</definedName>
    <definedName name="ixRange477">#REF!</definedName>
    <definedName name="ixRange478" localSheetId="10">#REF!</definedName>
    <definedName name="ixRange478">#REF!</definedName>
    <definedName name="ixRange479" localSheetId="10">#REF!</definedName>
    <definedName name="ixRange479">#REF!</definedName>
    <definedName name="ixRange48" localSheetId="10">#REF!</definedName>
    <definedName name="ixRange48">#REF!</definedName>
    <definedName name="ixRange480" localSheetId="10">#REF!</definedName>
    <definedName name="ixRange480">#REF!</definedName>
    <definedName name="ixRange481" localSheetId="10">#REF!</definedName>
    <definedName name="ixRange481">#REF!</definedName>
    <definedName name="ixRange482" localSheetId="10">#REF!</definedName>
    <definedName name="ixRange482">#REF!</definedName>
    <definedName name="ixRange483" localSheetId="10">#REF!</definedName>
    <definedName name="ixRange483">#REF!</definedName>
    <definedName name="ixRange484" localSheetId="10">#REF!</definedName>
    <definedName name="ixRange484">#REF!</definedName>
    <definedName name="ixRange485" localSheetId="10">#REF!</definedName>
    <definedName name="ixRange485">#REF!</definedName>
    <definedName name="ixRange486" localSheetId="10">#REF!</definedName>
    <definedName name="ixRange486">#REF!</definedName>
    <definedName name="ixRange487" localSheetId="10">#REF!</definedName>
    <definedName name="ixRange487">#REF!</definedName>
    <definedName name="ixRange488" localSheetId="10">#REF!</definedName>
    <definedName name="ixRange488">#REF!</definedName>
    <definedName name="ixRange489" localSheetId="10">#REF!</definedName>
    <definedName name="ixRange489">#REF!</definedName>
    <definedName name="ixRange49" localSheetId="10">#REF!</definedName>
    <definedName name="ixRange49">#REF!</definedName>
    <definedName name="ixRange490" localSheetId="10">#REF!</definedName>
    <definedName name="ixRange490">#REF!</definedName>
    <definedName name="ixRange491" localSheetId="10">#REF!</definedName>
    <definedName name="ixRange491">#REF!</definedName>
    <definedName name="ixRange492" localSheetId="10">#REF!</definedName>
    <definedName name="ixRange492">#REF!</definedName>
    <definedName name="ixRange493" localSheetId="10">#REF!</definedName>
    <definedName name="ixRange493">#REF!</definedName>
    <definedName name="ixRange494" localSheetId="10">#REF!</definedName>
    <definedName name="ixRange494">#REF!</definedName>
    <definedName name="ixRange495" localSheetId="10">#REF!</definedName>
    <definedName name="ixRange495">#REF!</definedName>
    <definedName name="ixRange496" localSheetId="10">#REF!</definedName>
    <definedName name="ixRange496">#REF!</definedName>
    <definedName name="ixRange497" localSheetId="10">#REF!</definedName>
    <definedName name="ixRange497">#REF!</definedName>
    <definedName name="ixRange498" localSheetId="10">#REF!</definedName>
    <definedName name="ixRange498">#REF!</definedName>
    <definedName name="ixRange499" localSheetId="10">#REF!</definedName>
    <definedName name="ixRange499">#REF!</definedName>
    <definedName name="ixRange5" localSheetId="10">#REF!</definedName>
    <definedName name="ixRange5">#REF!</definedName>
    <definedName name="ixRange50" localSheetId="10">#REF!</definedName>
    <definedName name="ixRange50">#REF!</definedName>
    <definedName name="ixRange501" localSheetId="10">#REF!</definedName>
    <definedName name="ixRange501">#REF!</definedName>
    <definedName name="ixRange502" localSheetId="10">#REF!</definedName>
    <definedName name="ixRange502">#REF!</definedName>
    <definedName name="ixRange503" localSheetId="10">#REF!</definedName>
    <definedName name="ixRange503">#REF!</definedName>
    <definedName name="ixRange504" localSheetId="10">#REF!</definedName>
    <definedName name="ixRange504">#REF!</definedName>
    <definedName name="ixRange505" localSheetId="10">#REF!</definedName>
    <definedName name="ixRange505">#REF!</definedName>
    <definedName name="ixRange506" localSheetId="10">#REF!</definedName>
    <definedName name="ixRange506">#REF!</definedName>
    <definedName name="ixRange507" localSheetId="10">#REF!</definedName>
    <definedName name="ixRange507">#REF!</definedName>
    <definedName name="ixRange508" localSheetId="10">#REF!</definedName>
    <definedName name="ixRange508">#REF!</definedName>
    <definedName name="ixRange509" localSheetId="10">#REF!</definedName>
    <definedName name="ixRange509">#REF!</definedName>
    <definedName name="ixRange51" localSheetId="10">#REF!</definedName>
    <definedName name="ixRange51">#REF!</definedName>
    <definedName name="ixRange510" localSheetId="10">#REF!</definedName>
    <definedName name="ixRange510">#REF!</definedName>
    <definedName name="ixRange511" localSheetId="10">#REF!</definedName>
    <definedName name="ixRange511">#REF!</definedName>
    <definedName name="ixRange512" localSheetId="10">#REF!</definedName>
    <definedName name="ixRange512">#REF!</definedName>
    <definedName name="ixRange513" localSheetId="10">#REF!</definedName>
    <definedName name="ixRange513">#REF!</definedName>
    <definedName name="ixRange514" localSheetId="10">#REF!</definedName>
    <definedName name="ixRange514">#REF!</definedName>
    <definedName name="ixRange515" localSheetId="10">#REF!</definedName>
    <definedName name="ixRange515">#REF!</definedName>
    <definedName name="ixRange516" localSheetId="10">#REF!</definedName>
    <definedName name="ixRange516">#REF!</definedName>
    <definedName name="ixRange517" localSheetId="10">#REF!</definedName>
    <definedName name="ixRange517">#REF!</definedName>
    <definedName name="ixRange518" localSheetId="10">#REF!</definedName>
    <definedName name="ixRange518">#REF!</definedName>
    <definedName name="ixRange519" localSheetId="10">#REF!</definedName>
    <definedName name="ixRange519">#REF!</definedName>
    <definedName name="ixRange52" localSheetId="10">#REF!</definedName>
    <definedName name="ixRange52">#REF!</definedName>
    <definedName name="ixRange520" localSheetId="10">#REF!</definedName>
    <definedName name="ixRange520">#REF!</definedName>
    <definedName name="ixRange521" localSheetId="10">#REF!</definedName>
    <definedName name="ixRange521">#REF!</definedName>
    <definedName name="ixRange522" localSheetId="10">#REF!</definedName>
    <definedName name="ixRange522">#REF!</definedName>
    <definedName name="ixRange523" localSheetId="10">#REF!</definedName>
    <definedName name="ixRange523">#REF!</definedName>
    <definedName name="ixRange524" localSheetId="10">#REF!</definedName>
    <definedName name="ixRange524">#REF!</definedName>
    <definedName name="ixRange525" localSheetId="10">#REF!</definedName>
    <definedName name="ixRange525">#REF!</definedName>
    <definedName name="ixRange526" localSheetId="10">#REF!</definedName>
    <definedName name="ixRange526">#REF!</definedName>
    <definedName name="ixRange527" localSheetId="10">#REF!</definedName>
    <definedName name="ixRange527">#REF!</definedName>
    <definedName name="ixRange528" localSheetId="10">#REF!</definedName>
    <definedName name="ixRange528">#REF!</definedName>
    <definedName name="ixRange529" localSheetId="10">#REF!</definedName>
    <definedName name="ixRange529">#REF!</definedName>
    <definedName name="ixRange53" localSheetId="10">#REF!</definedName>
    <definedName name="ixRange53">#REF!</definedName>
    <definedName name="ixRange530" localSheetId="10">#REF!</definedName>
    <definedName name="ixRange530">#REF!</definedName>
    <definedName name="ixRange531" localSheetId="10">#REF!</definedName>
    <definedName name="ixRange531">#REF!</definedName>
    <definedName name="ixRange532" localSheetId="10">#REF!</definedName>
    <definedName name="ixRange532">#REF!</definedName>
    <definedName name="ixRange533" localSheetId="10">#REF!</definedName>
    <definedName name="ixRange533">#REF!</definedName>
    <definedName name="ixRange534" localSheetId="10">#REF!</definedName>
    <definedName name="ixRange534">#REF!</definedName>
    <definedName name="ixRange535" localSheetId="10">#REF!</definedName>
    <definedName name="ixRange535">#REF!</definedName>
    <definedName name="ixRange536" localSheetId="10">#REF!</definedName>
    <definedName name="ixRange536">#REF!</definedName>
    <definedName name="ixRange537" localSheetId="10">#REF!</definedName>
    <definedName name="ixRange537">#REF!</definedName>
    <definedName name="ixRange538" localSheetId="10">#REF!</definedName>
    <definedName name="ixRange538">#REF!</definedName>
    <definedName name="ixRange539" localSheetId="10">#REF!</definedName>
    <definedName name="ixRange539">#REF!</definedName>
    <definedName name="ixRange54" localSheetId="10">#REF!</definedName>
    <definedName name="ixRange54">#REF!</definedName>
    <definedName name="ixRange540" localSheetId="10">#REF!</definedName>
    <definedName name="ixRange540">#REF!</definedName>
    <definedName name="ixRange541" localSheetId="10">#REF!</definedName>
    <definedName name="ixRange541">#REF!</definedName>
    <definedName name="ixRange542" localSheetId="10">#REF!</definedName>
    <definedName name="ixRange542">#REF!</definedName>
    <definedName name="ixRange543" localSheetId="10">#REF!</definedName>
    <definedName name="ixRange543">#REF!</definedName>
    <definedName name="ixRange544" localSheetId="10">#REF!</definedName>
    <definedName name="ixRange544">#REF!</definedName>
    <definedName name="ixRange545" localSheetId="10">#REF!</definedName>
    <definedName name="ixRange545">#REF!</definedName>
    <definedName name="ixRange546" localSheetId="10">#REF!</definedName>
    <definedName name="ixRange546">#REF!</definedName>
    <definedName name="ixRange547" localSheetId="10">#REF!</definedName>
    <definedName name="ixRange547">#REF!</definedName>
    <definedName name="ixRange548" localSheetId="10">#REF!</definedName>
    <definedName name="ixRange548">#REF!</definedName>
    <definedName name="ixRange549" localSheetId="10">#REF!</definedName>
    <definedName name="ixRange549">#REF!</definedName>
    <definedName name="ixRange55" localSheetId="10">#REF!</definedName>
    <definedName name="ixRange55">#REF!</definedName>
    <definedName name="ixRange550" localSheetId="10">#REF!</definedName>
    <definedName name="ixRange550">#REF!</definedName>
    <definedName name="ixRange551" localSheetId="10">#REF!</definedName>
    <definedName name="ixRange551">#REF!</definedName>
    <definedName name="ixRange552" localSheetId="10">#REF!</definedName>
    <definedName name="ixRange552">#REF!</definedName>
    <definedName name="ixRange553" localSheetId="10">#REF!</definedName>
    <definedName name="ixRange553">#REF!</definedName>
    <definedName name="ixRange554" localSheetId="10">#REF!</definedName>
    <definedName name="ixRange554">#REF!</definedName>
    <definedName name="ixRange555" localSheetId="10">#REF!</definedName>
    <definedName name="ixRange555">#REF!</definedName>
    <definedName name="ixRange556" localSheetId="10">#REF!</definedName>
    <definedName name="ixRange556">#REF!</definedName>
    <definedName name="ixRange557" localSheetId="10">#REF!</definedName>
    <definedName name="ixRange557">#REF!</definedName>
    <definedName name="ixRange558" localSheetId="10">#REF!</definedName>
    <definedName name="ixRange558">#REF!</definedName>
    <definedName name="ixRange559" localSheetId="10">#REF!</definedName>
    <definedName name="ixRange559">#REF!</definedName>
    <definedName name="ixRange56" localSheetId="10">#REF!</definedName>
    <definedName name="ixRange56">#REF!</definedName>
    <definedName name="ixRange561" localSheetId="10">#REF!</definedName>
    <definedName name="ixRange561">#REF!</definedName>
    <definedName name="ixRange562" localSheetId="10">#REF!</definedName>
    <definedName name="ixRange562">#REF!</definedName>
    <definedName name="ixRange563" localSheetId="10">#REF!</definedName>
    <definedName name="ixRange563">#REF!</definedName>
    <definedName name="ixRange564" localSheetId="10">#REF!</definedName>
    <definedName name="ixRange564">#REF!</definedName>
    <definedName name="ixRange565" localSheetId="10">#REF!</definedName>
    <definedName name="ixRange565">#REF!</definedName>
    <definedName name="ixRange566" localSheetId="10">#REF!</definedName>
    <definedName name="ixRange566">#REF!</definedName>
    <definedName name="ixRange567" localSheetId="10">#REF!</definedName>
    <definedName name="ixRange567">#REF!</definedName>
    <definedName name="ixRange568" localSheetId="10">#REF!</definedName>
    <definedName name="ixRange568">#REF!</definedName>
    <definedName name="ixRange569" localSheetId="10">#REF!</definedName>
    <definedName name="ixRange569">#REF!</definedName>
    <definedName name="ixRange57" localSheetId="10">#REF!</definedName>
    <definedName name="ixRange57">#REF!</definedName>
    <definedName name="ixRange570" localSheetId="10">#REF!</definedName>
    <definedName name="ixRange570">#REF!</definedName>
    <definedName name="ixRange571" localSheetId="10">#REF!</definedName>
    <definedName name="ixRange571">#REF!</definedName>
    <definedName name="ixRange572" localSheetId="10">#REF!</definedName>
    <definedName name="ixRange572">#REF!</definedName>
    <definedName name="ixRange573" localSheetId="10">#REF!</definedName>
    <definedName name="ixRange573">#REF!</definedName>
    <definedName name="ixRange574" localSheetId="10">#REF!</definedName>
    <definedName name="ixRange574">#REF!</definedName>
    <definedName name="ixRange575" localSheetId="10">#REF!</definedName>
    <definedName name="ixRange575">#REF!</definedName>
    <definedName name="ixRange576" localSheetId="10">#REF!</definedName>
    <definedName name="ixRange576">#REF!</definedName>
    <definedName name="ixRange577" localSheetId="10">#REF!</definedName>
    <definedName name="ixRange577">#REF!</definedName>
    <definedName name="ixRange578" localSheetId="10">#REF!</definedName>
    <definedName name="ixRange578">#REF!</definedName>
    <definedName name="ixRange579" localSheetId="10">#REF!</definedName>
    <definedName name="ixRange579">#REF!</definedName>
    <definedName name="ixRange58" localSheetId="10">#REF!</definedName>
    <definedName name="ixRange58">#REF!</definedName>
    <definedName name="ixRange580" localSheetId="10">#REF!</definedName>
    <definedName name="ixRange580">#REF!</definedName>
    <definedName name="ixRange581" localSheetId="10">#REF!</definedName>
    <definedName name="ixRange581">#REF!</definedName>
    <definedName name="ixRange582" localSheetId="10">#REF!</definedName>
    <definedName name="ixRange582">#REF!</definedName>
    <definedName name="ixRange583" localSheetId="10">#REF!</definedName>
    <definedName name="ixRange583">#REF!</definedName>
    <definedName name="ixRange584" localSheetId="10">#REF!</definedName>
    <definedName name="ixRange584">#REF!</definedName>
    <definedName name="ixRange585" localSheetId="10">#REF!</definedName>
    <definedName name="ixRange585">#REF!</definedName>
    <definedName name="ixRange586" localSheetId="10">#REF!</definedName>
    <definedName name="ixRange586">#REF!</definedName>
    <definedName name="ixRange587" localSheetId="10">#REF!</definedName>
    <definedName name="ixRange587">#REF!</definedName>
    <definedName name="ixRange588" localSheetId="10">#REF!</definedName>
    <definedName name="ixRange588">#REF!</definedName>
    <definedName name="ixRange589" localSheetId="10">#REF!</definedName>
    <definedName name="ixRange589">#REF!</definedName>
    <definedName name="ixRange59" localSheetId="10">#REF!</definedName>
    <definedName name="ixRange59">#REF!</definedName>
    <definedName name="ixRange590" localSheetId="10">#REF!</definedName>
    <definedName name="ixRange590">#REF!</definedName>
    <definedName name="ixRange591" localSheetId="10">#REF!</definedName>
    <definedName name="ixRange591">#REF!</definedName>
    <definedName name="ixRange592" localSheetId="10">#REF!</definedName>
    <definedName name="ixRange592">#REF!</definedName>
    <definedName name="ixRange593" localSheetId="10">#REF!</definedName>
    <definedName name="ixRange593">#REF!</definedName>
    <definedName name="ixRange594" localSheetId="10">#REF!</definedName>
    <definedName name="ixRange594">#REF!</definedName>
    <definedName name="ixRange595" localSheetId="10">#REF!</definedName>
    <definedName name="ixRange595">#REF!</definedName>
    <definedName name="ixRange596" localSheetId="10">#REF!</definedName>
    <definedName name="ixRange596">#REF!</definedName>
    <definedName name="ixRange597" localSheetId="10">#REF!</definedName>
    <definedName name="ixRange597">#REF!</definedName>
    <definedName name="ixRange598" localSheetId="10">#REF!</definedName>
    <definedName name="ixRange598">#REF!</definedName>
    <definedName name="ixRange599" localSheetId="10">#REF!</definedName>
    <definedName name="ixRange599">#REF!</definedName>
    <definedName name="ixRange6" localSheetId="10">#REF!</definedName>
    <definedName name="ixRange6">#REF!</definedName>
    <definedName name="ixRange60" localSheetId="10">#REF!</definedName>
    <definedName name="ixRange60">#REF!</definedName>
    <definedName name="ixRange600" localSheetId="10">#REF!</definedName>
    <definedName name="ixRange600">#REF!</definedName>
    <definedName name="ixRange601" localSheetId="10">#REF!</definedName>
    <definedName name="ixRange601">#REF!</definedName>
    <definedName name="ixRange602" localSheetId="10">#REF!</definedName>
    <definedName name="ixRange602">#REF!</definedName>
    <definedName name="ixRange603" localSheetId="10">#REF!</definedName>
    <definedName name="ixRange603">#REF!</definedName>
    <definedName name="ixRange604" localSheetId="10">#REF!</definedName>
    <definedName name="ixRange604">#REF!</definedName>
    <definedName name="ixRange605" localSheetId="10">#REF!</definedName>
    <definedName name="ixRange605">#REF!</definedName>
    <definedName name="ixRange606" localSheetId="10">#REF!</definedName>
    <definedName name="ixRange606">#REF!</definedName>
    <definedName name="ixRange607" localSheetId="10">#REF!</definedName>
    <definedName name="ixRange607">#REF!</definedName>
    <definedName name="ixRange608" localSheetId="10">#REF!</definedName>
    <definedName name="ixRange608">#REF!</definedName>
    <definedName name="ixRange609" localSheetId="10">#REF!</definedName>
    <definedName name="ixRange609">#REF!</definedName>
    <definedName name="ixRange61" localSheetId="10">#REF!</definedName>
    <definedName name="ixRange61">#REF!</definedName>
    <definedName name="ixRange610" localSheetId="10">#REF!</definedName>
    <definedName name="ixRange610">#REF!</definedName>
    <definedName name="ixRange611" localSheetId="10">#REF!</definedName>
    <definedName name="ixRange611">#REF!</definedName>
    <definedName name="ixRange612" localSheetId="10">#REF!</definedName>
    <definedName name="ixRange612">#REF!</definedName>
    <definedName name="ixRange613" localSheetId="10">#REF!</definedName>
    <definedName name="ixRange613">#REF!</definedName>
    <definedName name="ixRange614" localSheetId="10">#REF!</definedName>
    <definedName name="ixRange614">#REF!</definedName>
    <definedName name="ixRange615" localSheetId="10">#REF!</definedName>
    <definedName name="ixRange615">#REF!</definedName>
    <definedName name="ixRange616" localSheetId="10">#REF!</definedName>
    <definedName name="ixRange616">#REF!</definedName>
    <definedName name="ixRange617" localSheetId="10">#REF!</definedName>
    <definedName name="ixRange617">#REF!</definedName>
    <definedName name="ixRange618" localSheetId="10">#REF!</definedName>
    <definedName name="ixRange618">#REF!</definedName>
    <definedName name="ixRange619" localSheetId="10">#REF!</definedName>
    <definedName name="ixRange619">#REF!</definedName>
    <definedName name="ixRange62" localSheetId="10">#REF!</definedName>
    <definedName name="ixRange62">#REF!</definedName>
    <definedName name="ixRange621" localSheetId="10">#REF!</definedName>
    <definedName name="ixRange621">#REF!</definedName>
    <definedName name="ixRange622" localSheetId="10">#REF!</definedName>
    <definedName name="ixRange622">#REF!</definedName>
    <definedName name="ixRange623" localSheetId="10">#REF!</definedName>
    <definedName name="ixRange623">#REF!</definedName>
    <definedName name="ixRange624" localSheetId="10">#REF!</definedName>
    <definedName name="ixRange624">#REF!</definedName>
    <definedName name="ixRange625" localSheetId="10">#REF!</definedName>
    <definedName name="ixRange625">#REF!</definedName>
    <definedName name="ixRange626" localSheetId="10">#REF!</definedName>
    <definedName name="ixRange626">#REF!</definedName>
    <definedName name="ixRange627" localSheetId="10">#REF!</definedName>
    <definedName name="ixRange627">#REF!</definedName>
    <definedName name="ixRange628" localSheetId="10">#REF!</definedName>
    <definedName name="ixRange628">#REF!</definedName>
    <definedName name="ixRange629" localSheetId="10">#REF!</definedName>
    <definedName name="ixRange629">#REF!</definedName>
    <definedName name="ixRange63" localSheetId="10">#REF!</definedName>
    <definedName name="ixRange63">#REF!</definedName>
    <definedName name="ixRange630" localSheetId="10">#REF!</definedName>
    <definedName name="ixRange630">#REF!</definedName>
    <definedName name="ixRange631" localSheetId="10">#REF!</definedName>
    <definedName name="ixRange631">#REF!</definedName>
    <definedName name="ixRange632" localSheetId="10">#REF!</definedName>
    <definedName name="ixRange632">#REF!</definedName>
    <definedName name="ixRange633" localSheetId="10">#REF!</definedName>
    <definedName name="ixRange633">#REF!</definedName>
    <definedName name="ixRange634" localSheetId="10">#REF!</definedName>
    <definedName name="ixRange634">#REF!</definedName>
    <definedName name="ixRange635" localSheetId="10">#REF!</definedName>
    <definedName name="ixRange635">#REF!</definedName>
    <definedName name="ixRange636" localSheetId="10">#REF!</definedName>
    <definedName name="ixRange636">#REF!</definedName>
    <definedName name="ixRange637" localSheetId="10">#REF!</definedName>
    <definedName name="ixRange637">#REF!</definedName>
    <definedName name="ixRange638" localSheetId="10">#REF!</definedName>
    <definedName name="ixRange638">#REF!</definedName>
    <definedName name="ixRange639" localSheetId="10">#REF!</definedName>
    <definedName name="ixRange639">#REF!</definedName>
    <definedName name="ixRange64" localSheetId="10">#REF!</definedName>
    <definedName name="ixRange64">#REF!</definedName>
    <definedName name="ixRange640" localSheetId="10">#REF!</definedName>
    <definedName name="ixRange640">#REF!</definedName>
    <definedName name="ixRange641" localSheetId="10">#REF!</definedName>
    <definedName name="ixRange641">#REF!</definedName>
    <definedName name="ixRange642" localSheetId="10">#REF!</definedName>
    <definedName name="ixRange642">#REF!</definedName>
    <definedName name="ixRange643" localSheetId="10">#REF!</definedName>
    <definedName name="ixRange643">#REF!</definedName>
    <definedName name="ixRange644" localSheetId="10">#REF!</definedName>
    <definedName name="ixRange644">#REF!</definedName>
    <definedName name="ixRange645" localSheetId="10">#REF!</definedName>
    <definedName name="ixRange645">#REF!</definedName>
    <definedName name="ixRange646" localSheetId="10">#REF!</definedName>
    <definedName name="ixRange646">#REF!</definedName>
    <definedName name="ixRange647" localSheetId="10">#REF!</definedName>
    <definedName name="ixRange647">#REF!</definedName>
    <definedName name="ixRange648" localSheetId="10">#REF!</definedName>
    <definedName name="ixRange648">#REF!</definedName>
    <definedName name="ixRange649" localSheetId="10">#REF!</definedName>
    <definedName name="ixRange649">#REF!</definedName>
    <definedName name="ixRange65" localSheetId="10">#REF!</definedName>
    <definedName name="ixRange65">#REF!</definedName>
    <definedName name="ixRange650" localSheetId="10">#REF!</definedName>
    <definedName name="ixRange650">#REF!</definedName>
    <definedName name="ixRange651" localSheetId="10">#REF!</definedName>
    <definedName name="ixRange651">#REF!</definedName>
    <definedName name="ixRange652" localSheetId="10">#REF!</definedName>
    <definedName name="ixRange652">#REF!</definedName>
    <definedName name="ixRange653" localSheetId="10">#REF!</definedName>
    <definedName name="ixRange653">#REF!</definedName>
    <definedName name="ixRange654" localSheetId="10">#REF!</definedName>
    <definedName name="ixRange654">#REF!</definedName>
    <definedName name="ixRange655" localSheetId="10">#REF!</definedName>
    <definedName name="ixRange655">#REF!</definedName>
    <definedName name="ixRange656" localSheetId="10">#REF!</definedName>
    <definedName name="ixRange656">#REF!</definedName>
    <definedName name="ixRange657" localSheetId="10">#REF!</definedName>
    <definedName name="ixRange657">#REF!</definedName>
    <definedName name="ixRange658" localSheetId="10">#REF!</definedName>
    <definedName name="ixRange658">#REF!</definedName>
    <definedName name="ixRange659" localSheetId="10">#REF!</definedName>
    <definedName name="ixRange659">#REF!</definedName>
    <definedName name="ixRange66" localSheetId="10">#REF!</definedName>
    <definedName name="ixRange66">#REF!</definedName>
    <definedName name="ixRange67" localSheetId="10">#REF!</definedName>
    <definedName name="ixRange67">#REF!</definedName>
    <definedName name="ixRange68" localSheetId="10">#REF!</definedName>
    <definedName name="ixRange68">#REF!</definedName>
    <definedName name="ixRange69" localSheetId="10">#REF!</definedName>
    <definedName name="ixRange69">#REF!</definedName>
    <definedName name="ixRange7" localSheetId="10">#REF!</definedName>
    <definedName name="ixRange7">#REF!</definedName>
    <definedName name="ixRange70" localSheetId="10">#REF!</definedName>
    <definedName name="ixRange70">#REF!</definedName>
    <definedName name="ixRange71" localSheetId="10">#REF!</definedName>
    <definedName name="ixRange71">#REF!</definedName>
    <definedName name="ixRange72" localSheetId="10">#REF!</definedName>
    <definedName name="ixRange72">#REF!</definedName>
    <definedName name="ixRange73" localSheetId="10">#REF!</definedName>
    <definedName name="ixRange73">#REF!</definedName>
    <definedName name="ixRange74" localSheetId="10">#REF!</definedName>
    <definedName name="ixRange74">#REF!</definedName>
    <definedName name="ixRange75" localSheetId="10">#REF!</definedName>
    <definedName name="ixRange75">#REF!</definedName>
    <definedName name="ixRange76" localSheetId="10">#REF!</definedName>
    <definedName name="ixRange76">#REF!</definedName>
    <definedName name="ixRange77" localSheetId="10">#REF!</definedName>
    <definedName name="ixRange77">#REF!</definedName>
    <definedName name="ixRange78" localSheetId="10">#REF!</definedName>
    <definedName name="ixRange78">#REF!</definedName>
    <definedName name="ixRange79" localSheetId="10">#REF!</definedName>
    <definedName name="ixRange79">#REF!</definedName>
    <definedName name="ixRange8" localSheetId="10">#REF!</definedName>
    <definedName name="ixRange8">#REF!</definedName>
    <definedName name="ixRange81" localSheetId="10">#REF!</definedName>
    <definedName name="ixRange81">#REF!</definedName>
    <definedName name="ixRange82" localSheetId="10">#REF!</definedName>
    <definedName name="ixRange82">#REF!</definedName>
    <definedName name="ixRange83" localSheetId="10">#REF!</definedName>
    <definedName name="ixRange83">#REF!</definedName>
    <definedName name="ixRange84" localSheetId="10">#REF!</definedName>
    <definedName name="ixRange84">#REF!</definedName>
    <definedName name="ixRange85" localSheetId="10">#REF!</definedName>
    <definedName name="ixRange85">#REF!</definedName>
    <definedName name="ixRange86" localSheetId="10">#REF!</definedName>
    <definedName name="ixRange86">#REF!</definedName>
    <definedName name="ixRange87" localSheetId="10">#REF!</definedName>
    <definedName name="ixRange87">#REF!</definedName>
    <definedName name="ixRange88" localSheetId="10">#REF!</definedName>
    <definedName name="ixRange88">#REF!</definedName>
    <definedName name="ixRange89" localSheetId="10">#REF!</definedName>
    <definedName name="ixRange89">#REF!</definedName>
    <definedName name="ixRange9" localSheetId="10">#REF!</definedName>
    <definedName name="ixRange9">#REF!</definedName>
    <definedName name="ixRange90" localSheetId="10">#REF!</definedName>
    <definedName name="ixRange90">#REF!</definedName>
    <definedName name="ixRange91" localSheetId="10">#REF!</definedName>
    <definedName name="ixRange91">#REF!</definedName>
    <definedName name="ixRange92" localSheetId="10">#REF!</definedName>
    <definedName name="ixRange92">#REF!</definedName>
    <definedName name="ixRange93" localSheetId="10">#REF!</definedName>
    <definedName name="ixRange93">#REF!</definedName>
    <definedName name="ixRange94" localSheetId="10">#REF!</definedName>
    <definedName name="ixRange94">#REF!</definedName>
    <definedName name="ixRange95" localSheetId="10">#REF!</definedName>
    <definedName name="ixRange95">#REF!</definedName>
    <definedName name="ixRange96" localSheetId="10">#REF!</definedName>
    <definedName name="ixRange96">#REF!</definedName>
    <definedName name="ixRange97" localSheetId="10">#REF!</definedName>
    <definedName name="ixRange97">#REF!</definedName>
    <definedName name="ixRange98" localSheetId="10">#REF!</definedName>
    <definedName name="ixRange98">#REF!</definedName>
    <definedName name="ixRange99" localSheetId="10">#REF!</definedName>
    <definedName name="ixRange99">#REF!</definedName>
    <definedName name="JPFEB" localSheetId="10">#REF!</definedName>
    <definedName name="JPFEB">#REF!</definedName>
    <definedName name="JPJAN" localSheetId="10">#REF!</definedName>
    <definedName name="JPJAN">#REF!</definedName>
    <definedName name="kontoplan" localSheetId="10">#REF!</definedName>
    <definedName name="kontoplan">#REF!</definedName>
    <definedName name="Last_Row" localSheetId="10">IF(Logistic!Values_Entered,Logistic!Header_Row+Logistic!Number_of_Payments,Logistic!Header_Row)</definedName>
    <definedName name="Last_Row">IF([0]!Values_Entered,Header_Row+[0]!Number_of_Payments,Header_Row)</definedName>
    <definedName name="Less_1M" localSheetId="10">#REF!</definedName>
    <definedName name="Less_1M">#REF!</definedName>
    <definedName name="liste" localSheetId="10">#REF!</definedName>
    <definedName name="liste">#REF!</definedName>
    <definedName name="Loan_Amount" localSheetId="10">#REF!</definedName>
    <definedName name="Loan_Amount">#REF!</definedName>
    <definedName name="Loan_Start" localSheetId="10">#REF!</definedName>
    <definedName name="Loan_Start">#REF!</definedName>
    <definedName name="Loan_Years" localSheetId="10">#REF!</definedName>
    <definedName name="Loan_Years">#REF!</definedName>
    <definedName name="Macro1">#N/A</definedName>
    <definedName name="Macro2">#N/A</definedName>
    <definedName name="Macro3">#N/A</definedName>
    <definedName name="Macro4">#N/A</definedName>
    <definedName name="Macro5">#N/A</definedName>
    <definedName name="Macro6">#N/A</definedName>
    <definedName name="Macro8">#N/A</definedName>
    <definedName name="MAVDIR" localSheetId="10">#REF!</definedName>
    <definedName name="MAVDIR">#REF!</definedName>
    <definedName name="MP" localSheetId="10">#REF!</definedName>
    <definedName name="MP">#REF!</definedName>
    <definedName name="MS_S" localSheetId="10">#REF!</definedName>
    <definedName name="MS_S">#REF!</definedName>
    <definedName name="MS_T" localSheetId="10">#REF!</definedName>
    <definedName name="MS_T">#REF!</definedName>
    <definedName name="muscle" localSheetId="10">#REF!</definedName>
    <definedName name="muscle">#REF!</definedName>
    <definedName name="n" localSheetId="10">#REF!</definedName>
    <definedName name="n">#REF!</definedName>
    <definedName name="NAS" localSheetId="10">#REF!</definedName>
    <definedName name="NAS">#REF!</definedName>
    <definedName name="Nbre_de_Paiements" localSheetId="10">MATCH(0.01,Solde_Final,-1)+1</definedName>
    <definedName name="Nbre_de_Paiements">MATCH(0.01,Solde_Final,-1)+1</definedName>
    <definedName name="newco">FALSE</definedName>
    <definedName name="NFG" localSheetId="10">#REF!</definedName>
    <definedName name="NFG">#REF!</definedName>
    <definedName name="Niklas">"name"</definedName>
    <definedName name="NonTrad" localSheetId="10">#REF!</definedName>
    <definedName name="NonTrad">#REF!</definedName>
    <definedName name="nr_mese" localSheetId="10">#REF!</definedName>
    <definedName name="nr_mese">#REF!</definedName>
    <definedName name="NSMTD05_EUR" localSheetId="10">#REF!</definedName>
    <definedName name="NSMTD05_EUR">#REF!</definedName>
    <definedName name="NSMTD06_EUR" localSheetId="10">#REF!</definedName>
    <definedName name="NSMTD06_EUR">#REF!</definedName>
    <definedName name="Num_Pmt_Per_Year" localSheetId="10">#REF!</definedName>
    <definedName name="Num_Pmt_Per_Year">#REF!</definedName>
    <definedName name="Number_of_Payments" localSheetId="10">MATCH(0.01,Logistic!End_Bal,-1)+1</definedName>
    <definedName name="Number_of_Payments">MATCH(0.01,End_Bal,-1)+1</definedName>
    <definedName name="numero_mese" localSheetId="10">#REF!</definedName>
    <definedName name="numero_mese">#REF!</definedName>
    <definedName name="numeromese" localSheetId="10">#REF!</definedName>
    <definedName name="numeromese">#REF!</definedName>
    <definedName name="order_volumes" localSheetId="10">#REF!</definedName>
    <definedName name="order_volumes">#REF!</definedName>
    <definedName name="PAG" localSheetId="10">#REF!</definedName>
    <definedName name="PAG">#REF!</definedName>
    <definedName name="Pay_Date" localSheetId="10">#REF!</definedName>
    <definedName name="Pay_Date">#REF!</definedName>
    <definedName name="Pay_Num" localSheetId="10">#REF!</definedName>
    <definedName name="Pay_Num">#REF!</definedName>
    <definedName name="Payment_Date" localSheetId="10">DATE(YEAR(Logistic!Loan_Start),MONTH(Logistic!Loan_Start)+Payment_Number,DAY(Logistic!Loan_Start))</definedName>
    <definedName name="Payment_Date">DATE(YEAR(Loan_Start),MONTH(Loan_Start)+Payment_Number,DAY(Loan_Start))</definedName>
    <definedName name="PC_Chg15" localSheetId="10">#REF!</definedName>
    <definedName name="PC_Chg15">#REF!</definedName>
    <definedName name="PC_Chg16" localSheetId="10">#REF!</definedName>
    <definedName name="PC_Chg16">#REF!</definedName>
    <definedName name="PILOTI" localSheetId="10">#REF!</definedName>
    <definedName name="PILOTI">#REF!</definedName>
    <definedName name="POC2013GM_POCtab" localSheetId="10">#REF!</definedName>
    <definedName name="POC2013GM_POCtab">#REF!</definedName>
    <definedName name="POCFRJULY14" localSheetId="10">#REF!</definedName>
    <definedName name="POCFRJULY14">#REF!</definedName>
    <definedName name="Princ" localSheetId="10">#REF!</definedName>
    <definedName name="Princ">#REF!</definedName>
    <definedName name="print_ajust" localSheetId="10" hidden="1">{#N/A,#N/A,FALSE,"KCost-DM"}</definedName>
    <definedName name="print_ajust" hidden="1">{#N/A,#N/A,FALSE,"KCost-DM"}</definedName>
    <definedName name="Print_Area_Reset" localSheetId="10">OFFSET(Logistic!Full_Print,0,0,Logistic!Last_Row)</definedName>
    <definedName name="Print_Area_Reset">OFFSET(Full_Print,0,0,Last_Row)</definedName>
    <definedName name="Prix_min_euro" localSheetId="10">#REF!</definedName>
    <definedName name="Prix_min_euro">#REF!</definedName>
    <definedName name="Prix_min_euro_6" localSheetId="10">#REF!</definedName>
    <definedName name="Prix_min_euro_6">#REF!</definedName>
    <definedName name="Project" localSheetId="10">#REF!</definedName>
    <definedName name="Project">#REF!</definedName>
    <definedName name="Project_Name" localSheetId="10">#REF!</definedName>
    <definedName name="Project_Name">#REF!</definedName>
    <definedName name="Projects" localSheetId="10">#REF!</definedName>
    <definedName name="Projects">#REF!</definedName>
    <definedName name="Q114DIO" localSheetId="10">#REF!</definedName>
    <definedName name="Q114DIO">#REF!</definedName>
    <definedName name="Q114DSO" localSheetId="10">#REF!</definedName>
    <definedName name="Q114DSO">#REF!</definedName>
    <definedName name="Q214DIO" localSheetId="10">#REF!</definedName>
    <definedName name="Q214DIO">#REF!</definedName>
    <definedName name="Q214DSO" localSheetId="10">#REF!</definedName>
    <definedName name="Q214DSO">#REF!</definedName>
    <definedName name="Q314DIO" localSheetId="10">#REF!</definedName>
    <definedName name="Q314DIO">#REF!</definedName>
    <definedName name="Q314DSO" localSheetId="10">#REF!</definedName>
    <definedName name="Q314DSO">#REF!</definedName>
    <definedName name="Q414DIO" localSheetId="10">#REF!</definedName>
    <definedName name="Q414DIO">#REF!</definedName>
    <definedName name="Q414DSO" localSheetId="10">#REF!</definedName>
    <definedName name="Q414DSO">#REF!</definedName>
    <definedName name="range" localSheetId="10">#REF!</definedName>
    <definedName name="range">#REF!</definedName>
    <definedName name="Réinit_Zone_Impression" localSheetId="10">OFFSET(Impression_Entière,0,0,Dernière_Ligne)</definedName>
    <definedName name="Réinit_Zone_Impression">OFFSET(Impression_Entière,0,0,Dernière_Ligne)</definedName>
    <definedName name="reit" localSheetId="10">#REF!</definedName>
    <definedName name="reit">#REF!</definedName>
    <definedName name="report" localSheetId="10">#REF!</definedName>
    <definedName name="report">#REF!</definedName>
    <definedName name="ReportCreated">TRUE</definedName>
    <definedName name="ricavilordibdg" localSheetId="10">#REF!</definedName>
    <definedName name="ricavilordibdg">#REF!</definedName>
    <definedName name="RUDY" localSheetId="10">#REF!</definedName>
    <definedName name="RUDY">#REF!</definedName>
    <definedName name="s" localSheetId="10">#REF!</definedName>
    <definedName name="s">#REF!</definedName>
    <definedName name="sales_change" localSheetId="10">#REF!</definedName>
    <definedName name="sales_change">#REF!</definedName>
    <definedName name="salto1" localSheetId="10">#REF!</definedName>
    <definedName name="salto1">#REF!</definedName>
    <definedName name="salto2" localSheetId="10">#REF!</definedName>
    <definedName name="salto2">#REF!</definedName>
    <definedName name="Sched_Pay" localSheetId="10">#REF!</definedName>
    <definedName name="Sched_Pay">#REF!</definedName>
    <definedName name="scheda" localSheetId="10">#REF!:#REF!</definedName>
    <definedName name="scheda">#REF!:#REF!</definedName>
    <definedName name="Scheduled_Extra_Payments" localSheetId="10">#REF!</definedName>
    <definedName name="Scheduled_Extra_Payments">#REF!</definedName>
    <definedName name="Scheduled_Interest_Rate" localSheetId="10">#REF!</definedName>
    <definedName name="Scheduled_Interest_Rate">#REF!</definedName>
    <definedName name="Scheduled_Monthly_Payment" localSheetId="10">#REF!</definedName>
    <definedName name="Scheduled_Monthly_Payment">#REF!</definedName>
    <definedName name="seaug151" localSheetId="10">#REF!</definedName>
    <definedName name="seaug151">#REF!</definedName>
    <definedName name="SECORRJUL14" localSheetId="10">#REF!</definedName>
    <definedName name="SECORRJUL14">#REF!</definedName>
    <definedName name="SECORRJUNE14" localSheetId="10">#REF!</definedName>
    <definedName name="SECORRJUNE14">#REF!</definedName>
    <definedName name="SECORROCT14" localSheetId="10">#REF!</definedName>
    <definedName name="SECORROCT14">#REF!</definedName>
    <definedName name="SEFEB15" localSheetId="10">#REF!</definedName>
    <definedName name="SEFEB15">#REF!</definedName>
    <definedName name="sefeb16" localSheetId="10">#REF!</definedName>
    <definedName name="sefeb16">#REF!</definedName>
    <definedName name="SEJAN16" localSheetId="10">#REF!</definedName>
    <definedName name="SEJAN16">#REF!</definedName>
    <definedName name="SEJuly15" localSheetId="10">#REF!</definedName>
    <definedName name="SEJuly15">#REF!</definedName>
    <definedName name="SEJULY153" localSheetId="10">#REF!</definedName>
    <definedName name="SEJULY153">#REF!</definedName>
    <definedName name="SEoctcorr" localSheetId="10">#REF!</definedName>
    <definedName name="SEoctcorr">#REF!</definedName>
    <definedName name="SequenzaTemporaleNativa_DATA">#N/A</definedName>
    <definedName name="SL" localSheetId="10">#REF!</definedName>
    <definedName name="SL">#REF!</definedName>
    <definedName name="Sourcing_" localSheetId="10">#REF!</definedName>
    <definedName name="Sourcing_">#REF!</definedName>
    <definedName name="SPAPREC" localSheetId="10">#REF!</definedName>
    <definedName name="SPAPREC">#REF!</definedName>
    <definedName name="SPT_FLUSSI" localSheetId="10">(#REF!,#REF!)</definedName>
    <definedName name="SPT_FLUSSI">(#REF!,#REF!)</definedName>
    <definedName name="SPT_FLUSSI_7" localSheetId="10">(#REF!,#REF!)</definedName>
    <definedName name="SPT_FLUSSI_7">(#REF!,#REF!)</definedName>
    <definedName name="Stato_Patrimoniale" localSheetId="10">#REF!</definedName>
    <definedName name="Stato_Patrimoniale">#REF!</definedName>
    <definedName name="SWE" localSheetId="10">#REF!</definedName>
    <definedName name="SWE">#REF!</definedName>
    <definedName name="swead2" localSheetId="10">#REF!</definedName>
    <definedName name="swead2">#REF!</definedName>
    <definedName name="swead3" localSheetId="10">#REF!</definedName>
    <definedName name="swead3">#REF!</definedName>
    <definedName name="swead5" localSheetId="10">#REF!</definedName>
    <definedName name="swead5">#REF!</definedName>
    <definedName name="SWEADMAR" localSheetId="10">#REF!</definedName>
    <definedName name="SWEADMAR">#REF!</definedName>
    <definedName name="SWEAPR15" localSheetId="10">#REF!</definedName>
    <definedName name="SWEAPR15">#REF!</definedName>
    <definedName name="SWEAUG14" localSheetId="10">#REF!</definedName>
    <definedName name="SWEAUG14">#REF!</definedName>
    <definedName name="SWEAUG14ver2" localSheetId="10">#REF!</definedName>
    <definedName name="SWEAUG14ver2">#REF!</definedName>
    <definedName name="SWEDEC" localSheetId="10">#REF!</definedName>
    <definedName name="SWEDEC">#REF!</definedName>
    <definedName name="swedec15" localSheetId="10">#REF!</definedName>
    <definedName name="swedec15">#REF!</definedName>
    <definedName name="SWEFEB" localSheetId="10">#REF!</definedName>
    <definedName name="SWEFEB">#REF!</definedName>
    <definedName name="swejan" localSheetId="10">#REF!</definedName>
    <definedName name="swejan">#REF!</definedName>
    <definedName name="SWEjan15" localSheetId="10">#REF!</definedName>
    <definedName name="SWEjan15">#REF!</definedName>
    <definedName name="swejan152" localSheetId="10">#REF!</definedName>
    <definedName name="swejan152">#REF!</definedName>
    <definedName name="SWEJULY14" localSheetId="10">#REF!</definedName>
    <definedName name="SWEJULY14">#REF!</definedName>
    <definedName name="SWEJUNE15" localSheetId="10">#REF!</definedName>
    <definedName name="SWEJUNE15">#REF!</definedName>
    <definedName name="SWEMAR" localSheetId="10">#REF!</definedName>
    <definedName name="SWEMAR">#REF!</definedName>
    <definedName name="swemar15" localSheetId="10">#REF!</definedName>
    <definedName name="swemar15">#REF!</definedName>
    <definedName name="SWEMAR2" localSheetId="10">#REF!</definedName>
    <definedName name="SWEMAR2">#REF!</definedName>
    <definedName name="SWEMAY15" localSheetId="10">#REF!</definedName>
    <definedName name="SWEMAY15">#REF!</definedName>
    <definedName name="SWENOV14" localSheetId="10">#REF!</definedName>
    <definedName name="SWENOV14">#REF!</definedName>
    <definedName name="SWENOV15" localSheetId="10">#REF!</definedName>
    <definedName name="SWENOV15">#REF!</definedName>
    <definedName name="SWEOCT14" localSheetId="10">#REF!</definedName>
    <definedName name="SWEOCT14">#REF!</definedName>
    <definedName name="SWEOCT142" localSheetId="10">#REF!</definedName>
    <definedName name="SWEOCT142">#REF!</definedName>
    <definedName name="sweoct15" localSheetId="10">#REF!</definedName>
    <definedName name="sweoct15">#REF!</definedName>
    <definedName name="swesept" localSheetId="10">#REF!</definedName>
    <definedName name="swesept">#REF!</definedName>
    <definedName name="swesept14" localSheetId="10">#REF!</definedName>
    <definedName name="swesept14">#REF!</definedName>
    <definedName name="swesept142" localSheetId="10">#REF!</definedName>
    <definedName name="swesept142">#REF!</definedName>
    <definedName name="switch" localSheetId="10">#REF!</definedName>
    <definedName name="switch">#REF!</definedName>
    <definedName name="TA_07" localSheetId="10">#REF!</definedName>
    <definedName name="TA_07">#REF!</definedName>
    <definedName name="TA_08" localSheetId="10">#REF!</definedName>
    <definedName name="TA_08">#REF!</definedName>
    <definedName name="TA_09" localSheetId="10">#REF!</definedName>
    <definedName name="TA_09">#REF!</definedName>
    <definedName name="TA_10" localSheetId="10">#REF!</definedName>
    <definedName name="TA_10">#REF!</definedName>
    <definedName name="TA_11" localSheetId="10">#REF!</definedName>
    <definedName name="TA_11">#REF!</definedName>
    <definedName name="TA_12" localSheetId="10">#REF!</definedName>
    <definedName name="TA_12">#REF!</definedName>
    <definedName name="TA_13" localSheetId="10">#REF!</definedName>
    <definedName name="TA_13">#REF!</definedName>
    <definedName name="TA_14" localSheetId="10">#REF!</definedName>
    <definedName name="TA_14">#REF!</definedName>
    <definedName name="TA_15" localSheetId="10">#REF!</definedName>
    <definedName name="TA_15">#REF!</definedName>
    <definedName name="TA_16" localSheetId="10">#REF!</definedName>
    <definedName name="TA_16">#REF!</definedName>
    <definedName name="tagetikchartofaccount" localSheetId="10">#REF!</definedName>
    <definedName name="tagetikchartofaccount">#REF!</definedName>
    <definedName name="targe">"abc"</definedName>
    <definedName name="target">FALSE</definedName>
    <definedName name="tempo_std_taglio" localSheetId="10">#REF!</definedName>
    <definedName name="tempo_std_taglio">#REF!</definedName>
    <definedName name="tewgewgw" localSheetId="10" hidden="1">{#N/A,#N/A,FALSE,"KCost"}</definedName>
    <definedName name="tewgewgw" hidden="1">{#N/A,#N/A,FALSE,"KCost"}</definedName>
    <definedName name="TextRefCopyRangeCount" hidden="1">26</definedName>
    <definedName name="Title_Cons" localSheetId="10">#REF!</definedName>
    <definedName name="Title_Cons">#REF!</definedName>
    <definedName name="titlestable" localSheetId="10">#REF!</definedName>
    <definedName name="titlestable">#REF!</definedName>
    <definedName name="TND" localSheetId="10">#REF!</definedName>
    <definedName name="TND">#REF!</definedName>
    <definedName name="TNS_01" localSheetId="10">#REF!</definedName>
    <definedName name="TNS_01" localSheetId="4">#REF!</definedName>
    <definedName name="TNS_01">#REF!</definedName>
    <definedName name="TNS_01_EUR" localSheetId="10">#REF!</definedName>
    <definedName name="TNS_01_EUR">#REF!</definedName>
    <definedName name="tns_01mm" localSheetId="10">#REF!</definedName>
    <definedName name="tns_01mm">#REF!</definedName>
    <definedName name="TNS_02" localSheetId="10">#REF!</definedName>
    <definedName name="TNS_02" localSheetId="4">#REF!</definedName>
    <definedName name="TNS_02">#REF!</definedName>
    <definedName name="TNS_02_EUR" localSheetId="10">#REF!</definedName>
    <definedName name="TNS_02_EUR">#REF!</definedName>
    <definedName name="tns_02_mm" localSheetId="10">#REF!</definedName>
    <definedName name="tns_02_mm">#REF!</definedName>
    <definedName name="TNS_03" localSheetId="10">#REF!</definedName>
    <definedName name="TNS_03" localSheetId="4">#REF!</definedName>
    <definedName name="TNS_03">#REF!</definedName>
    <definedName name="tns_03_mm" localSheetId="10">#REF!</definedName>
    <definedName name="tns_03_mm">#REF!</definedName>
    <definedName name="TNS_04" localSheetId="10">#REF!</definedName>
    <definedName name="TNS_04">#REF!</definedName>
    <definedName name="TNS_05" localSheetId="10">#REF!</definedName>
    <definedName name="TNS_05">#REF!</definedName>
    <definedName name="TNS_06" localSheetId="10">#REF!</definedName>
    <definedName name="TNS_06">#REF!</definedName>
    <definedName name="TNS_07" localSheetId="10">#REF!</definedName>
    <definedName name="TNS_07">#REF!</definedName>
    <definedName name="TNS_08" localSheetId="10">#REF!</definedName>
    <definedName name="TNS_08">#REF!</definedName>
    <definedName name="TNS_09" localSheetId="10">#REF!</definedName>
    <definedName name="TNS_09">#REF!</definedName>
    <definedName name="TNS_09_EUR" localSheetId="10">#REF!</definedName>
    <definedName name="TNS_09_EUR">#REF!</definedName>
    <definedName name="TNS_1" localSheetId="10">#REF!</definedName>
    <definedName name="TNS_1">#REF!</definedName>
    <definedName name="TNS_10" localSheetId="10">#REF!</definedName>
    <definedName name="TNS_10">#REF!</definedName>
    <definedName name="TNS_10_EUR" localSheetId="10">#REF!</definedName>
    <definedName name="TNS_10_EUR">#REF!</definedName>
    <definedName name="TNS_11" localSheetId="10">#REF!</definedName>
    <definedName name="TNS_11">#REF!</definedName>
    <definedName name="TNS_11_EUR" localSheetId="10">#REF!</definedName>
    <definedName name="TNS_11_EUR">#REF!</definedName>
    <definedName name="TNS_110" localSheetId="10">#REF!</definedName>
    <definedName name="TNS_110">#REF!</definedName>
    <definedName name="TNS_111" localSheetId="10">#REF!</definedName>
    <definedName name="TNS_111">#REF!</definedName>
    <definedName name="TNS_112" localSheetId="10">#REF!</definedName>
    <definedName name="TNS_112">#REF!</definedName>
    <definedName name="TNS_113" localSheetId="10">#REF!</definedName>
    <definedName name="TNS_113">#REF!</definedName>
    <definedName name="TNS_114" localSheetId="10">#REF!</definedName>
    <definedName name="TNS_114">#REF!</definedName>
    <definedName name="TNS_115" localSheetId="10">#REF!</definedName>
    <definedName name="TNS_115">#REF!</definedName>
    <definedName name="TNS_116" localSheetId="10">#REF!</definedName>
    <definedName name="TNS_116">#REF!</definedName>
    <definedName name="TNS_117" localSheetId="10">#REF!</definedName>
    <definedName name="TNS_117">#REF!</definedName>
    <definedName name="TNS_12" localSheetId="10">#REF!</definedName>
    <definedName name="TNS_12">#REF!</definedName>
    <definedName name="TNS_12_EUR" localSheetId="10">#REF!</definedName>
    <definedName name="TNS_12_EUR">#REF!</definedName>
    <definedName name="TNS_13" localSheetId="10">#REF!</definedName>
    <definedName name="TNS_13">#REF!</definedName>
    <definedName name="TNS_14" localSheetId="10">#REF!</definedName>
    <definedName name="TNS_14">#REF!</definedName>
    <definedName name="TNS_15" localSheetId="10">#REF!</definedName>
    <definedName name="TNS_15">#REF!</definedName>
    <definedName name="TNS_16" localSheetId="10">#REF!</definedName>
    <definedName name="TNS_16">#REF!</definedName>
    <definedName name="TNS_17" localSheetId="10">#REF!</definedName>
    <definedName name="TNS_17">#REF!</definedName>
    <definedName name="TNS_2" localSheetId="10">#REF!</definedName>
    <definedName name="TNS_2">#REF!</definedName>
    <definedName name="TNS_3" localSheetId="10">#REF!</definedName>
    <definedName name="TNS_3">#REF!</definedName>
    <definedName name="TNS_4" localSheetId="10">#REF!</definedName>
    <definedName name="TNS_4">#REF!</definedName>
    <definedName name="TNS_5" localSheetId="10">#REF!</definedName>
    <definedName name="TNS_5">#REF!</definedName>
    <definedName name="TNS_6" localSheetId="10">#REF!</definedName>
    <definedName name="TNS_6">#REF!</definedName>
    <definedName name="TNS_7" localSheetId="10">#REF!</definedName>
    <definedName name="TNS_7">#REF!</definedName>
    <definedName name="TNS_8" localSheetId="10">#REF!</definedName>
    <definedName name="TNS_8">#REF!</definedName>
    <definedName name="TNS_9" localSheetId="10">#REF!</definedName>
    <definedName name="TNS_9">#REF!</definedName>
    <definedName name="TNSA_01" localSheetId="10">#REF!</definedName>
    <definedName name="TNSA_01">#REF!</definedName>
    <definedName name="TNSA_02" localSheetId="10">#REF!</definedName>
    <definedName name="TNSA_02">#REF!</definedName>
    <definedName name="TNSA_03" localSheetId="10">#REF!</definedName>
    <definedName name="TNSA_03">#REF!</definedName>
    <definedName name="TNSA_04" localSheetId="10">#REF!</definedName>
    <definedName name="TNSA_04">#REF!</definedName>
    <definedName name="TNSA_05" localSheetId="10">#REF!</definedName>
    <definedName name="TNSA_05">#REF!</definedName>
    <definedName name="TNSA_06" localSheetId="10">#REF!</definedName>
    <definedName name="TNSA_06">#REF!</definedName>
    <definedName name="TNSA_07" localSheetId="10">#REF!</definedName>
    <definedName name="TNSA_07">#REF!</definedName>
    <definedName name="TNSA_08" localSheetId="10">#REF!</definedName>
    <definedName name="TNSA_08">#REF!</definedName>
    <definedName name="TNSA_09" localSheetId="10">#REF!</definedName>
    <definedName name="TNSA_09">#REF!</definedName>
    <definedName name="TNSA_10" localSheetId="10">#REF!</definedName>
    <definedName name="TNSA_10">#REF!</definedName>
    <definedName name="TNSA_11" localSheetId="10">#REF!</definedName>
    <definedName name="TNSA_11">#REF!</definedName>
    <definedName name="TNSA_12" localSheetId="10">#REF!</definedName>
    <definedName name="TNSA_12">#REF!</definedName>
    <definedName name="TNSA_13" localSheetId="10">#REF!</definedName>
    <definedName name="TNSA_13">#REF!</definedName>
    <definedName name="TNSA_14" localSheetId="10">#REF!</definedName>
    <definedName name="TNSA_14">#REF!</definedName>
    <definedName name="TNSA_15" localSheetId="10">#REF!</definedName>
    <definedName name="TNSA_15">#REF!</definedName>
    <definedName name="TNSA_16" localSheetId="10">#REF!</definedName>
    <definedName name="TNSA_16">#REF!</definedName>
    <definedName name="TNSA_17" localSheetId="10">#REF!</definedName>
    <definedName name="TNSA_17">#REF!</definedName>
    <definedName name="TNSA_18" localSheetId="10">#REF!</definedName>
    <definedName name="TNSA_18">#REF!</definedName>
    <definedName name="TNSMTD01" localSheetId="10">#REF!</definedName>
    <definedName name="TNSMTD01">#REF!</definedName>
    <definedName name="TNSMTD01_EUR" localSheetId="10">#REF!</definedName>
    <definedName name="TNSMTD01_EUR">#REF!</definedName>
    <definedName name="TNSMTD02" localSheetId="10">#REF!</definedName>
    <definedName name="TNSMTD02">#REF!</definedName>
    <definedName name="TNSMTD02_EUR" localSheetId="10">#REF!</definedName>
    <definedName name="TNSMTD02_EUR">#REF!</definedName>
    <definedName name="TNSMTD03" localSheetId="10">#REF!</definedName>
    <definedName name="TNSMTD03">#REF!</definedName>
    <definedName name="TNSMTD03_EUR" localSheetId="10">#REF!</definedName>
    <definedName name="TNSMTD03_EUR">#REF!</definedName>
    <definedName name="TNSMTD04" localSheetId="10">#REF!</definedName>
    <definedName name="TNSMTD04">#REF!</definedName>
    <definedName name="TNSMTD04_EUR" localSheetId="10">#REF!</definedName>
    <definedName name="TNSMTD04_EUR">#REF!</definedName>
    <definedName name="TNSMTD05" localSheetId="10">#REF!</definedName>
    <definedName name="TNSMTD05">#REF!</definedName>
    <definedName name="TNSMTD06" localSheetId="10">#REF!</definedName>
    <definedName name="TNSMTD06">#REF!</definedName>
    <definedName name="TNSMTD07" localSheetId="10">#REF!</definedName>
    <definedName name="TNSMTD07">#REF!</definedName>
    <definedName name="TNSMTD08" localSheetId="10">#REF!</definedName>
    <definedName name="TNSMTD08">#REF!</definedName>
    <definedName name="TNSMTD09" localSheetId="10">#REF!</definedName>
    <definedName name="TNSMTD09">#REF!</definedName>
    <definedName name="TNSMTD10" localSheetId="10">#REF!</definedName>
    <definedName name="TNSMTD10">#REF!</definedName>
    <definedName name="TNSMTD11" localSheetId="10">#REF!</definedName>
    <definedName name="TNSMTD11">#REF!</definedName>
    <definedName name="TNSMTD12" localSheetId="10">#REF!</definedName>
    <definedName name="TNSMTD12">#REF!</definedName>
    <definedName name="Total_Interest" localSheetId="10">#REF!</definedName>
    <definedName name="Total_Interest">#REF!</definedName>
    <definedName name="Total_Pay" localSheetId="10">#REF!</definedName>
    <definedName name="Total_Pay">#REF!</definedName>
    <definedName name="Total_Payment" localSheetId="10">Scheduled_Payment+Extra_Payment</definedName>
    <definedName name="Total_Payment">Scheduled_Payment+Extra_Payment</definedName>
    <definedName name="Trad" localSheetId="10">#REF!</definedName>
    <definedName name="Trad">#REF!</definedName>
    <definedName name="ttt" localSheetId="10">#REF!</definedName>
    <definedName name="ttt">#REF!</definedName>
    <definedName name="tttr" localSheetId="10" hidden="1">{#N/A,#N/A,FALSE,"KCost"}</definedName>
    <definedName name="tttr" hidden="1">{#N/A,#N/A,FALSE,"KCost"}</definedName>
    <definedName name="ù" localSheetId="10">#REF!</definedName>
    <definedName name="ù">#REF!</definedName>
    <definedName name="Units" localSheetId="10">#REF!</definedName>
    <definedName name="Units">#REF!</definedName>
    <definedName name="US" localSheetId="10">#REF!</definedName>
    <definedName name="US">#REF!</definedName>
    <definedName name="US15JAN" localSheetId="10">#REF!</definedName>
    <definedName name="US15JAN">#REF!</definedName>
    <definedName name="USAPR15" localSheetId="10">#REF!</definedName>
    <definedName name="USAPR15">#REF!</definedName>
    <definedName name="USAUG14" localSheetId="10">#REF!</definedName>
    <definedName name="USAUG14">#REF!</definedName>
    <definedName name="usaug15" localSheetId="10">#REF!</definedName>
    <definedName name="usaug15">#REF!</definedName>
    <definedName name="USAUG152" localSheetId="10">#REF!</definedName>
    <definedName name="USAUG152">#REF!</definedName>
    <definedName name="usd" localSheetId="10">#REF!</definedName>
    <definedName name="usd">#REF!</definedName>
    <definedName name="USDEC" localSheetId="10">#REF!</definedName>
    <definedName name="USDEC">#REF!</definedName>
    <definedName name="usdec15" localSheetId="10">#REF!</definedName>
    <definedName name="usdec15">#REF!</definedName>
    <definedName name="USDEC2" localSheetId="10">#REF!</definedName>
    <definedName name="USDEC2">#REF!</definedName>
    <definedName name="usdecjan" localSheetId="10">#REF!</definedName>
    <definedName name="usdecjan">#REF!</definedName>
    <definedName name="USFEB" localSheetId="10">#REF!</definedName>
    <definedName name="USFEB">#REF!</definedName>
    <definedName name="usfeb16" localSheetId="10">#REF!</definedName>
    <definedName name="usfeb16">#REF!</definedName>
    <definedName name="usfeb162" localSheetId="10">#REF!</definedName>
    <definedName name="usfeb162">#REF!</definedName>
    <definedName name="USfeb162I" localSheetId="10">#REF!</definedName>
    <definedName name="USfeb162I">#REF!</definedName>
    <definedName name="USJAN" localSheetId="10">#REF!</definedName>
    <definedName name="USJAN">#REF!</definedName>
    <definedName name="usjan15" localSheetId="10">#REF!</definedName>
    <definedName name="usjan15">#REF!</definedName>
    <definedName name="usjan16b" localSheetId="10">#REF!</definedName>
    <definedName name="usjan16b">#REF!</definedName>
    <definedName name="usjan16I" localSheetId="10">#REF!</definedName>
    <definedName name="usjan16I">#REF!</definedName>
    <definedName name="USJAN5" localSheetId="10">#REF!</definedName>
    <definedName name="USJAN5">#REF!</definedName>
    <definedName name="USJUL14" localSheetId="10">#REF!</definedName>
    <definedName name="USJUL14">#REF!</definedName>
    <definedName name="USJULY15" localSheetId="10">#REF!</definedName>
    <definedName name="USJULY15">#REF!</definedName>
    <definedName name="USJUNE15" localSheetId="10">#REF!</definedName>
    <definedName name="USJUNE15">#REF!</definedName>
    <definedName name="USMAR" localSheetId="10">#REF!</definedName>
    <definedName name="USMAR">#REF!</definedName>
    <definedName name="usmar15" localSheetId="10">#REF!</definedName>
    <definedName name="usmar15">#REF!</definedName>
    <definedName name="usmay15" localSheetId="10">#REF!</definedName>
    <definedName name="usmay15">#REF!</definedName>
    <definedName name="USNOV14" localSheetId="10">#REF!</definedName>
    <definedName name="USNOV14">#REF!</definedName>
    <definedName name="USNOV15" localSheetId="10">#REF!</definedName>
    <definedName name="USNOV15">#REF!</definedName>
    <definedName name="usnovcorr" localSheetId="10">#REF!</definedName>
    <definedName name="usnovcorr">#REF!</definedName>
    <definedName name="USOCT14" localSheetId="10">#REF!</definedName>
    <definedName name="USOCT14">#REF!</definedName>
    <definedName name="usoct15" localSheetId="10">#REF!</definedName>
    <definedName name="usoct15">#REF!</definedName>
    <definedName name="ussept14" localSheetId="10">#REF!</definedName>
    <definedName name="ussept14">#REF!</definedName>
    <definedName name="USSEPT15" localSheetId="10">#REF!</definedName>
    <definedName name="USSEPT15">#REF!</definedName>
    <definedName name="UtileBilver_utileBilCEE" localSheetId="10">#REF!</definedName>
    <definedName name="UtileBilver_utileBilCEE">#REF!</definedName>
    <definedName name="Values_Entered" localSheetId="10">IF(Logistic!Loan_Amount*Logistic!Interest_Rate*Logistic!Loan_Years*Logistic!Loan_Start&gt;0,1,0)</definedName>
    <definedName name="Values_Entered">IF(Loan_Amount*Interest_Rate*Loan_Years*Loan_Start&gt;0,1,0)</definedName>
    <definedName name="Varianze" localSheetId="10">#REF!</definedName>
    <definedName name="Varianze">#REF!</definedName>
    <definedName name="vdvcvc" localSheetId="10" hidden="1">{#N/A,#N/A,TRUE,"Data";#N/A,#N/A,TRUE,"KCost";#N/A,#N/A,TRUE,"FinPl";#N/A,#N/A,TRUE,"Sale-";#N/A,#N/A,TRUE,"Sale+";#N/A,#N/A,TRUE,"Cost+";#N/A,#N/A,TRUE,"Cost-";#N/A,#N/A,TRUE,"InCoE";#N/A,#N/A,TRUE,"IncPr";#N/A,#N/A,TRUE,"WK";#N/A,#N/A,TRUE,"FRR";#N/A,#N/A,TRUE,"SAnFRR";#N/A,#N/A,TRUE,"ERR";#N/A,#N/A,TRUE,"SAnERR";#N/A,#N/A,TRUE,"P&amp;L";#N/A,#N/A,TRUE,"CF";#N/A,#N/A,TRUE,"BS";#N/A,#N/A,TRUE,"Ratio";#N/A,#N/A,TRUE,"Forex"}</definedName>
    <definedName name="vdvcvc" hidden="1">{#N/A,#N/A,TRUE,"Data";#N/A,#N/A,TRUE,"KCost";#N/A,#N/A,TRUE,"FinPl";#N/A,#N/A,TRUE,"Sale-";#N/A,#N/A,TRUE,"Sale+";#N/A,#N/A,TRUE,"Cost+";#N/A,#N/A,TRUE,"Cost-";#N/A,#N/A,TRUE,"InCoE";#N/A,#N/A,TRUE,"IncPr";#N/A,#N/A,TRUE,"WK";#N/A,#N/A,TRUE,"FRR";#N/A,#N/A,TRUE,"SAnFRR";#N/A,#N/A,TRUE,"ERR";#N/A,#N/A,TRUE,"SAnERR";#N/A,#N/A,TRUE,"P&amp;L";#N/A,#N/A,TRUE,"CF";#N/A,#N/A,TRUE,"BS";#N/A,#N/A,TRUE,"Ratio";#N/A,#N/A,TRUE,"Forex"}</definedName>
    <definedName name="vvvc" localSheetId="10" hidden="1">{#N/A,#N/A,FALSE,"1"}</definedName>
    <definedName name="vvvc" hidden="1">{#N/A,#N/A,FALSE,"1"}</definedName>
    <definedName name="W" localSheetId="10">#REF!</definedName>
    <definedName name="W">#REF!</definedName>
    <definedName name="wrn" localSheetId="10" hidden="1">{"cap_structure",#N/A,FALSE,"Graph-Mkt Cap";"price",#N/A,FALSE,"Graph-Price";"ebit",#N/A,FALSE,"Graph-EBITDA";"ebitda",#N/A,FALSE,"Graph-EBITDA"}</definedName>
    <definedName name="wrn" hidden="1">{"cap_structure",#N/A,FALSE,"Graph-Mkt Cap";"price",#N/A,FALSE,"Graph-Price";"ebit",#N/A,FALSE,"Graph-EBITDA";"ebitda",#N/A,FALSE,"Graph-EBITDA"}</definedName>
    <definedName name="wrn.Alex." localSheetId="10" hidden="1">{#N/A,#N/A,FALSE,"TradeSumm";#N/A,#N/A,FALSE,"StatsSumm"}</definedName>
    <definedName name="wrn.Alex." hidden="1">{#N/A,#N/A,FALSE,"TradeSumm";#N/A,#N/A,FALSE,"StatsSumm"}</definedName>
    <definedName name="wrn.anexa1." localSheetId="10" hidden="1">{#N/A,#N/A,FALSE,"KCost-DM"}</definedName>
    <definedName name="wrn.anexa1." hidden="1">{#N/A,#N/A,FALSE,"KCost-DM"}</definedName>
    <definedName name="wrn.anexa14." localSheetId="10" hidden="1">{#N/A,#N/A,FALSE,"Cost-";#N/A,#N/A,FALSE,"Cost+"}</definedName>
    <definedName name="wrn.anexa14." hidden="1">{#N/A,#N/A,FALSE,"Cost-";#N/A,#N/A,FALSE,"Cost+"}</definedName>
    <definedName name="wrn.anexa15." localSheetId="10" hidden="1">{#N/A,#N/A,FALSE,"Sale-";#N/A,#N/A,FALSE,"Sale+"}</definedName>
    <definedName name="wrn.anexa15." hidden="1">{#N/A,#N/A,FALSE,"Sale-";#N/A,#N/A,FALSE,"Sale+"}</definedName>
    <definedName name="wrn.anexa16." localSheetId="10" hidden="1">{#N/A,#N/A,FALSE,"FinPl"}</definedName>
    <definedName name="wrn.anexa16." hidden="1">{#N/A,#N/A,FALSE,"FinPl"}</definedName>
    <definedName name="wrn.anexa17." localSheetId="10" hidden="1">{#N/A,#N/A,FALSE,"Amortization Table"}</definedName>
    <definedName name="wrn.anexa17." hidden="1">{#N/A,#N/A,FALSE,"Amortization Table"}</definedName>
    <definedName name="wrn.anexa18." localSheetId="10" hidden="1">{#N/A,#N/A,FALSE,"IncPr";#N/A,#N/A,FALSE,"InCoE"}</definedName>
    <definedName name="wrn.anexa18." hidden="1">{#N/A,#N/A,FALSE,"IncPr";#N/A,#N/A,FALSE,"InCoE"}</definedName>
    <definedName name="wrn.anexa19." localSheetId="10" hidden="1">{#N/A,#N/A,FALSE,"FRR";#N/A,#N/A,FALSE,"ERR"}</definedName>
    <definedName name="wrn.anexa19." hidden="1">{#N/A,#N/A,FALSE,"FRR";#N/A,#N/A,FALSE,"ERR"}</definedName>
    <definedName name="wrn.anexa2." localSheetId="10" hidden="1">{#N/A,#N/A,FALSE,"DeprTabl Rom"}</definedName>
    <definedName name="wrn.anexa2." hidden="1">{#N/A,#N/A,FALSE,"DeprTabl Rom"}</definedName>
    <definedName name="wrn.anexa21." localSheetId="10" hidden="1">{#N/A,#N/A,FALSE,"P&amp;L";#N/A,#N/A,FALSE,"BS";#N/A,#N/A,FALSE,"CF"}</definedName>
    <definedName name="wrn.anexa21." hidden="1">{#N/A,#N/A,FALSE,"P&amp;L";#N/A,#N/A,FALSE,"BS";#N/A,#N/A,FALSE,"CF"}</definedName>
    <definedName name="wrn.anexa22." localSheetId="10" hidden="1">{#N/A,#N/A,FALSE,"Ratio"}</definedName>
    <definedName name="wrn.anexa22." hidden="1">{#N/A,#N/A,FALSE,"Ratio"}</definedName>
    <definedName name="wrn.anexa23." localSheetId="10" hidden="1">{#N/A,#N/A,FALSE,"Forex"}</definedName>
    <definedName name="wrn.anexa23." hidden="1">{#N/A,#N/A,FALSE,"Forex"}</definedName>
    <definedName name="wrn.anexa26." localSheetId="10" hidden="1">{#N/A,#N/A,FALSE,"SAnFRR";#N/A,#N/A,FALSE,"SAnERR"}</definedName>
    <definedName name="wrn.anexa26." hidden="1">{#N/A,#N/A,FALSE,"SAnFRR";#N/A,#N/A,FALSE,"SAnERR"}</definedName>
    <definedName name="wrn.anexa3." localSheetId="10" hidden="1">{#N/A,#N/A,FALSE,"KCost"}</definedName>
    <definedName name="wrn.anexa3." hidden="1">{#N/A,#N/A,FALSE,"KCost"}</definedName>
    <definedName name="wrn.demodel." localSheetId="10" hidden="1">{#N/A,#N/A,TRUE,"Data";#N/A,#N/A,TRUE,"KCost";#N/A,#N/A,TRUE,"FinPl";#N/A,#N/A,TRUE,"Sale-";#N/A,#N/A,TRUE,"Sale+";#N/A,#N/A,TRUE,"Cost+";#N/A,#N/A,TRUE,"Cost-";#N/A,#N/A,TRUE,"InCoE";#N/A,#N/A,TRUE,"IncPr";#N/A,#N/A,TRUE,"WK";#N/A,#N/A,TRUE,"FRR";#N/A,#N/A,TRUE,"SAnFRR";#N/A,#N/A,TRUE,"ERR";#N/A,#N/A,TRUE,"SAnERR";#N/A,#N/A,TRUE,"P&amp;L";#N/A,#N/A,TRUE,"CF";#N/A,#N/A,TRUE,"BS";#N/A,#N/A,TRUE,"Ratio";#N/A,#N/A,TRUE,"Forex"}</definedName>
    <definedName name="wrn.demodel." hidden="1">{#N/A,#N/A,TRUE,"Data";#N/A,#N/A,TRUE,"KCost";#N/A,#N/A,TRUE,"FinPl";#N/A,#N/A,TRUE,"Sale-";#N/A,#N/A,TRUE,"Sale+";#N/A,#N/A,TRUE,"Cost+";#N/A,#N/A,TRUE,"Cost-";#N/A,#N/A,TRUE,"InCoE";#N/A,#N/A,TRUE,"IncPr";#N/A,#N/A,TRUE,"WK";#N/A,#N/A,TRUE,"FRR";#N/A,#N/A,TRUE,"SAnFRR";#N/A,#N/A,TRUE,"ERR";#N/A,#N/A,TRUE,"SAnERR";#N/A,#N/A,TRUE,"P&amp;L";#N/A,#N/A,TRUE,"CF";#N/A,#N/A,TRUE,"BS";#N/A,#N/A,TRUE,"Ratio";#N/A,#N/A,TRUE,"Forex"}</definedName>
    <definedName name="wrn.Hyg._.Acq." localSheetId="10" hidden="1">{#N/A,#N/A,FALSE,"main";#N/A,#N/A,FALSE,"100% Cash";#N/A,#N/A,FALSE,"100% Stock"}</definedName>
    <definedName name="wrn.Hyg._.Acq." hidden="1">{#N/A,#N/A,FALSE,"main";#N/A,#N/A,FALSE,"100% Cash";#N/A,#N/A,FALSE,"100% Stock"}</definedName>
    <definedName name="wrn.print._.graphs." localSheetId="10"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10" hidden="1">{"inputs raw data",#N/A,TRUE,"INPUT"}</definedName>
    <definedName name="wrn.print._.raw._.data._.entry." hidden="1">{"inputs raw data",#N/A,TRUE,"INPUT"}</definedName>
    <definedName name="wrn.print._.summary._.sheets." localSheetId="10" hidden="1">{"summary1",#N/A,TRUE,"Comps";"summary2",#N/A,TRUE,"Comps";"summary3",#N/A,TRUE,"Comps"}</definedName>
    <definedName name="wrn.print._.summary._.sheets." hidden="1">{"summary1",#N/A,TRUE,"Comps";"summary2",#N/A,TRUE,"Comps";"summary3",#N/A,TRUE,"Comps"}</definedName>
    <definedName name="wrn.Print_Buyer." localSheetId="10"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1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raport." localSheetId="10" hidden="1">{#N/A,#N/A,FALSE,"1"}</definedName>
    <definedName name="wrn.raport." hidden="1">{#N/A,#N/A,FALSE,"1"}</definedName>
    <definedName name="wrn.SCA._.Acq.." localSheetId="10" hidden="1">{#N/A,#N/A,FALSE,"main";#N/A,#N/A,FALSE,"Pooling";#N/A,#N/A,FALSE,"Purchase"}</definedName>
    <definedName name="wrn.SCA._.Acq.." hidden="1">{#N/A,#N/A,FALSE,"main";#N/A,#N/A,FALSE,"Pooling";#N/A,#N/A,FALSE,"Purchase"}</definedName>
    <definedName name="wrn.SCA._.AcqDisv." localSheetId="10" hidden="1">{#N/A,#N/A,FALSE,"main";#N/A,#N/A,FALSE,"Purchase"}</definedName>
    <definedName name="wrn.SCA._.AcqDisv." hidden="1">{#N/A,#N/A,FALSE,"main";#N/A,#N/A,FALSE,"Purchase"}</definedName>
    <definedName name="wvu.inputs._.raw._.data."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x" localSheetId="10">#REF!</definedName>
    <definedName name="x">#REF!</definedName>
    <definedName name="xRng_04db14de15004375a7fad9596fbae4b0" localSheetId="10">#REF!,#REF!</definedName>
    <definedName name="xRng_04db14de15004375a7fad9596fbae4b0">#REF!,#REF!</definedName>
    <definedName name="xRng_053d6d93c3334c68bc3bcf775572d490" localSheetId="10">#REF!</definedName>
    <definedName name="xRng_053d6d93c3334c68bc3bcf775572d490">#REF!</definedName>
    <definedName name="xRng_0759c4ebfe334249938f5b612bd5ff3e" localSheetId="10">#REF!</definedName>
    <definedName name="xRng_0759c4ebfe334249938f5b612bd5ff3e">#REF!</definedName>
    <definedName name="xRng_081af88e4d1147b48909b628a2c84e03" localSheetId="10">#REF!</definedName>
    <definedName name="xRng_081af88e4d1147b48909b628a2c84e03">#REF!</definedName>
    <definedName name="xRng_1231ebb62a504e8da2a540f17c3011ef" localSheetId="10">#REF!,#REF!,#REF!</definedName>
    <definedName name="xRng_1231ebb62a504e8da2a540f17c3011ef">#REF!,#REF!,#REF!</definedName>
    <definedName name="xRng_1bdcf5fab4ad42519020b1508bf090d1" localSheetId="10">#REF!,#REF!,#REF!</definedName>
    <definedName name="xRng_1bdcf5fab4ad42519020b1508bf090d1">#REF!,#REF!,#REF!</definedName>
    <definedName name="xRng_1f077a33b019445db44bc43adaf7b238" localSheetId="10">#REF!</definedName>
    <definedName name="xRng_1f077a33b019445db44bc43adaf7b238">#REF!</definedName>
    <definedName name="xRng_24ded082fb5d49e391ae5b80dd9638ac" localSheetId="10">#REF!</definedName>
    <definedName name="xRng_24ded082fb5d49e391ae5b80dd9638ac">#REF!</definedName>
    <definedName name="xRng_273c7ca141d2474d896218502e2cb33e" localSheetId="10">#REF!</definedName>
    <definedName name="xRng_273c7ca141d2474d896218502e2cb33e">#REF!</definedName>
    <definedName name="xRng_36b8fa4b0ee94bc092e0d6609e3179d4" localSheetId="10">#REF!</definedName>
    <definedName name="xRng_36b8fa4b0ee94bc092e0d6609e3179d4">#REF!</definedName>
    <definedName name="xRng_4e49cc87a9154d70b2a6bfb25941cc44" localSheetId="10">#REF!</definedName>
    <definedName name="xRng_4e49cc87a9154d70b2a6bfb25941cc44">#REF!</definedName>
    <definedName name="xRng_51b2c7c1168f4f118df649419abd4f04" localSheetId="10">#REF!</definedName>
    <definedName name="xRng_51b2c7c1168f4f118df649419abd4f04">#REF!</definedName>
    <definedName name="xRng_5bb72ae09f354eedb976ddfe2ff3e073" localSheetId="10">#REF!,#REF!,#REF!</definedName>
    <definedName name="xRng_5bb72ae09f354eedb976ddfe2ff3e073">#REF!,#REF!,#REF!</definedName>
    <definedName name="xRng_60320408e72a4272a755447998560403" localSheetId="10">#REF!</definedName>
    <definedName name="xRng_60320408e72a4272a755447998560403">#REF!</definedName>
    <definedName name="xRng_64b1afcd4eff4a299329f3c6a466457b" localSheetId="10">#REF!</definedName>
    <definedName name="xRng_64b1afcd4eff4a299329f3c6a466457b">#REF!</definedName>
    <definedName name="xRng_854b93c0830f4b9aae9984cf209539e8" localSheetId="10">#REF!</definedName>
    <definedName name="xRng_854b93c0830f4b9aae9984cf209539e8">#REF!</definedName>
    <definedName name="xRng_884bafc299e24f08b0d4123605f1148d" localSheetId="10">#REF!</definedName>
    <definedName name="xRng_884bafc299e24f08b0d4123605f1148d">#REF!</definedName>
    <definedName name="xRng_97c13ee5a91144f49cf8bc409fba9682" localSheetId="10">#REF!</definedName>
    <definedName name="xRng_97c13ee5a91144f49cf8bc409fba9682">#REF!</definedName>
    <definedName name="xRng_a205d2407a204f968e81eb20aad5792c" localSheetId="10">#REF!,#REF!</definedName>
    <definedName name="xRng_a205d2407a204f968e81eb20aad5792c">#REF!,#REF!</definedName>
    <definedName name="xRng_a4a605d298324627b9c40d32fea7d3e2" localSheetId="10">#REF!</definedName>
    <definedName name="xRng_a4a605d298324627b9c40d32fea7d3e2">#REF!</definedName>
    <definedName name="xRng_a9f97aa9ad7243989997be5d09b2a614" localSheetId="10">#REF!,#REF!</definedName>
    <definedName name="xRng_a9f97aa9ad7243989997be5d09b2a614">#REF!,#REF!</definedName>
    <definedName name="xRng_b9b7fcc46e5a41b0bb28ca5395c099bd" localSheetId="10">#REF!,#REF!,#REF!</definedName>
    <definedName name="xRng_b9b7fcc46e5a41b0bb28ca5395c099bd">#REF!,#REF!,#REF!</definedName>
    <definedName name="xRng_bd228d396c9f426d936f3b193b199a91" localSheetId="10">#REF!</definedName>
    <definedName name="xRng_bd228d396c9f426d936f3b193b199a91">#REF!</definedName>
    <definedName name="xRng_bd30795447554bfbaf32264a935cc4e3" localSheetId="10">#REF!</definedName>
    <definedName name="xRng_bd30795447554bfbaf32264a935cc4e3">#REF!</definedName>
    <definedName name="xRng_c1a234fcce36460582a3ebaa2e21d51e" localSheetId="10">#REF!,#REF!,#REF!</definedName>
    <definedName name="xRng_c1a234fcce36460582a3ebaa2e21d51e">#REF!,#REF!,#REF!</definedName>
    <definedName name="xRng_c219fa87d0ba49438b066b3d3706d3b0" localSheetId="10">#REF!,#REF!,#REF!</definedName>
    <definedName name="xRng_c219fa87d0ba49438b066b3d3706d3b0">#REF!,#REF!,#REF!</definedName>
    <definedName name="xRng_c81d81c624684dde9f27005a302e93a3" localSheetId="10">#REF!,#REF!,#REF!,#REF!,#REF!,#REF!,#REF!,#REF!,#REF!,#REF!</definedName>
    <definedName name="xRng_c81d81c624684dde9f27005a302e93a3">#REF!,#REF!,#REF!,#REF!,#REF!,#REF!,#REF!,#REF!,#REF!,#REF!</definedName>
    <definedName name="xRng_c8c2c76b35da43b190120e729804b3f1" localSheetId="10">#REF!,#REF!</definedName>
    <definedName name="xRng_c8c2c76b35da43b190120e729804b3f1">#REF!,#REF!</definedName>
    <definedName name="xRng_ca6058cdfc604398bdaa0b24cc6b920f" localSheetId="10">#REF!</definedName>
    <definedName name="xRng_ca6058cdfc604398bdaa0b24cc6b920f">#REF!</definedName>
    <definedName name="xRng_cd094ec3d0a14d9287c3b8d3d5921d4c" localSheetId="10">#REF!</definedName>
    <definedName name="xRng_cd094ec3d0a14d9287c3b8d3d5921d4c">#REF!</definedName>
    <definedName name="xRng_dc9e2e821a8f498eaefc4addf1057bf1" localSheetId="10">#REF!,#REF!,#REF!</definedName>
    <definedName name="xRng_dc9e2e821a8f498eaefc4addf1057bf1">#REF!,#REF!,#REF!</definedName>
    <definedName name="xRng_e8efe668eff643559402816d131e8ee8" localSheetId="10">#REF!,#REF!,#REF!,#REF!,#REF!,#REF!,#REF!,#REF!,#REF!,#REF!</definedName>
    <definedName name="xRng_e8efe668eff643559402816d131e8ee8">#REF!,#REF!,#REF!,#REF!,#REF!,#REF!,#REF!,#REF!,#REF!,#REF!</definedName>
    <definedName name="xRng_ed4a341e5bb74e988bc8781a60f2685c" localSheetId="10">#REF!</definedName>
    <definedName name="xRng_ed4a341e5bb74e988bc8781a60f2685c">#REF!</definedName>
    <definedName name="xRng_fb69350883db495fbc0f3b683fa3661d" localSheetId="10">#REF!,#REF!,#REF!,#REF!,#REF!,#REF!,#REF!,#REF!,#REF!,#REF!</definedName>
    <definedName name="xRng_fb69350883db495fbc0f3b683fa3661d">#REF!,#REF!,#REF!,#REF!,#REF!,#REF!,#REF!,#REF!,#REF!,#REF!</definedName>
    <definedName name="xRng_fe85ad98ecb842898de22e7c7e3f385f" localSheetId="10">#REF!</definedName>
    <definedName name="xRng_fe85ad98ecb842898de22e7c7e3f385f">#REF!</definedName>
    <definedName name="xRng_ff9fec853aca4c498bb5bbb54bc1fa48" localSheetId="10">#REF!</definedName>
    <definedName name="xRng_ff9fec853aca4c498bb5bbb54bc1fa48">#REF!</definedName>
    <definedName name="xx" localSheetId="10">#REF!</definedName>
    <definedName name="xx">#REF!</definedName>
    <definedName name="XXX" localSheetId="10">#REF!</definedName>
    <definedName name="XXX">#REF!</definedName>
    <definedName name="YEAR" localSheetId="10">#REF!</definedName>
    <definedName name="YEAR">#REF!</definedName>
    <definedName name="ytdbudget" localSheetId="10">#REF!</definedName>
    <definedName name="ytdbudget">#REF!</definedName>
    <definedName name="_xlnm.Print_Area" localSheetId="10">#REF!</definedName>
    <definedName name="_xlnm.Print_Area">#REF!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23" i="31" l="1"/>
  <c r="S23" i="31"/>
  <c r="P23" i="31"/>
  <c r="I23" i="31"/>
  <c r="H23" i="31"/>
  <c r="AC21" i="31"/>
  <c r="Y21" i="31"/>
  <c r="T21" i="31"/>
  <c r="S21" i="31"/>
  <c r="P21" i="31"/>
  <c r="O21" i="31"/>
  <c r="N21" i="31"/>
  <c r="M21" i="31"/>
  <c r="L21" i="31"/>
  <c r="K21" i="31"/>
  <c r="J21" i="31"/>
  <c r="I21" i="31"/>
  <c r="H21" i="31"/>
  <c r="G21" i="31"/>
  <c r="F21" i="31"/>
  <c r="E21" i="31"/>
  <c r="D21" i="31"/>
  <c r="C21" i="31"/>
  <c r="Z20" i="31"/>
  <c r="V20" i="31"/>
  <c r="W20" i="31" s="1"/>
  <c r="U20" i="31"/>
  <c r="V19" i="31"/>
  <c r="U19" i="31"/>
  <c r="Z19" i="31" s="1"/>
  <c r="Z18" i="31"/>
  <c r="X18" i="31"/>
  <c r="V18" i="31"/>
  <c r="W18" i="31" s="1"/>
  <c r="U18" i="31"/>
  <c r="AC15" i="31"/>
  <c r="S15" i="31"/>
  <c r="P15" i="31"/>
  <c r="N15" i="31"/>
  <c r="N23" i="31" s="1"/>
  <c r="M15" i="31"/>
  <c r="M23" i="31" s="1"/>
  <c r="I15" i="31"/>
  <c r="H15" i="31"/>
  <c r="F15" i="31"/>
  <c r="F23" i="31" s="1"/>
  <c r="E15" i="31"/>
  <c r="E23" i="31" s="1"/>
  <c r="AC14" i="31"/>
  <c r="Y14" i="31"/>
  <c r="Y15" i="31" s="1"/>
  <c r="Y23" i="31" s="1"/>
  <c r="V14" i="31"/>
  <c r="T14" i="31"/>
  <c r="S14" i="31"/>
  <c r="P14" i="31"/>
  <c r="O14" i="31"/>
  <c r="U14" i="31" s="1"/>
  <c r="N14" i="31"/>
  <c r="M14" i="31"/>
  <c r="L14" i="31"/>
  <c r="K14" i="31"/>
  <c r="J14" i="31"/>
  <c r="I14" i="31"/>
  <c r="H14" i="31"/>
  <c r="G14" i="31"/>
  <c r="G15" i="31" s="1"/>
  <c r="G23" i="31" s="1"/>
  <c r="F14" i="31"/>
  <c r="E14" i="31"/>
  <c r="D14" i="31"/>
  <c r="C14" i="31"/>
  <c r="AC13" i="31"/>
  <c r="Y13" i="31"/>
  <c r="V13" i="31"/>
  <c r="V15" i="31" s="1"/>
  <c r="U13" i="31"/>
  <c r="X13" i="31" s="1"/>
  <c r="T13" i="31"/>
  <c r="T15" i="31" s="1"/>
  <c r="T23" i="31" s="1"/>
  <c r="S13" i="31"/>
  <c r="P13" i="31"/>
  <c r="O13" i="31"/>
  <c r="N13" i="31"/>
  <c r="M13" i="31"/>
  <c r="L13" i="31"/>
  <c r="L15" i="31" s="1"/>
  <c r="L23" i="31" s="1"/>
  <c r="K13" i="31"/>
  <c r="K15" i="31" s="1"/>
  <c r="K23" i="31" s="1"/>
  <c r="J13" i="31"/>
  <c r="J15" i="31" s="1"/>
  <c r="J23" i="31" s="1"/>
  <c r="I13" i="31"/>
  <c r="H13" i="31"/>
  <c r="G13" i="31"/>
  <c r="F13" i="31"/>
  <c r="E13" i="31"/>
  <c r="D13" i="31"/>
  <c r="D15" i="31" s="1"/>
  <c r="D23" i="31" s="1"/>
  <c r="C13" i="31"/>
  <c r="C15" i="31" s="1"/>
  <c r="C23" i="31" s="1"/>
  <c r="Z7" i="31"/>
  <c r="U7" i="31"/>
  <c r="T7" i="31"/>
  <c r="S7" i="31"/>
  <c r="P7" i="31"/>
  <c r="O7" i="31"/>
  <c r="N7" i="31"/>
  <c r="M7" i="31"/>
  <c r="L7" i="31"/>
  <c r="K7" i="31"/>
  <c r="J7" i="31"/>
  <c r="I7" i="31"/>
  <c r="H7" i="31"/>
  <c r="G7" i="31"/>
  <c r="F7" i="31"/>
  <c r="E7" i="31"/>
  <c r="D7" i="31"/>
  <c r="C7" i="31"/>
  <c r="U5" i="31"/>
  <c r="V5" i="31" s="1"/>
  <c r="U4" i="31"/>
  <c r="V4" i="31" s="1"/>
  <c r="W3" i="31"/>
  <c r="V3" i="31"/>
  <c r="AA3" i="31" s="1"/>
  <c r="U3" i="31"/>
  <c r="AA5" i="31" l="1"/>
  <c r="W5" i="31"/>
  <c r="Y5" i="31" s="1"/>
  <c r="Z14" i="31"/>
  <c r="W14" i="31"/>
  <c r="X14" i="31"/>
  <c r="W4" i="31"/>
  <c r="W7" i="31" s="1"/>
  <c r="Y4" i="31"/>
  <c r="AA4" i="31"/>
  <c r="V7" i="31"/>
  <c r="W13" i="31"/>
  <c r="O15" i="31"/>
  <c r="O23" i="31" s="1"/>
  <c r="X20" i="31"/>
  <c r="W19" i="31"/>
  <c r="U21" i="31"/>
  <c r="Z13" i="31"/>
  <c r="X19" i="31"/>
  <c r="V21" i="31"/>
  <c r="V23" i="31" s="1"/>
  <c r="Y3" i="31"/>
  <c r="U15" i="31"/>
  <c r="X3" i="31"/>
  <c r="B3" i="29"/>
  <c r="G3" i="29" s="1"/>
  <c r="I2" i="29"/>
  <c r="G2" i="29"/>
  <c r="J2" i="29" s="1"/>
  <c r="N165" i="13"/>
  <c r="N164" i="13"/>
  <c r="O137" i="13"/>
  <c r="N137" i="13"/>
  <c r="T135" i="13"/>
  <c r="Q135" i="13"/>
  <c r="P135" i="13"/>
  <c r="O135" i="13"/>
  <c r="O138" i="13" s="1"/>
  <c r="N135" i="13"/>
  <c r="M135" i="13"/>
  <c r="L135" i="13"/>
  <c r="L138" i="13" s="1"/>
  <c r="K135" i="13"/>
  <c r="J135" i="13"/>
  <c r="I135" i="13"/>
  <c r="H135" i="13"/>
  <c r="G135" i="13"/>
  <c r="G138" i="13" s="1"/>
  <c r="F135" i="13"/>
  <c r="E135" i="13"/>
  <c r="D135" i="13"/>
  <c r="D138" i="13" s="1"/>
  <c r="T134" i="13"/>
  <c r="Q134" i="13"/>
  <c r="P134" i="13"/>
  <c r="O134" i="13"/>
  <c r="N134" i="13"/>
  <c r="M134" i="13"/>
  <c r="M137" i="13" s="1"/>
  <c r="L134" i="13"/>
  <c r="K134" i="13"/>
  <c r="K137" i="13" s="1"/>
  <c r="J134" i="13"/>
  <c r="I134" i="13"/>
  <c r="H134" i="13"/>
  <c r="G134" i="13"/>
  <c r="F134" i="13"/>
  <c r="E134" i="13"/>
  <c r="E137" i="13" s="1"/>
  <c r="D134" i="13"/>
  <c r="S130" i="13"/>
  <c r="R130" i="13"/>
  <c r="S129" i="13"/>
  <c r="R129" i="13"/>
  <c r="S127" i="13"/>
  <c r="R127" i="13"/>
  <c r="S126" i="13"/>
  <c r="R126" i="13"/>
  <c r="T125" i="13"/>
  <c r="Q125" i="13"/>
  <c r="R125" i="13" s="1"/>
  <c r="P125" i="13"/>
  <c r="O125" i="13"/>
  <c r="S125" i="13" s="1"/>
  <c r="N125" i="13"/>
  <c r="M125" i="13"/>
  <c r="L125" i="13"/>
  <c r="K125" i="13"/>
  <c r="J125" i="13"/>
  <c r="I125" i="13"/>
  <c r="H125" i="13"/>
  <c r="G125" i="13"/>
  <c r="F125" i="13"/>
  <c r="E125" i="13"/>
  <c r="D125" i="13"/>
  <c r="T124" i="13"/>
  <c r="S124" i="13"/>
  <c r="R124" i="13"/>
  <c r="Q124" i="13"/>
  <c r="P124" i="13"/>
  <c r="O124" i="13"/>
  <c r="N124" i="13"/>
  <c r="M124" i="13"/>
  <c r="L124" i="13"/>
  <c r="L137" i="13" s="1"/>
  <c r="K124" i="13"/>
  <c r="J124" i="13"/>
  <c r="I124" i="13"/>
  <c r="H124" i="13"/>
  <c r="G124" i="13"/>
  <c r="F124" i="13"/>
  <c r="E124" i="13"/>
  <c r="D124" i="13"/>
  <c r="D137" i="13" s="1"/>
  <c r="S123" i="13"/>
  <c r="R123" i="13"/>
  <c r="S122" i="13"/>
  <c r="R122" i="13"/>
  <c r="T115" i="13"/>
  <c r="Q115" i="13"/>
  <c r="P115" i="13"/>
  <c r="O115" i="13"/>
  <c r="N115" i="13"/>
  <c r="M115" i="13"/>
  <c r="L115" i="13"/>
  <c r="K115" i="13"/>
  <c r="J115" i="13"/>
  <c r="I115" i="13"/>
  <c r="H115" i="13"/>
  <c r="G115" i="13"/>
  <c r="F115" i="13"/>
  <c r="E115" i="13"/>
  <c r="D115" i="13"/>
  <c r="T114" i="13"/>
  <c r="Q114" i="13"/>
  <c r="P114" i="13"/>
  <c r="O114" i="13"/>
  <c r="N114" i="13"/>
  <c r="M114" i="13"/>
  <c r="L114" i="13"/>
  <c r="K114" i="13"/>
  <c r="J114" i="13"/>
  <c r="I114" i="13"/>
  <c r="H114" i="13"/>
  <c r="G114" i="13"/>
  <c r="F114" i="13"/>
  <c r="E114" i="13"/>
  <c r="D114" i="13"/>
  <c r="S110" i="13"/>
  <c r="R110" i="13"/>
  <c r="S109" i="13"/>
  <c r="R109" i="13"/>
  <c r="T105" i="13"/>
  <c r="S105" i="13"/>
  <c r="Q105" i="13"/>
  <c r="P105" i="13"/>
  <c r="R105" i="13" s="1"/>
  <c r="O105" i="13"/>
  <c r="N105" i="13"/>
  <c r="N138" i="13" s="1"/>
  <c r="M105" i="13"/>
  <c r="M138" i="13" s="1"/>
  <c r="L105" i="13"/>
  <c r="K105" i="13"/>
  <c r="J105" i="13"/>
  <c r="I105" i="13"/>
  <c r="H105" i="13"/>
  <c r="G105" i="13"/>
  <c r="F105" i="13"/>
  <c r="F138" i="13" s="1"/>
  <c r="E105" i="13"/>
  <c r="E138" i="13" s="1"/>
  <c r="D105" i="13"/>
  <c r="T104" i="13"/>
  <c r="Q104" i="13"/>
  <c r="P104" i="13"/>
  <c r="O104" i="13"/>
  <c r="N104" i="13"/>
  <c r="M104" i="13"/>
  <c r="L104" i="13"/>
  <c r="K104" i="13"/>
  <c r="J104" i="13"/>
  <c r="I104" i="13"/>
  <c r="H104" i="13"/>
  <c r="G104" i="13"/>
  <c r="G137" i="13" s="1"/>
  <c r="F104" i="13"/>
  <c r="F137" i="13" s="1"/>
  <c r="E104" i="13"/>
  <c r="D104" i="13"/>
  <c r="S103" i="13"/>
  <c r="R103" i="13"/>
  <c r="S102" i="13"/>
  <c r="R102" i="13"/>
  <c r="S100" i="13"/>
  <c r="R100" i="13"/>
  <c r="S99" i="13"/>
  <c r="R99" i="13"/>
  <c r="S97" i="13"/>
  <c r="R97" i="13"/>
  <c r="S96" i="13"/>
  <c r="R96" i="13"/>
  <c r="T95" i="13"/>
  <c r="S95" i="13"/>
  <c r="Q95" i="13"/>
  <c r="R95" i="13" s="1"/>
  <c r="P95" i="13"/>
  <c r="O95" i="13"/>
  <c r="N95" i="13"/>
  <c r="M95" i="13"/>
  <c r="L95" i="13"/>
  <c r="K95" i="13"/>
  <c r="J95" i="13"/>
  <c r="I95" i="13"/>
  <c r="H95" i="13"/>
  <c r="G95" i="13"/>
  <c r="F95" i="13"/>
  <c r="E95" i="13"/>
  <c r="D95" i="13"/>
  <c r="T94" i="13"/>
  <c r="R94" i="13"/>
  <c r="Q94" i="13"/>
  <c r="P94" i="13"/>
  <c r="S94" i="13" s="1"/>
  <c r="O94" i="13"/>
  <c r="N94" i="13"/>
  <c r="M94" i="13"/>
  <c r="L94" i="13"/>
  <c r="K94" i="13"/>
  <c r="J94" i="13"/>
  <c r="I94" i="13"/>
  <c r="H94" i="13"/>
  <c r="G94" i="13"/>
  <c r="F94" i="13"/>
  <c r="E94" i="13"/>
  <c r="D94" i="13"/>
  <c r="S93" i="13"/>
  <c r="R93" i="13"/>
  <c r="S92" i="13"/>
  <c r="R92" i="13"/>
  <c r="S90" i="13"/>
  <c r="R90" i="13"/>
  <c r="S89" i="13"/>
  <c r="R89" i="13"/>
  <c r="S87" i="13"/>
  <c r="R87" i="13"/>
  <c r="S86" i="13"/>
  <c r="R86" i="13"/>
  <c r="U78" i="13"/>
  <c r="P78" i="13"/>
  <c r="O78" i="13"/>
  <c r="H78" i="13"/>
  <c r="G78" i="13"/>
  <c r="Q76" i="13"/>
  <c r="P76" i="13"/>
  <c r="N76" i="13"/>
  <c r="I76" i="13"/>
  <c r="H76" i="13"/>
  <c r="F76" i="13"/>
  <c r="S75" i="13"/>
  <c r="R75" i="13"/>
  <c r="Q75" i="13"/>
  <c r="P75" i="13"/>
  <c r="V75" i="13" s="1"/>
  <c r="O75" i="13"/>
  <c r="N75" i="13"/>
  <c r="M75" i="13"/>
  <c r="L75" i="13"/>
  <c r="K75" i="13"/>
  <c r="J75" i="13"/>
  <c r="I75" i="13"/>
  <c r="H75" i="13"/>
  <c r="G75" i="13"/>
  <c r="F75" i="13"/>
  <c r="E75" i="13"/>
  <c r="D75" i="13"/>
  <c r="T74" i="13"/>
  <c r="S74" i="13"/>
  <c r="Q74" i="13"/>
  <c r="R74" i="13" s="1"/>
  <c r="P74" i="13"/>
  <c r="O74" i="13"/>
  <c r="O76" i="13" s="1"/>
  <c r="N74" i="13"/>
  <c r="N78" i="13" s="1"/>
  <c r="M74" i="13"/>
  <c r="M78" i="13" s="1"/>
  <c r="L74" i="13"/>
  <c r="K74" i="13"/>
  <c r="J74" i="13"/>
  <c r="I74" i="13"/>
  <c r="I78" i="13" s="1"/>
  <c r="H74" i="13"/>
  <c r="G74" i="13"/>
  <c r="G76" i="13" s="1"/>
  <c r="F74" i="13"/>
  <c r="F78" i="13" s="1"/>
  <c r="E74" i="13"/>
  <c r="E78" i="13" s="1"/>
  <c r="D74" i="13"/>
  <c r="T72" i="13"/>
  <c r="R72" i="13"/>
  <c r="Q72" i="13"/>
  <c r="P72" i="13"/>
  <c r="S72" i="13" s="1"/>
  <c r="O72" i="13"/>
  <c r="N72" i="13"/>
  <c r="M72" i="13"/>
  <c r="L72" i="13"/>
  <c r="K72" i="13"/>
  <c r="J72" i="13"/>
  <c r="I72" i="13"/>
  <c r="H72" i="13"/>
  <c r="G72" i="13"/>
  <c r="F72" i="13"/>
  <c r="E72" i="13"/>
  <c r="D72" i="13"/>
  <c r="V71" i="13"/>
  <c r="T71" i="13"/>
  <c r="S71" i="13"/>
  <c r="R71" i="13"/>
  <c r="T70" i="13"/>
  <c r="S70" i="13"/>
  <c r="R70" i="13"/>
  <c r="T69" i="13"/>
  <c r="R69" i="13"/>
  <c r="Q69" i="13"/>
  <c r="P69" i="13"/>
  <c r="S69" i="13" s="1"/>
  <c r="O69" i="13"/>
  <c r="N69" i="13"/>
  <c r="M69" i="13"/>
  <c r="L69" i="13"/>
  <c r="K69" i="13"/>
  <c r="J69" i="13"/>
  <c r="I69" i="13"/>
  <c r="H69" i="13"/>
  <c r="G69" i="13"/>
  <c r="F69" i="13"/>
  <c r="E69" i="13"/>
  <c r="D69" i="13"/>
  <c r="V68" i="13"/>
  <c r="T68" i="13"/>
  <c r="S68" i="13"/>
  <c r="R68" i="13"/>
  <c r="T67" i="13"/>
  <c r="S67" i="13"/>
  <c r="R67" i="13"/>
  <c r="T66" i="13"/>
  <c r="R66" i="13"/>
  <c r="Q66" i="13"/>
  <c r="P66" i="13"/>
  <c r="S66" i="13" s="1"/>
  <c r="O66" i="13"/>
  <c r="N66" i="13"/>
  <c r="M66" i="13"/>
  <c r="L66" i="13"/>
  <c r="K66" i="13"/>
  <c r="J66" i="13"/>
  <c r="I66" i="13"/>
  <c r="H66" i="13"/>
  <c r="G66" i="13"/>
  <c r="F66" i="13"/>
  <c r="E66" i="13"/>
  <c r="D66" i="13"/>
  <c r="V65" i="13"/>
  <c r="T65" i="13"/>
  <c r="S65" i="13"/>
  <c r="R65" i="13"/>
  <c r="T64" i="13"/>
  <c r="S64" i="13"/>
  <c r="R64" i="13"/>
  <c r="T63" i="13"/>
  <c r="R63" i="13"/>
  <c r="Q63" i="13"/>
  <c r="P63" i="13"/>
  <c r="S63" i="13" s="1"/>
  <c r="O63" i="13"/>
  <c r="N63" i="13"/>
  <c r="M63" i="13"/>
  <c r="L63" i="13"/>
  <c r="K63" i="13"/>
  <c r="J63" i="13"/>
  <c r="I63" i="13"/>
  <c r="H63" i="13"/>
  <c r="G63" i="13"/>
  <c r="F63" i="13"/>
  <c r="E63" i="13"/>
  <c r="D63" i="13"/>
  <c r="V62" i="13"/>
  <c r="T62" i="13"/>
  <c r="S62" i="13"/>
  <c r="R62" i="13"/>
  <c r="T61" i="13"/>
  <c r="S61" i="13"/>
  <c r="R61" i="13"/>
  <c r="O47" i="13"/>
  <c r="P47" i="13" s="1"/>
  <c r="M47" i="13"/>
  <c r="N47" i="13" s="1"/>
  <c r="L47" i="13"/>
  <c r="G47" i="13"/>
  <c r="H47" i="13" s="1"/>
  <c r="J47" i="13" s="1"/>
  <c r="E47" i="13"/>
  <c r="F47" i="13" s="1"/>
  <c r="D47" i="13"/>
  <c r="AP46" i="13"/>
  <c r="AL46" i="13"/>
  <c r="AK46" i="13"/>
  <c r="AE46" i="13"/>
  <c r="AD46" i="13"/>
  <c r="AC46" i="13"/>
  <c r="X46" i="13"/>
  <c r="W46" i="13"/>
  <c r="Y46" i="13" s="1"/>
  <c r="Z46" i="13" s="1"/>
  <c r="R46" i="13"/>
  <c r="P46" i="13"/>
  <c r="T46" i="13" s="1"/>
  <c r="N46" i="13"/>
  <c r="J46" i="13"/>
  <c r="H46" i="13"/>
  <c r="F46" i="13"/>
  <c r="AP45" i="13"/>
  <c r="AP47" i="13" s="1"/>
  <c r="AJ45" i="13"/>
  <c r="AK45" i="13" s="1"/>
  <c r="AI45" i="13"/>
  <c r="AH45" i="13"/>
  <c r="AL45" i="13" s="1"/>
  <c r="AD45" i="13"/>
  <c r="X45" i="13"/>
  <c r="W45" i="13"/>
  <c r="Y45" i="13" s="1"/>
  <c r="Z45" i="13" s="1"/>
  <c r="P45" i="13"/>
  <c r="R45" i="13" s="1"/>
  <c r="O45" i="13"/>
  <c r="M45" i="13"/>
  <c r="N45" i="13" s="1"/>
  <c r="L45" i="13"/>
  <c r="AC45" i="13" s="1"/>
  <c r="AE45" i="13" s="1"/>
  <c r="AM45" i="13" s="1"/>
  <c r="H45" i="13"/>
  <c r="J45" i="13" s="1"/>
  <c r="G45" i="13"/>
  <c r="F45" i="13"/>
  <c r="E45" i="13"/>
  <c r="D45" i="13"/>
  <c r="AP44" i="13"/>
  <c r="AL44" i="13"/>
  <c r="AK44" i="13"/>
  <c r="AD44" i="13"/>
  <c r="AC44" i="13"/>
  <c r="AE44" i="13" s="1"/>
  <c r="AF44" i="13" s="1"/>
  <c r="Y44" i="13"/>
  <c r="Z44" i="13" s="1"/>
  <c r="X44" i="13"/>
  <c r="W44" i="13"/>
  <c r="P44" i="13"/>
  <c r="N44" i="13"/>
  <c r="H44" i="13"/>
  <c r="J44" i="13" s="1"/>
  <c r="F44" i="13"/>
  <c r="AP43" i="13"/>
  <c r="AL43" i="13"/>
  <c r="AK43" i="13"/>
  <c r="AD43" i="13"/>
  <c r="AC43" i="13"/>
  <c r="AE43" i="13" s="1"/>
  <c r="X43" i="13"/>
  <c r="Y43" i="13" s="1"/>
  <c r="Z43" i="13" s="1"/>
  <c r="W43" i="13"/>
  <c r="P43" i="13"/>
  <c r="T43" i="13" s="1"/>
  <c r="N43" i="13"/>
  <c r="J43" i="13"/>
  <c r="H43" i="13"/>
  <c r="F43" i="13"/>
  <c r="AP42" i="13"/>
  <c r="AN42" i="13"/>
  <c r="AM42" i="13"/>
  <c r="AQ42" i="13" s="1"/>
  <c r="AR42" i="13" s="1"/>
  <c r="AL42" i="13"/>
  <c r="AK42" i="13"/>
  <c r="AD42" i="13"/>
  <c r="AC42" i="13"/>
  <c r="AE42" i="13" s="1"/>
  <c r="AF42" i="13" s="1"/>
  <c r="X42" i="13"/>
  <c r="W42" i="13"/>
  <c r="Y42" i="13" s="1"/>
  <c r="Z42" i="13" s="1"/>
  <c r="P42" i="13"/>
  <c r="T42" i="13" s="1"/>
  <c r="N42" i="13"/>
  <c r="J42" i="13"/>
  <c r="H42" i="13"/>
  <c r="F42" i="13"/>
  <c r="E33" i="13"/>
  <c r="R32" i="13"/>
  <c r="Q32" i="13"/>
  <c r="P32" i="13"/>
  <c r="O32" i="13"/>
  <c r="N32" i="13"/>
  <c r="M32" i="13"/>
  <c r="L32" i="13"/>
  <c r="K32" i="13"/>
  <c r="J32" i="13"/>
  <c r="I32" i="13"/>
  <c r="H32" i="13"/>
  <c r="G32" i="13"/>
  <c r="F32" i="13"/>
  <c r="E32" i="13"/>
  <c r="R31" i="13"/>
  <c r="Q31" i="13"/>
  <c r="P31" i="13"/>
  <c r="O31" i="13"/>
  <c r="N31" i="13"/>
  <c r="M31" i="13"/>
  <c r="L31" i="13"/>
  <c r="K31" i="13"/>
  <c r="J31" i="13"/>
  <c r="I31" i="13"/>
  <c r="H31" i="13"/>
  <c r="G31" i="13"/>
  <c r="F31" i="13"/>
  <c r="E31" i="13"/>
  <c r="R30" i="13"/>
  <c r="Q30" i="13"/>
  <c r="P30" i="13"/>
  <c r="O30" i="13"/>
  <c r="N30" i="13"/>
  <c r="M30" i="13"/>
  <c r="L30" i="13"/>
  <c r="K30" i="13"/>
  <c r="J30" i="13"/>
  <c r="I30" i="13"/>
  <c r="H30" i="13"/>
  <c r="G30" i="13"/>
  <c r="F30" i="13"/>
  <c r="F33" i="13" s="1"/>
  <c r="E30" i="13"/>
  <c r="F29" i="13"/>
  <c r="E27" i="13"/>
  <c r="G23" i="13"/>
  <c r="H23" i="13" s="1"/>
  <c r="F23" i="13"/>
  <c r="F27" i="13" s="1"/>
  <c r="F21" i="13"/>
  <c r="E21" i="13"/>
  <c r="F17" i="13"/>
  <c r="G17" i="13" s="1"/>
  <c r="G21" i="13" s="1"/>
  <c r="E15" i="13"/>
  <c r="F11" i="13"/>
  <c r="F15" i="13" s="1"/>
  <c r="E9" i="13"/>
  <c r="F5" i="13"/>
  <c r="AA7" i="31" l="1"/>
  <c r="X7" i="31"/>
  <c r="Y7" i="31"/>
  <c r="X5" i="31"/>
  <c r="X21" i="31"/>
  <c r="W21" i="31"/>
  <c r="Z21" i="31"/>
  <c r="X4" i="31"/>
  <c r="X15" i="31"/>
  <c r="W15" i="31"/>
  <c r="U23" i="31"/>
  <c r="Z15" i="31"/>
  <c r="I3" i="29"/>
  <c r="B4" i="29"/>
  <c r="G4" i="29" s="1"/>
  <c r="J3" i="29"/>
  <c r="H27" i="13"/>
  <c r="I23" i="13"/>
  <c r="T45" i="13"/>
  <c r="T47" i="13"/>
  <c r="R47" i="13"/>
  <c r="G29" i="13"/>
  <c r="H29" i="13" s="1"/>
  <c r="I29" i="13" s="1"/>
  <c r="J29" i="13" s="1"/>
  <c r="AM43" i="13"/>
  <c r="AF43" i="13"/>
  <c r="T76" i="13"/>
  <c r="S76" i="13"/>
  <c r="R76" i="13"/>
  <c r="H138" i="13"/>
  <c r="S135" i="13"/>
  <c r="P138" i="13"/>
  <c r="R135" i="13"/>
  <c r="AN44" i="13"/>
  <c r="AS44" i="13"/>
  <c r="S114" i="13"/>
  <c r="R114" i="13"/>
  <c r="G11" i="13"/>
  <c r="AS42" i="13"/>
  <c r="R44" i="13"/>
  <c r="T44" i="13"/>
  <c r="AM44" i="13"/>
  <c r="AQ44" i="13" s="1"/>
  <c r="AR44" i="13" s="1"/>
  <c r="H137" i="13"/>
  <c r="S134" i="13"/>
  <c r="P137" i="13"/>
  <c r="R134" i="13"/>
  <c r="I138" i="13"/>
  <c r="Q138" i="13"/>
  <c r="G27" i="13"/>
  <c r="AF45" i="13"/>
  <c r="AM46" i="13"/>
  <c r="AF46" i="13"/>
  <c r="J78" i="13"/>
  <c r="J76" i="13"/>
  <c r="I137" i="13"/>
  <c r="Q137" i="13"/>
  <c r="J138" i="13"/>
  <c r="T138" i="13"/>
  <c r="G5" i="13"/>
  <c r="F9" i="13"/>
  <c r="H17" i="13"/>
  <c r="K76" i="13"/>
  <c r="K78" i="13"/>
  <c r="S104" i="13"/>
  <c r="J137" i="13"/>
  <c r="S115" i="13"/>
  <c r="R115" i="13"/>
  <c r="D78" i="13"/>
  <c r="D76" i="13"/>
  <c r="L78" i="13"/>
  <c r="L76" i="13"/>
  <c r="T137" i="13"/>
  <c r="K138" i="13"/>
  <c r="T75" i="13"/>
  <c r="Q78" i="13"/>
  <c r="R43" i="13"/>
  <c r="R42" i="13"/>
  <c r="R104" i="13"/>
  <c r="E76" i="13"/>
  <c r="M76" i="13"/>
  <c r="X23" i="31" l="1"/>
  <c r="Z23" i="31"/>
  <c r="W23" i="31"/>
  <c r="B5" i="29"/>
  <c r="G5" i="29" s="1"/>
  <c r="J4" i="29"/>
  <c r="I4" i="29"/>
  <c r="I33" i="13"/>
  <c r="I17" i="13"/>
  <c r="H21" i="13"/>
  <c r="AS43" i="13"/>
  <c r="AN43" i="13"/>
  <c r="AQ43" i="13" s="1"/>
  <c r="K29" i="13"/>
  <c r="J33" i="13"/>
  <c r="AN46" i="13"/>
  <c r="AQ46" i="13" s="1"/>
  <c r="AR46" i="13" s="1"/>
  <c r="AS46" i="13"/>
  <c r="G9" i="13"/>
  <c r="H5" i="13"/>
  <c r="S137" i="13"/>
  <c r="R137" i="13"/>
  <c r="H33" i="13"/>
  <c r="S138" i="13"/>
  <c r="R138" i="13"/>
  <c r="J23" i="13"/>
  <c r="I27" i="13"/>
  <c r="AN45" i="13"/>
  <c r="AS45" i="13"/>
  <c r="H11" i="13"/>
  <c r="G15" i="13"/>
  <c r="G33" i="13"/>
  <c r="B6" i="29" l="1"/>
  <c r="G6" i="29" s="1"/>
  <c r="J5" i="29"/>
  <c r="I5" i="29"/>
  <c r="AR43" i="13"/>
  <c r="AQ45" i="13"/>
  <c r="AR45" i="13" s="1"/>
  <c r="I11" i="13"/>
  <c r="H15" i="13"/>
  <c r="K23" i="13"/>
  <c r="J27" i="13"/>
  <c r="I21" i="13"/>
  <c r="J17" i="13"/>
  <c r="K33" i="13"/>
  <c r="L29" i="13"/>
  <c r="I5" i="13"/>
  <c r="H9" i="13"/>
  <c r="B7" i="29" l="1"/>
  <c r="G7" i="29" s="1"/>
  <c r="J6" i="29"/>
  <c r="I6" i="29"/>
  <c r="J11" i="13"/>
  <c r="I15" i="13"/>
  <c r="I9" i="13"/>
  <c r="J5" i="13"/>
  <c r="M29" i="13"/>
  <c r="L33" i="13"/>
  <c r="L34" i="13" s="1"/>
  <c r="J21" i="13"/>
  <c r="K17" i="13"/>
  <c r="L23" i="13"/>
  <c r="K27" i="13"/>
  <c r="I7" i="29" l="1"/>
  <c r="B8" i="29"/>
  <c r="G8" i="29" s="1"/>
  <c r="J7" i="29"/>
  <c r="K21" i="13"/>
  <c r="L17" i="13"/>
  <c r="N29" i="13"/>
  <c r="M33" i="13"/>
  <c r="M34" i="13" s="1"/>
  <c r="K5" i="13"/>
  <c r="J9" i="13"/>
  <c r="L27" i="13"/>
  <c r="L28" i="13" s="1"/>
  <c r="M23" i="13"/>
  <c r="J15" i="13"/>
  <c r="K11" i="13"/>
  <c r="O18" i="9"/>
  <c r="O17" i="9"/>
  <c r="B9" i="29" l="1"/>
  <c r="G9" i="29" s="1"/>
  <c r="J8" i="29"/>
  <c r="I8" i="29"/>
  <c r="N23" i="13"/>
  <c r="M27" i="13"/>
  <c r="M28" i="13" s="1"/>
  <c r="O29" i="13"/>
  <c r="N33" i="13"/>
  <c r="N34" i="13" s="1"/>
  <c r="L11" i="13"/>
  <c r="K15" i="13"/>
  <c r="M17" i="13"/>
  <c r="L21" i="13"/>
  <c r="L22" i="13" s="1"/>
  <c r="L5" i="13"/>
  <c r="K9" i="13"/>
  <c r="M19" i="9"/>
  <c r="L19" i="9"/>
  <c r="K19" i="9"/>
  <c r="J19" i="9"/>
  <c r="I19" i="9"/>
  <c r="H19" i="9"/>
  <c r="G19" i="9"/>
  <c r="F19" i="9"/>
  <c r="E19" i="9"/>
  <c r="D19" i="9"/>
  <c r="C19" i="9"/>
  <c r="B19" i="9"/>
  <c r="Q22" i="14"/>
  <c r="Q21" i="14"/>
  <c r="Q20" i="14"/>
  <c r="Q17" i="14"/>
  <c r="Q16" i="14"/>
  <c r="Q15" i="14"/>
  <c r="N17" i="14"/>
  <c r="M17" i="14"/>
  <c r="L17" i="14"/>
  <c r="K17" i="14"/>
  <c r="J17" i="14"/>
  <c r="I17" i="14"/>
  <c r="H17" i="14"/>
  <c r="G17" i="14"/>
  <c r="F17" i="14"/>
  <c r="E17" i="14"/>
  <c r="D17" i="14"/>
  <c r="C17" i="14"/>
  <c r="N16" i="14"/>
  <c r="N18" i="14" s="1"/>
  <c r="M16" i="14"/>
  <c r="M18" i="14" s="1"/>
  <c r="L16" i="14"/>
  <c r="L18" i="14" s="1"/>
  <c r="K16" i="14"/>
  <c r="K18" i="14" s="1"/>
  <c r="J16" i="14"/>
  <c r="J18" i="14" s="1"/>
  <c r="I16" i="14"/>
  <c r="I18" i="14" s="1"/>
  <c r="H16" i="14"/>
  <c r="H18" i="14" s="1"/>
  <c r="G16" i="14"/>
  <c r="G18" i="14" s="1"/>
  <c r="F16" i="14"/>
  <c r="F18" i="14" s="1"/>
  <c r="E16" i="14"/>
  <c r="E18" i="14" s="1"/>
  <c r="D16" i="14"/>
  <c r="D18" i="14" s="1"/>
  <c r="C16" i="14"/>
  <c r="C18" i="14" s="1"/>
  <c r="Q5" i="14"/>
  <c r="P7" i="14"/>
  <c r="P6" i="14"/>
  <c r="P5" i="14"/>
  <c r="N8" i="14"/>
  <c r="M8" i="14"/>
  <c r="L8" i="14"/>
  <c r="K8" i="14"/>
  <c r="J8" i="14"/>
  <c r="I8" i="14"/>
  <c r="H8" i="14"/>
  <c r="G8" i="14"/>
  <c r="F8" i="14"/>
  <c r="E8" i="14"/>
  <c r="D8" i="14"/>
  <c r="C8" i="14"/>
  <c r="I9" i="29" l="1"/>
  <c r="B10" i="29"/>
  <c r="G10" i="29" s="1"/>
  <c r="J9" i="29"/>
  <c r="N17" i="13"/>
  <c r="M21" i="13"/>
  <c r="M22" i="13" s="1"/>
  <c r="L15" i="13"/>
  <c r="L16" i="13" s="1"/>
  <c r="M11" i="13"/>
  <c r="P29" i="13"/>
  <c r="O33" i="13"/>
  <c r="O34" i="13" s="1"/>
  <c r="M5" i="13"/>
  <c r="L9" i="13"/>
  <c r="L10" i="13" s="1"/>
  <c r="N27" i="13"/>
  <c r="N28" i="13" s="1"/>
  <c r="O23" i="13"/>
  <c r="C25" i="14"/>
  <c r="C24" i="14"/>
  <c r="C23" i="14"/>
  <c r="D25" i="14"/>
  <c r="D24" i="14"/>
  <c r="D23" i="14"/>
  <c r="G25" i="14"/>
  <c r="G24" i="14"/>
  <c r="G23" i="14"/>
  <c r="H25" i="14"/>
  <c r="H24" i="14"/>
  <c r="H23" i="14"/>
  <c r="J25" i="14"/>
  <c r="J24" i="14"/>
  <c r="J23" i="14"/>
  <c r="L25" i="14"/>
  <c r="L24" i="14"/>
  <c r="L23" i="14"/>
  <c r="M25" i="14"/>
  <c r="M24" i="14"/>
  <c r="M23" i="14"/>
  <c r="E25" i="14"/>
  <c r="E24" i="14"/>
  <c r="E23" i="14"/>
  <c r="F25" i="14"/>
  <c r="F24" i="14"/>
  <c r="F23" i="14"/>
  <c r="I25" i="14"/>
  <c r="I24" i="14"/>
  <c r="I23" i="14"/>
  <c r="K25" i="14"/>
  <c r="K24" i="14"/>
  <c r="K23" i="14"/>
  <c r="N25" i="14"/>
  <c r="N24" i="14"/>
  <c r="N23" i="14"/>
  <c r="U4" i="20"/>
  <c r="U5" i="20"/>
  <c r="U8" i="20"/>
  <c r="U9" i="20"/>
  <c r="B11" i="29" l="1"/>
  <c r="G11" i="29" s="1"/>
  <c r="J10" i="29"/>
  <c r="I10" i="29"/>
  <c r="M9" i="13"/>
  <c r="M10" i="13" s="1"/>
  <c r="N5" i="13"/>
  <c r="N11" i="13"/>
  <c r="M15" i="13"/>
  <c r="M16" i="13" s="1"/>
  <c r="P23" i="13"/>
  <c r="O27" i="13"/>
  <c r="O28" i="13" s="1"/>
  <c r="Q29" i="13"/>
  <c r="P33" i="13"/>
  <c r="P34" i="13" s="1"/>
  <c r="O17" i="13"/>
  <c r="N21" i="13"/>
  <c r="N22" i="13" s="1"/>
  <c r="U10" i="20"/>
  <c r="U6" i="20"/>
  <c r="I11" i="29" l="1"/>
  <c r="B12" i="29"/>
  <c r="G12" i="29" s="1"/>
  <c r="J11" i="29"/>
  <c r="P27" i="13"/>
  <c r="P28" i="13" s="1"/>
  <c r="Q23" i="13"/>
  <c r="O5" i="13"/>
  <c r="N9" i="13"/>
  <c r="N10" i="13" s="1"/>
  <c r="R29" i="13"/>
  <c r="R33" i="13" s="1"/>
  <c r="Q33" i="13"/>
  <c r="Q34" i="13" s="1"/>
  <c r="T34" i="13" s="1"/>
  <c r="N15" i="13"/>
  <c r="N16" i="13" s="1"/>
  <c r="O11" i="13"/>
  <c r="O21" i="13"/>
  <c r="O22" i="13" s="1"/>
  <c r="P17" i="13"/>
  <c r="X38" i="20"/>
  <c r="X37" i="20"/>
  <c r="X36" i="20"/>
  <c r="X30" i="20"/>
  <c r="X29" i="20"/>
  <c r="X28" i="20"/>
  <c r="X26" i="20"/>
  <c r="X25" i="20"/>
  <c r="X24" i="20"/>
  <c r="Y37" i="20"/>
  <c r="Y36" i="20"/>
  <c r="Y33" i="20"/>
  <c r="Y32" i="20"/>
  <c r="Y29" i="20"/>
  <c r="Y28" i="20"/>
  <c r="Y25" i="20"/>
  <c r="Y24" i="20"/>
  <c r="Y17" i="20"/>
  <c r="Y16" i="20"/>
  <c r="Y13" i="20"/>
  <c r="Y12" i="20"/>
  <c r="Y9" i="20"/>
  <c r="Y8" i="20"/>
  <c r="Y5" i="20"/>
  <c r="Y4" i="20"/>
  <c r="X18" i="20"/>
  <c r="X17" i="20"/>
  <c r="X16" i="20"/>
  <c r="X10" i="20"/>
  <c r="X9" i="20"/>
  <c r="X8" i="20"/>
  <c r="X6" i="20"/>
  <c r="X5" i="20"/>
  <c r="X4" i="20"/>
  <c r="B13" i="29" l="1"/>
  <c r="G13" i="29" s="1"/>
  <c r="J12" i="29"/>
  <c r="I12" i="29"/>
  <c r="Q17" i="13"/>
  <c r="P21" i="13"/>
  <c r="P22" i="13" s="1"/>
  <c r="R23" i="13"/>
  <c r="R27" i="13" s="1"/>
  <c r="Q27" i="13"/>
  <c r="Q28" i="13" s="1"/>
  <c r="T28" i="13" s="1"/>
  <c r="P11" i="13"/>
  <c r="O15" i="13"/>
  <c r="O16" i="13" s="1"/>
  <c r="R34" i="13"/>
  <c r="O9" i="13"/>
  <c r="O10" i="13" s="1"/>
  <c r="P5" i="13"/>
  <c r="J13" i="29" l="1"/>
  <c r="I13" i="29"/>
  <c r="Q11" i="13"/>
  <c r="P15" i="13"/>
  <c r="P16" i="13" s="1"/>
  <c r="R28" i="13"/>
  <c r="Q5" i="13"/>
  <c r="P9" i="13"/>
  <c r="P10" i="13" s="1"/>
  <c r="Q21" i="13"/>
  <c r="Q22" i="13" s="1"/>
  <c r="T22" i="13" s="1"/>
  <c r="R17" i="13"/>
  <c r="R21" i="13" s="1"/>
  <c r="Y32" i="1"/>
  <c r="Y31" i="1"/>
  <c r="Y30" i="1"/>
  <c r="Y29" i="1"/>
  <c r="Y28" i="1"/>
  <c r="Y27" i="1"/>
  <c r="Y26" i="1"/>
  <c r="Y25" i="1"/>
  <c r="Y24" i="1"/>
  <c r="Y23" i="1"/>
  <c r="Y22" i="1"/>
  <c r="Y21" i="1"/>
  <c r="R11" i="13" l="1"/>
  <c r="R15" i="13" s="1"/>
  <c r="Q15" i="13"/>
  <c r="Q16" i="13" s="1"/>
  <c r="T16" i="13" s="1"/>
  <c r="R22" i="13"/>
  <c r="Q9" i="13"/>
  <c r="Q10" i="13" s="1"/>
  <c r="T10" i="13" s="1"/>
  <c r="R5" i="13"/>
  <c r="R9" i="13" s="1"/>
  <c r="R10" i="13" s="1"/>
  <c r="X11" i="1"/>
  <c r="X9" i="1"/>
  <c r="X7" i="1"/>
  <c r="X5" i="1"/>
  <c r="S12" i="1"/>
  <c r="AA42" i="1"/>
  <c r="AA41" i="1"/>
  <c r="AA40" i="1"/>
  <c r="W23" i="8"/>
  <c r="W22" i="8"/>
  <c r="W21" i="8"/>
  <c r="W15" i="8"/>
  <c r="W14" i="8"/>
  <c r="W13" i="8"/>
  <c r="W7" i="8"/>
  <c r="W6" i="8"/>
  <c r="W5" i="8"/>
  <c r="R31" i="8"/>
  <c r="R30" i="8"/>
  <c r="R32" i="8" s="1"/>
  <c r="R29" i="8"/>
  <c r="R26" i="8"/>
  <c r="R25" i="8"/>
  <c r="R24" i="8"/>
  <c r="R18" i="8"/>
  <c r="R17" i="8"/>
  <c r="R16" i="8"/>
  <c r="R10" i="8"/>
  <c r="R9" i="8"/>
  <c r="R8" i="8"/>
  <c r="X23" i="8"/>
  <c r="X22" i="8"/>
  <c r="X21" i="8"/>
  <c r="X15" i="8"/>
  <c r="X14" i="8"/>
  <c r="X13" i="8"/>
  <c r="X7" i="8"/>
  <c r="X6" i="8"/>
  <c r="X5" i="8"/>
  <c r="R16" i="13" l="1"/>
  <c r="R34" i="8"/>
  <c r="S68" i="1" l="1"/>
  <c r="S64" i="1"/>
  <c r="S59" i="1"/>
  <c r="S61" i="1" s="1"/>
  <c r="S55" i="1"/>
  <c r="S57" i="1" s="1"/>
  <c r="S51" i="1"/>
  <c r="S53" i="1" s="1"/>
  <c r="S43" i="1"/>
  <c r="AB42" i="1"/>
  <c r="AB41" i="1"/>
  <c r="AB40" i="1"/>
  <c r="P21" i="14"/>
  <c r="P22" i="14"/>
  <c r="P20" i="14"/>
  <c r="P15" i="14"/>
  <c r="X32" i="1"/>
  <c r="X31" i="1"/>
  <c r="X30" i="1"/>
  <c r="X29" i="1"/>
  <c r="X28" i="1"/>
  <c r="X27" i="1"/>
  <c r="X26" i="1"/>
  <c r="X25" i="1"/>
  <c r="X24" i="1"/>
  <c r="X23" i="1"/>
  <c r="X22" i="1"/>
  <c r="X21" i="1"/>
  <c r="S63" i="1" l="1"/>
  <c r="S67" i="1" l="1"/>
  <c r="S65" i="1"/>
  <c r="S66" i="1" s="1"/>
  <c r="W21" i="1"/>
  <c r="W32" i="1"/>
  <c r="W31" i="1"/>
  <c r="W30" i="1"/>
  <c r="W29" i="1"/>
  <c r="W28" i="1"/>
  <c r="W27" i="1"/>
  <c r="W26" i="1"/>
  <c r="W25" i="1"/>
  <c r="W24" i="1"/>
  <c r="W23" i="1"/>
  <c r="W22" i="1"/>
  <c r="U24" i="20" l="1"/>
  <c r="Q31" i="8" l="1"/>
  <c r="Q30" i="8"/>
  <c r="Q29" i="8"/>
  <c r="Q26" i="8"/>
  <c r="Q25" i="8"/>
  <c r="Q24" i="8"/>
  <c r="Q18" i="8"/>
  <c r="Q17" i="8"/>
  <c r="Q16" i="8"/>
  <c r="Q10" i="8"/>
  <c r="Q9" i="8"/>
  <c r="Q8" i="8"/>
  <c r="R68" i="1"/>
  <c r="R64" i="1"/>
  <c r="R59" i="1"/>
  <c r="R61" i="1" s="1"/>
  <c r="R55" i="1"/>
  <c r="R57" i="1" s="1"/>
  <c r="R51" i="1"/>
  <c r="R53" i="1" s="1"/>
  <c r="U10" i="1"/>
  <c r="U8" i="1"/>
  <c r="U6" i="1"/>
  <c r="U12" i="1" l="1"/>
  <c r="Q32" i="8"/>
  <c r="Q34" i="8"/>
  <c r="R63" i="1"/>
  <c r="R65" i="1" s="1"/>
  <c r="R66" i="1" s="1"/>
  <c r="R67" i="1" l="1"/>
  <c r="T12" i="1" l="1"/>
  <c r="R12" i="1"/>
  <c r="R43" i="1"/>
  <c r="AL43" i="1" l="1"/>
  <c r="P31" i="8" l="1"/>
  <c r="P30" i="8"/>
  <c r="P29" i="8"/>
  <c r="P26" i="8"/>
  <c r="P25" i="8"/>
  <c r="P24" i="8"/>
  <c r="P18" i="8"/>
  <c r="P17" i="8"/>
  <c r="P16" i="8"/>
  <c r="P10" i="8"/>
  <c r="P9" i="8"/>
  <c r="P8" i="8"/>
  <c r="Y18" i="20"/>
  <c r="Y10" i="20"/>
  <c r="P34" i="8" l="1"/>
  <c r="P32" i="8"/>
  <c r="R61" i="24" l="1"/>
  <c r="R13" i="24"/>
  <c r="R14" i="24" s="1"/>
  <c r="Q68" i="1" l="1"/>
  <c r="Q64" i="1"/>
  <c r="Q59" i="1"/>
  <c r="Q61" i="1" s="1"/>
  <c r="Q55" i="1"/>
  <c r="Q57" i="1" s="1"/>
  <c r="Q51" i="1"/>
  <c r="Q63" i="1" s="1"/>
  <c r="Q12" i="1"/>
  <c r="Q43" i="1"/>
  <c r="Q65" i="1" l="1"/>
  <c r="Q66" i="1" s="1"/>
  <c r="Q67" i="1"/>
  <c r="Q53" i="1"/>
  <c r="Q61" i="24" l="1"/>
  <c r="Q13" i="24"/>
  <c r="Q14" i="24" s="1"/>
  <c r="AA29" i="8" l="1"/>
  <c r="S31" i="8"/>
  <c r="W31" i="8" s="1"/>
  <c r="O31" i="8"/>
  <c r="N31" i="8"/>
  <c r="M31" i="8"/>
  <c r="L31" i="8"/>
  <c r="K31" i="8"/>
  <c r="J31" i="8"/>
  <c r="I31" i="8"/>
  <c r="H31" i="8"/>
  <c r="G31" i="8"/>
  <c r="F31" i="8"/>
  <c r="E31" i="8"/>
  <c r="D31" i="8"/>
  <c r="C31" i="8"/>
  <c r="S30" i="8"/>
  <c r="W30" i="8" s="1"/>
  <c r="O30" i="8"/>
  <c r="N30" i="8"/>
  <c r="M30" i="8"/>
  <c r="L30" i="8"/>
  <c r="K30" i="8"/>
  <c r="J30" i="8"/>
  <c r="I30" i="8"/>
  <c r="H30" i="8"/>
  <c r="G30" i="8"/>
  <c r="F30" i="8"/>
  <c r="E30" i="8"/>
  <c r="D30" i="8"/>
  <c r="C30" i="8"/>
  <c r="S29" i="8"/>
  <c r="W29" i="8" s="1"/>
  <c r="O29" i="8"/>
  <c r="N29" i="8"/>
  <c r="M29" i="8"/>
  <c r="L29" i="8"/>
  <c r="K29" i="8"/>
  <c r="J29" i="8"/>
  <c r="I29" i="8"/>
  <c r="H29" i="8"/>
  <c r="G29" i="8"/>
  <c r="F29" i="8"/>
  <c r="E29" i="8"/>
  <c r="D29" i="8"/>
  <c r="C29" i="8"/>
  <c r="B31" i="8"/>
  <c r="B30" i="8"/>
  <c r="X30" i="8" s="1"/>
  <c r="B29" i="8"/>
  <c r="X29" i="8" s="1"/>
  <c r="O26" i="8"/>
  <c r="O25" i="8"/>
  <c r="O24" i="8"/>
  <c r="O18" i="8"/>
  <c r="O17" i="8"/>
  <c r="O16" i="8"/>
  <c r="O10" i="8"/>
  <c r="O9" i="8"/>
  <c r="O8" i="8"/>
  <c r="R33" i="8" l="1"/>
  <c r="X31" i="8"/>
  <c r="Q33" i="8"/>
  <c r="P33" i="8"/>
  <c r="O33" i="8"/>
  <c r="O34" i="8"/>
  <c r="O32" i="8"/>
  <c r="P12" i="1" l="1"/>
  <c r="O12" i="1"/>
  <c r="N12" i="1"/>
  <c r="M12" i="1"/>
  <c r="L12" i="1"/>
  <c r="K12" i="1"/>
  <c r="J12" i="1"/>
  <c r="I12" i="1"/>
  <c r="H12" i="1"/>
  <c r="G12" i="1"/>
  <c r="F12" i="1"/>
  <c r="E12" i="1"/>
  <c r="D12" i="1"/>
  <c r="C12" i="1"/>
  <c r="T68" i="1"/>
  <c r="P68" i="1"/>
  <c r="O68" i="1"/>
  <c r="N68" i="1"/>
  <c r="M68" i="1"/>
  <c r="L68" i="1"/>
  <c r="K68" i="1"/>
  <c r="J68" i="1"/>
  <c r="I68" i="1"/>
  <c r="H68" i="1"/>
  <c r="G68" i="1"/>
  <c r="F68" i="1"/>
  <c r="E68" i="1"/>
  <c r="D68" i="1"/>
  <c r="T64" i="1"/>
  <c r="P64" i="1"/>
  <c r="O64" i="1"/>
  <c r="N64" i="1"/>
  <c r="M64" i="1"/>
  <c r="L64" i="1"/>
  <c r="K64" i="1"/>
  <c r="J64" i="1"/>
  <c r="I64" i="1"/>
  <c r="H64" i="1"/>
  <c r="G64" i="1"/>
  <c r="F64" i="1"/>
  <c r="E64" i="1"/>
  <c r="D64" i="1"/>
  <c r="C68" i="1"/>
  <c r="C64" i="1"/>
  <c r="P59" i="1"/>
  <c r="P61" i="1" s="1"/>
  <c r="P55" i="1"/>
  <c r="P57" i="1" s="1"/>
  <c r="P51" i="1"/>
  <c r="P53" i="1" s="1"/>
  <c r="P63" i="1" l="1"/>
  <c r="P65" i="1" s="1"/>
  <c r="P66" i="1" s="1"/>
  <c r="P67" i="1" l="1"/>
  <c r="P43" i="1"/>
  <c r="P61" i="24" l="1"/>
  <c r="U37" i="20" l="1"/>
  <c r="U36" i="20"/>
  <c r="U33" i="20"/>
  <c r="U29" i="20"/>
  <c r="U28" i="20"/>
  <c r="U25" i="20"/>
  <c r="U17" i="20"/>
  <c r="U16" i="20"/>
  <c r="U18" i="20" s="1"/>
  <c r="S25" i="8"/>
  <c r="W25" i="8" s="1"/>
  <c r="N25" i="8"/>
  <c r="S17" i="8"/>
  <c r="W17" i="8" s="1"/>
  <c r="N17" i="8"/>
  <c r="S9" i="8"/>
  <c r="W9" i="8" s="1"/>
  <c r="N9" i="8"/>
  <c r="T23" i="8"/>
  <c r="T22" i="8"/>
  <c r="T21" i="8"/>
  <c r="T15" i="8"/>
  <c r="T14" i="8"/>
  <c r="T13" i="8"/>
  <c r="T7" i="8"/>
  <c r="T6" i="8"/>
  <c r="T5" i="8"/>
  <c r="N26" i="8"/>
  <c r="N24" i="8"/>
  <c r="N18" i="8"/>
  <c r="N16" i="8"/>
  <c r="N10" i="8"/>
  <c r="N8" i="8"/>
  <c r="B8" i="8"/>
  <c r="C8" i="8"/>
  <c r="D8" i="8"/>
  <c r="E8" i="8"/>
  <c r="F8" i="8"/>
  <c r="G8" i="8"/>
  <c r="H8" i="8"/>
  <c r="I8" i="8"/>
  <c r="J8" i="8"/>
  <c r="K8" i="8"/>
  <c r="L8" i="8"/>
  <c r="M8" i="8"/>
  <c r="B9" i="8"/>
  <c r="C9" i="8"/>
  <c r="D9" i="8"/>
  <c r="E9" i="8"/>
  <c r="F9" i="8"/>
  <c r="G9" i="8"/>
  <c r="H9" i="8"/>
  <c r="I9" i="8"/>
  <c r="J9" i="8"/>
  <c r="K9" i="8"/>
  <c r="L9" i="8"/>
  <c r="M9" i="8"/>
  <c r="B10" i="8"/>
  <c r="C10" i="8"/>
  <c r="D10" i="8"/>
  <c r="E10" i="8"/>
  <c r="F10" i="8"/>
  <c r="G10" i="8"/>
  <c r="H10" i="8"/>
  <c r="I10" i="8"/>
  <c r="J10" i="8"/>
  <c r="K10" i="8"/>
  <c r="L10" i="8"/>
  <c r="M10" i="8"/>
  <c r="B16" i="8"/>
  <c r="C16" i="8"/>
  <c r="D16" i="8"/>
  <c r="E16" i="8"/>
  <c r="F16" i="8"/>
  <c r="G16" i="8"/>
  <c r="H16" i="8"/>
  <c r="I16" i="8"/>
  <c r="J16" i="8"/>
  <c r="K16" i="8"/>
  <c r="L16" i="8"/>
  <c r="M16" i="8"/>
  <c r="B17" i="8"/>
  <c r="C17" i="8"/>
  <c r="D17" i="8"/>
  <c r="E17" i="8"/>
  <c r="F17" i="8"/>
  <c r="G17" i="8"/>
  <c r="H17" i="8"/>
  <c r="I17" i="8"/>
  <c r="J17" i="8"/>
  <c r="K17" i="8"/>
  <c r="L17" i="8"/>
  <c r="M17" i="8"/>
  <c r="B18" i="8"/>
  <c r="C18" i="8"/>
  <c r="D18" i="8"/>
  <c r="E18" i="8"/>
  <c r="F18" i="8"/>
  <c r="G18" i="8"/>
  <c r="H18" i="8"/>
  <c r="I18" i="8"/>
  <c r="J18" i="8"/>
  <c r="K18" i="8"/>
  <c r="L18" i="8"/>
  <c r="M18" i="8"/>
  <c r="B24" i="8"/>
  <c r="C24" i="8"/>
  <c r="D24" i="8"/>
  <c r="E24" i="8"/>
  <c r="F24" i="8"/>
  <c r="G24" i="8"/>
  <c r="H24" i="8"/>
  <c r="I24" i="8"/>
  <c r="J24" i="8"/>
  <c r="K24" i="8"/>
  <c r="L24" i="8"/>
  <c r="M24" i="8"/>
  <c r="B25" i="8"/>
  <c r="C25" i="8"/>
  <c r="D25" i="8"/>
  <c r="E25" i="8"/>
  <c r="F25" i="8"/>
  <c r="G25" i="8"/>
  <c r="H25" i="8"/>
  <c r="I25" i="8"/>
  <c r="J25" i="8"/>
  <c r="K25" i="8"/>
  <c r="L25" i="8"/>
  <c r="M25" i="8"/>
  <c r="B26" i="8"/>
  <c r="C26" i="8"/>
  <c r="D26" i="8"/>
  <c r="E26" i="8"/>
  <c r="F26" i="8"/>
  <c r="G26" i="8"/>
  <c r="H26" i="8"/>
  <c r="I26" i="8"/>
  <c r="J26" i="8"/>
  <c r="K26" i="8"/>
  <c r="L26" i="8"/>
  <c r="M26" i="8"/>
  <c r="B32" i="8"/>
  <c r="G32" i="8"/>
  <c r="I34" i="8"/>
  <c r="F34" i="8" l="1"/>
  <c r="D32" i="8"/>
  <c r="E34" i="8"/>
  <c r="E32" i="8"/>
  <c r="C32" i="8"/>
  <c r="F32" i="8"/>
  <c r="D34" i="8"/>
  <c r="N33" i="8"/>
  <c r="U26" i="20"/>
  <c r="H34" i="8"/>
  <c r="G34" i="8"/>
  <c r="J32" i="8"/>
  <c r="L32" i="8"/>
  <c r="J34" i="8"/>
  <c r="M34" i="8"/>
  <c r="K34" i="8"/>
  <c r="N32" i="8"/>
  <c r="N34" i="8"/>
  <c r="M32" i="8"/>
  <c r="I33" i="8"/>
  <c r="L33" i="8"/>
  <c r="B33" i="8"/>
  <c r="B34" i="8"/>
  <c r="L34" i="8"/>
  <c r="J33" i="8"/>
  <c r="C34" i="8"/>
  <c r="G33" i="8"/>
  <c r="D33" i="8"/>
  <c r="H33" i="8"/>
  <c r="K33" i="8"/>
  <c r="C33" i="8"/>
  <c r="M33" i="8"/>
  <c r="I32" i="8"/>
  <c r="H32" i="8"/>
  <c r="F33" i="8"/>
  <c r="K32" i="8"/>
  <c r="E33" i="8"/>
  <c r="U62" i="1" l="1"/>
  <c r="U60" i="1"/>
  <c r="U58" i="1"/>
  <c r="U56" i="1"/>
  <c r="U54" i="1"/>
  <c r="U52" i="1"/>
  <c r="O59" i="1"/>
  <c r="O61" i="1" s="1"/>
  <c r="O55" i="1"/>
  <c r="O57" i="1" s="1"/>
  <c r="O51" i="1"/>
  <c r="U42" i="1"/>
  <c r="U41" i="1"/>
  <c r="U40" i="1"/>
  <c r="O43" i="1"/>
  <c r="C43" i="1"/>
  <c r="D43" i="1"/>
  <c r="E43" i="1"/>
  <c r="F43" i="1"/>
  <c r="G43" i="1"/>
  <c r="H43" i="1"/>
  <c r="I43" i="1"/>
  <c r="J43" i="1"/>
  <c r="K43" i="1"/>
  <c r="L43" i="1"/>
  <c r="M43" i="1"/>
  <c r="N43" i="1"/>
  <c r="O63" i="1" l="1"/>
  <c r="O65" i="1" s="1"/>
  <c r="O66" i="1" s="1"/>
  <c r="U68" i="1"/>
  <c r="O67" i="1"/>
  <c r="O53" i="1"/>
  <c r="A58" i="24" l="1"/>
  <c r="A57" i="24"/>
  <c r="A56" i="24"/>
  <c r="A55" i="24"/>
  <c r="A54" i="24"/>
  <c r="A53" i="24"/>
  <c r="A52" i="24"/>
  <c r="A51" i="24"/>
  <c r="A50" i="24"/>
  <c r="A49" i="24"/>
  <c r="A48" i="24"/>
  <c r="A47" i="24"/>
  <c r="A46" i="24"/>
  <c r="A45" i="24"/>
  <c r="A44" i="24"/>
  <c r="A43" i="24"/>
  <c r="A42" i="24"/>
  <c r="A41" i="24"/>
  <c r="A40" i="24"/>
  <c r="A39" i="24"/>
  <c r="A38" i="24"/>
  <c r="A32" i="24"/>
  <c r="A30" i="24"/>
  <c r="A29" i="24"/>
  <c r="A28" i="24"/>
  <c r="A27" i="24"/>
  <c r="A26" i="24"/>
  <c r="A25" i="24"/>
  <c r="A24" i="24"/>
  <c r="A23" i="24"/>
  <c r="A22" i="24"/>
  <c r="A21" i="24"/>
  <c r="A20" i="24"/>
  <c r="A13" i="24"/>
  <c r="A12" i="24"/>
  <c r="A11" i="24"/>
  <c r="A10" i="24"/>
  <c r="A9" i="24"/>
  <c r="A8" i="24"/>
  <c r="A7" i="24"/>
  <c r="A6" i="24"/>
  <c r="A5" i="24"/>
  <c r="A4" i="24"/>
  <c r="W21" i="14" l="1"/>
  <c r="W20" i="14"/>
  <c r="N19" i="9" l="1"/>
  <c r="Y62" i="1" l="1"/>
  <c r="Y58" i="1"/>
  <c r="Y54" i="1"/>
  <c r="N59" i="1"/>
  <c r="N61" i="1" s="1"/>
  <c r="N55" i="1"/>
  <c r="N57" i="1" s="1"/>
  <c r="N51" i="1"/>
  <c r="N53" i="1" l="1"/>
  <c r="N63" i="1"/>
  <c r="Z13" i="8"/>
  <c r="N65" i="1" l="1"/>
  <c r="N66" i="1" s="1"/>
  <c r="N67" i="1"/>
  <c r="AB43" i="1"/>
  <c r="M59" i="1" l="1"/>
  <c r="M61" i="1" s="1"/>
  <c r="M55" i="1"/>
  <c r="M57" i="1" s="1"/>
  <c r="M51" i="1"/>
  <c r="N7" i="12"/>
  <c r="N8" i="12"/>
  <c r="N26" i="12"/>
  <c r="Z28" i="12"/>
  <c r="Z27" i="12"/>
  <c r="Z26" i="12"/>
  <c r="Z9" i="12"/>
  <c r="Z8" i="12"/>
  <c r="Z7" i="12"/>
  <c r="M63" i="1" l="1"/>
  <c r="M67" i="1" s="1"/>
  <c r="M65" i="1"/>
  <c r="M66" i="1" s="1"/>
  <c r="M53" i="1"/>
  <c r="Y7" i="12"/>
  <c r="Y26" i="12" l="1"/>
  <c r="L59" i="1" l="1"/>
  <c r="L61" i="1" s="1"/>
  <c r="L55" i="1"/>
  <c r="L57" i="1" s="1"/>
  <c r="L51" i="1"/>
  <c r="L63" i="1" l="1"/>
  <c r="L67" i="1" s="1"/>
  <c r="L53" i="1"/>
  <c r="L65" i="1" l="1"/>
  <c r="L66" i="1" s="1"/>
  <c r="W17" i="14"/>
  <c r="W16" i="14"/>
  <c r="O17" i="14"/>
  <c r="P17" i="14" s="1"/>
  <c r="O16" i="14"/>
  <c r="P16" i="14" s="1"/>
  <c r="P18" i="14" l="1"/>
  <c r="X18" i="14" s="1"/>
  <c r="K59" i="1" l="1"/>
  <c r="K61" i="1" s="1"/>
  <c r="K55" i="1"/>
  <c r="K57" i="1" s="1"/>
  <c r="K51" i="1"/>
  <c r="K63" i="1" l="1"/>
  <c r="K67" i="1" s="1"/>
  <c r="K53" i="1"/>
  <c r="K65" i="1" l="1"/>
  <c r="K66" i="1" s="1"/>
  <c r="J59" i="1"/>
  <c r="J61" i="1" s="1"/>
  <c r="J55" i="1"/>
  <c r="J57" i="1" s="1"/>
  <c r="J51" i="1"/>
  <c r="J53" i="1" l="1"/>
  <c r="J63" i="1"/>
  <c r="J65" i="1" l="1"/>
  <c r="J66" i="1" s="1"/>
  <c r="J67" i="1"/>
  <c r="I59" i="1" l="1"/>
  <c r="I61" i="1" s="1"/>
  <c r="I55" i="1"/>
  <c r="I57" i="1" s="1"/>
  <c r="I51" i="1"/>
  <c r="I63" i="1" s="1"/>
  <c r="I65" i="1" l="1"/>
  <c r="I66" i="1" s="1"/>
  <c r="I67" i="1"/>
  <c r="I53" i="1"/>
  <c r="S33" i="8" l="1"/>
  <c r="W33" i="8" s="1"/>
  <c r="T31" i="8"/>
  <c r="T30" i="8"/>
  <c r="T29" i="8"/>
  <c r="H59" i="1" l="1"/>
  <c r="H61" i="1" s="1"/>
  <c r="H55" i="1"/>
  <c r="H57" i="1" s="1"/>
  <c r="H51" i="1"/>
  <c r="H63" i="1" l="1"/>
  <c r="H53" i="1"/>
  <c r="H65" i="1" l="1"/>
  <c r="H66" i="1" s="1"/>
  <c r="H67" i="1"/>
  <c r="Y38" i="20" l="1"/>
  <c r="Y30" i="20"/>
  <c r="Y26" i="20" l="1"/>
  <c r="Y34" i="20"/>
  <c r="G59" i="1" l="1"/>
  <c r="G61" i="1" s="1"/>
  <c r="G55" i="1"/>
  <c r="G57" i="1" s="1"/>
  <c r="G51" i="1"/>
  <c r="G63" i="1" l="1"/>
  <c r="G65" i="1" s="1"/>
  <c r="G66" i="1" s="1"/>
  <c r="G53" i="1"/>
  <c r="G67" i="1" l="1"/>
  <c r="F59" i="1"/>
  <c r="F61" i="1" s="1"/>
  <c r="F55" i="1"/>
  <c r="F57" i="1" s="1"/>
  <c r="F51" i="1"/>
  <c r="F63" i="1" l="1"/>
  <c r="F65" i="1" s="1"/>
  <c r="F66" i="1" s="1"/>
  <c r="F53" i="1"/>
  <c r="F67" i="1" l="1"/>
  <c r="E59" i="1"/>
  <c r="E61" i="1" s="1"/>
  <c r="E55" i="1"/>
  <c r="E57" i="1" s="1"/>
  <c r="E51" i="1"/>
  <c r="E63" i="1" l="1"/>
  <c r="E65" i="1" s="1"/>
  <c r="E66" i="1" s="1"/>
  <c r="E53" i="1"/>
  <c r="E67" i="1" l="1"/>
  <c r="D59" i="1"/>
  <c r="D61" i="1" s="1"/>
  <c r="D55" i="1"/>
  <c r="D57" i="1" s="1"/>
  <c r="D51" i="1"/>
  <c r="D63" i="1" l="1"/>
  <c r="D65" i="1" s="1"/>
  <c r="D66" i="1" s="1"/>
  <c r="D53" i="1"/>
  <c r="D67" i="1" l="1"/>
  <c r="U38" i="20" l="1"/>
  <c r="U30" i="20"/>
  <c r="C59" i="1" l="1"/>
  <c r="C61" i="1" s="1"/>
  <c r="C55" i="1"/>
  <c r="C57" i="1" s="1"/>
  <c r="C51" i="1"/>
  <c r="C53" i="1" l="1"/>
  <c r="C63" i="1"/>
  <c r="C65" i="1" s="1"/>
  <c r="C66" i="1" s="1"/>
  <c r="C67" i="1" l="1"/>
  <c r="S9" i="9" l="1"/>
  <c r="S8" i="9"/>
  <c r="S7" i="9"/>
  <c r="S6" i="9"/>
  <c r="S5" i="9"/>
  <c r="W38" i="20" l="1"/>
  <c r="W30" i="20"/>
  <c r="W26" i="20"/>
  <c r="W18" i="20" l="1"/>
  <c r="W10" i="20"/>
  <c r="W6" i="20"/>
  <c r="Z37" i="20"/>
  <c r="Z36" i="20"/>
  <c r="Z29" i="20"/>
  <c r="Z30" i="20"/>
  <c r="Z25" i="20"/>
  <c r="Z18" i="20"/>
  <c r="Z9" i="20"/>
  <c r="Z5" i="20"/>
  <c r="Z4" i="20"/>
  <c r="Z17" i="20"/>
  <c r="Z8" i="20"/>
  <c r="Z26" i="20" l="1"/>
  <c r="Z28" i="20"/>
  <c r="Z24" i="20"/>
  <c r="Z38" i="20"/>
  <c r="Z10" i="20"/>
  <c r="Z16" i="20"/>
  <c r="Y6" i="20"/>
  <c r="Z6" i="20" s="1"/>
  <c r="F9" i="12" l="1"/>
  <c r="T51" i="1" l="1"/>
  <c r="U51" i="1" l="1"/>
  <c r="Z11" i="1"/>
  <c r="U64" i="1" l="1"/>
  <c r="B21" i="22" l="1"/>
  <c r="C13" i="22"/>
  <c r="D13" i="22"/>
  <c r="E13" i="22"/>
  <c r="B13" i="22"/>
  <c r="C6" i="22"/>
  <c r="D6" i="22"/>
  <c r="E6" i="22"/>
  <c r="B6" i="22"/>
  <c r="C5" i="22" l="1"/>
  <c r="D5" i="22"/>
  <c r="E5" i="22"/>
  <c r="B5" i="22"/>
  <c r="A59" i="24" l="1"/>
  <c r="W5" i="1" l="1"/>
  <c r="AC7" i="12" l="1"/>
  <c r="AG7" i="12" s="1"/>
  <c r="AC8" i="12"/>
  <c r="AG8" i="12" s="1"/>
  <c r="AE7" i="12" l="1"/>
  <c r="AE8" i="12"/>
  <c r="AE28" i="12"/>
  <c r="AC28" i="12"/>
  <c r="AD28" i="12" s="1"/>
  <c r="AB28" i="12"/>
  <c r="Y28" i="12"/>
  <c r="AA28" i="12" s="1"/>
  <c r="AE27" i="12"/>
  <c r="AC27" i="12"/>
  <c r="AB27" i="12"/>
  <c r="Y27" i="12"/>
  <c r="AA27" i="12" s="1"/>
  <c r="AE26" i="12"/>
  <c r="AC26" i="12"/>
  <c r="AB26" i="12"/>
  <c r="AA26" i="12"/>
  <c r="AE9" i="12"/>
  <c r="AC9" i="12"/>
  <c r="AD7" i="12"/>
  <c r="AB9" i="12"/>
  <c r="AB8" i="12"/>
  <c r="AB7" i="12"/>
  <c r="Y9" i="12"/>
  <c r="AA9" i="12" s="1"/>
  <c r="Y8" i="12"/>
  <c r="AA8" i="12" s="1"/>
  <c r="AA7" i="12"/>
  <c r="AG9" i="12" l="1"/>
  <c r="AD9" i="12"/>
  <c r="AG27" i="12"/>
  <c r="AD27" i="12"/>
  <c r="AG26" i="12"/>
  <c r="AD26" i="12"/>
  <c r="AG28" i="12"/>
  <c r="AI29" i="12"/>
  <c r="AI10" i="12"/>
  <c r="AD8" i="12"/>
  <c r="N9" i="12"/>
  <c r="O9" i="12" l="1"/>
  <c r="O8" i="12"/>
  <c r="O7" i="12"/>
  <c r="X29" i="12"/>
  <c r="X10" i="12" l="1"/>
  <c r="F7" i="12" l="1"/>
  <c r="S26" i="8"/>
  <c r="W26" i="8" s="1"/>
  <c r="S18" i="8"/>
  <c r="W18" i="8" s="1"/>
  <c r="S10" i="8"/>
  <c r="W10" i="8" s="1"/>
  <c r="A33" i="24"/>
  <c r="A61" i="24" l="1"/>
  <c r="A14" i="24"/>
  <c r="M13" i="23" l="1"/>
  <c r="M12" i="23"/>
  <c r="M8" i="23"/>
  <c r="M7" i="23"/>
  <c r="M3" i="23"/>
  <c r="M2" i="23"/>
  <c r="E4" i="23"/>
  <c r="E11" i="23"/>
  <c r="G10" i="23"/>
  <c r="G9" i="23"/>
  <c r="G8" i="23"/>
  <c r="G4" i="23"/>
  <c r="G2" i="23"/>
  <c r="G3" i="23"/>
  <c r="G1" i="23"/>
  <c r="M14" i="23" l="1"/>
  <c r="G11" i="23"/>
  <c r="O14" i="23" l="1"/>
  <c r="M22" i="23"/>
  <c r="M9" i="23"/>
  <c r="M21" i="23" s="1"/>
  <c r="M4" i="23"/>
  <c r="O4" i="23" s="1"/>
  <c r="M23" i="23" l="1"/>
  <c r="E21" i="22" l="1"/>
  <c r="D21" i="22"/>
  <c r="C21" i="22"/>
  <c r="C14" i="22"/>
  <c r="D14" i="22"/>
  <c r="E22" i="22"/>
  <c r="D22" i="22"/>
  <c r="C22" i="22"/>
  <c r="F6" i="22" l="1"/>
  <c r="D7" i="22"/>
  <c r="E14" i="22"/>
  <c r="E15" i="22" s="1"/>
  <c r="E31" i="22" s="1"/>
  <c r="E7" i="22"/>
  <c r="F21" i="22"/>
  <c r="C23" i="22"/>
  <c r="C32" i="22" s="1"/>
  <c r="C7" i="22"/>
  <c r="F5" i="22"/>
  <c r="B14" i="22"/>
  <c r="B15" i="22" s="1"/>
  <c r="B31" i="22" s="1"/>
  <c r="B7" i="22"/>
  <c r="E23" i="22"/>
  <c r="D23" i="22"/>
  <c r="D15" i="22"/>
  <c r="D31" i="22" s="1"/>
  <c r="C15" i="22"/>
  <c r="C31" i="22" s="1"/>
  <c r="F13" i="22"/>
  <c r="B22" i="22"/>
  <c r="F7" i="22" l="1"/>
  <c r="H7" i="22" s="1"/>
  <c r="C33" i="22"/>
  <c r="C34" i="22" s="1"/>
  <c r="F22" i="22"/>
  <c r="F23" i="22" s="1"/>
  <c r="H23" i="22" s="1"/>
  <c r="B23" i="22"/>
  <c r="F14" i="22"/>
  <c r="F15" i="22" s="1"/>
  <c r="E32" i="22"/>
  <c r="E33" i="22" s="1"/>
  <c r="E34" i="22" s="1"/>
  <c r="D32" i="22"/>
  <c r="D33" i="22" s="1"/>
  <c r="D34" i="22" s="1"/>
  <c r="F32" i="22" l="1"/>
  <c r="F31" i="22"/>
  <c r="B32" i="22"/>
  <c r="B33" i="22" s="1"/>
  <c r="B34" i="22" s="1"/>
  <c r="F33" i="22" l="1"/>
  <c r="F34" i="22" s="1"/>
  <c r="U22" i="14" l="1"/>
  <c r="S22" i="14" l="1"/>
  <c r="R22" i="14"/>
  <c r="S21" i="14"/>
  <c r="S20" i="14"/>
  <c r="R20" i="14" l="1"/>
  <c r="U20" i="14"/>
  <c r="R21" i="14"/>
  <c r="U21" i="14"/>
  <c r="O18" i="14"/>
  <c r="S15" i="14"/>
  <c r="U17" i="14" l="1"/>
  <c r="U16" i="14"/>
  <c r="O25" i="14"/>
  <c r="O24" i="14"/>
  <c r="O23" i="14"/>
  <c r="R15" i="14"/>
  <c r="U15" i="14"/>
  <c r="P25" i="14" l="1"/>
  <c r="P24" i="14"/>
  <c r="P23" i="14"/>
  <c r="X26" i="8" l="1"/>
  <c r="T10" i="8"/>
  <c r="V10" i="8" s="1"/>
  <c r="X18" i="8"/>
  <c r="X10" i="8"/>
  <c r="Y10" i="8" l="1"/>
  <c r="T59" i="1" l="1"/>
  <c r="U59" i="1" s="1"/>
  <c r="U61" i="1" s="1"/>
  <c r="T55" i="1"/>
  <c r="T53" i="1"/>
  <c r="U55" i="1" l="1"/>
  <c r="U57" i="1" s="1"/>
  <c r="T63" i="1"/>
  <c r="U63" i="1" s="1"/>
  <c r="U65" i="1" s="1"/>
  <c r="U66" i="1" s="1"/>
  <c r="T57" i="1"/>
  <c r="T61" i="1"/>
  <c r="X42" i="1"/>
  <c r="X41" i="1"/>
  <c r="T43" i="1"/>
  <c r="AA43" i="1" s="1"/>
  <c r="S24" i="8"/>
  <c r="W24" i="8" s="1"/>
  <c r="S16" i="8"/>
  <c r="W16" i="8" s="1"/>
  <c r="S8" i="8"/>
  <c r="W8" i="8" s="1"/>
  <c r="H9" i="12"/>
  <c r="F8" i="12"/>
  <c r="H8" i="12" s="1"/>
  <c r="H7" i="12"/>
  <c r="D9" i="12"/>
  <c r="D8" i="12"/>
  <c r="D7" i="12"/>
  <c r="F28" i="12"/>
  <c r="H28" i="12" s="1"/>
  <c r="F27" i="12"/>
  <c r="H27" i="12" s="1"/>
  <c r="F26" i="12"/>
  <c r="H26" i="12" s="1"/>
  <c r="D28" i="12"/>
  <c r="D26" i="12"/>
  <c r="T65" i="1" l="1"/>
  <c r="T66" i="1" s="1"/>
  <c r="T67" i="1"/>
  <c r="D27" i="12"/>
  <c r="S34" i="8" l="1"/>
  <c r="W34" i="8" s="1"/>
  <c r="S32" i="8"/>
  <c r="W32" i="8" s="1"/>
  <c r="Y23" i="8"/>
  <c r="X25" i="8"/>
  <c r="Y15" i="8"/>
  <c r="X17" i="8"/>
  <c r="T26" i="8" l="1"/>
  <c r="T18" i="8"/>
  <c r="Y21" i="8"/>
  <c r="Y13" i="8"/>
  <c r="T25" i="8"/>
  <c r="V25" i="8" s="1"/>
  <c r="T17" i="8"/>
  <c r="Y22" i="8"/>
  <c r="Y14" i="8"/>
  <c r="Y18" i="8" l="1"/>
  <c r="V18" i="8"/>
  <c r="Y26" i="8"/>
  <c r="V26" i="8"/>
  <c r="Y17" i="8"/>
  <c r="V17" i="8"/>
  <c r="Y25" i="8"/>
  <c r="Q5" i="9"/>
  <c r="O8" i="14" l="1"/>
  <c r="Z21" i="8" l="1"/>
  <c r="Z5" i="8"/>
  <c r="T34" i="8" l="1"/>
  <c r="X34" i="8"/>
  <c r="Y30" i="8"/>
  <c r="X33" i="8"/>
  <c r="Y29" i="8"/>
  <c r="Y31" i="8"/>
  <c r="T33" i="8"/>
  <c r="V33" i="8" l="1"/>
  <c r="V34" i="8"/>
  <c r="Y34" i="8"/>
  <c r="Y33" i="8"/>
  <c r="V8" i="14" l="1"/>
  <c r="U7" i="14"/>
  <c r="U6" i="14"/>
  <c r="U5" i="14" l="1"/>
  <c r="P8" i="14"/>
  <c r="U8" i="14" l="1"/>
  <c r="S18" i="9"/>
  <c r="O19" i="9" l="1"/>
  <c r="S19" i="9" l="1"/>
  <c r="Q19" i="9"/>
  <c r="Q29" i="12" l="1"/>
  <c r="G29" i="12"/>
  <c r="Q10" i="12"/>
  <c r="G10" i="12"/>
  <c r="M29" i="12" l="1"/>
  <c r="Z29" i="12" s="1"/>
  <c r="K29" i="12"/>
  <c r="J29" i="12"/>
  <c r="E29" i="12"/>
  <c r="C29" i="12"/>
  <c r="B29" i="12"/>
  <c r="N28" i="12"/>
  <c r="O28" i="12" s="1"/>
  <c r="L28" i="12"/>
  <c r="N27" i="12"/>
  <c r="O27" i="12" s="1"/>
  <c r="L27" i="12"/>
  <c r="O26" i="12"/>
  <c r="L26" i="12"/>
  <c r="E10" i="12"/>
  <c r="C10" i="12"/>
  <c r="B10" i="12"/>
  <c r="R27" i="12" l="1"/>
  <c r="R28" i="12"/>
  <c r="R26" i="12"/>
  <c r="AE29" i="12"/>
  <c r="Y29" i="12"/>
  <c r="AA29" i="12" s="1"/>
  <c r="AB29" i="12"/>
  <c r="AC29" i="12"/>
  <c r="D29" i="12"/>
  <c r="F29" i="12"/>
  <c r="H29" i="12" s="1"/>
  <c r="F10" i="12"/>
  <c r="H10" i="12" s="1"/>
  <c r="D10" i="12"/>
  <c r="L29" i="12"/>
  <c r="U27" i="12"/>
  <c r="U26" i="12"/>
  <c r="N29" i="12"/>
  <c r="U28" i="12"/>
  <c r="AG29" i="12" l="1"/>
  <c r="AD29" i="12"/>
  <c r="O29" i="12"/>
  <c r="U29" i="12"/>
  <c r="R29" i="12"/>
  <c r="M10" i="12"/>
  <c r="Z10" i="12" s="1"/>
  <c r="K10" i="12"/>
  <c r="J10" i="12"/>
  <c r="R9" i="12"/>
  <c r="L9" i="12"/>
  <c r="P9" i="12" s="1"/>
  <c r="R8" i="12"/>
  <c r="L8" i="12"/>
  <c r="P8" i="12" s="1"/>
  <c r="L7" i="12"/>
  <c r="P7" i="12" s="1"/>
  <c r="N10" i="12" l="1"/>
  <c r="AE10" i="12"/>
  <c r="AB10" i="12"/>
  <c r="Y10" i="12"/>
  <c r="AA10" i="12" s="1"/>
  <c r="AC10" i="12"/>
  <c r="AG10" i="12" s="1"/>
  <c r="U7" i="12"/>
  <c r="R7" i="12"/>
  <c r="U8" i="12"/>
  <c r="U9" i="12"/>
  <c r="L10" i="12"/>
  <c r="P10" i="12" l="1"/>
  <c r="O10" i="12"/>
  <c r="AD10" i="12"/>
  <c r="U10" i="12"/>
  <c r="R10" i="12"/>
  <c r="Q7" i="14" l="1"/>
  <c r="Q6" i="14"/>
  <c r="R7" i="14" l="1"/>
  <c r="S7" i="14"/>
  <c r="Q8" i="14"/>
  <c r="S5" i="14"/>
  <c r="R5" i="14"/>
  <c r="S6" i="14"/>
  <c r="R6" i="14"/>
  <c r="Y6" i="8"/>
  <c r="Y7" i="8"/>
  <c r="X9" i="8"/>
  <c r="T9" i="8"/>
  <c r="V9" i="8" s="1"/>
  <c r="Y5" i="8"/>
  <c r="S8" i="14" l="1"/>
  <c r="R8" i="14"/>
  <c r="Y9" i="8"/>
  <c r="AF43" i="1"/>
  <c r="W57" i="1" l="1"/>
  <c r="W61" i="1"/>
  <c r="Q7" i="9"/>
  <c r="Q6" i="9"/>
  <c r="Q8" i="9"/>
  <c r="U53" i="1"/>
  <c r="W53" i="1" s="1"/>
  <c r="Y68" i="1"/>
  <c r="W68" i="1" l="1"/>
  <c r="U67" i="1"/>
  <c r="Y57" i="1"/>
  <c r="Y61" i="1"/>
  <c r="Q9" i="9"/>
  <c r="Y53" i="1"/>
  <c r="W67" i="1" l="1"/>
  <c r="AJ42" i="1"/>
  <c r="AJ41" i="1"/>
  <c r="AI42" i="1"/>
  <c r="AI41" i="1"/>
  <c r="V43" i="1"/>
  <c r="AG43" i="1"/>
  <c r="AI40" i="1"/>
  <c r="AJ40" i="1" s="1"/>
  <c r="AD41" i="1"/>
  <c r="AD42" i="1"/>
  <c r="AD40" i="1"/>
  <c r="Z9" i="1"/>
  <c r="Z7" i="1"/>
  <c r="Z5" i="1"/>
  <c r="W11" i="1"/>
  <c r="W9" i="1"/>
  <c r="W7" i="1"/>
  <c r="W65" i="1" l="1"/>
  <c r="Y65" i="1"/>
  <c r="Z41" i="1"/>
  <c r="X40" i="1"/>
  <c r="Z40" i="1" s="1"/>
  <c r="AH42" i="1"/>
  <c r="AH41" i="1"/>
  <c r="AH40" i="1"/>
  <c r="W42" i="1"/>
  <c r="AM42" i="1" s="1"/>
  <c r="W40" i="1"/>
  <c r="AM40" i="1" s="1"/>
  <c r="W41" i="1"/>
  <c r="AM41" i="1" s="1"/>
  <c r="Z42" i="1"/>
  <c r="U43" i="1"/>
  <c r="W43" i="1" s="1"/>
  <c r="AI43" i="1"/>
  <c r="AJ43" i="1" s="1"/>
  <c r="W44" i="1" l="1"/>
  <c r="AM43" i="1"/>
  <c r="W66" i="1"/>
  <c r="X43" i="1"/>
  <c r="Z29" i="8"/>
  <c r="AD43" i="1"/>
  <c r="AH43" i="1"/>
  <c r="AE40" i="1"/>
  <c r="AE42" i="1"/>
  <c r="AE41" i="1"/>
  <c r="AE43" i="1" l="1"/>
  <c r="Z43" i="1"/>
  <c r="S17" i="14" l="1"/>
  <c r="R17" i="14"/>
  <c r="W18" i="14"/>
  <c r="W25" i="14" l="1"/>
  <c r="W24" i="14"/>
  <c r="W23" i="14"/>
  <c r="Q18" i="14"/>
  <c r="S16" i="14"/>
  <c r="R16" i="14"/>
  <c r="Q23" i="14" l="1"/>
  <c r="Q25" i="14"/>
  <c r="Q24" i="14"/>
  <c r="S18" i="14"/>
  <c r="R18" i="14"/>
  <c r="U24" i="14" l="1"/>
  <c r="R24" i="14"/>
  <c r="S24" i="14"/>
  <c r="S25" i="14"/>
  <c r="R25" i="14"/>
  <c r="S23" i="14"/>
  <c r="R23" i="14"/>
  <c r="U25" i="14" l="1"/>
  <c r="U18" i="14"/>
  <c r="U23"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tc={E0210249-8680-4BA4-97FD-5253BF6C6482}</author>
    <author>tc={55094D04-C391-415F-810D-5732AF74B31E}</author>
    <author>tc={5DD18D2E-64B6-4600-899D-A5ED95F1667B}</author>
    <author>tc={5B92A202-547D-46C0-8332-5C6514F80465}</author>
    <author>tc={25E891D3-F9A7-444B-9212-A48686379CC4}</author>
    <author>tc={3D116144-BFAC-4E44-BEB7-FA3E3122313A}</author>
  </authors>
  <commentList>
    <comment ref="V4" authorId="0" shapeId="0" xr:uid="{E0210249-8680-4BA4-97FD-5253BF6C6482}">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OTIF: ≥ +10 pts% vs FY’25</t>
        </r>
      </text>
    </comment>
    <comment ref="G54" authorId="1" shapeId="0" xr:uid="{55094D04-C391-415F-810D-5732AF74B31E}">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HARD SHORT (PACK)</t>
        </r>
      </text>
    </comment>
    <comment ref="K54" authorId="2" shapeId="0" xr:uid="{5DD18D2E-64B6-4600-899D-A5ED95F1667B}">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D-AIR SKI 2 EVO
PRO-ARMOR BACK LONG 2.0</t>
        </r>
      </text>
    </comment>
    <comment ref="M54" authorId="3" shapeId="0" xr:uid="{5B92A202-547D-46C0-8332-5C6514F80465}">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DAIR SKI
SMART AIR PRO</t>
        </r>
      </text>
    </comment>
    <comment ref="A67" authorId="4" shapeId="0" xr:uid="{25E891D3-F9A7-444B-9212-A48686379CC4}">
      <text>
        <r>
          <rPr>
            <sz val="10"/>
            <color theme="1"/>
            <rFont val="Calibri"/>
            <family val="2"/>
          </rPr>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Parts Per Million: measure of the number of defects per one million units 
Rispondi:
PPM = {Number of Defective Items} {Total Number of Units Produced} x 1,000,000 </t>
        </r>
      </text>
    </comment>
    <comment ref="V67" authorId="5" shapeId="0" xr:uid="{3D116144-BFAC-4E44-BEB7-FA3E3122313A}">
      <text>
        <r>
          <rPr>
            <sz val="10"/>
            <color theme="1"/>
            <rFont val="Calibri"/>
            <family val="2"/>
          </rPr>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Six Sigma target 3.4 defects per million opportunities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tc={1F633EC9-C166-4F97-ADE2-9C89C3D8E370}</author>
    <author>tc={B941D389-E9F9-455B-9137-11F9AC8FC7A1}</author>
    <author>tc={BDF84530-AA2D-4B3D-A638-EBEA81610C2B}</author>
  </authors>
  <commentList>
    <comment ref="B65" authorId="0" shapeId="0" xr:uid="{1F633EC9-C166-4F97-ADE2-9C89C3D8E370}">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Non incluso Imre come Expat</t>
        </r>
      </text>
    </comment>
    <comment ref="A152" authorId="1" shapeId="0" xr:uid="{B941D389-E9F9-455B-9137-11F9AC8FC7A1}">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Overtime rate</t>
        </r>
      </text>
    </comment>
    <comment ref="D161" authorId="2" shapeId="0" xr:uid="{BDF84530-AA2D-4B3D-A638-EBEA81610C2B}">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Costo tecnico dall’Italia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tc={280EAAC6-E7DC-45DD-877E-2CBE8C1515AA}</author>
  </authors>
  <commentList>
    <comment ref="B14" authorId="0" shapeId="0" xr:uid="{280EAAC6-E7DC-45DD-877E-2CBE8C1515AA}">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Overtime rate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tc={2D959566-75BC-4CE9-B682-8394832A9C1C}</author>
    <author>tc={DDCB5FA4-93C8-4A54-9187-C79998A73260}</author>
    <author>tc={5A6817C1-1A1A-4D21-A9C7-878BE01C069E}</author>
    <author>tc={8CE65EB3-E7AA-479D-8819-51862A28273D}</author>
    <author>tc={E02818DA-F559-4400-8566-69CC63C1DD85}</author>
    <author>tc={039171A1-E684-446A-908B-99688F10FE27}</author>
    <author>tc={EBC8E7E7-A05A-4C1E-873A-257178C90C34}</author>
    <author>tc={DBEA641B-D3E8-4BAE-B738-11CAA0851C62}</author>
    <author>tc={D696781B-7FEE-4445-9BAB-EADA80CFDF87}</author>
    <author>tc={E988BA29-BC35-4458-90A5-4F4DC502AF93}</author>
    <author>tc={68C3B655-08BB-4E23-9D78-017F819776FD}</author>
    <author>tc={F0B3F42D-FC1A-4964-A10C-080EA0B88240}</author>
    <author>tc={CB4B95E4-ADD7-4255-922F-40D5DC41D78B}</author>
    <author>tc={0AC50707-D070-4A27-B641-2AEC19462DAE}</author>
    <author>tc={485B8F51-0BC8-426E-88F5-B1DB14C5A744}</author>
    <author>tc={EE913B4D-4880-4AA0-B65B-9251110DC8A6}</author>
    <author>tc={71665BC9-32EE-4DD5-888C-76DC021F554B}</author>
  </authors>
  <commentList>
    <comment ref="N6" authorId="0" shapeId="0" xr:uid="{2D959566-75BC-4CE9-B682-8394832A9C1C}">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DHU:
Ottimo: &lt; 2%
Accettabile: 2% – 4%
Critico: &gt; 5%</t>
        </r>
      </text>
    </comment>
    <comment ref="O6" authorId="1" shapeId="0" xr:uid="{DDCB5FA4-93C8-4A54-9187-C79998A73260}">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Is called also First Time Yield
Rispondi:
# of good units produced (including Re-work &amp; Repair) / Total inspected units</t>
        </r>
      </text>
    </comment>
    <comment ref="P6" authorId="2" shapeId="0" xr:uid="{5A6817C1-1A1A-4D21-A9C7-878BE01C069E}">
      <text>
        <r>
          <rPr>
            <sz val="10"/>
            <color theme="1"/>
            <rFont val="Calibri"/>
            <family val="2"/>
          </rPr>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First Pass Yield
Rispondi:
# of good units produced (without re-work &amp; Repair) / Total inspected units
Rispondi:
FPY = (Good units produced on first pass ÷ Total units entering the process) × 100 </t>
        </r>
      </text>
    </comment>
    <comment ref="Y6" authorId="3" shapeId="0" xr:uid="{8CE65EB3-E7AA-479D-8819-51862A28273D}">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Defects per unit
Idealmente vicino a 0,10 – 0,15 (cioè 1 difetto ogni 7-10 pezzi).</t>
        </r>
      </text>
    </comment>
    <comment ref="Z6" authorId="4" shapeId="0" xr:uid="{E02818DA-F559-4400-8566-69CC63C1DD85}">
      <text>
        <r>
          <rPr>
            <sz val="10"/>
            <color theme="1"/>
            <rFont val="Calibri"/>
            <family val="2"/>
          </rPr>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Defects Per Rejected o Defects Per Repaired
1,0 – 1,5 è considerato normale (un capo difettato ha 1-2 difetti).
Se &gt; 2, significa che i pezzi difettati sono molto problematici.
</t>
        </r>
      </text>
    </comment>
    <comment ref="AB6" authorId="5" shapeId="0" xr:uid="{039171A1-E684-446A-908B-99688F10FE27}">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Defects per opportunity</t>
        </r>
      </text>
    </comment>
    <comment ref="AC6" authorId="6" shapeId="0" xr:uid="{EBC8E7E7-A05A-4C1E-873A-257178C90C34}">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Defects per million opportunities</t>
        </r>
      </text>
    </comment>
    <comment ref="AE6" authorId="7" shapeId="0" xr:uid="{DBEA641B-D3E8-4BAE-B738-11CAA0851C62}">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Defective Parts per million
(Defective Parts / Total Parts)*1000000 
Rispondi:
Or DPMU Defective per million units</t>
        </r>
      </text>
    </comment>
    <comment ref="D25" authorId="8" shapeId="0" xr:uid="{D696781B-7FEE-4445-9BAB-EADA80CFDF87}">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Trgt 21%</t>
        </r>
      </text>
    </comment>
    <comment ref="N25" authorId="9" shapeId="0" xr:uid="{E988BA29-BC35-4458-90A5-4F4DC502AF93}">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DHU:
Ottimo: &lt; 2%
Accettabile: 2% – 4%
Critico: &gt; 5%</t>
        </r>
      </text>
    </comment>
    <comment ref="O25" authorId="10" shapeId="0" xr:uid="{68C3B655-08BB-4E23-9D78-017F819776FD}">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First Time Yield
Rispondi:
# of good units produced (including Re-work &amp; Repair) / Total inspected units</t>
        </r>
      </text>
    </comment>
    <comment ref="P25" authorId="11" shapeId="0" xr:uid="{F0B3F42D-FC1A-4964-A10C-080EA0B88240}">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First Pass Yield
Rispondi:
# of good units produced (without re-work &amp; Repair) / Total inspected units</t>
        </r>
      </text>
    </comment>
    <comment ref="Y25" authorId="12" shapeId="0" xr:uid="{CB4B95E4-ADD7-4255-922F-40D5DC41D78B}">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Defects per unit
Idealmente vicino a 0,10 – 0,15 (cioè 1 difetto ogni 7-10 pezzi).</t>
        </r>
      </text>
    </comment>
    <comment ref="Z25" authorId="13" shapeId="0" xr:uid="{0AC50707-D070-4A27-B641-2AEC19462DAE}">
      <text>
        <r>
          <rPr>
            <sz val="10"/>
            <color theme="1"/>
            <rFont val="Calibri"/>
            <family val="2"/>
          </rPr>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Defects Per Rejected o Defects Per Repaired
1,0 – 1,5 è considerato normale (un capo difettato ha 1-2 difetti).
Se &gt; 2, significa che i pezzi difettati sono molto problematici.
</t>
        </r>
      </text>
    </comment>
    <comment ref="AB25" authorId="14" shapeId="0" xr:uid="{485B8F51-0BC8-426E-88F5-B1DB14C5A744}">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Defects per opportunity</t>
        </r>
      </text>
    </comment>
    <comment ref="AC25" authorId="15" shapeId="0" xr:uid="{EE913B4D-4880-4AA0-B65B-9251110DC8A6}">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Defects per million opportunities</t>
        </r>
      </text>
    </comment>
    <comment ref="AE25" authorId="16" shapeId="0" xr:uid="{71665BC9-32EE-4DD5-888C-76DC021F554B}">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Defective Parts per million
Rispondi:
Or DPMU Defective per million units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tc={8DF99E39-FB5C-47A0-99FE-D1D39FF497DC}</author>
    <author>tc={2A6238B0-E95A-4537-A7A9-69728D6C2709}</author>
    <author>tc={07CADB1F-02AD-45AA-87F1-0CF4BE82D2DF}</author>
    <author>tc={3BE66543-033B-47DB-80F5-D163AF63F780}</author>
    <author>tc={6A5AEF2E-2B72-41E3-9B4D-8C70F05C0EFE}</author>
    <author>tc={FA477237-6F50-4C5C-8DD1-2B05E77E0C65}</author>
    <author>tc={4BF8215E-65EE-439C-8970-2F34FF2C6076}</author>
  </authors>
  <commentList>
    <comment ref="J6" authorId="0" shapeId="0" xr:uid="{8DF99E39-FB5C-47A0-99FE-D1D39FF497DC}">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Incluso RW</t>
        </r>
      </text>
    </comment>
    <comment ref="K6" authorId="1" shapeId="0" xr:uid="{2A6238B0-E95A-4537-A7A9-69728D6C2709}">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Incluso RW</t>
        </r>
      </text>
    </comment>
    <comment ref="B22" authorId="2" shapeId="0" xr:uid="{07CADB1F-02AD-45AA-87F1-0CF4BE82D2DF}">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Included RW</t>
        </r>
      </text>
    </comment>
    <comment ref="C22" authorId="3" shapeId="0" xr:uid="{3BE66543-033B-47DB-80F5-D163AF63F780}">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Included RW</t>
        </r>
      </text>
    </comment>
    <comment ref="J22" authorId="4" shapeId="0" xr:uid="{6A5AEF2E-2B72-41E3-9B4D-8C70F05C0EFE}">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Incluso RW</t>
        </r>
      </text>
    </comment>
    <comment ref="K22" authorId="5" shapeId="0" xr:uid="{FA477237-6F50-4C5C-8DD1-2B05E77E0C65}">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Incluso RW</t>
        </r>
      </text>
    </comment>
    <comment ref="L22" authorId="6" shapeId="0" xr:uid="{4BF8215E-65EE-439C-8970-2F34FF2C6076}">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Incluso RW</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tc={0E3765E9-A21C-4CDD-B3D1-150539B5ED7C}</author>
  </authors>
  <commentList>
    <comment ref="B21" authorId="0" shapeId="0" xr:uid="{0E3765E9-A21C-4CDD-B3D1-150539B5ED7C}">
      <text>
        <r>
          <rPr>
            <sz val="10"/>
            <color theme="1"/>
            <rFont val="Calibri"/>
            <family val="2"/>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Direct labour + Indirect</t>
        </r>
      </text>
    </comment>
  </commentList>
</comments>
</file>

<file path=xl/sharedStrings.xml><?xml version="1.0" encoding="utf-8"?>
<sst xmlns="http://schemas.openxmlformats.org/spreadsheetml/2006/main" count="1080" uniqueCount="522">
  <si>
    <t>BU</t>
  </si>
  <si>
    <t>YTD</t>
  </si>
  <si>
    <t>Safety</t>
  </si>
  <si>
    <t>Leather</t>
  </si>
  <si>
    <t>D|air</t>
  </si>
  <si>
    <t>MEL-T</t>
  </si>
  <si>
    <t>+/- Vs bdg</t>
  </si>
  <si>
    <t>YoY %</t>
  </si>
  <si>
    <t>Operational Efficiency % (O-Eff%)</t>
  </si>
  <si>
    <t>+/- Vs pln</t>
  </si>
  <si>
    <t>+/- Vs trgt</t>
  </si>
  <si>
    <t>PLAN</t>
  </si>
  <si>
    <t>TARGET</t>
  </si>
  <si>
    <t>BDG</t>
  </si>
  <si>
    <t>% Var.</t>
  </si>
  <si>
    <t>SL %</t>
  </si>
  <si>
    <t>SL% Vs plan</t>
  </si>
  <si>
    <t>WIP FG</t>
  </si>
  <si>
    <t>Customer Experience &amp; Responsiveness</t>
  </si>
  <si>
    <t>Productivity &amp; Efficiency</t>
  </si>
  <si>
    <t>Apparel Quality Rate</t>
  </si>
  <si>
    <t>€/unit of RM</t>
  </si>
  <si>
    <t>Costs &amp; Profitability</t>
  </si>
  <si>
    <t>Warehouse &amp; Inventory Management</t>
  </si>
  <si>
    <t>YoY%</t>
  </si>
  <si>
    <t>Overall Turnover rate (in %)</t>
  </si>
  <si>
    <t>Employee Retention &amp; Productivity</t>
  </si>
  <si>
    <t>Indirect</t>
  </si>
  <si>
    <t xml:space="preserve"> +/- Vs trgt</t>
  </si>
  <si>
    <t>Absenteeism Rate (in %)</t>
  </si>
  <si>
    <t>Absenteeism Rate</t>
  </si>
  <si>
    <t>MO count</t>
  </si>
  <si>
    <t>OTIF 1st conf</t>
  </si>
  <si>
    <t>OTIF 1st conf total</t>
  </si>
  <si>
    <t>MO count total</t>
  </si>
  <si>
    <t>Lead Time (LT)</t>
  </si>
  <si>
    <t>Customer Claims</t>
  </si>
  <si>
    <t>Customer Claims total</t>
  </si>
  <si>
    <t>LEATHER</t>
  </si>
  <si>
    <t>Efficiency (mth)</t>
  </si>
  <si>
    <t>Efficiency (ytd)</t>
  </si>
  <si>
    <t>SAFETY</t>
  </si>
  <si>
    <t>D|AIR</t>
  </si>
  <si>
    <t>Safety - Direct</t>
  </si>
  <si>
    <t>Safety - Indirect</t>
  </si>
  <si>
    <t>Total Safety</t>
  </si>
  <si>
    <t>Leather - Direct</t>
  </si>
  <si>
    <t>Leather - Indirect</t>
  </si>
  <si>
    <t>Total Leather</t>
  </si>
  <si>
    <t>D|air - Direct</t>
  </si>
  <si>
    <t>D|air - Indirect</t>
  </si>
  <si>
    <t>Total D|air</t>
  </si>
  <si>
    <t>Comune - Indirect</t>
  </si>
  <si>
    <t>Total Direct</t>
  </si>
  <si>
    <t>Total Indirect</t>
  </si>
  <si>
    <t>Total Headcount</t>
  </si>
  <si>
    <t>* It's agreed that all shipments in advance of the requested delivery date are accepted and don't create any negative signal to OTIF</t>
  </si>
  <si>
    <t>** For OTIF only MOs not sent in time for MEL-T reasons are considered</t>
  </si>
  <si>
    <t xml:space="preserve">Source: "OTIF_LT KPIs.xlsx" </t>
  </si>
  <si>
    <t xml:space="preserve">Source: "KPIs.xlsx" </t>
  </si>
  <si>
    <t>Reliability of deliveries (POM)</t>
  </si>
  <si>
    <t>HELMET</t>
  </si>
  <si>
    <t>MoM%</t>
  </si>
  <si>
    <t>Source: "Qualipro"</t>
  </si>
  <si>
    <t>Year to date refers to the period of time beginning the first day of the current calendar year up to the 			current date</t>
  </si>
  <si>
    <t>Last year refers to the sameperiod of last year</t>
  </si>
  <si>
    <t>Previous year means Last 12 months of the reporting period</t>
  </si>
  <si>
    <t>YoY % Growth</t>
  </si>
  <si>
    <t>Rate of change used to compare the performance of a business over tow consecutive years</t>
  </si>
  <si>
    <t>Terms &amp; Acronym:</t>
  </si>
  <si>
    <t xml:space="preserve">Rolling L12M </t>
  </si>
  <si>
    <t>% Var. Vs PY</t>
  </si>
  <si>
    <t>Qty
prod</t>
  </si>
  <si>
    <t>Check Rate</t>
  </si>
  <si>
    <t>MONTH</t>
  </si>
  <si>
    <t>MoM %</t>
  </si>
  <si>
    <t>ratio direct/indirect</t>
  </si>
  <si>
    <t>1.0 FTE</t>
  </si>
  <si>
    <t>CUTTING</t>
  </si>
  <si>
    <t>Functional-Group</t>
  </si>
  <si>
    <t>HC</t>
  </si>
  <si>
    <t>Dair</t>
  </si>
  <si>
    <t>CUTTING HC</t>
  </si>
  <si>
    <t>CUTTING 1.0 FTE</t>
  </si>
  <si>
    <t>STITCHING</t>
  </si>
  <si>
    <t>STITCHING HC</t>
  </si>
  <si>
    <t>STITCHING 1.0 FTE</t>
  </si>
  <si>
    <t>PREPARATION</t>
  </si>
  <si>
    <t>ASSEMBLING</t>
  </si>
  <si>
    <t>QUALITY</t>
  </si>
  <si>
    <t>HC total</t>
  </si>
  <si>
    <t>1.0 FTE total</t>
  </si>
  <si>
    <t>PREPARATION HC</t>
  </si>
  <si>
    <t>PREPARATION 1.0 FTE</t>
  </si>
  <si>
    <t>ASSEMBLING HC</t>
  </si>
  <si>
    <t>ASSEMBLING 1.0 FTE</t>
  </si>
  <si>
    <t>QUALITY HC</t>
  </si>
  <si>
    <t>QUALITY 1.0 FTE</t>
  </si>
  <si>
    <t>Direct total</t>
  </si>
  <si>
    <t>Available Hrs</t>
  </si>
  <si>
    <t>Absenteeism Hrs</t>
  </si>
  <si>
    <t>Direct</t>
  </si>
  <si>
    <t>Overall absence Hrs</t>
  </si>
  <si>
    <t>Overall absence
Hrs</t>
  </si>
  <si>
    <t>Available
Hrs</t>
  </si>
  <si>
    <t>Overal Absene Rate</t>
  </si>
  <si>
    <t xml:space="preserve">** Inventory accuracy is a metric that measures the difference between your records of warehouse stock and your real-life inventory. </t>
  </si>
  <si>
    <t>*** Average inventory accuracy for companies ranges from 75% to 97%. That includes companies that use SKUs and barcode scanning to manage inventory.</t>
  </si>
  <si>
    <t xml:space="preserve">Source: "Inventory_Tracking.xlsx" </t>
  </si>
  <si>
    <t>* The incorrect counted units are considered as varaition negative value and other specific conditions at the time of inventory and registration.</t>
  </si>
  <si>
    <t>Inventory Accuracy Rate</t>
  </si>
  <si>
    <t>Correct Counted Units</t>
  </si>
  <si>
    <t>Units on Record</t>
  </si>
  <si>
    <t>* The percentage of orders that are error-free.</t>
  </si>
  <si>
    <t xml:space="preserve">Source: "POM_Tracking.xlsx" </t>
  </si>
  <si>
    <t>* The lost hours mentioned in the table are the sum of Illegitimate and Unplanned &amp; Legitimate and Unplanned Work Absence</t>
  </si>
  <si>
    <t>Source: "Registre des employés MEL-T.xlsx"</t>
  </si>
  <si>
    <t>Source: « Rolling Turnover rate.xlsx"</t>
  </si>
  <si>
    <t>Employees at Beginning</t>
  </si>
  <si>
    <t>Terminations</t>
  </si>
  <si>
    <t>Hires</t>
  </si>
  <si>
    <t>Spostamenti interni</t>
  </si>
  <si>
    <t>Turnover rate</t>
  </si>
  <si>
    <t>Source: "Payroll.xlsx"</t>
  </si>
  <si>
    <t>Source: "Absence rate.xlsx"</t>
  </si>
  <si>
    <t xml:space="preserve"> Project/Category</t>
  </si>
  <si>
    <t>Done</t>
  </si>
  <si>
    <t>Totale complessivo</t>
  </si>
  <si>
    <t>Developments &amp; Upgrade, Tools durable</t>
  </si>
  <si>
    <t>Industrial equipments</t>
  </si>
  <si>
    <t>CAPEX in TND</t>
  </si>
  <si>
    <t>Actual</t>
  </si>
  <si>
    <t>Category/Capex</t>
  </si>
  <si>
    <t>PYTD</t>
  </si>
  <si>
    <t>LY or PYTD</t>
  </si>
  <si>
    <t>and &gt; PY</t>
  </si>
  <si>
    <t>Machinery</t>
  </si>
  <si>
    <t>Worked minutes</t>
  </si>
  <si>
    <t>* The results of the BU refer to the Finished Goods</t>
  </si>
  <si>
    <t>* The results of the BU D|air refer to the Airbag Sac</t>
  </si>
  <si>
    <t>Hrs par 1.0FTE</t>
  </si>
  <si>
    <t>Absence FTE</t>
  </si>
  <si>
    <t>%</t>
  </si>
  <si>
    <t xml:space="preserve"> +/- Vs bdg</t>
  </si>
  <si>
    <t>Average HC</t>
  </si>
  <si>
    <t>Hire budget realisation</t>
  </si>
  <si>
    <t>To Hire</t>
  </si>
  <si>
    <t>Ratio Abs vs BDG</t>
  </si>
  <si>
    <t>+/- MoM</t>
  </si>
  <si>
    <t>Commun</t>
  </si>
  <si>
    <t>%Var. MoM</t>
  </si>
  <si>
    <t>BU03 - Leather</t>
  </si>
  <si>
    <t>1.00x OT Hrs</t>
  </si>
  <si>
    <t>1.75x OT Hrs</t>
  </si>
  <si>
    <t>2.00x OT Hrs</t>
  </si>
  <si>
    <t>BU02 - Safety</t>
  </si>
  <si>
    <t>BU04 - D|air</t>
  </si>
  <si>
    <t>&lt;6.000</t>
  </si>
  <si>
    <t>PY or FY'23</t>
  </si>
  <si>
    <t>Sum of 12 month for the previous/past year or Full Year 2023</t>
  </si>
  <si>
    <t>LM +/- Vs bdg</t>
  </si>
  <si>
    <t>Worked Hours</t>
  </si>
  <si>
    <t>PLATINUM</t>
  </si>
  <si>
    <t>GOLD</t>
  </si>
  <si>
    <t>SILVER</t>
  </si>
  <si>
    <t>BRONZE</t>
  </si>
  <si>
    <t>Labor cost</t>
  </si>
  <si>
    <t>Parts cost</t>
  </si>
  <si>
    <t>Total cost (TND)</t>
  </si>
  <si>
    <t xml:space="preserve">ENTRETIEN USINE ENFIDHA </t>
  </si>
  <si>
    <t>ENTRETIEN USINE LEATHER</t>
  </si>
  <si>
    <t>ENTRETIEN USINE D-AIR</t>
  </si>
  <si>
    <t xml:space="preserve">ENTRETIEN ET REPARATION MATER </t>
  </si>
  <si>
    <t>ENTRETIEN ET REPARATION MATER. SAFETY</t>
  </si>
  <si>
    <t>ENTRETIEN ET REPARATION MAT.LEATHER</t>
  </si>
  <si>
    <t>ENTRETIEN ET REPARATION MAT.LECTRA</t>
  </si>
  <si>
    <t>ENTRETIEN ET REPARATION MAT.D-AIR</t>
  </si>
  <si>
    <t xml:space="preserve">MAINTENANCE </t>
  </si>
  <si>
    <t>MAINTENANCE LECTRA MATERIEL</t>
  </si>
  <si>
    <t>MAINTENANCE LECTRA MATERIEL LEATHER</t>
  </si>
  <si>
    <t>Hrs running par 1.0FTE</t>
  </si>
  <si>
    <t>Other external labor cost</t>
  </si>
  <si>
    <t>Production volume ratio</t>
  </si>
  <si>
    <t>The production volume ratio measures how the actual production output for a period, measured in standard direct labour hours, compares with the budgeted hours for a production cost centre. It is calculated as:</t>
  </si>
  <si>
    <t>A ratio of &gt; 100% indicates above budget production volume and vice versa.</t>
  </si>
  <si>
    <t>Capacity utilisation ratio</t>
  </si>
  <si>
    <t>The capacity utilisation ratio measures whether the total direct labour hours worked in a production cost centre in a period was greater or less than what was budgeted. It is calculated as:</t>
  </si>
  <si>
    <t>A ratio of &gt; 100% indicates that more direct labour hours were worked than budget and vice versa.</t>
  </si>
  <si>
    <t>Efficiency ratio</t>
  </si>
  <si>
    <t>The efficiency ratio measures whether the production output for a period in a production cost centre took more or less direct labour time than expected. It is calculated as:</t>
  </si>
  <si>
    <t>A ratio of &gt; 100% indicates greater labour efficiency than budgeted and vice versa.</t>
  </si>
  <si>
    <t>Analysis</t>
  </si>
  <si>
    <t>It can be seen, from the above ratios, that the actual output in the production cost centre in the period, measured in standard direct labour hours, was 1.9% higher than budget (it may be noted that the total number of product units manufactured was the same as budget, but the units of one product are not comparable, in terms of production effort, with another).</t>
  </si>
  <si>
    <t>The over-budget production activity occurred despite the fact that utilisation of capacity was only 94.7% of the budgeted utilisation. This was because direct labour efficiency was 7.6% better than expected – ie fewer hours than expected were required to produce the actual output.</t>
  </si>
  <si>
    <t>The relationship between the three ratios can be demonstrated as follows:</t>
  </si>
  <si>
    <t>budgeted direct labour hours</t>
  </si>
  <si>
    <t>Actual direct labour hours worked</t>
  </si>
  <si>
    <t>actual direct labour hours worked</t>
  </si>
  <si>
    <t>Production volume</t>
  </si>
  <si>
    <t>Higher</t>
  </si>
  <si>
    <t>Lower</t>
  </si>
  <si>
    <t>over-budget</t>
  </si>
  <si>
    <t>under-budget</t>
  </si>
  <si>
    <t>better</t>
  </si>
  <si>
    <t>worst</t>
  </si>
  <si>
    <t>Std direct labour hours of actual production</t>
  </si>
  <si>
    <t>Including QC</t>
  </si>
  <si>
    <t>Including QC &amp; Rework &amp; Buy</t>
  </si>
  <si>
    <t>Escluding Buy</t>
  </si>
  <si>
    <t>Product A - 12,400 units</t>
  </si>
  <si>
    <t>Product B - 10,000 units</t>
  </si>
  <si>
    <t>Product C - 18,500 units</t>
  </si>
  <si>
    <t>A</t>
  </si>
  <si>
    <t>10 units</t>
  </si>
  <si>
    <t>0.1 hours or 6 minutes</t>
  </si>
  <si>
    <t>B</t>
  </si>
  <si>
    <t>25 units</t>
  </si>
  <si>
    <t>0.04 hours or 2.4 minutes</t>
  </si>
  <si>
    <t>C</t>
  </si>
  <si>
    <t>20 units</t>
  </si>
  <si>
    <t>0.05 hours or 3 minutes</t>
  </si>
  <si>
    <t>Product A - 13,300 units</t>
  </si>
  <si>
    <t>Product B - 9,600 units</t>
  </si>
  <si>
    <t>Product C - 18,000 units</t>
  </si>
  <si>
    <t>Worked hrs</t>
  </si>
  <si>
    <t>Production volume, Capacity utilisation and Efficiency ratios</t>
  </si>
  <si>
    <t>Production Volume  FG</t>
  </si>
  <si>
    <t>Std minutes produced</t>
  </si>
  <si>
    <t>CRR%</t>
  </si>
  <si>
    <t>CRR% Customer reject rate</t>
  </si>
  <si>
    <t>Total worked hours and Overtime by Month</t>
  </si>
  <si>
    <t>Valori</t>
  </si>
  <si>
    <t>Available Hours</t>
  </si>
  <si>
    <t>Worked Hours (Regular Hrs)</t>
  </si>
  <si>
    <t>Total Worked Hours</t>
  </si>
  <si>
    <t>Total Overtime Hrs</t>
  </si>
  <si>
    <t>Overall Absence Hours</t>
  </si>
  <si>
    <t>Overall Absence Rate</t>
  </si>
  <si>
    <t>1000 - Planned and approved</t>
  </si>
  <si>
    <t>2000 - Planned and unapproved</t>
  </si>
  <si>
    <t>3000 - Unplanned and unapproved</t>
  </si>
  <si>
    <t>4000 - Unplanned and approved</t>
  </si>
  <si>
    <t>Payable Hours</t>
  </si>
  <si>
    <t>AL12 - Jours fériés, chômés et payés</t>
  </si>
  <si>
    <t>AL23 - Congés spéciaux pour raison de famille</t>
  </si>
  <si>
    <t>AT39 - Chômage partiel payés</t>
  </si>
  <si>
    <t>AT39 - Chômage partiel payés (H)</t>
  </si>
  <si>
    <t>AT40 - Participation à la formation</t>
  </si>
  <si>
    <t>AT40 - Participation à la formation (H)</t>
  </si>
  <si>
    <t>1.25x OT Hrs</t>
  </si>
  <si>
    <t>Heures d'allaitement</t>
  </si>
  <si>
    <t>Ore Multa NP</t>
  </si>
  <si>
    <t>Ore Multa di ass</t>
  </si>
  <si>
    <t>Ore Multa di ritardo</t>
  </si>
  <si>
    <t>Ore Multa diverse</t>
  </si>
  <si>
    <t>PTO</t>
  </si>
  <si>
    <t>Grand Total Pay</t>
  </si>
  <si>
    <t>Pay vs Worked</t>
  </si>
  <si>
    <t>% Pay vs Worked</t>
  </si>
  <si>
    <t>Ckeck</t>
  </si>
  <si>
    <t>Grand total</t>
  </si>
  <si>
    <t>Productivity (p/h)</t>
  </si>
  <si>
    <t>% Var. vs trgt</t>
  </si>
  <si>
    <t>OT rate</t>
  </si>
  <si>
    <t>Total direct labour hours worked</t>
  </si>
  <si>
    <t>Overall hours worked</t>
  </si>
  <si>
    <t>Maintenance Cost/h overall</t>
  </si>
  <si>
    <t>Maintenance Cost/h DL</t>
  </si>
  <si>
    <t>% Var. Vs trgt</t>
  </si>
  <si>
    <t>Defective units</t>
  </si>
  <si>
    <t># Defects</t>
  </si>
  <si>
    <t>DPMO</t>
  </si>
  <si>
    <t>DPU</t>
  </si>
  <si>
    <t>DPO</t>
  </si>
  <si>
    <t>DPMU (ppm)</t>
  </si>
  <si>
    <t>DPMU
(ppm)</t>
  </si>
  <si>
    <t>FQC
Rej %</t>
  </si>
  <si>
    <t>Further definitions:</t>
  </si>
  <si>
    <t>Defects and units are fairly straightforward but some folks struggle with the number of opportunities. The number of opportunities is based on how you choose to count defects. Here are some examples:</t>
  </si>
  <si>
    <t>One opportunity: an item is either wrong or right, good or bad.</t>
  </si>
  <si>
    <t>Two opportunities: A package could have the wrong product or the wrong # products in it.</t>
  </si>
  <si>
    <t>Example of three opportunities: a shirt you order could be the wrong: size, style or color.</t>
  </si>
  <si>
    <t># Opportunities</t>
  </si>
  <si>
    <t># Defective units</t>
  </si>
  <si>
    <t># Defective units total</t>
  </si>
  <si>
    <t># Units sold</t>
  </si>
  <si>
    <t># Units sold total</t>
  </si>
  <si>
    <t>Six Sigma Table:</t>
  </si>
  <si>
    <t>Six Sigma Ratings (σ)</t>
  </si>
  <si>
    <t>1 Sigma = 691,462 DPMO, 30.85% defect-free</t>
  </si>
  <si>
    <t>2 Sigma = 308,538 DPMO, 69.146% defect-free</t>
  </si>
  <si>
    <t>3 Sigma = 66,807 DPMO, 93.319% defect-free</t>
  </si>
  <si>
    <t>4 Sigma = 6,210 DPMO, 99.379% defect-free</t>
  </si>
  <si>
    <t>5 Sigma = 233 DPMO, 99.977% defect-free</t>
  </si>
  <si>
    <r>
      <rPr>
        <b/>
        <sz val="12"/>
        <color rgb="FF000000"/>
        <rFont val="Tahoma"/>
        <family val="2"/>
      </rPr>
      <t>6 Sigma</t>
    </r>
    <r>
      <rPr>
        <sz val="12"/>
        <color rgb="FF000000"/>
        <rFont val="Tahoma"/>
        <family val="2"/>
      </rPr>
      <t> = 3.4 DPMO, 99.99966% defect-free.</t>
    </r>
  </si>
  <si>
    <t>Throughput Yield</t>
  </si>
  <si>
    <t>% FPY</t>
  </si>
  <si>
    <t>Rolled-throughput Yield RTY</t>
  </si>
  <si>
    <t>Sample size</t>
  </si>
  <si>
    <t>Process Sigma level</t>
  </si>
  <si>
    <t>OQC
Rej %</t>
  </si>
  <si>
    <t>Throughput Yield
TPY</t>
  </si>
  <si>
    <t>%Var. Vs trgt</t>
  </si>
  <si>
    <t>% Yiled
FQR</t>
  </si>
  <si>
    <t>% Yiled
OQR</t>
  </si>
  <si>
    <t>Productivity (p/h) - FQC</t>
  </si>
  <si>
    <t>Paid Partial or Technical unemployment</t>
  </si>
  <si>
    <r>
      <t xml:space="preserve">The actual output in the production cost centre ytd, measured in standard direct labour hours, was </t>
    </r>
    <r>
      <rPr>
        <b/>
        <sz val="11"/>
        <color theme="1"/>
        <rFont val="Aptos"/>
        <family val="2"/>
      </rPr>
      <t>75.2% lower than budget</t>
    </r>
  </si>
  <si>
    <r>
      <t xml:space="preserve">The under-budget production activity occurred despite the fact that </t>
    </r>
    <r>
      <rPr>
        <b/>
        <sz val="11"/>
        <color theme="1"/>
        <rFont val="Aptos"/>
        <family val="2"/>
      </rPr>
      <t>utilisation of capacity was only 102.0% over of the budgeted utilisation</t>
    </r>
    <r>
      <rPr>
        <sz val="11"/>
        <color theme="4"/>
        <rFont val="Aptos"/>
        <family val="2"/>
      </rPr>
      <t xml:space="preserve">. This was because </t>
    </r>
    <r>
      <rPr>
        <b/>
        <sz val="11"/>
        <color theme="1"/>
        <rFont val="Aptos"/>
        <family val="2"/>
      </rPr>
      <t>direct labour efficiency was 10.2% worst than expected</t>
    </r>
    <r>
      <rPr>
        <sz val="11"/>
        <color theme="4"/>
        <rFont val="Aptos"/>
        <family val="2"/>
      </rPr>
      <t xml:space="preserve"> – ie fewer hours than expected were required to produce the actual output.</t>
    </r>
  </si>
  <si>
    <t>BU_CDC</t>
  </si>
  <si>
    <t>QC_Pcs</t>
  </si>
  <si>
    <t>Worked Hrs</t>
  </si>
  <si>
    <t>Productivity_QC_Ph</t>
  </si>
  <si>
    <t>QC_Pcs totale</t>
  </si>
  <si>
    <t>Worked Hrs totale</t>
  </si>
  <si>
    <t>Run_hrs_YTD</t>
  </si>
  <si>
    <t>Throughput (ph)_QC</t>
  </si>
  <si>
    <t>Class</t>
  </si>
  <si>
    <t>&lt; 6.000</t>
  </si>
  <si>
    <t>&lt; 15.000</t>
  </si>
  <si>
    <t>&lt; 20.000</t>
  </si>
  <si>
    <t>&gt; 20.000</t>
  </si>
  <si>
    <t>Productivity_QC_Ph totale</t>
  </si>
  <si>
    <t>Run_hrs_YTD totale</t>
  </si>
  <si>
    <t>Throughput (ph)_QC totale</t>
  </si>
  <si>
    <t>Approved</t>
  </si>
  <si>
    <t xml:space="preserve"> HC</t>
  </si>
  <si>
    <t>Number of Beneficiaries</t>
  </si>
  <si>
    <t>Total Training Hours</t>
  </si>
  <si>
    <t>Cost per training</t>
  </si>
  <si>
    <t>#</t>
  </si>
  <si>
    <t>TND</t>
  </si>
  <si>
    <t>Realization rate</t>
  </si>
  <si>
    <t>Realization Y/N</t>
  </si>
  <si>
    <t>Realization teme</t>
  </si>
  <si>
    <t>FY'25</t>
  </si>
  <si>
    <t>Total Training days</t>
  </si>
  <si>
    <t>ACT HC</t>
  </si>
  <si>
    <t>gen</t>
  </si>
  <si>
    <t>feb</t>
  </si>
  <si>
    <t>mar</t>
  </si>
  <si>
    <t>mag</t>
  </si>
  <si>
    <t>apr</t>
  </si>
  <si>
    <t>IT equipments and software licence</t>
  </si>
  <si>
    <t>days/HC</t>
  </si>
  <si>
    <t>hrs/HC</t>
  </si>
  <si>
    <t>giu</t>
  </si>
  <si>
    <t>lug</t>
  </si>
  <si>
    <t>* The results of the D|air plant refer to the airbag sac (test sac 100%)
** Leather refer only to the Finished Goods</t>
  </si>
  <si>
    <t>ago</t>
  </si>
  <si>
    <t>set</t>
  </si>
  <si>
    <t>ott</t>
  </si>
  <si>
    <t>dic</t>
  </si>
  <si>
    <t>DPR</t>
  </si>
  <si>
    <t>Throughtput (p/h) - FQC</t>
  </si>
  <si>
    <t>Typical FPY Benchmarks (General Guidance)</t>
  </si>
  <si>
    <t>FPY Level</t>
  </si>
  <si>
    <t>Meaning</t>
  </si>
  <si>
    <t>&lt; 85%</t>
  </si>
  <si>
    <t>Poor – urgent improvement needed</t>
  </si>
  <si>
    <t>85–95%</t>
  </si>
  <si>
    <t>Acceptable but improvable</t>
  </si>
  <si>
    <t>&gt; 95%</t>
  </si>
  <si>
    <t>Excellent</t>
  </si>
  <si>
    <t>≥ 99%</t>
  </si>
  <si>
    <t>World‑class</t>
  </si>
  <si>
    <t>SMART GO</t>
  </si>
  <si>
    <t>JACK M9 MACCHINA A CAMPO CON TESTA ROTANTE 360° Dotata di sistema anti groviglio filo crochet e dispostivo taglio laser JACK 9M+-SS-F11BF13-X ROTANTE LASER 140X95CM</t>
  </si>
  <si>
    <t>% Var. Vs FY'25</t>
  </si>
  <si>
    <t>YTD'26</t>
  </si>
  <si>
    <t>SL %
FY'25</t>
  </si>
  <si>
    <t>+/-  SL Vs FY'25</t>
  </si>
  <si>
    <t>YTD&lt;-10pts vs PY</t>
  </si>
  <si>
    <t>coda 2025 su 2026</t>
  </si>
  <si>
    <t>PLAN DE FORMATION 2026</t>
  </si>
  <si>
    <t>DAIR SKI</t>
  </si>
  <si>
    <t>Attrezzo manuale per fascette in mettalo MK9SST UNS 110-95000 | MK9SST-PA66GF30-GY</t>
  </si>
  <si>
    <t>Batterie traction à plaques positives tubulaires 24 x 5 PzS 625</t>
  </si>
  <si>
    <t>MINI RAYTEMP - THERMOMETRE INFRARIUGE ETI Plage de mesure -50° a 330°C</t>
  </si>
  <si>
    <t>Imprimante EPSON L14150 à Réservoir Intégré A3+ WIFI Couleur</t>
  </si>
  <si>
    <t>RIFILATRICE GP15</t>
  </si>
  <si>
    <t>Leather inspection POWERED TABLE MOTORISEE AVEC SIST.ECLAIRAGE INCLU cm 250x100x80-140 REGLABLE EN HAUTEUR ET INCLINATION</t>
  </si>
  <si>
    <t>Comune - Direct</t>
  </si>
  <si>
    <t>Total Comune</t>
  </si>
  <si>
    <t>Shops and Office Furniture and equipments</t>
  </si>
  <si>
    <t>Ecran AERO AE24EFA 24" Full HD</t>
  </si>
  <si>
    <t>Kit Souris Clavier (FR/AR) Sans Fil Havit</t>
  </si>
  <si>
    <t>HAUT PARLEUR</t>
  </si>
  <si>
    <t>nov</t>
  </si>
  <si>
    <t>HIRE</t>
  </si>
  <si>
    <t>LEFT</t>
  </si>
  <si>
    <t>Mth</t>
  </si>
  <si>
    <t>HC
(inizio mese)</t>
  </si>
  <si>
    <t>HC
(fine mese)</t>
  </si>
  <si>
    <t>% Realization</t>
  </si>
  <si>
    <t>+/- Vs BDG</t>
  </si>
  <si>
    <t>Risks assessment_Occupational health and safety</t>
  </si>
  <si>
    <t>Barrette mémoire 4go DDR4 2400/3200hz POUR PC</t>
  </si>
  <si>
    <t>Barrette mémoire SODIMM 4 Go / DDR4 3200MHz POUR PC PORTABLE</t>
  </si>
  <si>
    <t>Disque Dur Interne SSD Integral P 512GO 2.5" SATA III</t>
  </si>
  <si>
    <t>Disque Dur Interne SSD Integral P Series 5 256 Go 2.5" SATA III</t>
  </si>
  <si>
    <t>DIR → IND</t>
  </si>
  <si>
    <t>(Defective Units / Units Inspected) × 100</t>
  </si>
  <si>
    <t>(Terminations during period / Employees at period start) × 100</t>
  </si>
  <si>
    <t>(Unplanned Lost Hours / Available Hours) × 100</t>
  </si>
  <si>
    <t>(Actual HC / Budget HC) × 100</t>
  </si>
  <si>
    <t>* #HC at end of month vs BDG</t>
  </si>
  <si>
    <t>* #HC on payroll of month vs BDG</t>
  </si>
  <si>
    <t>Overtime Rate (%)</t>
  </si>
  <si>
    <t>(Overtime Hours ÷ Total Hours Worked) × 100</t>
  </si>
  <si>
    <t>Total Hours Worked</t>
  </si>
  <si>
    <t>(Completed Trainings / Approved Trainings) × 100</t>
  </si>
  <si>
    <t>Training Completion Rate (%)</t>
  </si>
  <si>
    <t>(Actual Cost / Budget Cost) × 100</t>
  </si>
  <si>
    <t>Training Budget Realization (%)</t>
  </si>
  <si>
    <t>(Orders delivered on time and in full​ / Total orders delivered) × 100</t>
  </si>
  <si>
    <t>*** Shipment date + Transportation Lead Time ≤ Requested delivery date + 5 working days (agreed tolerance)</t>
  </si>
  <si>
    <t>Service Level (SL) (in %)</t>
  </si>
  <si>
    <t>On Time In Full (OTIF) (in %)</t>
  </si>
  <si>
    <t>(Units sold of finished goods ÷ Budgeted units) × 100</t>
  </si>
  <si>
    <t>CQR% Customer quality rate</t>
  </si>
  <si>
    <t>Total number of external customer claims recorded</t>
  </si>
  <si>
    <t>1 - (Customer defective units / Units sold) × 100</t>
  </si>
  <si>
    <t>Apparel – Customer Quality Rate (CQR) (in %)</t>
  </si>
  <si>
    <t>(Finished goods output / Total worked hours)</t>
  </si>
  <si>
    <t>(Finished goods output / 1.0 FTE worked hours)</t>
  </si>
  <si>
    <t>(Standard minutes produced × Standard cycle time) / Total worked minutes × 100</t>
  </si>
  <si>
    <t>Source: "Production report.xlsx"</t>
  </si>
  <si>
    <t xml:space="preserve">* Standard minutes produced = (Finished goods + Semi‑finished goods) </t>
  </si>
  <si>
    <t xml:space="preserve">** Minutes worked and produced for FQC&amp;PACK, OUTSOURCING are excluded from the calculation </t>
  </si>
  <si>
    <t>*** (minutes x1000)</t>
  </si>
  <si>
    <t>Total euro value of raw materials scrapped during the manufacturing process</t>
  </si>
  <si>
    <r>
      <t xml:space="preserve">Scrap Material Value (€) </t>
    </r>
    <r>
      <rPr>
        <sz val="12"/>
        <color rgb="FF000000"/>
        <rFont val="Aptos"/>
        <family val="2"/>
      </rPr>
      <t>(Material Waste during Manufacturing)</t>
    </r>
  </si>
  <si>
    <t>(Maintenance labor cost + Spare parts cost) / Equipment running hours</t>
  </si>
  <si>
    <t>Maintenance Cost (DT/h)</t>
  </si>
  <si>
    <t>(Error‑free orders / Total orders) × 100</t>
  </si>
  <si>
    <t>Inventory Accuracy Rate (in %)</t>
  </si>
  <si>
    <t>(Correct counted units / Units on record) × 100</t>
  </si>
  <si>
    <t xml:space="preserve">Maîtrise des non-conformités produits et actions correctives et préventives </t>
  </si>
  <si>
    <t xml:space="preserve">Les fondamentaux de l’hygiène, de la santé et de la sécurité au travail </t>
  </si>
  <si>
    <t>Habilitation des Caristes</t>
  </si>
  <si>
    <t>Entretien préventif des  équipements de confection</t>
  </si>
  <si>
    <t>changement Mat 1712 de taglio Pelle Vers Warehouse</t>
  </si>
  <si>
    <t xml:space="preserve">Note </t>
  </si>
  <si>
    <t>Bdg / Trgt</t>
  </si>
  <si>
    <t>YTD&lt;-10 p.p. vs PY</t>
  </si>
  <si>
    <t>Generic plants</t>
  </si>
  <si>
    <t>Switch D-Link DES-8 ports</t>
  </si>
  <si>
    <t>Armoire pour RIA DN33</t>
  </si>
  <si>
    <t>Poubelle 120L</t>
  </si>
  <si>
    <t>Poubelle 8L</t>
  </si>
  <si>
    <t>Risques psychosociaux et troubles musculo-squelettiques </t>
  </si>
  <si>
    <t>Y</t>
  </si>
  <si>
    <t>LT Anticipo</t>
  </si>
  <si>
    <t>LT Produzione</t>
  </si>
  <si>
    <t>LT End-to-End</t>
  </si>
  <si>
    <t>* LT Anticipo Pianificazione (gg): misura quanto stai anticipando quanto margine hai per ottimizzare trasporti</t>
  </si>
  <si>
    <t>** LT Produzione: misura solo la parte interna efficienza fabbrica attese interne organizzazione</t>
  </si>
  <si>
    <t>*** LT End-to-End: è quello che il cliente “vive davvero”</t>
  </si>
  <si>
    <t>%Var.</t>
  </si>
  <si>
    <r>
      <rPr>
        <b/>
        <i/>
        <sz val="12"/>
        <color rgb="FF203864"/>
        <rFont val="Aptos"/>
        <family val="2"/>
      </rPr>
      <t>LT Anticipo</t>
    </r>
    <r>
      <rPr>
        <i/>
        <sz val="12"/>
        <color rgb="FF203864"/>
        <rFont val="Aptos"/>
        <family val="2"/>
      </rPr>
      <t xml:space="preserve"> = Avvio - Partenza materiale // </t>
    </r>
    <r>
      <rPr>
        <b/>
        <i/>
        <sz val="12"/>
        <color rgb="FF203864"/>
        <rFont val="Aptos"/>
        <family val="2"/>
      </rPr>
      <t>LT Produzione</t>
    </r>
    <r>
      <rPr>
        <i/>
        <sz val="12"/>
        <color rgb="FF203864"/>
        <rFont val="Aptos"/>
        <family val="2"/>
      </rPr>
      <t xml:space="preserve"> = Spedizione - Avvio // </t>
    </r>
    <r>
      <rPr>
        <b/>
        <i/>
        <sz val="12"/>
        <color rgb="FF203864"/>
        <rFont val="Aptos"/>
        <family val="2"/>
      </rPr>
      <t>LT Totale End-to-End</t>
    </r>
    <r>
      <rPr>
        <i/>
        <sz val="12"/>
        <color rgb="FF203864"/>
        <rFont val="Aptos"/>
        <family val="2"/>
      </rPr>
      <t xml:space="preserve"> = Consegna - Partenza materiale</t>
    </r>
  </si>
  <si>
    <t>MEL-T Space&amp;Cost_Optimization_Plan 2026</t>
  </si>
  <si>
    <t>Piede di alimentazione /  PIED ENTRAINEUR DKP 0867
221183 DX</t>
  </si>
  <si>
    <t>Piede di alimentazione /  PIED ENTRAINEUR DKP 0867
221193 SX</t>
  </si>
  <si>
    <t>Piedino premistoffa con distanza dal bordo 2mm / PIED
PRESSEUR DKP 0867 221064 DX</t>
  </si>
  <si>
    <t>Piedino premistoffa con distanza dal bordo 2mm / PIED
PRESSEUR DKP 0867 221074 SX</t>
  </si>
  <si>
    <t>Piedino premistoffa con distanza dal bordo 5mm / PIED
PRESSEUR DKP 0867 221104 DX</t>
  </si>
  <si>
    <t>12 SUPPORTO X TAVOLI CQ</t>
  </si>
  <si>
    <t>Communication &amp; internet network installation and setup</t>
  </si>
  <si>
    <t>Impianto Extraction fumo x 12 machines JACk</t>
  </si>
  <si>
    <t>SYSTÈME DE DEGAGEMENT AIR MACHINE COUPE LASER</t>
  </si>
  <si>
    <t>Maintenance Cost/h (MCH)</t>
  </si>
  <si>
    <t>Total cost (TND) (BCR)</t>
  </si>
  <si>
    <t>Apparel - FQC Defective Rate Finished Goods</t>
  </si>
  <si>
    <t>Apparel - OQC Defective Rate Finished goods</t>
  </si>
  <si>
    <t>JUN Effect</t>
  </si>
  <si>
    <t>MONTH JUN'26</t>
  </si>
  <si>
    <t>* Non incluso IPQC-FPLS</t>
  </si>
  <si>
    <t>N° container</t>
  </si>
  <si>
    <t>Media/mese</t>
  </si>
  <si>
    <t>FY'25/mese</t>
  </si>
  <si>
    <t>Helmet</t>
  </si>
  <si>
    <t>Logistic Cost</t>
  </si>
  <si>
    <t>Fees cost (TND)</t>
  </si>
  <si>
    <t>Transport Cost (TND)</t>
  </si>
  <si>
    <t>Capi Spediti</t>
  </si>
  <si>
    <t>Tot. Capi Spediti (PZ)</t>
  </si>
  <si>
    <t xml:space="preserve"> Cost Unit (TND)</t>
  </si>
  <si>
    <t>FRAIS SUR ACHAT SAFETY</t>
  </si>
  <si>
    <t>FRAIS SUR ACHAT LEATHER</t>
  </si>
  <si>
    <t>FRAIS SUR ACHAT D-AIR</t>
  </si>
  <si>
    <t>FRAIS SUR VENTE  SAFETY</t>
  </si>
  <si>
    <t>FRAIS SUR VENTE LEATHER</t>
  </si>
  <si>
    <t>FRAIS SUR VENTE D-AIR</t>
  </si>
  <si>
    <t>TRANSPORT SUR ACHATS  SAFETY</t>
  </si>
  <si>
    <t>TRANSPORT SUR ACHAT LEATHER</t>
  </si>
  <si>
    <t>TRANSPORT SUR ACHAT D-AIR</t>
  </si>
  <si>
    <t>TRANSPORT SUR VENTES  SAFETY</t>
  </si>
  <si>
    <t>TRANSPORT SUR VENTE LEATHER</t>
  </si>
  <si>
    <t>TRANSPORT SUR VENTES D-AIR</t>
  </si>
  <si>
    <t>MONTH MAG'26</t>
  </si>
  <si>
    <t>Absenteeism
Hrs</t>
  </si>
  <si>
    <t>Hire Budget Realization (%) by DIR/IND and BU</t>
  </si>
  <si>
    <t>BDG 2026</t>
  </si>
  <si>
    <t>Hire Budget Realization (%) by Funtion-Group and BU</t>
  </si>
  <si>
    <t>Les fondamentaux de couture pour les TEAM LEADER</t>
  </si>
  <si>
    <t>IND →DIR</t>
  </si>
  <si>
    <t>Changement Mat 719 de Maintenance Vers TGL Laser + Changement Mat 369 vers Line Leader</t>
  </si>
  <si>
    <r>
      <t xml:space="preserve">Absence hours by Type, Type level, Reasons and Month </t>
    </r>
    <r>
      <rPr>
        <b/>
        <sz val="14"/>
        <color rgb="FFC00000"/>
        <rFont val="Aptos"/>
        <family val="2"/>
      </rPr>
      <t>[ Only DL ]</t>
    </r>
  </si>
  <si>
    <t>FY'24</t>
  </si>
  <si>
    <t>Adeguamento impianto area compressa</t>
  </si>
  <si>
    <t>Ergonomic mats, Ergomat Basic Bubble (Tappetti antifatica)</t>
  </si>
  <si>
    <t>Ergonomic mats, Ergomat Basic Bubble (Tappetti antifatica) 600*900</t>
  </si>
  <si>
    <t>ESTRAZIONE FUMI TAGLIO LASER</t>
  </si>
  <si>
    <t>Lavori di impianto illuminizaizone &amp; alimentazione elettrica</t>
  </si>
  <si>
    <t>Lavori di smontaggio e montaggio scaffalatura magazzino</t>
  </si>
  <si>
    <t>PROLUNGHE IN PLASTICA</t>
  </si>
  <si>
    <t>BLOC A 3 TIROIRS</t>
  </si>
  <si>
    <t>ENSEMBLE HELLO 4 POSTES SANS SEPARATIONS 242*122</t>
  </si>
  <si>
    <t>SEPARATION HELLO FRONTALE 120X35</t>
  </si>
  <si>
    <t>SEPARATION HELLO LATERALE 122X35</t>
  </si>
  <si>
    <t>SIEGE LYON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</si>
</sst>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4">
    <numFmt numFmtId="164" formatCode="_-* #,##0.00_-;\-* #,##0.00_-;_-* &quot;-&quot;??_-;_-@_-"/>
    <numFmt numFmtId="165" formatCode="0.0%"/>
    <numFmt numFmtId="166" formatCode="#,##0_ ;[Red]\(#,##0\)\ "/>
    <numFmt numFmtId="167" formatCode="0%;[Red]\(0%\)"/>
    <numFmt numFmtId="168" formatCode="[Red]0%;\(0%\)"/>
    <numFmt numFmtId="169" formatCode="0.0%;[Red]\(0.0%\)"/>
    <numFmt numFmtId="170" formatCode="[Red]0.0%;\(0.0%\)"/>
    <numFmt numFmtId="171" formatCode="[Red]#,##0;\(#,##0\)"/>
    <numFmt numFmtId="172" formatCode="#,##0_ ;[Red]\(#,##0\)"/>
    <numFmt numFmtId="173" formatCode="#,##0.0"/>
    <numFmt numFmtId="174" formatCode="#,##0,"/>
    <numFmt numFmtId="175" formatCode="0.0"/>
    <numFmt numFmtId="176" formatCode="[&gt;9999999]General;#,##0,"/>
    <numFmt numFmtId="177" formatCode="#,##0_ ;\-#,##0\ "/>
    <numFmt numFmtId="178" formatCode="#,##0.0_ ;[Red]\(#,##0.0\)"/>
    <numFmt numFmtId="179" formatCode="0.0_ ;[Red]\-0.0\ "/>
    <numFmt numFmtId="180" formatCode="#,##0.0;[Red]#,##0.0"/>
    <numFmt numFmtId="181" formatCode="#,##0;[Red]\(#,##0\)"/>
    <numFmt numFmtId="182" formatCode="[Red]#,##0;[White]#,##0"/>
    <numFmt numFmtId="183" formatCode="_-* #,##0_-;\-* #,##0_-;_-* &quot;-&quot;??_-;_-@_-"/>
    <numFmt numFmtId="184" formatCode="#,##0.0_ ;[Red]\-#,##0.0\ "/>
    <numFmt numFmtId="185" formatCode="#,##0.0%;\-#,##0.0%;#,##0.0%"/>
    <numFmt numFmtId="186" formatCode="_-* #,##0.0_-;\-* #,##0.0_-;_-* &quot;-&quot;??_-;_-@_-"/>
    <numFmt numFmtId="187" formatCode="#,##0.000"/>
    <numFmt numFmtId="188" formatCode="[Red]#,##0.000;\(#,##0.000\)"/>
    <numFmt numFmtId="189" formatCode="#,##0.0000"/>
    <numFmt numFmtId="190" formatCode="0.000"/>
    <numFmt numFmtId="191" formatCode="[Black]0.0%;[Red]\(0.0%\)"/>
    <numFmt numFmtId="192" formatCode="0.000%"/>
    <numFmt numFmtId="193" formatCode="[&gt;99999999]General;#,##0,"/>
    <numFmt numFmtId="194" formatCode="[Red]#,##0_ ;\(#,##0\)"/>
    <numFmt numFmtId="195" formatCode="[Red]#,##0;\-#,##0"/>
    <numFmt numFmtId="196" formatCode="[Red]#,##0.0;\(#,##0.0\)"/>
    <numFmt numFmtId="197" formatCode="[Red]#,##0.00;\(#,##0.00\)"/>
  </numFmts>
  <fonts count="113">
    <font>
      <sz val="10"/>
      <color theme="1"/>
      <name val="Calibri"/>
      <family val="2"/>
    </font>
    <font>
      <sz val="11"/>
      <color theme="1"/>
      <name val="Aptos"/>
      <family val="2"/>
    </font>
    <font>
      <sz val="11"/>
      <color theme="1"/>
      <name val="Aptos"/>
      <family val="2"/>
    </font>
    <font>
      <sz val="11"/>
      <color theme="1"/>
      <name val="Aptos"/>
      <family val="2"/>
    </font>
    <font>
      <sz val="11"/>
      <color theme="1"/>
      <name val="Aptos"/>
      <family val="2"/>
    </font>
    <font>
      <sz val="11"/>
      <color theme="1"/>
      <name val="Aptos"/>
      <family val="2"/>
    </font>
    <font>
      <sz val="10"/>
      <color theme="1"/>
      <name val="Calibri"/>
      <family val="2"/>
    </font>
    <font>
      <sz val="11"/>
      <color theme="1"/>
      <name val="Calibri"/>
      <family val="2"/>
      <scheme val="minor"/>
    </font>
    <font>
      <sz val="10"/>
      <name val="Arial"/>
      <family val="2"/>
    </font>
    <font>
      <sz val="8"/>
      <color theme="1"/>
      <name val="Arial"/>
      <family val="2"/>
    </font>
    <font>
      <b/>
      <sz val="11"/>
      <color theme="1"/>
      <name val="Calibri Light"/>
      <family val="2"/>
      <scheme val="major"/>
    </font>
    <font>
      <b/>
      <sz val="16"/>
      <color rgb="FF000000"/>
      <name val="Aptos"/>
      <family val="2"/>
    </font>
    <font>
      <sz val="11"/>
      <color theme="1"/>
      <name val="Aptos"/>
      <family val="2"/>
    </font>
    <font>
      <b/>
      <sz val="11"/>
      <color rgb="FF000000"/>
      <name val="Aptos"/>
      <family val="2"/>
    </font>
    <font>
      <sz val="11"/>
      <color rgb="FF203864"/>
      <name val="Aptos"/>
      <family val="2"/>
    </font>
    <font>
      <sz val="11"/>
      <color rgb="FF000000"/>
      <name val="Aptos"/>
      <family val="2"/>
    </font>
    <font>
      <sz val="11"/>
      <name val="Aptos"/>
      <family val="2"/>
    </font>
    <font>
      <b/>
      <sz val="11"/>
      <name val="Aptos"/>
      <family val="2"/>
    </font>
    <font>
      <b/>
      <sz val="11"/>
      <color theme="1"/>
      <name val="Aptos"/>
      <family val="2"/>
    </font>
    <font>
      <sz val="11"/>
      <color rgb="FFFF0000"/>
      <name val="Aptos"/>
      <family val="2"/>
    </font>
    <font>
      <sz val="10"/>
      <color theme="1"/>
      <name val="Aptos"/>
      <family val="2"/>
    </font>
    <font>
      <b/>
      <sz val="10"/>
      <color theme="1"/>
      <name val="Aptos"/>
      <family val="2"/>
    </font>
    <font>
      <sz val="12"/>
      <color rgb="FF000000"/>
      <name val="Aptos"/>
      <family val="2"/>
    </font>
    <font>
      <b/>
      <sz val="12"/>
      <color rgb="FF000000"/>
      <name val="Aptos"/>
      <family val="2"/>
    </font>
    <font>
      <b/>
      <sz val="11"/>
      <color theme="1" tint="0.499984740745262"/>
      <name val="Aptos"/>
      <family val="2"/>
    </font>
    <font>
      <sz val="11"/>
      <color theme="1" tint="0.499984740745262"/>
      <name val="Aptos"/>
      <family val="2"/>
    </font>
    <font>
      <b/>
      <sz val="18"/>
      <color theme="1"/>
      <name val="Aptos"/>
      <family val="2"/>
    </font>
    <font>
      <b/>
      <sz val="14"/>
      <color theme="1"/>
      <name val="Aptos"/>
      <family val="2"/>
    </font>
    <font>
      <sz val="14"/>
      <color theme="1"/>
      <name val="Aptos"/>
      <family val="2"/>
    </font>
    <font>
      <sz val="12"/>
      <color theme="1"/>
      <name val="Aptos"/>
      <family val="2"/>
    </font>
    <font>
      <sz val="12"/>
      <color rgb="FF203864"/>
      <name val="Aptos"/>
      <family val="2"/>
    </font>
    <font>
      <b/>
      <sz val="12"/>
      <color theme="1" tint="0.499984740745262"/>
      <name val="Aptos"/>
      <family val="2"/>
    </font>
    <font>
      <b/>
      <sz val="12"/>
      <name val="Aptos"/>
      <family val="2"/>
    </font>
    <font>
      <b/>
      <sz val="12"/>
      <color theme="2" tint="-0.499984740745262"/>
      <name val="Aptos"/>
      <family val="2"/>
    </font>
    <font>
      <sz val="12"/>
      <color theme="1" tint="0.34998626667073579"/>
      <name val="Aptos"/>
      <family val="2"/>
    </font>
    <font>
      <sz val="12"/>
      <name val="Aptos"/>
      <family val="2"/>
    </font>
    <font>
      <b/>
      <sz val="12"/>
      <color theme="1" tint="0.34998626667073579"/>
      <name val="Aptos"/>
      <family val="2"/>
    </font>
    <font>
      <b/>
      <sz val="12"/>
      <color theme="1"/>
      <name val="Aptos"/>
      <family val="2"/>
    </font>
    <font>
      <sz val="12"/>
      <color theme="1" tint="0.499984740745262"/>
      <name val="Aptos"/>
      <family val="2"/>
    </font>
    <font>
      <b/>
      <sz val="14"/>
      <color rgb="FF000000"/>
      <name val="Aptos"/>
      <family val="2"/>
    </font>
    <font>
      <b/>
      <sz val="16"/>
      <color theme="1"/>
      <name val="Aptos"/>
      <family val="2"/>
    </font>
    <font>
      <sz val="8"/>
      <name val="Calibri"/>
      <family val="2"/>
    </font>
    <font>
      <b/>
      <sz val="12"/>
      <color theme="0"/>
      <name val="Aptos"/>
      <family val="2"/>
    </font>
    <font>
      <sz val="12"/>
      <color theme="0"/>
      <name val="Aptos"/>
      <family val="2"/>
    </font>
    <font>
      <b/>
      <sz val="11"/>
      <color theme="0"/>
      <name val="Aptos"/>
      <family val="2"/>
    </font>
    <font>
      <sz val="11"/>
      <color theme="4"/>
      <name val="Aptos"/>
      <family val="2"/>
    </font>
    <font>
      <sz val="10"/>
      <color rgb="FF595959"/>
      <name val="Arial"/>
      <family val="2"/>
    </font>
    <font>
      <sz val="11"/>
      <color rgb="FF595959"/>
      <name val="Aptos"/>
      <family val="2"/>
    </font>
    <font>
      <b/>
      <sz val="11"/>
      <color rgb="FFFF0000"/>
      <name val="Aptos"/>
      <family val="2"/>
    </font>
    <font>
      <sz val="11"/>
      <color rgb="FF0070C0"/>
      <name val="Aptos"/>
      <family val="2"/>
    </font>
    <font>
      <sz val="9"/>
      <color theme="1" tint="0.499984740745262"/>
      <name val="Aptos"/>
      <family val="2"/>
    </font>
    <font>
      <sz val="11"/>
      <color theme="2" tint="-9.9978637043366805E-2"/>
      <name val="Aptos"/>
      <family val="2"/>
    </font>
    <font>
      <b/>
      <sz val="20"/>
      <color theme="1"/>
      <name val="Aptos"/>
      <family val="2"/>
    </font>
    <font>
      <sz val="11"/>
      <color rgb="FF006600"/>
      <name val="Aptos"/>
      <family val="2"/>
    </font>
    <font>
      <b/>
      <sz val="10"/>
      <color rgb="FF000000"/>
      <name val="Segoe UI"/>
      <family val="2"/>
    </font>
    <font>
      <sz val="8"/>
      <color rgb="FF000000"/>
      <name val="Segoe UI"/>
      <family val="2"/>
    </font>
    <font>
      <b/>
      <sz val="11"/>
      <color indexed="38"/>
      <name val="Arial"/>
      <family val="2"/>
    </font>
    <font>
      <sz val="8"/>
      <name val="Verdana"/>
      <family val="2"/>
    </font>
    <font>
      <b/>
      <sz val="12"/>
      <color theme="0"/>
      <name val="Arial"/>
      <family val="2"/>
    </font>
    <font>
      <sz val="12"/>
      <color rgb="FF000000"/>
      <name val="Tahoma"/>
      <family val="2"/>
    </font>
    <font>
      <b/>
      <sz val="12"/>
      <color rgb="FF000000"/>
      <name val="Tahoma"/>
      <family val="2"/>
    </font>
    <font>
      <b/>
      <sz val="16"/>
      <color theme="0"/>
      <name val="Aptos"/>
      <family val="2"/>
    </font>
    <font>
      <sz val="16"/>
      <color theme="0"/>
      <name val="Aptos"/>
      <family val="2"/>
    </font>
    <font>
      <sz val="10"/>
      <color theme="0"/>
      <name val="Aptos"/>
      <family val="2"/>
    </font>
    <font>
      <sz val="10"/>
      <name val="Aptos"/>
      <family val="2"/>
    </font>
    <font>
      <sz val="12"/>
      <color rgb="FF000000"/>
      <name val="Avenir Next LT Pro"/>
      <family val="2"/>
    </font>
    <font>
      <b/>
      <sz val="12"/>
      <color rgb="FF000000"/>
      <name val="Avenir Next LT Pro"/>
      <family val="2"/>
    </font>
    <font>
      <sz val="11"/>
      <color rgb="FF9C0006"/>
      <name val="Aptos"/>
      <family val="2"/>
    </font>
    <font>
      <b/>
      <sz val="14"/>
      <color theme="0"/>
      <name val="Aptos"/>
      <family val="2"/>
    </font>
    <font>
      <sz val="8"/>
      <color theme="1"/>
      <name val="Segoe UI"/>
      <family val="2"/>
    </font>
    <font>
      <b/>
      <sz val="8"/>
      <color theme="1"/>
      <name val="Segoe UI"/>
      <family val="2"/>
    </font>
    <font>
      <b/>
      <sz val="18"/>
      <color theme="1"/>
      <name val="Segoe UI"/>
      <family val="2"/>
    </font>
    <font>
      <b/>
      <sz val="10"/>
      <color theme="1"/>
      <name val="Segoe UI"/>
      <family val="2"/>
    </font>
    <font>
      <sz val="10"/>
      <color theme="1"/>
      <name val="Segoe UI"/>
      <family val="2"/>
    </font>
    <font>
      <i/>
      <sz val="11"/>
      <color rgb="FF203864"/>
      <name val="Aptos"/>
      <family val="2"/>
    </font>
    <font>
      <i/>
      <sz val="12"/>
      <color rgb="FF203864"/>
      <name val="Aptos"/>
      <family val="2"/>
    </font>
    <font>
      <sz val="12"/>
      <color theme="2" tint="-0.499984740745262"/>
      <name val="Aptos"/>
      <family val="2"/>
    </font>
    <font>
      <sz val="12"/>
      <color theme="2" tint="-0.749992370372631"/>
      <name val="Aptos"/>
      <family val="2"/>
    </font>
    <font>
      <sz val="12"/>
      <color rgb="FFFF0000"/>
      <name val="Aptos"/>
      <family val="2"/>
    </font>
    <font>
      <i/>
      <sz val="12"/>
      <color theme="1"/>
      <name val="Aptos"/>
      <family val="2"/>
    </font>
    <font>
      <b/>
      <i/>
      <sz val="12"/>
      <color rgb="FF000000"/>
      <name val="Aptos"/>
      <family val="2"/>
    </font>
    <font>
      <b/>
      <i/>
      <sz val="12"/>
      <name val="Aptos"/>
      <family val="2"/>
    </font>
    <font>
      <b/>
      <i/>
      <sz val="12"/>
      <color theme="1" tint="0.499984740745262"/>
      <name val="Aptos"/>
      <family val="2"/>
    </font>
    <font>
      <b/>
      <i/>
      <sz val="12"/>
      <color theme="1"/>
      <name val="Aptos"/>
      <family val="2"/>
    </font>
    <font>
      <i/>
      <sz val="12"/>
      <color theme="2" tint="-0.749992370372631"/>
      <name val="Aptos"/>
      <family val="2"/>
    </font>
    <font>
      <b/>
      <sz val="12"/>
      <color theme="2" tint="-0.749992370372631"/>
      <name val="Aptos"/>
      <family val="2"/>
    </font>
    <font>
      <sz val="12"/>
      <color theme="1"/>
      <name val="Calibri"/>
      <family val="2"/>
    </font>
    <font>
      <b/>
      <sz val="12"/>
      <color theme="1"/>
      <name val="Calibri"/>
      <family val="2"/>
    </font>
    <font>
      <b/>
      <sz val="12"/>
      <color rgb="FF0070C0"/>
      <name val="Aptos"/>
      <family val="2"/>
    </font>
    <font>
      <sz val="12"/>
      <color rgb="FF0070C0"/>
      <name val="Aptos"/>
      <family val="2"/>
    </font>
    <font>
      <sz val="12"/>
      <color theme="0" tint="-0.14999847407452621"/>
      <name val="Aptos"/>
      <family val="2"/>
    </font>
    <font>
      <sz val="12"/>
      <color theme="4"/>
      <name val="Aptos"/>
      <family val="2"/>
    </font>
    <font>
      <sz val="11"/>
      <color theme="1"/>
      <name val="Aptos"/>
      <family val="2"/>
    </font>
    <font>
      <b/>
      <sz val="11"/>
      <color theme="1"/>
      <name val="Aptos"/>
      <family val="2"/>
    </font>
    <font>
      <b/>
      <sz val="11"/>
      <color theme="0"/>
      <name val="Aptos"/>
      <family val="2"/>
    </font>
    <font>
      <b/>
      <i/>
      <sz val="12"/>
      <color rgb="FF203864"/>
      <name val="Aptos"/>
      <family val="2"/>
    </font>
    <font>
      <b/>
      <sz val="11"/>
      <color theme="2" tint="-0.499984740745262"/>
      <name val="Aptos"/>
      <family val="2"/>
    </font>
    <font>
      <sz val="11"/>
      <color theme="0" tint="-0.14999847407452621"/>
      <name val="Aptos"/>
      <family val="2"/>
    </font>
    <font>
      <sz val="10"/>
      <color theme="4"/>
      <name val="Aptos"/>
      <family val="2"/>
    </font>
    <font>
      <sz val="10"/>
      <color theme="1" tint="0.499984740745262"/>
      <name val="Aptos"/>
      <family val="2"/>
    </font>
    <font>
      <sz val="10"/>
      <color theme="0" tint="-0.14999847407452621"/>
      <name val="Aptos"/>
      <family val="2"/>
    </font>
    <font>
      <sz val="16"/>
      <color theme="1"/>
      <name val="Aptos"/>
      <family val="2"/>
    </font>
    <font>
      <b/>
      <sz val="14"/>
      <color rgb="FFC00000"/>
      <name val="Aptos"/>
      <family val="2"/>
    </font>
    <font>
      <b/>
      <sz val="16"/>
      <name val="Aptos"/>
      <family val="2"/>
    </font>
    <font>
      <sz val="16"/>
      <color theme="1"/>
      <name val="Calibri"/>
      <family val="2"/>
    </font>
    <font>
      <b/>
      <sz val="16"/>
      <color theme="1"/>
      <name val="Calibri"/>
      <family val="2"/>
    </font>
    <font>
      <b/>
      <sz val="12"/>
      <color theme="0" tint="-0.499984740745262"/>
      <name val="Aptos"/>
      <family val="2"/>
    </font>
    <font>
      <sz val="12"/>
      <color theme="0" tint="-0.499984740745262"/>
      <name val="Aptos"/>
      <family val="2"/>
    </font>
    <font>
      <sz val="16"/>
      <color theme="0" tint="-0.499984740745262"/>
      <name val="Calibri"/>
      <family val="2"/>
    </font>
    <font>
      <sz val="12"/>
      <color theme="0" tint="-0.499984740745262"/>
      <name val="Calibri"/>
      <family val="2"/>
    </font>
    <font>
      <b/>
      <sz val="11"/>
      <color theme="0" tint="-0.499984740745262"/>
      <name val="Aptos"/>
      <family val="2"/>
    </font>
    <font>
      <sz val="11"/>
      <color theme="0" tint="-0.499984740745262"/>
      <name val="Aptos"/>
      <family val="2"/>
    </font>
    <font>
      <b/>
      <i/>
      <sz val="12"/>
      <color theme="0" tint="-0.499984740745262"/>
      <name val="Aptos"/>
      <family val="2"/>
    </font>
  </fonts>
  <fills count="36">
    <fill>
      <patternFill patternType="none"/>
    </fill>
    <fill>
      <patternFill patternType="gray125"/>
    </fill>
    <fill>
      <patternFill patternType="solid">
        <fgColor theme="0" tint="-4.9989318521683403E-2"/>
        <bgColor indexed="64"/>
      </patternFill>
    </fill>
    <fill>
      <patternFill patternType="solid">
        <fgColor theme="4" tint="-0.499984740745262"/>
        <bgColor indexed="64"/>
      </patternFill>
    </fill>
    <fill>
      <patternFill patternType="solid">
        <fgColor theme="0"/>
        <bgColor indexed="64"/>
      </patternFill>
    </fill>
    <fill>
      <patternFill patternType="solid">
        <fgColor theme="2" tint="-9.9978637043366805E-2"/>
        <bgColor indexed="64"/>
      </patternFill>
    </fill>
    <fill>
      <patternFill patternType="lightUp"/>
    </fill>
    <fill>
      <patternFill patternType="lightUp">
        <bgColor theme="7" tint="0.59999389629810485"/>
      </patternFill>
    </fill>
    <fill>
      <patternFill patternType="solid">
        <fgColor theme="0" tint="-0.14999847407452621"/>
        <bgColor indexed="64"/>
      </patternFill>
    </fill>
    <fill>
      <patternFill patternType="solid">
        <fgColor theme="0" tint="-0.499984740745262"/>
        <bgColor indexed="64"/>
      </patternFill>
    </fill>
    <fill>
      <patternFill patternType="solid">
        <fgColor rgb="FFFFCCFF"/>
        <bgColor indexed="64"/>
      </patternFill>
    </fill>
    <fill>
      <patternFill patternType="solid">
        <fgColor theme="1" tint="0.499984740745262"/>
        <bgColor theme="1" tint="0.499984740745262"/>
      </patternFill>
    </fill>
    <fill>
      <patternFill patternType="solid">
        <fgColor theme="2"/>
        <bgColor indexed="64"/>
      </patternFill>
    </fill>
    <fill>
      <patternFill patternType="solid">
        <fgColor rgb="FFFF0000"/>
        <bgColor indexed="64"/>
      </patternFill>
    </fill>
    <fill>
      <patternFill patternType="solid">
        <fgColor rgb="FF00B0F0"/>
        <bgColor indexed="64"/>
      </patternFill>
    </fill>
    <fill>
      <patternFill patternType="solid">
        <fgColor rgb="FF00B050"/>
        <bgColor indexed="64"/>
      </patternFill>
    </fill>
    <fill>
      <patternFill patternType="solid">
        <fgColor rgb="FFFFC000"/>
        <bgColor indexed="64"/>
      </patternFill>
    </fill>
    <fill>
      <patternFill patternType="solid">
        <fgColor rgb="FFFFFFFF"/>
        <bgColor indexed="64"/>
      </patternFill>
    </fill>
    <fill>
      <patternFill patternType="solid">
        <fgColor rgb="FFFAFAFA"/>
        <bgColor indexed="64"/>
      </patternFill>
    </fill>
    <fill>
      <patternFill patternType="solid">
        <fgColor rgb="FFC00000"/>
        <bgColor indexed="64"/>
      </patternFill>
    </fill>
    <fill>
      <patternFill patternType="solid">
        <fgColor rgb="FF0070C0"/>
        <bgColor rgb="FF0070C0"/>
      </patternFill>
    </fill>
    <fill>
      <patternFill patternType="solid">
        <fgColor rgb="FFCCFF33"/>
        <bgColor indexed="64"/>
      </patternFill>
    </fill>
    <fill>
      <patternFill patternType="solid">
        <fgColor rgb="FFF2F2F2"/>
        <bgColor indexed="64"/>
      </patternFill>
    </fill>
    <fill>
      <patternFill patternType="solid">
        <fgColor rgb="FFFFC7CE"/>
      </patternFill>
    </fill>
    <fill>
      <patternFill patternType="solid">
        <fgColor rgb="FFF5F5F5"/>
        <bgColor indexed="64"/>
      </patternFill>
    </fill>
    <fill>
      <patternFill patternType="solid">
        <fgColor rgb="FF00FFCC"/>
        <bgColor indexed="64"/>
      </patternFill>
    </fill>
    <fill>
      <patternFill patternType="solid">
        <fgColor rgb="FF99FF33"/>
        <bgColor indexed="64"/>
      </patternFill>
    </fill>
    <fill>
      <patternFill patternType="solid">
        <fgColor rgb="FFD9D9D9"/>
        <bgColor rgb="FFD9D9D9"/>
      </patternFill>
    </fill>
    <fill>
      <patternFill patternType="solid">
        <fgColor rgb="FFD9D9D9"/>
        <bgColor rgb="FF000000"/>
      </patternFill>
    </fill>
    <fill>
      <patternFill patternType="solid">
        <fgColor rgb="FF99FF33"/>
        <bgColor theme="1" tint="0.499984740745262"/>
      </patternFill>
    </fill>
    <fill>
      <patternFill patternType="lightUp">
        <bgColor theme="0" tint="-4.9989318521683403E-2"/>
      </patternFill>
    </fill>
    <fill>
      <patternFill patternType="solid">
        <fgColor theme="0" tint="-0.249977111117893"/>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rgb="FF66FF66"/>
        <bgColor indexed="64"/>
      </patternFill>
    </fill>
    <fill>
      <patternFill patternType="solid">
        <fgColor theme="0" tint="-0.14999847407452621"/>
        <bgColor theme="0" tint="-0.14999847407452621"/>
      </patternFill>
    </fill>
  </fills>
  <borders count="113">
    <border>
      <left/>
      <right/>
      <top/>
      <bottom/>
      <diagonal/>
    </border>
    <border>
      <left/>
      <right/>
      <top style="thin">
        <color rgb="FFD0CECE"/>
      </top>
      <bottom style="thin">
        <color rgb="FFD0CECE"/>
      </bottom>
      <diagonal/>
    </border>
    <border>
      <left/>
      <right/>
      <top style="thin">
        <color auto="1"/>
      </top>
      <bottom style="thin">
        <color auto="1"/>
      </bottom>
      <diagonal/>
    </border>
    <border>
      <left/>
      <right/>
      <top style="thin">
        <color auto="1"/>
      </top>
      <bottom style="thin">
        <color rgb="FFD0CECE"/>
      </bottom>
      <diagonal/>
    </border>
    <border>
      <left/>
      <right/>
      <top style="thin">
        <color auto="1"/>
      </top>
      <bottom/>
      <diagonal/>
    </border>
    <border>
      <left/>
      <right/>
      <top style="thin">
        <color auto="1"/>
      </top>
      <bottom style="thin">
        <color theme="2" tint="-9.9948118533890809E-2"/>
      </bottom>
      <diagonal/>
    </border>
    <border>
      <left/>
      <right/>
      <top style="thin">
        <color theme="2" tint="-9.9948118533890809E-2"/>
      </top>
      <bottom style="thin">
        <color theme="2" tint="-9.9948118533890809E-2"/>
      </bottom>
      <diagonal/>
    </border>
    <border>
      <left/>
      <right/>
      <top style="thin">
        <color theme="2" tint="-9.9948118533890809E-2"/>
      </top>
      <bottom style="thin">
        <color auto="1"/>
      </bottom>
      <diagonal/>
    </border>
    <border>
      <left/>
      <right/>
      <top/>
      <bottom style="thin">
        <color theme="2" tint="-9.9948118533890809E-2"/>
      </bottom>
      <diagonal/>
    </border>
    <border>
      <left/>
      <right/>
      <top style="thin">
        <color theme="2" tint="-9.9948118533890809E-2"/>
      </top>
      <bottom/>
      <diagonal/>
    </border>
    <border>
      <left/>
      <right/>
      <top/>
      <bottom style="thin">
        <color auto="1"/>
      </bottom>
      <diagonal/>
    </border>
    <border>
      <left/>
      <right/>
      <top/>
      <bottom style="thin">
        <color rgb="FFD0CECE"/>
      </bottom>
      <diagonal/>
    </border>
    <border>
      <left/>
      <right/>
      <top style="thin">
        <color theme="2" tint="-9.9948118533890809E-2"/>
      </top>
      <bottom style="thin">
        <color theme="1"/>
      </bottom>
      <diagonal/>
    </border>
    <border>
      <left/>
      <right/>
      <top style="thin">
        <color theme="2" tint="-9.9948118533890809E-2"/>
      </top>
      <bottom style="thin">
        <color theme="1" tint="0.499984740745262"/>
      </bottom>
      <diagonal/>
    </border>
    <border>
      <left/>
      <right/>
      <top style="thin">
        <color theme="1" tint="0.499984740745262"/>
      </top>
      <bottom style="thin">
        <color theme="2" tint="-9.9948118533890809E-2"/>
      </bottom>
      <diagonal/>
    </border>
    <border>
      <left/>
      <right/>
      <top style="medium">
        <color auto="1"/>
      </top>
      <bottom style="thin">
        <color auto="1"/>
      </bottom>
      <diagonal/>
    </border>
    <border>
      <left/>
      <right/>
      <top style="medium">
        <color auto="1"/>
      </top>
      <bottom style="thin">
        <color theme="2" tint="-9.9948118533890809E-2"/>
      </bottom>
      <diagonal/>
    </border>
    <border>
      <left/>
      <right/>
      <top style="thin">
        <color theme="2" tint="-9.9948118533890809E-2"/>
      </top>
      <bottom style="medium">
        <color auto="1"/>
      </bottom>
      <diagonal/>
    </border>
    <border>
      <left/>
      <right/>
      <top/>
      <bottom style="medium">
        <color auto="1"/>
      </bottom>
      <diagonal/>
    </border>
    <border>
      <left/>
      <right/>
      <top style="thick">
        <color auto="1"/>
      </top>
      <bottom style="thin">
        <color theme="2" tint="-9.9948118533890809E-2"/>
      </bottom>
      <diagonal/>
    </border>
    <border>
      <left/>
      <right/>
      <top style="thin">
        <color theme="2" tint="-9.9917600024414813E-2"/>
      </top>
      <bottom style="thin">
        <color theme="2" tint="-9.9917600024414813E-2"/>
      </bottom>
      <diagonal/>
    </border>
    <border>
      <left/>
      <right/>
      <top style="medium">
        <color auto="1"/>
      </top>
      <bottom/>
      <diagonal/>
    </border>
    <border>
      <left/>
      <right/>
      <top style="medium">
        <color theme="1"/>
      </top>
      <bottom style="thin">
        <color theme="2" tint="-9.9948118533890809E-2"/>
      </bottom>
      <diagonal/>
    </border>
    <border>
      <left/>
      <right/>
      <top style="thin">
        <color theme="1"/>
      </top>
      <bottom style="medium">
        <color theme="1" tint="0.499984740745262"/>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medium">
        <color theme="1" tint="0.499984740745262"/>
      </top>
      <bottom/>
      <diagonal/>
    </border>
    <border>
      <left style="thin">
        <color theme="0" tint="-0.14996795556505021"/>
      </left>
      <right style="thin">
        <color theme="0" tint="-0.14996795556505021"/>
      </right>
      <top style="thin">
        <color theme="0" tint="-0.14999847407452621"/>
      </top>
      <bottom/>
      <diagonal/>
    </border>
    <border>
      <left/>
      <right/>
      <top style="thin">
        <color theme="1"/>
      </top>
      <bottom/>
      <diagonal/>
    </border>
    <border>
      <left/>
      <right/>
      <top/>
      <bottom style="medium">
        <color theme="1" tint="0.499984740745262"/>
      </bottom>
      <diagonal/>
    </border>
    <border>
      <left/>
      <right/>
      <top style="thin">
        <color auto="1"/>
      </top>
      <bottom style="medium">
        <color theme="1" tint="0.499984740745262"/>
      </bottom>
      <diagonal/>
    </border>
    <border>
      <left/>
      <right/>
      <top style="thin">
        <color theme="4" tint="-0.249977111117893"/>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rgb="FF000000"/>
      </top>
      <bottom style="medium">
        <color rgb="FF808080"/>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bottom style="thin">
        <color theme="1" tint="0.499984740745262"/>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style="thin">
        <color auto="1"/>
      </top>
      <bottom style="thin">
        <color theme="2" tint="-9.9948118533890809E-2"/>
      </bottom>
      <diagonal/>
    </border>
    <border>
      <left/>
      <right style="medium">
        <color theme="0" tint="-0.249977111117893"/>
      </right>
      <top style="thin">
        <color auto="1"/>
      </top>
      <bottom style="thin">
        <color theme="2" tint="-9.9948118533890809E-2"/>
      </bottom>
      <diagonal/>
    </border>
    <border>
      <left style="medium">
        <color theme="0" tint="-0.249977111117893"/>
      </left>
      <right/>
      <top style="thin">
        <color theme="2" tint="-9.9948118533890809E-2"/>
      </top>
      <bottom/>
      <diagonal/>
    </border>
    <border>
      <left/>
      <right style="medium">
        <color theme="0" tint="-0.249977111117893"/>
      </right>
      <top style="thin">
        <color theme="2" tint="-9.9948118533890809E-2"/>
      </top>
      <bottom/>
      <diagonal/>
    </border>
    <border>
      <left style="medium">
        <color theme="0" tint="-0.249977111117893"/>
      </left>
      <right/>
      <top style="medium">
        <color auto="1"/>
      </top>
      <bottom style="medium">
        <color theme="0" tint="-0.249977111117893"/>
      </bottom>
      <diagonal/>
    </border>
    <border>
      <left/>
      <right/>
      <top style="medium">
        <color auto="1"/>
      </top>
      <bottom style="medium">
        <color theme="0" tint="-0.249977111117893"/>
      </bottom>
      <diagonal/>
    </border>
    <border>
      <left/>
      <right style="medium">
        <color theme="0" tint="-0.249977111117893"/>
      </right>
      <top style="medium">
        <color auto="1"/>
      </top>
      <bottom style="medium">
        <color theme="0" tint="-0.249977111117893"/>
      </bottom>
      <diagonal/>
    </border>
    <border>
      <left style="medium">
        <color theme="0" tint="-0.249977111117893"/>
      </left>
      <right/>
      <top style="thin">
        <color theme="2" tint="-9.9948118533890809E-2"/>
      </top>
      <bottom style="thin">
        <color theme="2" tint="-9.9948118533890809E-2"/>
      </bottom>
      <diagonal/>
    </border>
    <border>
      <left/>
      <right style="medium">
        <color theme="0" tint="-0.249977111117893"/>
      </right>
      <top style="thin">
        <color theme="2" tint="-9.9948118533890809E-2"/>
      </top>
      <bottom style="thin">
        <color theme="2" tint="-9.9948118533890809E-2"/>
      </bottom>
      <diagonal/>
    </border>
    <border>
      <left style="medium">
        <color theme="0" tint="-0.249977111117893"/>
      </left>
      <right/>
      <top style="medium">
        <color theme="0" tint="-0.249977111117893"/>
      </top>
      <bottom style="thin">
        <color auto="1"/>
      </bottom>
      <diagonal/>
    </border>
    <border>
      <left/>
      <right/>
      <top style="medium">
        <color theme="0" tint="-0.249977111117893"/>
      </top>
      <bottom style="thin">
        <color auto="1"/>
      </bottom>
      <diagonal/>
    </border>
    <border>
      <left/>
      <right style="medium">
        <color theme="0" tint="-0.249977111117893"/>
      </right>
      <top style="medium">
        <color theme="0" tint="-0.249977111117893"/>
      </top>
      <bottom style="thin">
        <color auto="1"/>
      </bottom>
      <diagonal/>
    </border>
    <border>
      <left style="medium">
        <color theme="0" tint="-0.249977111117893"/>
      </left>
      <right/>
      <top style="thin">
        <color auto="1"/>
      </top>
      <bottom/>
      <diagonal/>
    </border>
    <border>
      <left/>
      <right style="medium">
        <color theme="0" tint="-0.249977111117893"/>
      </right>
      <top style="thin">
        <color auto="1"/>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thin">
        <color auto="1"/>
      </bottom>
      <diagonal/>
    </border>
    <border>
      <left/>
      <right style="medium">
        <color theme="0" tint="-0.249977111117893"/>
      </right>
      <top/>
      <bottom style="thin">
        <color auto="1"/>
      </bottom>
      <diagonal/>
    </border>
    <border>
      <left style="medium">
        <color theme="0" tint="-0.249977111117893"/>
      </left>
      <right/>
      <top style="thin">
        <color auto="1"/>
      </top>
      <bottom style="thin">
        <color auto="1"/>
      </bottom>
      <diagonal/>
    </border>
    <border>
      <left/>
      <right style="medium">
        <color theme="0" tint="-0.249977111117893"/>
      </right>
      <top style="thin">
        <color auto="1"/>
      </top>
      <bottom style="thin">
        <color auto="1"/>
      </bottom>
      <diagonal/>
    </border>
    <border>
      <left style="medium">
        <color theme="0" tint="-0.249977111117893"/>
      </left>
      <right/>
      <top style="medium">
        <color auto="1"/>
      </top>
      <bottom/>
      <diagonal/>
    </border>
    <border>
      <left/>
      <right style="medium">
        <color theme="0" tint="-0.249977111117893"/>
      </right>
      <top style="medium">
        <color auto="1"/>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style="medium">
        <color theme="0" tint="-0.249977111117893"/>
      </left>
      <right/>
      <top/>
      <bottom style="medium">
        <color auto="1"/>
      </bottom>
      <diagonal/>
    </border>
    <border>
      <left/>
      <right style="medium">
        <color theme="0" tint="-0.249977111117893"/>
      </right>
      <top/>
      <bottom style="medium">
        <color auto="1"/>
      </bottom>
      <diagonal/>
    </border>
    <border>
      <left style="medium">
        <color theme="0" tint="-0.249977111117893"/>
      </left>
      <right/>
      <top style="thin">
        <color auto="1"/>
      </top>
      <bottom style="medium">
        <color theme="0" tint="-0.249977111117893"/>
      </bottom>
      <diagonal/>
    </border>
    <border>
      <left/>
      <right/>
      <top style="thin">
        <color auto="1"/>
      </top>
      <bottom style="medium">
        <color theme="0" tint="-0.249977111117893"/>
      </bottom>
      <diagonal/>
    </border>
    <border>
      <left/>
      <right style="medium">
        <color theme="0" tint="-0.249977111117893"/>
      </right>
      <top style="thin">
        <color auto="1"/>
      </top>
      <bottom style="medium">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1"/>
      </left>
      <right/>
      <top/>
      <bottom style="thin">
        <color theme="0" tint="-0.249977111117893"/>
      </bottom>
      <diagonal/>
    </border>
    <border>
      <left/>
      <right/>
      <top/>
      <bottom style="thin">
        <color theme="0" tint="-0.249977111117893"/>
      </bottom>
      <diagonal/>
    </border>
    <border>
      <left style="medium">
        <color theme="0" tint="-0.249977111117893"/>
      </left>
      <right/>
      <top style="medium">
        <color auto="1"/>
      </top>
      <bottom style="thin">
        <color auto="1"/>
      </bottom>
      <diagonal/>
    </border>
    <border>
      <left/>
      <right style="medium">
        <color theme="0" tint="-0.249977111117893"/>
      </right>
      <top style="medium">
        <color auto="1"/>
      </top>
      <bottom style="thin">
        <color auto="1"/>
      </bottom>
      <diagonal/>
    </border>
    <border>
      <left style="medium">
        <color theme="0" tint="-0.249977111117893"/>
      </left>
      <right/>
      <top style="thick">
        <color auto="1"/>
      </top>
      <bottom style="thin">
        <color theme="2" tint="-9.9948118533890809E-2"/>
      </bottom>
      <diagonal/>
    </border>
    <border>
      <left/>
      <right style="medium">
        <color theme="0" tint="-0.249977111117893"/>
      </right>
      <top style="thick">
        <color auto="1"/>
      </top>
      <bottom style="thin">
        <color theme="2" tint="-9.9948118533890809E-2"/>
      </bottom>
      <diagonal/>
    </border>
    <border>
      <left style="medium">
        <color theme="0" tint="-0.249977111117893"/>
      </left>
      <right/>
      <top style="thin">
        <color theme="2" tint="-9.9948118533890809E-2"/>
      </top>
      <bottom style="medium">
        <color theme="0" tint="-0.249977111117893"/>
      </bottom>
      <diagonal/>
    </border>
    <border>
      <left/>
      <right/>
      <top style="thin">
        <color theme="2" tint="-9.9948118533890809E-2"/>
      </top>
      <bottom style="medium">
        <color theme="0" tint="-0.249977111117893"/>
      </bottom>
      <diagonal/>
    </border>
    <border>
      <left/>
      <right style="medium">
        <color theme="0" tint="-0.249977111117893"/>
      </right>
      <top style="thin">
        <color theme="2" tint="-9.9948118533890809E-2"/>
      </top>
      <bottom style="medium">
        <color theme="0" tint="-0.249977111117893"/>
      </bottom>
      <diagonal/>
    </border>
    <border>
      <left style="medium">
        <color theme="0" tint="-0.249977111117893"/>
      </left>
      <right/>
      <top style="thin">
        <color theme="2" tint="-9.9948118533890809E-2"/>
      </top>
      <bottom style="medium">
        <color auto="1"/>
      </bottom>
      <diagonal/>
    </border>
    <border>
      <left/>
      <right style="medium">
        <color theme="0" tint="-0.249977111117893"/>
      </right>
      <top style="thin">
        <color theme="2" tint="-9.9948118533890809E-2"/>
      </top>
      <bottom style="medium">
        <color auto="1"/>
      </bottom>
      <diagonal/>
    </border>
    <border>
      <left style="medium">
        <color theme="0" tint="-0.249977111117893"/>
      </left>
      <right/>
      <top style="thin">
        <color theme="2" tint="-9.9948118533890809E-2"/>
      </top>
      <bottom style="thin">
        <color auto="1"/>
      </bottom>
      <diagonal/>
    </border>
    <border>
      <left/>
      <right style="medium">
        <color theme="0" tint="-0.249977111117893"/>
      </right>
      <top style="thin">
        <color theme="2" tint="-9.9948118533890809E-2"/>
      </top>
      <bottom style="thin">
        <color auto="1"/>
      </bottom>
      <diagonal/>
    </border>
    <border>
      <left style="medium">
        <color theme="0" tint="-0.249977111117893"/>
      </left>
      <right/>
      <top/>
      <bottom style="thin">
        <color theme="2" tint="-9.9948118533890809E-2"/>
      </bottom>
      <diagonal/>
    </border>
    <border>
      <left/>
      <right style="medium">
        <color theme="0" tint="-0.249977111117893"/>
      </right>
      <top/>
      <bottom style="thin">
        <color theme="2" tint="-9.9948118533890809E-2"/>
      </bottom>
      <diagonal/>
    </border>
    <border>
      <left style="medium">
        <color theme="0" tint="-0.249977111117893"/>
      </left>
      <right/>
      <top style="thin">
        <color theme="1"/>
      </top>
      <bottom/>
      <diagonal/>
    </border>
    <border>
      <left/>
      <right style="medium">
        <color theme="0" tint="-0.249977111117893"/>
      </right>
      <top style="thin">
        <color theme="1"/>
      </top>
      <bottom/>
      <diagonal/>
    </border>
    <border>
      <left style="medium">
        <color theme="0" tint="-0.249977111117893"/>
      </left>
      <right/>
      <top style="thin">
        <color theme="2" tint="-9.9948118533890809E-2"/>
      </top>
      <bottom style="thin">
        <color theme="1" tint="0.499984740745262"/>
      </bottom>
      <diagonal/>
    </border>
    <border>
      <left/>
      <right style="medium">
        <color theme="0" tint="-0.249977111117893"/>
      </right>
      <top style="thin">
        <color theme="2" tint="-9.9948118533890809E-2"/>
      </top>
      <bottom style="thin">
        <color theme="1" tint="0.499984740745262"/>
      </bottom>
      <diagonal/>
    </border>
    <border>
      <left style="medium">
        <color theme="0" tint="-0.249977111117893"/>
      </left>
      <right/>
      <top style="thin">
        <color theme="1" tint="0.499984740745262"/>
      </top>
      <bottom style="thin">
        <color theme="2" tint="-9.9948118533890809E-2"/>
      </bottom>
      <diagonal/>
    </border>
    <border>
      <left/>
      <right style="medium">
        <color theme="0" tint="-0.249977111117893"/>
      </right>
      <top style="thin">
        <color theme="1" tint="0.499984740745262"/>
      </top>
      <bottom style="thin">
        <color theme="2" tint="-9.9948118533890809E-2"/>
      </bottom>
      <diagonal/>
    </border>
    <border>
      <left style="medium">
        <color theme="0" tint="-0.249977111117893"/>
      </left>
      <right/>
      <top style="medium">
        <color theme="1"/>
      </top>
      <bottom style="thin">
        <color theme="2" tint="-9.9948118533890809E-2"/>
      </bottom>
      <diagonal/>
    </border>
    <border>
      <left/>
      <right style="medium">
        <color theme="0" tint="-0.249977111117893"/>
      </right>
      <top style="medium">
        <color theme="1"/>
      </top>
      <bottom style="thin">
        <color theme="2" tint="-9.9948118533890809E-2"/>
      </bottom>
      <diagonal/>
    </border>
    <border>
      <left style="medium">
        <color theme="0" tint="-0.249977111117893"/>
      </left>
      <right/>
      <top style="thin">
        <color theme="2" tint="-9.9948118533890809E-2"/>
      </top>
      <bottom style="thin">
        <color theme="1"/>
      </bottom>
      <diagonal/>
    </border>
    <border>
      <left/>
      <right style="medium">
        <color theme="0" tint="-0.249977111117893"/>
      </right>
      <top style="thin">
        <color theme="2" tint="-9.9948118533890809E-2"/>
      </top>
      <bottom style="thin">
        <color theme="1"/>
      </bottom>
      <diagonal/>
    </border>
    <border>
      <left style="medium">
        <color theme="0" tint="-0.249977111117893"/>
      </left>
      <right/>
      <top style="thin">
        <color auto="1"/>
      </top>
      <bottom style="thin">
        <color rgb="FFD0CECE"/>
      </bottom>
      <diagonal/>
    </border>
    <border>
      <left/>
      <right style="medium">
        <color theme="0" tint="-0.249977111117893"/>
      </right>
      <top style="thin">
        <color auto="1"/>
      </top>
      <bottom style="thin">
        <color rgb="FFD0CECE"/>
      </bottom>
      <diagonal/>
    </border>
    <border>
      <left style="medium">
        <color theme="0" tint="-0.249977111117893"/>
      </left>
      <right/>
      <top style="thin">
        <color rgb="FFD0CECE"/>
      </top>
      <bottom style="thin">
        <color rgb="FFD0CECE"/>
      </bottom>
      <diagonal/>
    </border>
    <border>
      <left/>
      <right style="medium">
        <color theme="0" tint="-0.249977111117893"/>
      </right>
      <top style="thin">
        <color rgb="FFD0CECE"/>
      </top>
      <bottom style="thin">
        <color rgb="FFD0CECE"/>
      </bottom>
      <diagonal/>
    </border>
  </borders>
  <cellStyleXfs count="15">
    <xf numFmtId="0" fontId="0" fillId="0" borderId="0"/>
    <xf numFmtId="164" fontId="6" fillId="0" borderId="0" applyFont="0" applyFill="0" applyBorder="0" applyAlignment="0" applyProtection="0"/>
    <xf numFmtId="9" fontId="6" fillId="0" borderId="0" applyFont="0" applyFill="0" applyBorder="0" applyAlignment="0" applyProtection="0"/>
    <xf numFmtId="0" fontId="8" fillId="0" borderId="0"/>
    <xf numFmtId="4" fontId="7" fillId="0" borderId="10" applyNumberFormat="0" applyFont="0" applyFill="0" applyAlignment="0"/>
    <xf numFmtId="4" fontId="9" fillId="3" borderId="10" applyNumberFormat="0" applyFill="0" applyBorder="0" applyAlignment="0" applyProtection="0"/>
    <xf numFmtId="3" fontId="7" fillId="3" borderId="10" applyFont="0" applyFill="0" applyBorder="0" applyAlignment="0" applyProtection="0"/>
    <xf numFmtId="9" fontId="8" fillId="0" borderId="0" applyFont="0" applyFill="0" applyBorder="0" applyAlignment="0" applyProtection="0"/>
    <xf numFmtId="174" fontId="10" fillId="4" borderId="0"/>
    <xf numFmtId="0" fontId="7" fillId="0" borderId="0"/>
    <xf numFmtId="0" fontId="7" fillId="0" borderId="0"/>
    <xf numFmtId="0" fontId="6" fillId="0" borderId="0"/>
    <xf numFmtId="9" fontId="6" fillId="0" borderId="0" applyFont="0" applyFill="0" applyBorder="0" applyAlignment="0" applyProtection="0"/>
    <xf numFmtId="9" fontId="7" fillId="0" borderId="0" applyFont="0" applyFill="0" applyBorder="0" applyAlignment="0" applyProtection="0"/>
    <xf numFmtId="0" fontId="67" fillId="23" borderId="0" applyNumberFormat="0" applyBorder="0" applyAlignment="0" applyProtection="0"/>
  </cellStyleXfs>
  <cellXfs count="1776">
    <xf numFmtId="0" fontId="0" fillId="0" borderId="0" xfId="0"/>
    <xf numFmtId="0" fontId="12" fillId="0" borderId="0" xfId="0" applyFont="1"/>
    <xf numFmtId="0" fontId="14" fillId="0" borderId="0" xfId="0" applyFont="1" applyAlignment="1">
      <alignment vertical="center" readingOrder="1"/>
    </xf>
    <xf numFmtId="0" fontId="13" fillId="0" borderId="0" xfId="0" applyFont="1" applyAlignment="1">
      <alignment horizontal="left" vertical="center" wrapText="1" readingOrder="1"/>
    </xf>
    <xf numFmtId="168" fontId="16" fillId="0" borderId="4" xfId="0" applyNumberFormat="1" applyFont="1" applyBorder="1" applyAlignment="1">
      <alignment horizontal="right" vertical="center" wrapText="1" readingOrder="1"/>
    </xf>
    <xf numFmtId="0" fontId="23" fillId="0" borderId="0" xfId="0" applyFont="1" applyAlignment="1">
      <alignment vertical="center" wrapText="1" readingOrder="1"/>
    </xf>
    <xf numFmtId="0" fontId="30" fillId="0" borderId="0" xfId="0" applyFont="1" applyAlignment="1">
      <alignment vertical="center" readingOrder="1"/>
    </xf>
    <xf numFmtId="0" fontId="30" fillId="0" borderId="0" xfId="0" applyFont="1" applyAlignment="1">
      <alignment horizontal="left" vertical="center" readingOrder="1"/>
    </xf>
    <xf numFmtId="1" fontId="33" fillId="0" borderId="0" xfId="0" applyNumberFormat="1" applyFont="1" applyAlignment="1">
      <alignment horizontal="right" vertical="center" wrapText="1" readingOrder="1"/>
    </xf>
    <xf numFmtId="0" fontId="22" fillId="0" borderId="3" xfId="0" applyFont="1" applyBorder="1" applyAlignment="1">
      <alignment horizontal="left" vertical="center" wrapText="1" readingOrder="1"/>
    </xf>
    <xf numFmtId="9" fontId="34" fillId="0" borderId="4" xfId="0" applyNumberFormat="1" applyFont="1" applyBorder="1" applyAlignment="1">
      <alignment horizontal="right" vertical="center" wrapText="1" readingOrder="1"/>
    </xf>
    <xf numFmtId="9" fontId="22" fillId="0" borderId="4" xfId="0" applyNumberFormat="1" applyFont="1" applyBorder="1" applyAlignment="1">
      <alignment horizontal="right" vertical="center" wrapText="1" readingOrder="1"/>
    </xf>
    <xf numFmtId="167" fontId="35" fillId="0" borderId="4" xfId="2" applyNumberFormat="1" applyFont="1" applyBorder="1" applyAlignment="1">
      <alignment horizontal="right" vertical="center" wrapText="1" readingOrder="1"/>
    </xf>
    <xf numFmtId="0" fontId="22" fillId="0" borderId="11" xfId="0" applyFont="1" applyBorder="1" applyAlignment="1">
      <alignment horizontal="left" vertical="center" wrapText="1" readingOrder="1"/>
    </xf>
    <xf numFmtId="1" fontId="34" fillId="0" borderId="6" xfId="0" applyNumberFormat="1" applyFont="1" applyBorder="1" applyAlignment="1">
      <alignment horizontal="right" vertical="center" wrapText="1" readingOrder="1"/>
    </xf>
    <xf numFmtId="9" fontId="22" fillId="0" borderId="6" xfId="0" applyNumberFormat="1" applyFont="1" applyBorder="1" applyAlignment="1">
      <alignment horizontal="right" vertical="center" wrapText="1" readingOrder="1"/>
    </xf>
    <xf numFmtId="167" fontId="35" fillId="0" borderId="6" xfId="2" applyNumberFormat="1" applyFont="1" applyBorder="1" applyAlignment="1">
      <alignment horizontal="right" vertical="center" wrapText="1" readingOrder="1"/>
    </xf>
    <xf numFmtId="1" fontId="34" fillId="0" borderId="9" xfId="0" applyNumberFormat="1" applyFont="1" applyBorder="1" applyAlignment="1">
      <alignment horizontal="right" vertical="center" wrapText="1" readingOrder="1"/>
    </xf>
    <xf numFmtId="171" fontId="35" fillId="0" borderId="9" xfId="0" applyNumberFormat="1" applyFont="1" applyBorder="1" applyAlignment="1">
      <alignment horizontal="right" vertical="center" readingOrder="1"/>
    </xf>
    <xf numFmtId="9" fontId="34" fillId="0" borderId="5" xfId="0" applyNumberFormat="1" applyFont="1" applyBorder="1" applyAlignment="1">
      <alignment horizontal="right" vertical="center" wrapText="1" readingOrder="1"/>
    </xf>
    <xf numFmtId="9" fontId="22" fillId="0" borderId="5" xfId="0" applyNumberFormat="1" applyFont="1" applyBorder="1" applyAlignment="1">
      <alignment horizontal="right" vertical="center" wrapText="1" readingOrder="1"/>
    </xf>
    <xf numFmtId="167" fontId="35" fillId="0" borderId="5" xfId="2" applyNumberFormat="1" applyFont="1" applyBorder="1" applyAlignment="1">
      <alignment horizontal="right" vertical="center" wrapText="1" readingOrder="1"/>
    </xf>
    <xf numFmtId="1" fontId="34" fillId="0" borderId="7" xfId="0" applyNumberFormat="1" applyFont="1" applyBorder="1" applyAlignment="1">
      <alignment horizontal="right" vertical="center" wrapText="1" readingOrder="1"/>
    </xf>
    <xf numFmtId="9" fontId="34" fillId="0" borderId="8" xfId="0" applyNumberFormat="1" applyFont="1" applyBorder="1" applyAlignment="1">
      <alignment horizontal="right" vertical="center" wrapText="1" readingOrder="1"/>
    </xf>
    <xf numFmtId="167" fontId="35" fillId="0" borderId="8" xfId="2" applyNumberFormat="1" applyFont="1" applyBorder="1" applyAlignment="1">
      <alignment horizontal="right" vertical="center" wrapText="1" readingOrder="1"/>
    </xf>
    <xf numFmtId="0" fontId="23" fillId="0" borderId="6" xfId="0" applyFont="1" applyBorder="1" applyAlignment="1">
      <alignment vertical="center" wrapText="1" readingOrder="1"/>
    </xf>
    <xf numFmtId="0" fontId="23" fillId="0" borderId="6" xfId="0" applyFont="1" applyBorder="1" applyAlignment="1">
      <alignment horizontal="left" vertical="center" wrapText="1" readingOrder="1"/>
    </xf>
    <xf numFmtId="167" fontId="32" fillId="0" borderId="6" xfId="2" applyNumberFormat="1" applyFont="1" applyBorder="1" applyAlignment="1">
      <alignment horizontal="right" vertical="center" wrapText="1" readingOrder="1"/>
    </xf>
    <xf numFmtId="3" fontId="23" fillId="0" borderId="0" xfId="0" applyNumberFormat="1" applyFont="1" applyAlignment="1">
      <alignment horizontal="right" vertical="center" wrapText="1" readingOrder="1"/>
    </xf>
    <xf numFmtId="0" fontId="35" fillId="0" borderId="0" xfId="0" applyFont="1" applyAlignment="1">
      <alignment horizontal="right" vertical="center" wrapText="1"/>
    </xf>
    <xf numFmtId="3" fontId="22" fillId="0" borderId="0" xfId="0" applyNumberFormat="1" applyFont="1" applyAlignment="1">
      <alignment horizontal="right" vertical="center" wrapText="1" readingOrder="1"/>
    </xf>
    <xf numFmtId="171" fontId="35" fillId="0" borderId="0" xfId="0" applyNumberFormat="1" applyFont="1" applyAlignment="1">
      <alignment horizontal="right" vertical="center" readingOrder="1"/>
    </xf>
    <xf numFmtId="0" fontId="23" fillId="0" borderId="0" xfId="0" applyFont="1" applyAlignment="1">
      <alignment horizontal="left" vertical="center" wrapText="1" readingOrder="1"/>
    </xf>
    <xf numFmtId="0" fontId="30" fillId="0" borderId="0" xfId="0" applyFont="1" applyAlignment="1">
      <alignment horizontal="left" vertical="center" wrapText="1" readingOrder="1"/>
    </xf>
    <xf numFmtId="3" fontId="22" fillId="0" borderId="3" xfId="0" applyNumberFormat="1" applyFont="1" applyBorder="1" applyAlignment="1">
      <alignment horizontal="right" vertical="center" wrapText="1" readingOrder="1"/>
    </xf>
    <xf numFmtId="3" fontId="22" fillId="2" borderId="3" xfId="0" applyNumberFormat="1" applyFont="1" applyFill="1" applyBorder="1" applyAlignment="1">
      <alignment horizontal="right" vertical="center" wrapText="1" readingOrder="1"/>
    </xf>
    <xf numFmtId="3" fontId="35" fillId="0" borderId="3" xfId="0" applyNumberFormat="1" applyFont="1" applyBorder="1" applyAlignment="1">
      <alignment horizontal="right" vertical="center" wrapText="1" readingOrder="1"/>
    </xf>
    <xf numFmtId="172" fontId="35" fillId="0" borderId="3" xfId="1" applyNumberFormat="1" applyFont="1" applyBorder="1" applyAlignment="1">
      <alignment horizontal="right" vertical="center" wrapText="1" readingOrder="1"/>
    </xf>
    <xf numFmtId="167" fontId="35" fillId="0" borderId="3" xfId="2" applyNumberFormat="1" applyFont="1" applyBorder="1" applyAlignment="1">
      <alignment horizontal="right" vertical="center" wrapText="1" readingOrder="1"/>
    </xf>
    <xf numFmtId="167" fontId="35" fillId="0" borderId="3" xfId="0" applyNumberFormat="1" applyFont="1" applyBorder="1" applyAlignment="1">
      <alignment horizontal="right" vertical="center" wrapText="1" readingOrder="1"/>
    </xf>
    <xf numFmtId="0" fontId="22" fillId="0" borderId="1" xfId="0" applyFont="1" applyBorder="1" applyAlignment="1">
      <alignment horizontal="left" vertical="center" wrapText="1" readingOrder="1"/>
    </xf>
    <xf numFmtId="3" fontId="22" fillId="0" borderId="1" xfId="0" applyNumberFormat="1" applyFont="1" applyBorder="1" applyAlignment="1">
      <alignment horizontal="right" vertical="center" wrapText="1" readingOrder="1"/>
    </xf>
    <xf numFmtId="3" fontId="22" fillId="2" borderId="1" xfId="0" applyNumberFormat="1" applyFont="1" applyFill="1" applyBorder="1" applyAlignment="1">
      <alignment horizontal="right" vertical="center" wrapText="1" readingOrder="1"/>
    </xf>
    <xf numFmtId="3" fontId="35" fillId="0" borderId="1" xfId="0" applyNumberFormat="1" applyFont="1" applyBorder="1" applyAlignment="1">
      <alignment horizontal="right" vertical="center" wrapText="1" readingOrder="1"/>
    </xf>
    <xf numFmtId="172" fontId="35" fillId="0" borderId="1" xfId="1" applyNumberFormat="1" applyFont="1" applyBorder="1" applyAlignment="1">
      <alignment horizontal="right" vertical="center" wrapText="1" readingOrder="1"/>
    </xf>
    <xf numFmtId="167" fontId="35" fillId="0" borderId="1" xfId="2" applyNumberFormat="1" applyFont="1" applyBorder="1" applyAlignment="1">
      <alignment horizontal="right" vertical="center" wrapText="1" readingOrder="1"/>
    </xf>
    <xf numFmtId="167" fontId="35" fillId="0" borderId="1" xfId="0" applyNumberFormat="1" applyFont="1" applyBorder="1" applyAlignment="1">
      <alignment horizontal="right" vertical="center" wrapText="1" readingOrder="1"/>
    </xf>
    <xf numFmtId="3" fontId="33" fillId="0" borderId="0" xfId="0" applyNumberFormat="1" applyFont="1" applyAlignment="1">
      <alignment horizontal="right" vertical="center" wrapText="1" readingOrder="1"/>
    </xf>
    <xf numFmtId="0" fontId="32" fillId="0" borderId="0" xfId="0" applyFont="1" applyAlignment="1">
      <alignment horizontal="right" vertical="center" wrapText="1"/>
    </xf>
    <xf numFmtId="3" fontId="35" fillId="0" borderId="0" xfId="0" applyNumberFormat="1" applyFont="1" applyAlignment="1">
      <alignment horizontal="right" vertical="center" wrapText="1" readingOrder="1"/>
    </xf>
    <xf numFmtId="172" fontId="32" fillId="0" borderId="0" xfId="1" applyNumberFormat="1" applyFont="1" applyFill="1" applyBorder="1" applyAlignment="1">
      <alignment horizontal="right" vertical="center" wrapText="1" readingOrder="1"/>
    </xf>
    <xf numFmtId="9" fontId="23" fillId="0" borderId="0" xfId="0" applyNumberFormat="1" applyFont="1" applyAlignment="1">
      <alignment horizontal="right" vertical="center" wrapText="1" readingOrder="1"/>
    </xf>
    <xf numFmtId="165" fontId="35" fillId="0" borderId="5" xfId="0" applyNumberFormat="1" applyFont="1" applyBorder="1" applyAlignment="1">
      <alignment horizontal="right" vertical="center" wrapText="1" readingOrder="1"/>
    </xf>
    <xf numFmtId="170" fontId="35" fillId="0" borderId="5" xfId="2" applyNumberFormat="1" applyFont="1" applyBorder="1" applyAlignment="1">
      <alignment horizontal="right" vertical="center" wrapText="1" readingOrder="1"/>
    </xf>
    <xf numFmtId="168" fontId="35" fillId="0" borderId="5" xfId="0" applyNumberFormat="1" applyFont="1" applyBorder="1" applyAlignment="1">
      <alignment horizontal="right" vertical="center" wrapText="1" readingOrder="1"/>
    </xf>
    <xf numFmtId="165" fontId="35" fillId="0" borderId="6" xfId="0" applyNumberFormat="1" applyFont="1" applyBorder="1" applyAlignment="1">
      <alignment horizontal="right" vertical="center" wrapText="1" readingOrder="1"/>
    </xf>
    <xf numFmtId="170" fontId="35" fillId="0" borderId="6" xfId="2" applyNumberFormat="1" applyFont="1" applyBorder="1" applyAlignment="1">
      <alignment horizontal="right" vertical="center" wrapText="1" readingOrder="1"/>
    </xf>
    <xf numFmtId="168" fontId="35" fillId="0" borderId="6" xfId="0" applyNumberFormat="1" applyFont="1" applyBorder="1" applyAlignment="1">
      <alignment horizontal="right" vertical="center" wrapText="1" readingOrder="1"/>
    </xf>
    <xf numFmtId="165" fontId="35" fillId="0" borderId="7" xfId="0" applyNumberFormat="1" applyFont="1" applyBorder="1" applyAlignment="1">
      <alignment horizontal="right" vertical="center" wrapText="1" readingOrder="1"/>
    </xf>
    <xf numFmtId="170" fontId="32" fillId="0" borderId="7" xfId="2" applyNumberFormat="1" applyFont="1" applyBorder="1" applyAlignment="1">
      <alignment horizontal="right" vertical="center" wrapText="1" readingOrder="1"/>
    </xf>
    <xf numFmtId="170" fontId="35" fillId="0" borderId="8" xfId="2" applyNumberFormat="1" applyFont="1" applyBorder="1" applyAlignment="1">
      <alignment horizontal="right" vertical="center" wrapText="1" readingOrder="1"/>
    </xf>
    <xf numFmtId="170" fontId="35" fillId="0" borderId="9" xfId="2" applyNumberFormat="1" applyFont="1" applyBorder="1" applyAlignment="1">
      <alignment horizontal="right" vertical="center" wrapText="1" readingOrder="1"/>
    </xf>
    <xf numFmtId="170" fontId="35" fillId="0" borderId="7" xfId="2" applyNumberFormat="1" applyFont="1" applyBorder="1" applyAlignment="1">
      <alignment horizontal="right" vertical="center" wrapText="1" readingOrder="1"/>
    </xf>
    <xf numFmtId="170" fontId="35" fillId="0" borderId="6" xfId="0" applyNumberFormat="1" applyFont="1" applyBorder="1" applyAlignment="1">
      <alignment horizontal="right" vertical="center" readingOrder="1"/>
    </xf>
    <xf numFmtId="3" fontId="38" fillId="0" borderId="1" xfId="0" applyNumberFormat="1" applyFont="1" applyBorder="1" applyAlignment="1">
      <alignment horizontal="right" vertical="center" wrapText="1" readingOrder="1"/>
    </xf>
    <xf numFmtId="9" fontId="38" fillId="2" borderId="3" xfId="2" applyFont="1" applyFill="1" applyBorder="1" applyAlignment="1">
      <alignment horizontal="right" vertical="center" wrapText="1" readingOrder="1"/>
    </xf>
    <xf numFmtId="9" fontId="38" fillId="2" borderId="1" xfId="2" applyFont="1" applyFill="1" applyBorder="1" applyAlignment="1">
      <alignment horizontal="right" vertical="center" wrapText="1" readingOrder="1"/>
    </xf>
    <xf numFmtId="0" fontId="14" fillId="0" borderId="0" xfId="0" applyFont="1" applyAlignment="1">
      <alignment horizontal="left" vertical="center" wrapText="1" readingOrder="1"/>
    </xf>
    <xf numFmtId="3" fontId="38" fillId="0" borderId="5" xfId="0" applyNumberFormat="1" applyFont="1" applyBorder="1" applyAlignment="1">
      <alignment horizontal="right" vertical="center" wrapText="1" readingOrder="1"/>
    </xf>
    <xf numFmtId="3" fontId="38" fillId="0" borderId="6" xfId="0" applyNumberFormat="1" applyFont="1" applyBorder="1" applyAlignment="1">
      <alignment horizontal="right" vertical="center" wrapText="1" readingOrder="1"/>
    </xf>
    <xf numFmtId="3" fontId="38" fillId="0" borderId="7" xfId="0" applyNumberFormat="1" applyFont="1" applyBorder="1" applyAlignment="1">
      <alignment horizontal="right" vertical="center" wrapText="1" readingOrder="1"/>
    </xf>
    <xf numFmtId="3" fontId="38" fillId="0" borderId="8" xfId="0" applyNumberFormat="1" applyFont="1" applyBorder="1" applyAlignment="1">
      <alignment horizontal="right" vertical="center" wrapText="1" readingOrder="1"/>
    </xf>
    <xf numFmtId="3" fontId="38" fillId="0" borderId="9" xfId="0" applyNumberFormat="1" applyFont="1" applyBorder="1" applyAlignment="1">
      <alignment horizontal="right" vertical="center" wrapText="1" readingOrder="1"/>
    </xf>
    <xf numFmtId="3" fontId="31" fillId="0" borderId="6" xfId="0" applyNumberFormat="1" applyFont="1" applyBorder="1" applyAlignment="1">
      <alignment horizontal="right" vertical="center" wrapText="1" readingOrder="1"/>
    </xf>
    <xf numFmtId="165" fontId="31" fillId="0" borderId="6" xfId="2" applyNumberFormat="1" applyFont="1" applyFill="1" applyBorder="1" applyAlignment="1">
      <alignment horizontal="right" vertical="center" wrapText="1" readingOrder="1"/>
    </xf>
    <xf numFmtId="3" fontId="31" fillId="0" borderId="7" xfId="0" applyNumberFormat="1" applyFont="1" applyBorder="1" applyAlignment="1">
      <alignment horizontal="right" vertical="center" wrapText="1" readingOrder="1"/>
    </xf>
    <xf numFmtId="1" fontId="35" fillId="2" borderId="6" xfId="0" applyNumberFormat="1" applyFont="1" applyFill="1" applyBorder="1" applyAlignment="1">
      <alignment horizontal="right" vertical="center" wrapText="1" readingOrder="1"/>
    </xf>
    <xf numFmtId="1" fontId="35" fillId="2" borderId="9" xfId="0" applyNumberFormat="1" applyFont="1" applyFill="1" applyBorder="1" applyAlignment="1">
      <alignment horizontal="right" vertical="center" wrapText="1" readingOrder="1"/>
    </xf>
    <xf numFmtId="0" fontId="13" fillId="0" borderId="15" xfId="0" applyFont="1" applyBorder="1" applyAlignment="1">
      <alignment horizontal="left" vertical="center" readingOrder="1"/>
    </xf>
    <xf numFmtId="3" fontId="17" fillId="0" borderId="15" xfId="0" applyNumberFormat="1" applyFont="1" applyBorder="1" applyAlignment="1">
      <alignment horizontal="right" vertical="center" wrapText="1" readingOrder="1"/>
    </xf>
    <xf numFmtId="168" fontId="17" fillId="0" borderId="15" xfId="0" applyNumberFormat="1" applyFont="1" applyBorder="1" applyAlignment="1">
      <alignment horizontal="right" vertical="center" wrapText="1" readingOrder="1"/>
    </xf>
    <xf numFmtId="3" fontId="35" fillId="6" borderId="3" xfId="0" applyNumberFormat="1" applyFont="1" applyFill="1" applyBorder="1" applyAlignment="1">
      <alignment horizontal="right" vertical="center" wrapText="1" readingOrder="1"/>
    </xf>
    <xf numFmtId="166" fontId="35" fillId="6" borderId="3" xfId="1" applyNumberFormat="1" applyFont="1" applyFill="1" applyBorder="1" applyAlignment="1">
      <alignment horizontal="right" vertical="center" wrapText="1" readingOrder="1"/>
    </xf>
    <xf numFmtId="9" fontId="35" fillId="6" borderId="3" xfId="2" applyFont="1" applyFill="1" applyBorder="1" applyAlignment="1">
      <alignment horizontal="right" vertical="center" wrapText="1" readingOrder="1"/>
    </xf>
    <xf numFmtId="167" fontId="35" fillId="6" borderId="3" xfId="2" applyNumberFormat="1" applyFont="1" applyFill="1" applyBorder="1" applyAlignment="1">
      <alignment horizontal="right" vertical="center" wrapText="1" readingOrder="1"/>
    </xf>
    <xf numFmtId="3" fontId="35" fillId="6" borderId="1" xfId="0" applyNumberFormat="1" applyFont="1" applyFill="1" applyBorder="1" applyAlignment="1">
      <alignment horizontal="right" vertical="center" wrapText="1" readingOrder="1"/>
    </xf>
    <xf numFmtId="166" fontId="35" fillId="6" borderId="1" xfId="1" applyNumberFormat="1" applyFont="1" applyFill="1" applyBorder="1" applyAlignment="1">
      <alignment horizontal="right" vertical="center" wrapText="1" readingOrder="1"/>
    </xf>
    <xf numFmtId="9" fontId="35" fillId="6" borderId="1" xfId="2" applyFont="1" applyFill="1" applyBorder="1" applyAlignment="1">
      <alignment horizontal="right" vertical="center" wrapText="1" readingOrder="1"/>
    </xf>
    <xf numFmtId="167" fontId="35" fillId="6" borderId="1" xfId="2" applyNumberFormat="1" applyFont="1" applyFill="1" applyBorder="1" applyAlignment="1">
      <alignment horizontal="right" vertical="center" wrapText="1" readingOrder="1"/>
    </xf>
    <xf numFmtId="0" fontId="15" fillId="0" borderId="0" xfId="0" applyFont="1" applyAlignment="1">
      <alignment horizontal="left" vertical="center" readingOrder="1"/>
    </xf>
    <xf numFmtId="170" fontId="16" fillId="0" borderId="0" xfId="2" applyNumberFormat="1" applyFont="1" applyBorder="1" applyAlignment="1">
      <alignment horizontal="right" vertical="center" wrapText="1" readingOrder="1"/>
    </xf>
    <xf numFmtId="167" fontId="32" fillId="0" borderId="21" xfId="2" applyNumberFormat="1" applyFont="1" applyBorder="1" applyAlignment="1">
      <alignment horizontal="right" vertical="center" wrapText="1" readingOrder="1"/>
    </xf>
    <xf numFmtId="0" fontId="23" fillId="0" borderId="15" xfId="0" applyFont="1" applyBorder="1" applyAlignment="1">
      <alignment horizontal="left" vertical="center" wrapText="1" readingOrder="1"/>
    </xf>
    <xf numFmtId="3" fontId="23" fillId="0" borderId="15" xfId="0" applyNumberFormat="1" applyFont="1" applyBorder="1" applyAlignment="1">
      <alignment horizontal="right" vertical="center" wrapText="1" readingOrder="1"/>
    </xf>
    <xf numFmtId="3" fontId="31" fillId="0" borderId="15" xfId="0" applyNumberFormat="1" applyFont="1" applyBorder="1" applyAlignment="1">
      <alignment horizontal="right" vertical="center" wrapText="1" readingOrder="1"/>
    </xf>
    <xf numFmtId="3" fontId="35" fillId="0" borderId="15" xfId="0" applyNumberFormat="1" applyFont="1" applyBorder="1" applyAlignment="1">
      <alignment horizontal="right" vertical="center" wrapText="1" readingOrder="1"/>
    </xf>
    <xf numFmtId="172" fontId="32" fillId="0" borderId="15" xfId="1" applyNumberFormat="1" applyFont="1" applyBorder="1" applyAlignment="1">
      <alignment horizontal="right" vertical="center" wrapText="1" readingOrder="1"/>
    </xf>
    <xf numFmtId="167" fontId="32" fillId="0" borderId="15" xfId="2" applyNumberFormat="1" applyFont="1" applyBorder="1" applyAlignment="1">
      <alignment horizontal="right" vertical="center" wrapText="1" readingOrder="1"/>
    </xf>
    <xf numFmtId="167" fontId="32" fillId="0" borderId="15" xfId="0" applyNumberFormat="1" applyFont="1" applyBorder="1" applyAlignment="1">
      <alignment horizontal="right" vertical="center" wrapText="1" readingOrder="1"/>
    </xf>
    <xf numFmtId="3" fontId="35" fillId="6" borderId="15" xfId="0" applyNumberFormat="1" applyFont="1" applyFill="1" applyBorder="1" applyAlignment="1">
      <alignment horizontal="right" vertical="center" wrapText="1" readingOrder="1"/>
    </xf>
    <xf numFmtId="166" fontId="32" fillId="6" borderId="15" xfId="1" applyNumberFormat="1" applyFont="1" applyFill="1" applyBorder="1" applyAlignment="1">
      <alignment horizontal="right" vertical="center" wrapText="1" readingOrder="1"/>
    </xf>
    <xf numFmtId="9" fontId="32" fillId="6" borderId="15" xfId="2" applyFont="1" applyFill="1" applyBorder="1" applyAlignment="1">
      <alignment horizontal="right" vertical="center" wrapText="1" readingOrder="1"/>
    </xf>
    <xf numFmtId="167" fontId="32" fillId="6" borderId="15" xfId="2" applyNumberFormat="1" applyFont="1" applyFill="1" applyBorder="1" applyAlignment="1">
      <alignment horizontal="right" vertical="center" wrapText="1" readingOrder="1"/>
    </xf>
    <xf numFmtId="3" fontId="31" fillId="0" borderId="22" xfId="0" applyNumberFormat="1" applyFont="1" applyBorder="1" applyAlignment="1">
      <alignment horizontal="right" vertical="center" wrapText="1" readingOrder="1"/>
    </xf>
    <xf numFmtId="170" fontId="35" fillId="0" borderId="22" xfId="0" applyNumberFormat="1" applyFont="1" applyBorder="1" applyAlignment="1">
      <alignment horizontal="right" vertical="center" readingOrder="1"/>
    </xf>
    <xf numFmtId="0" fontId="23" fillId="0" borderId="0" xfId="0" applyFont="1" applyAlignment="1">
      <alignment vertical="center" readingOrder="1"/>
    </xf>
    <xf numFmtId="165" fontId="38" fillId="0" borderId="6" xfId="2" applyNumberFormat="1" applyFont="1" applyFill="1" applyBorder="1" applyAlignment="1">
      <alignment horizontal="right" vertical="center" wrapText="1" readingOrder="1"/>
    </xf>
    <xf numFmtId="3" fontId="32" fillId="0" borderId="22" xfId="0" applyNumberFormat="1" applyFont="1" applyBorder="1" applyAlignment="1">
      <alignment horizontal="right" vertical="center" wrapText="1" readingOrder="1"/>
    </xf>
    <xf numFmtId="3" fontId="32" fillId="0" borderId="6" xfId="0" applyNumberFormat="1" applyFont="1" applyBorder="1" applyAlignment="1">
      <alignment horizontal="right" vertical="center" wrapText="1" readingOrder="1"/>
    </xf>
    <xf numFmtId="165" fontId="32" fillId="0" borderId="6" xfId="2" applyNumberFormat="1" applyFont="1" applyFill="1" applyBorder="1" applyAlignment="1">
      <alignment horizontal="right" vertical="center" wrapText="1" readingOrder="1"/>
    </xf>
    <xf numFmtId="3" fontId="32" fillId="0" borderId="7" xfId="0" applyNumberFormat="1" applyFont="1" applyBorder="1" applyAlignment="1">
      <alignment horizontal="right" vertical="center" wrapText="1" readingOrder="1"/>
    </xf>
    <xf numFmtId="3" fontId="23" fillId="0" borderId="6" xfId="0" applyNumberFormat="1" applyFont="1" applyBorder="1" applyAlignment="1">
      <alignment horizontal="right" vertical="center" wrapText="1" readingOrder="1"/>
    </xf>
    <xf numFmtId="3" fontId="38" fillId="0" borderId="3" xfId="0" applyNumberFormat="1" applyFont="1" applyBorder="1" applyAlignment="1">
      <alignment horizontal="right" vertical="center" wrapText="1" readingOrder="1"/>
    </xf>
    <xf numFmtId="0" fontId="12" fillId="0" borderId="0" xfId="0" applyFont="1" applyAlignment="1">
      <alignment horizontal="right"/>
    </xf>
    <xf numFmtId="0" fontId="35" fillId="0" borderId="0" xfId="0" applyFont="1" applyAlignment="1">
      <alignment horizontal="left" vertical="center" readingOrder="1"/>
    </xf>
    <xf numFmtId="3" fontId="23" fillId="5" borderId="15" xfId="0" applyNumberFormat="1" applyFont="1" applyFill="1" applyBorder="1" applyAlignment="1">
      <alignment horizontal="right" vertical="center" wrapText="1" readingOrder="1"/>
    </xf>
    <xf numFmtId="9" fontId="23" fillId="5" borderId="15" xfId="0" applyNumberFormat="1" applyFont="1" applyFill="1" applyBorder="1" applyAlignment="1">
      <alignment horizontal="right" vertical="center" wrapText="1" readingOrder="1"/>
    </xf>
    <xf numFmtId="9" fontId="22" fillId="2" borderId="3" xfId="0" applyNumberFormat="1" applyFont="1" applyFill="1" applyBorder="1" applyAlignment="1">
      <alignment horizontal="right" vertical="center" wrapText="1" readingOrder="1"/>
    </xf>
    <xf numFmtId="9" fontId="22" fillId="2" borderId="1" xfId="0" applyNumberFormat="1" applyFont="1" applyFill="1" applyBorder="1" applyAlignment="1">
      <alignment horizontal="right" vertical="center" wrapText="1" readingOrder="1"/>
    </xf>
    <xf numFmtId="9" fontId="31" fillId="5" borderId="15" xfId="2" applyFont="1" applyFill="1" applyBorder="1" applyAlignment="1">
      <alignment horizontal="right" vertical="center" wrapText="1" readingOrder="1"/>
    </xf>
    <xf numFmtId="9" fontId="32" fillId="5" borderId="21" xfId="0" applyNumberFormat="1" applyFont="1" applyFill="1" applyBorder="1" applyAlignment="1">
      <alignment horizontal="right" vertical="center" wrapText="1" readingOrder="1"/>
    </xf>
    <xf numFmtId="9" fontId="12" fillId="0" borderId="0" xfId="2" applyFont="1"/>
    <xf numFmtId="3" fontId="34" fillId="0" borderId="6" xfId="0" applyNumberFormat="1" applyFont="1" applyBorder="1" applyAlignment="1">
      <alignment horizontal="right" vertical="center" wrapText="1" readingOrder="1"/>
    </xf>
    <xf numFmtId="3" fontId="34" fillId="0" borderId="9" xfId="0" applyNumberFormat="1" applyFont="1" applyBorder="1" applyAlignment="1">
      <alignment horizontal="right" vertical="center" wrapText="1" readingOrder="1"/>
    </xf>
    <xf numFmtId="3" fontId="34" fillId="0" borderId="7" xfId="0" applyNumberFormat="1" applyFont="1" applyBorder="1" applyAlignment="1">
      <alignment horizontal="right" vertical="center" wrapText="1" readingOrder="1"/>
    </xf>
    <xf numFmtId="3" fontId="36" fillId="0" borderId="6" xfId="0" applyNumberFormat="1" applyFont="1" applyBorder="1" applyAlignment="1">
      <alignment horizontal="right" vertical="center" wrapText="1" readingOrder="1"/>
    </xf>
    <xf numFmtId="0" fontId="12" fillId="0" borderId="0" xfId="0" applyFont="1" applyAlignment="1">
      <alignment horizontal="center"/>
    </xf>
    <xf numFmtId="165" fontId="35" fillId="0" borderId="4" xfId="0" applyNumberFormat="1" applyFont="1" applyBorder="1" applyAlignment="1">
      <alignment horizontal="center" vertical="center" wrapText="1" readingOrder="1"/>
    </xf>
    <xf numFmtId="173" fontId="42" fillId="14" borderId="9" xfId="2" applyNumberFormat="1" applyFont="1" applyFill="1" applyBorder="1" applyAlignment="1">
      <alignment horizontal="right" vertical="center" wrapText="1" readingOrder="1"/>
    </xf>
    <xf numFmtId="165" fontId="43" fillId="14" borderId="9" xfId="0" applyNumberFormat="1" applyFont="1" applyFill="1" applyBorder="1" applyAlignment="1">
      <alignment horizontal="right" vertical="center" wrapText="1" readingOrder="1"/>
    </xf>
    <xf numFmtId="165" fontId="12" fillId="0" borderId="0" xfId="2" applyNumberFormat="1" applyFont="1"/>
    <xf numFmtId="9" fontId="33" fillId="0" borderId="0" xfId="2" applyFont="1" applyAlignment="1">
      <alignment horizontal="right" vertical="center" wrapText="1" readingOrder="1"/>
    </xf>
    <xf numFmtId="9" fontId="23" fillId="0" borderId="0" xfId="2" applyFont="1" applyAlignment="1">
      <alignment horizontal="right" vertical="center" wrapText="1" readingOrder="1"/>
    </xf>
    <xf numFmtId="168" fontId="16" fillId="0" borderId="0" xfId="0" applyNumberFormat="1" applyFont="1" applyAlignment="1">
      <alignment horizontal="right" vertical="center" wrapText="1" readingOrder="1"/>
    </xf>
    <xf numFmtId="0" fontId="18" fillId="0" borderId="0" xfId="0" applyFont="1" applyAlignment="1">
      <alignment horizontal="center"/>
    </xf>
    <xf numFmtId="0" fontId="45" fillId="0" borderId="0" xfId="0" applyFont="1"/>
    <xf numFmtId="182" fontId="43" fillId="14" borderId="9" xfId="2" applyNumberFormat="1" applyFont="1" applyFill="1" applyBorder="1" applyAlignment="1">
      <alignment horizontal="right" vertical="center" wrapText="1" readingOrder="1"/>
    </xf>
    <xf numFmtId="0" fontId="17" fillId="0" borderId="0" xfId="0" applyFont="1" applyAlignment="1">
      <alignment vertical="center"/>
    </xf>
    <xf numFmtId="0" fontId="47" fillId="0" borderId="0" xfId="0" applyFont="1" applyAlignment="1">
      <alignment vertical="center"/>
    </xf>
    <xf numFmtId="0" fontId="16" fillId="0" borderId="0" xfId="0" applyFont="1" applyAlignment="1">
      <alignment vertical="center"/>
    </xf>
    <xf numFmtId="3" fontId="16" fillId="0" borderId="0" xfId="0" applyNumberFormat="1" applyFont="1"/>
    <xf numFmtId="3" fontId="12" fillId="5" borderId="0" xfId="0" applyNumberFormat="1" applyFont="1" applyFill="1"/>
    <xf numFmtId="165" fontId="17" fillId="0" borderId="0" xfId="2" applyNumberFormat="1" applyFont="1"/>
    <xf numFmtId="165" fontId="48" fillId="0" borderId="0" xfId="2" applyNumberFormat="1" applyFont="1"/>
    <xf numFmtId="0" fontId="47" fillId="0" borderId="0" xfId="0" applyFont="1"/>
    <xf numFmtId="0" fontId="47" fillId="0" borderId="0" xfId="0" applyFont="1" applyAlignment="1">
      <alignment horizontal="left" vertical="center"/>
    </xf>
    <xf numFmtId="3" fontId="16" fillId="5" borderId="0" xfId="0" applyNumberFormat="1" applyFont="1" applyFill="1"/>
    <xf numFmtId="165" fontId="16" fillId="5" borderId="0" xfId="2" applyNumberFormat="1" applyFont="1" applyFill="1"/>
    <xf numFmtId="0" fontId="39" fillId="0" borderId="0" xfId="0" applyFont="1" applyAlignment="1">
      <alignment vertical="center"/>
    </xf>
    <xf numFmtId="9" fontId="49" fillId="0" borderId="0" xfId="2" applyFont="1"/>
    <xf numFmtId="0" fontId="12" fillId="0" borderId="0" xfId="0" applyFont="1" applyAlignment="1">
      <alignment vertical="center"/>
    </xf>
    <xf numFmtId="0" fontId="50" fillId="0" borderId="0" xfId="0" applyFont="1"/>
    <xf numFmtId="3" fontId="51" fillId="0" borderId="0" xfId="0" applyNumberFormat="1" applyFont="1"/>
    <xf numFmtId="0" fontId="46" fillId="0" borderId="0" xfId="0" applyFont="1" applyAlignment="1">
      <alignment horizontal="left" vertical="center" indent="1"/>
    </xf>
    <xf numFmtId="0" fontId="46" fillId="17" borderId="34" xfId="0" applyFont="1" applyFill="1" applyBorder="1" applyAlignment="1">
      <alignment horizontal="center" vertical="center" wrapText="1"/>
    </xf>
    <xf numFmtId="0" fontId="46" fillId="18" borderId="34" xfId="0" applyFont="1" applyFill="1" applyBorder="1" applyAlignment="1">
      <alignment horizontal="center" vertical="center" wrapText="1"/>
    </xf>
    <xf numFmtId="0" fontId="52" fillId="0" borderId="0" xfId="0" applyFont="1" applyAlignment="1">
      <alignment vertical="top"/>
    </xf>
    <xf numFmtId="3" fontId="16" fillId="10" borderId="0" xfId="0" applyNumberFormat="1" applyFont="1" applyFill="1"/>
    <xf numFmtId="183" fontId="0" fillId="0" borderId="0" xfId="1" applyNumberFormat="1" applyFont="1"/>
    <xf numFmtId="10" fontId="17" fillId="0" borderId="0" xfId="2" applyNumberFormat="1" applyFont="1"/>
    <xf numFmtId="10" fontId="12" fillId="0" borderId="0" xfId="2" applyNumberFormat="1" applyFont="1"/>
    <xf numFmtId="173" fontId="17" fillId="0" borderId="0" xfId="2" applyNumberFormat="1" applyFont="1"/>
    <xf numFmtId="173" fontId="49" fillId="0" borderId="0" xfId="2" applyNumberFormat="1" applyFont="1"/>
    <xf numFmtId="3" fontId="16" fillId="0" borderId="0" xfId="0" applyNumberFormat="1" applyFont="1" applyAlignment="1">
      <alignment horizontal="right" vertical="center" wrapText="1" readingOrder="1"/>
    </xf>
    <xf numFmtId="168" fontId="17" fillId="0" borderId="0" xfId="0" applyNumberFormat="1" applyFont="1" applyAlignment="1">
      <alignment horizontal="right" vertical="center" wrapText="1" readingOrder="1"/>
    </xf>
    <xf numFmtId="168" fontId="16" fillId="0" borderId="8" xfId="0" applyNumberFormat="1" applyFont="1" applyBorder="1" applyAlignment="1">
      <alignment horizontal="right" vertical="center" wrapText="1" readingOrder="1"/>
    </xf>
    <xf numFmtId="165" fontId="32" fillId="0" borderId="9" xfId="2" applyNumberFormat="1" applyFont="1" applyFill="1" applyBorder="1" applyAlignment="1">
      <alignment horizontal="right" vertical="center" wrapText="1" readingOrder="1"/>
    </xf>
    <xf numFmtId="165" fontId="35" fillId="0" borderId="9" xfId="2" applyNumberFormat="1" applyFont="1" applyFill="1" applyBorder="1" applyAlignment="1">
      <alignment horizontal="right" vertical="center" wrapText="1" readingOrder="1"/>
    </xf>
    <xf numFmtId="191" fontId="35" fillId="0" borderId="6" xfId="2" applyNumberFormat="1" applyFont="1" applyBorder="1" applyAlignment="1">
      <alignment horizontal="right" vertical="center" wrapText="1" readingOrder="1"/>
    </xf>
    <xf numFmtId="192" fontId="33" fillId="0" borderId="0" xfId="2" applyNumberFormat="1" applyFont="1" applyAlignment="1">
      <alignment horizontal="right" vertical="center" wrapText="1" readingOrder="1"/>
    </xf>
    <xf numFmtId="0" fontId="25" fillId="0" borderId="0" xfId="0" applyFont="1"/>
    <xf numFmtId="0" fontId="61" fillId="9" borderId="0" xfId="0" applyFont="1" applyFill="1" applyAlignment="1">
      <alignment horizontal="left" vertical="center" wrapText="1" readingOrder="1"/>
    </xf>
    <xf numFmtId="3" fontId="25" fillId="0" borderId="0" xfId="0" applyNumberFormat="1" applyFont="1"/>
    <xf numFmtId="9" fontId="23" fillId="0" borderId="4" xfId="0" applyNumberFormat="1" applyFont="1" applyBorder="1" applyAlignment="1">
      <alignment horizontal="right" vertical="center" wrapText="1" readingOrder="1"/>
    </xf>
    <xf numFmtId="3" fontId="23" fillId="0" borderId="9" xfId="0" applyNumberFormat="1" applyFont="1" applyBorder="1" applyAlignment="1">
      <alignment horizontal="right" vertical="center" wrapText="1" readingOrder="1"/>
    </xf>
    <xf numFmtId="3" fontId="36" fillId="0" borderId="15" xfId="0" applyNumberFormat="1" applyFont="1" applyBorder="1" applyAlignment="1">
      <alignment horizontal="right" vertical="center" wrapText="1" readingOrder="1"/>
    </xf>
    <xf numFmtId="3" fontId="36" fillId="0" borderId="22" xfId="0" applyNumberFormat="1" applyFont="1" applyBorder="1" applyAlignment="1">
      <alignment horizontal="right" vertical="center" wrapText="1" readingOrder="1"/>
    </xf>
    <xf numFmtId="165" fontId="36" fillId="0" borderId="6" xfId="2" applyNumberFormat="1" applyFont="1" applyFill="1" applyBorder="1" applyAlignment="1">
      <alignment horizontal="right" vertical="center" wrapText="1" readingOrder="1"/>
    </xf>
    <xf numFmtId="165" fontId="36" fillId="0" borderId="9" xfId="2" applyNumberFormat="1" applyFont="1" applyFill="1" applyBorder="1" applyAlignment="1">
      <alignment horizontal="right" vertical="center" wrapText="1" readingOrder="1"/>
    </xf>
    <xf numFmtId="3" fontId="36" fillId="0" borderId="7" xfId="0" applyNumberFormat="1" applyFont="1" applyBorder="1" applyAlignment="1">
      <alignment horizontal="right" vertical="center" wrapText="1" readingOrder="1"/>
    </xf>
    <xf numFmtId="3" fontId="23" fillId="0" borderId="3" xfId="0" applyNumberFormat="1" applyFont="1" applyBorder="1" applyAlignment="1">
      <alignment horizontal="right" vertical="center" wrapText="1" readingOrder="1"/>
    </xf>
    <xf numFmtId="3" fontId="23" fillId="0" borderId="1" xfId="0" applyNumberFormat="1" applyFont="1" applyBorder="1" applyAlignment="1">
      <alignment horizontal="right" vertical="center" wrapText="1" readingOrder="1"/>
    </xf>
    <xf numFmtId="3" fontId="32" fillId="0" borderId="5" xfId="0" applyNumberFormat="1" applyFont="1" applyBorder="1" applyAlignment="1">
      <alignment horizontal="right" vertical="center" wrapText="1" readingOrder="1"/>
    </xf>
    <xf numFmtId="168" fontId="32" fillId="0" borderId="6" xfId="0" applyNumberFormat="1" applyFont="1" applyBorder="1" applyAlignment="1">
      <alignment horizontal="right" vertical="center" wrapText="1" readingOrder="1"/>
    </xf>
    <xf numFmtId="168" fontId="42" fillId="14" borderId="6" xfId="0" applyNumberFormat="1" applyFont="1" applyFill="1" applyBorder="1" applyAlignment="1">
      <alignment horizontal="right" vertical="center" wrapText="1" readingOrder="1"/>
    </xf>
    <xf numFmtId="0" fontId="66" fillId="0" borderId="0" xfId="0" applyFont="1" applyAlignment="1">
      <alignment horizontal="center" vertical="center" wrapText="1" readingOrder="1"/>
    </xf>
    <xf numFmtId="0" fontId="65" fillId="22" borderId="0" xfId="0" applyFont="1" applyFill="1" applyAlignment="1">
      <alignment horizontal="center" vertical="center" wrapText="1" readingOrder="1"/>
    </xf>
    <xf numFmtId="0" fontId="65" fillId="0" borderId="0" xfId="0" applyFont="1" applyAlignment="1">
      <alignment horizontal="left" vertical="center" readingOrder="1"/>
    </xf>
    <xf numFmtId="3" fontId="22" fillId="0" borderId="9" xfId="0" applyNumberFormat="1" applyFont="1" applyBorder="1" applyAlignment="1">
      <alignment horizontal="right" vertical="center" wrapText="1" readingOrder="1"/>
    </xf>
    <xf numFmtId="3" fontId="22" fillId="0" borderId="7" xfId="0" applyNumberFormat="1" applyFont="1" applyBorder="1" applyAlignment="1">
      <alignment horizontal="right" vertical="center" wrapText="1" readingOrder="1"/>
    </xf>
    <xf numFmtId="9" fontId="22" fillId="0" borderId="3" xfId="0" applyNumberFormat="1" applyFont="1" applyBorder="1" applyAlignment="1">
      <alignment horizontal="right" vertical="center" wrapText="1" readingOrder="1"/>
    </xf>
    <xf numFmtId="9" fontId="22" fillId="0" borderId="1" xfId="0" applyNumberFormat="1" applyFont="1" applyBorder="1" applyAlignment="1">
      <alignment horizontal="right" vertical="center" wrapText="1" readingOrder="1"/>
    </xf>
    <xf numFmtId="9" fontId="22" fillId="0" borderId="15" xfId="0" applyNumberFormat="1" applyFont="1" applyBorder="1" applyAlignment="1">
      <alignment horizontal="right" vertical="center" wrapText="1" readingOrder="1"/>
    </xf>
    <xf numFmtId="9" fontId="35" fillId="2" borderId="5" xfId="2" applyFont="1" applyFill="1" applyBorder="1" applyAlignment="1">
      <alignment horizontal="right" vertical="center" wrapText="1" readingOrder="1"/>
    </xf>
    <xf numFmtId="9" fontId="35" fillId="2" borderId="4" xfId="0" applyNumberFormat="1" applyFont="1" applyFill="1" applyBorder="1" applyAlignment="1">
      <alignment horizontal="right" vertical="center" wrapText="1" readingOrder="1"/>
    </xf>
    <xf numFmtId="3" fontId="35" fillId="0" borderId="7" xfId="0" applyNumberFormat="1" applyFont="1" applyBorder="1" applyAlignment="1">
      <alignment horizontal="right" vertical="center" wrapText="1" readingOrder="1"/>
    </xf>
    <xf numFmtId="3" fontId="34" fillId="2" borderId="5" xfId="0" applyNumberFormat="1" applyFont="1" applyFill="1" applyBorder="1" applyAlignment="1">
      <alignment horizontal="right" vertical="center" wrapText="1" readingOrder="1"/>
    </xf>
    <xf numFmtId="3" fontId="34" fillId="2" borderId="9" xfId="0" applyNumberFormat="1" applyFont="1" applyFill="1" applyBorder="1" applyAlignment="1">
      <alignment horizontal="right" vertical="center" wrapText="1" readingOrder="1"/>
    </xf>
    <xf numFmtId="167" fontId="35" fillId="0" borderId="0" xfId="2" applyNumberFormat="1" applyFont="1" applyBorder="1" applyAlignment="1">
      <alignment horizontal="right" vertical="center" wrapText="1" readingOrder="1"/>
    </xf>
    <xf numFmtId="3" fontId="16" fillId="0" borderId="8" xfId="0" applyNumberFormat="1" applyFont="1" applyBorder="1" applyAlignment="1">
      <alignment horizontal="right" vertical="center" wrapText="1" readingOrder="1"/>
    </xf>
    <xf numFmtId="3" fontId="34" fillId="0" borderId="3" xfId="0" applyNumberFormat="1" applyFont="1" applyBorder="1" applyAlignment="1">
      <alignment horizontal="right" vertical="center" wrapText="1" readingOrder="1"/>
    </xf>
    <xf numFmtId="3" fontId="34" fillId="0" borderId="1" xfId="0" applyNumberFormat="1" applyFont="1" applyBorder="1" applyAlignment="1">
      <alignment horizontal="right" vertical="center" wrapText="1" readingOrder="1"/>
    </xf>
    <xf numFmtId="9" fontId="34" fillId="0" borderId="5" xfId="2" applyFont="1" applyFill="1" applyBorder="1" applyAlignment="1">
      <alignment horizontal="right" vertical="center" wrapText="1" readingOrder="1"/>
    </xf>
    <xf numFmtId="9" fontId="34" fillId="10" borderId="4" xfId="0" applyNumberFormat="1" applyFont="1" applyFill="1" applyBorder="1" applyAlignment="1">
      <alignment horizontal="right" vertical="center" wrapText="1" readingOrder="1"/>
    </xf>
    <xf numFmtId="9" fontId="34" fillId="6" borderId="4" xfId="0" applyNumberFormat="1" applyFont="1" applyFill="1" applyBorder="1" applyAlignment="1">
      <alignment horizontal="right" vertical="center" wrapText="1" readingOrder="1"/>
    </xf>
    <xf numFmtId="9" fontId="36" fillId="0" borderId="21" xfId="0" applyNumberFormat="1" applyFont="1" applyBorder="1" applyAlignment="1">
      <alignment horizontal="right" vertical="center" wrapText="1" readingOrder="1"/>
    </xf>
    <xf numFmtId="3" fontId="34" fillId="0" borderId="5" xfId="0" applyNumberFormat="1" applyFont="1" applyBorder="1" applyAlignment="1">
      <alignment horizontal="right" vertical="center" wrapText="1" readingOrder="1"/>
    </xf>
    <xf numFmtId="165" fontId="34" fillId="0" borderId="6" xfId="2" applyNumberFormat="1" applyFont="1" applyFill="1" applyBorder="1" applyAlignment="1">
      <alignment horizontal="right" vertical="center" wrapText="1" readingOrder="1"/>
    </xf>
    <xf numFmtId="3" fontId="34" fillId="0" borderId="8" xfId="0" applyNumberFormat="1" applyFont="1" applyBorder="1" applyAlignment="1">
      <alignment horizontal="right" vertical="center" wrapText="1" readingOrder="1"/>
    </xf>
    <xf numFmtId="3" fontId="32" fillId="0" borderId="15" xfId="0" applyNumberFormat="1" applyFont="1" applyBorder="1" applyAlignment="1">
      <alignment horizontal="right" vertical="center" wrapText="1" readingOrder="1"/>
    </xf>
    <xf numFmtId="3" fontId="35" fillId="0" borderId="5" xfId="0" applyNumberFormat="1" applyFont="1" applyBorder="1" applyAlignment="1">
      <alignment horizontal="right" vertical="center" wrapText="1" readingOrder="1"/>
    </xf>
    <xf numFmtId="3" fontId="35" fillId="0" borderId="6" xfId="0" applyNumberFormat="1" applyFont="1" applyBorder="1" applyAlignment="1">
      <alignment horizontal="right" vertical="center" wrapText="1" readingOrder="1"/>
    </xf>
    <xf numFmtId="165" fontId="35" fillId="0" borderId="6" xfId="2" applyNumberFormat="1" applyFont="1" applyFill="1" applyBorder="1" applyAlignment="1">
      <alignment horizontal="right" vertical="center" wrapText="1" readingOrder="1"/>
    </xf>
    <xf numFmtId="3" fontId="35" fillId="0" borderId="8" xfId="0" applyNumberFormat="1" applyFont="1" applyBorder="1" applyAlignment="1">
      <alignment horizontal="right" vertical="center" wrapText="1" readingOrder="1"/>
    </xf>
    <xf numFmtId="3" fontId="35" fillId="0" borderId="9" xfId="0" applyNumberFormat="1" applyFont="1" applyBorder="1" applyAlignment="1">
      <alignment horizontal="right" vertical="center" wrapText="1" readingOrder="1"/>
    </xf>
    <xf numFmtId="9" fontId="35" fillId="0" borderId="5" xfId="2" applyFont="1" applyFill="1" applyBorder="1" applyAlignment="1">
      <alignment horizontal="right" vertical="center" wrapText="1" readingOrder="1"/>
    </xf>
    <xf numFmtId="1" fontId="35" fillId="0" borderId="6" xfId="0" applyNumberFormat="1" applyFont="1" applyBorder="1" applyAlignment="1">
      <alignment horizontal="right" vertical="center" wrapText="1" readingOrder="1"/>
    </xf>
    <xf numFmtId="1" fontId="35" fillId="0" borderId="9" xfId="0" applyNumberFormat="1" applyFont="1" applyBorder="1" applyAlignment="1">
      <alignment horizontal="right" vertical="center" wrapText="1" readingOrder="1"/>
    </xf>
    <xf numFmtId="9" fontId="35" fillId="0" borderId="4" xfId="0" applyNumberFormat="1" applyFont="1" applyBorder="1" applyAlignment="1">
      <alignment horizontal="right" vertical="center" wrapText="1" readingOrder="1"/>
    </xf>
    <xf numFmtId="9" fontId="32" fillId="0" borderId="21" xfId="0" applyNumberFormat="1" applyFont="1" applyBorder="1" applyAlignment="1">
      <alignment horizontal="right" vertical="center" wrapText="1" readingOrder="1"/>
    </xf>
    <xf numFmtId="0" fontId="23" fillId="0" borderId="21" xfId="0" applyFont="1" applyBorder="1" applyAlignment="1">
      <alignment vertical="center" wrapText="1" readingOrder="1"/>
    </xf>
    <xf numFmtId="0" fontId="22" fillId="0" borderId="21" xfId="0" applyFont="1" applyBorder="1" applyAlignment="1">
      <alignment horizontal="left" vertical="center" wrapText="1" readingOrder="1"/>
    </xf>
    <xf numFmtId="9" fontId="23" fillId="0" borderId="21" xfId="0" applyNumberFormat="1" applyFont="1" applyBorder="1" applyAlignment="1">
      <alignment horizontal="right" vertical="center" wrapText="1" readingOrder="1"/>
    </xf>
    <xf numFmtId="0" fontId="23" fillId="0" borderId="10" xfId="0" applyFont="1" applyBorder="1" applyAlignment="1">
      <alignment vertical="center" wrapText="1" readingOrder="1"/>
    </xf>
    <xf numFmtId="1" fontId="36" fillId="0" borderId="10" xfId="0" applyNumberFormat="1" applyFont="1" applyBorder="1" applyAlignment="1">
      <alignment horizontal="right" vertical="center" wrapText="1" readingOrder="1"/>
    </xf>
    <xf numFmtId="3" fontId="23" fillId="0" borderId="10" xfId="0" applyNumberFormat="1" applyFont="1" applyBorder="1" applyAlignment="1">
      <alignment horizontal="right" vertical="center" wrapText="1" readingOrder="1"/>
    </xf>
    <xf numFmtId="3" fontId="36" fillId="0" borderId="10" xfId="0" applyNumberFormat="1" applyFont="1" applyBorder="1" applyAlignment="1">
      <alignment horizontal="right" vertical="center" wrapText="1" readingOrder="1"/>
    </xf>
    <xf numFmtId="0" fontId="75" fillId="0" borderId="0" xfId="0" applyFont="1" applyAlignment="1">
      <alignment vertical="center" readingOrder="1"/>
    </xf>
    <xf numFmtId="0" fontId="23" fillId="0" borderId="0" xfId="0" applyFont="1" applyAlignment="1">
      <alignment horizontal="left" vertical="center" readingOrder="1"/>
    </xf>
    <xf numFmtId="3" fontId="76" fillId="0" borderId="5" xfId="2" applyNumberFormat="1" applyFont="1" applyBorder="1" applyAlignment="1">
      <alignment horizontal="right" vertical="center" wrapText="1" readingOrder="1"/>
    </xf>
    <xf numFmtId="0" fontId="34" fillId="0" borderId="5" xfId="2" applyNumberFormat="1" applyFont="1" applyFill="1" applyBorder="1" applyAlignment="1">
      <alignment horizontal="right" vertical="center" readingOrder="1"/>
    </xf>
    <xf numFmtId="0" fontId="35" fillId="0" borderId="5" xfId="2" applyNumberFormat="1" applyFont="1" applyFill="1" applyBorder="1" applyAlignment="1">
      <alignment horizontal="right" vertical="center" readingOrder="1"/>
    </xf>
    <xf numFmtId="0" fontId="35" fillId="2" borderId="5" xfId="2" applyNumberFormat="1" applyFont="1" applyFill="1" applyBorder="1" applyAlignment="1">
      <alignment horizontal="right" vertical="center" readingOrder="1"/>
    </xf>
    <xf numFmtId="0" fontId="77" fillId="0" borderId="5" xfId="2" applyNumberFormat="1" applyFont="1" applyFill="1" applyBorder="1" applyAlignment="1">
      <alignment horizontal="center" vertical="center" readingOrder="1"/>
    </xf>
    <xf numFmtId="0" fontId="78" fillId="0" borderId="6" xfId="0" applyFont="1" applyBorder="1" applyAlignment="1">
      <alignment horizontal="left" vertical="center" readingOrder="1"/>
    </xf>
    <xf numFmtId="165" fontId="76" fillId="0" borderId="6" xfId="2" applyNumberFormat="1" applyFont="1" applyBorder="1" applyAlignment="1">
      <alignment horizontal="right" vertical="center" wrapText="1" readingOrder="1"/>
    </xf>
    <xf numFmtId="0" fontId="78" fillId="2" borderId="6" xfId="2" applyNumberFormat="1" applyFont="1" applyFill="1" applyBorder="1" applyAlignment="1">
      <alignment horizontal="right" vertical="center" readingOrder="1"/>
    </xf>
    <xf numFmtId="0" fontId="78" fillId="0" borderId="6" xfId="2" applyNumberFormat="1" applyFont="1" applyFill="1" applyBorder="1" applyAlignment="1">
      <alignment horizontal="right" vertical="center" readingOrder="1"/>
    </xf>
    <xf numFmtId="0" fontId="78" fillId="0" borderId="6" xfId="2" applyNumberFormat="1" applyFont="1" applyFill="1" applyBorder="1" applyAlignment="1">
      <alignment horizontal="center" vertical="center" readingOrder="1"/>
    </xf>
    <xf numFmtId="3" fontId="76" fillId="0" borderId="6" xfId="2" applyNumberFormat="1" applyFont="1" applyBorder="1" applyAlignment="1">
      <alignment horizontal="right" vertical="center" wrapText="1" readingOrder="1"/>
    </xf>
    <xf numFmtId="0" fontId="34" fillId="0" borderId="6" xfId="2" applyNumberFormat="1" applyFont="1" applyFill="1" applyBorder="1" applyAlignment="1">
      <alignment horizontal="right" vertical="center" readingOrder="1"/>
    </xf>
    <xf numFmtId="0" fontId="77" fillId="0" borderId="6" xfId="2" applyNumberFormat="1" applyFont="1" applyFill="1" applyBorder="1" applyAlignment="1">
      <alignment horizontal="right" vertical="center" readingOrder="1"/>
    </xf>
    <xf numFmtId="0" fontId="77" fillId="2" borderId="6" xfId="2" applyNumberFormat="1" applyFont="1" applyFill="1" applyBorder="1" applyAlignment="1">
      <alignment horizontal="right" vertical="center" readingOrder="1"/>
    </xf>
    <xf numFmtId="0" fontId="77" fillId="0" borderId="6" xfId="2" applyNumberFormat="1" applyFont="1" applyFill="1" applyBorder="1" applyAlignment="1">
      <alignment horizontal="center" vertical="center" readingOrder="1"/>
    </xf>
    <xf numFmtId="0" fontId="23" fillId="0" borderId="6" xfId="0" applyFont="1" applyBorder="1" applyAlignment="1">
      <alignment horizontal="left" vertical="center" readingOrder="1"/>
    </xf>
    <xf numFmtId="0" fontId="23" fillId="0" borderId="6" xfId="0" applyFont="1" applyBorder="1" applyAlignment="1">
      <alignment horizontal="right" vertical="center" readingOrder="1"/>
    </xf>
    <xf numFmtId="165" fontId="36" fillId="0" borderId="6" xfId="2" applyNumberFormat="1" applyFont="1" applyFill="1" applyBorder="1" applyAlignment="1">
      <alignment horizontal="right" vertical="center" readingOrder="1"/>
    </xf>
    <xf numFmtId="165" fontId="32" fillId="0" borderId="6" xfId="2" applyNumberFormat="1" applyFont="1" applyFill="1" applyBorder="1" applyAlignment="1">
      <alignment horizontal="right" vertical="center" readingOrder="1"/>
    </xf>
    <xf numFmtId="165" fontId="32" fillId="2" borderId="6" xfId="2" applyNumberFormat="1" applyFont="1" applyFill="1" applyBorder="1" applyAlignment="1">
      <alignment horizontal="right" vertical="center" readingOrder="1"/>
    </xf>
    <xf numFmtId="165" fontId="32" fillId="0" borderId="6" xfId="2" applyNumberFormat="1" applyFont="1" applyFill="1" applyBorder="1" applyAlignment="1">
      <alignment horizontal="center" vertical="center" readingOrder="1"/>
    </xf>
    <xf numFmtId="0" fontId="77" fillId="0" borderId="5" xfId="2" applyNumberFormat="1" applyFont="1" applyFill="1" applyBorder="1" applyAlignment="1">
      <alignment horizontal="right" vertical="center" readingOrder="1"/>
    </xf>
    <xf numFmtId="0" fontId="35" fillId="0" borderId="6" xfId="2" applyNumberFormat="1" applyFont="1" applyFill="1" applyBorder="1" applyAlignment="1">
      <alignment horizontal="right" vertical="center" readingOrder="1"/>
    </xf>
    <xf numFmtId="0" fontId="35" fillId="2" borderId="6" xfId="2" applyNumberFormat="1" applyFont="1" applyFill="1" applyBorder="1" applyAlignment="1">
      <alignment horizontal="right" vertical="center" readingOrder="1"/>
    </xf>
    <xf numFmtId="0" fontId="78" fillId="0" borderId="6" xfId="0" applyFont="1" applyBorder="1" applyAlignment="1">
      <alignment vertical="center" readingOrder="1"/>
    </xf>
    <xf numFmtId="0" fontId="22" fillId="0" borderId="6" xfId="0" applyFont="1" applyBorder="1" applyAlignment="1">
      <alignment vertical="center" readingOrder="1"/>
    </xf>
    <xf numFmtId="0" fontId="23" fillId="0" borderId="9" xfId="0" applyFont="1" applyBorder="1" applyAlignment="1">
      <alignment horizontal="left" vertical="center" readingOrder="1"/>
    </xf>
    <xf numFmtId="0" fontId="23" fillId="0" borderId="9" xfId="0" applyFont="1" applyBorder="1" applyAlignment="1">
      <alignment horizontal="right" vertical="center" readingOrder="1"/>
    </xf>
    <xf numFmtId="165" fontId="36" fillId="0" borderId="9" xfId="2" applyNumberFormat="1" applyFont="1" applyFill="1" applyBorder="1" applyAlignment="1">
      <alignment horizontal="right" vertical="center" readingOrder="1"/>
    </xf>
    <xf numFmtId="165" fontId="32" fillId="0" borderId="9" xfId="2" applyNumberFormat="1" applyFont="1" applyFill="1" applyBorder="1" applyAlignment="1">
      <alignment horizontal="right" vertical="center" readingOrder="1"/>
    </xf>
    <xf numFmtId="165" fontId="32" fillId="2" borderId="9" xfId="2" applyNumberFormat="1" applyFont="1" applyFill="1" applyBorder="1" applyAlignment="1">
      <alignment horizontal="right" vertical="center" readingOrder="1"/>
    </xf>
    <xf numFmtId="165" fontId="32" fillId="0" borderId="9" xfId="2" applyNumberFormat="1" applyFont="1" applyFill="1" applyBorder="1" applyAlignment="1">
      <alignment horizontal="center" vertical="center" readingOrder="1"/>
    </xf>
    <xf numFmtId="0" fontId="22" fillId="0" borderId="19" xfId="0" applyFont="1" applyBorder="1" applyAlignment="1">
      <alignment horizontal="left" vertical="center" readingOrder="1"/>
    </xf>
    <xf numFmtId="3" fontId="76" fillId="0" borderId="19" xfId="2" applyNumberFormat="1" applyFont="1" applyBorder="1" applyAlignment="1">
      <alignment horizontal="right" vertical="center" wrapText="1" readingOrder="1"/>
    </xf>
    <xf numFmtId="0" fontId="34" fillId="0" borderId="19" xfId="2" applyNumberFormat="1" applyFont="1" applyFill="1" applyBorder="1" applyAlignment="1">
      <alignment horizontal="right" vertical="center" readingOrder="1"/>
    </xf>
    <xf numFmtId="0" fontId="77" fillId="0" borderId="19" xfId="2" applyNumberFormat="1" applyFont="1" applyFill="1" applyBorder="1" applyAlignment="1">
      <alignment horizontal="right" vertical="center" readingOrder="1"/>
    </xf>
    <xf numFmtId="0" fontId="77" fillId="5" borderId="19" xfId="2" applyNumberFormat="1" applyFont="1" applyFill="1" applyBorder="1" applyAlignment="1">
      <alignment horizontal="right" vertical="center" readingOrder="1"/>
    </xf>
    <xf numFmtId="0" fontId="77" fillId="0" borderId="19" xfId="2" applyNumberFormat="1" applyFont="1" applyFill="1" applyBorder="1" applyAlignment="1">
      <alignment horizontal="center" vertical="center" readingOrder="1"/>
    </xf>
    <xf numFmtId="0" fontId="78" fillId="5" borderId="6" xfId="2" applyNumberFormat="1" applyFont="1" applyFill="1" applyBorder="1" applyAlignment="1">
      <alignment horizontal="right" vertical="center" readingOrder="1"/>
    </xf>
    <xf numFmtId="0" fontId="35" fillId="5" borderId="6" xfId="2" applyNumberFormat="1" applyFont="1" applyFill="1" applyBorder="1" applyAlignment="1">
      <alignment horizontal="right" vertical="center" readingOrder="1"/>
    </xf>
    <xf numFmtId="165" fontId="32" fillId="5" borderId="6" xfId="2" applyNumberFormat="1" applyFont="1" applyFill="1" applyBorder="1" applyAlignment="1">
      <alignment horizontal="right" vertical="center" readingOrder="1"/>
    </xf>
    <xf numFmtId="0" fontId="23" fillId="0" borderId="7" xfId="0" applyFont="1" applyBorder="1" applyAlignment="1">
      <alignment horizontal="left" vertical="center" readingOrder="1"/>
    </xf>
    <xf numFmtId="0" fontId="23" fillId="0" borderId="7" xfId="0" applyFont="1" applyBorder="1" applyAlignment="1">
      <alignment horizontal="right" vertical="center" readingOrder="1"/>
    </xf>
    <xf numFmtId="3" fontId="35" fillId="0" borderId="5" xfId="2" applyNumberFormat="1" applyFont="1" applyFill="1" applyBorder="1" applyAlignment="1">
      <alignment horizontal="right" vertical="center" readingOrder="1"/>
    </xf>
    <xf numFmtId="165" fontId="35" fillId="0" borderId="5" xfId="2" applyNumberFormat="1" applyFont="1" applyFill="1" applyBorder="1" applyAlignment="1">
      <alignment horizontal="right" vertical="center" readingOrder="1"/>
    </xf>
    <xf numFmtId="165" fontId="35" fillId="2" borderId="5" xfId="2" applyNumberFormat="1" applyFont="1" applyFill="1" applyBorder="1" applyAlignment="1">
      <alignment horizontal="right" vertical="center" readingOrder="1"/>
    </xf>
    <xf numFmtId="3" fontId="30" fillId="0" borderId="0" xfId="0" applyNumberFormat="1" applyFont="1" applyAlignment="1">
      <alignment vertical="center" readingOrder="1"/>
    </xf>
    <xf numFmtId="165" fontId="38" fillId="0" borderId="5" xfId="2" applyNumberFormat="1" applyFont="1" applyBorder="1" applyAlignment="1">
      <alignment horizontal="right" vertical="center" readingOrder="1"/>
    </xf>
    <xf numFmtId="168" fontId="35" fillId="0" borderId="4" xfId="2" applyNumberFormat="1" applyFont="1" applyBorder="1" applyAlignment="1">
      <alignment horizontal="right" vertical="center" wrapText="1" readingOrder="1"/>
    </xf>
    <xf numFmtId="180" fontId="35" fillId="0" borderId="4" xfId="2" applyNumberFormat="1" applyFont="1" applyBorder="1" applyAlignment="1">
      <alignment horizontal="right" vertical="center" wrapText="1" readingOrder="1"/>
    </xf>
    <xf numFmtId="3" fontId="35" fillId="0" borderId="6" xfId="2" applyNumberFormat="1" applyFont="1" applyFill="1" applyBorder="1" applyAlignment="1">
      <alignment horizontal="right" vertical="center" readingOrder="1"/>
    </xf>
    <xf numFmtId="165" fontId="35" fillId="0" borderId="6" xfId="2" applyNumberFormat="1" applyFont="1" applyFill="1" applyBorder="1" applyAlignment="1">
      <alignment horizontal="right" vertical="center" readingOrder="1"/>
    </xf>
    <xf numFmtId="165" fontId="35" fillId="2" borderId="6" xfId="2" applyNumberFormat="1" applyFont="1" applyFill="1" applyBorder="1" applyAlignment="1">
      <alignment horizontal="right" vertical="center" readingOrder="1"/>
    </xf>
    <xf numFmtId="165" fontId="38" fillId="0" borderId="6" xfId="2" applyNumberFormat="1" applyFont="1" applyBorder="1" applyAlignment="1">
      <alignment horizontal="right" vertical="center" readingOrder="1"/>
    </xf>
    <xf numFmtId="168" fontId="35" fillId="0" borderId="0" xfId="2" applyNumberFormat="1" applyFont="1" applyBorder="1" applyAlignment="1">
      <alignment horizontal="right" vertical="center" wrapText="1" readingOrder="1"/>
    </xf>
    <xf numFmtId="180" fontId="35" fillId="0" borderId="0" xfId="2" applyNumberFormat="1" applyFont="1" applyBorder="1" applyAlignment="1">
      <alignment horizontal="right" vertical="center" wrapText="1" readingOrder="1"/>
    </xf>
    <xf numFmtId="0" fontId="80" fillId="21" borderId="2" xfId="0" applyFont="1" applyFill="1" applyBorder="1" applyAlignment="1">
      <alignment horizontal="left" vertical="center" readingOrder="1"/>
    </xf>
    <xf numFmtId="3" fontId="81" fillId="21" borderId="2" xfId="2" applyNumberFormat="1" applyFont="1" applyFill="1" applyBorder="1" applyAlignment="1">
      <alignment horizontal="right" vertical="center" readingOrder="1"/>
    </xf>
    <xf numFmtId="165" fontId="81" fillId="21" borderId="2" xfId="2" applyNumberFormat="1" applyFont="1" applyFill="1" applyBorder="1" applyAlignment="1">
      <alignment horizontal="right" vertical="center" readingOrder="1"/>
    </xf>
    <xf numFmtId="170" fontId="81" fillId="21" borderId="2" xfId="2" applyNumberFormat="1" applyFont="1" applyFill="1" applyBorder="1" applyAlignment="1">
      <alignment horizontal="right" vertical="center" wrapText="1" readingOrder="1"/>
    </xf>
    <xf numFmtId="165" fontId="82" fillId="21" borderId="2" xfId="2" applyNumberFormat="1" applyFont="1" applyFill="1" applyBorder="1" applyAlignment="1">
      <alignment horizontal="right" vertical="center" readingOrder="1"/>
    </xf>
    <xf numFmtId="168" fontId="81" fillId="21" borderId="2" xfId="2" applyNumberFormat="1" applyFont="1" applyFill="1" applyBorder="1" applyAlignment="1">
      <alignment horizontal="right" vertical="center" wrapText="1" readingOrder="1"/>
    </xf>
    <xf numFmtId="167" fontId="35" fillId="21" borderId="2" xfId="2" applyNumberFormat="1" applyFont="1" applyFill="1" applyBorder="1" applyAlignment="1">
      <alignment horizontal="right" vertical="center" wrapText="1" readingOrder="1"/>
    </xf>
    <xf numFmtId="180" fontId="81" fillId="21" borderId="2" xfId="2" applyNumberFormat="1" applyFont="1" applyFill="1" applyBorder="1" applyAlignment="1">
      <alignment horizontal="right" vertical="center" wrapText="1" readingOrder="1"/>
    </xf>
    <xf numFmtId="0" fontId="22" fillId="0" borderId="0" xfId="0" applyFont="1" applyAlignment="1">
      <alignment horizontal="left" vertical="center" readingOrder="1"/>
    </xf>
    <xf numFmtId="3" fontId="35" fillId="0" borderId="0" xfId="2" applyNumberFormat="1" applyFont="1" applyFill="1" applyBorder="1" applyAlignment="1">
      <alignment horizontal="right" vertical="center" readingOrder="1"/>
    </xf>
    <xf numFmtId="165" fontId="35" fillId="0" borderId="0" xfId="2" applyNumberFormat="1" applyFont="1" applyFill="1" applyBorder="1" applyAlignment="1">
      <alignment horizontal="right" vertical="center" readingOrder="1"/>
    </xf>
    <xf numFmtId="165" fontId="35" fillId="2" borderId="0" xfId="2" applyNumberFormat="1" applyFont="1" applyFill="1" applyBorder="1" applyAlignment="1">
      <alignment horizontal="right" vertical="center" readingOrder="1"/>
    </xf>
    <xf numFmtId="170" fontId="35" fillId="0" borderId="0" xfId="2" applyNumberFormat="1" applyFont="1" applyBorder="1" applyAlignment="1">
      <alignment horizontal="right" vertical="center" wrapText="1" readingOrder="1"/>
    </xf>
    <xf numFmtId="165" fontId="38" fillId="0" borderId="0" xfId="2" applyNumberFormat="1" applyFont="1" applyBorder="1" applyAlignment="1">
      <alignment horizontal="right" vertical="center" readingOrder="1"/>
    </xf>
    <xf numFmtId="168" fontId="81" fillId="0" borderId="2" xfId="2" applyNumberFormat="1" applyFont="1" applyFill="1" applyBorder="1" applyAlignment="1">
      <alignment horizontal="right" vertical="center" wrapText="1" readingOrder="1"/>
    </xf>
    <xf numFmtId="167" fontId="35" fillId="0" borderId="2" xfId="2" applyNumberFormat="1" applyFont="1" applyFill="1" applyBorder="1" applyAlignment="1">
      <alignment horizontal="right" vertical="center" wrapText="1" readingOrder="1"/>
    </xf>
    <xf numFmtId="180" fontId="81" fillId="0" borderId="2" xfId="2" applyNumberFormat="1" applyFont="1" applyFill="1" applyBorder="1" applyAlignment="1">
      <alignment horizontal="right" vertical="center" wrapText="1" readingOrder="1"/>
    </xf>
    <xf numFmtId="0" fontId="23" fillId="0" borderId="15" xfId="0" applyFont="1" applyBorder="1" applyAlignment="1">
      <alignment horizontal="left" vertical="center" readingOrder="1"/>
    </xf>
    <xf numFmtId="3" fontId="32" fillId="0" borderId="15" xfId="2" applyNumberFormat="1" applyFont="1" applyFill="1" applyBorder="1" applyAlignment="1">
      <alignment horizontal="right" vertical="center" readingOrder="1"/>
    </xf>
    <xf numFmtId="165" fontId="32" fillId="2" borderId="15" xfId="2" applyNumberFormat="1" applyFont="1" applyFill="1" applyBorder="1" applyAlignment="1">
      <alignment horizontal="right" vertical="center" readingOrder="1"/>
    </xf>
    <xf numFmtId="165" fontId="32" fillId="5" borderId="15" xfId="2" applyNumberFormat="1" applyFont="1" applyFill="1" applyBorder="1" applyAlignment="1">
      <alignment horizontal="right" vertical="center" readingOrder="1"/>
    </xf>
    <xf numFmtId="165" fontId="35" fillId="0" borderId="15" xfId="2" applyNumberFormat="1" applyFont="1" applyFill="1" applyBorder="1" applyAlignment="1">
      <alignment horizontal="right" vertical="center" readingOrder="1"/>
    </xf>
    <xf numFmtId="170" fontId="32" fillId="0" borderId="15" xfId="2" applyNumberFormat="1" applyFont="1" applyBorder="1" applyAlignment="1">
      <alignment horizontal="right" vertical="center" wrapText="1" readingOrder="1"/>
    </xf>
    <xf numFmtId="165" fontId="38" fillId="0" borderId="15" xfId="2" applyNumberFormat="1" applyFont="1" applyBorder="1" applyAlignment="1">
      <alignment horizontal="right" vertical="center" readingOrder="1"/>
    </xf>
    <xf numFmtId="165" fontId="32" fillId="0" borderId="15" xfId="2" applyNumberFormat="1" applyFont="1" applyFill="1" applyBorder="1" applyAlignment="1">
      <alignment horizontal="right" vertical="center" readingOrder="1"/>
    </xf>
    <xf numFmtId="0" fontId="22" fillId="0" borderId="5" xfId="0" applyFont="1" applyBorder="1" applyAlignment="1">
      <alignment horizontal="left" vertical="center" wrapText="1" readingOrder="1"/>
    </xf>
    <xf numFmtId="3" fontId="77" fillId="0" borderId="5" xfId="2" applyNumberFormat="1" applyFont="1" applyBorder="1" applyAlignment="1">
      <alignment horizontal="right" vertical="center" readingOrder="1"/>
    </xf>
    <xf numFmtId="172" fontId="35" fillId="0" borderId="5" xfId="1" applyNumberFormat="1" applyFont="1" applyBorder="1" applyAlignment="1">
      <alignment horizontal="right" vertical="center" wrapText="1" readingOrder="1"/>
    </xf>
    <xf numFmtId="0" fontId="22" fillId="0" borderId="6" xfId="0" applyFont="1" applyBorder="1" applyAlignment="1">
      <alignment horizontal="left" vertical="center" wrapText="1" readingOrder="1"/>
    </xf>
    <xf numFmtId="3" fontId="77" fillId="0" borderId="6" xfId="2" applyNumberFormat="1" applyFont="1" applyBorder="1" applyAlignment="1">
      <alignment horizontal="right" vertical="center" readingOrder="1"/>
    </xf>
    <xf numFmtId="172" fontId="35" fillId="0" borderId="6" xfId="1" applyNumberFormat="1" applyFont="1" applyBorder="1" applyAlignment="1">
      <alignment horizontal="right" vertical="center" wrapText="1" readingOrder="1"/>
    </xf>
    <xf numFmtId="0" fontId="23" fillId="0" borderId="13" xfId="0" applyFont="1" applyBorder="1" applyAlignment="1">
      <alignment horizontal="right" vertical="center" wrapText="1" readingOrder="1"/>
    </xf>
    <xf numFmtId="3" fontId="81" fillId="0" borderId="13" xfId="2" applyNumberFormat="1" applyFont="1" applyFill="1" applyBorder="1" applyAlignment="1">
      <alignment horizontal="right" vertical="center" readingOrder="1"/>
    </xf>
    <xf numFmtId="3" fontId="84" fillId="0" borderId="13" xfId="2" applyNumberFormat="1" applyFont="1" applyBorder="1" applyAlignment="1">
      <alignment horizontal="right" vertical="center" readingOrder="1"/>
    </xf>
    <xf numFmtId="172" fontId="32" fillId="0" borderId="13" xfId="1" applyNumberFormat="1" applyFont="1" applyBorder="1" applyAlignment="1">
      <alignment horizontal="right" vertical="center" wrapText="1" readingOrder="1"/>
    </xf>
    <xf numFmtId="167" fontId="81" fillId="0" borderId="13" xfId="2" applyNumberFormat="1" applyFont="1" applyBorder="1" applyAlignment="1">
      <alignment horizontal="right" vertical="center" wrapText="1" readingOrder="1"/>
    </xf>
    <xf numFmtId="0" fontId="22" fillId="0" borderId="8" xfId="0" applyFont="1" applyBorder="1" applyAlignment="1">
      <alignment horizontal="left" vertical="center" wrapText="1" readingOrder="1"/>
    </xf>
    <xf numFmtId="3" fontId="35" fillId="0" borderId="8" xfId="2" applyNumberFormat="1" applyFont="1" applyFill="1" applyBorder="1" applyAlignment="1">
      <alignment horizontal="right" vertical="center" readingOrder="1"/>
    </xf>
    <xf numFmtId="3" fontId="77" fillId="0" borderId="8" xfId="2" applyNumberFormat="1" applyFont="1" applyBorder="1" applyAlignment="1">
      <alignment horizontal="right" vertical="center" readingOrder="1"/>
    </xf>
    <xf numFmtId="172" fontId="35" fillId="0" borderId="8" xfId="1" applyNumberFormat="1" applyFont="1" applyBorder="1" applyAlignment="1">
      <alignment horizontal="right" vertical="center" wrapText="1" readingOrder="1"/>
    </xf>
    <xf numFmtId="0" fontId="80" fillId="0" borderId="9" xfId="0" applyFont="1" applyBorder="1" applyAlignment="1">
      <alignment horizontal="right" vertical="center" wrapText="1" readingOrder="1"/>
    </xf>
    <xf numFmtId="3" fontId="81" fillId="0" borderId="9" xfId="2" applyNumberFormat="1" applyFont="1" applyFill="1" applyBorder="1" applyAlignment="1">
      <alignment horizontal="right" vertical="center" readingOrder="1"/>
    </xf>
    <xf numFmtId="3" fontId="84" fillId="0" borderId="9" xfId="2" applyNumberFormat="1" applyFont="1" applyBorder="1" applyAlignment="1">
      <alignment horizontal="right" vertical="center" readingOrder="1"/>
    </xf>
    <xf numFmtId="172" fontId="32" fillId="0" borderId="9" xfId="1" applyNumberFormat="1" applyFont="1" applyBorder="1" applyAlignment="1">
      <alignment horizontal="right" vertical="center" wrapText="1" readingOrder="1"/>
    </xf>
    <xf numFmtId="167" fontId="81" fillId="0" borderId="9" xfId="2" applyNumberFormat="1" applyFont="1" applyBorder="1" applyAlignment="1">
      <alignment horizontal="right" vertical="center" wrapText="1" readingOrder="1"/>
    </xf>
    <xf numFmtId="0" fontId="22" fillId="0" borderId="14" xfId="0" applyFont="1" applyBorder="1" applyAlignment="1">
      <alignment horizontal="left" vertical="center" wrapText="1" readingOrder="1"/>
    </xf>
    <xf numFmtId="3" fontId="35" fillId="0" borderId="14" xfId="2" applyNumberFormat="1" applyFont="1" applyFill="1" applyBorder="1" applyAlignment="1">
      <alignment horizontal="right" vertical="center" readingOrder="1"/>
    </xf>
    <xf numFmtId="3" fontId="77" fillId="0" borderId="14" xfId="2" applyNumberFormat="1" applyFont="1" applyBorder="1" applyAlignment="1">
      <alignment horizontal="right" vertical="center" readingOrder="1"/>
    </xf>
    <xf numFmtId="172" fontId="35" fillId="0" borderId="14" xfId="1" applyNumberFormat="1" applyFont="1" applyBorder="1" applyAlignment="1">
      <alignment horizontal="right" vertical="center" wrapText="1" readingOrder="1"/>
    </xf>
    <xf numFmtId="167" fontId="35" fillId="0" borderId="14" xfId="2" applyNumberFormat="1" applyFont="1" applyBorder="1" applyAlignment="1">
      <alignment horizontal="right" vertical="center" wrapText="1" readingOrder="1"/>
    </xf>
    <xf numFmtId="0" fontId="80" fillId="0" borderId="13" xfId="0" applyFont="1" applyBorder="1" applyAlignment="1">
      <alignment horizontal="right" vertical="center" wrapText="1" readingOrder="1"/>
    </xf>
    <xf numFmtId="3" fontId="32" fillId="0" borderId="0" xfId="2" applyNumberFormat="1" applyFont="1" applyFill="1" applyBorder="1" applyAlignment="1">
      <alignment horizontal="right" vertical="center" readingOrder="1"/>
    </xf>
    <xf numFmtId="3" fontId="77" fillId="0" borderId="0" xfId="2" applyNumberFormat="1" applyFont="1" applyBorder="1" applyAlignment="1">
      <alignment horizontal="right" vertical="center" readingOrder="1"/>
    </xf>
    <xf numFmtId="172" fontId="32" fillId="0" borderId="0" xfId="1" applyNumberFormat="1" applyFont="1" applyBorder="1" applyAlignment="1">
      <alignment horizontal="right" vertical="center" wrapText="1" readingOrder="1"/>
    </xf>
    <xf numFmtId="167" fontId="32" fillId="0" borderId="0" xfId="2" applyNumberFormat="1" applyFont="1" applyBorder="1" applyAlignment="1">
      <alignment horizontal="right" vertical="center" wrapText="1" readingOrder="1"/>
    </xf>
    <xf numFmtId="0" fontId="23" fillId="0" borderId="22" xfId="0" applyFont="1" applyBorder="1" applyAlignment="1">
      <alignment horizontal="left" vertical="center" wrapText="1" readingOrder="1"/>
    </xf>
    <xf numFmtId="3" fontId="32" fillId="0" borderId="22" xfId="2" applyNumberFormat="1" applyFont="1" applyFill="1" applyBorder="1" applyAlignment="1">
      <alignment horizontal="right" vertical="center" readingOrder="1"/>
    </xf>
    <xf numFmtId="3" fontId="77" fillId="0" borderId="22" xfId="2" applyNumberFormat="1" applyFont="1" applyBorder="1" applyAlignment="1">
      <alignment horizontal="right" vertical="center" readingOrder="1"/>
    </xf>
    <xf numFmtId="172" fontId="32" fillId="0" borderId="22" xfId="1" applyNumberFormat="1" applyFont="1" applyBorder="1" applyAlignment="1">
      <alignment horizontal="right" vertical="center" wrapText="1" readingOrder="1"/>
    </xf>
    <xf numFmtId="167" fontId="32" fillId="0" borderId="22" xfId="2" applyNumberFormat="1" applyFont="1" applyBorder="1" applyAlignment="1">
      <alignment horizontal="right" vertical="center" wrapText="1" readingOrder="1"/>
    </xf>
    <xf numFmtId="3" fontId="32" fillId="0" borderId="6" xfId="2" applyNumberFormat="1" applyFont="1" applyFill="1" applyBorder="1" applyAlignment="1">
      <alignment horizontal="right" vertical="center" readingOrder="1"/>
    </xf>
    <xf numFmtId="172" fontId="32" fillId="0" borderId="6" xfId="1" applyNumberFormat="1" applyFont="1" applyBorder="1" applyAlignment="1">
      <alignment horizontal="right" vertical="center" wrapText="1" readingOrder="1"/>
    </xf>
    <xf numFmtId="0" fontId="23" fillId="0" borderId="12" xfId="0" applyFont="1" applyBorder="1" applyAlignment="1">
      <alignment horizontal="right" vertical="center" wrapText="1" readingOrder="1"/>
    </xf>
    <xf numFmtId="3" fontId="32" fillId="0" borderId="12" xfId="2" applyNumberFormat="1" applyFont="1" applyFill="1" applyBorder="1" applyAlignment="1">
      <alignment horizontal="right" vertical="center" readingOrder="1"/>
    </xf>
    <xf numFmtId="3" fontId="77" fillId="0" borderId="12" xfId="2" applyNumberFormat="1" applyFont="1" applyBorder="1" applyAlignment="1">
      <alignment horizontal="right" vertical="center" readingOrder="1"/>
    </xf>
    <xf numFmtId="172" fontId="32" fillId="0" borderId="12" xfId="1" applyNumberFormat="1" applyFont="1" applyBorder="1" applyAlignment="1">
      <alignment horizontal="right" vertical="center" wrapText="1" readingOrder="1"/>
    </xf>
    <xf numFmtId="167" fontId="32" fillId="0" borderId="12" xfId="2" applyNumberFormat="1" applyFont="1" applyBorder="1" applyAlignment="1">
      <alignment horizontal="right" vertical="center" wrapText="1" readingOrder="1"/>
    </xf>
    <xf numFmtId="0" fontId="23" fillId="0" borderId="0" xfId="10" applyFont="1" applyAlignment="1">
      <alignment horizontal="left" vertical="center" readingOrder="1"/>
    </xf>
    <xf numFmtId="2" fontId="36" fillId="0" borderId="0" xfId="10" applyNumberFormat="1" applyFont="1" applyAlignment="1">
      <alignment horizontal="right" vertical="center" readingOrder="1"/>
    </xf>
    <xf numFmtId="2" fontId="32" fillId="0" borderId="0" xfId="10" applyNumberFormat="1" applyFont="1" applyAlignment="1">
      <alignment horizontal="right" vertical="center" readingOrder="1"/>
    </xf>
    <xf numFmtId="2" fontId="23" fillId="0" borderId="0" xfId="10" applyNumberFormat="1" applyFont="1" applyAlignment="1">
      <alignment horizontal="right" vertical="center" readingOrder="1"/>
    </xf>
    <xf numFmtId="0" fontId="35" fillId="0" borderId="5" xfId="0" applyFont="1" applyBorder="1" applyAlignment="1">
      <alignment horizontal="left" vertical="center" wrapText="1" readingOrder="1"/>
    </xf>
    <xf numFmtId="0" fontId="22" fillId="0" borderId="5" xfId="0" applyFont="1" applyBorder="1" applyAlignment="1">
      <alignment horizontal="right" vertical="center" wrapText="1" readingOrder="1"/>
    </xf>
    <xf numFmtId="175" fontId="34" fillId="2" borderId="5" xfId="2" applyNumberFormat="1" applyFont="1" applyFill="1" applyBorder="1" applyAlignment="1">
      <alignment horizontal="right" vertical="center" readingOrder="1"/>
    </xf>
    <xf numFmtId="175" fontId="35" fillId="0" borderId="5" xfId="2" applyNumberFormat="1" applyFont="1" applyFill="1" applyBorder="1" applyAlignment="1">
      <alignment horizontal="right" vertical="center" readingOrder="1"/>
    </xf>
    <xf numFmtId="175" fontId="35" fillId="2" borderId="5" xfId="2" applyNumberFormat="1" applyFont="1" applyFill="1" applyBorder="1" applyAlignment="1">
      <alignment horizontal="right" vertical="center" readingOrder="1"/>
    </xf>
    <xf numFmtId="175" fontId="77" fillId="0" borderId="5" xfId="2" applyNumberFormat="1" applyFont="1" applyBorder="1" applyAlignment="1">
      <alignment horizontal="right" vertical="center" readingOrder="1"/>
    </xf>
    <xf numFmtId="0" fontId="35" fillId="0" borderId="8" xfId="0" applyFont="1" applyBorder="1" applyAlignment="1">
      <alignment horizontal="left" vertical="center" wrapText="1" readingOrder="1"/>
    </xf>
    <xf numFmtId="0" fontId="22" fillId="0" borderId="8" xfId="0" applyFont="1" applyBorder="1" applyAlignment="1">
      <alignment horizontal="right" vertical="center" wrapText="1" readingOrder="1"/>
    </xf>
    <xf numFmtId="175" fontId="34" fillId="2" borderId="8" xfId="2" applyNumberFormat="1" applyFont="1" applyFill="1" applyBorder="1" applyAlignment="1">
      <alignment horizontal="right" vertical="center" readingOrder="1"/>
    </xf>
    <xf numFmtId="175" fontId="35" fillId="0" borderId="8" xfId="2" applyNumberFormat="1" applyFont="1" applyFill="1" applyBorder="1" applyAlignment="1">
      <alignment horizontal="right" vertical="center" readingOrder="1"/>
    </xf>
    <xf numFmtId="175" fontId="35" fillId="2" borderId="8" xfId="2" applyNumberFormat="1" applyFont="1" applyFill="1" applyBorder="1" applyAlignment="1">
      <alignment horizontal="right" vertical="center" readingOrder="1"/>
    </xf>
    <xf numFmtId="175" fontId="77" fillId="0" borderId="8" xfId="2" applyNumberFormat="1" applyFont="1" applyBorder="1" applyAlignment="1">
      <alignment horizontal="right" vertical="center" readingOrder="1"/>
    </xf>
    <xf numFmtId="178" fontId="35" fillId="0" borderId="8" xfId="1" applyNumberFormat="1" applyFont="1" applyBorder="1" applyAlignment="1">
      <alignment horizontal="right" vertical="center" wrapText="1" readingOrder="1"/>
    </xf>
    <xf numFmtId="0" fontId="35" fillId="0" borderId="0" xfId="0" applyFont="1" applyAlignment="1">
      <alignment horizontal="left" vertical="center" wrapText="1" readingOrder="1"/>
    </xf>
    <xf numFmtId="0" fontId="22" fillId="0" borderId="0" xfId="0" applyFont="1" applyAlignment="1">
      <alignment horizontal="right" vertical="center" wrapText="1" readingOrder="1"/>
    </xf>
    <xf numFmtId="175" fontId="34" fillId="2" borderId="0" xfId="2" applyNumberFormat="1" applyFont="1" applyFill="1" applyBorder="1" applyAlignment="1">
      <alignment horizontal="right" vertical="center" readingOrder="1"/>
    </xf>
    <xf numFmtId="175" fontId="35" fillId="0" borderId="0" xfId="2" applyNumberFormat="1" applyFont="1" applyFill="1" applyBorder="1" applyAlignment="1">
      <alignment horizontal="right" vertical="center" readingOrder="1"/>
    </xf>
    <xf numFmtId="175" fontId="35" fillId="2" borderId="0" xfId="2" applyNumberFormat="1" applyFont="1" applyFill="1" applyBorder="1" applyAlignment="1">
      <alignment horizontal="right" vertical="center" readingOrder="1"/>
    </xf>
    <xf numFmtId="175" fontId="77" fillId="0" borderId="0" xfId="2" applyNumberFormat="1" applyFont="1" applyBorder="1" applyAlignment="1">
      <alignment horizontal="right" vertical="center" readingOrder="1"/>
    </xf>
    <xf numFmtId="172" fontId="35" fillId="0" borderId="0" xfId="1" applyNumberFormat="1" applyFont="1" applyBorder="1" applyAlignment="1">
      <alignment horizontal="right" vertical="center" wrapText="1" readingOrder="1"/>
    </xf>
    <xf numFmtId="0" fontId="35" fillId="0" borderId="10" xfId="0" applyFont="1" applyBorder="1" applyAlignment="1">
      <alignment horizontal="left" vertical="center" wrapText="1" readingOrder="1"/>
    </xf>
    <xf numFmtId="0" fontId="22" fillId="0" borderId="10" xfId="0" applyFont="1" applyBorder="1" applyAlignment="1">
      <alignment horizontal="right" vertical="center" wrapText="1" readingOrder="1"/>
    </xf>
    <xf numFmtId="175" fontId="34" fillId="2" borderId="10" xfId="2" applyNumberFormat="1" applyFont="1" applyFill="1" applyBorder="1" applyAlignment="1">
      <alignment horizontal="right" vertical="center" readingOrder="1"/>
    </xf>
    <xf numFmtId="175" fontId="35" fillId="0" borderId="10" xfId="2" applyNumberFormat="1" applyFont="1" applyFill="1" applyBorder="1" applyAlignment="1">
      <alignment horizontal="right" vertical="center" readingOrder="1"/>
    </xf>
    <xf numFmtId="175" fontId="35" fillId="2" borderId="10" xfId="2" applyNumberFormat="1" applyFont="1" applyFill="1" applyBorder="1" applyAlignment="1">
      <alignment horizontal="right" vertical="center" readingOrder="1"/>
    </xf>
    <xf numFmtId="175" fontId="77" fillId="0" borderId="10" xfId="2" applyNumberFormat="1" applyFont="1" applyBorder="1" applyAlignment="1">
      <alignment horizontal="right" vertical="center" readingOrder="1"/>
    </xf>
    <xf numFmtId="178" fontId="35" fillId="0" borderId="10" xfId="1" applyNumberFormat="1" applyFont="1" applyBorder="1" applyAlignment="1">
      <alignment horizontal="right" vertical="center" wrapText="1" readingOrder="1"/>
    </xf>
    <xf numFmtId="167" fontId="35" fillId="0" borderId="10" xfId="2" applyNumberFormat="1" applyFont="1" applyBorder="1" applyAlignment="1">
      <alignment horizontal="right" vertical="center" wrapText="1" readingOrder="1"/>
    </xf>
    <xf numFmtId="0" fontId="32" fillId="2" borderId="16" xfId="0" applyFont="1" applyFill="1" applyBorder="1" applyAlignment="1">
      <alignment horizontal="left" vertical="center" wrapText="1" readingOrder="1"/>
    </xf>
    <xf numFmtId="0" fontId="23" fillId="2" borderId="16" xfId="0" applyFont="1" applyFill="1" applyBorder="1" applyAlignment="1">
      <alignment horizontal="left" vertical="center" wrapText="1" readingOrder="1"/>
    </xf>
    <xf numFmtId="0" fontId="23" fillId="2" borderId="16" xfId="0" applyFont="1" applyFill="1" applyBorder="1" applyAlignment="1">
      <alignment horizontal="right" vertical="center" readingOrder="1"/>
    </xf>
    <xf numFmtId="175" fontId="36" fillId="5" borderId="16" xfId="2" applyNumberFormat="1" applyFont="1" applyFill="1" applyBorder="1" applyAlignment="1">
      <alignment horizontal="right" vertical="center" readingOrder="1"/>
    </xf>
    <xf numFmtId="175" fontId="32" fillId="0" borderId="16" xfId="2" applyNumberFormat="1" applyFont="1" applyFill="1" applyBorder="1" applyAlignment="1">
      <alignment horizontal="right" vertical="center" readingOrder="1"/>
    </xf>
    <xf numFmtId="175" fontId="32" fillId="5" borderId="16" xfId="2" applyNumberFormat="1" applyFont="1" applyFill="1" applyBorder="1" applyAlignment="1">
      <alignment horizontal="right" vertical="center" readingOrder="1"/>
    </xf>
    <xf numFmtId="175" fontId="85" fillId="2" borderId="16" xfId="2" applyNumberFormat="1" applyFont="1" applyFill="1" applyBorder="1" applyAlignment="1">
      <alignment horizontal="right" vertical="center" readingOrder="1"/>
    </xf>
    <xf numFmtId="172" fontId="32" fillId="2" borderId="16" xfId="1" applyNumberFormat="1" applyFont="1" applyFill="1" applyBorder="1" applyAlignment="1">
      <alignment horizontal="right" vertical="center" wrapText="1" readingOrder="1"/>
    </xf>
    <xf numFmtId="167" fontId="32" fillId="2" borderId="16" xfId="2" applyNumberFormat="1" applyFont="1" applyFill="1" applyBorder="1" applyAlignment="1">
      <alignment horizontal="right" vertical="center" wrapText="1" readingOrder="1"/>
    </xf>
    <xf numFmtId="0" fontId="32" fillId="2" borderId="17" xfId="0" applyFont="1" applyFill="1" applyBorder="1" applyAlignment="1">
      <alignment horizontal="left" vertical="center" wrapText="1" readingOrder="1"/>
    </xf>
    <xf numFmtId="0" fontId="23" fillId="2" borderId="17" xfId="0" applyFont="1" applyFill="1" applyBorder="1" applyAlignment="1">
      <alignment horizontal="left" vertical="center" wrapText="1" readingOrder="1"/>
    </xf>
    <xf numFmtId="0" fontId="23" fillId="2" borderId="17" xfId="0" applyFont="1" applyFill="1" applyBorder="1" applyAlignment="1">
      <alignment horizontal="right" vertical="center" readingOrder="1"/>
    </xf>
    <xf numFmtId="175" fontId="36" fillId="5" borderId="17" xfId="2" applyNumberFormat="1" applyFont="1" applyFill="1" applyBorder="1" applyAlignment="1">
      <alignment horizontal="right" vertical="center" readingOrder="1"/>
    </xf>
    <xf numFmtId="175" fontId="32" fillId="0" borderId="17" xfId="2" applyNumberFormat="1" applyFont="1" applyFill="1" applyBorder="1" applyAlignment="1">
      <alignment horizontal="right" vertical="center" readingOrder="1"/>
    </xf>
    <xf numFmtId="175" fontId="32" fillId="5" borderId="17" xfId="2" applyNumberFormat="1" applyFont="1" applyFill="1" applyBorder="1" applyAlignment="1">
      <alignment horizontal="right" vertical="center" readingOrder="1"/>
    </xf>
    <xf numFmtId="175" fontId="85" fillId="2" borderId="17" xfId="2" applyNumberFormat="1" applyFont="1" applyFill="1" applyBorder="1" applyAlignment="1">
      <alignment horizontal="right" vertical="center" readingOrder="1"/>
    </xf>
    <xf numFmtId="178" fontId="32" fillId="2" borderId="17" xfId="1" applyNumberFormat="1" applyFont="1" applyFill="1" applyBorder="1" applyAlignment="1">
      <alignment horizontal="right" vertical="center" wrapText="1" readingOrder="1"/>
    </xf>
    <xf numFmtId="167" fontId="32" fillId="2" borderId="17" xfId="2" applyNumberFormat="1" applyFont="1" applyFill="1" applyBorder="1" applyAlignment="1">
      <alignment horizontal="right" vertical="center" wrapText="1" readingOrder="1"/>
    </xf>
    <xf numFmtId="175" fontId="77" fillId="0" borderId="5" xfId="2" applyNumberFormat="1" applyFont="1" applyFill="1" applyBorder="1" applyAlignment="1">
      <alignment horizontal="right" vertical="center" readingOrder="1"/>
    </xf>
    <xf numFmtId="172" fontId="35" fillId="0" borderId="10" xfId="1" applyNumberFormat="1" applyFont="1" applyBorder="1" applyAlignment="1">
      <alignment horizontal="right" vertical="center" wrapText="1" readingOrder="1"/>
    </xf>
    <xf numFmtId="0" fontId="32" fillId="0" borderId="0" xfId="0" applyFont="1" applyAlignment="1">
      <alignment horizontal="left" vertical="center" wrapText="1" readingOrder="1"/>
    </xf>
    <xf numFmtId="0" fontId="23" fillId="0" borderId="19" xfId="0" applyFont="1" applyBorder="1" applyAlignment="1">
      <alignment horizontal="left" vertical="center" wrapText="1" readingOrder="1"/>
    </xf>
    <xf numFmtId="0" fontId="23" fillId="0" borderId="19" xfId="0" applyFont="1" applyBorder="1" applyAlignment="1">
      <alignment horizontal="right" vertical="center" readingOrder="1"/>
    </xf>
    <xf numFmtId="175" fontId="34" fillId="5" borderId="19" xfId="2" applyNumberFormat="1" applyFont="1" applyFill="1" applyBorder="1" applyAlignment="1">
      <alignment horizontal="right" vertical="center" readingOrder="1"/>
    </xf>
    <xf numFmtId="175" fontId="32" fillId="0" borderId="19" xfId="2" applyNumberFormat="1" applyFont="1" applyFill="1" applyBorder="1" applyAlignment="1">
      <alignment horizontal="right" vertical="center" readingOrder="1"/>
    </xf>
    <xf numFmtId="175" fontId="32" fillId="5" borderId="19" xfId="2" applyNumberFormat="1" applyFont="1" applyFill="1" applyBorder="1" applyAlignment="1">
      <alignment horizontal="right" vertical="center" readingOrder="1"/>
    </xf>
    <xf numFmtId="175" fontId="85" fillId="0" borderId="19" xfId="2" applyNumberFormat="1" applyFont="1" applyBorder="1" applyAlignment="1">
      <alignment horizontal="right" vertical="center" readingOrder="1"/>
    </xf>
    <xf numFmtId="172" fontId="32" fillId="0" borderId="19" xfId="1" applyNumberFormat="1" applyFont="1" applyBorder="1" applyAlignment="1">
      <alignment horizontal="right" vertical="center" wrapText="1" readingOrder="1"/>
    </xf>
    <xf numFmtId="167" fontId="32" fillId="0" borderId="19" xfId="2" applyNumberFormat="1" applyFont="1" applyBorder="1" applyAlignment="1">
      <alignment horizontal="right" vertical="center" wrapText="1" readingOrder="1"/>
    </xf>
    <xf numFmtId="0" fontId="23" fillId="0" borderId="17" xfId="0" applyFont="1" applyBorder="1" applyAlignment="1">
      <alignment horizontal="left" vertical="center" wrapText="1" readingOrder="1"/>
    </xf>
    <xf numFmtId="0" fontId="23" fillId="0" borderId="17" xfId="0" applyFont="1" applyBorder="1" applyAlignment="1">
      <alignment horizontal="right" vertical="center" readingOrder="1"/>
    </xf>
    <xf numFmtId="175" fontId="34" fillId="5" borderId="18" xfId="2" applyNumberFormat="1" applyFont="1" applyFill="1" applyBorder="1" applyAlignment="1">
      <alignment horizontal="right" vertical="center" readingOrder="1"/>
    </xf>
    <xf numFmtId="175" fontId="85" fillId="0" borderId="17" xfId="2" applyNumberFormat="1" applyFont="1" applyBorder="1" applyAlignment="1">
      <alignment horizontal="right" vertical="center" readingOrder="1"/>
    </xf>
    <xf numFmtId="178" fontId="32" fillId="0" borderId="17" xfId="1" applyNumberFormat="1" applyFont="1" applyBorder="1" applyAlignment="1">
      <alignment horizontal="right" vertical="center" wrapText="1" readingOrder="1"/>
    </xf>
    <xf numFmtId="167" fontId="32" fillId="0" borderId="17" xfId="2" applyNumberFormat="1" applyFont="1" applyBorder="1" applyAlignment="1">
      <alignment horizontal="right" vertical="center" wrapText="1" readingOrder="1"/>
    </xf>
    <xf numFmtId="0" fontId="32" fillId="0" borderId="0" xfId="0" applyFont="1" applyAlignment="1">
      <alignment vertical="center" readingOrder="1"/>
    </xf>
    <xf numFmtId="168" fontId="35" fillId="0" borderId="7" xfId="0" applyNumberFormat="1" applyFont="1" applyBorder="1" applyAlignment="1">
      <alignment horizontal="right" vertical="center" wrapText="1" readingOrder="1"/>
    </xf>
    <xf numFmtId="168" fontId="32" fillId="0" borderId="10" xfId="0" applyNumberFormat="1" applyFont="1" applyBorder="1" applyAlignment="1">
      <alignment horizontal="right" vertical="center" wrapText="1" readingOrder="1"/>
    </xf>
    <xf numFmtId="0" fontId="22" fillId="0" borderId="4" xfId="0" applyFont="1" applyBorder="1" applyAlignment="1">
      <alignment horizontal="left" vertical="center" readingOrder="1"/>
    </xf>
    <xf numFmtId="169" fontId="22" fillId="0" borderId="4" xfId="0" applyNumberFormat="1" applyFont="1" applyBorder="1" applyAlignment="1">
      <alignment horizontal="right" vertical="center" wrapText="1" readingOrder="1"/>
    </xf>
    <xf numFmtId="167" fontId="35" fillId="0" borderId="4" xfId="0" applyNumberFormat="1" applyFont="1" applyBorder="1" applyAlignment="1">
      <alignment horizontal="right" vertical="center" wrapText="1" readingOrder="1"/>
    </xf>
    <xf numFmtId="166" fontId="35" fillId="0" borderId="4" xfId="1" applyNumberFormat="1" applyFont="1" applyFill="1" applyBorder="1" applyAlignment="1">
      <alignment horizontal="right" vertical="center" wrapText="1" readingOrder="1"/>
    </xf>
    <xf numFmtId="3" fontId="35" fillId="0" borderId="4" xfId="0" applyNumberFormat="1" applyFont="1" applyBorder="1" applyAlignment="1">
      <alignment horizontal="right" vertical="center" wrapText="1" readingOrder="1"/>
    </xf>
    <xf numFmtId="169" fontId="22" fillId="0" borderId="0" xfId="0" applyNumberFormat="1" applyFont="1" applyAlignment="1">
      <alignment horizontal="right" vertical="center" wrapText="1" readingOrder="1"/>
    </xf>
    <xf numFmtId="167" fontId="35" fillId="0" borderId="0" xfId="0" applyNumberFormat="1" applyFont="1" applyAlignment="1">
      <alignment horizontal="right" vertical="center" wrapText="1" readingOrder="1"/>
    </xf>
    <xf numFmtId="166" fontId="35" fillId="0" borderId="0" xfId="1" applyNumberFormat="1" applyFont="1" applyBorder="1" applyAlignment="1">
      <alignment horizontal="right" vertical="center" wrapText="1" readingOrder="1"/>
    </xf>
    <xf numFmtId="0" fontId="22" fillId="0" borderId="18" xfId="0" applyFont="1" applyBorder="1" applyAlignment="1">
      <alignment horizontal="left" vertical="center" readingOrder="1"/>
    </xf>
    <xf numFmtId="3" fontId="22" fillId="0" borderId="18" xfId="0" applyNumberFormat="1" applyFont="1" applyBorder="1" applyAlignment="1">
      <alignment horizontal="right" vertical="center" wrapText="1" readingOrder="1"/>
    </xf>
    <xf numFmtId="169" fontId="22" fillId="0" borderId="18" xfId="0" applyNumberFormat="1" applyFont="1" applyBorder="1" applyAlignment="1">
      <alignment horizontal="right" vertical="center" wrapText="1" readingOrder="1"/>
    </xf>
    <xf numFmtId="167" fontId="35" fillId="0" borderId="18" xfId="0" applyNumberFormat="1" applyFont="1" applyBorder="1" applyAlignment="1">
      <alignment horizontal="right" vertical="center" wrapText="1" readingOrder="1"/>
    </xf>
    <xf numFmtId="166" fontId="35" fillId="0" borderId="18" xfId="1" applyNumberFormat="1" applyFont="1" applyBorder="1" applyAlignment="1">
      <alignment horizontal="right" vertical="center" wrapText="1" readingOrder="1"/>
    </xf>
    <xf numFmtId="3" fontId="35" fillId="0" borderId="18" xfId="0" applyNumberFormat="1" applyFont="1" applyBorder="1" applyAlignment="1">
      <alignment horizontal="right" vertical="center" wrapText="1" readingOrder="1"/>
    </xf>
    <xf numFmtId="0" fontId="23" fillId="0" borderId="21" xfId="0" applyFont="1" applyBorder="1" applyAlignment="1">
      <alignment horizontal="left" vertical="center" readingOrder="1"/>
    </xf>
    <xf numFmtId="165" fontId="36" fillId="0" borderId="21" xfId="2" applyNumberFormat="1" applyFont="1" applyFill="1" applyBorder="1" applyAlignment="1">
      <alignment horizontal="right" vertical="center" wrapText="1" readingOrder="1"/>
    </xf>
    <xf numFmtId="165" fontId="23" fillId="0" borderId="21" xfId="2" applyNumberFormat="1" applyFont="1" applyFill="1" applyBorder="1" applyAlignment="1">
      <alignment horizontal="right" vertical="center" wrapText="1" readingOrder="1"/>
    </xf>
    <xf numFmtId="165" fontId="23" fillId="5" borderId="21" xfId="2" applyNumberFormat="1" applyFont="1" applyFill="1" applyBorder="1" applyAlignment="1">
      <alignment horizontal="right" vertical="center" wrapText="1" readingOrder="1"/>
    </xf>
    <xf numFmtId="165" fontId="22" fillId="0" borderId="21" xfId="2" applyNumberFormat="1" applyFont="1" applyFill="1" applyBorder="1" applyAlignment="1">
      <alignment horizontal="right" vertical="center" wrapText="1" readingOrder="1"/>
    </xf>
    <xf numFmtId="169" fontId="35" fillId="0" borderId="21" xfId="0" applyNumberFormat="1" applyFont="1" applyBorder="1" applyAlignment="1">
      <alignment horizontal="right" vertical="center" wrapText="1" readingOrder="1"/>
    </xf>
    <xf numFmtId="165" fontId="31" fillId="0" borderId="21" xfId="2" applyNumberFormat="1" applyFont="1" applyFill="1" applyBorder="1" applyAlignment="1">
      <alignment horizontal="right" vertical="center" wrapText="1" readingOrder="1"/>
    </xf>
    <xf numFmtId="167" fontId="35" fillId="0" borderId="21" xfId="0" applyNumberFormat="1" applyFont="1" applyBorder="1" applyAlignment="1">
      <alignment horizontal="right" vertical="center" wrapText="1" readingOrder="1"/>
    </xf>
    <xf numFmtId="0" fontId="23" fillId="0" borderId="10" xfId="0" applyFont="1" applyBorder="1" applyAlignment="1">
      <alignment horizontal="left" vertical="center" readingOrder="1"/>
    </xf>
    <xf numFmtId="165" fontId="36" fillId="0" borderId="10" xfId="2" applyNumberFormat="1" applyFont="1" applyFill="1" applyBorder="1" applyAlignment="1">
      <alignment horizontal="right" vertical="center" wrapText="1" readingOrder="1"/>
    </xf>
    <xf numFmtId="165" fontId="23" fillId="0" borderId="10" xfId="2" applyNumberFormat="1" applyFont="1" applyFill="1" applyBorder="1" applyAlignment="1">
      <alignment horizontal="right" vertical="center" wrapText="1" readingOrder="1"/>
    </xf>
    <xf numFmtId="165" fontId="23" fillId="5" borderId="10" xfId="2" applyNumberFormat="1" applyFont="1" applyFill="1" applyBorder="1" applyAlignment="1">
      <alignment horizontal="right" vertical="center" wrapText="1" readingOrder="1"/>
    </xf>
    <xf numFmtId="165" fontId="22" fillId="0" borderId="10" xfId="2" applyNumberFormat="1" applyFont="1" applyFill="1" applyBorder="1" applyAlignment="1">
      <alignment horizontal="right" vertical="center" wrapText="1" readingOrder="1"/>
    </xf>
    <xf numFmtId="169" fontId="35" fillId="0" borderId="10" xfId="0" applyNumberFormat="1" applyFont="1" applyBorder="1" applyAlignment="1">
      <alignment horizontal="right" vertical="center" wrapText="1" readingOrder="1"/>
    </xf>
    <xf numFmtId="165" fontId="31" fillId="0" borderId="10" xfId="2" applyNumberFormat="1" applyFont="1" applyFill="1" applyBorder="1" applyAlignment="1">
      <alignment horizontal="right" vertical="center" wrapText="1" readingOrder="1"/>
    </xf>
    <xf numFmtId="167" fontId="35" fillId="0" borderId="10" xfId="0" applyNumberFormat="1" applyFont="1" applyBorder="1" applyAlignment="1">
      <alignment horizontal="right" vertical="center" wrapText="1" readingOrder="1"/>
    </xf>
    <xf numFmtId="0" fontId="88" fillId="0" borderId="4" xfId="0" applyFont="1" applyBorder="1" applyAlignment="1">
      <alignment horizontal="left" vertical="center" readingOrder="1"/>
    </xf>
    <xf numFmtId="4" fontId="89" fillId="0" borderId="4" xfId="2" applyNumberFormat="1" applyFont="1" applyFill="1" applyBorder="1" applyAlignment="1">
      <alignment horizontal="right" vertical="center" wrapText="1" readingOrder="1"/>
    </xf>
    <xf numFmtId="4" fontId="88" fillId="0" borderId="4" xfId="2" applyNumberFormat="1" applyFont="1" applyFill="1" applyBorder="1" applyAlignment="1">
      <alignment horizontal="right" vertical="center" wrapText="1" readingOrder="1"/>
    </xf>
    <xf numFmtId="4" fontId="88" fillId="5" borderId="4" xfId="2" applyNumberFormat="1" applyFont="1" applyFill="1" applyBorder="1" applyAlignment="1">
      <alignment horizontal="right" vertical="center" wrapText="1" readingOrder="1"/>
    </xf>
    <xf numFmtId="169" fontId="35" fillId="0" borderId="4" xfId="0" applyNumberFormat="1" applyFont="1" applyBorder="1" applyAlignment="1">
      <alignment horizontal="right" vertical="center" wrapText="1" readingOrder="1"/>
    </xf>
    <xf numFmtId="166" fontId="35" fillId="0" borderId="4" xfId="1" applyNumberFormat="1" applyFont="1" applyBorder="1" applyAlignment="1">
      <alignment horizontal="right" vertical="center" wrapText="1" readingOrder="1"/>
    </xf>
    <xf numFmtId="166" fontId="35" fillId="0" borderId="0" xfId="1" applyNumberFormat="1" applyFont="1" applyFill="1" applyBorder="1" applyAlignment="1">
      <alignment horizontal="right" vertical="center" wrapText="1" readingOrder="1"/>
    </xf>
    <xf numFmtId="166" fontId="35" fillId="0" borderId="18" xfId="1" applyNumberFormat="1" applyFont="1" applyFill="1" applyBorder="1" applyAlignment="1">
      <alignment horizontal="right" vertical="center" wrapText="1" readingOrder="1"/>
    </xf>
    <xf numFmtId="0" fontId="23" fillId="0" borderId="4" xfId="0" applyFont="1" applyBorder="1" applyAlignment="1">
      <alignment horizontal="left" vertical="center" readingOrder="1"/>
    </xf>
    <xf numFmtId="173" fontId="35" fillId="0" borderId="0" xfId="0" applyNumberFormat="1" applyFont="1" applyAlignment="1">
      <alignment horizontal="right" vertical="center" readingOrder="1"/>
    </xf>
    <xf numFmtId="0" fontId="35" fillId="22" borderId="0" xfId="0" applyFont="1" applyFill="1" applyAlignment="1">
      <alignment horizontal="right" vertical="center" wrapText="1"/>
    </xf>
    <xf numFmtId="3" fontId="35" fillId="0" borderId="4" xfId="0" applyNumberFormat="1" applyFont="1" applyBorder="1" applyAlignment="1">
      <alignment horizontal="right" vertical="center" readingOrder="1"/>
    </xf>
    <xf numFmtId="3" fontId="22" fillId="0" borderId="4" xfId="0" applyNumberFormat="1" applyFont="1" applyBorder="1" applyAlignment="1">
      <alignment horizontal="right" vertical="center" readingOrder="1"/>
    </xf>
    <xf numFmtId="171" fontId="35" fillId="0" borderId="4" xfId="2" applyNumberFormat="1" applyFont="1" applyBorder="1" applyAlignment="1">
      <alignment horizontal="right" vertical="center" wrapText="1" readingOrder="1"/>
    </xf>
    <xf numFmtId="168" fontId="35" fillId="0" borderId="4" xfId="0" applyNumberFormat="1" applyFont="1" applyBorder="1" applyAlignment="1">
      <alignment horizontal="right" vertical="center" wrapText="1" readingOrder="1"/>
    </xf>
    <xf numFmtId="3" fontId="33" fillId="0" borderId="4" xfId="0" applyNumberFormat="1" applyFont="1" applyBorder="1" applyAlignment="1">
      <alignment horizontal="right" vertical="center" wrapText="1" readingOrder="1"/>
    </xf>
    <xf numFmtId="3" fontId="35" fillId="0" borderId="0" xfId="0" applyNumberFormat="1" applyFont="1" applyAlignment="1">
      <alignment horizontal="right" vertical="center" readingOrder="1"/>
    </xf>
    <xf numFmtId="3" fontId="22" fillId="0" borderId="0" xfId="0" applyNumberFormat="1" applyFont="1" applyAlignment="1">
      <alignment horizontal="right" vertical="center" readingOrder="1"/>
    </xf>
    <xf numFmtId="168" fontId="35" fillId="0" borderId="0" xfId="0" applyNumberFormat="1" applyFont="1" applyAlignment="1">
      <alignment horizontal="right" vertical="center" wrapText="1" readingOrder="1"/>
    </xf>
    <xf numFmtId="3" fontId="32" fillId="0" borderId="15" xfId="0" applyNumberFormat="1" applyFont="1" applyBorder="1" applyAlignment="1">
      <alignment horizontal="right" vertical="center" readingOrder="1"/>
    </xf>
    <xf numFmtId="3" fontId="32" fillId="5" borderId="15" xfId="0" applyNumberFormat="1" applyFont="1" applyFill="1" applyBorder="1" applyAlignment="1">
      <alignment horizontal="right" vertical="center" readingOrder="1"/>
    </xf>
    <xf numFmtId="3" fontId="23" fillId="0" borderId="15" xfId="0" applyNumberFormat="1" applyFont="1" applyBorder="1" applyAlignment="1">
      <alignment horizontal="right" vertical="center" readingOrder="1"/>
    </xf>
    <xf numFmtId="171" fontId="32" fillId="0" borderId="15" xfId="0" applyNumberFormat="1" applyFont="1" applyBorder="1" applyAlignment="1">
      <alignment horizontal="right" vertical="center" readingOrder="1"/>
    </xf>
    <xf numFmtId="168" fontId="32" fillId="0" borderId="15" xfId="0" applyNumberFormat="1" applyFont="1" applyBorder="1" applyAlignment="1">
      <alignment horizontal="right" vertical="center" wrapText="1" readingOrder="1"/>
    </xf>
    <xf numFmtId="3" fontId="33" fillId="0" borderId="15" xfId="0" applyNumberFormat="1" applyFont="1" applyBorder="1" applyAlignment="1">
      <alignment horizontal="right" vertical="center" wrapText="1" readingOrder="1"/>
    </xf>
    <xf numFmtId="4" fontId="32" fillId="0" borderId="15" xfId="0" applyNumberFormat="1" applyFont="1" applyBorder="1" applyAlignment="1">
      <alignment horizontal="right" vertical="center" wrapText="1" readingOrder="1"/>
    </xf>
    <xf numFmtId="3" fontId="38" fillId="0" borderId="4" xfId="0" applyNumberFormat="1" applyFont="1" applyBorder="1" applyAlignment="1">
      <alignment horizontal="right" vertical="center" readingOrder="1"/>
    </xf>
    <xf numFmtId="3" fontId="38" fillId="0" borderId="0" xfId="0" applyNumberFormat="1" applyFont="1" applyAlignment="1">
      <alignment horizontal="right" vertical="center" readingOrder="1"/>
    </xf>
    <xf numFmtId="0" fontId="22" fillId="0" borderId="10" xfId="0" applyFont="1" applyBorder="1" applyAlignment="1">
      <alignment horizontal="left" vertical="center" readingOrder="1"/>
    </xf>
    <xf numFmtId="3" fontId="35" fillId="0" borderId="10" xfId="0" applyNumberFormat="1" applyFont="1" applyBorder="1" applyAlignment="1">
      <alignment horizontal="right" vertical="center" readingOrder="1"/>
    </xf>
    <xf numFmtId="3" fontId="22" fillId="0" borderId="10" xfId="0" applyNumberFormat="1" applyFont="1" applyBorder="1" applyAlignment="1">
      <alignment horizontal="right" vertical="center" readingOrder="1"/>
    </xf>
    <xf numFmtId="171" fontId="35" fillId="0" borderId="10" xfId="0" applyNumberFormat="1" applyFont="1" applyBorder="1" applyAlignment="1">
      <alignment horizontal="right" vertical="center" readingOrder="1"/>
    </xf>
    <xf numFmtId="168" fontId="35" fillId="0" borderId="10" xfId="0" applyNumberFormat="1" applyFont="1" applyBorder="1" applyAlignment="1">
      <alignment horizontal="right" vertical="center" wrapText="1" readingOrder="1"/>
    </xf>
    <xf numFmtId="3" fontId="38" fillId="0" borderId="10" xfId="0" applyNumberFormat="1" applyFont="1" applyBorder="1" applyAlignment="1">
      <alignment horizontal="right" vertical="center" readingOrder="1"/>
    </xf>
    <xf numFmtId="0" fontId="23" fillId="0" borderId="2" xfId="0" applyFont="1" applyBorder="1" applyAlignment="1">
      <alignment horizontal="left" vertical="center" readingOrder="1"/>
    </xf>
    <xf numFmtId="3" fontId="32" fillId="0" borderId="2" xfId="0" applyNumberFormat="1" applyFont="1" applyBorder="1" applyAlignment="1">
      <alignment horizontal="right" vertical="center" readingOrder="1"/>
    </xf>
    <xf numFmtId="3" fontId="23" fillId="0" borderId="2" xfId="0" applyNumberFormat="1" applyFont="1" applyBorder="1" applyAlignment="1">
      <alignment horizontal="right" vertical="center" readingOrder="1"/>
    </xf>
    <xf numFmtId="171" fontId="32" fillId="0" borderId="4" xfId="0" applyNumberFormat="1" applyFont="1" applyBorder="1" applyAlignment="1">
      <alignment horizontal="right" vertical="center" readingOrder="1"/>
    </xf>
    <xf numFmtId="168" fontId="32" fillId="0" borderId="4" xfId="0" applyNumberFormat="1" applyFont="1" applyBorder="1" applyAlignment="1">
      <alignment horizontal="right" vertical="center" wrapText="1" readingOrder="1"/>
    </xf>
    <xf numFmtId="3" fontId="31" fillId="0" borderId="2" xfId="0" applyNumberFormat="1" applyFont="1" applyBorder="1" applyAlignment="1">
      <alignment horizontal="right" vertical="center" readingOrder="1"/>
    </xf>
    <xf numFmtId="0" fontId="31" fillId="0" borderId="4" xfId="0" applyFont="1" applyBorder="1" applyAlignment="1">
      <alignment horizontal="left" vertical="center" readingOrder="1"/>
    </xf>
    <xf numFmtId="181" fontId="35" fillId="0" borderId="0" xfId="0" applyNumberFormat="1" applyFont="1" applyAlignment="1">
      <alignment horizontal="right" vertical="center" readingOrder="1"/>
    </xf>
    <xf numFmtId="3" fontId="31" fillId="0" borderId="0" xfId="0" applyNumberFormat="1" applyFont="1" applyAlignment="1">
      <alignment horizontal="right" vertical="center" wrapText="1" readingOrder="1"/>
    </xf>
    <xf numFmtId="181" fontId="32" fillId="0" borderId="18" xfId="0" applyNumberFormat="1" applyFont="1" applyBorder="1" applyAlignment="1">
      <alignment horizontal="right" vertical="center" readingOrder="1"/>
    </xf>
    <xf numFmtId="167" fontId="32" fillId="0" borderId="18" xfId="0" applyNumberFormat="1" applyFont="1" applyBorder="1" applyAlignment="1">
      <alignment horizontal="right" vertical="center" wrapText="1" readingOrder="1"/>
    </xf>
    <xf numFmtId="3" fontId="31" fillId="0" borderId="18" xfId="0" applyNumberFormat="1" applyFont="1" applyBorder="1" applyAlignment="1">
      <alignment horizontal="right" vertical="center" wrapText="1" readingOrder="1"/>
    </xf>
    <xf numFmtId="168" fontId="32" fillId="0" borderId="18" xfId="0" applyNumberFormat="1" applyFont="1" applyBorder="1" applyAlignment="1">
      <alignment horizontal="right" vertical="center" wrapText="1" readingOrder="1"/>
    </xf>
    <xf numFmtId="0" fontId="22" fillId="0" borderId="21" xfId="0" applyFont="1" applyBorder="1" applyAlignment="1">
      <alignment horizontal="left" vertical="center" readingOrder="1"/>
    </xf>
    <xf numFmtId="187" fontId="35" fillId="0" borderId="21" xfId="0" applyNumberFormat="1" applyFont="1" applyBorder="1" applyAlignment="1">
      <alignment horizontal="right" vertical="center" readingOrder="1"/>
    </xf>
    <xf numFmtId="188" fontId="35" fillId="0" borderId="21" xfId="0" applyNumberFormat="1" applyFont="1" applyBorder="1" applyAlignment="1">
      <alignment horizontal="right" vertical="center" readingOrder="1"/>
    </xf>
    <xf numFmtId="168" fontId="35" fillId="0" borderId="21" xfId="0" applyNumberFormat="1" applyFont="1" applyBorder="1" applyAlignment="1">
      <alignment horizontal="right" vertical="center" wrapText="1" readingOrder="1"/>
    </xf>
    <xf numFmtId="187" fontId="38" fillId="0" borderId="21" xfId="0" applyNumberFormat="1" applyFont="1" applyBorder="1" applyAlignment="1">
      <alignment horizontal="right" vertical="center" wrapText="1" readingOrder="1"/>
    </xf>
    <xf numFmtId="9" fontId="34" fillId="2" borderId="6" xfId="2" applyFont="1" applyFill="1" applyBorder="1" applyAlignment="1">
      <alignment horizontal="right" vertical="center" readingOrder="1"/>
    </xf>
    <xf numFmtId="9" fontId="35" fillId="0" borderId="6" xfId="2" applyFont="1" applyFill="1" applyBorder="1" applyAlignment="1">
      <alignment horizontal="right" vertical="center" readingOrder="1"/>
    </xf>
    <xf numFmtId="9" fontId="22" fillId="0" borderId="6" xfId="2" applyFont="1" applyBorder="1" applyAlignment="1">
      <alignment horizontal="right" vertical="center" readingOrder="1"/>
    </xf>
    <xf numFmtId="167" fontId="35" fillId="0" borderId="20" xfId="2" applyNumberFormat="1" applyFont="1" applyBorder="1" applyAlignment="1">
      <alignment horizontal="right" vertical="center" wrapText="1" readingOrder="1"/>
    </xf>
    <xf numFmtId="9" fontId="35" fillId="0" borderId="6" xfId="2" applyFont="1" applyFill="1" applyBorder="1" applyAlignment="1">
      <alignment horizontal="right" vertical="center" wrapText="1" readingOrder="1"/>
    </xf>
    <xf numFmtId="9" fontId="36" fillId="5" borderId="15" xfId="2" applyFont="1" applyFill="1" applyBorder="1" applyAlignment="1">
      <alignment horizontal="right" vertical="center" readingOrder="1"/>
    </xf>
    <xf numFmtId="9" fontId="32" fillId="0" borderId="15" xfId="2" applyFont="1" applyFill="1" applyBorder="1" applyAlignment="1">
      <alignment horizontal="right" vertical="center" readingOrder="1"/>
    </xf>
    <xf numFmtId="9" fontId="32" fillId="5" borderId="15" xfId="2" applyFont="1" applyFill="1" applyBorder="1" applyAlignment="1">
      <alignment horizontal="right" vertical="center" readingOrder="1"/>
    </xf>
    <xf numFmtId="9" fontId="23" fillId="0" borderId="15" xfId="2" applyFont="1" applyBorder="1" applyAlignment="1">
      <alignment horizontal="right" vertical="center" readingOrder="1"/>
    </xf>
    <xf numFmtId="167" fontId="35" fillId="0" borderId="15" xfId="2" applyNumberFormat="1" applyFont="1" applyBorder="1" applyAlignment="1">
      <alignment horizontal="right" vertical="center" wrapText="1" readingOrder="1"/>
    </xf>
    <xf numFmtId="9" fontId="32" fillId="0" borderId="15" xfId="2" applyFont="1" applyFill="1" applyBorder="1" applyAlignment="1">
      <alignment horizontal="right" vertical="center" wrapText="1" readingOrder="1"/>
    </xf>
    <xf numFmtId="3" fontId="35" fillId="0" borderId="5" xfId="0" applyNumberFormat="1" applyFont="1" applyBorder="1" applyAlignment="1">
      <alignment horizontal="right" vertical="center" readingOrder="1"/>
    </xf>
    <xf numFmtId="3" fontId="22" fillId="0" borderId="5" xfId="0" applyNumberFormat="1" applyFont="1" applyBorder="1" applyAlignment="1">
      <alignment horizontal="right" vertical="center" readingOrder="1"/>
    </xf>
    <xf numFmtId="171" fontId="35" fillId="0" borderId="5" xfId="2" applyNumberFormat="1" applyFont="1" applyBorder="1" applyAlignment="1">
      <alignment horizontal="right" vertical="center" wrapText="1" readingOrder="1"/>
    </xf>
    <xf numFmtId="3" fontId="33" fillId="0" borderId="5" xfId="0" applyNumberFormat="1" applyFont="1" applyBorder="1" applyAlignment="1">
      <alignment horizontal="right" vertical="center" wrapText="1" readingOrder="1"/>
    </xf>
    <xf numFmtId="3" fontId="35" fillId="0" borderId="9" xfId="0" applyNumberFormat="1" applyFont="1" applyBorder="1" applyAlignment="1">
      <alignment horizontal="right" vertical="center" readingOrder="1"/>
    </xf>
    <xf numFmtId="3" fontId="22" fillId="0" borderId="9" xfId="0" applyNumberFormat="1" applyFont="1" applyBorder="1" applyAlignment="1">
      <alignment horizontal="right" vertical="center" readingOrder="1"/>
    </xf>
    <xf numFmtId="3" fontId="33" fillId="0" borderId="9" xfId="0" applyNumberFormat="1" applyFont="1" applyBorder="1" applyAlignment="1">
      <alignment horizontal="right" vertical="center" wrapText="1" readingOrder="1"/>
    </xf>
    <xf numFmtId="9" fontId="36" fillId="5" borderId="15" xfId="2" applyFont="1" applyFill="1" applyBorder="1" applyAlignment="1">
      <alignment horizontal="right" vertical="center" wrapText="1" readingOrder="1"/>
    </xf>
    <xf numFmtId="165" fontId="23" fillId="0" borderId="15" xfId="2" applyNumberFormat="1" applyFont="1" applyBorder="1" applyAlignment="1">
      <alignment horizontal="right" vertical="center" readingOrder="1"/>
    </xf>
    <xf numFmtId="9" fontId="33" fillId="0" borderId="15" xfId="2" applyFont="1" applyFill="1" applyBorder="1" applyAlignment="1">
      <alignment horizontal="right" vertical="center" wrapText="1" readingOrder="1"/>
    </xf>
    <xf numFmtId="0" fontId="23" fillId="25" borderId="0" xfId="0" applyFont="1" applyFill="1" applyAlignment="1">
      <alignment vertical="center" readingOrder="1"/>
    </xf>
    <xf numFmtId="9" fontId="35" fillId="2" borderId="6" xfId="2" applyFont="1" applyFill="1" applyBorder="1" applyAlignment="1">
      <alignment horizontal="right" vertical="center" readingOrder="1"/>
    </xf>
    <xf numFmtId="0" fontId="30" fillId="25" borderId="0" xfId="0" applyFont="1" applyFill="1" applyAlignment="1">
      <alignment vertical="center" readingOrder="1"/>
    </xf>
    <xf numFmtId="3" fontId="77" fillId="10" borderId="8" xfId="2" applyNumberFormat="1" applyFont="1" applyFill="1" applyBorder="1" applyAlignment="1">
      <alignment horizontal="right" vertical="center" readingOrder="1"/>
    </xf>
    <xf numFmtId="3" fontId="77" fillId="10" borderId="5" xfId="2" applyNumberFormat="1" applyFont="1" applyFill="1" applyBorder="1" applyAlignment="1">
      <alignment horizontal="right" vertical="center" readingOrder="1"/>
    </xf>
    <xf numFmtId="3" fontId="77" fillId="10" borderId="6" xfId="2" applyNumberFormat="1" applyFont="1" applyFill="1" applyBorder="1" applyAlignment="1">
      <alignment horizontal="right" vertical="center" readingOrder="1"/>
    </xf>
    <xf numFmtId="9" fontId="22" fillId="0" borderId="9" xfId="0" applyNumberFormat="1" applyFont="1" applyBorder="1" applyAlignment="1">
      <alignment horizontal="right" vertical="center" wrapText="1" readingOrder="1"/>
    </xf>
    <xf numFmtId="167" fontId="35" fillId="0" borderId="9" xfId="2" applyNumberFormat="1" applyFont="1" applyBorder="1" applyAlignment="1">
      <alignment horizontal="right" vertical="center" wrapText="1" readingOrder="1"/>
    </xf>
    <xf numFmtId="9" fontId="35" fillId="0" borderId="5" xfId="0" applyNumberFormat="1" applyFont="1" applyBorder="1" applyAlignment="1">
      <alignment horizontal="right" vertical="center" wrapText="1" readingOrder="1"/>
    </xf>
    <xf numFmtId="9" fontId="35" fillId="2" borderId="5" xfId="0" applyNumberFormat="1" applyFont="1" applyFill="1" applyBorder="1" applyAlignment="1">
      <alignment horizontal="right" vertical="center" wrapText="1" readingOrder="1"/>
    </xf>
    <xf numFmtId="1" fontId="34" fillId="0" borderId="17" xfId="0" applyNumberFormat="1" applyFont="1" applyBorder="1" applyAlignment="1">
      <alignment horizontal="right" vertical="center" wrapText="1" readingOrder="1"/>
    </xf>
    <xf numFmtId="1" fontId="35" fillId="0" borderId="17" xfId="0" applyNumberFormat="1" applyFont="1" applyBorder="1" applyAlignment="1">
      <alignment horizontal="right" vertical="center" wrapText="1" readingOrder="1"/>
    </xf>
    <xf numFmtId="1" fontId="35" fillId="2" borderId="17" xfId="0" applyNumberFormat="1" applyFont="1" applyFill="1" applyBorder="1" applyAlignment="1">
      <alignment horizontal="right" vertical="center" wrapText="1" readingOrder="1"/>
    </xf>
    <xf numFmtId="3" fontId="23" fillId="0" borderId="17" xfId="0" applyNumberFormat="1" applyFont="1" applyBorder="1" applyAlignment="1">
      <alignment horizontal="right" vertical="center" wrapText="1" readingOrder="1"/>
    </xf>
    <xf numFmtId="9" fontId="22" fillId="0" borderId="17" xfId="0" applyNumberFormat="1" applyFont="1" applyBorder="1" applyAlignment="1">
      <alignment horizontal="right" vertical="center" wrapText="1" readingOrder="1"/>
    </xf>
    <xf numFmtId="167" fontId="35" fillId="0" borderId="17" xfId="2" applyNumberFormat="1" applyFont="1" applyBorder="1" applyAlignment="1">
      <alignment horizontal="right" vertical="center" wrapText="1" readingOrder="1"/>
    </xf>
    <xf numFmtId="3" fontId="34" fillId="0" borderId="17" xfId="0" applyNumberFormat="1" applyFont="1" applyBorder="1" applyAlignment="1">
      <alignment horizontal="right" vertical="center" wrapText="1" readingOrder="1"/>
    </xf>
    <xf numFmtId="3" fontId="23" fillId="0" borderId="4" xfId="0" applyNumberFormat="1" applyFont="1" applyBorder="1" applyAlignment="1">
      <alignment horizontal="right" vertical="center" wrapText="1" readingOrder="1"/>
    </xf>
    <xf numFmtId="3" fontId="23" fillId="0" borderId="21" xfId="0" applyNumberFormat="1" applyFont="1" applyBorder="1" applyAlignment="1">
      <alignment horizontal="right" vertical="center" wrapText="1" readingOrder="1"/>
    </xf>
    <xf numFmtId="3" fontId="35" fillId="0" borderId="5" xfId="2" applyNumberFormat="1" applyFont="1" applyFill="1" applyBorder="1" applyAlignment="1">
      <alignment horizontal="right" vertical="center" wrapText="1" readingOrder="1"/>
    </xf>
    <xf numFmtId="3" fontId="32" fillId="0" borderId="21" xfId="0" applyNumberFormat="1" applyFont="1" applyBorder="1" applyAlignment="1">
      <alignment horizontal="right" vertical="center" wrapText="1" readingOrder="1"/>
    </xf>
    <xf numFmtId="3" fontId="22" fillId="0" borderId="4" xfId="0" applyNumberFormat="1" applyFont="1" applyBorder="1" applyAlignment="1">
      <alignment horizontal="right" vertical="center" wrapText="1" readingOrder="1"/>
    </xf>
    <xf numFmtId="3" fontId="22" fillId="0" borderId="6" xfId="0" applyNumberFormat="1" applyFont="1" applyBorder="1" applyAlignment="1">
      <alignment horizontal="right" vertical="center" wrapText="1" readingOrder="1"/>
    </xf>
    <xf numFmtId="3" fontId="22" fillId="0" borderId="5" xfId="0" applyNumberFormat="1" applyFont="1" applyBorder="1" applyAlignment="1">
      <alignment horizontal="right" vertical="center" wrapText="1" readingOrder="1"/>
    </xf>
    <xf numFmtId="3" fontId="22" fillId="0" borderId="8" xfId="0" applyNumberFormat="1" applyFont="1" applyBorder="1" applyAlignment="1">
      <alignment horizontal="right" vertical="center" wrapText="1" readingOrder="1"/>
    </xf>
    <xf numFmtId="195" fontId="35" fillId="0" borderId="4" xfId="2" applyNumberFormat="1" applyFont="1" applyBorder="1" applyAlignment="1">
      <alignment horizontal="right" vertical="center" wrapText="1" readingOrder="1"/>
    </xf>
    <xf numFmtId="195" fontId="35" fillId="0" borderId="6" xfId="2" applyNumberFormat="1" applyFont="1" applyBorder="1" applyAlignment="1">
      <alignment horizontal="right" vertical="center" wrapText="1" readingOrder="1"/>
    </xf>
    <xf numFmtId="195" fontId="35" fillId="0" borderId="9" xfId="0" applyNumberFormat="1" applyFont="1" applyBorder="1" applyAlignment="1">
      <alignment horizontal="right" vertical="center" readingOrder="1"/>
    </xf>
    <xf numFmtId="195" fontId="32" fillId="0" borderId="21" xfId="2" applyNumberFormat="1" applyFont="1" applyBorder="1" applyAlignment="1">
      <alignment horizontal="right" vertical="center" wrapText="1" readingOrder="1"/>
    </xf>
    <xf numFmtId="195" fontId="32" fillId="0" borderId="6" xfId="2" applyNumberFormat="1" applyFont="1" applyBorder="1" applyAlignment="1">
      <alignment horizontal="right" vertical="center" wrapText="1" readingOrder="1"/>
    </xf>
    <xf numFmtId="195" fontId="32" fillId="0" borderId="10" xfId="0" applyNumberFormat="1" applyFont="1" applyBorder="1" applyAlignment="1">
      <alignment horizontal="right" vertical="center" readingOrder="1"/>
    </xf>
    <xf numFmtId="9" fontId="35" fillId="0" borderId="4" xfId="2" applyFont="1" applyBorder="1" applyAlignment="1">
      <alignment horizontal="right" vertical="center" wrapText="1" readingOrder="1"/>
    </xf>
    <xf numFmtId="9" fontId="35" fillId="0" borderId="6" xfId="2" applyFont="1" applyBorder="1" applyAlignment="1">
      <alignment horizontal="right" vertical="center" wrapText="1" readingOrder="1"/>
    </xf>
    <xf numFmtId="9" fontId="35" fillId="0" borderId="9" xfId="2" applyFont="1" applyBorder="1" applyAlignment="1">
      <alignment horizontal="right" vertical="center" readingOrder="1"/>
    </xf>
    <xf numFmtId="9" fontId="32" fillId="0" borderId="21" xfId="2" applyFont="1" applyBorder="1" applyAlignment="1">
      <alignment horizontal="right" vertical="center" wrapText="1" readingOrder="1"/>
    </xf>
    <xf numFmtId="9" fontId="32" fillId="0" borderId="6" xfId="2" applyFont="1" applyBorder="1" applyAlignment="1">
      <alignment horizontal="right" vertical="center" wrapText="1" readingOrder="1"/>
    </xf>
    <xf numFmtId="9" fontId="32" fillId="0" borderId="10" xfId="2" applyFont="1" applyBorder="1" applyAlignment="1">
      <alignment horizontal="right" vertical="center" readingOrder="1"/>
    </xf>
    <xf numFmtId="0" fontId="23" fillId="0" borderId="7" xfId="0" applyFont="1" applyBorder="1" applyAlignment="1">
      <alignment vertical="center" wrapText="1" readingOrder="1"/>
    </xf>
    <xf numFmtId="0" fontId="23" fillId="0" borderId="7" xfId="0" applyFont="1" applyBorder="1" applyAlignment="1">
      <alignment horizontal="left" vertical="center" wrapText="1" readingOrder="1"/>
    </xf>
    <xf numFmtId="0" fontId="15" fillId="0" borderId="4" xfId="0" applyFont="1" applyBorder="1" applyAlignment="1">
      <alignment horizontal="left" vertical="center" readingOrder="1"/>
    </xf>
    <xf numFmtId="173" fontId="25" fillId="2" borderId="4" xfId="0" applyNumberFormat="1" applyFont="1" applyFill="1" applyBorder="1" applyAlignment="1">
      <alignment horizontal="right" vertical="center" wrapText="1" readingOrder="1"/>
    </xf>
    <xf numFmtId="173" fontId="16" fillId="0" borderId="4" xfId="0" applyNumberFormat="1" applyFont="1" applyBorder="1" applyAlignment="1">
      <alignment horizontal="right" vertical="center" readingOrder="1"/>
    </xf>
    <xf numFmtId="173" fontId="15" fillId="0" borderId="4" xfId="0" applyNumberFormat="1" applyFont="1" applyBorder="1" applyAlignment="1">
      <alignment horizontal="right" vertical="center" readingOrder="1"/>
    </xf>
    <xf numFmtId="196" fontId="16" fillId="0" borderId="4" xfId="2" applyNumberFormat="1" applyFont="1" applyBorder="1" applyAlignment="1">
      <alignment horizontal="right" vertical="center" wrapText="1" readingOrder="1"/>
    </xf>
    <xf numFmtId="173" fontId="96" fillId="0" borderId="4" xfId="0" applyNumberFormat="1" applyFont="1" applyBorder="1" applyAlignment="1">
      <alignment horizontal="right" vertical="center" wrapText="1" readingOrder="1"/>
    </xf>
    <xf numFmtId="173" fontId="16" fillId="0" borderId="0" xfId="0" applyNumberFormat="1" applyFont="1" applyAlignment="1">
      <alignment horizontal="right" vertical="center" readingOrder="1"/>
    </xf>
    <xf numFmtId="173" fontId="15" fillId="0" borderId="0" xfId="0" applyNumberFormat="1" applyFont="1" applyAlignment="1">
      <alignment horizontal="right" vertical="center" readingOrder="1"/>
    </xf>
    <xf numFmtId="196" fontId="16" fillId="0" borderId="0" xfId="0" applyNumberFormat="1" applyFont="1" applyAlignment="1">
      <alignment horizontal="right" vertical="center" readingOrder="1"/>
    </xf>
    <xf numFmtId="173" fontId="96" fillId="0" borderId="0" xfId="0" applyNumberFormat="1" applyFont="1" applyAlignment="1">
      <alignment horizontal="right" vertical="center" wrapText="1" readingOrder="1"/>
    </xf>
    <xf numFmtId="0" fontId="15" fillId="0" borderId="18" xfId="0" applyFont="1" applyBorder="1" applyAlignment="1">
      <alignment horizontal="left" vertical="center" readingOrder="1"/>
    </xf>
    <xf numFmtId="0" fontId="25" fillId="30" borderId="18" xfId="0" applyFont="1" applyFill="1" applyBorder="1" applyAlignment="1">
      <alignment horizontal="right" vertical="center"/>
    </xf>
    <xf numFmtId="3" fontId="25" fillId="30" borderId="18" xfId="0" applyNumberFormat="1" applyFont="1" applyFill="1" applyBorder="1" applyAlignment="1">
      <alignment horizontal="right" vertical="center" wrapText="1" readingOrder="1"/>
    </xf>
    <xf numFmtId="0" fontId="16" fillId="30" borderId="18" xfId="0" applyFont="1" applyFill="1" applyBorder="1" applyAlignment="1">
      <alignment horizontal="right" vertical="center"/>
    </xf>
    <xf numFmtId="3" fontId="16" fillId="6" borderId="18" xfId="0" applyNumberFormat="1" applyFont="1" applyFill="1" applyBorder="1" applyAlignment="1">
      <alignment horizontal="right" vertical="center" readingOrder="1"/>
    </xf>
    <xf numFmtId="3" fontId="15" fillId="6" borderId="18" xfId="0" applyNumberFormat="1" applyFont="1" applyFill="1" applyBorder="1" applyAlignment="1">
      <alignment horizontal="right" vertical="center" readingOrder="1"/>
    </xf>
    <xf numFmtId="196" fontId="16" fillId="6" borderId="18" xfId="0" applyNumberFormat="1" applyFont="1" applyFill="1" applyBorder="1" applyAlignment="1">
      <alignment horizontal="right" vertical="center" readingOrder="1"/>
    </xf>
    <xf numFmtId="168" fontId="16" fillId="6" borderId="18" xfId="0" applyNumberFormat="1" applyFont="1" applyFill="1" applyBorder="1" applyAlignment="1">
      <alignment horizontal="right" vertical="center" wrapText="1" readingOrder="1"/>
    </xf>
    <xf numFmtId="173" fontId="17" fillId="0" borderId="15" xfId="0" applyNumberFormat="1" applyFont="1" applyBorder="1" applyAlignment="1">
      <alignment horizontal="right" vertical="center" readingOrder="1"/>
    </xf>
    <xf numFmtId="173" fontId="13" fillId="0" borderId="15" xfId="0" applyNumberFormat="1" applyFont="1" applyBorder="1" applyAlignment="1">
      <alignment horizontal="right" vertical="center" readingOrder="1"/>
    </xf>
    <xf numFmtId="196" fontId="17" fillId="0" borderId="15" xfId="0" applyNumberFormat="1" applyFont="1" applyBorder="1" applyAlignment="1">
      <alignment horizontal="right" vertical="center" readingOrder="1"/>
    </xf>
    <xf numFmtId="173" fontId="96" fillId="0" borderId="15" xfId="0" applyNumberFormat="1" applyFont="1" applyBorder="1" applyAlignment="1">
      <alignment horizontal="right" vertical="center" wrapText="1" readingOrder="1"/>
    </xf>
    <xf numFmtId="0" fontId="13" fillId="0" borderId="2" xfId="0" applyFont="1" applyBorder="1" applyAlignment="1">
      <alignment horizontal="left" vertical="center" readingOrder="1"/>
    </xf>
    <xf numFmtId="3" fontId="24" fillId="0" borderId="2" xfId="0" applyNumberFormat="1" applyFont="1" applyBorder="1" applyAlignment="1">
      <alignment horizontal="right" vertical="center" readingOrder="1"/>
    </xf>
    <xf numFmtId="3" fontId="24" fillId="2" borderId="2" xfId="0" applyNumberFormat="1" applyFont="1" applyFill="1" applyBorder="1" applyAlignment="1">
      <alignment horizontal="right" vertical="center" wrapText="1" readingOrder="1"/>
    </xf>
    <xf numFmtId="3" fontId="17" fillId="0" borderId="2" xfId="0" applyNumberFormat="1" applyFont="1" applyBorder="1" applyAlignment="1">
      <alignment horizontal="right" vertical="center" readingOrder="1"/>
    </xf>
    <xf numFmtId="3" fontId="13" fillId="0" borderId="2" xfId="0" applyNumberFormat="1" applyFont="1" applyBorder="1" applyAlignment="1">
      <alignment horizontal="right" vertical="center" readingOrder="1"/>
    </xf>
    <xf numFmtId="171" fontId="16" fillId="0" borderId="2" xfId="0" applyNumberFormat="1" applyFont="1" applyBorder="1" applyAlignment="1">
      <alignment horizontal="right" vertical="center" readingOrder="1"/>
    </xf>
    <xf numFmtId="168" fontId="17" fillId="0" borderId="4" xfId="0" applyNumberFormat="1" applyFont="1" applyBorder="1" applyAlignment="1">
      <alignment horizontal="right" vertical="center" wrapText="1" readingOrder="1"/>
    </xf>
    <xf numFmtId="3" fontId="15" fillId="0" borderId="2" xfId="0" applyNumberFormat="1" applyFont="1" applyBorder="1" applyAlignment="1">
      <alignment horizontal="right" vertical="center" readingOrder="1"/>
    </xf>
    <xf numFmtId="0" fontId="13" fillId="0" borderId="0" xfId="0" applyFont="1" applyAlignment="1">
      <alignment horizontal="left" vertical="center" readingOrder="1"/>
    </xf>
    <xf numFmtId="3" fontId="24" fillId="0" borderId="0" xfId="0" applyNumberFormat="1" applyFont="1" applyAlignment="1">
      <alignment horizontal="right" vertical="center" readingOrder="1"/>
    </xf>
    <xf numFmtId="3" fontId="17" fillId="0" borderId="0" xfId="0" applyNumberFormat="1" applyFont="1" applyAlignment="1">
      <alignment horizontal="right" vertical="center" readingOrder="1"/>
    </xf>
    <xf numFmtId="3" fontId="13" fillId="0" borderId="0" xfId="0" applyNumberFormat="1" applyFont="1" applyAlignment="1">
      <alignment horizontal="right" vertical="center" readingOrder="1"/>
    </xf>
    <xf numFmtId="171" fontId="16" fillId="0" borderId="0" xfId="0" applyNumberFormat="1" applyFont="1" applyAlignment="1">
      <alignment horizontal="right" vertical="center" readingOrder="1"/>
    </xf>
    <xf numFmtId="0" fontId="24" fillId="0" borderId="0" xfId="0" applyFont="1" applyAlignment="1">
      <alignment horizontal="left" vertical="center" readingOrder="1"/>
    </xf>
    <xf numFmtId="171" fontId="19" fillId="0" borderId="0" xfId="0" applyNumberFormat="1" applyFont="1" applyAlignment="1">
      <alignment horizontal="right" vertical="center" readingOrder="1"/>
    </xf>
    <xf numFmtId="168" fontId="48" fillId="0" borderId="0" xfId="0" applyNumberFormat="1" applyFont="1" applyAlignment="1">
      <alignment horizontal="right" vertical="center" wrapText="1" readingOrder="1"/>
    </xf>
    <xf numFmtId="3" fontId="24" fillId="0" borderId="0" xfId="0" applyNumberFormat="1" applyFont="1" applyAlignment="1">
      <alignment horizontal="right" vertical="center" wrapText="1" readingOrder="1"/>
    </xf>
    <xf numFmtId="3" fontId="15" fillId="0" borderId="0" xfId="0" applyNumberFormat="1" applyFont="1" applyAlignment="1">
      <alignment horizontal="right" vertical="center" readingOrder="1"/>
    </xf>
    <xf numFmtId="3" fontId="24" fillId="5" borderId="2" xfId="0" applyNumberFormat="1" applyFont="1" applyFill="1" applyBorder="1" applyAlignment="1">
      <alignment horizontal="right" vertical="center" readingOrder="1"/>
    </xf>
    <xf numFmtId="171" fontId="19" fillId="0" borderId="2" xfId="0" applyNumberFormat="1" applyFont="1" applyBorder="1" applyAlignment="1">
      <alignment horizontal="right" vertical="center" readingOrder="1"/>
    </xf>
    <xf numFmtId="168" fontId="48" fillId="0" borderId="2" xfId="0" applyNumberFormat="1" applyFont="1" applyBorder="1" applyAlignment="1">
      <alignment horizontal="right" vertical="center" wrapText="1" readingOrder="1"/>
    </xf>
    <xf numFmtId="168" fontId="17" fillId="0" borderId="2" xfId="0" applyNumberFormat="1" applyFont="1" applyBorder="1" applyAlignment="1">
      <alignment horizontal="right" vertical="center" wrapText="1" readingOrder="1"/>
    </xf>
    <xf numFmtId="3" fontId="17" fillId="0" borderId="0" xfId="2" applyNumberFormat="1" applyFont="1" applyBorder="1" applyAlignment="1">
      <alignment horizontal="right" vertical="center" readingOrder="1"/>
    </xf>
    <xf numFmtId="197" fontId="19" fillId="0" borderId="18" xfId="0" applyNumberFormat="1" applyFont="1" applyBorder="1" applyAlignment="1">
      <alignment horizontal="right" vertical="center" readingOrder="1"/>
    </xf>
    <xf numFmtId="168" fontId="17" fillId="0" borderId="18" xfId="0" applyNumberFormat="1" applyFont="1" applyBorder="1" applyAlignment="1">
      <alignment horizontal="right" vertical="center" wrapText="1" readingOrder="1"/>
    </xf>
    <xf numFmtId="0" fontId="22" fillId="0" borderId="0" xfId="0" applyFont="1" applyAlignment="1">
      <alignment horizontal="left" vertical="center" wrapText="1" readingOrder="1"/>
    </xf>
    <xf numFmtId="0" fontId="22" fillId="0" borderId="5" xfId="0" applyFont="1" applyBorder="1" applyAlignment="1">
      <alignment horizontal="left" vertical="center" readingOrder="1"/>
    </xf>
    <xf numFmtId="0" fontId="22" fillId="0" borderId="6" xfId="0" applyFont="1" applyBorder="1" applyAlignment="1">
      <alignment horizontal="left" vertical="center" readingOrder="1"/>
    </xf>
    <xf numFmtId="0" fontId="22" fillId="0" borderId="9" xfId="0" applyFont="1" applyBorder="1" applyAlignment="1">
      <alignment horizontal="left" vertical="center" readingOrder="1"/>
    </xf>
    <xf numFmtId="0" fontId="22" fillId="0" borderId="18" xfId="0" applyFont="1" applyBorder="1" applyAlignment="1">
      <alignment horizontal="left" vertical="center" wrapText="1" readingOrder="1"/>
    </xf>
    <xf numFmtId="0" fontId="22" fillId="0" borderId="10" xfId="0" applyFont="1" applyBorder="1" applyAlignment="1">
      <alignment horizontal="left" vertical="center" wrapText="1" readingOrder="1"/>
    </xf>
    <xf numFmtId="0" fontId="20" fillId="0" borderId="0" xfId="0" applyFont="1" applyAlignment="1">
      <alignment horizontal="center" vertical="center" wrapText="1"/>
    </xf>
    <xf numFmtId="0" fontId="21" fillId="0" borderId="0" xfId="0" applyFont="1" applyAlignment="1">
      <alignment horizontal="center" vertical="center" wrapText="1"/>
    </xf>
    <xf numFmtId="9" fontId="20" fillId="0" borderId="0" xfId="2" applyFont="1" applyAlignment="1">
      <alignment horizontal="center" vertical="center" wrapText="1"/>
    </xf>
    <xf numFmtId="0" fontId="21" fillId="5" borderId="43" xfId="0" applyFont="1" applyFill="1" applyBorder="1" applyAlignment="1">
      <alignment horizontal="center" vertical="center" wrapText="1"/>
    </xf>
    <xf numFmtId="0" fontId="21" fillId="5" borderId="44" xfId="0" applyFont="1" applyFill="1" applyBorder="1" applyAlignment="1">
      <alignment horizontal="center" vertical="center" wrapText="1"/>
    </xf>
    <xf numFmtId="0" fontId="21" fillId="5" borderId="44" xfId="0" quotePrefix="1" applyFont="1" applyFill="1" applyBorder="1" applyAlignment="1">
      <alignment horizontal="center" vertical="center" wrapText="1"/>
    </xf>
    <xf numFmtId="0" fontId="21" fillId="5" borderId="45" xfId="0" applyFont="1" applyFill="1" applyBorder="1" applyAlignment="1">
      <alignment horizontal="center" vertical="center" wrapText="1"/>
    </xf>
    <xf numFmtId="0" fontId="20" fillId="0" borderId="46" xfId="0" applyFont="1" applyBorder="1" applyAlignment="1">
      <alignment horizontal="center" vertical="center" wrapText="1"/>
    </xf>
    <xf numFmtId="0" fontId="20" fillId="0" borderId="47" xfId="0" applyFont="1" applyBorder="1" applyAlignment="1">
      <alignment horizontal="center" vertical="center" wrapText="1"/>
    </xf>
    <xf numFmtId="9" fontId="20" fillId="0" borderId="47" xfId="2" applyFont="1" applyFill="1" applyBorder="1" applyAlignment="1">
      <alignment horizontal="center" vertical="center" wrapText="1"/>
    </xf>
    <xf numFmtId="0" fontId="20" fillId="0" borderId="48" xfId="0" applyFont="1" applyBorder="1" applyAlignment="1">
      <alignment horizontal="center" vertical="center" wrapText="1"/>
    </xf>
    <xf numFmtId="0" fontId="20" fillId="0" borderId="0" xfId="0" applyFont="1" applyAlignment="1">
      <alignment vertical="center" wrapText="1"/>
    </xf>
    <xf numFmtId="0" fontId="27" fillId="0" borderId="41" xfId="0" applyFont="1" applyBorder="1" applyAlignment="1">
      <alignment horizontal="left" vertical="center" wrapText="1"/>
    </xf>
    <xf numFmtId="0" fontId="28" fillId="0" borderId="41" xfId="0" applyFont="1" applyBorder="1" applyAlignment="1">
      <alignment horizontal="left" vertical="center" wrapText="1"/>
    </xf>
    <xf numFmtId="0" fontId="27" fillId="0" borderId="0" xfId="0" applyFont="1" applyAlignment="1">
      <alignment horizontal="left" vertical="center" wrapText="1"/>
    </xf>
    <xf numFmtId="0" fontId="28" fillId="0" borderId="0" xfId="0" applyFont="1" applyAlignment="1">
      <alignment horizontal="left" vertical="center" wrapText="1"/>
    </xf>
    <xf numFmtId="0" fontId="29" fillId="0" borderId="0" xfId="0" applyFont="1" applyAlignment="1">
      <alignment vertical="center"/>
    </xf>
    <xf numFmtId="17" fontId="23" fillId="0" borderId="0" xfId="0" applyNumberFormat="1" applyFont="1" applyAlignment="1">
      <alignment horizontal="center" vertical="center" wrapText="1" readingOrder="1"/>
    </xf>
    <xf numFmtId="17" fontId="23" fillId="5" borderId="0" xfId="0" applyNumberFormat="1" applyFont="1" applyFill="1" applyAlignment="1">
      <alignment horizontal="center" vertical="center" wrapText="1" readingOrder="1"/>
    </xf>
    <xf numFmtId="17" fontId="32" fillId="0" borderId="0" xfId="0" applyNumberFormat="1" applyFont="1" applyAlignment="1">
      <alignment horizontal="center" vertical="center" wrapText="1" readingOrder="1"/>
    </xf>
    <xf numFmtId="0" fontId="32" fillId="0" borderId="0" xfId="0" applyFont="1" applyAlignment="1">
      <alignment horizontal="center" vertical="center" wrapText="1" readingOrder="1"/>
    </xf>
    <xf numFmtId="0" fontId="22" fillId="0" borderId="0" xfId="0" applyFont="1" applyAlignment="1">
      <alignment horizontal="center" vertical="center" wrapText="1" readingOrder="1"/>
    </xf>
    <xf numFmtId="0" fontId="23" fillId="0" borderId="0" xfId="0" applyFont="1" applyAlignment="1">
      <alignment horizontal="center" vertical="center" wrapText="1" readingOrder="1"/>
    </xf>
    <xf numFmtId="0" fontId="37" fillId="0" borderId="0" xfId="0" applyFont="1" applyAlignment="1">
      <alignment vertical="center"/>
    </xf>
    <xf numFmtId="0" fontId="23" fillId="0" borderId="0" xfId="0" quotePrefix="1" applyFont="1" applyAlignment="1">
      <alignment horizontal="center" vertical="center" wrapText="1" readingOrder="1"/>
    </xf>
    <xf numFmtId="0" fontId="35" fillId="0" borderId="0" xfId="0" applyFont="1" applyAlignment="1">
      <alignment vertical="center" wrapText="1"/>
    </xf>
    <xf numFmtId="0" fontId="29" fillId="25" borderId="0" xfId="0" applyFont="1" applyFill="1" applyAlignment="1">
      <alignment vertical="center"/>
    </xf>
    <xf numFmtId="0" fontId="35" fillId="0" borderId="0" xfId="0" applyFont="1" applyAlignment="1">
      <alignment horizontal="center" vertical="center" wrapText="1" readingOrder="1"/>
    </xf>
    <xf numFmtId="0" fontId="23" fillId="5" borderId="0" xfId="0" applyFont="1" applyFill="1" applyAlignment="1">
      <alignment horizontal="center" vertical="center" wrapText="1" readingOrder="1"/>
    </xf>
    <xf numFmtId="0" fontId="32" fillId="5" borderId="0" xfId="0" applyFont="1" applyFill="1" applyAlignment="1">
      <alignment horizontal="center" vertical="center" wrapText="1" readingOrder="1"/>
    </xf>
    <xf numFmtId="0" fontId="35" fillId="0" borderId="0" xfId="0" applyFont="1" applyAlignment="1">
      <alignment horizontal="center" vertical="center" readingOrder="1"/>
    </xf>
    <xf numFmtId="0" fontId="35" fillId="6" borderId="0" xfId="0" applyFont="1" applyFill="1" applyAlignment="1">
      <alignment horizontal="center" vertical="center" wrapText="1" readingOrder="1"/>
    </xf>
    <xf numFmtId="0" fontId="23" fillId="7" borderId="0" xfId="0" applyFont="1" applyFill="1" applyAlignment="1">
      <alignment horizontal="center" vertical="center" wrapText="1" readingOrder="1"/>
    </xf>
    <xf numFmtId="0" fontId="23" fillId="6" borderId="0" xfId="0" applyFont="1" applyFill="1" applyAlignment="1">
      <alignment horizontal="center" vertical="center" wrapText="1" readingOrder="1"/>
    </xf>
    <xf numFmtId="166" fontId="29" fillId="0" borderId="0" xfId="0" applyNumberFormat="1" applyFont="1" applyAlignment="1">
      <alignment vertical="center"/>
    </xf>
    <xf numFmtId="0" fontId="29" fillId="0" borderId="5" xfId="0" applyFont="1" applyBorder="1" applyAlignment="1">
      <alignment vertical="center"/>
    </xf>
    <xf numFmtId="0" fontId="29" fillId="0" borderId="6" xfId="0" applyFont="1" applyBorder="1" applyAlignment="1">
      <alignment vertical="center"/>
    </xf>
    <xf numFmtId="0" fontId="37" fillId="0" borderId="6" xfId="0" applyFont="1" applyBorder="1" applyAlignment="1">
      <alignment vertical="center"/>
    </xf>
    <xf numFmtId="0" fontId="37" fillId="0" borderId="7" xfId="0" applyFont="1" applyBorder="1" applyAlignment="1">
      <alignment vertical="center"/>
    </xf>
    <xf numFmtId="0" fontId="29" fillId="0" borderId="9" xfId="0" applyFont="1" applyBorder="1" applyAlignment="1">
      <alignment vertical="center"/>
    </xf>
    <xf numFmtId="0" fontId="29" fillId="0" borderId="8" xfId="0" applyFont="1" applyBorder="1" applyAlignment="1">
      <alignment vertical="center"/>
    </xf>
    <xf numFmtId="0" fontId="37" fillId="0" borderId="9" xfId="0" applyFont="1" applyBorder="1" applyAlignment="1">
      <alignment vertical="center"/>
    </xf>
    <xf numFmtId="0" fontId="29" fillId="0" borderId="7" xfId="0" applyFont="1" applyBorder="1" applyAlignment="1">
      <alignment vertical="center"/>
    </xf>
    <xf numFmtId="0" fontId="37" fillId="0" borderId="22" xfId="0" applyFont="1" applyBorder="1" applyAlignment="1">
      <alignment vertical="center"/>
    </xf>
    <xf numFmtId="0" fontId="29" fillId="0" borderId="22" xfId="0" applyFont="1" applyBorder="1" applyAlignment="1">
      <alignment vertical="center"/>
    </xf>
    <xf numFmtId="0" fontId="42" fillId="14" borderId="9" xfId="0" applyFont="1" applyFill="1" applyBorder="1" applyAlignment="1">
      <alignment vertical="center"/>
    </xf>
    <xf numFmtId="194" fontId="29" fillId="0" borderId="7" xfId="0" applyNumberFormat="1" applyFont="1" applyBorder="1" applyAlignment="1">
      <alignment vertical="center"/>
    </xf>
    <xf numFmtId="3" fontId="37" fillId="0" borderId="7" xfId="0" applyNumberFormat="1" applyFont="1" applyBorder="1" applyAlignment="1">
      <alignment vertical="center"/>
    </xf>
    <xf numFmtId="165" fontId="29" fillId="0" borderId="0" xfId="2" applyNumberFormat="1" applyFont="1" applyAlignment="1">
      <alignment vertical="center"/>
    </xf>
    <xf numFmtId="14" fontId="33" fillId="0" borderId="0" xfId="0" applyNumberFormat="1" applyFont="1" applyAlignment="1">
      <alignment horizontal="center" vertical="center" wrapText="1" readingOrder="1"/>
    </xf>
    <xf numFmtId="9" fontId="29" fillId="0" borderId="0" xfId="2" applyFont="1" applyAlignment="1">
      <alignment vertical="center"/>
    </xf>
    <xf numFmtId="9" fontId="29" fillId="0" borderId="0" xfId="0" applyNumberFormat="1" applyFont="1" applyAlignment="1">
      <alignment vertical="center"/>
    </xf>
    <xf numFmtId="0" fontId="23" fillId="0" borderId="10" xfId="0" applyFont="1" applyBorder="1" applyAlignment="1">
      <alignment horizontal="left" vertical="center" wrapText="1" readingOrder="1"/>
    </xf>
    <xf numFmtId="0" fontId="32" fillId="0" borderId="10" xfId="0" applyFont="1" applyBorder="1" applyAlignment="1">
      <alignment horizontal="center" vertical="center" wrapText="1" readingOrder="1"/>
    </xf>
    <xf numFmtId="0" fontId="23" fillId="2" borderId="10" xfId="0" applyFont="1" applyFill="1" applyBorder="1" applyAlignment="1">
      <alignment horizontal="center" vertical="center" wrapText="1" readingOrder="1"/>
    </xf>
    <xf numFmtId="0" fontId="23" fillId="5" borderId="10" xfId="0" applyFont="1" applyFill="1" applyBorder="1" applyAlignment="1">
      <alignment horizontal="center" vertical="center" wrapText="1" readingOrder="1"/>
    </xf>
    <xf numFmtId="0" fontId="77" fillId="0" borderId="10" xfId="0" applyFont="1" applyBorder="1" applyAlignment="1">
      <alignment horizontal="center" vertical="center" wrapText="1" readingOrder="1"/>
    </xf>
    <xf numFmtId="0" fontId="23" fillId="0" borderId="10" xfId="0" applyFont="1" applyBorder="1" applyAlignment="1">
      <alignment horizontal="center" vertical="center" wrapText="1" readingOrder="1"/>
    </xf>
    <xf numFmtId="0" fontId="29" fillId="0" borderId="10" xfId="0" applyFont="1" applyBorder="1" applyAlignment="1">
      <alignment vertical="center" wrapText="1"/>
    </xf>
    <xf numFmtId="0" fontId="29" fillId="2" borderId="10" xfId="0" applyFont="1" applyFill="1" applyBorder="1" applyAlignment="1">
      <alignment vertical="center"/>
    </xf>
    <xf numFmtId="0" fontId="37" fillId="0" borderId="10" xfId="0" applyFont="1" applyBorder="1" applyAlignment="1">
      <alignment vertical="center" wrapText="1"/>
    </xf>
    <xf numFmtId="0" fontId="37" fillId="5" borderId="10" xfId="0" applyFont="1" applyFill="1" applyBorder="1" applyAlignment="1">
      <alignment vertical="center"/>
    </xf>
    <xf numFmtId="0" fontId="29" fillId="5" borderId="10" xfId="0" applyFont="1" applyFill="1" applyBorder="1" applyAlignment="1">
      <alignment vertical="center" wrapText="1"/>
    </xf>
    <xf numFmtId="0" fontId="29" fillId="0" borderId="26" xfId="0" applyFont="1" applyBorder="1" applyAlignment="1">
      <alignment vertical="center"/>
    </xf>
    <xf numFmtId="0" fontId="29" fillId="0" borderId="27" xfId="0" applyFont="1" applyBorder="1" applyAlignment="1">
      <alignment vertical="center" wrapText="1"/>
    </xf>
    <xf numFmtId="175" fontId="79" fillId="0" borderId="0" xfId="0" applyNumberFormat="1" applyFont="1" applyAlignment="1">
      <alignment vertical="center"/>
    </xf>
    <xf numFmtId="175" fontId="29" fillId="0" borderId="0" xfId="0" applyNumberFormat="1" applyFont="1" applyAlignment="1">
      <alignment vertical="center"/>
    </xf>
    <xf numFmtId="175" fontId="29" fillId="2" borderId="0" xfId="0" applyNumberFormat="1" applyFont="1" applyFill="1" applyAlignment="1">
      <alignment vertical="center"/>
    </xf>
    <xf numFmtId="173" fontId="79" fillId="0" borderId="0" xfId="0" applyNumberFormat="1" applyFont="1" applyAlignment="1">
      <alignment vertical="center"/>
    </xf>
    <xf numFmtId="175" fontId="29" fillId="0" borderId="28" xfId="0" applyNumberFormat="1" applyFont="1" applyBorder="1" applyAlignment="1">
      <alignment vertical="center"/>
    </xf>
    <xf numFmtId="9" fontId="29" fillId="0" borderId="29" xfId="2" applyFont="1" applyBorder="1" applyAlignment="1">
      <alignment vertical="center"/>
    </xf>
    <xf numFmtId="179" fontId="29" fillId="0" borderId="0" xfId="0" applyNumberFormat="1" applyFont="1" applyAlignment="1">
      <alignment vertical="center"/>
    </xf>
    <xf numFmtId="179" fontId="35" fillId="0" borderId="0" xfId="0" applyNumberFormat="1" applyFont="1" applyAlignment="1">
      <alignment vertical="center"/>
    </xf>
    <xf numFmtId="3" fontId="29" fillId="0" borderId="0" xfId="0" applyNumberFormat="1" applyFont="1" applyAlignment="1">
      <alignment vertical="center"/>
    </xf>
    <xf numFmtId="175" fontId="83" fillId="21" borderId="2" xfId="0" applyNumberFormat="1" applyFont="1" applyFill="1" applyBorder="1" applyAlignment="1">
      <alignment vertical="center"/>
    </xf>
    <xf numFmtId="9" fontId="83" fillId="21" borderId="2" xfId="2" applyFont="1" applyFill="1" applyBorder="1" applyAlignment="1">
      <alignment vertical="center"/>
    </xf>
    <xf numFmtId="173" fontId="83" fillId="21" borderId="2" xfId="0" applyNumberFormat="1" applyFont="1" applyFill="1" applyBorder="1" applyAlignment="1">
      <alignment vertical="center"/>
    </xf>
    <xf numFmtId="175" fontId="83" fillId="21" borderId="30" xfId="0" applyNumberFormat="1" applyFont="1" applyFill="1" applyBorder="1" applyAlignment="1">
      <alignment vertical="center"/>
    </xf>
    <xf numFmtId="9" fontId="83" fillId="21" borderId="31" xfId="2" applyFont="1" applyFill="1" applyBorder="1" applyAlignment="1">
      <alignment vertical="center"/>
    </xf>
    <xf numFmtId="179" fontId="83" fillId="21" borderId="2" xfId="0" applyNumberFormat="1" applyFont="1" applyFill="1" applyBorder="1" applyAlignment="1">
      <alignment vertical="center"/>
    </xf>
    <xf numFmtId="179" fontId="81" fillId="21" borderId="2" xfId="0" applyNumberFormat="1" applyFont="1" applyFill="1" applyBorder="1" applyAlignment="1">
      <alignment vertical="center"/>
    </xf>
    <xf numFmtId="175" fontId="83" fillId="0" borderId="2" xfId="0" applyNumberFormat="1" applyFont="1" applyBorder="1" applyAlignment="1">
      <alignment vertical="center"/>
    </xf>
    <xf numFmtId="9" fontId="83" fillId="0" borderId="2" xfId="2" applyFont="1" applyFill="1" applyBorder="1" applyAlignment="1">
      <alignment vertical="center"/>
    </xf>
    <xf numFmtId="173" fontId="83" fillId="0" borderId="2" xfId="0" applyNumberFormat="1" applyFont="1" applyBorder="1" applyAlignment="1">
      <alignment vertical="center"/>
    </xf>
    <xf numFmtId="175" fontId="83" fillId="0" borderId="30" xfId="0" applyNumberFormat="1" applyFont="1" applyBorder="1" applyAlignment="1">
      <alignment vertical="center"/>
    </xf>
    <xf numFmtId="9" fontId="83" fillId="0" borderId="31" xfId="2" applyFont="1" applyFill="1" applyBorder="1" applyAlignment="1">
      <alignment vertical="center"/>
    </xf>
    <xf numFmtId="179" fontId="83" fillId="0" borderId="2" xfId="0" applyNumberFormat="1" applyFont="1" applyBorder="1" applyAlignment="1">
      <alignment vertical="center"/>
    </xf>
    <xf numFmtId="179" fontId="81" fillId="0" borderId="2" xfId="0" applyNumberFormat="1" applyFont="1" applyBorder="1" applyAlignment="1">
      <alignment vertical="center"/>
    </xf>
    <xf numFmtId="167" fontId="29" fillId="0" borderId="0" xfId="0" applyNumberFormat="1" applyFont="1" applyAlignment="1">
      <alignment vertical="center"/>
    </xf>
    <xf numFmtId="1" fontId="29" fillId="0" borderId="0" xfId="0" applyNumberFormat="1" applyFont="1" applyAlignment="1">
      <alignment vertical="center"/>
    </xf>
    <xf numFmtId="0" fontId="29" fillId="0" borderId="0" xfId="0" applyFont="1" applyAlignment="1">
      <alignment vertical="center" wrapText="1"/>
    </xf>
    <xf numFmtId="2" fontId="29" fillId="0" borderId="0" xfId="0" applyNumberFormat="1" applyFont="1" applyAlignment="1">
      <alignment vertical="center"/>
    </xf>
    <xf numFmtId="0" fontId="29" fillId="0" borderId="0" xfId="0" applyFont="1" applyAlignment="1">
      <alignment horizontal="right" vertical="center"/>
    </xf>
    <xf numFmtId="0" fontId="29" fillId="26" borderId="0" xfId="0" applyFont="1" applyFill="1" applyAlignment="1">
      <alignment vertical="center"/>
    </xf>
    <xf numFmtId="4" fontId="29" fillId="0" borderId="0" xfId="0" applyNumberFormat="1" applyFont="1" applyAlignment="1">
      <alignment vertical="center"/>
    </xf>
    <xf numFmtId="0" fontId="42" fillId="11" borderId="0" xfId="11" applyFont="1" applyFill="1" applyAlignment="1">
      <alignment vertical="center"/>
    </xf>
    <xf numFmtId="0" fontId="37" fillId="0" borderId="0" xfId="11" applyFont="1" applyAlignment="1">
      <alignment horizontal="left" vertical="center"/>
    </xf>
    <xf numFmtId="0" fontId="29" fillId="0" borderId="4" xfId="11" applyFont="1" applyBorder="1" applyAlignment="1">
      <alignment horizontal="left" vertical="center"/>
    </xf>
    <xf numFmtId="173" fontId="35" fillId="0" borderId="4" xfId="11" applyNumberFormat="1" applyFont="1" applyBorder="1" applyAlignment="1">
      <alignment vertical="center"/>
    </xf>
    <xf numFmtId="0" fontId="29" fillId="0" borderId="0" xfId="11" applyFont="1" applyAlignment="1">
      <alignment horizontal="left" vertical="center"/>
    </xf>
    <xf numFmtId="0" fontId="37" fillId="0" borderId="15" xfId="11" applyFont="1" applyBorder="1" applyAlignment="1">
      <alignment horizontal="left" vertical="center"/>
    </xf>
    <xf numFmtId="173" fontId="32" fillId="0" borderId="15" xfId="11" applyNumberFormat="1" applyFont="1" applyBorder="1" applyAlignment="1">
      <alignment vertical="center"/>
    </xf>
    <xf numFmtId="0" fontId="29" fillId="0" borderId="0" xfId="11" applyFont="1" applyAlignment="1">
      <alignment horizontal="right" vertical="center"/>
    </xf>
    <xf numFmtId="0" fontId="29" fillId="0" borderId="4" xfId="0" applyFont="1" applyBorder="1" applyAlignment="1">
      <alignment vertical="center"/>
    </xf>
    <xf numFmtId="0" fontId="29" fillId="0" borderId="4" xfId="0" applyFont="1" applyBorder="1" applyAlignment="1">
      <alignment horizontal="right" vertical="center"/>
    </xf>
    <xf numFmtId="0" fontId="37" fillId="0" borderId="0" xfId="0" applyFont="1" applyAlignment="1">
      <alignment horizontal="right" vertical="center"/>
    </xf>
    <xf numFmtId="9" fontId="37" fillId="25" borderId="0" xfId="0" applyNumberFormat="1" applyFont="1" applyFill="1" applyAlignment="1">
      <alignment vertical="center"/>
    </xf>
    <xf numFmtId="0" fontId="29" fillId="0" borderId="0" xfId="0" applyFont="1" applyAlignment="1">
      <alignment horizontal="center" vertical="center"/>
    </xf>
    <xf numFmtId="0" fontId="6" fillId="0" borderId="0" xfId="11" applyAlignment="1">
      <alignment vertical="center"/>
    </xf>
    <xf numFmtId="0" fontId="18" fillId="0" borderId="0" xfId="11" applyFont="1" applyAlignment="1">
      <alignment vertical="center"/>
    </xf>
    <xf numFmtId="0" fontId="12" fillId="0" borderId="0" xfId="11" applyFont="1" applyAlignment="1">
      <alignment vertical="center"/>
    </xf>
    <xf numFmtId="0" fontId="44" fillId="11" borderId="35" xfId="11" applyFont="1" applyFill="1" applyBorder="1" applyAlignment="1">
      <alignment vertical="center"/>
    </xf>
    <xf numFmtId="0" fontId="17" fillId="11" borderId="35" xfId="11" applyFont="1" applyFill="1" applyBorder="1" applyAlignment="1">
      <alignment vertical="center"/>
    </xf>
    <xf numFmtId="0" fontId="44" fillId="19" borderId="36" xfId="0" applyFont="1" applyFill="1" applyBorder="1" applyAlignment="1">
      <alignment horizontal="center" vertical="center"/>
    </xf>
    <xf numFmtId="0" fontId="44" fillId="11" borderId="0" xfId="11" applyFont="1" applyFill="1" applyAlignment="1">
      <alignment vertical="center"/>
    </xf>
    <xf numFmtId="173" fontId="12" fillId="0" borderId="0" xfId="0" applyNumberFormat="1" applyFont="1" applyAlignment="1">
      <alignment vertical="center"/>
    </xf>
    <xf numFmtId="0" fontId="12" fillId="0" borderId="0" xfId="11" applyFont="1" applyAlignment="1">
      <alignment horizontal="left" vertical="center"/>
    </xf>
    <xf numFmtId="173" fontId="18" fillId="0" borderId="0" xfId="0" applyNumberFormat="1" applyFont="1" applyAlignment="1">
      <alignment vertical="center"/>
    </xf>
    <xf numFmtId="0" fontId="18" fillId="0" borderId="0" xfId="11" applyFont="1" applyAlignment="1">
      <alignment horizontal="left" vertical="center"/>
    </xf>
    <xf numFmtId="0" fontId="12" fillId="0" borderId="0" xfId="11" applyFont="1" applyAlignment="1">
      <alignment horizontal="right" vertical="center"/>
    </xf>
    <xf numFmtId="0" fontId="18" fillId="0" borderId="18" xfId="11" applyFont="1" applyBorder="1" applyAlignment="1">
      <alignment horizontal="right" vertical="center"/>
    </xf>
    <xf numFmtId="173" fontId="17" fillId="0" borderId="18" xfId="11" applyNumberFormat="1" applyFont="1" applyBorder="1" applyAlignment="1">
      <alignment vertical="center"/>
    </xf>
    <xf numFmtId="0" fontId="12" fillId="0" borderId="4" xfId="11" applyFont="1" applyBorder="1" applyAlignment="1">
      <alignment horizontal="left" vertical="center"/>
    </xf>
    <xf numFmtId="173" fontId="16" fillId="0" borderId="4" xfId="11" applyNumberFormat="1" applyFont="1" applyBorder="1" applyAlignment="1">
      <alignment vertical="center"/>
    </xf>
    <xf numFmtId="0" fontId="18" fillId="0" borderId="15" xfId="11" applyFont="1" applyBorder="1" applyAlignment="1">
      <alignment horizontal="left" vertical="center"/>
    </xf>
    <xf numFmtId="173" fontId="17" fillId="0" borderId="15" xfId="11" applyNumberFormat="1" applyFont="1" applyBorder="1" applyAlignment="1">
      <alignment vertical="center"/>
    </xf>
    <xf numFmtId="165" fontId="12" fillId="0" borderId="0" xfId="2" applyNumberFormat="1" applyFont="1" applyAlignment="1">
      <alignment vertical="center"/>
    </xf>
    <xf numFmtId="175" fontId="12" fillId="0" borderId="0" xfId="0" applyNumberFormat="1" applyFont="1" applyAlignment="1">
      <alignment vertical="center"/>
    </xf>
    <xf numFmtId="186" fontId="12" fillId="0" borderId="0" xfId="1" applyNumberFormat="1" applyFont="1" applyAlignment="1">
      <alignment vertical="center"/>
    </xf>
    <xf numFmtId="0" fontId="44" fillId="11" borderId="35" xfId="0" applyFont="1" applyFill="1" applyBorder="1" applyAlignment="1">
      <alignment vertical="center"/>
    </xf>
    <xf numFmtId="0" fontId="94" fillId="11" borderId="35" xfId="0" applyFont="1" applyFill="1" applyBorder="1" applyAlignment="1">
      <alignment vertical="center"/>
    </xf>
    <xf numFmtId="184" fontId="12" fillId="0" borderId="0" xfId="0" applyNumberFormat="1" applyFont="1" applyAlignment="1">
      <alignment vertical="center"/>
    </xf>
    <xf numFmtId="0" fontId="19" fillId="0" borderId="0" xfId="11" applyFont="1" applyAlignment="1">
      <alignment horizontal="right" vertical="center"/>
    </xf>
    <xf numFmtId="165" fontId="12" fillId="0" borderId="0" xfId="2" applyNumberFormat="1" applyFont="1" applyFill="1" applyBorder="1" applyAlignment="1">
      <alignment vertical="center"/>
    </xf>
    <xf numFmtId="173" fontId="18" fillId="0" borderId="18" xfId="0" applyNumberFormat="1" applyFont="1" applyBorder="1" applyAlignment="1">
      <alignment vertical="center"/>
    </xf>
    <xf numFmtId="173" fontId="93" fillId="0" borderId="18" xfId="0" applyNumberFormat="1" applyFont="1" applyBorder="1" applyAlignment="1">
      <alignment vertical="center"/>
    </xf>
    <xf numFmtId="173" fontId="18" fillId="0" borderId="0" xfId="11" applyNumberFormat="1" applyFont="1" applyAlignment="1">
      <alignment horizontal="right" vertical="center"/>
    </xf>
    <xf numFmtId="165" fontId="19" fillId="0" borderId="0" xfId="2" applyNumberFormat="1" applyFont="1" applyAlignment="1">
      <alignment vertical="center"/>
    </xf>
    <xf numFmtId="165" fontId="19" fillId="0" borderId="0" xfId="12" applyNumberFormat="1" applyFont="1" applyAlignment="1">
      <alignment horizontal="right" vertical="center"/>
    </xf>
    <xf numFmtId="0" fontId="18" fillId="0" borderId="0" xfId="0" applyFont="1" applyAlignment="1">
      <alignment horizontal="left" vertical="center"/>
    </xf>
    <xf numFmtId="0" fontId="12" fillId="0" borderId="0" xfId="0" applyFont="1" applyAlignment="1">
      <alignment horizontal="left" vertical="center"/>
    </xf>
    <xf numFmtId="173" fontId="16" fillId="0" borderId="0" xfId="0" applyNumberFormat="1" applyFont="1" applyAlignment="1">
      <alignment vertical="center"/>
    </xf>
    <xf numFmtId="0" fontId="12" fillId="0" borderId="4" xfId="0" applyFont="1" applyBorder="1" applyAlignment="1">
      <alignment horizontal="left" vertical="center"/>
    </xf>
    <xf numFmtId="173" fontId="25" fillId="0" borderId="4" xfId="0" applyNumberFormat="1" applyFont="1" applyBorder="1" applyAlignment="1">
      <alignment vertical="center"/>
    </xf>
    <xf numFmtId="173" fontId="16" fillId="0" borderId="4" xfId="0" applyNumberFormat="1" applyFont="1" applyBorder="1" applyAlignment="1">
      <alignment vertical="center"/>
    </xf>
    <xf numFmtId="0" fontId="25" fillId="0" borderId="0" xfId="0" applyFont="1" applyAlignment="1">
      <alignment vertical="center"/>
    </xf>
    <xf numFmtId="173" fontId="53" fillId="0" borderId="0" xfId="0" applyNumberFormat="1" applyFont="1" applyAlignment="1">
      <alignment vertical="center"/>
    </xf>
    <xf numFmtId="0" fontId="53" fillId="0" borderId="0" xfId="0" applyFont="1" applyAlignment="1">
      <alignment horizontal="right" vertical="center"/>
    </xf>
    <xf numFmtId="173" fontId="19" fillId="0" borderId="0" xfId="0" applyNumberFormat="1" applyFont="1" applyAlignment="1">
      <alignment vertical="center"/>
    </xf>
    <xf numFmtId="0" fontId="19" fillId="0" borderId="0" xfId="0" applyFont="1" applyAlignment="1">
      <alignment horizontal="left" vertical="center"/>
    </xf>
    <xf numFmtId="0" fontId="18" fillId="0" borderId="15" xfId="0" applyFont="1" applyBorder="1" applyAlignment="1">
      <alignment horizontal="left" vertical="center"/>
    </xf>
    <xf numFmtId="173" fontId="24" fillId="0" borderId="15" xfId="0" applyNumberFormat="1" applyFont="1" applyBorder="1" applyAlignment="1">
      <alignment vertical="center"/>
    </xf>
    <xf numFmtId="173" fontId="17" fillId="0" borderId="15" xfId="0" applyNumberFormat="1" applyFont="1" applyBorder="1" applyAlignment="1">
      <alignment vertical="center"/>
    </xf>
    <xf numFmtId="0" fontId="12" fillId="0" borderId="0" xfId="0" applyFont="1" applyAlignment="1">
      <alignment horizontal="right" vertical="center"/>
    </xf>
    <xf numFmtId="185" fontId="12" fillId="0" borderId="0" xfId="0" applyNumberFormat="1" applyFont="1" applyAlignment="1">
      <alignment vertical="center"/>
    </xf>
    <xf numFmtId="0" fontId="13" fillId="0" borderId="10" xfId="0" applyFont="1" applyBorder="1" applyAlignment="1">
      <alignment horizontal="left" vertical="center" wrapText="1" readingOrder="1"/>
    </xf>
    <xf numFmtId="0" fontId="17" fillId="0" borderId="10" xfId="0" applyFont="1" applyBorder="1" applyAlignment="1">
      <alignment horizontal="center" vertical="center" wrapText="1" readingOrder="1"/>
    </xf>
    <xf numFmtId="0" fontId="13" fillId="0" borderId="10" xfId="0" applyFont="1" applyBorder="1" applyAlignment="1">
      <alignment horizontal="center" vertical="center" wrapText="1" readingOrder="1"/>
    </xf>
    <xf numFmtId="0" fontId="13" fillId="2" borderId="10" xfId="0" applyFont="1" applyFill="1" applyBorder="1" applyAlignment="1">
      <alignment horizontal="center" vertical="center" wrapText="1" readingOrder="1"/>
    </xf>
    <xf numFmtId="0" fontId="17" fillId="5" borderId="10" xfId="0" applyFont="1" applyFill="1" applyBorder="1" applyAlignment="1">
      <alignment horizontal="center" vertical="center" wrapText="1" readingOrder="1"/>
    </xf>
    <xf numFmtId="0" fontId="15" fillId="0" borderId="10" xfId="0" applyFont="1" applyBorder="1" applyAlignment="1">
      <alignment horizontal="center" vertical="center" wrapText="1" readingOrder="1"/>
    </xf>
    <xf numFmtId="0" fontId="13" fillId="5" borderId="10" xfId="0" applyFont="1" applyFill="1" applyBorder="1" applyAlignment="1">
      <alignment horizontal="center" vertical="center" wrapText="1" readingOrder="1"/>
    </xf>
    <xf numFmtId="0" fontId="13" fillId="0" borderId="0" xfId="0" applyFont="1" applyAlignment="1">
      <alignment horizontal="center" vertical="center" wrapText="1" readingOrder="1"/>
    </xf>
    <xf numFmtId="0" fontId="44" fillId="14" borderId="10" xfId="0" applyFont="1" applyFill="1" applyBorder="1" applyAlignment="1">
      <alignment horizontal="center" vertical="center" wrapText="1" readingOrder="1"/>
    </xf>
    <xf numFmtId="0" fontId="57" fillId="0" borderId="33" xfId="0" applyFont="1" applyBorder="1" applyAlignment="1">
      <alignment vertical="center" wrapText="1"/>
    </xf>
    <xf numFmtId="3" fontId="57" fillId="0" borderId="31" xfId="0" applyNumberFormat="1" applyFont="1" applyBorder="1" applyAlignment="1">
      <alignment vertical="center" wrapText="1"/>
    </xf>
    <xf numFmtId="0" fontId="57" fillId="0" borderId="32" xfId="0" applyFont="1" applyBorder="1" applyAlignment="1">
      <alignment vertical="center" wrapText="1"/>
    </xf>
    <xf numFmtId="3" fontId="57" fillId="0" borderId="27" xfId="0" applyNumberFormat="1" applyFont="1" applyBorder="1" applyAlignment="1">
      <alignment vertical="center" wrapText="1"/>
    </xf>
    <xf numFmtId="0" fontId="57" fillId="0" borderId="27" xfId="0" applyFont="1" applyBorder="1" applyAlignment="1">
      <alignment vertical="center" wrapText="1"/>
    </xf>
    <xf numFmtId="0" fontId="86" fillId="0" borderId="0" xfId="0" applyFont="1" applyAlignment="1">
      <alignment vertical="center"/>
    </xf>
    <xf numFmtId="0" fontId="32" fillId="0" borderId="0" xfId="0" applyFont="1" applyAlignment="1">
      <alignment vertical="center"/>
    </xf>
    <xf numFmtId="0" fontId="32" fillId="0" borderId="0" xfId="0" applyFont="1" applyAlignment="1">
      <alignment horizontal="center" vertical="center"/>
    </xf>
    <xf numFmtId="0" fontId="32" fillId="0" borderId="4" xfId="0" applyFont="1" applyBorder="1" applyAlignment="1">
      <alignment vertical="center"/>
    </xf>
    <xf numFmtId="3" fontId="34" fillId="0" borderId="4" xfId="0" applyNumberFormat="1" applyFont="1" applyBorder="1" applyAlignment="1">
      <alignment vertical="center"/>
    </xf>
    <xf numFmtId="3" fontId="35" fillId="0" borderId="4" xfId="0" applyNumberFormat="1" applyFont="1" applyBorder="1" applyAlignment="1">
      <alignment vertical="center"/>
    </xf>
    <xf numFmtId="3" fontId="32" fillId="0" borderId="4" xfId="0" applyNumberFormat="1" applyFont="1" applyBorder="1" applyAlignment="1">
      <alignment vertical="center"/>
    </xf>
    <xf numFmtId="0" fontId="29" fillId="0" borderId="0" xfId="0" applyFont="1" applyAlignment="1">
      <alignment horizontal="left" vertical="center"/>
    </xf>
    <xf numFmtId="173" fontId="34" fillId="0" borderId="0" xfId="0" applyNumberFormat="1" applyFont="1" applyAlignment="1">
      <alignment horizontal="right" vertical="center"/>
    </xf>
    <xf numFmtId="173" fontId="35" fillId="0" borderId="0" xfId="0" applyNumberFormat="1" applyFont="1" applyAlignment="1">
      <alignment horizontal="right" vertical="center"/>
    </xf>
    <xf numFmtId="173" fontId="32" fillId="0" borderId="0" xfId="0" applyNumberFormat="1" applyFont="1" applyAlignment="1">
      <alignment horizontal="right" vertical="center"/>
    </xf>
    <xf numFmtId="167" fontId="35" fillId="0" borderId="0" xfId="2" applyNumberFormat="1" applyFont="1" applyFill="1" applyAlignment="1">
      <alignment horizontal="right" vertical="center"/>
    </xf>
    <xf numFmtId="0" fontId="37" fillId="0" borderId="4" xfId="0" applyFont="1" applyBorder="1" applyAlignment="1">
      <alignment vertical="center"/>
    </xf>
    <xf numFmtId="4" fontId="36" fillId="0" borderId="4" xfId="0" applyNumberFormat="1" applyFont="1" applyBorder="1" applyAlignment="1">
      <alignment vertical="center"/>
    </xf>
    <xf numFmtId="4" fontId="32" fillId="0" borderId="4" xfId="0" applyNumberFormat="1" applyFont="1" applyBorder="1" applyAlignment="1">
      <alignment vertical="center"/>
    </xf>
    <xf numFmtId="4" fontId="35" fillId="0" borderId="4" xfId="0" applyNumberFormat="1" applyFont="1" applyBorder="1" applyAlignment="1">
      <alignment vertical="center"/>
    </xf>
    <xf numFmtId="167" fontId="35" fillId="0" borderId="4" xfId="2" applyNumberFormat="1" applyFont="1" applyFill="1" applyBorder="1" applyAlignment="1">
      <alignment vertical="center"/>
    </xf>
    <xf numFmtId="0" fontId="35" fillId="0" borderId="0" xfId="0" applyFont="1" applyAlignment="1">
      <alignment vertical="center"/>
    </xf>
    <xf numFmtId="3" fontId="34" fillId="0" borderId="0" xfId="0" applyNumberFormat="1" applyFont="1" applyAlignment="1">
      <alignment vertical="center"/>
    </xf>
    <xf numFmtId="3" fontId="35" fillId="0" borderId="0" xfId="0" applyNumberFormat="1" applyFont="1" applyAlignment="1">
      <alignment vertical="center"/>
    </xf>
    <xf numFmtId="3" fontId="32" fillId="0" borderId="0" xfId="0" applyNumberFormat="1" applyFont="1" applyAlignment="1">
      <alignment vertical="center"/>
    </xf>
    <xf numFmtId="167" fontId="35" fillId="0" borderId="0" xfId="2" applyNumberFormat="1" applyFont="1" applyFill="1" applyAlignment="1">
      <alignment vertical="center"/>
    </xf>
    <xf numFmtId="167" fontId="32" fillId="0" borderId="4" xfId="2" applyNumberFormat="1" applyFont="1" applyFill="1" applyBorder="1" applyAlignment="1">
      <alignment vertical="center"/>
    </xf>
    <xf numFmtId="4" fontId="34" fillId="0" borderId="4" xfId="0" applyNumberFormat="1" applyFont="1" applyBorder="1" applyAlignment="1">
      <alignment vertical="center"/>
    </xf>
    <xf numFmtId="0" fontId="32" fillId="0" borderId="37" xfId="0" applyFont="1" applyBorder="1" applyAlignment="1">
      <alignment vertical="center"/>
    </xf>
    <xf numFmtId="3" fontId="36" fillId="0" borderId="37" xfId="0" applyNumberFormat="1" applyFont="1" applyBorder="1" applyAlignment="1">
      <alignment vertical="center"/>
    </xf>
    <xf numFmtId="3" fontId="32" fillId="0" borderId="37" xfId="0" applyNumberFormat="1" applyFont="1" applyBorder="1" applyAlignment="1">
      <alignment vertical="center"/>
    </xf>
    <xf numFmtId="3" fontId="35" fillId="0" borderId="37" xfId="0" applyNumberFormat="1" applyFont="1" applyBorder="1" applyAlignment="1">
      <alignment vertical="center"/>
    </xf>
    <xf numFmtId="167" fontId="35" fillId="0" borderId="37" xfId="2" applyNumberFormat="1" applyFont="1" applyFill="1" applyBorder="1" applyAlignment="1">
      <alignment vertical="center"/>
    </xf>
    <xf numFmtId="167" fontId="32" fillId="0" borderId="37" xfId="2" applyNumberFormat="1" applyFont="1" applyFill="1" applyBorder="1" applyAlignment="1">
      <alignment vertical="center"/>
    </xf>
    <xf numFmtId="173" fontId="36" fillId="0" borderId="0" xfId="0" applyNumberFormat="1" applyFont="1" applyAlignment="1">
      <alignment horizontal="right" vertical="center"/>
    </xf>
    <xf numFmtId="167" fontId="32" fillId="0" borderId="0" xfId="2" applyNumberFormat="1" applyFont="1" applyFill="1" applyAlignment="1">
      <alignment horizontal="right" vertical="center"/>
    </xf>
    <xf numFmtId="0" fontId="32" fillId="0" borderId="38" xfId="0" applyFont="1" applyBorder="1" applyAlignment="1">
      <alignment vertical="center"/>
    </xf>
    <xf numFmtId="4" fontId="36" fillId="0" borderId="39" xfId="0" applyNumberFormat="1" applyFont="1" applyBorder="1" applyAlignment="1">
      <alignment vertical="center"/>
    </xf>
    <xf numFmtId="4" fontId="32" fillId="0" borderId="39" xfId="0" applyNumberFormat="1" applyFont="1" applyBorder="1" applyAlignment="1">
      <alignment vertical="center"/>
    </xf>
    <xf numFmtId="4" fontId="35" fillId="0" borderId="39" xfId="0" applyNumberFormat="1" applyFont="1" applyBorder="1" applyAlignment="1">
      <alignment vertical="center"/>
    </xf>
    <xf numFmtId="167" fontId="35" fillId="0" borderId="39" xfId="2" applyNumberFormat="1" applyFont="1" applyFill="1" applyBorder="1" applyAlignment="1">
      <alignment vertical="center"/>
    </xf>
    <xf numFmtId="167" fontId="32" fillId="0" borderId="39" xfId="2" applyNumberFormat="1" applyFont="1" applyFill="1" applyBorder="1" applyAlignment="1">
      <alignment vertical="center"/>
    </xf>
    <xf numFmtId="0" fontId="87" fillId="0" borderId="0" xfId="0" applyFont="1" applyAlignment="1">
      <alignment vertical="center"/>
    </xf>
    <xf numFmtId="0" fontId="86" fillId="25" borderId="0" xfId="0" applyFont="1" applyFill="1" applyAlignment="1">
      <alignment vertical="center"/>
    </xf>
    <xf numFmtId="0" fontId="35" fillId="0" borderId="4" xfId="0" applyFont="1" applyBorder="1" applyAlignment="1">
      <alignment vertical="center"/>
    </xf>
    <xf numFmtId="0" fontId="32" fillId="0" borderId="4" xfId="0" applyFont="1" applyBorder="1" applyAlignment="1">
      <alignment horizontal="right" vertical="center"/>
    </xf>
    <xf numFmtId="0" fontId="32" fillId="0" borderId="40" xfId="0" applyFont="1" applyBorder="1" applyAlignment="1">
      <alignment vertical="center"/>
    </xf>
    <xf numFmtId="173" fontId="36" fillId="0" borderId="39" xfId="0" applyNumberFormat="1" applyFont="1" applyBorder="1" applyAlignment="1">
      <alignment vertical="center"/>
    </xf>
    <xf numFmtId="3" fontId="29" fillId="0" borderId="0" xfId="2" applyNumberFormat="1" applyFont="1" applyAlignment="1">
      <alignment vertical="center"/>
    </xf>
    <xf numFmtId="17" fontId="23" fillId="2" borderId="0" xfId="0" applyNumberFormat="1" applyFont="1" applyFill="1" applyAlignment="1">
      <alignment horizontal="center" vertical="center" wrapText="1" readingOrder="1"/>
    </xf>
    <xf numFmtId="3" fontId="29" fillId="0" borderId="4" xfId="0" applyNumberFormat="1" applyFont="1" applyBorder="1" applyAlignment="1">
      <alignment vertical="center"/>
    </xf>
    <xf numFmtId="3" fontId="29" fillId="2" borderId="4" xfId="0" applyNumberFormat="1" applyFont="1" applyFill="1" applyBorder="1" applyAlignment="1">
      <alignment vertical="center"/>
    </xf>
    <xf numFmtId="3" fontId="38" fillId="0" borderId="4" xfId="0" applyNumberFormat="1" applyFont="1" applyBorder="1" applyAlignment="1">
      <alignment vertical="center"/>
    </xf>
    <xf numFmtId="176" fontId="34" fillId="0" borderId="0" xfId="0" applyNumberFormat="1" applyFont="1" applyAlignment="1">
      <alignment vertical="center"/>
    </xf>
    <xf numFmtId="176" fontId="29" fillId="2" borderId="0" xfId="0" applyNumberFormat="1" applyFont="1" applyFill="1" applyAlignment="1">
      <alignment vertical="center"/>
    </xf>
    <xf numFmtId="193" fontId="29" fillId="0" borderId="0" xfId="0" applyNumberFormat="1" applyFont="1" applyAlignment="1">
      <alignment vertical="center"/>
    </xf>
    <xf numFmtId="193" fontId="38" fillId="0" borderId="0" xfId="0" applyNumberFormat="1" applyFont="1" applyAlignment="1">
      <alignment vertical="center"/>
    </xf>
    <xf numFmtId="176" fontId="34" fillId="0" borderId="18" xfId="0" applyNumberFormat="1" applyFont="1" applyBorder="1" applyAlignment="1">
      <alignment vertical="center"/>
    </xf>
    <xf numFmtId="176" fontId="29" fillId="0" borderId="18" xfId="0" applyNumberFormat="1" applyFont="1" applyBorder="1" applyAlignment="1">
      <alignment vertical="center"/>
    </xf>
    <xf numFmtId="176" fontId="29" fillId="2" borderId="18" xfId="0" applyNumberFormat="1" applyFont="1" applyFill="1" applyBorder="1" applyAlignment="1">
      <alignment vertical="center"/>
    </xf>
    <xf numFmtId="193" fontId="29" fillId="0" borderId="18" xfId="0" applyNumberFormat="1" applyFont="1" applyBorder="1" applyAlignment="1">
      <alignment vertical="center"/>
    </xf>
    <xf numFmtId="193" fontId="38" fillId="0" borderId="18" xfId="0" applyNumberFormat="1" applyFont="1" applyBorder="1" applyAlignment="1">
      <alignment vertical="center"/>
    </xf>
    <xf numFmtId="0" fontId="29" fillId="0" borderId="21" xfId="0" applyFont="1" applyBorder="1" applyAlignment="1">
      <alignment vertical="center"/>
    </xf>
    <xf numFmtId="0" fontId="29" fillId="0" borderId="10" xfId="0" applyFont="1" applyBorder="1" applyAlignment="1">
      <alignment vertical="center"/>
    </xf>
    <xf numFmtId="0" fontId="89" fillId="0" borderId="0" xfId="0" applyFont="1" applyAlignment="1">
      <alignment vertical="center"/>
    </xf>
    <xf numFmtId="2" fontId="89" fillId="0" borderId="0" xfId="0" applyNumberFormat="1" applyFont="1" applyAlignment="1">
      <alignment vertical="center"/>
    </xf>
    <xf numFmtId="17" fontId="23" fillId="0" borderId="15" xfId="0" applyNumberFormat="1" applyFont="1" applyBorder="1" applyAlignment="1">
      <alignment horizontal="center" vertical="center" wrapText="1" readingOrder="1"/>
    </xf>
    <xf numFmtId="17" fontId="23" fillId="5" borderId="15" xfId="0" applyNumberFormat="1" applyFont="1" applyFill="1" applyBorder="1" applyAlignment="1">
      <alignment horizontal="center" vertical="center" wrapText="1" readingOrder="1"/>
    </xf>
    <xf numFmtId="0" fontId="22" fillId="0" borderId="15" xfId="0" applyFont="1" applyBorder="1" applyAlignment="1">
      <alignment horizontal="center" vertical="center" wrapText="1" readingOrder="1"/>
    </xf>
    <xf numFmtId="0" fontId="23" fillId="0" borderId="15" xfId="0" applyFont="1" applyBorder="1" applyAlignment="1">
      <alignment horizontal="center" vertical="center" wrapText="1" readingOrder="1"/>
    </xf>
    <xf numFmtId="17" fontId="23" fillId="2" borderId="15" xfId="0" applyNumberFormat="1" applyFont="1" applyFill="1" applyBorder="1" applyAlignment="1">
      <alignment horizontal="center" vertical="center" wrapText="1" readingOrder="1"/>
    </xf>
    <xf numFmtId="0" fontId="35" fillId="0" borderId="15" xfId="0" applyFont="1" applyBorder="1" applyAlignment="1">
      <alignment horizontal="center" vertical="center" wrapText="1" readingOrder="1"/>
    </xf>
    <xf numFmtId="3" fontId="37" fillId="0" borderId="0" xfId="0" applyNumberFormat="1" applyFont="1" applyAlignment="1">
      <alignment vertical="center"/>
    </xf>
    <xf numFmtId="173" fontId="29" fillId="0" borderId="0" xfId="0" applyNumberFormat="1" applyFont="1" applyAlignment="1">
      <alignment vertical="center"/>
    </xf>
    <xf numFmtId="17" fontId="23" fillId="5" borderId="10" xfId="0" applyNumberFormat="1" applyFont="1" applyFill="1" applyBorder="1" applyAlignment="1">
      <alignment horizontal="center" vertical="center" wrapText="1" readingOrder="1"/>
    </xf>
    <xf numFmtId="0" fontId="35" fillId="10" borderId="0" xfId="0" applyFont="1" applyFill="1" applyAlignment="1">
      <alignment vertical="center"/>
    </xf>
    <xf numFmtId="2" fontId="35" fillId="0" borderId="0" xfId="0" applyNumberFormat="1" applyFont="1" applyAlignment="1">
      <alignment vertical="center"/>
    </xf>
    <xf numFmtId="173" fontId="37" fillId="0" borderId="0" xfId="0" applyNumberFormat="1" applyFont="1" applyAlignment="1">
      <alignment vertical="center"/>
    </xf>
    <xf numFmtId="187" fontId="38" fillId="0" borderId="0" xfId="0" applyNumberFormat="1" applyFont="1" applyAlignment="1">
      <alignment vertical="center"/>
    </xf>
    <xf numFmtId="187" fontId="29" fillId="0" borderId="0" xfId="0" applyNumberFormat="1" applyFont="1" applyAlignment="1">
      <alignment vertical="center"/>
    </xf>
    <xf numFmtId="188" fontId="29" fillId="0" borderId="0" xfId="0" applyNumberFormat="1" applyFont="1" applyAlignment="1">
      <alignment vertical="center"/>
    </xf>
    <xf numFmtId="0" fontId="37" fillId="0" borderId="18" xfId="0" applyFont="1" applyBorder="1" applyAlignment="1">
      <alignment horizontal="left" vertical="center"/>
    </xf>
    <xf numFmtId="187" fontId="31" fillId="0" borderId="18" xfId="0" applyNumberFormat="1" applyFont="1" applyBorder="1" applyAlignment="1">
      <alignment vertical="center"/>
    </xf>
    <xf numFmtId="187" fontId="37" fillId="0" borderId="18" xfId="0" applyNumberFormat="1" applyFont="1" applyBorder="1" applyAlignment="1">
      <alignment vertical="center"/>
    </xf>
    <xf numFmtId="188" fontId="37" fillId="0" borderId="18" xfId="0" applyNumberFormat="1" applyFont="1" applyBorder="1" applyAlignment="1">
      <alignment vertical="center"/>
    </xf>
    <xf numFmtId="0" fontId="90" fillId="0" borderId="0" xfId="0" applyFont="1" applyAlignment="1">
      <alignment vertical="center"/>
    </xf>
    <xf numFmtId="0" fontId="91" fillId="0" borderId="0" xfId="0" applyFont="1" applyAlignment="1">
      <alignment horizontal="left" vertical="center"/>
    </xf>
    <xf numFmtId="0" fontId="91" fillId="0" borderId="0" xfId="0" applyFont="1" applyAlignment="1">
      <alignment vertical="center"/>
    </xf>
    <xf numFmtId="3" fontId="38" fillId="0" borderId="0" xfId="0" applyNumberFormat="1" applyFont="1" applyAlignment="1">
      <alignment vertical="center"/>
    </xf>
    <xf numFmtId="3" fontId="90" fillId="0" borderId="0" xfId="0" applyNumberFormat="1" applyFont="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0" fillId="0" borderId="0" xfId="0" applyFont="1" applyAlignment="1">
      <alignment vertical="center"/>
    </xf>
    <xf numFmtId="17" fontId="23" fillId="0" borderId="50" xfId="0" applyNumberFormat="1" applyFont="1" applyBorder="1" applyAlignment="1">
      <alignment horizontal="center" vertical="center" wrapText="1" readingOrder="1"/>
    </xf>
    <xf numFmtId="17" fontId="23" fillId="0" borderId="51" xfId="0" applyNumberFormat="1" applyFont="1" applyBorder="1" applyAlignment="1">
      <alignment horizontal="center" vertical="center" wrapText="1" readingOrder="1"/>
    </xf>
    <xf numFmtId="17" fontId="23" fillId="0" borderId="52" xfId="0" applyNumberFormat="1" applyFont="1" applyBorder="1" applyAlignment="1">
      <alignment horizontal="center" vertical="center" wrapText="1" readingOrder="1"/>
    </xf>
    <xf numFmtId="17" fontId="23" fillId="5" borderId="52" xfId="0" applyNumberFormat="1" applyFont="1" applyFill="1" applyBorder="1" applyAlignment="1">
      <alignment horizontal="center" vertical="center" wrapText="1" readingOrder="1"/>
    </xf>
    <xf numFmtId="3" fontId="35" fillId="0" borderId="53" xfId="0" applyNumberFormat="1" applyFont="1" applyBorder="1" applyAlignment="1">
      <alignment horizontal="right" vertical="center" readingOrder="1"/>
    </xf>
    <xf numFmtId="3" fontId="35" fillId="2" borderId="54" xfId="0" applyNumberFormat="1" applyFont="1" applyFill="1" applyBorder="1" applyAlignment="1">
      <alignment horizontal="right" vertical="center" readingOrder="1"/>
    </xf>
    <xf numFmtId="3" fontId="35" fillId="0" borderId="55" xfId="0" applyNumberFormat="1" applyFont="1" applyBorder="1" applyAlignment="1">
      <alignment horizontal="right" vertical="center" readingOrder="1"/>
    </xf>
    <xf numFmtId="3" fontId="35" fillId="2" borderId="56" xfId="0" applyNumberFormat="1" applyFont="1" applyFill="1" applyBorder="1" applyAlignment="1">
      <alignment horizontal="right" vertical="center" readingOrder="1"/>
    </xf>
    <xf numFmtId="9" fontId="32" fillId="0" borderId="57" xfId="2" applyFont="1" applyFill="1" applyBorder="1" applyAlignment="1">
      <alignment horizontal="right" vertical="center" readingOrder="1"/>
    </xf>
    <xf numFmtId="9" fontId="32" fillId="0" borderId="58" xfId="2" applyFont="1" applyFill="1" applyBorder="1" applyAlignment="1">
      <alignment horizontal="right" vertical="center" readingOrder="1"/>
    </xf>
    <xf numFmtId="9" fontId="32" fillId="5" borderId="59" xfId="2" applyFont="1" applyFill="1" applyBorder="1" applyAlignment="1">
      <alignment horizontal="right" vertical="center" readingOrder="1"/>
    </xf>
    <xf numFmtId="17" fontId="32" fillId="0" borderId="50" xfId="0" applyNumberFormat="1" applyFont="1" applyBorder="1" applyAlignment="1">
      <alignment horizontal="center" vertical="center" wrapText="1" readingOrder="1"/>
    </xf>
    <xf numFmtId="17" fontId="32" fillId="0" borderId="51" xfId="0" applyNumberFormat="1" applyFont="1" applyBorder="1" applyAlignment="1">
      <alignment horizontal="center" vertical="center" wrapText="1" readingOrder="1"/>
    </xf>
    <xf numFmtId="17" fontId="32" fillId="0" borderId="52" xfId="0" applyNumberFormat="1" applyFont="1" applyBorder="1" applyAlignment="1">
      <alignment horizontal="center" vertical="center" wrapText="1" readingOrder="1"/>
    </xf>
    <xf numFmtId="9" fontId="35" fillId="0" borderId="60" xfId="2" applyFont="1" applyFill="1" applyBorder="1" applyAlignment="1">
      <alignment horizontal="right" vertical="center" readingOrder="1"/>
    </xf>
    <xf numFmtId="9" fontId="35" fillId="0" borderId="61" xfId="2" applyFont="1" applyFill="1" applyBorder="1" applyAlignment="1">
      <alignment horizontal="right" vertical="center" readingOrder="1"/>
    </xf>
    <xf numFmtId="9" fontId="32" fillId="0" borderId="59" xfId="2" applyFont="1" applyFill="1" applyBorder="1" applyAlignment="1">
      <alignment horizontal="right" vertical="center" readingOrder="1"/>
    </xf>
    <xf numFmtId="17" fontId="23" fillId="0" borderId="62" xfId="0" applyNumberFormat="1" applyFont="1" applyBorder="1" applyAlignment="1">
      <alignment horizontal="center" vertical="center" wrapText="1" readingOrder="1"/>
    </xf>
    <xf numFmtId="17" fontId="23" fillId="0" borderId="63" xfId="0" applyNumberFormat="1" applyFont="1" applyBorder="1" applyAlignment="1">
      <alignment horizontal="center" vertical="center" wrapText="1" readingOrder="1"/>
    </xf>
    <xf numFmtId="17" fontId="23" fillId="5" borderId="64" xfId="0" applyNumberFormat="1" applyFont="1" applyFill="1" applyBorder="1" applyAlignment="1">
      <alignment horizontal="center" vertical="center" wrapText="1" readingOrder="1"/>
    </xf>
    <xf numFmtId="3" fontId="35" fillId="0" borderId="65" xfId="0" applyNumberFormat="1" applyFont="1" applyBorder="1" applyAlignment="1">
      <alignment horizontal="right" vertical="center" readingOrder="1"/>
    </xf>
    <xf numFmtId="3" fontId="35" fillId="2" borderId="66" xfId="0" applyNumberFormat="1" applyFont="1" applyFill="1" applyBorder="1" applyAlignment="1">
      <alignment horizontal="right" vertical="center" readingOrder="1"/>
    </xf>
    <xf numFmtId="3" fontId="35" fillId="0" borderId="67" xfId="0" applyNumberFormat="1" applyFont="1" applyBorder="1" applyAlignment="1">
      <alignment horizontal="right" vertical="center" readingOrder="1"/>
    </xf>
    <xf numFmtId="3" fontId="35" fillId="0" borderId="0" xfId="0" applyNumberFormat="1" applyFont="1" applyBorder="1" applyAlignment="1">
      <alignment horizontal="right" vertical="center" readingOrder="1"/>
    </xf>
    <xf numFmtId="3" fontId="35" fillId="2" borderId="68" xfId="0" applyNumberFormat="1" applyFont="1" applyFill="1" applyBorder="1" applyAlignment="1">
      <alignment horizontal="right" vertical="center" readingOrder="1"/>
    </xf>
    <xf numFmtId="3" fontId="35" fillId="0" borderId="69" xfId="0" applyNumberFormat="1" applyFont="1" applyBorder="1" applyAlignment="1">
      <alignment horizontal="right" vertical="center" readingOrder="1"/>
    </xf>
    <xf numFmtId="3" fontId="35" fillId="2" borderId="70" xfId="0" applyNumberFormat="1" applyFont="1" applyFill="1" applyBorder="1" applyAlignment="1">
      <alignment horizontal="right" vertical="center" readingOrder="1"/>
    </xf>
    <xf numFmtId="3" fontId="32" fillId="0" borderId="71" xfId="0" applyNumberFormat="1" applyFont="1" applyBorder="1" applyAlignment="1">
      <alignment horizontal="right" vertical="center" readingOrder="1"/>
    </xf>
    <xf numFmtId="3" fontId="32" fillId="2" borderId="72" xfId="0" applyNumberFormat="1" applyFont="1" applyFill="1" applyBorder="1" applyAlignment="1">
      <alignment horizontal="right" vertical="center" readingOrder="1"/>
    </xf>
    <xf numFmtId="0" fontId="23" fillId="0" borderId="67" xfId="0" applyFont="1" applyBorder="1" applyAlignment="1">
      <alignment horizontal="left" vertical="center" readingOrder="1"/>
    </xf>
    <xf numFmtId="0" fontId="23" fillId="0" borderId="0" xfId="0" applyFont="1" applyBorder="1" applyAlignment="1">
      <alignment horizontal="left" vertical="center" readingOrder="1"/>
    </xf>
    <xf numFmtId="0" fontId="23" fillId="2" borderId="68" xfId="0" applyFont="1" applyFill="1" applyBorder="1" applyAlignment="1">
      <alignment horizontal="left" vertical="center" readingOrder="1"/>
    </xf>
    <xf numFmtId="173" fontId="37" fillId="0" borderId="67" xfId="0" applyNumberFormat="1" applyFont="1" applyBorder="1" applyAlignment="1">
      <alignment vertical="center"/>
    </xf>
    <xf numFmtId="173" fontId="37" fillId="0" borderId="0" xfId="0" applyNumberFormat="1" applyFont="1" applyBorder="1" applyAlignment="1">
      <alignment vertical="center"/>
    </xf>
    <xf numFmtId="173" fontId="37" fillId="2" borderId="68" xfId="0" applyNumberFormat="1" applyFont="1" applyFill="1" applyBorder="1" applyAlignment="1">
      <alignment vertical="center"/>
    </xf>
    <xf numFmtId="187" fontId="35" fillId="0" borderId="73" xfId="0" applyNumberFormat="1" applyFont="1" applyBorder="1" applyAlignment="1">
      <alignment horizontal="right" vertical="center" readingOrder="1"/>
    </xf>
    <xf numFmtId="187" fontId="35" fillId="5" borderId="74" xfId="0" applyNumberFormat="1" applyFont="1" applyFill="1" applyBorder="1" applyAlignment="1">
      <alignment horizontal="right" vertical="center" readingOrder="1"/>
    </xf>
    <xf numFmtId="187" fontId="29" fillId="0" borderId="67" xfId="0" applyNumberFormat="1" applyFont="1" applyBorder="1" applyAlignment="1">
      <alignment vertical="center"/>
    </xf>
    <xf numFmtId="187" fontId="29" fillId="0" borderId="0" xfId="0" applyNumberFormat="1" applyFont="1" applyBorder="1" applyAlignment="1">
      <alignment vertical="center"/>
    </xf>
    <xf numFmtId="187" fontId="29" fillId="5" borderId="68" xfId="0" applyNumberFormat="1" applyFont="1" applyFill="1" applyBorder="1" applyAlignment="1">
      <alignment vertical="center"/>
    </xf>
    <xf numFmtId="187" fontId="37" fillId="0" borderId="75" xfId="0" applyNumberFormat="1" applyFont="1" applyBorder="1" applyAlignment="1">
      <alignment vertical="center"/>
    </xf>
    <xf numFmtId="187" fontId="37" fillId="0" borderId="76" xfId="0" applyNumberFormat="1" applyFont="1" applyBorder="1" applyAlignment="1">
      <alignment vertical="center"/>
    </xf>
    <xf numFmtId="187" fontId="37" fillId="5" borderId="77" xfId="0" applyNumberFormat="1" applyFont="1" applyFill="1" applyBorder="1" applyAlignment="1">
      <alignment vertical="center"/>
    </xf>
    <xf numFmtId="17" fontId="23" fillId="0" borderId="64" xfId="0" applyNumberFormat="1" applyFont="1" applyBorder="1" applyAlignment="1">
      <alignment horizontal="center" vertical="center" wrapText="1" readingOrder="1"/>
    </xf>
    <xf numFmtId="0" fontId="35" fillId="0" borderId="67" xfId="0" applyFont="1" applyBorder="1" applyAlignment="1">
      <alignment horizontal="right" vertical="center" wrapText="1"/>
    </xf>
    <xf numFmtId="0" fontId="35" fillId="0" borderId="0" xfId="0" applyFont="1" applyBorder="1" applyAlignment="1">
      <alignment horizontal="right" vertical="center" wrapText="1"/>
    </xf>
    <xf numFmtId="0" fontId="35" fillId="0" borderId="68" xfId="0" applyFont="1" applyBorder="1" applyAlignment="1">
      <alignment horizontal="right" vertical="center" wrapText="1"/>
    </xf>
    <xf numFmtId="3" fontId="32" fillId="0" borderId="57" xfId="0" applyNumberFormat="1" applyFont="1" applyBorder="1" applyAlignment="1">
      <alignment horizontal="right" vertical="center" readingOrder="1"/>
    </xf>
    <xf numFmtId="3" fontId="32" fillId="0" borderId="58" xfId="0" applyNumberFormat="1" applyFont="1" applyBorder="1" applyAlignment="1">
      <alignment horizontal="right" vertical="center" readingOrder="1"/>
    </xf>
    <xf numFmtId="3" fontId="32" fillId="0" borderId="59" xfId="0" applyNumberFormat="1" applyFont="1" applyBorder="1" applyAlignment="1">
      <alignment horizontal="right" vertical="center" readingOrder="1"/>
    </xf>
    <xf numFmtId="3" fontId="29" fillId="0" borderId="65" xfId="0" applyNumberFormat="1" applyFont="1" applyBorder="1" applyAlignment="1">
      <alignment vertical="center"/>
    </xf>
    <xf numFmtId="3" fontId="29" fillId="0" borderId="66" xfId="0" applyNumberFormat="1" applyFont="1" applyBorder="1" applyAlignment="1">
      <alignment vertical="center"/>
    </xf>
    <xf numFmtId="176" fontId="29" fillId="0" borderId="67" xfId="0" applyNumberFormat="1" applyFont="1" applyBorder="1" applyAlignment="1">
      <alignment vertical="center"/>
    </xf>
    <xf numFmtId="176" fontId="29" fillId="0" borderId="0" xfId="0" applyNumberFormat="1" applyFont="1" applyBorder="1" applyAlignment="1">
      <alignment vertical="center"/>
    </xf>
    <xf numFmtId="176" fontId="29" fillId="0" borderId="68" xfId="0" applyNumberFormat="1" applyFont="1" applyBorder="1" applyAlignment="1">
      <alignment vertical="center"/>
    </xf>
    <xf numFmtId="176" fontId="29" fillId="0" borderId="78" xfId="0" applyNumberFormat="1" applyFont="1" applyBorder="1" applyAlignment="1">
      <alignment vertical="center"/>
    </xf>
    <xf numFmtId="176" fontId="29" fillId="0" borderId="79" xfId="0" applyNumberFormat="1" applyFont="1" applyBorder="1" applyAlignment="1">
      <alignment vertical="center"/>
    </xf>
    <xf numFmtId="165" fontId="23" fillId="0" borderId="73" xfId="2" applyNumberFormat="1" applyFont="1" applyFill="1" applyBorder="1" applyAlignment="1">
      <alignment horizontal="right" vertical="center" wrapText="1" readingOrder="1"/>
    </xf>
    <xf numFmtId="165" fontId="23" fillId="0" borderId="74" xfId="2" applyNumberFormat="1" applyFont="1" applyFill="1" applyBorder="1" applyAlignment="1">
      <alignment horizontal="right" vertical="center" wrapText="1" readingOrder="1"/>
    </xf>
    <xf numFmtId="165" fontId="23" fillId="0" borderId="69" xfId="2" applyNumberFormat="1" applyFont="1" applyFill="1" applyBorder="1" applyAlignment="1">
      <alignment horizontal="right" vertical="center" wrapText="1" readingOrder="1"/>
    </xf>
    <xf numFmtId="165" fontId="23" fillId="0" borderId="70" xfId="2" applyNumberFormat="1" applyFont="1" applyFill="1" applyBorder="1" applyAlignment="1">
      <alignment horizontal="right" vertical="center" wrapText="1" readingOrder="1"/>
    </xf>
    <xf numFmtId="4" fontId="88" fillId="0" borderId="80" xfId="2" applyNumberFormat="1" applyFont="1" applyFill="1" applyBorder="1" applyAlignment="1">
      <alignment horizontal="right" vertical="center" wrapText="1" readingOrder="1"/>
    </xf>
    <xf numFmtId="4" fontId="88" fillId="0" borderId="81" xfId="2" applyNumberFormat="1" applyFont="1" applyFill="1" applyBorder="1" applyAlignment="1">
      <alignment horizontal="right" vertical="center" wrapText="1" readingOrder="1"/>
    </xf>
    <xf numFmtId="4" fontId="88" fillId="0" borderId="82" xfId="2" applyNumberFormat="1" applyFont="1" applyFill="1" applyBorder="1" applyAlignment="1">
      <alignment horizontal="right" vertical="center" wrapText="1" readingOrder="1"/>
    </xf>
    <xf numFmtId="0" fontId="12" fillId="0" borderId="0" xfId="0" applyFont="1" applyAlignment="1">
      <alignment vertical="center" wrapText="1"/>
    </xf>
    <xf numFmtId="0" fontId="13" fillId="0" borderId="0" xfId="0" applyFont="1" applyAlignment="1">
      <alignment vertical="center" wrapText="1" readingOrder="1"/>
    </xf>
    <xf numFmtId="0" fontId="14" fillId="0" borderId="0" xfId="0" applyFont="1" applyAlignment="1">
      <alignment vertical="center" wrapText="1" readingOrder="1"/>
    </xf>
    <xf numFmtId="0" fontId="12" fillId="0" borderId="0" xfId="0" applyFont="1" applyAlignment="1">
      <alignment horizontal="center" vertical="center" wrapText="1"/>
    </xf>
    <xf numFmtId="0" fontId="12" fillId="26" borderId="0" xfId="0" applyFont="1" applyFill="1" applyAlignment="1">
      <alignment vertical="center" wrapText="1"/>
    </xf>
    <xf numFmtId="0" fontId="15" fillId="0" borderId="0" xfId="0" applyFont="1" applyAlignment="1">
      <alignment horizontal="left" vertical="center" wrapText="1" readingOrder="1"/>
    </xf>
    <xf numFmtId="3" fontId="16" fillId="0" borderId="0" xfId="0" applyNumberFormat="1" applyFont="1" applyAlignment="1">
      <alignment horizontal="right" vertical="center" wrapText="1"/>
    </xf>
    <xf numFmtId="165" fontId="16" fillId="2" borderId="0" xfId="0" applyNumberFormat="1" applyFont="1" applyFill="1" applyAlignment="1">
      <alignment horizontal="right" vertical="center" wrapText="1"/>
    </xf>
    <xf numFmtId="165" fontId="16" fillId="2" borderId="0" xfId="0" applyNumberFormat="1" applyFont="1" applyFill="1" applyAlignment="1">
      <alignment horizontal="right" vertical="center" wrapText="1" readingOrder="1"/>
    </xf>
    <xf numFmtId="165" fontId="15" fillId="0" borderId="0" xfId="0" applyNumberFormat="1" applyFont="1" applyAlignment="1">
      <alignment horizontal="right" vertical="center" wrapText="1" readingOrder="1"/>
    </xf>
    <xf numFmtId="170" fontId="15" fillId="0" borderId="9" xfId="0" applyNumberFormat="1" applyFont="1" applyBorder="1" applyAlignment="1">
      <alignment horizontal="right" vertical="center" wrapText="1" readingOrder="1"/>
    </xf>
    <xf numFmtId="165" fontId="12" fillId="0" borderId="0" xfId="2" applyNumberFormat="1" applyFont="1" applyAlignment="1">
      <alignment vertical="center" wrapText="1"/>
    </xf>
    <xf numFmtId="165" fontId="25" fillId="2" borderId="0" xfId="0" applyNumberFormat="1" applyFont="1" applyFill="1" applyAlignment="1">
      <alignment horizontal="right" vertical="center" wrapText="1" readingOrder="1"/>
    </xf>
    <xf numFmtId="3" fontId="12" fillId="0" borderId="0" xfId="0" applyNumberFormat="1" applyFont="1" applyAlignment="1">
      <alignment horizontal="center" vertical="center" wrapText="1"/>
    </xf>
    <xf numFmtId="189" fontId="16" fillId="0" borderId="0" xfId="0" applyNumberFormat="1" applyFont="1" applyAlignment="1">
      <alignment horizontal="right" vertical="center" wrapText="1"/>
    </xf>
    <xf numFmtId="173" fontId="16" fillId="0" borderId="0" xfId="0" applyNumberFormat="1" applyFont="1" applyAlignment="1">
      <alignment horizontal="right" vertical="center" wrapText="1"/>
    </xf>
    <xf numFmtId="10" fontId="12" fillId="0" borderId="0" xfId="2" applyNumberFormat="1" applyFont="1" applyAlignment="1">
      <alignment vertical="center" wrapText="1"/>
    </xf>
    <xf numFmtId="3" fontId="12" fillId="0" borderId="0" xfId="0" applyNumberFormat="1" applyFont="1" applyAlignment="1">
      <alignment vertical="center" wrapText="1"/>
    </xf>
    <xf numFmtId="173" fontId="12" fillId="0" borderId="0" xfId="0" applyNumberFormat="1" applyFont="1" applyAlignment="1">
      <alignment horizontal="center" vertical="center" wrapText="1"/>
    </xf>
    <xf numFmtId="9" fontId="12" fillId="0" borderId="0" xfId="2" applyFont="1" applyAlignment="1">
      <alignment vertical="center" wrapText="1"/>
    </xf>
    <xf numFmtId="170" fontId="15" fillId="0" borderId="0" xfId="0" applyNumberFormat="1" applyFont="1" applyAlignment="1">
      <alignment horizontal="right" vertical="center" wrapText="1" readingOrder="1"/>
    </xf>
    <xf numFmtId="165" fontId="12" fillId="0" borderId="0" xfId="2" applyNumberFormat="1" applyFont="1" applyBorder="1" applyAlignment="1">
      <alignment vertical="center" wrapText="1"/>
    </xf>
    <xf numFmtId="4" fontId="12" fillId="0" borderId="0" xfId="2" applyNumberFormat="1" applyFont="1" applyAlignment="1">
      <alignment vertical="center" wrapText="1"/>
    </xf>
    <xf numFmtId="0" fontId="15" fillId="0" borderId="8" xfId="0" applyFont="1" applyBorder="1" applyAlignment="1">
      <alignment horizontal="left" vertical="center" wrapText="1" readingOrder="1"/>
    </xf>
    <xf numFmtId="3" fontId="16" fillId="0" borderId="8" xfId="0" applyNumberFormat="1" applyFont="1" applyBorder="1" applyAlignment="1">
      <alignment horizontal="right" vertical="center" wrapText="1"/>
    </xf>
    <xf numFmtId="165" fontId="15" fillId="0" borderId="8" xfId="0" applyNumberFormat="1" applyFont="1" applyBorder="1" applyAlignment="1">
      <alignment horizontal="right" vertical="center" wrapText="1" readingOrder="1"/>
    </xf>
    <xf numFmtId="170" fontId="15" fillId="0" borderId="8" xfId="0" applyNumberFormat="1" applyFont="1" applyBorder="1" applyAlignment="1">
      <alignment horizontal="right" vertical="center" wrapText="1" readingOrder="1"/>
    </xf>
    <xf numFmtId="165" fontId="25" fillId="2" borderId="8" xfId="0" applyNumberFormat="1" applyFont="1" applyFill="1" applyBorder="1" applyAlignment="1">
      <alignment horizontal="right" vertical="center" wrapText="1" readingOrder="1"/>
    </xf>
    <xf numFmtId="0" fontId="13" fillId="0" borderId="15" xfId="0" applyFont="1" applyBorder="1" applyAlignment="1">
      <alignment horizontal="left" vertical="center" wrapText="1" readingOrder="1"/>
    </xf>
    <xf numFmtId="165" fontId="17" fillId="2" borderId="15" xfId="0" applyNumberFormat="1" applyFont="1" applyFill="1" applyBorder="1" applyAlignment="1">
      <alignment horizontal="right" vertical="center" wrapText="1"/>
    </xf>
    <xf numFmtId="165" fontId="17" fillId="5" borderId="15" xfId="0" applyNumberFormat="1" applyFont="1" applyFill="1" applyBorder="1" applyAlignment="1">
      <alignment horizontal="right" vertical="center" wrapText="1" readingOrder="1"/>
    </xf>
    <xf numFmtId="165" fontId="13" fillId="0" borderId="15" xfId="0" applyNumberFormat="1" applyFont="1" applyBorder="1" applyAlignment="1">
      <alignment horizontal="right" vertical="center" wrapText="1" readingOrder="1"/>
    </xf>
    <xf numFmtId="170" fontId="13" fillId="0" borderId="15" xfId="0" applyNumberFormat="1" applyFont="1" applyBorder="1" applyAlignment="1">
      <alignment horizontal="right" vertical="center" wrapText="1" readingOrder="1"/>
    </xf>
    <xf numFmtId="3" fontId="17" fillId="0" borderId="15" xfId="0" applyNumberFormat="1" applyFont="1" applyBorder="1" applyAlignment="1">
      <alignment horizontal="right" vertical="center" wrapText="1"/>
    </xf>
    <xf numFmtId="165" fontId="18" fillId="0" borderId="15" xfId="2" applyNumberFormat="1" applyFont="1" applyBorder="1" applyAlignment="1">
      <alignment vertical="center" wrapText="1"/>
    </xf>
    <xf numFmtId="165" fontId="13" fillId="5" borderId="15" xfId="0" applyNumberFormat="1" applyFont="1" applyFill="1" applyBorder="1" applyAlignment="1">
      <alignment horizontal="right" vertical="center" wrapText="1" readingOrder="1"/>
    </xf>
    <xf numFmtId="3" fontId="17" fillId="0" borderId="15" xfId="0" applyNumberFormat="1" applyFont="1" applyBorder="1" applyAlignment="1">
      <alignment horizontal="center" vertical="center" wrapText="1"/>
    </xf>
    <xf numFmtId="189" fontId="17" fillId="0" borderId="15" xfId="0" applyNumberFormat="1" applyFont="1" applyBorder="1" applyAlignment="1">
      <alignment horizontal="right" vertical="center" wrapText="1"/>
    </xf>
    <xf numFmtId="173" fontId="17" fillId="0" borderId="15" xfId="0" applyNumberFormat="1" applyFont="1" applyBorder="1" applyAlignment="1">
      <alignment horizontal="right" vertical="center" wrapText="1"/>
    </xf>
    <xf numFmtId="10" fontId="17" fillId="0" borderId="15" xfId="2" applyNumberFormat="1" applyFont="1" applyBorder="1" applyAlignment="1">
      <alignment horizontal="right" vertical="center" wrapText="1"/>
    </xf>
    <xf numFmtId="173" fontId="17" fillId="0" borderId="15" xfId="0" applyNumberFormat="1" applyFont="1" applyBorder="1" applyAlignment="1">
      <alignment horizontal="center" vertical="center" wrapText="1"/>
    </xf>
    <xf numFmtId="9" fontId="17" fillId="0" borderId="15" xfId="2" applyFont="1" applyBorder="1" applyAlignment="1">
      <alignment horizontal="right" vertical="center" wrapText="1"/>
    </xf>
    <xf numFmtId="0" fontId="12" fillId="25" borderId="0" xfId="0" applyFont="1" applyFill="1" applyAlignment="1">
      <alignment vertical="center" wrapText="1"/>
    </xf>
    <xf numFmtId="173" fontId="12" fillId="0" borderId="0" xfId="0" applyNumberFormat="1" applyFont="1" applyAlignment="1">
      <alignment vertical="center" wrapText="1"/>
    </xf>
    <xf numFmtId="9" fontId="12" fillId="0" borderId="0" xfId="2" applyFont="1" applyAlignment="1">
      <alignment horizontal="center" vertical="center" wrapText="1"/>
    </xf>
    <xf numFmtId="0" fontId="15" fillId="0" borderId="5" xfId="0" applyFont="1" applyBorder="1" applyAlignment="1">
      <alignment horizontal="left" vertical="center" wrapText="1" readingOrder="1"/>
    </xf>
    <xf numFmtId="165" fontId="16" fillId="0" borderId="5" xfId="0" applyNumberFormat="1" applyFont="1" applyBorder="1" applyAlignment="1">
      <alignment horizontal="right" vertical="center" wrapText="1" readingOrder="1"/>
    </xf>
    <xf numFmtId="0" fontId="0" fillId="0" borderId="0" xfId="0" applyAlignment="1">
      <alignment vertical="center" wrapText="1"/>
    </xf>
    <xf numFmtId="0" fontId="0" fillId="0" borderId="0" xfId="0" applyAlignment="1">
      <alignment horizontal="center" vertical="center" wrapText="1"/>
    </xf>
    <xf numFmtId="0" fontId="15" fillId="0" borderId="6" xfId="0" applyFont="1" applyBorder="1" applyAlignment="1">
      <alignment horizontal="left" vertical="center" wrapText="1" readingOrder="1"/>
    </xf>
    <xf numFmtId="165" fontId="16" fillId="0" borderId="6" xfId="0" applyNumberFormat="1" applyFont="1" applyBorder="1" applyAlignment="1">
      <alignment horizontal="right" vertical="center" wrapText="1" readingOrder="1"/>
    </xf>
    <xf numFmtId="0" fontId="15" fillId="0" borderId="9" xfId="0" applyFont="1" applyBorder="1" applyAlignment="1">
      <alignment horizontal="left" vertical="center" wrapText="1" readingOrder="1"/>
    </xf>
    <xf numFmtId="165" fontId="16" fillId="0" borderId="9" xfId="0" applyNumberFormat="1" applyFont="1" applyBorder="1" applyAlignment="1">
      <alignment horizontal="right" vertical="center" wrapText="1" readingOrder="1"/>
    </xf>
    <xf numFmtId="165" fontId="16" fillId="2" borderId="8" xfId="0" applyNumberFormat="1" applyFont="1" applyFill="1" applyBorder="1" applyAlignment="1">
      <alignment horizontal="right" vertical="center" wrapText="1" readingOrder="1"/>
    </xf>
    <xf numFmtId="165" fontId="16" fillId="2" borderId="8" xfId="0" applyNumberFormat="1" applyFont="1" applyFill="1" applyBorder="1" applyAlignment="1">
      <alignment horizontal="right" vertical="center" wrapText="1"/>
    </xf>
    <xf numFmtId="3" fontId="16" fillId="0" borderId="18" xfId="0" applyNumberFormat="1" applyFont="1" applyBorder="1" applyAlignment="1">
      <alignment horizontal="right" vertical="center" wrapText="1"/>
    </xf>
    <xf numFmtId="0" fontId="70" fillId="0" borderId="0" xfId="0" applyFont="1" applyAlignment="1">
      <alignment vertical="center" wrapText="1"/>
    </xf>
    <xf numFmtId="0" fontId="70" fillId="0" borderId="0" xfId="0" applyFont="1" applyAlignment="1">
      <alignment horizontal="left" vertical="center" wrapText="1"/>
    </xf>
    <xf numFmtId="0" fontId="69" fillId="0" borderId="0" xfId="0" applyFont="1" applyAlignment="1">
      <alignment horizontal="left" vertical="center" wrapText="1"/>
    </xf>
    <xf numFmtId="0" fontId="69" fillId="0" borderId="0" xfId="0" applyFont="1" applyAlignment="1">
      <alignment vertical="center" wrapText="1"/>
    </xf>
    <xf numFmtId="0" fontId="72" fillId="24" borderId="83" xfId="0" applyFont="1" applyFill="1" applyBorder="1" applyAlignment="1">
      <alignment horizontal="center" vertical="center" wrapText="1"/>
    </xf>
    <xf numFmtId="0" fontId="73" fillId="0" borderId="83" xfId="0" applyFont="1" applyBorder="1" applyAlignment="1">
      <alignment vertical="center" wrapText="1"/>
    </xf>
    <xf numFmtId="0" fontId="74" fillId="0" borderId="0" xfId="0" applyFont="1" applyAlignment="1">
      <alignment horizontal="left" vertical="center" wrapText="1" readingOrder="1"/>
    </xf>
    <xf numFmtId="0" fontId="57" fillId="0" borderId="0" xfId="0" applyFont="1" applyBorder="1" applyAlignment="1">
      <alignment vertical="center" wrapText="1"/>
    </xf>
    <xf numFmtId="0" fontId="21" fillId="0" borderId="83" xfId="0" applyFont="1" applyBorder="1" applyAlignment="1">
      <alignment horizontal="center" vertical="center" wrapText="1"/>
    </xf>
    <xf numFmtId="0" fontId="20" fillId="0" borderId="83" xfId="0" applyFont="1" applyBorder="1" applyAlignment="1">
      <alignment horizontal="center" vertical="center" wrapText="1"/>
    </xf>
    <xf numFmtId="0" fontId="63" fillId="15" borderId="83" xfId="0" applyFont="1" applyFill="1" applyBorder="1" applyAlignment="1">
      <alignment horizontal="center" vertical="center" wrapText="1"/>
    </xf>
    <xf numFmtId="3" fontId="64" fillId="0" borderId="83" xfId="0" applyNumberFormat="1" applyFont="1" applyBorder="1" applyAlignment="1">
      <alignment horizontal="right" vertical="center" wrapText="1"/>
    </xf>
    <xf numFmtId="0" fontId="20" fillId="16" borderId="83" xfId="0" applyFont="1" applyFill="1" applyBorder="1" applyAlignment="1">
      <alignment horizontal="center" vertical="center" wrapText="1"/>
    </xf>
    <xf numFmtId="0" fontId="63" fillId="13" borderId="83" xfId="0" applyFont="1" applyFill="1" applyBorder="1" applyAlignment="1">
      <alignment horizontal="center" vertical="center" wrapText="1"/>
    </xf>
    <xf numFmtId="0" fontId="20" fillId="8" borderId="83" xfId="0" applyFont="1" applyFill="1" applyBorder="1" applyAlignment="1">
      <alignment horizontal="center" vertical="center" wrapText="1"/>
    </xf>
    <xf numFmtId="17" fontId="17" fillId="0" borderId="50" xfId="0" applyNumberFormat="1" applyFont="1" applyBorder="1" applyAlignment="1">
      <alignment horizontal="center" vertical="center" wrapText="1" readingOrder="1"/>
    </xf>
    <xf numFmtId="17" fontId="17" fillId="0" borderId="51" xfId="0" applyNumberFormat="1" applyFont="1" applyBorder="1" applyAlignment="1">
      <alignment horizontal="center" vertical="center" wrapText="1" readingOrder="1"/>
    </xf>
    <xf numFmtId="17" fontId="13" fillId="5" borderId="52" xfId="0" applyNumberFormat="1" applyFont="1" applyFill="1" applyBorder="1" applyAlignment="1">
      <alignment horizontal="center" vertical="center" wrapText="1" readingOrder="1"/>
    </xf>
    <xf numFmtId="165" fontId="16" fillId="0" borderId="53" xfId="0" applyNumberFormat="1" applyFont="1" applyBorder="1" applyAlignment="1">
      <alignment horizontal="right" vertical="center" wrapText="1" readingOrder="1"/>
    </xf>
    <xf numFmtId="165" fontId="16" fillId="2" borderId="54" xfId="0" applyNumberFormat="1" applyFont="1" applyFill="1" applyBorder="1" applyAlignment="1">
      <alignment horizontal="right" vertical="center" wrapText="1" readingOrder="1"/>
    </xf>
    <xf numFmtId="165" fontId="16" fillId="0" borderId="60" xfId="0" applyNumberFormat="1" applyFont="1" applyBorder="1" applyAlignment="1">
      <alignment horizontal="right" vertical="center" wrapText="1" readingOrder="1"/>
    </xf>
    <xf numFmtId="165" fontId="16" fillId="2" borderId="61" xfId="0" applyNumberFormat="1" applyFont="1" applyFill="1" applyBorder="1" applyAlignment="1">
      <alignment horizontal="right" vertical="center" wrapText="1" readingOrder="1"/>
    </xf>
    <xf numFmtId="165" fontId="16" fillId="0" borderId="55" xfId="0" applyNumberFormat="1" applyFont="1" applyBorder="1" applyAlignment="1">
      <alignment horizontal="right" vertical="center" wrapText="1" readingOrder="1"/>
    </xf>
    <xf numFmtId="165" fontId="16" fillId="2" borderId="56" xfId="0" applyNumberFormat="1" applyFont="1" applyFill="1" applyBorder="1" applyAlignment="1">
      <alignment horizontal="right" vertical="center" wrapText="1" readingOrder="1"/>
    </xf>
    <xf numFmtId="165" fontId="17" fillId="0" borderId="57" xfId="2" applyNumberFormat="1" applyFont="1" applyFill="1" applyBorder="1" applyAlignment="1">
      <alignment vertical="center" wrapText="1"/>
    </xf>
    <xf numFmtId="165" fontId="17" fillId="0" borderId="58" xfId="2" applyNumberFormat="1" applyFont="1" applyFill="1" applyBorder="1" applyAlignment="1">
      <alignment vertical="center" wrapText="1"/>
    </xf>
    <xf numFmtId="165" fontId="18" fillId="5" borderId="59" xfId="2" applyNumberFormat="1" applyFont="1" applyFill="1" applyBorder="1" applyAlignment="1">
      <alignment vertical="center" wrapText="1"/>
    </xf>
    <xf numFmtId="17" fontId="17" fillId="32" borderId="50" xfId="0" applyNumberFormat="1" applyFont="1" applyFill="1" applyBorder="1" applyAlignment="1">
      <alignment horizontal="center" vertical="center" wrapText="1" readingOrder="1"/>
    </xf>
    <xf numFmtId="17" fontId="17" fillId="32" borderId="51" xfId="0" applyNumberFormat="1" applyFont="1" applyFill="1" applyBorder="1" applyAlignment="1">
      <alignment horizontal="center" vertical="center" wrapText="1" readingOrder="1"/>
    </xf>
    <xf numFmtId="17" fontId="17" fillId="32" borderId="52" xfId="0" applyNumberFormat="1" applyFont="1" applyFill="1" applyBorder="1" applyAlignment="1">
      <alignment horizontal="center" vertical="center" wrapText="1" readingOrder="1"/>
    </xf>
    <xf numFmtId="173" fontId="16" fillId="0" borderId="67" xfId="11" applyNumberFormat="1" applyFont="1" applyBorder="1" applyAlignment="1">
      <alignment vertical="center"/>
    </xf>
    <xf numFmtId="173" fontId="16" fillId="0" borderId="0" xfId="11" applyNumberFormat="1" applyFont="1" applyBorder="1" applyAlignment="1">
      <alignment vertical="center"/>
    </xf>
    <xf numFmtId="173" fontId="16" fillId="0" borderId="68" xfId="11" applyNumberFormat="1" applyFont="1" applyBorder="1" applyAlignment="1">
      <alignment vertical="center"/>
    </xf>
    <xf numFmtId="173" fontId="17" fillId="0" borderId="67" xfId="11" applyNumberFormat="1" applyFont="1" applyBorder="1" applyAlignment="1">
      <alignment vertical="center"/>
    </xf>
    <xf numFmtId="173" fontId="17" fillId="0" borderId="0" xfId="11" applyNumberFormat="1" applyFont="1" applyBorder="1" applyAlignment="1">
      <alignment vertical="center"/>
    </xf>
    <xf numFmtId="173" fontId="17" fillId="0" borderId="68" xfId="11" applyNumberFormat="1" applyFont="1" applyBorder="1" applyAlignment="1">
      <alignment vertical="center"/>
    </xf>
    <xf numFmtId="3" fontId="16" fillId="0" borderId="67" xfId="11" applyNumberFormat="1" applyFont="1" applyBorder="1" applyAlignment="1">
      <alignment vertical="center"/>
    </xf>
    <xf numFmtId="3" fontId="16" fillId="0" borderId="0" xfId="11" applyNumberFormat="1" applyFont="1" applyBorder="1" applyAlignment="1">
      <alignment vertical="center"/>
    </xf>
    <xf numFmtId="3" fontId="16" fillId="0" borderId="68" xfId="11" applyNumberFormat="1" applyFont="1" applyBorder="1" applyAlignment="1">
      <alignment vertical="center"/>
    </xf>
    <xf numFmtId="173" fontId="17" fillId="0" borderId="78" xfId="11" applyNumberFormat="1" applyFont="1" applyBorder="1" applyAlignment="1">
      <alignment vertical="center"/>
    </xf>
    <xf numFmtId="173" fontId="17" fillId="0" borderId="79" xfId="11" applyNumberFormat="1" applyFont="1" applyBorder="1" applyAlignment="1">
      <alignment vertical="center"/>
    </xf>
    <xf numFmtId="173" fontId="16" fillId="0" borderId="65" xfId="11" applyNumberFormat="1" applyFont="1" applyBorder="1" applyAlignment="1">
      <alignment vertical="center"/>
    </xf>
    <xf numFmtId="173" fontId="16" fillId="0" borderId="66" xfId="11" applyNumberFormat="1" applyFont="1" applyBorder="1" applyAlignment="1">
      <alignment vertical="center"/>
    </xf>
    <xf numFmtId="173" fontId="17" fillId="0" borderId="86" xfId="11" applyNumberFormat="1" applyFont="1" applyBorder="1" applyAlignment="1">
      <alignment vertical="center"/>
    </xf>
    <xf numFmtId="173" fontId="17" fillId="0" borderId="87" xfId="11" applyNumberFormat="1" applyFont="1" applyBorder="1" applyAlignment="1">
      <alignment vertical="center"/>
    </xf>
    <xf numFmtId="165" fontId="16" fillId="0" borderId="75" xfId="12" applyNumberFormat="1" applyFont="1" applyBorder="1" applyAlignment="1">
      <alignment vertical="center"/>
    </xf>
    <xf numFmtId="165" fontId="16" fillId="0" borderId="76" xfId="12" applyNumberFormat="1" applyFont="1" applyBorder="1" applyAlignment="1">
      <alignment vertical="center"/>
    </xf>
    <xf numFmtId="165" fontId="16" fillId="0" borderId="77" xfId="12" applyNumberFormat="1" applyFont="1" applyBorder="1" applyAlignment="1">
      <alignment vertical="center"/>
    </xf>
    <xf numFmtId="165" fontId="19" fillId="0" borderId="75" xfId="12" applyNumberFormat="1" applyFont="1" applyBorder="1" applyAlignment="1">
      <alignment vertical="center"/>
    </xf>
    <xf numFmtId="173" fontId="5" fillId="0" borderId="0" xfId="0" applyNumberFormat="1" applyFont="1" applyBorder="1" applyAlignment="1">
      <alignment vertical="center"/>
    </xf>
    <xf numFmtId="173" fontId="4" fillId="0" borderId="0" xfId="0" applyNumberFormat="1" applyFont="1" applyBorder="1" applyAlignment="1">
      <alignment vertical="center"/>
    </xf>
    <xf numFmtId="173" fontId="3" fillId="0" borderId="0" xfId="0" applyNumberFormat="1" applyFont="1" applyBorder="1" applyAlignment="1">
      <alignment vertical="center"/>
    </xf>
    <xf numFmtId="173" fontId="92" fillId="0" borderId="0" xfId="0" applyNumberFormat="1" applyFont="1" applyBorder="1" applyAlignment="1">
      <alignment vertical="center"/>
    </xf>
    <xf numFmtId="173" fontId="92" fillId="0" borderId="68" xfId="0" applyNumberFormat="1" applyFont="1" applyBorder="1" applyAlignment="1">
      <alignment vertical="center"/>
    </xf>
    <xf numFmtId="173" fontId="18" fillId="0" borderId="0" xfId="0" applyNumberFormat="1" applyFont="1" applyBorder="1" applyAlignment="1">
      <alignment vertical="center"/>
    </xf>
    <xf numFmtId="173" fontId="93" fillId="0" borderId="0" xfId="0" applyNumberFormat="1" applyFont="1" applyBorder="1" applyAlignment="1">
      <alignment vertical="center"/>
    </xf>
    <xf numFmtId="173" fontId="93" fillId="0" borderId="68" xfId="0" applyNumberFormat="1" applyFont="1" applyBorder="1" applyAlignment="1">
      <alignment vertical="center"/>
    </xf>
    <xf numFmtId="3" fontId="5" fillId="0" borderId="0" xfId="0" applyNumberFormat="1" applyFont="1" applyBorder="1" applyAlignment="1">
      <alignment vertical="center"/>
    </xf>
    <xf numFmtId="3" fontId="4" fillId="0" borderId="0" xfId="0" applyNumberFormat="1" applyFont="1" applyBorder="1" applyAlignment="1">
      <alignment vertical="center"/>
    </xf>
    <xf numFmtId="3" fontId="3" fillId="0" borderId="0" xfId="0" applyNumberFormat="1" applyFont="1" applyBorder="1" applyAlignment="1">
      <alignment vertical="center"/>
    </xf>
    <xf numFmtId="3" fontId="92" fillId="0" borderId="0" xfId="0" applyNumberFormat="1" applyFont="1" applyBorder="1" applyAlignment="1">
      <alignment vertical="center"/>
    </xf>
    <xf numFmtId="3" fontId="92" fillId="0" borderId="68" xfId="0" applyNumberFormat="1" applyFont="1" applyBorder="1" applyAlignment="1">
      <alignment vertical="center"/>
    </xf>
    <xf numFmtId="184" fontId="16" fillId="0" borderId="67" xfId="11" applyNumberFormat="1" applyFont="1" applyBorder="1" applyAlignment="1">
      <alignment vertical="center"/>
    </xf>
    <xf numFmtId="184" fontId="5" fillId="0" borderId="0" xfId="0" applyNumberFormat="1" applyFont="1" applyBorder="1" applyAlignment="1">
      <alignment vertical="center"/>
    </xf>
    <xf numFmtId="184" fontId="4" fillId="0" borderId="0" xfId="0" applyNumberFormat="1" applyFont="1" applyBorder="1" applyAlignment="1">
      <alignment vertical="center"/>
    </xf>
    <xf numFmtId="184" fontId="3" fillId="0" borderId="0" xfId="0" applyNumberFormat="1" applyFont="1" applyBorder="1" applyAlignment="1">
      <alignment vertical="center"/>
    </xf>
    <xf numFmtId="184" fontId="92" fillId="0" borderId="0" xfId="0" applyNumberFormat="1" applyFont="1" applyBorder="1" applyAlignment="1">
      <alignment vertical="center"/>
    </xf>
    <xf numFmtId="184" fontId="92" fillId="0" borderId="68" xfId="0" applyNumberFormat="1" applyFont="1" applyBorder="1" applyAlignment="1">
      <alignment vertical="center"/>
    </xf>
    <xf numFmtId="185" fontId="16" fillId="0" borderId="67" xfId="11" applyNumberFormat="1" applyFont="1" applyBorder="1" applyAlignment="1">
      <alignment vertical="center"/>
    </xf>
    <xf numFmtId="185" fontId="5" fillId="0" borderId="0" xfId="0" applyNumberFormat="1" applyFont="1" applyBorder="1" applyAlignment="1">
      <alignment vertical="center"/>
    </xf>
    <xf numFmtId="185" fontId="4" fillId="0" borderId="0" xfId="0" applyNumberFormat="1" applyFont="1" applyBorder="1" applyAlignment="1">
      <alignment vertical="center"/>
    </xf>
    <xf numFmtId="185" fontId="3" fillId="0" borderId="0" xfId="0" applyNumberFormat="1" applyFont="1" applyBorder="1" applyAlignment="1">
      <alignment vertical="center"/>
    </xf>
    <xf numFmtId="185" fontId="92" fillId="0" borderId="0" xfId="0" applyNumberFormat="1" applyFont="1" applyBorder="1" applyAlignment="1">
      <alignment vertical="center"/>
    </xf>
    <xf numFmtId="185" fontId="92" fillId="0" borderId="68" xfId="0" applyNumberFormat="1" applyFont="1" applyBorder="1" applyAlignment="1">
      <alignment vertical="center"/>
    </xf>
    <xf numFmtId="173" fontId="93" fillId="0" borderId="79" xfId="0" applyNumberFormat="1" applyFont="1" applyBorder="1" applyAlignment="1">
      <alignment vertical="center"/>
    </xf>
    <xf numFmtId="0" fontId="16" fillId="0" borderId="67" xfId="11" applyFont="1" applyBorder="1" applyAlignment="1">
      <alignment vertical="center"/>
    </xf>
    <xf numFmtId="0" fontId="5" fillId="0" borderId="0" xfId="0" applyFont="1" applyBorder="1" applyAlignment="1">
      <alignment vertical="center"/>
    </xf>
    <xf numFmtId="0" fontId="4" fillId="0" borderId="0" xfId="0" applyFont="1" applyBorder="1" applyAlignment="1">
      <alignment vertical="center"/>
    </xf>
    <xf numFmtId="0" fontId="3" fillId="0" borderId="0" xfId="0" applyFont="1" applyBorder="1" applyAlignment="1">
      <alignment vertical="center"/>
    </xf>
    <xf numFmtId="0" fontId="2" fillId="0" borderId="0" xfId="0" applyFont="1" applyBorder="1" applyAlignment="1">
      <alignment vertical="center"/>
    </xf>
    <xf numFmtId="0" fontId="2" fillId="0" borderId="68" xfId="0" applyFont="1" applyBorder="1" applyAlignment="1">
      <alignment vertical="center"/>
    </xf>
    <xf numFmtId="173" fontId="18" fillId="0" borderId="68" xfId="0" applyNumberFormat="1" applyFont="1" applyBorder="1" applyAlignment="1">
      <alignment vertical="center"/>
    </xf>
    <xf numFmtId="165" fontId="19" fillId="0" borderId="76" xfId="2" applyNumberFormat="1" applyFont="1" applyBorder="1" applyAlignment="1">
      <alignment vertical="center"/>
    </xf>
    <xf numFmtId="165" fontId="19" fillId="0" borderId="77" xfId="2" applyNumberFormat="1" applyFont="1" applyBorder="1" applyAlignment="1">
      <alignment vertical="center"/>
    </xf>
    <xf numFmtId="173" fontId="24" fillId="0" borderId="67" xfId="0" applyNumberFormat="1" applyFont="1" applyBorder="1" applyAlignment="1">
      <alignment vertical="center"/>
    </xf>
    <xf numFmtId="173" fontId="24" fillId="0" borderId="0" xfId="0" applyNumberFormat="1" applyFont="1" applyBorder="1" applyAlignment="1">
      <alignment vertical="center"/>
    </xf>
    <xf numFmtId="173" fontId="24" fillId="0" borderId="68" xfId="0" applyNumberFormat="1" applyFont="1" applyBorder="1" applyAlignment="1">
      <alignment vertical="center"/>
    </xf>
    <xf numFmtId="173" fontId="25" fillId="0" borderId="67" xfId="0" applyNumberFormat="1" applyFont="1" applyBorder="1" applyAlignment="1">
      <alignment vertical="center"/>
    </xf>
    <xf numFmtId="173" fontId="25" fillId="0" borderId="0" xfId="0" applyNumberFormat="1" applyFont="1" applyBorder="1" applyAlignment="1">
      <alignment vertical="center"/>
    </xf>
    <xf numFmtId="173" fontId="25" fillId="0" borderId="68" xfId="0" applyNumberFormat="1" applyFont="1" applyBorder="1" applyAlignment="1">
      <alignment vertical="center"/>
    </xf>
    <xf numFmtId="173" fontId="25" fillId="0" borderId="65" xfId="0" applyNumberFormat="1" applyFont="1" applyBorder="1" applyAlignment="1">
      <alignment vertical="center"/>
    </xf>
    <xf numFmtId="173" fontId="25" fillId="0" borderId="66" xfId="0" applyNumberFormat="1" applyFont="1" applyBorder="1" applyAlignment="1">
      <alignment vertical="center"/>
    </xf>
    <xf numFmtId="0" fontId="25" fillId="0" borderId="67" xfId="0" applyFont="1" applyBorder="1" applyAlignment="1">
      <alignment vertical="center"/>
    </xf>
    <xf numFmtId="0" fontId="25" fillId="0" borderId="0" xfId="0" applyFont="1" applyBorder="1" applyAlignment="1">
      <alignment vertical="center"/>
    </xf>
    <xf numFmtId="0" fontId="25" fillId="0" borderId="68" xfId="0" applyFont="1" applyBorder="1" applyAlignment="1">
      <alignment vertical="center"/>
    </xf>
    <xf numFmtId="173" fontId="19" fillId="0" borderId="67" xfId="0" applyNumberFormat="1" applyFont="1" applyBorder="1" applyAlignment="1">
      <alignment vertical="center"/>
    </xf>
    <xf numFmtId="173" fontId="19" fillId="0" borderId="0" xfId="0" applyNumberFormat="1" applyFont="1" applyBorder="1" applyAlignment="1">
      <alignment vertical="center"/>
    </xf>
    <xf numFmtId="173" fontId="19" fillId="0" borderId="68" xfId="0" applyNumberFormat="1" applyFont="1" applyBorder="1" applyAlignment="1">
      <alignment vertical="center"/>
    </xf>
    <xf numFmtId="173" fontId="24" fillId="0" borderId="86" xfId="0" applyNumberFormat="1" applyFont="1" applyBorder="1" applyAlignment="1">
      <alignment vertical="center"/>
    </xf>
    <xf numFmtId="173" fontId="24" fillId="0" borderId="87" xfId="0" applyNumberFormat="1" applyFont="1" applyBorder="1" applyAlignment="1">
      <alignment vertical="center"/>
    </xf>
    <xf numFmtId="185" fontId="25" fillId="0" borderId="67" xfId="0" applyNumberFormat="1" applyFont="1" applyBorder="1" applyAlignment="1">
      <alignment vertical="center"/>
    </xf>
    <xf numFmtId="185" fontId="25" fillId="0" borderId="0" xfId="0" applyNumberFormat="1" applyFont="1" applyBorder="1" applyAlignment="1">
      <alignment vertical="center"/>
    </xf>
    <xf numFmtId="185" fontId="25" fillId="0" borderId="68" xfId="0" applyNumberFormat="1" applyFont="1" applyBorder="1" applyAlignment="1">
      <alignment vertical="center"/>
    </xf>
    <xf numFmtId="173" fontId="25" fillId="0" borderId="75" xfId="0" applyNumberFormat="1" applyFont="1" applyBorder="1" applyAlignment="1">
      <alignment vertical="center"/>
    </xf>
    <xf numFmtId="173" fontId="25" fillId="0" borderId="76" xfId="0" applyNumberFormat="1" applyFont="1" applyBorder="1" applyAlignment="1">
      <alignment vertical="center"/>
    </xf>
    <xf numFmtId="173" fontId="25" fillId="0" borderId="77" xfId="0" applyNumberFormat="1" applyFont="1" applyBorder="1" applyAlignment="1">
      <alignment vertical="center"/>
    </xf>
    <xf numFmtId="173" fontId="17" fillId="0" borderId="67" xfId="0" applyNumberFormat="1" applyFont="1" applyBorder="1" applyAlignment="1">
      <alignment vertical="center"/>
    </xf>
    <xf numFmtId="173" fontId="17" fillId="0" borderId="0" xfId="0" applyNumberFormat="1" applyFont="1" applyBorder="1" applyAlignment="1">
      <alignment vertical="center"/>
    </xf>
    <xf numFmtId="173" fontId="17" fillId="0" borderId="68" xfId="0" applyNumberFormat="1" applyFont="1" applyBorder="1" applyAlignment="1">
      <alignment vertical="center"/>
    </xf>
    <xf numFmtId="173" fontId="16" fillId="0" borderId="67" xfId="0" applyNumberFormat="1" applyFont="1" applyBorder="1" applyAlignment="1">
      <alignment vertical="center"/>
    </xf>
    <xf numFmtId="173" fontId="16" fillId="0" borderId="0" xfId="0" applyNumberFormat="1" applyFont="1" applyBorder="1" applyAlignment="1">
      <alignment vertical="center"/>
    </xf>
    <xf numFmtId="173" fontId="16" fillId="0" borderId="68" xfId="0" applyNumberFormat="1" applyFont="1" applyBorder="1" applyAlignment="1">
      <alignment vertical="center"/>
    </xf>
    <xf numFmtId="173" fontId="16" fillId="0" borderId="65" xfId="0" applyNumberFormat="1" applyFont="1" applyBorder="1" applyAlignment="1">
      <alignment vertical="center"/>
    </xf>
    <xf numFmtId="173" fontId="16" fillId="0" borderId="66" xfId="0" applyNumberFormat="1" applyFont="1" applyBorder="1" applyAlignment="1">
      <alignment vertical="center"/>
    </xf>
    <xf numFmtId="0" fontId="16" fillId="0" borderId="67" xfId="0" applyFont="1" applyBorder="1" applyAlignment="1">
      <alignment vertical="center"/>
    </xf>
    <xf numFmtId="0" fontId="16" fillId="0" borderId="0" xfId="0" applyFont="1" applyBorder="1" applyAlignment="1">
      <alignment vertical="center"/>
    </xf>
    <xf numFmtId="0" fontId="16" fillId="0" borderId="68" xfId="0" applyFont="1" applyBorder="1" applyAlignment="1">
      <alignment vertical="center"/>
    </xf>
    <xf numFmtId="173" fontId="17" fillId="0" borderId="86" xfId="0" applyNumberFormat="1" applyFont="1" applyBorder="1" applyAlignment="1">
      <alignment vertical="center"/>
    </xf>
    <xf numFmtId="173" fontId="17" fillId="0" borderId="87" xfId="0" applyNumberFormat="1" applyFont="1" applyBorder="1" applyAlignment="1">
      <alignment vertical="center"/>
    </xf>
    <xf numFmtId="185" fontId="16" fillId="0" borderId="67" xfId="0" applyNumberFormat="1" applyFont="1" applyBorder="1" applyAlignment="1">
      <alignment vertical="center"/>
    </xf>
    <xf numFmtId="185" fontId="16" fillId="0" borderId="0" xfId="0" applyNumberFormat="1" applyFont="1" applyBorder="1" applyAlignment="1">
      <alignment vertical="center"/>
    </xf>
    <xf numFmtId="185" fontId="16" fillId="0" borderId="68" xfId="0" applyNumberFormat="1" applyFont="1" applyBorder="1" applyAlignment="1">
      <alignment vertical="center"/>
    </xf>
    <xf numFmtId="173" fontId="16" fillId="0" borderId="75" xfId="0" applyNumberFormat="1" applyFont="1" applyBorder="1" applyAlignment="1">
      <alignment vertical="center"/>
    </xf>
    <xf numFmtId="173" fontId="16" fillId="0" borderId="76" xfId="0" applyNumberFormat="1" applyFont="1" applyBorder="1" applyAlignment="1">
      <alignment vertical="center"/>
    </xf>
    <xf numFmtId="173" fontId="16" fillId="0" borderId="77" xfId="0" applyNumberFormat="1" applyFont="1" applyBorder="1" applyAlignment="1">
      <alignment vertical="center"/>
    </xf>
    <xf numFmtId="17" fontId="23" fillId="5" borderId="51" xfId="0" applyNumberFormat="1" applyFont="1" applyFill="1" applyBorder="1" applyAlignment="1">
      <alignment horizontal="center" vertical="center" wrapText="1" readingOrder="1"/>
    </xf>
    <xf numFmtId="17" fontId="22" fillId="0" borderId="51" xfId="0" applyNumberFormat="1" applyFont="1" applyBorder="1" applyAlignment="1">
      <alignment horizontal="center" vertical="center" wrapText="1" readingOrder="1"/>
    </xf>
    <xf numFmtId="0" fontId="35" fillId="0" borderId="53" xfId="2" applyNumberFormat="1" applyFont="1" applyFill="1" applyBorder="1" applyAlignment="1">
      <alignment horizontal="right" vertical="center" readingOrder="1"/>
    </xf>
    <xf numFmtId="0" fontId="77" fillId="2" borderId="54" xfId="2" applyNumberFormat="1" applyFont="1" applyFill="1" applyBorder="1" applyAlignment="1">
      <alignment horizontal="right" vertical="center" readingOrder="1"/>
    </xf>
    <xf numFmtId="0" fontId="78" fillId="0" borderId="60" xfId="2" applyNumberFormat="1" applyFont="1" applyFill="1" applyBorder="1" applyAlignment="1">
      <alignment horizontal="right" vertical="center" readingOrder="1"/>
    </xf>
    <xf numFmtId="0" fontId="78" fillId="2" borderId="61" xfId="2" applyNumberFormat="1" applyFont="1" applyFill="1" applyBorder="1" applyAlignment="1">
      <alignment horizontal="right" vertical="center" readingOrder="1"/>
    </xf>
    <xf numFmtId="0" fontId="77" fillId="0" borderId="60" xfId="2" applyNumberFormat="1" applyFont="1" applyFill="1" applyBorder="1" applyAlignment="1">
      <alignment horizontal="right" vertical="center" readingOrder="1"/>
    </xf>
    <xf numFmtId="0" fontId="77" fillId="2" borderId="61" xfId="2" applyNumberFormat="1" applyFont="1" applyFill="1" applyBorder="1" applyAlignment="1">
      <alignment horizontal="right" vertical="center" readingOrder="1"/>
    </xf>
    <xf numFmtId="165" fontId="32" fillId="0" borderId="60" xfId="2" applyNumberFormat="1" applyFont="1" applyFill="1" applyBorder="1" applyAlignment="1">
      <alignment horizontal="right" vertical="center" readingOrder="1"/>
    </xf>
    <xf numFmtId="170" fontId="35" fillId="2" borderId="61" xfId="2" applyNumberFormat="1" applyFont="1" applyFill="1" applyBorder="1" applyAlignment="1">
      <alignment horizontal="right" vertical="center" wrapText="1" readingOrder="1"/>
    </xf>
    <xf numFmtId="0" fontId="35" fillId="0" borderId="60" xfId="2" applyNumberFormat="1" applyFont="1" applyFill="1" applyBorder="1" applyAlignment="1">
      <alignment horizontal="right" vertical="center" readingOrder="1"/>
    </xf>
    <xf numFmtId="165" fontId="32" fillId="0" borderId="55" xfId="2" applyNumberFormat="1" applyFont="1" applyFill="1" applyBorder="1" applyAlignment="1">
      <alignment horizontal="right" vertical="center" readingOrder="1"/>
    </xf>
    <xf numFmtId="170" fontId="35" fillId="2" borderId="56" xfId="2" applyNumberFormat="1" applyFont="1" applyFill="1" applyBorder="1" applyAlignment="1">
      <alignment horizontal="right" vertical="center" wrapText="1" readingOrder="1"/>
    </xf>
    <xf numFmtId="0" fontId="77" fillId="0" borderId="88" xfId="2" applyNumberFormat="1" applyFont="1" applyFill="1" applyBorder="1" applyAlignment="1">
      <alignment horizontal="right" vertical="center" readingOrder="1"/>
    </xf>
    <xf numFmtId="0" fontId="77" fillId="2" borderId="89" xfId="2" applyNumberFormat="1" applyFont="1" applyFill="1" applyBorder="1" applyAlignment="1">
      <alignment horizontal="right" vertical="center" readingOrder="1"/>
    </xf>
    <xf numFmtId="165" fontId="32" fillId="0" borderId="90" xfId="2" applyNumberFormat="1" applyFont="1" applyFill="1" applyBorder="1" applyAlignment="1">
      <alignment horizontal="right" vertical="center" readingOrder="1"/>
    </xf>
    <xf numFmtId="165" fontId="32" fillId="0" borderId="91" xfId="2" applyNumberFormat="1" applyFont="1" applyFill="1" applyBorder="1" applyAlignment="1">
      <alignment horizontal="right" vertical="center" readingOrder="1"/>
    </xf>
    <xf numFmtId="165" fontId="32" fillId="5" borderId="91" xfId="2" applyNumberFormat="1" applyFont="1" applyFill="1" applyBorder="1" applyAlignment="1">
      <alignment horizontal="right" vertical="center" readingOrder="1"/>
    </xf>
    <xf numFmtId="165" fontId="32" fillId="0" borderId="91" xfId="2" applyNumberFormat="1" applyFont="1" applyFill="1" applyBorder="1" applyAlignment="1">
      <alignment horizontal="center" vertical="center" readingOrder="1"/>
    </xf>
    <xf numFmtId="170" fontId="35" fillId="2" borderId="92" xfId="2" applyNumberFormat="1" applyFont="1" applyFill="1" applyBorder="1" applyAlignment="1">
      <alignment horizontal="right" vertical="center" wrapText="1" readingOrder="1"/>
    </xf>
    <xf numFmtId="17" fontId="23" fillId="5" borderId="50" xfId="0" applyNumberFormat="1" applyFont="1" applyFill="1" applyBorder="1" applyAlignment="1">
      <alignment horizontal="center" vertical="center" wrapText="1" readingOrder="1"/>
    </xf>
    <xf numFmtId="0" fontId="34" fillId="2" borderId="53" xfId="2" applyNumberFormat="1" applyFont="1" applyFill="1" applyBorder="1" applyAlignment="1">
      <alignment horizontal="right" vertical="center" readingOrder="1"/>
    </xf>
    <xf numFmtId="0" fontId="34" fillId="0" borderId="54" xfId="2" applyNumberFormat="1" applyFont="1" applyFill="1" applyBorder="1" applyAlignment="1">
      <alignment horizontal="right" vertical="center" readingOrder="1"/>
    </xf>
    <xf numFmtId="0" fontId="78" fillId="2" borderId="60" xfId="2" applyNumberFormat="1" applyFont="1" applyFill="1" applyBorder="1" applyAlignment="1">
      <alignment horizontal="right" vertical="center" readingOrder="1"/>
    </xf>
    <xf numFmtId="0" fontId="78" fillId="0" borderId="61" xfId="2" applyNumberFormat="1" applyFont="1" applyFill="1" applyBorder="1" applyAlignment="1">
      <alignment horizontal="right" vertical="center" readingOrder="1"/>
    </xf>
    <xf numFmtId="0" fontId="34" fillId="2" borderId="60" xfId="2" applyNumberFormat="1" applyFont="1" applyFill="1" applyBorder="1" applyAlignment="1">
      <alignment horizontal="right" vertical="center" readingOrder="1"/>
    </xf>
    <xf numFmtId="0" fontId="34" fillId="0" borderId="61" xfId="2" applyNumberFormat="1" applyFont="1" applyFill="1" applyBorder="1" applyAlignment="1">
      <alignment horizontal="right" vertical="center" readingOrder="1"/>
    </xf>
    <xf numFmtId="165" fontId="36" fillId="2" borderId="60" xfId="2" applyNumberFormat="1" applyFont="1" applyFill="1" applyBorder="1" applyAlignment="1">
      <alignment horizontal="right" vertical="center" readingOrder="1"/>
    </xf>
    <xf numFmtId="165" fontId="36" fillId="0" borderId="61" xfId="2" applyNumberFormat="1" applyFont="1" applyFill="1" applyBorder="1" applyAlignment="1">
      <alignment horizontal="right" vertical="center" readingOrder="1"/>
    </xf>
    <xf numFmtId="165" fontId="36" fillId="2" borderId="55" xfId="2" applyNumberFormat="1" applyFont="1" applyFill="1" applyBorder="1" applyAlignment="1">
      <alignment horizontal="right" vertical="center" readingOrder="1"/>
    </xf>
    <xf numFmtId="165" fontId="36" fillId="0" borderId="56" xfId="2" applyNumberFormat="1" applyFont="1" applyFill="1" applyBorder="1" applyAlignment="1">
      <alignment horizontal="right" vertical="center" readingOrder="1"/>
    </xf>
    <xf numFmtId="0" fontId="34" fillId="5" borderId="88" xfId="2" applyNumberFormat="1" applyFont="1" applyFill="1" applyBorder="1" applyAlignment="1">
      <alignment horizontal="right" vertical="center" readingOrder="1"/>
    </xf>
    <xf numFmtId="0" fontId="34" fillId="0" borderId="89" xfId="2" applyNumberFormat="1" applyFont="1" applyFill="1" applyBorder="1" applyAlignment="1">
      <alignment horizontal="right" vertical="center" readingOrder="1"/>
    </xf>
    <xf numFmtId="0" fontId="78" fillId="5" borderId="60" xfId="2" applyNumberFormat="1" applyFont="1" applyFill="1" applyBorder="1" applyAlignment="1">
      <alignment horizontal="right" vertical="center" readingOrder="1"/>
    </xf>
    <xf numFmtId="0" fontId="34" fillId="5" borderId="60" xfId="2" applyNumberFormat="1" applyFont="1" applyFill="1" applyBorder="1" applyAlignment="1">
      <alignment horizontal="right" vertical="center" readingOrder="1"/>
    </xf>
    <xf numFmtId="165" fontId="36" fillId="5" borderId="60" xfId="2" applyNumberFormat="1" applyFont="1" applyFill="1" applyBorder="1" applyAlignment="1">
      <alignment horizontal="right" vertical="center" readingOrder="1"/>
    </xf>
    <xf numFmtId="165" fontId="36" fillId="5" borderId="90" xfId="2" applyNumberFormat="1" applyFont="1" applyFill="1" applyBorder="1" applyAlignment="1">
      <alignment horizontal="right" vertical="center" readingOrder="1"/>
    </xf>
    <xf numFmtId="165" fontId="36" fillId="0" borderId="91" xfId="2" applyNumberFormat="1" applyFont="1" applyFill="1" applyBorder="1" applyAlignment="1">
      <alignment horizontal="right" vertical="center" readingOrder="1"/>
    </xf>
    <xf numFmtId="165" fontId="36" fillId="0" borderId="92" xfId="2" applyNumberFormat="1" applyFont="1" applyFill="1" applyBorder="1" applyAlignment="1">
      <alignment horizontal="right" vertical="center" readingOrder="1"/>
    </xf>
    <xf numFmtId="0" fontId="32" fillId="0" borderId="51" xfId="0" applyFont="1" applyBorder="1" applyAlignment="1">
      <alignment horizontal="center" vertical="center" wrapText="1" readingOrder="1"/>
    </xf>
    <xf numFmtId="0" fontId="22" fillId="0" borderId="51" xfId="0" applyFont="1" applyBorder="1" applyAlignment="1">
      <alignment horizontal="center" vertical="center" wrapText="1" readingOrder="1"/>
    </xf>
    <xf numFmtId="0" fontId="23" fillId="0" borderId="51" xfId="0" applyFont="1" applyBorder="1" applyAlignment="1">
      <alignment horizontal="center" vertical="center" wrapText="1" readingOrder="1"/>
    </xf>
    <xf numFmtId="0" fontId="23" fillId="0" borderId="52" xfId="0" applyFont="1" applyBorder="1" applyAlignment="1">
      <alignment horizontal="center" vertical="center" wrapText="1" readingOrder="1"/>
    </xf>
    <xf numFmtId="9" fontId="35" fillId="0" borderId="53" xfId="2" applyFont="1" applyFill="1" applyBorder="1" applyAlignment="1">
      <alignment horizontal="right" vertical="center" wrapText="1" readingOrder="1"/>
    </xf>
    <xf numFmtId="167" fontId="35" fillId="0" borderId="66" xfId="2" applyNumberFormat="1" applyFont="1" applyBorder="1" applyAlignment="1">
      <alignment horizontal="right" vertical="center" wrapText="1" readingOrder="1"/>
    </xf>
    <xf numFmtId="1" fontId="35" fillId="0" borderId="60" xfId="0" applyNumberFormat="1" applyFont="1" applyBorder="1" applyAlignment="1">
      <alignment horizontal="right" vertical="center" wrapText="1" readingOrder="1"/>
    </xf>
    <xf numFmtId="167" fontId="35" fillId="0" borderId="61" xfId="2" applyNumberFormat="1" applyFont="1" applyBorder="1" applyAlignment="1">
      <alignment horizontal="right" vertical="center" wrapText="1" readingOrder="1"/>
    </xf>
    <xf numFmtId="9" fontId="35" fillId="0" borderId="65" xfId="0" applyNumberFormat="1" applyFont="1" applyBorder="1" applyAlignment="1">
      <alignment horizontal="right" vertical="center" wrapText="1" readingOrder="1"/>
    </xf>
    <xf numFmtId="167" fontId="35" fillId="0" borderId="54" xfId="2" applyNumberFormat="1" applyFont="1" applyBorder="1" applyAlignment="1">
      <alignment horizontal="right" vertical="center" wrapText="1" readingOrder="1"/>
    </xf>
    <xf numFmtId="1" fontId="35" fillId="0" borderId="55" xfId="0" applyNumberFormat="1" applyFont="1" applyBorder="1" applyAlignment="1">
      <alignment horizontal="right" vertical="center" wrapText="1" readingOrder="1"/>
    </xf>
    <xf numFmtId="167" fontId="35" fillId="0" borderId="56" xfId="2" applyNumberFormat="1" applyFont="1" applyBorder="1" applyAlignment="1">
      <alignment horizontal="right" vertical="center" wrapText="1" readingOrder="1"/>
    </xf>
    <xf numFmtId="9" fontId="35" fillId="0" borderId="53" xfId="0" applyNumberFormat="1" applyFont="1" applyBorder="1" applyAlignment="1">
      <alignment horizontal="right" vertical="center" wrapText="1" readingOrder="1"/>
    </xf>
    <xf numFmtId="1" fontId="35" fillId="0" borderId="93" xfId="0" applyNumberFormat="1" applyFont="1" applyBorder="1" applyAlignment="1">
      <alignment horizontal="right" vertical="center" wrapText="1" readingOrder="1"/>
    </xf>
    <xf numFmtId="167" fontId="35" fillId="0" borderId="94" xfId="2" applyNumberFormat="1" applyFont="1" applyBorder="1" applyAlignment="1">
      <alignment horizontal="right" vertical="center" wrapText="1" readingOrder="1"/>
    </xf>
    <xf numFmtId="9" fontId="32" fillId="0" borderId="73" xfId="0" applyNumberFormat="1" applyFont="1" applyBorder="1" applyAlignment="1">
      <alignment horizontal="right" vertical="center" wrapText="1" readingOrder="1"/>
    </xf>
    <xf numFmtId="167" fontId="32" fillId="0" borderId="74" xfId="2" applyNumberFormat="1" applyFont="1" applyBorder="1" applyAlignment="1">
      <alignment horizontal="right" vertical="center" wrapText="1" readingOrder="1"/>
    </xf>
    <xf numFmtId="3" fontId="32" fillId="0" borderId="90" xfId="0" applyNumberFormat="1" applyFont="1" applyBorder="1" applyAlignment="1">
      <alignment horizontal="right" vertical="center" wrapText="1" readingOrder="1"/>
    </xf>
    <xf numFmtId="3" fontId="32" fillId="0" borderId="91" xfId="0" applyNumberFormat="1" applyFont="1" applyBorder="1" applyAlignment="1">
      <alignment horizontal="right" vertical="center" wrapText="1" readingOrder="1"/>
    </xf>
    <xf numFmtId="3" fontId="32" fillId="5" borderId="91" xfId="0" applyNumberFormat="1" applyFont="1" applyFill="1" applyBorder="1" applyAlignment="1">
      <alignment horizontal="right" vertical="center" wrapText="1" readingOrder="1"/>
    </xf>
    <xf numFmtId="3" fontId="23" fillId="0" borderId="91" xfId="0" applyNumberFormat="1" applyFont="1" applyBorder="1" applyAlignment="1">
      <alignment horizontal="right" vertical="center" wrapText="1" readingOrder="1"/>
    </xf>
    <xf numFmtId="9" fontId="23" fillId="0" borderId="91" xfId="0" applyNumberFormat="1" applyFont="1" applyBorder="1" applyAlignment="1">
      <alignment horizontal="right" vertical="center" wrapText="1" readingOrder="1"/>
    </xf>
    <xf numFmtId="167" fontId="32" fillId="0" borderId="91" xfId="2" applyNumberFormat="1" applyFont="1" applyBorder="1" applyAlignment="1">
      <alignment horizontal="right" vertical="center" wrapText="1" readingOrder="1"/>
    </xf>
    <xf numFmtId="3" fontId="36" fillId="0" borderId="91" xfId="0" applyNumberFormat="1" applyFont="1" applyBorder="1" applyAlignment="1">
      <alignment horizontal="right" vertical="center" wrapText="1" readingOrder="1"/>
    </xf>
    <xf numFmtId="167" fontId="32" fillId="0" borderId="92" xfId="2" applyNumberFormat="1" applyFont="1" applyBorder="1" applyAlignment="1">
      <alignment horizontal="right" vertical="center" wrapText="1" readingOrder="1"/>
    </xf>
    <xf numFmtId="9" fontId="34" fillId="2" borderId="65" xfId="0" applyNumberFormat="1" applyFont="1" applyFill="1" applyBorder="1" applyAlignment="1">
      <alignment horizontal="right" vertical="center" wrapText="1" readingOrder="1"/>
    </xf>
    <xf numFmtId="9" fontId="34" fillId="0" borderId="54" xfId="2" applyFont="1" applyFill="1" applyBorder="1" applyAlignment="1">
      <alignment horizontal="right" vertical="center" wrapText="1" readingOrder="1"/>
    </xf>
    <xf numFmtId="1" fontId="34" fillId="2" borderId="60" xfId="0" applyNumberFormat="1" applyFont="1" applyFill="1" applyBorder="1" applyAlignment="1">
      <alignment horizontal="right" vertical="center" wrapText="1" readingOrder="1"/>
    </xf>
    <xf numFmtId="1" fontId="34" fillId="0" borderId="61" xfId="0" applyNumberFormat="1" applyFont="1" applyBorder="1" applyAlignment="1">
      <alignment horizontal="right" vertical="center" wrapText="1" readingOrder="1"/>
    </xf>
    <xf numFmtId="9" fontId="34" fillId="2" borderId="53" xfId="0" applyNumberFormat="1" applyFont="1" applyFill="1" applyBorder="1" applyAlignment="1">
      <alignment horizontal="right" vertical="center" wrapText="1" readingOrder="1"/>
    </xf>
    <xf numFmtId="9" fontId="34" fillId="0" borderId="66" xfId="0" applyNumberFormat="1" applyFont="1" applyBorder="1" applyAlignment="1">
      <alignment horizontal="right" vertical="center" wrapText="1" readingOrder="1"/>
    </xf>
    <xf numFmtId="1" fontId="34" fillId="2" borderId="55" xfId="0" applyNumberFormat="1" applyFont="1" applyFill="1" applyBorder="1" applyAlignment="1">
      <alignment horizontal="right" vertical="center" wrapText="1" readingOrder="1"/>
    </xf>
    <xf numFmtId="1" fontId="34" fillId="0" borderId="56" xfId="0" applyNumberFormat="1" applyFont="1" applyBorder="1" applyAlignment="1">
      <alignment horizontal="right" vertical="center" wrapText="1" readingOrder="1"/>
    </xf>
    <xf numFmtId="9" fontId="34" fillId="0" borderId="54" xfId="0" applyNumberFormat="1" applyFont="1" applyBorder="1" applyAlignment="1">
      <alignment horizontal="right" vertical="center" wrapText="1" readingOrder="1"/>
    </xf>
    <xf numFmtId="1" fontId="34" fillId="2" borderId="93" xfId="0" applyNumberFormat="1" applyFont="1" applyFill="1" applyBorder="1" applyAlignment="1">
      <alignment horizontal="right" vertical="center" wrapText="1" readingOrder="1"/>
    </xf>
    <xf numFmtId="1" fontId="34" fillId="0" borderId="94" xfId="0" applyNumberFormat="1" applyFont="1" applyBorder="1" applyAlignment="1">
      <alignment horizontal="right" vertical="center" wrapText="1" readingOrder="1"/>
    </xf>
    <xf numFmtId="9" fontId="36" fillId="5" borderId="73" xfId="0" applyNumberFormat="1" applyFont="1" applyFill="1" applyBorder="1" applyAlignment="1">
      <alignment horizontal="right" vertical="center" wrapText="1" readingOrder="1"/>
    </xf>
    <xf numFmtId="9" fontId="36" fillId="0" borderId="74" xfId="0" applyNumberFormat="1" applyFont="1" applyBorder="1" applyAlignment="1">
      <alignment horizontal="right" vertical="center" wrapText="1" readingOrder="1"/>
    </xf>
    <xf numFmtId="3" fontId="36" fillId="5" borderId="90" xfId="0" applyNumberFormat="1" applyFont="1" applyFill="1" applyBorder="1" applyAlignment="1">
      <alignment horizontal="right" vertical="center" wrapText="1" readingOrder="1"/>
    </xf>
    <xf numFmtId="3" fontId="36" fillId="0" borderId="92" xfId="0" applyNumberFormat="1" applyFont="1" applyBorder="1" applyAlignment="1">
      <alignment horizontal="right" vertical="center" wrapText="1" readingOrder="1"/>
    </xf>
    <xf numFmtId="3" fontId="35" fillId="0" borderId="53" xfId="2" applyNumberFormat="1" applyFont="1" applyFill="1" applyBorder="1" applyAlignment="1">
      <alignment horizontal="right" vertical="center" wrapText="1" readingOrder="1"/>
    </xf>
    <xf numFmtId="3" fontId="35" fillId="2" borderId="54" xfId="2" applyNumberFormat="1" applyFont="1" applyFill="1" applyBorder="1" applyAlignment="1">
      <alignment horizontal="right" vertical="center" wrapText="1" readingOrder="1"/>
    </xf>
    <xf numFmtId="3" fontId="35" fillId="0" borderId="60" xfId="0" applyNumberFormat="1" applyFont="1" applyBorder="1" applyAlignment="1">
      <alignment horizontal="right" vertical="center" wrapText="1" readingOrder="1"/>
    </xf>
    <xf numFmtId="3" fontId="35" fillId="2" borderId="61" xfId="0" applyNumberFormat="1" applyFont="1" applyFill="1" applyBorder="1" applyAlignment="1">
      <alignment horizontal="right" vertical="center" wrapText="1" readingOrder="1"/>
    </xf>
    <xf numFmtId="3" fontId="35" fillId="0" borderId="55" xfId="0" applyNumberFormat="1" applyFont="1" applyBorder="1" applyAlignment="1">
      <alignment horizontal="right" vertical="center" wrapText="1" readingOrder="1"/>
    </xf>
    <xf numFmtId="3" fontId="35" fillId="2" borderId="56" xfId="0" applyNumberFormat="1" applyFont="1" applyFill="1" applyBorder="1" applyAlignment="1">
      <alignment horizontal="right" vertical="center" wrapText="1" readingOrder="1"/>
    </xf>
    <xf numFmtId="3" fontId="35" fillId="0" borderId="65" xfId="0" applyNumberFormat="1" applyFont="1" applyBorder="1" applyAlignment="1">
      <alignment horizontal="right" vertical="center" wrapText="1" readingOrder="1"/>
    </xf>
    <xf numFmtId="3" fontId="35" fillId="2" borderId="66" xfId="0" applyNumberFormat="1" applyFont="1" applyFill="1" applyBorder="1" applyAlignment="1">
      <alignment horizontal="right" vertical="center" wrapText="1" readingOrder="1"/>
    </xf>
    <xf numFmtId="3" fontId="35" fillId="0" borderId="95" xfId="0" applyNumberFormat="1" applyFont="1" applyBorder="1" applyAlignment="1">
      <alignment horizontal="right" vertical="center" wrapText="1" readingOrder="1"/>
    </xf>
    <xf numFmtId="3" fontId="35" fillId="2" borderId="96" xfId="0" applyNumberFormat="1" applyFont="1" applyFill="1" applyBorder="1" applyAlignment="1">
      <alignment horizontal="right" vertical="center" wrapText="1" readingOrder="1"/>
    </xf>
    <xf numFmtId="3" fontId="35" fillId="0" borderId="97" xfId="0" applyNumberFormat="1" applyFont="1" applyBorder="1" applyAlignment="1">
      <alignment horizontal="right" vertical="center" wrapText="1" readingOrder="1"/>
    </xf>
    <xf numFmtId="3" fontId="35" fillId="2" borderId="98" xfId="0" applyNumberFormat="1" applyFont="1" applyFill="1" applyBorder="1" applyAlignment="1">
      <alignment horizontal="right" vertical="center" wrapText="1" readingOrder="1"/>
    </xf>
    <xf numFmtId="3" fontId="32" fillId="0" borderId="73" xfId="0" applyNumberFormat="1" applyFont="1" applyBorder="1" applyAlignment="1">
      <alignment horizontal="right" vertical="center" wrapText="1" readingOrder="1"/>
    </xf>
    <xf numFmtId="3" fontId="32" fillId="5" borderId="74" xfId="0" applyNumberFormat="1" applyFont="1" applyFill="1" applyBorder="1" applyAlignment="1">
      <alignment horizontal="right" vertical="center" wrapText="1" readingOrder="1"/>
    </xf>
    <xf numFmtId="3" fontId="32" fillId="0" borderId="60" xfId="0" applyNumberFormat="1" applyFont="1" applyBorder="1" applyAlignment="1">
      <alignment horizontal="right" vertical="center" wrapText="1" readingOrder="1"/>
    </xf>
    <xf numFmtId="3" fontId="32" fillId="5" borderId="61" xfId="0" applyNumberFormat="1" applyFont="1" applyFill="1" applyBorder="1" applyAlignment="1">
      <alignment horizontal="right" vertical="center" wrapText="1" readingOrder="1"/>
    </xf>
    <xf numFmtId="3" fontId="32" fillId="0" borderId="75" xfId="0" applyNumberFormat="1" applyFont="1" applyBorder="1" applyAlignment="1">
      <alignment horizontal="right" vertical="center" wrapText="1" readingOrder="1"/>
    </xf>
    <xf numFmtId="3" fontId="32" fillId="0" borderId="76" xfId="0" applyNumberFormat="1" applyFont="1" applyBorder="1" applyAlignment="1">
      <alignment horizontal="right" vertical="center" wrapText="1" readingOrder="1"/>
    </xf>
    <xf numFmtId="3" fontId="32" fillId="5" borderId="77" xfId="0" applyNumberFormat="1" applyFont="1" applyFill="1" applyBorder="1" applyAlignment="1">
      <alignment horizontal="right" vertical="center" wrapText="1" readingOrder="1"/>
    </xf>
    <xf numFmtId="0" fontId="11" fillId="33" borderId="0" xfId="0" applyFont="1" applyFill="1" applyAlignment="1">
      <alignment vertical="center"/>
    </xf>
    <xf numFmtId="0" fontId="29" fillId="33" borderId="0" xfId="0" applyFont="1" applyFill="1" applyAlignment="1">
      <alignment vertical="center"/>
    </xf>
    <xf numFmtId="0" fontId="11" fillId="33" borderId="0" xfId="0" applyFont="1" applyFill="1" applyAlignment="1">
      <alignment vertical="center" readingOrder="1"/>
    </xf>
    <xf numFmtId="0" fontId="23" fillId="33" borderId="0" xfId="0" applyFont="1" applyFill="1" applyAlignment="1">
      <alignment vertical="center" wrapText="1" readingOrder="1"/>
    </xf>
    <xf numFmtId="0" fontId="11" fillId="33" borderId="0" xfId="0" applyFont="1" applyFill="1" applyAlignment="1">
      <alignment vertical="center" wrapText="1" readingOrder="1"/>
    </xf>
    <xf numFmtId="0" fontId="23" fillId="33" borderId="0" xfId="0" applyFont="1" applyFill="1" applyAlignment="1">
      <alignment vertical="center"/>
    </xf>
    <xf numFmtId="0" fontId="101" fillId="33" borderId="0" xfId="0" applyFont="1" applyFill="1" applyAlignment="1">
      <alignment vertical="center"/>
    </xf>
    <xf numFmtId="9" fontId="101" fillId="33" borderId="0" xfId="2" applyFont="1" applyFill="1" applyAlignment="1">
      <alignment vertical="center"/>
    </xf>
    <xf numFmtId="0" fontId="12" fillId="33" borderId="0" xfId="11" applyFont="1" applyFill="1" applyAlignment="1">
      <alignment vertical="center"/>
    </xf>
    <xf numFmtId="0" fontId="27" fillId="33" borderId="0" xfId="11" applyFont="1" applyFill="1" applyAlignment="1">
      <alignment vertical="center"/>
    </xf>
    <xf numFmtId="0" fontId="28" fillId="33" borderId="0" xfId="11" applyFont="1" applyFill="1" applyAlignment="1">
      <alignment vertical="center"/>
    </xf>
    <xf numFmtId="0" fontId="40" fillId="33" borderId="0" xfId="0" applyFont="1" applyFill="1" applyAlignment="1">
      <alignment vertical="center"/>
    </xf>
    <xf numFmtId="0" fontId="40" fillId="33" borderId="0" xfId="11" applyFont="1" applyFill="1" applyAlignment="1">
      <alignment vertical="center"/>
    </xf>
    <xf numFmtId="0" fontId="101" fillId="33" borderId="0" xfId="11" applyFont="1" applyFill="1" applyAlignment="1">
      <alignment vertical="center"/>
    </xf>
    <xf numFmtId="0" fontId="103" fillId="33" borderId="0" xfId="0" applyFont="1" applyFill="1" applyAlignment="1">
      <alignment vertical="center" readingOrder="1"/>
    </xf>
    <xf numFmtId="0" fontId="104" fillId="33" borderId="0" xfId="0" applyFont="1" applyFill="1" applyAlignment="1">
      <alignment vertical="center"/>
    </xf>
    <xf numFmtId="0" fontId="105" fillId="33" borderId="0" xfId="0" applyFont="1" applyFill="1" applyAlignment="1">
      <alignment vertical="center"/>
    </xf>
    <xf numFmtId="9" fontId="29" fillId="33" borderId="0" xfId="0" applyNumberFormat="1" applyFont="1" applyFill="1" applyAlignment="1">
      <alignment vertical="center"/>
    </xf>
    <xf numFmtId="0" fontId="23" fillId="21" borderId="0" xfId="0" applyFont="1" applyFill="1" applyAlignment="1">
      <alignment horizontal="left" vertical="center" wrapText="1" readingOrder="1"/>
    </xf>
    <xf numFmtId="0" fontId="23" fillId="34" borderId="15" xfId="0" applyFont="1" applyFill="1" applyBorder="1" applyAlignment="1">
      <alignment horizontal="left" vertical="center" wrapText="1" readingOrder="1"/>
    </xf>
    <xf numFmtId="0" fontId="40" fillId="33" borderId="0" xfId="0" applyFont="1" applyFill="1" applyAlignment="1">
      <alignment vertical="center" wrapText="1"/>
    </xf>
    <xf numFmtId="0" fontId="20" fillId="33" borderId="0" xfId="0" applyFont="1" applyFill="1" applyAlignment="1">
      <alignment vertical="center"/>
    </xf>
    <xf numFmtId="3" fontId="24" fillId="0" borderId="71" xfId="0" applyNumberFormat="1" applyFont="1" applyBorder="1" applyAlignment="1">
      <alignment horizontal="right" vertical="center" readingOrder="1"/>
    </xf>
    <xf numFmtId="3" fontId="24" fillId="0" borderId="72" xfId="0" applyNumberFormat="1" applyFont="1" applyBorder="1" applyAlignment="1">
      <alignment horizontal="right" vertical="center" readingOrder="1"/>
    </xf>
    <xf numFmtId="3" fontId="24" fillId="0" borderId="67" xfId="0" applyNumberFormat="1" applyFont="1" applyBorder="1" applyAlignment="1">
      <alignment horizontal="right" vertical="center" readingOrder="1"/>
    </xf>
    <xf numFmtId="3" fontId="24" fillId="0" borderId="0" xfId="0" applyNumberFormat="1" applyFont="1" applyBorder="1" applyAlignment="1">
      <alignment horizontal="right" vertical="center" readingOrder="1"/>
    </xf>
    <xf numFmtId="3" fontId="24" fillId="5" borderId="0" xfId="0" applyNumberFormat="1" applyFont="1" applyFill="1" applyBorder="1" applyAlignment="1">
      <alignment horizontal="right" vertical="center" readingOrder="1"/>
    </xf>
    <xf numFmtId="3" fontId="24" fillId="0" borderId="68" xfId="0" applyNumberFormat="1" applyFont="1" applyBorder="1" applyAlignment="1">
      <alignment horizontal="right" vertical="center" readingOrder="1"/>
    </xf>
    <xf numFmtId="0" fontId="24" fillId="0" borderId="67" xfId="0" applyFont="1" applyBorder="1" applyAlignment="1">
      <alignment horizontal="left" vertical="center" readingOrder="1"/>
    </xf>
    <xf numFmtId="0" fontId="24" fillId="0" borderId="0" xfId="0" applyFont="1" applyBorder="1" applyAlignment="1">
      <alignment horizontal="left" vertical="center" readingOrder="1"/>
    </xf>
    <xf numFmtId="0" fontId="24" fillId="0" borderId="68" xfId="0" applyFont="1" applyBorder="1" applyAlignment="1">
      <alignment horizontal="left" vertical="center" readingOrder="1"/>
    </xf>
    <xf numFmtId="3" fontId="25" fillId="0" borderId="67" xfId="0" applyNumberFormat="1" applyFont="1" applyBorder="1" applyAlignment="1">
      <alignment horizontal="right" vertical="center" readingOrder="1"/>
    </xf>
    <xf numFmtId="3" fontId="25" fillId="0" borderId="0" xfId="0" applyNumberFormat="1" applyFont="1" applyBorder="1" applyAlignment="1">
      <alignment horizontal="right" vertical="center" readingOrder="1"/>
    </xf>
    <xf numFmtId="3" fontId="25" fillId="2" borderId="0" xfId="0" applyNumberFormat="1" applyFont="1" applyFill="1" applyBorder="1" applyAlignment="1">
      <alignment horizontal="right" vertical="center" readingOrder="1"/>
    </xf>
    <xf numFmtId="3" fontId="25" fillId="0" borderId="68" xfId="0" applyNumberFormat="1" applyFont="1" applyBorder="1" applyAlignment="1">
      <alignment horizontal="right" vertical="center" readingOrder="1"/>
    </xf>
    <xf numFmtId="175" fontId="25" fillId="0" borderId="67" xfId="0" applyNumberFormat="1" applyFont="1" applyBorder="1" applyAlignment="1">
      <alignment horizontal="right" vertical="center"/>
    </xf>
    <xf numFmtId="175" fontId="25" fillId="0" borderId="0" xfId="0" applyNumberFormat="1" applyFont="1" applyBorder="1" applyAlignment="1">
      <alignment horizontal="right" vertical="center"/>
    </xf>
    <xf numFmtId="173" fontId="25" fillId="0" borderId="0" xfId="0" applyNumberFormat="1" applyFont="1" applyBorder="1" applyAlignment="1">
      <alignment horizontal="right" vertical="center"/>
    </xf>
    <xf numFmtId="173" fontId="25" fillId="0" borderId="68" xfId="0" applyNumberFormat="1" applyFont="1" applyBorder="1" applyAlignment="1">
      <alignment horizontal="right" vertical="center"/>
    </xf>
    <xf numFmtId="173" fontId="25" fillId="2" borderId="0" xfId="0" applyNumberFormat="1" applyFont="1" applyFill="1" applyBorder="1" applyAlignment="1">
      <alignment horizontal="right" vertical="center" wrapText="1" readingOrder="1"/>
    </xf>
    <xf numFmtId="0" fontId="25" fillId="30" borderId="78" xfId="0" applyFont="1" applyFill="1" applyBorder="1" applyAlignment="1">
      <alignment horizontal="right" vertical="center"/>
    </xf>
    <xf numFmtId="0" fontId="25" fillId="30" borderId="79" xfId="0" applyFont="1" applyFill="1" applyBorder="1" applyAlignment="1">
      <alignment horizontal="right" vertical="center"/>
    </xf>
    <xf numFmtId="173" fontId="24" fillId="0" borderId="57" xfId="0" applyNumberFormat="1" applyFont="1" applyBorder="1" applyAlignment="1">
      <alignment horizontal="right" vertical="center" readingOrder="1"/>
    </xf>
    <xf numFmtId="173" fontId="24" fillId="0" borderId="58" xfId="0" applyNumberFormat="1" applyFont="1" applyBorder="1" applyAlignment="1">
      <alignment horizontal="right" vertical="center" readingOrder="1"/>
    </xf>
    <xf numFmtId="173" fontId="24" fillId="5" borderId="58" xfId="0" applyNumberFormat="1" applyFont="1" applyFill="1" applyBorder="1" applyAlignment="1">
      <alignment horizontal="right" vertical="center" wrapText="1" readingOrder="1"/>
    </xf>
    <xf numFmtId="173" fontId="24" fillId="0" borderId="59" xfId="0" applyNumberFormat="1" applyFont="1" applyBorder="1" applyAlignment="1">
      <alignment horizontal="right" vertical="center" readingOrder="1"/>
    </xf>
    <xf numFmtId="17" fontId="106" fillId="0" borderId="50" xfId="0" applyNumberFormat="1" applyFont="1" applyBorder="1" applyAlignment="1">
      <alignment horizontal="center" vertical="center" wrapText="1" readingOrder="1"/>
    </xf>
    <xf numFmtId="17" fontId="106" fillId="0" borderId="51" xfId="0" applyNumberFormat="1" applyFont="1" applyBorder="1" applyAlignment="1">
      <alignment horizontal="center" vertical="center" wrapText="1" readingOrder="1"/>
    </xf>
    <xf numFmtId="17" fontId="106" fillId="0" borderId="52" xfId="0" applyNumberFormat="1" applyFont="1" applyBorder="1" applyAlignment="1">
      <alignment horizontal="center" vertical="center" wrapText="1" readingOrder="1"/>
    </xf>
    <xf numFmtId="9" fontId="107" fillId="0" borderId="60" xfId="2" applyFont="1" applyFill="1" applyBorder="1" applyAlignment="1">
      <alignment horizontal="right" vertical="center" readingOrder="1"/>
    </xf>
    <xf numFmtId="9" fontId="107" fillId="0" borderId="6" xfId="2" applyFont="1" applyFill="1" applyBorder="1" applyAlignment="1">
      <alignment horizontal="right" vertical="center" readingOrder="1"/>
    </xf>
    <xf numFmtId="9" fontId="107" fillId="0" borderId="61" xfId="2" applyFont="1" applyFill="1" applyBorder="1" applyAlignment="1">
      <alignment horizontal="right" vertical="center" readingOrder="1"/>
    </xf>
    <xf numFmtId="9" fontId="106" fillId="0" borderId="57" xfId="2" applyFont="1" applyFill="1" applyBorder="1" applyAlignment="1">
      <alignment horizontal="right" vertical="center" readingOrder="1"/>
    </xf>
    <xf numFmtId="9" fontId="106" fillId="0" borderId="58" xfId="2" applyFont="1" applyFill="1" applyBorder="1" applyAlignment="1">
      <alignment horizontal="right" vertical="center" readingOrder="1"/>
    </xf>
    <xf numFmtId="9" fontId="106" fillId="0" borderId="59" xfId="2" applyFont="1" applyFill="1" applyBorder="1" applyAlignment="1">
      <alignment horizontal="right" vertical="center" readingOrder="1"/>
    </xf>
    <xf numFmtId="3" fontId="107" fillId="0" borderId="53" xfId="0" applyNumberFormat="1" applyFont="1" applyBorder="1" applyAlignment="1">
      <alignment horizontal="right" vertical="center" readingOrder="1"/>
    </xf>
    <xf numFmtId="3" fontId="107" fillId="0" borderId="5" xfId="0" applyNumberFormat="1" applyFont="1" applyBorder="1" applyAlignment="1">
      <alignment horizontal="right" vertical="center" readingOrder="1"/>
    </xf>
    <xf numFmtId="3" fontId="107" fillId="0" borderId="54" xfId="0" applyNumberFormat="1" applyFont="1" applyBorder="1" applyAlignment="1">
      <alignment horizontal="right" vertical="center" readingOrder="1"/>
    </xf>
    <xf numFmtId="3" fontId="107" fillId="0" borderId="55" xfId="0" applyNumberFormat="1" applyFont="1" applyBorder="1" applyAlignment="1">
      <alignment horizontal="right" vertical="center" readingOrder="1"/>
    </xf>
    <xf numFmtId="3" fontId="107" fillId="0" borderId="9" xfId="0" applyNumberFormat="1" applyFont="1" applyBorder="1" applyAlignment="1">
      <alignment horizontal="right" vertical="center" readingOrder="1"/>
    </xf>
    <xf numFmtId="3" fontId="107" fillId="0" borderId="56" xfId="0" applyNumberFormat="1" applyFont="1" applyBorder="1" applyAlignment="1">
      <alignment horizontal="right" vertical="center" readingOrder="1"/>
    </xf>
    <xf numFmtId="17" fontId="106" fillId="5" borderId="0" xfId="0" applyNumberFormat="1" applyFont="1" applyFill="1" applyAlignment="1">
      <alignment horizontal="center" vertical="center" wrapText="1" readingOrder="1"/>
    </xf>
    <xf numFmtId="17" fontId="106" fillId="0" borderId="62" xfId="0" applyNumberFormat="1" applyFont="1" applyBorder="1" applyAlignment="1">
      <alignment horizontal="center" vertical="center" wrapText="1" readingOrder="1"/>
    </xf>
    <xf numFmtId="17" fontId="106" fillId="0" borderId="63" xfId="0" applyNumberFormat="1" applyFont="1" applyBorder="1" applyAlignment="1">
      <alignment horizontal="center" vertical="center" wrapText="1" readingOrder="1"/>
    </xf>
    <xf numFmtId="17" fontId="106" fillId="0" borderId="64" xfId="0" applyNumberFormat="1" applyFont="1" applyBorder="1" applyAlignment="1">
      <alignment horizontal="center" vertical="center" wrapText="1" readingOrder="1"/>
    </xf>
    <xf numFmtId="3" fontId="107" fillId="2" borderId="4" xfId="0" applyNumberFormat="1" applyFont="1" applyFill="1" applyBorder="1" applyAlignment="1">
      <alignment horizontal="right" vertical="center" wrapText="1" readingOrder="1"/>
    </xf>
    <xf numFmtId="1" fontId="107" fillId="0" borderId="67" xfId="0" applyNumberFormat="1" applyFont="1" applyBorder="1" applyAlignment="1">
      <alignment horizontal="right" vertical="center"/>
    </xf>
    <xf numFmtId="1" fontId="107" fillId="0" borderId="0" xfId="0" applyNumberFormat="1" applyFont="1" applyBorder="1" applyAlignment="1">
      <alignment horizontal="right" vertical="center"/>
    </xf>
    <xf numFmtId="1" fontId="107" fillId="0" borderId="68" xfId="0" applyNumberFormat="1" applyFont="1" applyBorder="1" applyAlignment="1">
      <alignment horizontal="right" vertical="center"/>
    </xf>
    <xf numFmtId="3" fontId="107" fillId="2" borderId="0" xfId="0" applyNumberFormat="1" applyFont="1" applyFill="1" applyAlignment="1">
      <alignment horizontal="right" vertical="center" wrapText="1" readingOrder="1"/>
    </xf>
    <xf numFmtId="3" fontId="106" fillId="5" borderId="15" xfId="0" applyNumberFormat="1" applyFont="1" applyFill="1" applyBorder="1" applyAlignment="1">
      <alignment horizontal="right" vertical="center" wrapText="1" readingOrder="1"/>
    </xf>
    <xf numFmtId="3" fontId="106" fillId="0" borderId="57" xfId="0" applyNumberFormat="1" applyFont="1" applyBorder="1" applyAlignment="1">
      <alignment horizontal="right" vertical="center" readingOrder="1"/>
    </xf>
    <xf numFmtId="3" fontId="106" fillId="0" borderId="58" xfId="0" applyNumberFormat="1" applyFont="1" applyBorder="1" applyAlignment="1">
      <alignment horizontal="right" vertical="center" readingOrder="1"/>
    </xf>
    <xf numFmtId="3" fontId="106" fillId="0" borderId="59" xfId="0" applyNumberFormat="1" applyFont="1" applyBorder="1" applyAlignment="1">
      <alignment horizontal="right" vertical="center" readingOrder="1"/>
    </xf>
    <xf numFmtId="3" fontId="107" fillId="0" borderId="65" xfId="0" applyNumberFormat="1" applyFont="1" applyBorder="1" applyAlignment="1">
      <alignment horizontal="right" vertical="center" readingOrder="1"/>
    </xf>
    <xf numFmtId="3" fontId="107" fillId="0" borderId="4" xfId="0" applyNumberFormat="1" applyFont="1" applyBorder="1" applyAlignment="1">
      <alignment horizontal="right" vertical="center" readingOrder="1"/>
    </xf>
    <xf numFmtId="3" fontId="107" fillId="0" borderId="66" xfId="0" applyNumberFormat="1" applyFont="1" applyBorder="1" applyAlignment="1">
      <alignment horizontal="right" vertical="center" readingOrder="1"/>
    </xf>
    <xf numFmtId="3" fontId="107" fillId="0" borderId="67" xfId="0" applyNumberFormat="1" applyFont="1" applyBorder="1" applyAlignment="1">
      <alignment horizontal="right" vertical="center" readingOrder="1"/>
    </xf>
    <xf numFmtId="3" fontId="107" fillId="0" borderId="0" xfId="0" applyNumberFormat="1" applyFont="1" applyBorder="1" applyAlignment="1">
      <alignment horizontal="right" vertical="center" readingOrder="1"/>
    </xf>
    <xf numFmtId="3" fontId="107" fillId="0" borderId="68" xfId="0" applyNumberFormat="1" applyFont="1" applyBorder="1" applyAlignment="1">
      <alignment horizontal="right" vertical="center" readingOrder="1"/>
    </xf>
    <xf numFmtId="3" fontId="107" fillId="2" borderId="10" xfId="0" applyNumberFormat="1" applyFont="1" applyFill="1" applyBorder="1" applyAlignment="1">
      <alignment horizontal="right" vertical="center" wrapText="1" readingOrder="1"/>
    </xf>
    <xf numFmtId="3" fontId="107" fillId="0" borderId="69" xfId="0" applyNumberFormat="1" applyFont="1" applyBorder="1" applyAlignment="1">
      <alignment horizontal="right" vertical="center" readingOrder="1"/>
    </xf>
    <xf numFmtId="3" fontId="107" fillId="0" borderId="10" xfId="0" applyNumberFormat="1" applyFont="1" applyBorder="1" applyAlignment="1">
      <alignment horizontal="right" vertical="center" readingOrder="1"/>
    </xf>
    <xf numFmtId="3" fontId="107" fillId="0" borderId="70" xfId="0" applyNumberFormat="1" applyFont="1" applyBorder="1" applyAlignment="1">
      <alignment horizontal="right" vertical="center" readingOrder="1"/>
    </xf>
    <xf numFmtId="3" fontId="106" fillId="2" borderId="2" xfId="0" applyNumberFormat="1" applyFont="1" applyFill="1" applyBorder="1" applyAlignment="1">
      <alignment horizontal="right" vertical="center" wrapText="1" readingOrder="1"/>
    </xf>
    <xf numFmtId="3" fontId="106" fillId="0" borderId="71" xfId="0" applyNumberFormat="1" applyFont="1" applyBorder="1" applyAlignment="1">
      <alignment horizontal="right" vertical="center" readingOrder="1"/>
    </xf>
    <xf numFmtId="3" fontId="106" fillId="0" borderId="2" xfId="0" applyNumberFormat="1" applyFont="1" applyBorder="1" applyAlignment="1">
      <alignment horizontal="right" vertical="center" readingOrder="1"/>
    </xf>
    <xf numFmtId="3" fontId="106" fillId="0" borderId="72" xfId="0" applyNumberFormat="1" applyFont="1" applyBorder="1" applyAlignment="1">
      <alignment horizontal="right" vertical="center" readingOrder="1"/>
    </xf>
    <xf numFmtId="0" fontId="106" fillId="2" borderId="0" xfId="0" applyFont="1" applyFill="1" applyAlignment="1">
      <alignment horizontal="left" vertical="center" readingOrder="1"/>
    </xf>
    <xf numFmtId="0" fontId="106" fillId="0" borderId="67" xfId="0" applyFont="1" applyBorder="1" applyAlignment="1">
      <alignment horizontal="left" vertical="center" readingOrder="1"/>
    </xf>
    <xf numFmtId="0" fontId="106" fillId="0" borderId="0" xfId="0" applyFont="1" applyBorder="1" applyAlignment="1">
      <alignment horizontal="left" vertical="center" readingOrder="1"/>
    </xf>
    <xf numFmtId="0" fontId="106" fillId="0" borderId="68" xfId="0" applyFont="1" applyBorder="1" applyAlignment="1">
      <alignment horizontal="left" vertical="center" readingOrder="1"/>
    </xf>
    <xf numFmtId="3" fontId="106" fillId="2" borderId="0" xfId="0" applyNumberFormat="1" applyFont="1" applyFill="1" applyAlignment="1">
      <alignment horizontal="right" vertical="center" wrapText="1" readingOrder="1"/>
    </xf>
    <xf numFmtId="173" fontId="106" fillId="0" borderId="67" xfId="0" applyNumberFormat="1" applyFont="1" applyBorder="1" applyAlignment="1">
      <alignment vertical="center"/>
    </xf>
    <xf numFmtId="173" fontId="106" fillId="0" borderId="0" xfId="0" applyNumberFormat="1" applyFont="1" applyBorder="1" applyAlignment="1">
      <alignment vertical="center"/>
    </xf>
    <xf numFmtId="173" fontId="106" fillId="0" borderId="68" xfId="0" applyNumberFormat="1" applyFont="1" applyBorder="1" applyAlignment="1">
      <alignment vertical="center"/>
    </xf>
    <xf numFmtId="3" fontId="107" fillId="5" borderId="21" xfId="0" applyNumberFormat="1" applyFont="1" applyFill="1" applyBorder="1" applyAlignment="1">
      <alignment horizontal="right" vertical="center" wrapText="1" readingOrder="1"/>
    </xf>
    <xf numFmtId="187" fontId="107" fillId="0" borderId="73" xfId="0" applyNumberFormat="1" applyFont="1" applyBorder="1" applyAlignment="1">
      <alignment horizontal="right" vertical="center" readingOrder="1"/>
    </xf>
    <xf numFmtId="187" fontId="107" fillId="0" borderId="21" xfId="0" applyNumberFormat="1" applyFont="1" applyBorder="1" applyAlignment="1">
      <alignment horizontal="right" vertical="center" readingOrder="1"/>
    </xf>
    <xf numFmtId="187" fontId="107" fillId="0" borderId="74" xfId="0" applyNumberFormat="1" applyFont="1" applyBorder="1" applyAlignment="1">
      <alignment horizontal="right" vertical="center" readingOrder="1"/>
    </xf>
    <xf numFmtId="190" fontId="107" fillId="5" borderId="0" xfId="0" applyNumberFormat="1" applyFont="1" applyFill="1" applyAlignment="1">
      <alignment vertical="center"/>
    </xf>
    <xf numFmtId="187" fontId="107" fillId="0" borderId="67" xfId="0" applyNumberFormat="1" applyFont="1" applyBorder="1" applyAlignment="1">
      <alignment vertical="center"/>
    </xf>
    <xf numFmtId="187" fontId="107" fillId="0" borderId="0" xfId="0" applyNumberFormat="1" applyFont="1" applyBorder="1" applyAlignment="1">
      <alignment vertical="center"/>
    </xf>
    <xf numFmtId="187" fontId="107" fillId="0" borderId="68" xfId="0" applyNumberFormat="1" applyFont="1" applyBorder="1" applyAlignment="1">
      <alignment vertical="center"/>
    </xf>
    <xf numFmtId="0" fontId="106" fillId="5" borderId="18" xfId="0" applyFont="1" applyFill="1" applyBorder="1" applyAlignment="1">
      <alignment vertical="center"/>
    </xf>
    <xf numFmtId="187" fontId="106" fillId="0" borderId="75" xfId="0" applyNumberFormat="1" applyFont="1" applyBorder="1" applyAlignment="1">
      <alignment vertical="center"/>
    </xf>
    <xf numFmtId="187" fontId="106" fillId="0" borderId="76" xfId="0" applyNumberFormat="1" applyFont="1" applyBorder="1" applyAlignment="1">
      <alignment vertical="center"/>
    </xf>
    <xf numFmtId="187" fontId="106" fillId="0" borderId="77" xfId="0" applyNumberFormat="1" applyFont="1" applyBorder="1" applyAlignment="1">
      <alignment vertical="center"/>
    </xf>
    <xf numFmtId="3" fontId="107" fillId="2" borderId="4" xfId="0" applyNumberFormat="1" applyFont="1" applyFill="1" applyBorder="1" applyAlignment="1">
      <alignment vertical="center"/>
    </xf>
    <xf numFmtId="3" fontId="107" fillId="0" borderId="65" xfId="0" applyNumberFormat="1" applyFont="1" applyBorder="1" applyAlignment="1">
      <alignment vertical="center"/>
    </xf>
    <xf numFmtId="3" fontId="107" fillId="0" borderId="4" xfId="0" applyNumberFormat="1" applyFont="1" applyBorder="1" applyAlignment="1">
      <alignment vertical="center"/>
    </xf>
    <xf numFmtId="3" fontId="107" fillId="0" borderId="66" xfId="0" applyNumberFormat="1" applyFont="1" applyBorder="1" applyAlignment="1">
      <alignment vertical="center"/>
    </xf>
    <xf numFmtId="176" fontId="107" fillId="2" borderId="0" xfId="0" applyNumberFormat="1" applyFont="1" applyFill="1" applyAlignment="1">
      <alignment vertical="center"/>
    </xf>
    <xf numFmtId="176" fontId="107" fillId="0" borderId="67" xfId="0" applyNumberFormat="1" applyFont="1" applyBorder="1" applyAlignment="1">
      <alignment vertical="center"/>
    </xf>
    <xf numFmtId="176" fontId="107" fillId="0" borderId="0" xfId="0" applyNumberFormat="1" applyFont="1" applyBorder="1" applyAlignment="1">
      <alignment vertical="center"/>
    </xf>
    <xf numFmtId="176" fontId="107" fillId="0" borderId="68" xfId="0" applyNumberFormat="1" applyFont="1" applyBorder="1" applyAlignment="1">
      <alignment vertical="center"/>
    </xf>
    <xf numFmtId="176" fontId="107" fillId="2" borderId="18" xfId="0" applyNumberFormat="1" applyFont="1" applyFill="1" applyBorder="1" applyAlignment="1">
      <alignment vertical="center"/>
    </xf>
    <xf numFmtId="176" fontId="107" fillId="0" borderId="78" xfId="0" applyNumberFormat="1" applyFont="1" applyBorder="1" applyAlignment="1">
      <alignment vertical="center"/>
    </xf>
    <xf numFmtId="176" fontId="107" fillId="0" borderId="18" xfId="0" applyNumberFormat="1" applyFont="1" applyBorder="1" applyAlignment="1">
      <alignment vertical="center"/>
    </xf>
    <xf numFmtId="176" fontId="107" fillId="0" borderId="79" xfId="0" applyNumberFormat="1" applyFont="1" applyBorder="1" applyAlignment="1">
      <alignment vertical="center"/>
    </xf>
    <xf numFmtId="165" fontId="106" fillId="5" borderId="21" xfId="2" applyNumberFormat="1" applyFont="1" applyFill="1" applyBorder="1" applyAlignment="1">
      <alignment horizontal="right" vertical="center" wrapText="1" readingOrder="1"/>
    </xf>
    <xf numFmtId="165" fontId="106" fillId="0" borderId="73" xfId="2" applyNumberFormat="1" applyFont="1" applyFill="1" applyBorder="1" applyAlignment="1">
      <alignment horizontal="right" vertical="center" wrapText="1" readingOrder="1"/>
    </xf>
    <xf numFmtId="165" fontId="106" fillId="0" borderId="21" xfId="2" applyNumberFormat="1" applyFont="1" applyFill="1" applyBorder="1" applyAlignment="1">
      <alignment horizontal="right" vertical="center" wrapText="1" readingOrder="1"/>
    </xf>
    <xf numFmtId="165" fontId="106" fillId="0" borderId="74" xfId="2" applyNumberFormat="1" applyFont="1" applyFill="1" applyBorder="1" applyAlignment="1">
      <alignment horizontal="right" vertical="center" wrapText="1" readingOrder="1"/>
    </xf>
    <xf numFmtId="165" fontId="106" fillId="5" borderId="10" xfId="2" applyNumberFormat="1" applyFont="1" applyFill="1" applyBorder="1" applyAlignment="1">
      <alignment horizontal="right" vertical="center" wrapText="1" readingOrder="1"/>
    </xf>
    <xf numFmtId="165" fontId="106" fillId="0" borderId="69" xfId="2" applyNumberFormat="1" applyFont="1" applyFill="1" applyBorder="1" applyAlignment="1">
      <alignment horizontal="right" vertical="center" wrapText="1" readingOrder="1"/>
    </xf>
    <xf numFmtId="165" fontId="106" fillId="0" borderId="10" xfId="2" applyNumberFormat="1" applyFont="1" applyFill="1" applyBorder="1" applyAlignment="1">
      <alignment horizontal="right" vertical="center" wrapText="1" readingOrder="1"/>
    </xf>
    <xf numFmtId="165" fontId="106" fillId="0" borderId="70" xfId="2" applyNumberFormat="1" applyFont="1" applyFill="1" applyBorder="1" applyAlignment="1">
      <alignment horizontal="right" vertical="center" wrapText="1" readingOrder="1"/>
    </xf>
    <xf numFmtId="4" fontId="107" fillId="5" borderId="4" xfId="2" applyNumberFormat="1" applyFont="1" applyFill="1" applyBorder="1" applyAlignment="1">
      <alignment horizontal="right" vertical="center" wrapText="1" readingOrder="1"/>
    </xf>
    <xf numFmtId="4" fontId="107" fillId="0" borderId="80" xfId="2" applyNumberFormat="1" applyFont="1" applyFill="1" applyBorder="1" applyAlignment="1">
      <alignment horizontal="right" vertical="center" wrapText="1" readingOrder="1"/>
    </xf>
    <xf numFmtId="4" fontId="107" fillId="0" borderId="81" xfId="2" applyNumberFormat="1" applyFont="1" applyFill="1" applyBorder="1" applyAlignment="1">
      <alignment horizontal="right" vertical="center" wrapText="1" readingOrder="1"/>
    </xf>
    <xf numFmtId="4" fontId="107" fillId="0" borderId="82" xfId="2" applyNumberFormat="1" applyFont="1" applyFill="1" applyBorder="1" applyAlignment="1">
      <alignment horizontal="right" vertical="center" wrapText="1" readingOrder="1"/>
    </xf>
    <xf numFmtId="0" fontId="107" fillId="0" borderId="0" xfId="0" applyFont="1" applyAlignment="1">
      <alignment vertical="center"/>
    </xf>
    <xf numFmtId="2" fontId="107" fillId="0" borderId="0" xfId="0" applyNumberFormat="1" applyFont="1" applyAlignment="1">
      <alignment vertical="center"/>
    </xf>
    <xf numFmtId="17" fontId="106" fillId="5" borderId="15" xfId="0" applyNumberFormat="1" applyFont="1" applyFill="1" applyBorder="1" applyAlignment="1">
      <alignment horizontal="center" vertical="center" wrapText="1" readingOrder="1"/>
    </xf>
    <xf numFmtId="4" fontId="106" fillId="0" borderId="4" xfId="0" applyNumberFormat="1" applyFont="1" applyBorder="1" applyAlignment="1">
      <alignment vertical="center"/>
    </xf>
    <xf numFmtId="3" fontId="106" fillId="0" borderId="37" xfId="0" applyNumberFormat="1" applyFont="1" applyBorder="1" applyAlignment="1">
      <alignment vertical="center"/>
    </xf>
    <xf numFmtId="0" fontId="108" fillId="33" borderId="0" xfId="0" applyFont="1" applyFill="1" applyAlignment="1">
      <alignment vertical="center"/>
    </xf>
    <xf numFmtId="0" fontId="109" fillId="0" borderId="0" xfId="0" applyFont="1" applyAlignment="1">
      <alignment vertical="center"/>
    </xf>
    <xf numFmtId="17" fontId="106" fillId="5" borderId="50" xfId="0" applyNumberFormat="1" applyFont="1" applyFill="1" applyBorder="1" applyAlignment="1">
      <alignment horizontal="center" vertical="center" wrapText="1" readingOrder="1"/>
    </xf>
    <xf numFmtId="3" fontId="107" fillId="2" borderId="65" xfId="0" applyNumberFormat="1" applyFont="1" applyFill="1" applyBorder="1" applyAlignment="1">
      <alignment vertical="center"/>
    </xf>
    <xf numFmtId="173" fontId="107" fillId="2" borderId="67" xfId="0" applyNumberFormat="1" applyFont="1" applyFill="1" applyBorder="1" applyAlignment="1">
      <alignment horizontal="right" vertical="center"/>
    </xf>
    <xf numFmtId="173" fontId="107" fillId="0" borderId="0" xfId="0" applyNumberFormat="1" applyFont="1" applyBorder="1" applyAlignment="1">
      <alignment horizontal="right" vertical="center"/>
    </xf>
    <xf numFmtId="173" fontId="107" fillId="0" borderId="68" xfId="0" applyNumberFormat="1" applyFont="1" applyBorder="1" applyAlignment="1">
      <alignment horizontal="right" vertical="center"/>
    </xf>
    <xf numFmtId="4" fontId="106" fillId="2" borderId="65" xfId="0" applyNumberFormat="1" applyFont="1" applyFill="1" applyBorder="1" applyAlignment="1">
      <alignment vertical="center"/>
    </xf>
    <xf numFmtId="4" fontId="106" fillId="0" borderId="66" xfId="0" applyNumberFormat="1" applyFont="1" applyBorder="1" applyAlignment="1">
      <alignment vertical="center"/>
    </xf>
    <xf numFmtId="3" fontId="107" fillId="2" borderId="67" xfId="0" applyNumberFormat="1" applyFont="1" applyFill="1" applyBorder="1" applyAlignment="1">
      <alignment vertical="center"/>
    </xf>
    <xf numFmtId="3" fontId="107" fillId="0" borderId="0" xfId="0" applyNumberFormat="1" applyFont="1" applyBorder="1" applyAlignment="1">
      <alignment vertical="center"/>
    </xf>
    <xf numFmtId="3" fontId="107" fillId="0" borderId="68" xfId="0" applyNumberFormat="1" applyFont="1" applyBorder="1" applyAlignment="1">
      <alignment vertical="center"/>
    </xf>
    <xf numFmtId="3" fontId="106" fillId="5" borderId="99" xfId="0" applyNumberFormat="1" applyFont="1" applyFill="1" applyBorder="1" applyAlignment="1">
      <alignment vertical="center"/>
    </xf>
    <xf numFmtId="3" fontId="106" fillId="0" borderId="100" xfId="0" applyNumberFormat="1" applyFont="1" applyBorder="1" applyAlignment="1">
      <alignment vertical="center"/>
    </xf>
    <xf numFmtId="173" fontId="106" fillId="5" borderId="67" xfId="0" applyNumberFormat="1" applyFont="1" applyFill="1" applyBorder="1" applyAlignment="1">
      <alignment horizontal="right" vertical="center"/>
    </xf>
    <xf numFmtId="173" fontId="106" fillId="0" borderId="0" xfId="0" applyNumberFormat="1" applyFont="1" applyBorder="1" applyAlignment="1">
      <alignment horizontal="right" vertical="center"/>
    </xf>
    <xf numFmtId="173" fontId="106" fillId="0" borderId="68" xfId="0" applyNumberFormat="1" applyFont="1" applyBorder="1" applyAlignment="1">
      <alignment horizontal="right" vertical="center"/>
    </xf>
    <xf numFmtId="4" fontId="106" fillId="5" borderId="80" xfId="0" applyNumberFormat="1" applyFont="1" applyFill="1" applyBorder="1" applyAlignment="1">
      <alignment vertical="center"/>
    </xf>
    <xf numFmtId="4" fontId="106" fillId="0" borderId="81" xfId="0" applyNumberFormat="1" applyFont="1" applyBorder="1" applyAlignment="1">
      <alignment vertical="center"/>
    </xf>
    <xf numFmtId="4" fontId="106" fillId="0" borderId="82" xfId="0" applyNumberFormat="1" applyFont="1" applyBorder="1" applyAlignment="1">
      <alignment vertical="center"/>
    </xf>
    <xf numFmtId="17" fontId="32" fillId="5" borderId="52" xfId="0" applyNumberFormat="1" applyFont="1" applyFill="1" applyBorder="1" applyAlignment="1">
      <alignment horizontal="center" vertical="center" wrapText="1" readingOrder="1"/>
    </xf>
    <xf numFmtId="3" fontId="35" fillId="0" borderId="65" xfId="0" applyNumberFormat="1" applyFont="1" applyBorder="1" applyAlignment="1">
      <alignment vertical="center"/>
    </xf>
    <xf numFmtId="3" fontId="35" fillId="2" borderId="66" xfId="0" applyNumberFormat="1" applyFont="1" applyFill="1" applyBorder="1" applyAlignment="1">
      <alignment vertical="center"/>
    </xf>
    <xf numFmtId="173" fontId="35" fillId="0" borderId="67" xfId="0" applyNumberFormat="1" applyFont="1" applyBorder="1" applyAlignment="1">
      <alignment horizontal="right" vertical="center"/>
    </xf>
    <xf numFmtId="173" fontId="35" fillId="0" borderId="0" xfId="0" applyNumberFormat="1" applyFont="1" applyBorder="1" applyAlignment="1">
      <alignment horizontal="right" vertical="center"/>
    </xf>
    <xf numFmtId="173" fontId="35" fillId="2" borderId="68" xfId="0" applyNumberFormat="1" applyFont="1" applyFill="1" applyBorder="1" applyAlignment="1">
      <alignment horizontal="right" vertical="center"/>
    </xf>
    <xf numFmtId="4" fontId="32" fillId="0" borderId="65" xfId="0" applyNumberFormat="1" applyFont="1" applyBorder="1" applyAlignment="1">
      <alignment vertical="center"/>
    </xf>
    <xf numFmtId="4" fontId="32" fillId="2" borderId="66" xfId="0" applyNumberFormat="1" applyFont="1" applyFill="1" applyBorder="1" applyAlignment="1">
      <alignment vertical="center"/>
    </xf>
    <xf numFmtId="3" fontId="35" fillId="0" borderId="67" xfId="0" applyNumberFormat="1" applyFont="1" applyBorder="1" applyAlignment="1">
      <alignment vertical="center"/>
    </xf>
    <xf numFmtId="3" fontId="35" fillId="0" borderId="0" xfId="0" applyNumberFormat="1" applyFont="1" applyBorder="1" applyAlignment="1">
      <alignment vertical="center"/>
    </xf>
    <xf numFmtId="3" fontId="35" fillId="2" borderId="68" xfId="0" applyNumberFormat="1" applyFont="1" applyFill="1" applyBorder="1" applyAlignment="1">
      <alignment vertical="center"/>
    </xf>
    <xf numFmtId="3" fontId="32" fillId="0" borderId="99" xfId="0" applyNumberFormat="1" applyFont="1" applyBorder="1" applyAlignment="1">
      <alignment vertical="center"/>
    </xf>
    <xf numFmtId="3" fontId="32" fillId="5" borderId="100" xfId="0" applyNumberFormat="1" applyFont="1" applyFill="1" applyBorder="1" applyAlignment="1">
      <alignment vertical="center"/>
    </xf>
    <xf numFmtId="173" fontId="32" fillId="0" borderId="67" xfId="0" applyNumberFormat="1" applyFont="1" applyBorder="1" applyAlignment="1">
      <alignment horizontal="right" vertical="center"/>
    </xf>
    <xf numFmtId="173" fontId="32" fillId="0" borderId="0" xfId="0" applyNumberFormat="1" applyFont="1" applyBorder="1" applyAlignment="1">
      <alignment horizontal="right" vertical="center"/>
    </xf>
    <xf numFmtId="173" fontId="32" fillId="5" borderId="68" xfId="0" applyNumberFormat="1" applyFont="1" applyFill="1" applyBorder="1" applyAlignment="1">
      <alignment horizontal="right" vertical="center"/>
    </xf>
    <xf numFmtId="4" fontId="32" fillId="0" borderId="80" xfId="0" applyNumberFormat="1" applyFont="1" applyBorder="1" applyAlignment="1">
      <alignment vertical="center"/>
    </xf>
    <xf numFmtId="4" fontId="32" fillId="0" borderId="81" xfId="0" applyNumberFormat="1" applyFont="1" applyBorder="1" applyAlignment="1">
      <alignment vertical="center"/>
    </xf>
    <xf numFmtId="4" fontId="32" fillId="5" borderId="82" xfId="0" applyNumberFormat="1" applyFont="1" applyFill="1" applyBorder="1" applyAlignment="1">
      <alignment vertical="center"/>
    </xf>
    <xf numFmtId="173" fontId="106" fillId="5" borderId="80" xfId="0" applyNumberFormat="1" applyFont="1" applyFill="1" applyBorder="1" applyAlignment="1">
      <alignment vertical="center"/>
    </xf>
    <xf numFmtId="17" fontId="110" fillId="5" borderId="50" xfId="0" applyNumberFormat="1" applyFont="1" applyFill="1" applyBorder="1" applyAlignment="1">
      <alignment horizontal="center" vertical="center" wrapText="1" readingOrder="1"/>
    </xf>
    <xf numFmtId="17" fontId="110" fillId="0" borderId="51" xfId="0" applyNumberFormat="1" applyFont="1" applyBorder="1" applyAlignment="1">
      <alignment horizontal="center" vertical="center" wrapText="1" readingOrder="1"/>
    </xf>
    <xf numFmtId="17" fontId="110" fillId="0" borderId="52" xfId="0" applyNumberFormat="1" applyFont="1" applyBorder="1" applyAlignment="1">
      <alignment horizontal="center" vertical="center" wrapText="1" readingOrder="1"/>
    </xf>
    <xf numFmtId="165" fontId="111" fillId="2" borderId="53" xfId="0" applyNumberFormat="1" applyFont="1" applyFill="1" applyBorder="1" applyAlignment="1">
      <alignment horizontal="right" vertical="center" wrapText="1" readingOrder="1"/>
    </xf>
    <xf numFmtId="165" fontId="111" fillId="0" borderId="5" xfId="0" applyNumberFormat="1" applyFont="1" applyBorder="1" applyAlignment="1">
      <alignment horizontal="right" vertical="center" wrapText="1" readingOrder="1"/>
    </xf>
    <xf numFmtId="165" fontId="111" fillId="0" borderId="54" xfId="0" applyNumberFormat="1" applyFont="1" applyBorder="1" applyAlignment="1">
      <alignment horizontal="right" vertical="center" wrapText="1" readingOrder="1"/>
    </xf>
    <xf numFmtId="165" fontId="111" fillId="2" borderId="60" xfId="0" applyNumberFormat="1" applyFont="1" applyFill="1" applyBorder="1" applyAlignment="1">
      <alignment horizontal="right" vertical="center" wrapText="1" readingOrder="1"/>
    </xf>
    <xf numFmtId="165" fontId="111" fillId="0" borderId="6" xfId="0" applyNumberFormat="1" applyFont="1" applyBorder="1" applyAlignment="1">
      <alignment horizontal="right" vertical="center" wrapText="1" readingOrder="1"/>
    </xf>
    <xf numFmtId="165" fontId="111" fillId="0" borderId="61" xfId="0" applyNumberFormat="1" applyFont="1" applyBorder="1" applyAlignment="1">
      <alignment horizontal="right" vertical="center" wrapText="1" readingOrder="1"/>
    </xf>
    <xf numFmtId="165" fontId="111" fillId="2" borderId="55" xfId="0" applyNumberFormat="1" applyFont="1" applyFill="1" applyBorder="1" applyAlignment="1">
      <alignment horizontal="right" vertical="center" wrapText="1" readingOrder="1"/>
    </xf>
    <xf numFmtId="165" fontId="111" fillId="0" borderId="9" xfId="0" applyNumberFormat="1" applyFont="1" applyBorder="1" applyAlignment="1">
      <alignment horizontal="right" vertical="center" wrapText="1" readingOrder="1"/>
    </xf>
    <xf numFmtId="165" fontId="111" fillId="0" borderId="56" xfId="0" applyNumberFormat="1" applyFont="1" applyBorder="1" applyAlignment="1">
      <alignment horizontal="right" vertical="center" wrapText="1" readingOrder="1"/>
    </xf>
    <xf numFmtId="165" fontId="110" fillId="5" borderId="57" xfId="2" applyNumberFormat="1" applyFont="1" applyFill="1" applyBorder="1" applyAlignment="1">
      <alignment vertical="center" wrapText="1"/>
    </xf>
    <xf numFmtId="165" fontId="110" fillId="0" borderId="58" xfId="2" applyNumberFormat="1" applyFont="1" applyFill="1" applyBorder="1" applyAlignment="1">
      <alignment vertical="center" wrapText="1"/>
    </xf>
    <xf numFmtId="165" fontId="110" fillId="0" borderId="59" xfId="2" applyNumberFormat="1" applyFont="1" applyFill="1" applyBorder="1" applyAlignment="1">
      <alignment vertical="center" wrapText="1"/>
    </xf>
    <xf numFmtId="17" fontId="110" fillId="32" borderId="50" xfId="0" applyNumberFormat="1" applyFont="1" applyFill="1" applyBorder="1" applyAlignment="1">
      <alignment horizontal="center" vertical="center" wrapText="1" readingOrder="1"/>
    </xf>
    <xf numFmtId="17" fontId="110" fillId="32" borderId="51" xfId="0" applyNumberFormat="1" applyFont="1" applyFill="1" applyBorder="1" applyAlignment="1">
      <alignment horizontal="center" vertical="center" wrapText="1" readingOrder="1"/>
    </xf>
    <xf numFmtId="17" fontId="110" fillId="32" borderId="52" xfId="0" applyNumberFormat="1" applyFont="1" applyFill="1" applyBorder="1" applyAlignment="1">
      <alignment horizontal="center" vertical="center" wrapText="1" readingOrder="1"/>
    </xf>
    <xf numFmtId="173" fontId="111" fillId="0" borderId="67" xfId="11" applyNumberFormat="1" applyFont="1" applyBorder="1" applyAlignment="1">
      <alignment vertical="center"/>
    </xf>
    <xf numFmtId="173" fontId="111" fillId="0" borderId="0" xfId="11" applyNumberFormat="1" applyFont="1" applyBorder="1" applyAlignment="1">
      <alignment vertical="center"/>
    </xf>
    <xf numFmtId="173" fontId="111" fillId="0" borderId="68" xfId="11" applyNumberFormat="1" applyFont="1" applyBorder="1" applyAlignment="1">
      <alignment vertical="center"/>
    </xf>
    <xf numFmtId="173" fontId="110" fillId="0" borderId="67" xfId="11" applyNumberFormat="1" applyFont="1" applyBorder="1" applyAlignment="1">
      <alignment vertical="center"/>
    </xf>
    <xf numFmtId="173" fontId="110" fillId="0" borderId="0" xfId="11" applyNumberFormat="1" applyFont="1" applyBorder="1" applyAlignment="1">
      <alignment vertical="center"/>
    </xf>
    <xf numFmtId="173" fontId="110" fillId="0" borderId="68" xfId="11" applyNumberFormat="1" applyFont="1" applyBorder="1" applyAlignment="1">
      <alignment vertical="center"/>
    </xf>
    <xf numFmtId="3" fontId="111" fillId="0" borderId="67" xfId="11" applyNumberFormat="1" applyFont="1" applyBorder="1" applyAlignment="1">
      <alignment vertical="center"/>
    </xf>
    <xf numFmtId="3" fontId="111" fillId="0" borderId="0" xfId="11" applyNumberFormat="1" applyFont="1" applyBorder="1" applyAlignment="1">
      <alignment vertical="center"/>
    </xf>
    <xf numFmtId="3" fontId="111" fillId="0" borderId="68" xfId="11" applyNumberFormat="1" applyFont="1" applyBorder="1" applyAlignment="1">
      <alignment vertical="center"/>
    </xf>
    <xf numFmtId="173" fontId="110" fillId="0" borderId="78" xfId="11" applyNumberFormat="1" applyFont="1" applyBorder="1" applyAlignment="1">
      <alignment vertical="center"/>
    </xf>
    <xf numFmtId="173" fontId="110" fillId="0" borderId="18" xfId="11" applyNumberFormat="1" applyFont="1" applyBorder="1" applyAlignment="1">
      <alignment vertical="center"/>
    </xf>
    <xf numFmtId="173" fontId="110" fillId="0" borderId="79" xfId="11" applyNumberFormat="1" applyFont="1" applyBorder="1" applyAlignment="1">
      <alignment vertical="center"/>
    </xf>
    <xf numFmtId="173" fontId="111" fillId="0" borderId="65" xfId="11" applyNumberFormat="1" applyFont="1" applyBorder="1" applyAlignment="1">
      <alignment vertical="center"/>
    </xf>
    <xf numFmtId="173" fontId="111" fillId="0" borderId="4" xfId="11" applyNumberFormat="1" applyFont="1" applyBorder="1" applyAlignment="1">
      <alignment vertical="center"/>
    </xf>
    <xf numFmtId="173" fontId="111" fillId="0" borderId="66" xfId="11" applyNumberFormat="1" applyFont="1" applyBorder="1" applyAlignment="1">
      <alignment vertical="center"/>
    </xf>
    <xf numFmtId="173" fontId="110" fillId="0" borderId="86" xfId="11" applyNumberFormat="1" applyFont="1" applyBorder="1" applyAlignment="1">
      <alignment vertical="center"/>
    </xf>
    <xf numFmtId="173" fontId="110" fillId="0" borderId="15" xfId="11" applyNumberFormat="1" applyFont="1" applyBorder="1" applyAlignment="1">
      <alignment vertical="center"/>
    </xf>
    <xf numFmtId="173" fontId="110" fillId="0" borderId="87" xfId="11" applyNumberFormat="1" applyFont="1" applyBorder="1" applyAlignment="1">
      <alignment vertical="center"/>
    </xf>
    <xf numFmtId="165" fontId="111" fillId="0" borderId="75" xfId="12" applyNumberFormat="1" applyFont="1" applyBorder="1" applyAlignment="1">
      <alignment vertical="center"/>
    </xf>
    <xf numFmtId="165" fontId="111" fillId="0" borderId="76" xfId="12" applyNumberFormat="1" applyFont="1" applyBorder="1" applyAlignment="1">
      <alignment vertical="center"/>
    </xf>
    <xf numFmtId="165" fontId="111" fillId="0" borderId="77" xfId="12" applyNumberFormat="1" applyFont="1" applyBorder="1" applyAlignment="1">
      <alignment vertical="center"/>
    </xf>
    <xf numFmtId="184" fontId="111" fillId="0" borderId="67" xfId="11" applyNumberFormat="1" applyFont="1" applyBorder="1" applyAlignment="1">
      <alignment vertical="center"/>
    </xf>
    <xf numFmtId="184" fontId="111" fillId="0" borderId="0" xfId="11" applyNumberFormat="1" applyFont="1" applyBorder="1" applyAlignment="1">
      <alignment vertical="center"/>
    </xf>
    <xf numFmtId="184" fontId="111" fillId="0" borderId="68" xfId="11" applyNumberFormat="1" applyFont="1" applyBorder="1" applyAlignment="1">
      <alignment vertical="center"/>
    </xf>
    <xf numFmtId="185" fontId="111" fillId="0" borderId="67" xfId="11" applyNumberFormat="1" applyFont="1" applyBorder="1" applyAlignment="1">
      <alignment vertical="center"/>
    </xf>
    <xf numFmtId="185" fontId="111" fillId="0" borderId="0" xfId="11" applyNumberFormat="1" applyFont="1" applyBorder="1" applyAlignment="1">
      <alignment vertical="center"/>
    </xf>
    <xf numFmtId="185" fontId="111" fillId="0" borderId="68" xfId="11" applyNumberFormat="1" applyFont="1" applyBorder="1" applyAlignment="1">
      <alignment vertical="center"/>
    </xf>
    <xf numFmtId="0" fontId="111" fillId="0" borderId="67" xfId="11" applyFont="1" applyBorder="1" applyAlignment="1">
      <alignment vertical="center"/>
    </xf>
    <xf numFmtId="0" fontId="111" fillId="0" borderId="0" xfId="11" applyFont="1" applyBorder="1" applyAlignment="1">
      <alignment vertical="center"/>
    </xf>
    <xf numFmtId="0" fontId="111" fillId="0" borderId="68" xfId="11" applyFont="1" applyBorder="1" applyAlignment="1">
      <alignment vertical="center"/>
    </xf>
    <xf numFmtId="165" fontId="107" fillId="0" borderId="5" xfId="2" applyNumberFormat="1" applyFont="1" applyFill="1" applyBorder="1" applyAlignment="1">
      <alignment horizontal="right" vertical="center" readingOrder="1"/>
    </xf>
    <xf numFmtId="165" fontId="107" fillId="0" borderId="6" xfId="2" applyNumberFormat="1" applyFont="1" applyFill="1" applyBorder="1" applyAlignment="1">
      <alignment horizontal="right" vertical="center" readingOrder="1"/>
    </xf>
    <xf numFmtId="165" fontId="107" fillId="2" borderId="53" xfId="2" applyNumberFormat="1" applyFont="1" applyFill="1" applyBorder="1" applyAlignment="1">
      <alignment horizontal="right" vertical="center" wrapText="1" readingOrder="1"/>
    </xf>
    <xf numFmtId="165" fontId="107" fillId="0" borderId="54" xfId="2" applyNumberFormat="1" applyFont="1" applyFill="1" applyBorder="1" applyAlignment="1">
      <alignment horizontal="right" vertical="center" readingOrder="1"/>
    </xf>
    <xf numFmtId="165" fontId="107" fillId="2" borderId="60" xfId="2" applyNumberFormat="1" applyFont="1" applyFill="1" applyBorder="1" applyAlignment="1">
      <alignment horizontal="right" vertical="center" wrapText="1" readingOrder="1"/>
    </xf>
    <xf numFmtId="165" fontId="107" fillId="0" borderId="61" xfId="2" applyNumberFormat="1" applyFont="1" applyFill="1" applyBorder="1" applyAlignment="1">
      <alignment horizontal="right" vertical="center" readingOrder="1"/>
    </xf>
    <xf numFmtId="165" fontId="106" fillId="5" borderId="57" xfId="2" applyNumberFormat="1" applyFont="1" applyFill="1" applyBorder="1" applyAlignment="1">
      <alignment horizontal="right" vertical="center" wrapText="1" readingOrder="1"/>
    </xf>
    <xf numFmtId="165" fontId="106" fillId="0" borderId="58" xfId="2" applyNumberFormat="1" applyFont="1" applyFill="1" applyBorder="1" applyAlignment="1">
      <alignment horizontal="right" vertical="center" readingOrder="1"/>
    </xf>
    <xf numFmtId="165" fontId="106" fillId="0" borderId="59" xfId="2" applyNumberFormat="1" applyFont="1" applyFill="1" applyBorder="1" applyAlignment="1">
      <alignment horizontal="right" vertical="center" readingOrder="1"/>
    </xf>
    <xf numFmtId="165" fontId="35" fillId="0" borderId="53" xfId="2" applyNumberFormat="1" applyFont="1" applyFill="1" applyBorder="1" applyAlignment="1">
      <alignment horizontal="right" vertical="center" readingOrder="1"/>
    </xf>
    <xf numFmtId="165" fontId="35" fillId="2" borderId="54" xfId="2" applyNumberFormat="1" applyFont="1" applyFill="1" applyBorder="1" applyAlignment="1">
      <alignment horizontal="right" vertical="center" readingOrder="1"/>
    </xf>
    <xf numFmtId="165" fontId="35" fillId="0" borderId="60" xfId="2" applyNumberFormat="1" applyFont="1" applyFill="1" applyBorder="1" applyAlignment="1">
      <alignment horizontal="right" vertical="center" readingOrder="1"/>
    </xf>
    <xf numFmtId="165" fontId="35" fillId="2" borderId="61" xfId="2" applyNumberFormat="1" applyFont="1" applyFill="1" applyBorder="1" applyAlignment="1">
      <alignment horizontal="right" vertical="center" readingOrder="1"/>
    </xf>
    <xf numFmtId="165" fontId="32" fillId="0" borderId="57" xfId="2" applyNumberFormat="1" applyFont="1" applyFill="1" applyBorder="1" applyAlignment="1">
      <alignment horizontal="right" vertical="center" readingOrder="1"/>
    </xf>
    <xf numFmtId="165" fontId="32" fillId="0" borderId="58" xfId="2" applyNumberFormat="1" applyFont="1" applyFill="1" applyBorder="1" applyAlignment="1">
      <alignment horizontal="right" vertical="center" readingOrder="1"/>
    </xf>
    <xf numFmtId="165" fontId="32" fillId="5" borderId="59" xfId="2" applyNumberFormat="1" applyFont="1" applyFill="1" applyBorder="1" applyAlignment="1">
      <alignment horizontal="right" vertical="center" readingOrder="1"/>
    </xf>
    <xf numFmtId="0" fontId="34" fillId="0" borderId="67" xfId="0" applyFont="1" applyBorder="1" applyAlignment="1">
      <alignment vertical="center"/>
    </xf>
    <xf numFmtId="0" fontId="34" fillId="0" borderId="0" xfId="0" applyFont="1" applyBorder="1" applyAlignment="1">
      <alignment vertical="center"/>
    </xf>
    <xf numFmtId="2" fontId="36" fillId="0" borderId="75" xfId="10" applyNumberFormat="1" applyFont="1" applyBorder="1" applyAlignment="1">
      <alignment horizontal="right" vertical="center" readingOrder="1"/>
    </xf>
    <xf numFmtId="2" fontId="36" fillId="0" borderId="76" xfId="10" applyNumberFormat="1" applyFont="1" applyBorder="1" applyAlignment="1">
      <alignment horizontal="right" vertical="center" readingOrder="1"/>
    </xf>
    <xf numFmtId="3" fontId="107" fillId="2" borderId="53" xfId="2" applyNumberFormat="1" applyFont="1" applyFill="1" applyBorder="1" applyAlignment="1">
      <alignment horizontal="right" vertical="center" readingOrder="1"/>
    </xf>
    <xf numFmtId="3" fontId="107" fillId="0" borderId="5" xfId="2" applyNumberFormat="1" applyFont="1" applyFill="1" applyBorder="1" applyAlignment="1">
      <alignment horizontal="right" vertical="center" readingOrder="1"/>
    </xf>
    <xf numFmtId="3" fontId="107" fillId="0" borderId="54" xfId="2" applyNumberFormat="1" applyFont="1" applyFill="1" applyBorder="1" applyAlignment="1">
      <alignment horizontal="right" vertical="center" readingOrder="1"/>
    </xf>
    <xf numFmtId="3" fontId="107" fillId="2" borderId="60" xfId="2" applyNumberFormat="1" applyFont="1" applyFill="1" applyBorder="1" applyAlignment="1">
      <alignment horizontal="right" vertical="center" readingOrder="1"/>
    </xf>
    <xf numFmtId="3" fontId="107" fillId="0" borderId="6" xfId="2" applyNumberFormat="1" applyFont="1" applyFill="1" applyBorder="1" applyAlignment="1">
      <alignment horizontal="right" vertical="center" readingOrder="1"/>
    </xf>
    <xf numFmtId="3" fontId="107" fillId="0" borderId="61" xfId="2" applyNumberFormat="1" applyFont="1" applyFill="1" applyBorder="1" applyAlignment="1">
      <alignment horizontal="right" vertical="center" readingOrder="1"/>
    </xf>
    <xf numFmtId="3" fontId="112" fillId="2" borderId="101" xfId="2" applyNumberFormat="1" applyFont="1" applyFill="1" applyBorder="1" applyAlignment="1">
      <alignment horizontal="right" vertical="center" readingOrder="1"/>
    </xf>
    <xf numFmtId="3" fontId="112" fillId="0" borderId="13" xfId="2" applyNumberFormat="1" applyFont="1" applyFill="1" applyBorder="1" applyAlignment="1">
      <alignment horizontal="right" vertical="center" readingOrder="1"/>
    </xf>
    <xf numFmtId="3" fontId="112" fillId="0" borderId="102" xfId="2" applyNumberFormat="1" applyFont="1" applyFill="1" applyBorder="1" applyAlignment="1">
      <alignment horizontal="right" vertical="center" readingOrder="1"/>
    </xf>
    <xf numFmtId="3" fontId="107" fillId="2" borderId="97" xfId="2" applyNumberFormat="1" applyFont="1" applyFill="1" applyBorder="1" applyAlignment="1">
      <alignment horizontal="right" vertical="center" readingOrder="1"/>
    </xf>
    <xf numFmtId="3" fontId="107" fillId="0" borderId="8" xfId="2" applyNumberFormat="1" applyFont="1" applyFill="1" applyBorder="1" applyAlignment="1">
      <alignment horizontal="right" vertical="center" readingOrder="1"/>
    </xf>
    <xf numFmtId="3" fontId="107" fillId="0" borderId="98" xfId="2" applyNumberFormat="1" applyFont="1" applyFill="1" applyBorder="1" applyAlignment="1">
      <alignment horizontal="right" vertical="center" readingOrder="1"/>
    </xf>
    <xf numFmtId="3" fontId="112" fillId="2" borderId="55" xfId="2" applyNumberFormat="1" applyFont="1" applyFill="1" applyBorder="1" applyAlignment="1">
      <alignment horizontal="right" vertical="center" readingOrder="1"/>
    </xf>
    <xf numFmtId="3" fontId="112" fillId="0" borderId="9" xfId="2" applyNumberFormat="1" applyFont="1" applyFill="1" applyBorder="1" applyAlignment="1">
      <alignment horizontal="right" vertical="center" readingOrder="1"/>
    </xf>
    <xf numFmtId="3" fontId="112" fillId="0" borderId="56" xfId="2" applyNumberFormat="1" applyFont="1" applyFill="1" applyBorder="1" applyAlignment="1">
      <alignment horizontal="right" vertical="center" readingOrder="1"/>
    </xf>
    <xf numFmtId="3" fontId="107" fillId="2" borderId="103" xfId="2" applyNumberFormat="1" applyFont="1" applyFill="1" applyBorder="1" applyAlignment="1">
      <alignment horizontal="right" vertical="center" readingOrder="1"/>
    </xf>
    <xf numFmtId="3" fontId="107" fillId="0" borderId="14" xfId="2" applyNumberFormat="1" applyFont="1" applyFill="1" applyBorder="1" applyAlignment="1">
      <alignment horizontal="right" vertical="center" readingOrder="1"/>
    </xf>
    <xf numFmtId="3" fontId="107" fillId="0" borderId="104" xfId="2" applyNumberFormat="1" applyFont="1" applyFill="1" applyBorder="1" applyAlignment="1">
      <alignment horizontal="right" vertical="center" readingOrder="1"/>
    </xf>
    <xf numFmtId="3" fontId="106" fillId="2" borderId="67" xfId="2" applyNumberFormat="1" applyFont="1" applyFill="1" applyBorder="1" applyAlignment="1">
      <alignment horizontal="right" vertical="center" readingOrder="1"/>
    </xf>
    <xf numFmtId="3" fontId="106" fillId="0" borderId="0" xfId="2" applyNumberFormat="1" applyFont="1" applyFill="1" applyBorder="1" applyAlignment="1">
      <alignment horizontal="right" vertical="center" readingOrder="1"/>
    </xf>
    <xf numFmtId="3" fontId="106" fillId="0" borderId="68" xfId="2" applyNumberFormat="1" applyFont="1" applyFill="1" applyBorder="1" applyAlignment="1">
      <alignment horizontal="right" vertical="center" readingOrder="1"/>
    </xf>
    <xf numFmtId="3" fontId="106" fillId="5" borderId="105" xfId="2" applyNumberFormat="1" applyFont="1" applyFill="1" applyBorder="1" applyAlignment="1">
      <alignment horizontal="right" vertical="center" readingOrder="1"/>
    </xf>
    <xf numFmtId="3" fontId="106" fillId="0" borderId="22" xfId="2" applyNumberFormat="1" applyFont="1" applyFill="1" applyBorder="1" applyAlignment="1">
      <alignment horizontal="right" vertical="center" readingOrder="1"/>
    </xf>
    <xf numFmtId="3" fontId="106" fillId="0" borderId="106" xfId="2" applyNumberFormat="1" applyFont="1" applyFill="1" applyBorder="1" applyAlignment="1">
      <alignment horizontal="right" vertical="center" readingOrder="1"/>
    </xf>
    <xf numFmtId="3" fontId="106" fillId="5" borderId="60" xfId="2" applyNumberFormat="1" applyFont="1" applyFill="1" applyBorder="1" applyAlignment="1">
      <alignment horizontal="right" vertical="center" readingOrder="1"/>
    </xf>
    <xf numFmtId="3" fontId="106" fillId="0" borderId="6" xfId="2" applyNumberFormat="1" applyFont="1" applyFill="1" applyBorder="1" applyAlignment="1">
      <alignment horizontal="right" vertical="center" readingOrder="1"/>
    </xf>
    <xf numFmtId="3" fontId="106" fillId="0" borderId="61" xfId="2" applyNumberFormat="1" applyFont="1" applyFill="1" applyBorder="1" applyAlignment="1">
      <alignment horizontal="right" vertical="center" readingOrder="1"/>
    </xf>
    <xf numFmtId="3" fontId="106" fillId="5" borderId="107" xfId="2" applyNumberFormat="1" applyFont="1" applyFill="1" applyBorder="1" applyAlignment="1">
      <alignment horizontal="right" vertical="center" readingOrder="1"/>
    </xf>
    <xf numFmtId="3" fontId="106" fillId="0" borderId="12" xfId="2" applyNumberFormat="1" applyFont="1" applyFill="1" applyBorder="1" applyAlignment="1">
      <alignment horizontal="right" vertical="center" readingOrder="1"/>
    </xf>
    <xf numFmtId="3" fontId="106" fillId="0" borderId="108" xfId="2" applyNumberFormat="1" applyFont="1" applyFill="1" applyBorder="1" applyAlignment="1">
      <alignment horizontal="right" vertical="center" readingOrder="1"/>
    </xf>
    <xf numFmtId="0" fontId="107" fillId="0" borderId="67" xfId="0" applyFont="1" applyBorder="1" applyAlignment="1">
      <alignment vertical="center"/>
    </xf>
    <xf numFmtId="0" fontId="107" fillId="0" borderId="0" xfId="0" applyFont="1" applyBorder="1" applyAlignment="1">
      <alignment vertical="center"/>
    </xf>
    <xf numFmtId="0" fontId="107" fillId="0" borderId="68" xfId="0" applyFont="1" applyBorder="1" applyAlignment="1">
      <alignment vertical="center"/>
    </xf>
    <xf numFmtId="2" fontId="106" fillId="0" borderId="75" xfId="10" applyNumberFormat="1" applyFont="1" applyBorder="1" applyAlignment="1">
      <alignment horizontal="right" vertical="center" readingOrder="1"/>
    </xf>
    <xf numFmtId="2" fontId="106" fillId="0" borderId="76" xfId="10" applyNumberFormat="1" applyFont="1" applyBorder="1" applyAlignment="1">
      <alignment horizontal="right" vertical="center" readingOrder="1"/>
    </xf>
    <xf numFmtId="2" fontId="106" fillId="0" borderId="77" xfId="10" applyNumberFormat="1" applyFont="1" applyBorder="1" applyAlignment="1">
      <alignment horizontal="right" vertical="center" readingOrder="1"/>
    </xf>
    <xf numFmtId="3" fontId="35" fillId="0" borderId="53" xfId="2" applyNumberFormat="1" applyFont="1" applyFill="1" applyBorder="1" applyAlignment="1">
      <alignment horizontal="right" vertical="center" readingOrder="1"/>
    </xf>
    <xf numFmtId="3" fontId="35" fillId="2" borderId="54" xfId="2" applyNumberFormat="1" applyFont="1" applyFill="1" applyBorder="1" applyAlignment="1">
      <alignment horizontal="right" vertical="center" readingOrder="1"/>
    </xf>
    <xf numFmtId="3" fontId="35" fillId="0" borderId="60" xfId="2" applyNumberFormat="1" applyFont="1" applyFill="1" applyBorder="1" applyAlignment="1">
      <alignment horizontal="right" vertical="center" readingOrder="1"/>
    </xf>
    <xf numFmtId="3" fontId="35" fillId="2" borderId="61" xfId="2" applyNumberFormat="1" applyFont="1" applyFill="1" applyBorder="1" applyAlignment="1">
      <alignment horizontal="right" vertical="center" readingOrder="1"/>
    </xf>
    <xf numFmtId="3" fontId="81" fillId="0" borderId="101" xfId="2" applyNumberFormat="1" applyFont="1" applyFill="1" applyBorder="1" applyAlignment="1">
      <alignment horizontal="right" vertical="center" readingOrder="1"/>
    </xf>
    <xf numFmtId="3" fontId="81" fillId="2" borderId="102" xfId="2" applyNumberFormat="1" applyFont="1" applyFill="1" applyBorder="1" applyAlignment="1">
      <alignment horizontal="right" vertical="center" readingOrder="1"/>
    </xf>
    <xf numFmtId="3" fontId="35" fillId="0" borderId="97" xfId="2" applyNumberFormat="1" applyFont="1" applyFill="1" applyBorder="1" applyAlignment="1">
      <alignment horizontal="right" vertical="center" readingOrder="1"/>
    </xf>
    <xf numFmtId="3" fontId="35" fillId="2" borderId="98" xfId="2" applyNumberFormat="1" applyFont="1" applyFill="1" applyBorder="1" applyAlignment="1">
      <alignment horizontal="right" vertical="center" readingOrder="1"/>
    </xf>
    <xf numFmtId="3" fontId="81" fillId="0" borderId="55" xfId="2" applyNumberFormat="1" applyFont="1" applyFill="1" applyBorder="1" applyAlignment="1">
      <alignment horizontal="right" vertical="center" readingOrder="1"/>
    </xf>
    <xf numFmtId="3" fontId="81" fillId="2" borderId="56" xfId="2" applyNumberFormat="1" applyFont="1" applyFill="1" applyBorder="1" applyAlignment="1">
      <alignment horizontal="right" vertical="center" readingOrder="1"/>
    </xf>
    <xf numFmtId="3" fontId="35" fillId="0" borderId="103" xfId="2" applyNumberFormat="1" applyFont="1" applyFill="1" applyBorder="1" applyAlignment="1">
      <alignment horizontal="right" vertical="center" readingOrder="1"/>
    </xf>
    <xf numFmtId="3" fontId="35" fillId="2" borderId="104" xfId="2" applyNumberFormat="1" applyFont="1" applyFill="1" applyBorder="1" applyAlignment="1">
      <alignment horizontal="right" vertical="center" readingOrder="1"/>
    </xf>
    <xf numFmtId="3" fontId="32" fillId="0" borderId="67" xfId="2" applyNumberFormat="1" applyFont="1" applyFill="1" applyBorder="1" applyAlignment="1">
      <alignment horizontal="right" vertical="center" readingOrder="1"/>
    </xf>
    <xf numFmtId="3" fontId="32" fillId="2" borderId="68" xfId="2" applyNumberFormat="1" applyFont="1" applyFill="1" applyBorder="1" applyAlignment="1">
      <alignment horizontal="right" vertical="center" readingOrder="1"/>
    </xf>
    <xf numFmtId="3" fontId="32" fillId="0" borderId="105" xfId="2" applyNumberFormat="1" applyFont="1" applyFill="1" applyBorder="1" applyAlignment="1">
      <alignment horizontal="right" vertical="center" readingOrder="1"/>
    </xf>
    <xf numFmtId="3" fontId="32" fillId="5" borderId="106" xfId="2" applyNumberFormat="1" applyFont="1" applyFill="1" applyBorder="1" applyAlignment="1">
      <alignment horizontal="right" vertical="center" readingOrder="1"/>
    </xf>
    <xf numFmtId="3" fontId="32" fillId="0" borderId="60" xfId="2" applyNumberFormat="1" applyFont="1" applyFill="1" applyBorder="1" applyAlignment="1">
      <alignment horizontal="right" vertical="center" readingOrder="1"/>
    </xf>
    <xf numFmtId="3" fontId="32" fillId="5" borderId="61" xfId="2" applyNumberFormat="1" applyFont="1" applyFill="1" applyBorder="1" applyAlignment="1">
      <alignment horizontal="right" vertical="center" readingOrder="1"/>
    </xf>
    <xf numFmtId="3" fontId="32" fillId="0" borderId="107" xfId="2" applyNumberFormat="1" applyFont="1" applyFill="1" applyBorder="1" applyAlignment="1">
      <alignment horizontal="right" vertical="center" readingOrder="1"/>
    </xf>
    <xf numFmtId="3" fontId="32" fillId="5" borderId="108" xfId="2" applyNumberFormat="1" applyFont="1" applyFill="1" applyBorder="1" applyAlignment="1">
      <alignment horizontal="right" vertical="center" readingOrder="1"/>
    </xf>
    <xf numFmtId="0" fontId="29" fillId="0" borderId="68" xfId="0" applyFont="1" applyBorder="1" applyAlignment="1">
      <alignment vertical="center"/>
    </xf>
    <xf numFmtId="2" fontId="32" fillId="0" borderId="77" xfId="10" applyNumberFormat="1" applyFont="1" applyBorder="1" applyAlignment="1">
      <alignment horizontal="right" vertical="center" readingOrder="1"/>
    </xf>
    <xf numFmtId="173" fontId="107" fillId="0" borderId="4" xfId="11" applyNumberFormat="1" applyFont="1" applyBorder="1" applyAlignment="1">
      <alignment vertical="center"/>
    </xf>
    <xf numFmtId="173" fontId="106" fillId="0" borderId="15" xfId="11" applyNumberFormat="1" applyFont="1" applyBorder="1" applyAlignment="1">
      <alignment vertical="center"/>
    </xf>
    <xf numFmtId="173" fontId="106" fillId="12" borderId="67" xfId="11" applyNumberFormat="1" applyFont="1" applyFill="1" applyBorder="1" applyAlignment="1">
      <alignment vertical="center"/>
    </xf>
    <xf numFmtId="173" fontId="106" fillId="0" borderId="0" xfId="11" applyNumberFormat="1" applyFont="1" applyBorder="1" applyAlignment="1">
      <alignment vertical="center"/>
    </xf>
    <xf numFmtId="173" fontId="106" fillId="0" borderId="68" xfId="11" applyNumberFormat="1" applyFont="1" applyBorder="1" applyAlignment="1">
      <alignment vertical="center"/>
    </xf>
    <xf numFmtId="173" fontId="107" fillId="12" borderId="65" xfId="11" applyNumberFormat="1" applyFont="1" applyFill="1" applyBorder="1" applyAlignment="1">
      <alignment vertical="center"/>
    </xf>
    <xf numFmtId="173" fontId="107" fillId="0" borderId="66" xfId="11" applyNumberFormat="1" applyFont="1" applyBorder="1" applyAlignment="1">
      <alignment vertical="center"/>
    </xf>
    <xf numFmtId="173" fontId="107" fillId="12" borderId="67" xfId="11" applyNumberFormat="1" applyFont="1" applyFill="1" applyBorder="1" applyAlignment="1">
      <alignment vertical="center"/>
    </xf>
    <xf numFmtId="173" fontId="107" fillId="0" borderId="0" xfId="11" applyNumberFormat="1" applyFont="1" applyBorder="1" applyAlignment="1">
      <alignment vertical="center"/>
    </xf>
    <xf numFmtId="173" fontId="107" fillId="0" borderId="68" xfId="11" applyNumberFormat="1" applyFont="1" applyBorder="1" applyAlignment="1">
      <alignment vertical="center"/>
    </xf>
    <xf numFmtId="173" fontId="106" fillId="12" borderId="86" xfId="11" applyNumberFormat="1" applyFont="1" applyFill="1" applyBorder="1" applyAlignment="1">
      <alignment vertical="center"/>
    </xf>
    <xf numFmtId="173" fontId="106" fillId="0" borderId="87" xfId="11" applyNumberFormat="1" applyFont="1" applyBorder="1" applyAlignment="1">
      <alignment vertical="center"/>
    </xf>
    <xf numFmtId="165" fontId="107" fillId="12" borderId="75" xfId="12" applyNumberFormat="1" applyFont="1" applyFill="1" applyBorder="1" applyAlignment="1">
      <alignment vertical="center"/>
    </xf>
    <xf numFmtId="165" fontId="107" fillId="0" borderId="76" xfId="12" applyNumberFormat="1" applyFont="1" applyFill="1" applyBorder="1" applyAlignment="1">
      <alignment vertical="center"/>
    </xf>
    <xf numFmtId="165" fontId="107" fillId="0" borderId="77" xfId="12" applyNumberFormat="1" applyFont="1" applyFill="1" applyBorder="1" applyAlignment="1">
      <alignment vertical="center"/>
    </xf>
    <xf numFmtId="173" fontId="32" fillId="0" borderId="67" xfId="11" applyNumberFormat="1" applyFont="1" applyBorder="1" applyAlignment="1">
      <alignment vertical="center"/>
    </xf>
    <xf numFmtId="173" fontId="32" fillId="0" borderId="0" xfId="11" applyNumberFormat="1" applyFont="1" applyBorder="1" applyAlignment="1">
      <alignment vertical="center"/>
    </xf>
    <xf numFmtId="173" fontId="32" fillId="12" borderId="68" xfId="11" applyNumberFormat="1" applyFont="1" applyFill="1" applyBorder="1" applyAlignment="1">
      <alignment vertical="center"/>
    </xf>
    <xf numFmtId="173" fontId="35" fillId="0" borderId="65" xfId="11" applyNumberFormat="1" applyFont="1" applyBorder="1" applyAlignment="1">
      <alignment vertical="center"/>
    </xf>
    <xf numFmtId="173" fontId="35" fillId="12" borderId="66" xfId="11" applyNumberFormat="1" applyFont="1" applyFill="1" applyBorder="1" applyAlignment="1">
      <alignment vertical="center"/>
    </xf>
    <xf numFmtId="173" fontId="35" fillId="0" borderId="67" xfId="11" applyNumberFormat="1" applyFont="1" applyBorder="1" applyAlignment="1">
      <alignment vertical="center"/>
    </xf>
    <xf numFmtId="173" fontId="35" fillId="0" borderId="0" xfId="11" applyNumberFormat="1" applyFont="1" applyBorder="1" applyAlignment="1">
      <alignment vertical="center"/>
    </xf>
    <xf numFmtId="173" fontId="35" fillId="12" borderId="68" xfId="11" applyNumberFormat="1" applyFont="1" applyFill="1" applyBorder="1" applyAlignment="1">
      <alignment vertical="center"/>
    </xf>
    <xf numFmtId="173" fontId="32" fillId="0" borderId="86" xfId="11" applyNumberFormat="1" applyFont="1" applyBorder="1" applyAlignment="1">
      <alignment vertical="center"/>
    </xf>
    <xf numFmtId="173" fontId="32" fillId="12" borderId="87" xfId="11" applyNumberFormat="1" applyFont="1" applyFill="1" applyBorder="1" applyAlignment="1">
      <alignment vertical="center"/>
    </xf>
    <xf numFmtId="165" fontId="35" fillId="0" borderId="75" xfId="12" applyNumberFormat="1" applyFont="1" applyFill="1" applyBorder="1" applyAlignment="1">
      <alignment vertical="center"/>
    </xf>
    <xf numFmtId="165" fontId="35" fillId="0" borderId="76" xfId="12" applyNumberFormat="1" applyFont="1" applyFill="1" applyBorder="1" applyAlignment="1">
      <alignment vertical="center"/>
    </xf>
    <xf numFmtId="165" fontId="35" fillId="12" borderId="77" xfId="12" applyNumberFormat="1" applyFont="1" applyFill="1" applyBorder="1" applyAlignment="1">
      <alignment vertical="center"/>
    </xf>
    <xf numFmtId="0" fontId="107" fillId="0" borderId="65" xfId="0" applyFont="1" applyBorder="1" applyAlignment="1">
      <alignment horizontal="right" vertical="center"/>
    </xf>
    <xf numFmtId="0" fontId="107" fillId="0" borderId="4" xfId="0" applyFont="1" applyBorder="1" applyAlignment="1">
      <alignment horizontal="right" vertical="center"/>
    </xf>
    <xf numFmtId="0" fontId="107" fillId="0" borderId="66" xfId="0" applyFont="1" applyBorder="1" applyAlignment="1">
      <alignment horizontal="right" vertical="center"/>
    </xf>
    <xf numFmtId="175" fontId="107" fillId="0" borderId="67" xfId="0" applyNumberFormat="1" applyFont="1" applyBorder="1" applyAlignment="1">
      <alignment horizontal="right" vertical="center"/>
    </xf>
    <xf numFmtId="175" fontId="107" fillId="0" borderId="0" xfId="0" applyNumberFormat="1" applyFont="1" applyBorder="1" applyAlignment="1">
      <alignment horizontal="right" vertical="center"/>
    </xf>
    <xf numFmtId="175" fontId="107" fillId="0" borderId="68" xfId="0" applyNumberFormat="1" applyFont="1" applyBorder="1" applyAlignment="1">
      <alignment horizontal="right" vertical="center"/>
    </xf>
    <xf numFmtId="3" fontId="106" fillId="0" borderId="75" xfId="0" applyNumberFormat="1" applyFont="1" applyBorder="1" applyAlignment="1">
      <alignment horizontal="right" vertical="center"/>
    </xf>
    <xf numFmtId="3" fontId="106" fillId="0" borderId="76" xfId="0" applyNumberFormat="1" applyFont="1" applyBorder="1" applyAlignment="1">
      <alignment horizontal="right" vertical="center"/>
    </xf>
    <xf numFmtId="3" fontId="106" fillId="0" borderId="77" xfId="0" applyNumberFormat="1" applyFont="1" applyBorder="1" applyAlignment="1">
      <alignment horizontal="right" vertical="center"/>
    </xf>
    <xf numFmtId="0" fontId="29" fillId="0" borderId="65" xfId="0" applyFont="1" applyBorder="1" applyAlignment="1">
      <alignment horizontal="right" vertical="center"/>
    </xf>
    <xf numFmtId="0" fontId="29" fillId="0" borderId="66" xfId="0" applyFont="1" applyBorder="1" applyAlignment="1">
      <alignment horizontal="right" vertical="center"/>
    </xf>
    <xf numFmtId="175" fontId="29" fillId="0" borderId="67" xfId="0" applyNumberFormat="1" applyFont="1" applyBorder="1" applyAlignment="1">
      <alignment horizontal="right" vertical="center"/>
    </xf>
    <xf numFmtId="175" fontId="29" fillId="0" borderId="0" xfId="0" applyNumberFormat="1" applyFont="1" applyBorder="1" applyAlignment="1">
      <alignment horizontal="right" vertical="center"/>
    </xf>
    <xf numFmtId="175" fontId="29" fillId="0" borderId="68" xfId="0" applyNumberFormat="1" applyFont="1" applyBorder="1" applyAlignment="1">
      <alignment horizontal="right" vertical="center"/>
    </xf>
    <xf numFmtId="3" fontId="37" fillId="0" borderId="75" xfId="0" applyNumberFormat="1" applyFont="1" applyBorder="1" applyAlignment="1">
      <alignment horizontal="right" vertical="center"/>
    </xf>
    <xf numFmtId="3" fontId="37" fillId="0" borderId="76" xfId="0" applyNumberFormat="1" applyFont="1" applyBorder="1" applyAlignment="1">
      <alignment horizontal="right" vertical="center"/>
    </xf>
    <xf numFmtId="3" fontId="37" fillId="0" borderId="77" xfId="0" applyNumberFormat="1" applyFont="1" applyBorder="1" applyAlignment="1">
      <alignment horizontal="right" vertical="center"/>
    </xf>
    <xf numFmtId="177" fontId="107" fillId="2" borderId="109" xfId="0" applyNumberFormat="1" applyFont="1" applyFill="1" applyBorder="1" applyAlignment="1">
      <alignment vertical="center"/>
    </xf>
    <xf numFmtId="3" fontId="107" fillId="0" borderId="3" xfId="0" applyNumberFormat="1" applyFont="1" applyBorder="1" applyAlignment="1">
      <alignment horizontal="right" vertical="center" wrapText="1" readingOrder="1"/>
    </xf>
    <xf numFmtId="3" fontId="107" fillId="0" borderId="110" xfId="0" applyNumberFormat="1" applyFont="1" applyBorder="1" applyAlignment="1">
      <alignment horizontal="right" vertical="center" wrapText="1" readingOrder="1"/>
    </xf>
    <xf numFmtId="3" fontId="107" fillId="2" borderId="111" xfId="0" applyNumberFormat="1" applyFont="1" applyFill="1" applyBorder="1" applyAlignment="1">
      <alignment horizontal="right" vertical="center" wrapText="1" readingOrder="1"/>
    </xf>
    <xf numFmtId="3" fontId="107" fillId="0" borderId="1" xfId="0" applyNumberFormat="1" applyFont="1" applyBorder="1" applyAlignment="1">
      <alignment horizontal="right" vertical="center" wrapText="1" readingOrder="1"/>
    </xf>
    <xf numFmtId="3" fontId="107" fillId="0" borderId="112" xfId="0" applyNumberFormat="1" applyFont="1" applyBorder="1" applyAlignment="1">
      <alignment horizontal="right" vertical="center" wrapText="1" readingOrder="1"/>
    </xf>
    <xf numFmtId="177" fontId="107" fillId="2" borderId="67" xfId="0" applyNumberFormat="1" applyFont="1" applyFill="1" applyBorder="1" applyAlignment="1">
      <alignment vertical="center"/>
    </xf>
    <xf numFmtId="3" fontId="106" fillId="5" borderId="57" xfId="0" applyNumberFormat="1" applyFont="1" applyFill="1" applyBorder="1" applyAlignment="1">
      <alignment horizontal="right" vertical="center" wrapText="1" readingOrder="1"/>
    </xf>
    <xf numFmtId="3" fontId="106" fillId="0" borderId="58" xfId="0" applyNumberFormat="1" applyFont="1" applyBorder="1" applyAlignment="1">
      <alignment horizontal="right" vertical="center" wrapText="1" readingOrder="1"/>
    </xf>
    <xf numFmtId="3" fontId="106" fillId="0" borderId="59" xfId="0" applyNumberFormat="1" applyFont="1" applyBorder="1" applyAlignment="1">
      <alignment horizontal="right" vertical="center" wrapText="1" readingOrder="1"/>
    </xf>
    <xf numFmtId="9" fontId="107" fillId="2" borderId="65" xfId="0" applyNumberFormat="1" applyFont="1" applyFill="1" applyBorder="1" applyAlignment="1">
      <alignment horizontal="right" vertical="center" wrapText="1" readingOrder="1"/>
    </xf>
    <xf numFmtId="9" fontId="107" fillId="0" borderId="5" xfId="2" applyFont="1" applyFill="1" applyBorder="1" applyAlignment="1">
      <alignment horizontal="right" vertical="center" wrapText="1" readingOrder="1"/>
    </xf>
    <xf numFmtId="9" fontId="107" fillId="0" borderId="54" xfId="2" applyFont="1" applyFill="1" applyBorder="1" applyAlignment="1">
      <alignment horizontal="right" vertical="center" wrapText="1" readingOrder="1"/>
    </xf>
    <xf numFmtId="1" fontId="107" fillId="2" borderId="60" xfId="0" applyNumberFormat="1" applyFont="1" applyFill="1" applyBorder="1" applyAlignment="1">
      <alignment horizontal="right" vertical="center" wrapText="1" readingOrder="1"/>
    </xf>
    <xf numFmtId="1" fontId="107" fillId="0" borderId="6" xfId="0" applyNumberFormat="1" applyFont="1" applyBorder="1" applyAlignment="1">
      <alignment horizontal="right" vertical="center" wrapText="1" readingOrder="1"/>
    </xf>
    <xf numFmtId="1" fontId="107" fillId="0" borderId="61" xfId="0" applyNumberFormat="1" applyFont="1" applyBorder="1" applyAlignment="1">
      <alignment horizontal="right" vertical="center" wrapText="1" readingOrder="1"/>
    </xf>
    <xf numFmtId="1" fontId="107" fillId="2" borderId="55" xfId="0" applyNumberFormat="1" applyFont="1" applyFill="1" applyBorder="1" applyAlignment="1">
      <alignment horizontal="right" vertical="center" wrapText="1" readingOrder="1"/>
    </xf>
    <xf numFmtId="1" fontId="107" fillId="0" borderId="9" xfId="0" applyNumberFormat="1" applyFont="1" applyBorder="1" applyAlignment="1">
      <alignment horizontal="right" vertical="center" wrapText="1" readingOrder="1"/>
    </xf>
    <xf numFmtId="1" fontId="107" fillId="0" borderId="56" xfId="0" applyNumberFormat="1" applyFont="1" applyBorder="1" applyAlignment="1">
      <alignment horizontal="right" vertical="center" wrapText="1" readingOrder="1"/>
    </xf>
    <xf numFmtId="9" fontId="107" fillId="2" borderId="53" xfId="0" applyNumberFormat="1" applyFont="1" applyFill="1" applyBorder="1" applyAlignment="1">
      <alignment horizontal="right" vertical="center" wrapText="1" readingOrder="1"/>
    </xf>
    <xf numFmtId="9" fontId="107" fillId="0" borderId="4" xfId="0" applyNumberFormat="1" applyFont="1" applyBorder="1" applyAlignment="1">
      <alignment horizontal="right" vertical="center" wrapText="1" readingOrder="1"/>
    </xf>
    <xf numFmtId="9" fontId="107" fillId="0" borderId="66" xfId="0" applyNumberFormat="1" applyFont="1" applyBorder="1" applyAlignment="1">
      <alignment horizontal="right" vertical="center" wrapText="1" readingOrder="1"/>
    </xf>
    <xf numFmtId="1" fontId="107" fillId="2" borderId="95" xfId="0" applyNumberFormat="1" applyFont="1" applyFill="1" applyBorder="1" applyAlignment="1">
      <alignment horizontal="right" vertical="center" wrapText="1" readingOrder="1"/>
    </xf>
    <xf numFmtId="1" fontId="107" fillId="0" borderId="7" xfId="0" applyNumberFormat="1" applyFont="1" applyBorder="1" applyAlignment="1">
      <alignment horizontal="right" vertical="center" wrapText="1" readingOrder="1"/>
    </xf>
    <xf numFmtId="1" fontId="107" fillId="0" borderId="96" xfId="0" applyNumberFormat="1" applyFont="1" applyBorder="1" applyAlignment="1">
      <alignment horizontal="right" vertical="center" wrapText="1" readingOrder="1"/>
    </xf>
    <xf numFmtId="9" fontId="107" fillId="2" borderId="97" xfId="0" applyNumberFormat="1" applyFont="1" applyFill="1" applyBorder="1" applyAlignment="1">
      <alignment horizontal="right" vertical="center" wrapText="1" readingOrder="1"/>
    </xf>
    <xf numFmtId="9" fontId="107" fillId="0" borderId="8" xfId="0" applyNumberFormat="1" applyFont="1" applyBorder="1" applyAlignment="1">
      <alignment horizontal="right" vertical="center" wrapText="1" readingOrder="1"/>
    </xf>
    <xf numFmtId="9" fontId="107" fillId="0" borderId="98" xfId="0" applyNumberFormat="1" applyFont="1" applyBorder="1" applyAlignment="1">
      <alignment horizontal="right" vertical="center" wrapText="1" readingOrder="1"/>
    </xf>
    <xf numFmtId="9" fontId="106" fillId="5" borderId="73" xfId="0" applyNumberFormat="1" applyFont="1" applyFill="1" applyBorder="1" applyAlignment="1">
      <alignment horizontal="right" vertical="center" wrapText="1" readingOrder="1"/>
    </xf>
    <xf numFmtId="9" fontId="106" fillId="0" borderId="21" xfId="0" applyNumberFormat="1" applyFont="1" applyBorder="1" applyAlignment="1">
      <alignment horizontal="right" vertical="center" wrapText="1" readingOrder="1"/>
    </xf>
    <xf numFmtId="9" fontId="106" fillId="0" borderId="74" xfId="0" applyNumberFormat="1" applyFont="1" applyBorder="1" applyAlignment="1">
      <alignment horizontal="right" vertical="center" wrapText="1" readingOrder="1"/>
    </xf>
    <xf numFmtId="3" fontId="106" fillId="5" borderId="60" xfId="0" applyNumberFormat="1" applyFont="1" applyFill="1" applyBorder="1" applyAlignment="1">
      <alignment horizontal="right" vertical="center" wrapText="1" readingOrder="1"/>
    </xf>
    <xf numFmtId="3" fontId="106" fillId="0" borderId="6" xfId="0" applyNumberFormat="1" applyFont="1" applyBorder="1" applyAlignment="1">
      <alignment horizontal="right" vertical="center" wrapText="1" readingOrder="1"/>
    </xf>
    <xf numFmtId="3" fontId="106" fillId="0" borderId="61" xfId="0" applyNumberFormat="1" applyFont="1" applyBorder="1" applyAlignment="1">
      <alignment horizontal="right" vertical="center" wrapText="1" readingOrder="1"/>
    </xf>
    <xf numFmtId="1" fontId="106" fillId="5" borderId="75" xfId="0" applyNumberFormat="1" applyFont="1" applyFill="1" applyBorder="1" applyAlignment="1">
      <alignment horizontal="right" vertical="center" wrapText="1" readingOrder="1"/>
    </xf>
    <xf numFmtId="1" fontId="106" fillId="0" borderId="76" xfId="0" applyNumberFormat="1" applyFont="1" applyBorder="1" applyAlignment="1">
      <alignment horizontal="right" vertical="center" wrapText="1" readingOrder="1"/>
    </xf>
    <xf numFmtId="1" fontId="106" fillId="0" borderId="77" xfId="0" applyNumberFormat="1" applyFont="1" applyBorder="1" applyAlignment="1">
      <alignment horizontal="right" vertical="center" wrapText="1" readingOrder="1"/>
    </xf>
    <xf numFmtId="3" fontId="107" fillId="0" borderId="5" xfId="0" applyNumberFormat="1" applyFont="1" applyBorder="1" applyAlignment="1">
      <alignment horizontal="right" vertical="center" wrapText="1" readingOrder="1"/>
    </xf>
    <xf numFmtId="3" fontId="107" fillId="0" borderId="6" xfId="0" applyNumberFormat="1" applyFont="1" applyBorder="1" applyAlignment="1">
      <alignment horizontal="right" vertical="center" wrapText="1" readingOrder="1"/>
    </xf>
    <xf numFmtId="165" fontId="107" fillId="0" borderId="6" xfId="2" applyNumberFormat="1" applyFont="1" applyFill="1" applyBorder="1" applyAlignment="1">
      <alignment horizontal="right" vertical="center" wrapText="1" readingOrder="1"/>
    </xf>
    <xf numFmtId="3" fontId="107" fillId="0" borderId="7" xfId="0" applyNumberFormat="1" applyFont="1" applyBorder="1" applyAlignment="1">
      <alignment horizontal="right" vertical="center" wrapText="1" readingOrder="1"/>
    </xf>
    <xf numFmtId="3" fontId="107" fillId="0" borderId="8" xfId="0" applyNumberFormat="1" applyFont="1" applyBorder="1" applyAlignment="1">
      <alignment horizontal="right" vertical="center" wrapText="1" readingOrder="1"/>
    </xf>
    <xf numFmtId="3" fontId="107" fillId="0" borderId="9" xfId="0" applyNumberFormat="1" applyFont="1" applyBorder="1" applyAlignment="1">
      <alignment horizontal="right" vertical="center" wrapText="1" readingOrder="1"/>
    </xf>
    <xf numFmtId="3" fontId="106" fillId="0" borderId="22" xfId="0" applyNumberFormat="1" applyFont="1" applyBorder="1" applyAlignment="1">
      <alignment horizontal="right" vertical="center" wrapText="1" readingOrder="1"/>
    </xf>
    <xf numFmtId="165" fontId="106" fillId="0" borderId="6" xfId="2" applyNumberFormat="1" applyFont="1" applyFill="1" applyBorder="1" applyAlignment="1">
      <alignment horizontal="right" vertical="center" wrapText="1" readingOrder="1"/>
    </xf>
    <xf numFmtId="165" fontId="106" fillId="0" borderId="9" xfId="2" applyNumberFormat="1" applyFont="1" applyFill="1" applyBorder="1" applyAlignment="1">
      <alignment horizontal="right" vertical="center" wrapText="1" readingOrder="1"/>
    </xf>
    <xf numFmtId="173" fontId="106" fillId="14" borderId="9" xfId="2" applyNumberFormat="1" applyFont="1" applyFill="1" applyBorder="1" applyAlignment="1">
      <alignment horizontal="right" vertical="center" wrapText="1" readingOrder="1"/>
    </xf>
    <xf numFmtId="3" fontId="107" fillId="2" borderId="53" xfId="0" applyNumberFormat="1" applyFont="1" applyFill="1" applyBorder="1" applyAlignment="1">
      <alignment horizontal="right" vertical="center" wrapText="1" readingOrder="1"/>
    </xf>
    <xf numFmtId="3" fontId="107" fillId="0" borderId="54" xfId="0" applyNumberFormat="1" applyFont="1" applyBorder="1" applyAlignment="1">
      <alignment horizontal="right" vertical="center" wrapText="1" readingOrder="1"/>
    </xf>
    <xf numFmtId="3" fontId="107" fillId="2" borderId="60" xfId="0" applyNumberFormat="1" applyFont="1" applyFill="1" applyBorder="1" applyAlignment="1">
      <alignment horizontal="right" vertical="center" wrapText="1" readingOrder="1"/>
    </xf>
    <xf numFmtId="3" fontId="107" fillId="0" borderId="61" xfId="0" applyNumberFormat="1" applyFont="1" applyBorder="1" applyAlignment="1">
      <alignment horizontal="right" vertical="center" wrapText="1" readingOrder="1"/>
    </xf>
    <xf numFmtId="165" fontId="107" fillId="0" borderId="61" xfId="2" applyNumberFormat="1" applyFont="1" applyFill="1" applyBorder="1" applyAlignment="1">
      <alignment horizontal="right" vertical="center" wrapText="1" readingOrder="1"/>
    </xf>
    <xf numFmtId="3" fontId="107" fillId="2" borderId="95" xfId="0" applyNumberFormat="1" applyFont="1" applyFill="1" applyBorder="1" applyAlignment="1">
      <alignment horizontal="right" vertical="center" wrapText="1" readingOrder="1"/>
    </xf>
    <xf numFmtId="3" fontId="107" fillId="0" borderId="96" xfId="0" applyNumberFormat="1" applyFont="1" applyBorder="1" applyAlignment="1">
      <alignment horizontal="right" vertical="center" wrapText="1" readingOrder="1"/>
    </xf>
    <xf numFmtId="3" fontId="107" fillId="2" borderId="97" xfId="0" applyNumberFormat="1" applyFont="1" applyFill="1" applyBorder="1" applyAlignment="1">
      <alignment horizontal="right" vertical="center" wrapText="1" readingOrder="1"/>
    </xf>
    <xf numFmtId="3" fontId="107" fillId="0" borderId="98" xfId="0" applyNumberFormat="1" applyFont="1" applyBorder="1" applyAlignment="1">
      <alignment horizontal="right" vertical="center" wrapText="1" readingOrder="1"/>
    </xf>
    <xf numFmtId="3" fontId="107" fillId="2" borderId="55" xfId="0" applyNumberFormat="1" applyFont="1" applyFill="1" applyBorder="1" applyAlignment="1">
      <alignment horizontal="right" vertical="center" wrapText="1" readingOrder="1"/>
    </xf>
    <xf numFmtId="3" fontId="107" fillId="0" borderId="56" xfId="0" applyNumberFormat="1" applyFont="1" applyBorder="1" applyAlignment="1">
      <alignment horizontal="right" vertical="center" wrapText="1" readingOrder="1"/>
    </xf>
    <xf numFmtId="3" fontId="106" fillId="5" borderId="105" xfId="0" applyNumberFormat="1" applyFont="1" applyFill="1" applyBorder="1" applyAlignment="1">
      <alignment horizontal="right" vertical="center" wrapText="1" readingOrder="1"/>
    </xf>
    <xf numFmtId="3" fontId="106" fillId="0" borderId="106" xfId="0" applyNumberFormat="1" applyFont="1" applyBorder="1" applyAlignment="1">
      <alignment horizontal="right" vertical="center" wrapText="1" readingOrder="1"/>
    </xf>
    <xf numFmtId="165" fontId="106" fillId="5" borderId="60" xfId="2" applyNumberFormat="1" applyFont="1" applyFill="1" applyBorder="1" applyAlignment="1">
      <alignment horizontal="right" vertical="center" wrapText="1" readingOrder="1"/>
    </xf>
    <xf numFmtId="165" fontId="106" fillId="0" borderId="61" xfId="2" applyNumberFormat="1" applyFont="1" applyFill="1" applyBorder="1" applyAlignment="1">
      <alignment horizontal="right" vertical="center" wrapText="1" readingOrder="1"/>
    </xf>
    <xf numFmtId="165" fontId="106" fillId="5" borderId="55" xfId="2" applyNumberFormat="1" applyFont="1" applyFill="1" applyBorder="1" applyAlignment="1">
      <alignment horizontal="right" vertical="center" wrapText="1" readingOrder="1"/>
    </xf>
    <xf numFmtId="165" fontId="106" fillId="0" borderId="56" xfId="2" applyNumberFormat="1" applyFont="1" applyFill="1" applyBorder="1" applyAlignment="1">
      <alignment horizontal="right" vertical="center" wrapText="1" readingOrder="1"/>
    </xf>
    <xf numFmtId="173" fontId="106" fillId="14" borderId="55" xfId="2" applyNumberFormat="1" applyFont="1" applyFill="1" applyBorder="1" applyAlignment="1">
      <alignment horizontal="right" vertical="center" wrapText="1" readingOrder="1"/>
    </xf>
    <xf numFmtId="173" fontId="106" fillId="14" borderId="56" xfId="2" applyNumberFormat="1" applyFont="1" applyFill="1" applyBorder="1" applyAlignment="1">
      <alignment horizontal="right" vertical="center" wrapText="1" readingOrder="1"/>
    </xf>
    <xf numFmtId="3" fontId="106" fillId="5" borderId="90" xfId="0" applyNumberFormat="1" applyFont="1" applyFill="1" applyBorder="1" applyAlignment="1">
      <alignment horizontal="right" vertical="center" wrapText="1" readingOrder="1"/>
    </xf>
    <xf numFmtId="3" fontId="106" fillId="0" borderId="91" xfId="0" applyNumberFormat="1" applyFont="1" applyBorder="1" applyAlignment="1">
      <alignment horizontal="right" vertical="center" wrapText="1" readingOrder="1"/>
    </xf>
    <xf numFmtId="3" fontId="106" fillId="0" borderId="92" xfId="0" applyNumberFormat="1" applyFont="1" applyBorder="1" applyAlignment="1">
      <alignment horizontal="right" vertical="center" wrapText="1" readingOrder="1"/>
    </xf>
    <xf numFmtId="3" fontId="35" fillId="0" borderId="53" xfId="0" applyNumberFormat="1" applyFont="1" applyBorder="1" applyAlignment="1">
      <alignment horizontal="right" vertical="center" wrapText="1" readingOrder="1"/>
    </xf>
    <xf numFmtId="3" fontId="35" fillId="2" borderId="54" xfId="0" applyNumberFormat="1" applyFont="1" applyFill="1" applyBorder="1" applyAlignment="1">
      <alignment horizontal="right" vertical="center" wrapText="1" readingOrder="1"/>
    </xf>
    <xf numFmtId="165" fontId="35" fillId="0" borderId="60" xfId="2" applyNumberFormat="1" applyFont="1" applyFill="1" applyBorder="1" applyAlignment="1">
      <alignment horizontal="right" vertical="center" wrapText="1" readingOrder="1"/>
    </xf>
    <xf numFmtId="165" fontId="35" fillId="2" borderId="61" xfId="2" applyNumberFormat="1" applyFont="1" applyFill="1" applyBorder="1" applyAlignment="1">
      <alignment horizontal="right" vertical="center" wrapText="1" readingOrder="1"/>
    </xf>
    <xf numFmtId="3" fontId="32" fillId="0" borderId="105" xfId="0" applyNumberFormat="1" applyFont="1" applyBorder="1" applyAlignment="1">
      <alignment horizontal="right" vertical="center" wrapText="1" readingOrder="1"/>
    </xf>
    <xf numFmtId="3" fontId="32" fillId="5" borderId="106" xfId="0" applyNumberFormat="1" applyFont="1" applyFill="1" applyBorder="1" applyAlignment="1">
      <alignment horizontal="right" vertical="center" wrapText="1" readingOrder="1"/>
    </xf>
    <xf numFmtId="165" fontId="32" fillId="0" borderId="60" xfId="2" applyNumberFormat="1" applyFont="1" applyFill="1" applyBorder="1" applyAlignment="1">
      <alignment horizontal="right" vertical="center" wrapText="1" readingOrder="1"/>
    </xf>
    <xf numFmtId="165" fontId="32" fillId="5" borderId="61" xfId="2" applyNumberFormat="1" applyFont="1" applyFill="1" applyBorder="1" applyAlignment="1">
      <alignment horizontal="right" vertical="center" wrapText="1" readingOrder="1"/>
    </xf>
    <xf numFmtId="165" fontId="32" fillId="0" borderId="55" xfId="2" applyNumberFormat="1" applyFont="1" applyFill="1" applyBorder="1" applyAlignment="1">
      <alignment horizontal="right" vertical="center" wrapText="1" readingOrder="1"/>
    </xf>
    <xf numFmtId="165" fontId="32" fillId="5" borderId="56" xfId="2" applyNumberFormat="1" applyFont="1" applyFill="1" applyBorder="1" applyAlignment="1">
      <alignment horizontal="right" vertical="center" wrapText="1" readingOrder="1"/>
    </xf>
    <xf numFmtId="173" fontId="42" fillId="14" borderId="55" xfId="2" applyNumberFormat="1" applyFont="1" applyFill="1" applyBorder="1" applyAlignment="1">
      <alignment horizontal="right" vertical="center" wrapText="1" readingOrder="1"/>
    </xf>
    <xf numFmtId="173" fontId="42" fillId="14" borderId="56" xfId="2" applyNumberFormat="1" applyFont="1" applyFill="1" applyBorder="1" applyAlignment="1">
      <alignment horizontal="right" vertical="center" wrapText="1" readingOrder="1"/>
    </xf>
    <xf numFmtId="3" fontId="32" fillId="5" borderId="92" xfId="0" applyNumberFormat="1" applyFont="1" applyFill="1" applyBorder="1" applyAlignment="1">
      <alignment horizontal="right" vertical="center" wrapText="1" readingOrder="1"/>
    </xf>
    <xf numFmtId="3" fontId="17" fillId="0" borderId="71" xfId="0" applyNumberFormat="1" applyFont="1" applyBorder="1" applyAlignment="1">
      <alignment horizontal="right" vertical="center" readingOrder="1"/>
    </xf>
    <xf numFmtId="3" fontId="17" fillId="2" borderId="72" xfId="0" applyNumberFormat="1" applyFont="1" applyFill="1" applyBorder="1" applyAlignment="1">
      <alignment horizontal="right" vertical="center" readingOrder="1"/>
    </xf>
    <xf numFmtId="3" fontId="17" fillId="0" borderId="67" xfId="0" applyNumberFormat="1" applyFont="1" applyBorder="1" applyAlignment="1">
      <alignment horizontal="right" vertical="center" readingOrder="1"/>
    </xf>
    <xf numFmtId="3" fontId="17" fillId="0" borderId="0" xfId="0" applyNumberFormat="1" applyFont="1" applyBorder="1" applyAlignment="1">
      <alignment horizontal="right" vertical="center" readingOrder="1"/>
    </xf>
    <xf numFmtId="3" fontId="17" fillId="5" borderId="68" xfId="0" applyNumberFormat="1" applyFont="1" applyFill="1" applyBorder="1" applyAlignment="1">
      <alignment horizontal="right" vertical="center" readingOrder="1"/>
    </xf>
    <xf numFmtId="3" fontId="17" fillId="0" borderId="68" xfId="0" applyNumberFormat="1" applyFont="1" applyBorder="1" applyAlignment="1">
      <alignment horizontal="right" vertical="center" readingOrder="1"/>
    </xf>
    <xf numFmtId="0" fontId="17" fillId="0" borderId="67" xfId="0" applyFont="1" applyBorder="1" applyAlignment="1">
      <alignment horizontal="left" vertical="center" readingOrder="1"/>
    </xf>
    <xf numFmtId="0" fontId="17" fillId="0" borderId="0" xfId="0" applyFont="1" applyBorder="1" applyAlignment="1">
      <alignment horizontal="left" vertical="center" readingOrder="1"/>
    </xf>
    <xf numFmtId="0" fontId="17" fillId="0" borderId="68" xfId="0" applyFont="1" applyBorder="1" applyAlignment="1">
      <alignment horizontal="left" vertical="center" readingOrder="1"/>
    </xf>
    <xf numFmtId="3" fontId="16" fillId="0" borderId="67" xfId="0" applyNumberFormat="1" applyFont="1" applyBorder="1" applyAlignment="1">
      <alignment horizontal="right" vertical="center" readingOrder="1"/>
    </xf>
    <xf numFmtId="3" fontId="16" fillId="0" borderId="0" xfId="0" applyNumberFormat="1" applyFont="1" applyBorder="1" applyAlignment="1">
      <alignment horizontal="right" vertical="center" readingOrder="1"/>
    </xf>
    <xf numFmtId="3" fontId="16" fillId="2" borderId="68" xfId="0" applyNumberFormat="1" applyFont="1" applyFill="1" applyBorder="1" applyAlignment="1">
      <alignment horizontal="right" vertical="center" readingOrder="1"/>
    </xf>
    <xf numFmtId="3" fontId="17" fillId="5" borderId="72" xfId="0" applyNumberFormat="1" applyFont="1" applyFill="1" applyBorder="1" applyAlignment="1">
      <alignment horizontal="right" vertical="center" readingOrder="1"/>
    </xf>
    <xf numFmtId="173" fontId="16" fillId="0" borderId="67" xfId="0" applyNumberFormat="1" applyFont="1" applyBorder="1" applyAlignment="1">
      <alignment horizontal="right" vertical="center"/>
    </xf>
    <xf numFmtId="173" fontId="16" fillId="0" borderId="0" xfId="0" applyNumberFormat="1" applyFont="1" applyBorder="1" applyAlignment="1">
      <alignment horizontal="right" vertical="center"/>
    </xf>
    <xf numFmtId="173" fontId="16" fillId="22" borderId="68" xfId="0" applyNumberFormat="1" applyFont="1" applyFill="1" applyBorder="1" applyAlignment="1">
      <alignment horizontal="right" vertical="center" wrapText="1"/>
    </xf>
    <xf numFmtId="0" fontId="16" fillId="30" borderId="78" xfId="0" applyFont="1" applyFill="1" applyBorder="1" applyAlignment="1">
      <alignment horizontal="right" vertical="center"/>
    </xf>
    <xf numFmtId="0" fontId="16" fillId="30" borderId="79" xfId="0" applyFont="1" applyFill="1" applyBorder="1" applyAlignment="1">
      <alignment horizontal="right" vertical="center"/>
    </xf>
    <xf numFmtId="173" fontId="17" fillId="0" borderId="57" xfId="0" applyNumberFormat="1" applyFont="1" applyBorder="1" applyAlignment="1">
      <alignment horizontal="right" vertical="center" readingOrder="1"/>
    </xf>
    <xf numFmtId="173" fontId="17" fillId="0" borderId="58" xfId="0" applyNumberFormat="1" applyFont="1" applyBorder="1" applyAlignment="1">
      <alignment horizontal="right" vertical="center" readingOrder="1"/>
    </xf>
    <xf numFmtId="173" fontId="17" fillId="5" borderId="59" xfId="0" applyNumberFormat="1" applyFont="1" applyFill="1" applyBorder="1" applyAlignment="1">
      <alignment horizontal="right" vertical="center" readingOrder="1"/>
    </xf>
    <xf numFmtId="0" fontId="1" fillId="0" borderId="0" xfId="0" applyFont="1" applyAlignment="1">
      <alignment horizontal="left"/>
    </xf>
    <xf numFmtId="0" fontId="11" fillId="0" borderId="0" xfId="0" applyFont="1"/>
    <xf numFmtId="0" fontId="16" fillId="0" borderId="0" xfId="0" applyFont="1"/>
    <xf numFmtId="0" fontId="16" fillId="25" borderId="0" xfId="0" applyFont="1" applyFill="1"/>
    <xf numFmtId="0" fontId="1" fillId="25" borderId="0" xfId="0" applyFont="1" applyFill="1"/>
    <xf numFmtId="0" fontId="1" fillId="0" borderId="0" xfId="0" applyFont="1"/>
    <xf numFmtId="0" fontId="13" fillId="0" borderId="0" xfId="0" applyFont="1" applyAlignment="1">
      <alignment horizontal="left" vertical="top" wrapText="1" readingOrder="1"/>
    </xf>
    <xf numFmtId="0" fontId="17" fillId="0" borderId="0" xfId="0" applyFont="1" applyAlignment="1">
      <alignment horizontal="center" vertical="top" wrapText="1" readingOrder="1"/>
    </xf>
    <xf numFmtId="0" fontId="15" fillId="0" borderId="0" xfId="0" applyFont="1" applyAlignment="1">
      <alignment horizontal="center" vertical="top" wrapText="1" readingOrder="1"/>
    </xf>
    <xf numFmtId="0" fontId="13" fillId="0" borderId="0" xfId="0" applyFont="1" applyAlignment="1">
      <alignment horizontal="center" vertical="top" wrapText="1" readingOrder="1"/>
    </xf>
    <xf numFmtId="0" fontId="13" fillId="0" borderId="0" xfId="0" quotePrefix="1" applyFont="1" applyAlignment="1">
      <alignment horizontal="center" vertical="top" wrapText="1" readingOrder="1"/>
    </xf>
    <xf numFmtId="9" fontId="1" fillId="0" borderId="0" xfId="2" applyFont="1"/>
    <xf numFmtId="3" fontId="1" fillId="0" borderId="0" xfId="0" applyNumberFormat="1" applyFont="1"/>
    <xf numFmtId="0" fontId="18" fillId="0" borderId="18" xfId="0" applyFont="1" applyBorder="1" applyAlignment="1">
      <alignment horizontal="left"/>
    </xf>
    <xf numFmtId="4" fontId="24" fillId="0" borderId="18" xfId="0" applyNumberFormat="1" applyFont="1" applyBorder="1"/>
    <xf numFmtId="4" fontId="18" fillId="0" borderId="18" xfId="0" applyNumberFormat="1" applyFont="1" applyBorder="1"/>
    <xf numFmtId="0" fontId="97" fillId="0" borderId="0" xfId="0" applyFont="1"/>
    <xf numFmtId="0" fontId="98" fillId="0" borderId="0" xfId="0" applyFont="1" applyAlignment="1">
      <alignment horizontal="left"/>
    </xf>
    <xf numFmtId="0" fontId="98" fillId="0" borderId="0" xfId="0" applyFont="1"/>
    <xf numFmtId="3" fontId="99" fillId="0" borderId="0" xfId="0" applyNumberFormat="1" applyFont="1"/>
    <xf numFmtId="3" fontId="64" fillId="0" borderId="0" xfId="0" applyNumberFormat="1" applyFont="1"/>
    <xf numFmtId="3" fontId="20" fillId="0" borderId="0" xfId="0" applyNumberFormat="1" applyFont="1"/>
    <xf numFmtId="3" fontId="20" fillId="31" borderId="0" xfId="0" applyNumberFormat="1" applyFont="1" applyFill="1"/>
    <xf numFmtId="9" fontId="20" fillId="0" borderId="0" xfId="2" applyFont="1"/>
    <xf numFmtId="3" fontId="100" fillId="0" borderId="0" xfId="0" applyNumberFormat="1" applyFont="1"/>
    <xf numFmtId="17" fontId="24" fillId="0" borderId="62" xfId="0" applyNumberFormat="1" applyFont="1" applyBorder="1" applyAlignment="1">
      <alignment horizontal="center" vertical="top" wrapText="1" readingOrder="1"/>
    </xf>
    <xf numFmtId="17" fontId="24" fillId="0" borderId="63" xfId="0" applyNumberFormat="1" applyFont="1" applyBorder="1" applyAlignment="1">
      <alignment horizontal="center" vertical="top" wrapText="1" readingOrder="1"/>
    </xf>
    <xf numFmtId="17" fontId="24" fillId="5" borderId="51" xfId="0" applyNumberFormat="1" applyFont="1" applyFill="1" applyBorder="1" applyAlignment="1">
      <alignment horizontal="center" vertical="top" wrapText="1" readingOrder="1"/>
    </xf>
    <xf numFmtId="17" fontId="24" fillId="0" borderId="64" xfId="0" applyNumberFormat="1" applyFont="1" applyBorder="1" applyAlignment="1">
      <alignment horizontal="center" vertical="top" wrapText="1" readingOrder="1"/>
    </xf>
    <xf numFmtId="4" fontId="24" fillId="0" borderId="75" xfId="0" applyNumberFormat="1" applyFont="1" applyBorder="1"/>
    <xf numFmtId="4" fontId="24" fillId="0" borderId="76" xfId="0" applyNumberFormat="1" applyFont="1" applyBorder="1"/>
    <xf numFmtId="4" fontId="24" fillId="5" borderId="76" xfId="0" applyNumberFormat="1" applyFont="1" applyFill="1" applyBorder="1"/>
    <xf numFmtId="4" fontId="24" fillId="0" borderId="77" xfId="0" applyNumberFormat="1" applyFont="1" applyBorder="1"/>
    <xf numFmtId="17" fontId="17" fillId="0" borderId="62" xfId="0" applyNumberFormat="1" applyFont="1" applyBorder="1" applyAlignment="1">
      <alignment horizontal="center" vertical="top" wrapText="1" readingOrder="1"/>
    </xf>
    <xf numFmtId="17" fontId="17" fillId="0" borderId="63" xfId="0" applyNumberFormat="1" applyFont="1" applyBorder="1" applyAlignment="1">
      <alignment horizontal="center" vertical="top" wrapText="1" readingOrder="1"/>
    </xf>
    <xf numFmtId="17" fontId="17" fillId="5" borderId="64" xfId="0" applyNumberFormat="1" applyFont="1" applyFill="1" applyBorder="1" applyAlignment="1">
      <alignment horizontal="center" vertical="top" wrapText="1" readingOrder="1"/>
    </xf>
    <xf numFmtId="4" fontId="17" fillId="0" borderId="75" xfId="0" applyNumberFormat="1" applyFont="1" applyBorder="1"/>
    <xf numFmtId="4" fontId="17" fillId="0" borderId="76" xfId="0" applyNumberFormat="1" applyFont="1" applyBorder="1"/>
    <xf numFmtId="4" fontId="17" fillId="5" borderId="77" xfId="0" applyNumberFormat="1" applyFont="1" applyFill="1" applyBorder="1"/>
    <xf numFmtId="0" fontId="20" fillId="0" borderId="0" xfId="0" applyFont="1"/>
    <xf numFmtId="0" fontId="20" fillId="26" borderId="0" xfId="0" applyFont="1" applyFill="1"/>
    <xf numFmtId="0" fontId="42" fillId="11" borderId="0" xfId="0" applyFont="1" applyFill="1" applyAlignment="1">
      <alignment horizontal="left" vertical="top" wrapText="1" readingOrder="1"/>
    </xf>
    <xf numFmtId="0" fontId="42" fillId="11" borderId="0" xfId="0" applyFont="1" applyFill="1" applyAlignment="1">
      <alignment horizontal="right" vertical="top"/>
    </xf>
    <xf numFmtId="0" fontId="42" fillId="11" borderId="0" xfId="0" applyFont="1" applyFill="1" applyAlignment="1">
      <alignment horizontal="center" vertical="top"/>
    </xf>
    <xf numFmtId="0" fontId="68" fillId="11" borderId="0" xfId="0" applyFont="1" applyFill="1" applyAlignment="1">
      <alignment horizontal="center" vertical="top"/>
    </xf>
    <xf numFmtId="0" fontId="27" fillId="29" borderId="0" xfId="0" applyFont="1" applyFill="1" applyAlignment="1">
      <alignment horizontal="center" vertical="top"/>
    </xf>
    <xf numFmtId="0" fontId="68" fillId="11" borderId="0" xfId="0" applyFont="1" applyFill="1" applyAlignment="1">
      <alignment vertical="top"/>
    </xf>
    <xf numFmtId="0" fontId="23" fillId="35" borderId="0" xfId="0" applyFont="1" applyFill="1" applyAlignment="1">
      <alignment horizontal="left" vertical="top" wrapText="1" readingOrder="1"/>
    </xf>
    <xf numFmtId="3" fontId="23" fillId="35" borderId="0" xfId="0" applyNumberFormat="1" applyFont="1" applyFill="1" applyAlignment="1">
      <alignment horizontal="right" vertical="top" wrapText="1" readingOrder="1"/>
    </xf>
    <xf numFmtId="3" fontId="23" fillId="8" borderId="0" xfId="0" applyNumberFormat="1" applyFont="1" applyFill="1" applyAlignment="1">
      <alignment horizontal="right" vertical="top" wrapText="1" readingOrder="1"/>
    </xf>
    <xf numFmtId="3" fontId="23" fillId="35" borderId="0" xfId="0" applyNumberFormat="1" applyFont="1" applyFill="1" applyAlignment="1">
      <alignment horizontal="center" vertical="top" wrapText="1" readingOrder="1"/>
    </xf>
    <xf numFmtId="3" fontId="23" fillId="27" borderId="0" xfId="0" applyNumberFormat="1" applyFont="1" applyFill="1" applyAlignment="1">
      <alignment horizontal="center" vertical="top" wrapText="1" readingOrder="1"/>
    </xf>
    <xf numFmtId="3" fontId="23" fillId="28" borderId="0" xfId="0" applyNumberFormat="1" applyFont="1" applyFill="1" applyAlignment="1">
      <alignment horizontal="right" vertical="top" wrapText="1" readingOrder="1"/>
    </xf>
    <xf numFmtId="0" fontId="22" fillId="0" borderId="0" xfId="0" applyFont="1" applyAlignment="1">
      <alignment horizontal="left" vertical="top" wrapText="1" readingOrder="1"/>
    </xf>
    <xf numFmtId="3" fontId="22" fillId="0" borderId="0" xfId="0" applyNumberFormat="1" applyFont="1" applyAlignment="1">
      <alignment horizontal="right" vertical="top" wrapText="1" readingOrder="1"/>
    </xf>
    <xf numFmtId="3" fontId="22" fillId="0" borderId="0" xfId="0" applyNumberFormat="1" applyFont="1" applyAlignment="1">
      <alignment horizontal="center" vertical="top" wrapText="1" readingOrder="1"/>
    </xf>
    <xf numFmtId="0" fontId="29" fillId="0" borderId="0" xfId="0" applyFont="1" applyAlignment="1">
      <alignment horizontal="left" vertical="top"/>
    </xf>
    <xf numFmtId="3" fontId="23" fillId="27" borderId="0" xfId="0" applyNumberFormat="1" applyFont="1" applyFill="1" applyAlignment="1">
      <alignment horizontal="right" vertical="top" wrapText="1" readingOrder="1"/>
    </xf>
    <xf numFmtId="0" fontId="23" fillId="0" borderId="23" xfId="0" applyFont="1" applyBorder="1" applyAlignment="1">
      <alignment horizontal="left" vertical="top" wrapText="1" readingOrder="1"/>
    </xf>
    <xf numFmtId="3" fontId="23" fillId="0" borderId="23" xfId="0" applyNumberFormat="1" applyFont="1" applyBorder="1" applyAlignment="1">
      <alignment horizontal="right" vertical="top" wrapText="1" readingOrder="1"/>
    </xf>
    <xf numFmtId="3" fontId="23" fillId="0" borderId="23" xfId="0" applyNumberFormat="1" applyFont="1" applyBorder="1" applyAlignment="1">
      <alignment horizontal="center" vertical="top" wrapText="1" readingOrder="1"/>
    </xf>
    <xf numFmtId="0" fontId="39" fillId="0" borderId="0" xfId="0" applyFont="1" applyAlignment="1">
      <alignment horizontal="left" wrapText="1" readingOrder="1"/>
    </xf>
    <xf numFmtId="3" fontId="39" fillId="0" borderId="0" xfId="0" applyNumberFormat="1" applyFont="1" applyAlignment="1">
      <alignment horizontal="right" wrapText="1" readingOrder="1"/>
    </xf>
    <xf numFmtId="0" fontId="62" fillId="11" borderId="0" xfId="0" applyFont="1" applyFill="1" applyAlignment="1">
      <alignment horizontal="center" vertical="top"/>
    </xf>
    <xf numFmtId="0" fontId="61" fillId="11" borderId="0" xfId="0" applyFont="1" applyFill="1" applyAlignment="1">
      <alignment horizontal="right" vertical="top"/>
    </xf>
    <xf numFmtId="0" fontId="23" fillId="27" borderId="0" xfId="0" applyFont="1" applyFill="1" applyBorder="1" applyAlignment="1">
      <alignment horizontal="left" vertical="top"/>
    </xf>
    <xf numFmtId="3" fontId="23" fillId="27" borderId="0" xfId="0" applyNumberFormat="1" applyFont="1" applyFill="1" applyBorder="1" applyAlignment="1">
      <alignment vertical="top"/>
    </xf>
    <xf numFmtId="0" fontId="22" fillId="0" borderId="0" xfId="0" applyFont="1" applyFill="1" applyBorder="1" applyAlignment="1">
      <alignment horizontal="left" vertical="top"/>
    </xf>
    <xf numFmtId="3" fontId="22" fillId="0" borderId="0" xfId="0" applyNumberFormat="1" applyFont="1" applyFill="1" applyBorder="1" applyAlignment="1">
      <alignment vertical="top"/>
    </xf>
    <xf numFmtId="0" fontId="29" fillId="0" borderId="0" xfId="0" applyFont="1"/>
    <xf numFmtId="0" fontId="23" fillId="0" borderId="42" xfId="0" applyFont="1" applyFill="1" applyBorder="1" applyAlignment="1">
      <alignment horizontal="left" vertical="top"/>
    </xf>
    <xf numFmtId="3" fontId="23" fillId="0" borderId="42" xfId="0" applyNumberFormat="1" applyFont="1" applyFill="1" applyBorder="1" applyAlignment="1">
      <alignment vertical="top"/>
    </xf>
    <xf numFmtId="0" fontId="20" fillId="0" borderId="0" xfId="0" applyFont="1" applyAlignment="1">
      <alignment wrapText="1"/>
    </xf>
    <xf numFmtId="0" fontId="26" fillId="0" borderId="49" xfId="0" applyFont="1" applyBorder="1" applyAlignment="1">
      <alignment horizontal="left" vertical="center" wrapText="1"/>
    </xf>
    <xf numFmtId="0" fontId="22" fillId="0" borderId="4" xfId="0" applyFont="1" applyBorder="1" applyAlignment="1">
      <alignment horizontal="left" vertical="center" wrapText="1" readingOrder="1"/>
    </xf>
    <xf numFmtId="0" fontId="22" fillId="0" borderId="0" xfId="0" applyFont="1" applyAlignment="1">
      <alignment horizontal="left" vertical="center" wrapText="1" readingOrder="1"/>
    </xf>
    <xf numFmtId="0" fontId="22" fillId="0" borderId="5" xfId="0" applyFont="1" applyBorder="1" applyAlignment="1">
      <alignment horizontal="left" vertical="center" readingOrder="1"/>
    </xf>
    <xf numFmtId="0" fontId="22" fillId="0" borderId="6" xfId="0" applyFont="1" applyBorder="1" applyAlignment="1">
      <alignment horizontal="left" vertical="center" readingOrder="1"/>
    </xf>
    <xf numFmtId="0" fontId="22" fillId="0" borderId="7" xfId="0" applyFont="1" applyBorder="1" applyAlignment="1">
      <alignment horizontal="left" vertical="center" readingOrder="1"/>
    </xf>
    <xf numFmtId="0" fontId="22" fillId="0" borderId="8" xfId="0" applyFont="1" applyBorder="1" applyAlignment="1">
      <alignment horizontal="left" vertical="center" readingOrder="1"/>
    </xf>
    <xf numFmtId="0" fontId="22" fillId="0" borderId="9" xfId="0" applyFont="1" applyBorder="1" applyAlignment="1">
      <alignment horizontal="left" vertical="center" readingOrder="1"/>
    </xf>
    <xf numFmtId="0" fontId="22" fillId="0" borderId="18" xfId="0" applyFont="1" applyBorder="1" applyAlignment="1">
      <alignment horizontal="left" vertical="center" wrapText="1" readingOrder="1"/>
    </xf>
    <xf numFmtId="0" fontId="22" fillId="0" borderId="10" xfId="0" applyFont="1" applyBorder="1" applyAlignment="1">
      <alignment horizontal="left" vertical="center" wrapText="1" readingOrder="1"/>
    </xf>
    <xf numFmtId="0" fontId="22" fillId="0" borderId="0" xfId="0" applyFont="1" applyAlignment="1">
      <alignment horizontal="center" vertical="center" wrapText="1" readingOrder="1"/>
    </xf>
    <xf numFmtId="0" fontId="32" fillId="25" borderId="0" xfId="0" applyFont="1" applyFill="1" applyAlignment="1">
      <alignment horizontal="center" vertical="center" readingOrder="1"/>
    </xf>
    <xf numFmtId="0" fontId="29" fillId="25" borderId="0" xfId="0" applyFont="1" applyFill="1" applyAlignment="1">
      <alignment horizontal="center" vertical="center"/>
    </xf>
    <xf numFmtId="0" fontId="37" fillId="25" borderId="0" xfId="0" applyFont="1" applyFill="1" applyAlignment="1">
      <alignment horizontal="center" vertical="center"/>
    </xf>
    <xf numFmtId="0" fontId="29" fillId="0" borderId="24" xfId="0" applyFont="1" applyBorder="1" applyAlignment="1">
      <alignment horizontal="center" vertical="center" wrapText="1"/>
    </xf>
    <xf numFmtId="0" fontId="29" fillId="0" borderId="4" xfId="0" applyFont="1" applyBorder="1" applyAlignment="1">
      <alignment horizontal="center" vertical="center" wrapText="1"/>
    </xf>
    <xf numFmtId="0" fontId="29" fillId="0" borderId="25" xfId="0" applyFont="1" applyBorder="1" applyAlignment="1">
      <alignment horizontal="center" vertical="center" wrapText="1"/>
    </xf>
    <xf numFmtId="0" fontId="73" fillId="0" borderId="83" xfId="0" applyFont="1" applyBorder="1" applyAlignment="1">
      <alignment horizontal="left" vertical="center" wrapText="1"/>
    </xf>
    <xf numFmtId="0" fontId="72" fillId="24" borderId="83" xfId="0" applyFont="1" applyFill="1" applyBorder="1" applyAlignment="1">
      <alignment horizontal="center" vertical="center" wrapText="1"/>
    </xf>
    <xf numFmtId="0" fontId="55" fillId="0" borderId="0" xfId="0" applyFont="1" applyAlignment="1">
      <alignment horizontal="left" vertical="center" wrapText="1"/>
    </xf>
    <xf numFmtId="0" fontId="59" fillId="0" borderId="83" xfId="0" applyFont="1" applyBorder="1" applyAlignment="1">
      <alignment horizontal="left" vertical="center" wrapText="1"/>
    </xf>
    <xf numFmtId="0" fontId="71" fillId="0" borderId="0" xfId="0" applyFont="1" applyAlignment="1">
      <alignment horizontal="left" vertical="center" wrapText="1"/>
    </xf>
    <xf numFmtId="0" fontId="74" fillId="0" borderId="0" xfId="0" applyFont="1" applyAlignment="1">
      <alignment horizontal="left" vertical="center" wrapText="1" readingOrder="1"/>
    </xf>
    <xf numFmtId="0" fontId="13" fillId="0" borderId="0" xfId="0" applyFont="1" applyAlignment="1">
      <alignment horizontal="left" vertical="center" wrapText="1" readingOrder="1"/>
    </xf>
    <xf numFmtId="0" fontId="11" fillId="33" borderId="0" xfId="0" applyFont="1" applyFill="1" applyAlignment="1">
      <alignment horizontal="left" vertical="center" wrapText="1"/>
    </xf>
    <xf numFmtId="0" fontId="58" fillId="20" borderId="84" xfId="0" applyFont="1" applyFill="1" applyBorder="1" applyAlignment="1">
      <alignment horizontal="center" vertical="center" wrapText="1"/>
    </xf>
    <xf numFmtId="0" fontId="58" fillId="20" borderId="85" xfId="0" applyFont="1" applyFill="1" applyBorder="1" applyAlignment="1">
      <alignment horizontal="center" vertical="center" wrapText="1"/>
    </xf>
    <xf numFmtId="0" fontId="56" fillId="0" borderId="0" xfId="0" applyFont="1" applyAlignment="1">
      <alignment horizontal="center" vertical="center" wrapText="1"/>
    </xf>
    <xf numFmtId="0" fontId="17" fillId="25" borderId="0" xfId="0" applyFont="1" applyFill="1" applyAlignment="1">
      <alignment horizontal="center" vertical="center" wrapText="1" readingOrder="1"/>
    </xf>
    <xf numFmtId="0" fontId="14" fillId="0" borderId="4" xfId="0" applyFont="1" applyBorder="1" applyAlignment="1">
      <alignment horizontal="left" vertical="center" wrapText="1" readingOrder="1"/>
    </xf>
    <xf numFmtId="0" fontId="18" fillId="25" borderId="0" xfId="0" applyFont="1" applyFill="1" applyAlignment="1">
      <alignment horizontal="center" vertical="center" wrapText="1"/>
    </xf>
    <xf numFmtId="0" fontId="54" fillId="0" borderId="0" xfId="0" applyFont="1" applyAlignment="1">
      <alignment horizontal="left" vertical="center" wrapText="1"/>
    </xf>
    <xf numFmtId="0" fontId="14" fillId="0" borderId="0" xfId="0" applyFont="1" applyBorder="1" applyAlignment="1">
      <alignment horizontal="left" vertical="center" wrapText="1" readingOrder="1"/>
    </xf>
    <xf numFmtId="0" fontId="45" fillId="0" borderId="0" xfId="0" applyFont="1" applyAlignment="1">
      <alignment horizontal="left" vertical="center" wrapText="1"/>
    </xf>
  </cellXfs>
  <cellStyles count="15">
    <cellStyle name="Border_Black_Thin_Bottom" xfId="4" xr:uid="{2C934786-7815-499D-A434-DB863D6FEB47}"/>
    <cellStyle name="Grassetto 11" xfId="8" xr:uid="{5B19B7A6-3F48-417B-B304-A84FCE8548B3}"/>
    <cellStyle name="Insatisfaisant" xfId="14" builtinId="27" customBuiltin="1"/>
    <cellStyle name="Milliers" xfId="1" builtinId="3"/>
    <cellStyle name="Normal" xfId="0" builtinId="0"/>
    <cellStyle name="Normal 2" xfId="9" xr:uid="{584E541E-AEA0-4287-8E27-D73E9EE34F77}"/>
    <cellStyle name="Normale 2" xfId="10" xr:uid="{807C34E2-0E2E-4764-B6FD-B184B361DE6B}"/>
    <cellStyle name="Normale 2 2" xfId="11" xr:uid="{E0ED2621-E752-45EC-85B3-2B0644D7DE23}"/>
    <cellStyle name="Normale 2 8" xfId="3" xr:uid="{CA26F604-0070-45D9-A186-A2E207A42A51}"/>
    <cellStyle name="Number_No_Decimals" xfId="6" xr:uid="{D6494032-B94B-40D7-BF28-650219C66538}"/>
    <cellStyle name="Percentuale 2" xfId="12" xr:uid="{76C1B95E-41FE-456F-BD67-22935CE1C577}"/>
    <cellStyle name="Percentuale 3" xfId="7" xr:uid="{D946746C-CA8C-4B84-B464-F9090191094A}"/>
    <cellStyle name="Percentuale 4" xfId="13" xr:uid="{E25B64B1-9AF9-4993-8E68-8170F26BBCB8}"/>
    <cellStyle name="Pourcentage" xfId="2" builtinId="5"/>
    <cellStyle name="Text_Black_Arial_8" xfId="5" xr:uid="{D195E536-0866-44CD-ABF0-5A16A8854F29}"/>
  </cellStyles>
  <dxfs count="4">
    <dxf>
      <fill>
        <patternFill>
          <bgColor theme="2" tint="-9.9948118533890809E-2"/>
        </patternFill>
      </fill>
    </dxf>
    <dxf>
      <font>
        <color theme="0"/>
      </font>
      <fill>
        <patternFill>
          <bgColor rgb="FFFF0000"/>
        </patternFill>
      </fill>
    </dxf>
    <dxf>
      <font>
        <color theme="0"/>
      </font>
      <fill>
        <patternFill>
          <bgColor rgb="FF00B050"/>
        </patternFill>
      </fill>
    </dxf>
    <dxf>
      <fill>
        <patternFill>
          <bgColor rgb="FFFFC000"/>
        </patternFill>
      </fill>
    </dxf>
  </dxfs>
  <tableStyles count="1" defaultTableStyle="TableStyleMedium2" defaultPivotStyle="PivotStyleLight16">
    <tableStyle name="Invisible" pivot="0" table="0" count="0" xr9:uid="{12AE1DE7-3A62-41D2-8424-20EE55AEF736}"/>
  </tableStyles>
  <colors>
    <mruColors>
      <color rgb="FF000000"/>
      <color rgb="FF66FF66"/>
      <color rgb="FFCCFF33"/>
      <color rgb="FF00FFCC"/>
      <color rgb="FF99FF33"/>
      <color rgb="FF00FFFF"/>
      <color rgb="FFFFCCFF"/>
      <color rgb="FF203864"/>
      <color rgb="FF00FF99"/>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36</xdr:row>
      <xdr:rowOff>202406</xdr:rowOff>
    </xdr:from>
    <xdr:to>
      <xdr:col>10</xdr:col>
      <xdr:colOff>459240</xdr:colOff>
      <xdr:row>48</xdr:row>
      <xdr:rowOff>172533</xdr:rowOff>
    </xdr:to>
    <xdr:pic>
      <xdr:nvPicPr>
        <xdr:cNvPr id="2" name="Immagine 1">
          <a:extLst>
            <a:ext uri="{FF2B5EF4-FFF2-40B4-BE49-F238E27FC236}">
              <a16:creationId xmlns:a16="http://schemas.microsoft.com/office/drawing/2014/main" id="{BFF5BE77-8011-11E6-CB47-3D701D3C36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524875"/>
          <a:ext cx="6912428" cy="26847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2232660</xdr:colOff>
      <xdr:row>8</xdr:row>
      <xdr:rowOff>22860</xdr:rowOff>
    </xdr:from>
    <xdr:to>
      <xdr:col>11</xdr:col>
      <xdr:colOff>281940</xdr:colOff>
      <xdr:row>23</xdr:row>
      <xdr:rowOff>0</xdr:rowOff>
    </xdr:to>
    <xdr:sp macro="" textlink="">
      <xdr:nvSpPr>
        <xdr:cNvPr id="2" name="CasellaDiTesto 1">
          <a:extLst>
            <a:ext uri="{FF2B5EF4-FFF2-40B4-BE49-F238E27FC236}">
              <a16:creationId xmlns:a16="http://schemas.microsoft.com/office/drawing/2014/main" id="{6CF43530-CE90-A91F-1586-3F46559E2492}"/>
            </a:ext>
          </a:extLst>
        </xdr:cNvPr>
        <xdr:cNvSpPr txBox="1"/>
      </xdr:nvSpPr>
      <xdr:spPr>
        <a:xfrm>
          <a:off x="2232660" y="1676400"/>
          <a:ext cx="7063740" cy="2811780"/>
        </a:xfrm>
        <a:prstGeom prst="rect">
          <a:avLst/>
        </a:prstGeom>
        <a:solidFill>
          <a:srgbClr val="CC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400" b="1"/>
            <a:t>LAST UPDATE AUG24</a:t>
          </a:r>
        </a:p>
      </xdr:txBody>
    </xdr:sp>
    <xdr:clientData/>
  </xdr:twoCellAnchor>
</xdr:wsDr>
</file>

<file path=xl/persons/person.xml><?xml version="1.0" encoding="utf-8"?>
<personList xmlns="http://schemas.microsoft.com/office/spreadsheetml/2018/threadedcomments" xmlns:x="http://schemas.openxmlformats.org/spreadsheetml/2006/main">
  <person displayName="Mina Moussa" id="{F6B11BA8-355E-463D-A22A-71C9CBE4F6C6}" userId="S::MinaMoussa@MELTSarl287.onmicrosoft.com::b5b1b623-76b7-4631-acc1-2a9f30a15885" providerId="AD"/>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V4" dT="2026-01-26T07:27:18.77" personId="{F6B11BA8-355E-463D-A22A-71C9CBE4F6C6}" id="{E0210249-8680-4BA4-97FD-5253BF6C6482}">
    <text>OTIF: ≥ +10 pts% vs FY’25</text>
  </threadedComment>
  <threadedComment ref="G54" dT="2025-06-11T07:58:42.30" personId="{F6B11BA8-355E-463D-A22A-71C9CBE4F6C6}" id="{55094D04-C391-415F-810D-5732AF74B31E}">
    <text>HARD SHORT (PACK)</text>
  </threadedComment>
  <threadedComment ref="K54" dT="2025-10-14T07:02:32.55" personId="{F6B11BA8-355E-463D-A22A-71C9CBE4F6C6}" id="{5DD18D2E-64B6-4600-899D-A5ED95F1667B}">
    <text>D-AIR SKI 2 EVO
PRO-ARMOR BACK LONG 2.0</text>
  </threadedComment>
  <threadedComment ref="M54" dT="2025-12-07T19:34:38.19" personId="{F6B11BA8-355E-463D-A22A-71C9CBE4F6C6}" id="{5B92A202-547D-46C0-8332-5C6514F80465}">
    <text>DAIR SKI
SMART AIR PRO</text>
  </threadedComment>
  <threadedComment ref="A67" dT="2024-07-04T16:09:13.72" personId="{F6B11BA8-355E-463D-A22A-71C9CBE4F6C6}" id="{25E891D3-F9A7-444B-9212-A48686379CC4}">
    <text xml:space="preserve">Parts Per Million: measure of the number of defects per one million units </text>
  </threadedComment>
  <threadedComment ref="A67" dT="2024-07-04T16:14:06.41" personId="{F6B11BA8-355E-463D-A22A-71C9CBE4F6C6}" id="{5ECCC0E5-F25F-4B74-83EA-6FD2794AFFF7}" parentId="{25E891D3-F9A7-444B-9212-A48686379CC4}">
    <text xml:space="preserve">PPM = {Number of Defective Items} {Total Number of Units Produced} x 1,000,000 </text>
  </threadedComment>
  <threadedComment ref="V67" dT="2024-07-04T16:11:10.47" personId="{F6B11BA8-355E-463D-A22A-71C9CBE4F6C6}" id="{3D116144-BFAC-4E44-BEB7-FA3E3122313A}">
    <text xml:space="preserve">Six Sigma target 3.4 defects per million opportunities </text>
  </threadedComment>
</ThreadedComments>
</file>

<file path=xl/threadedComments/threadedComment2.xml><?xml version="1.0" encoding="utf-8"?>
<ThreadedComments xmlns="http://schemas.microsoft.com/office/spreadsheetml/2018/threadedcomments" xmlns:x="http://schemas.openxmlformats.org/spreadsheetml/2006/main">
  <threadedComment ref="B65" dT="2024-08-08T13:15:07.50" personId="{F6B11BA8-355E-463D-A22A-71C9CBE4F6C6}" id="{1F633EC9-C166-4F97-ADE2-9C89C3D8E370}">
    <text>Non incluso Imre come Expat</text>
  </threadedComment>
  <threadedComment ref="A152" dT="2024-07-22T14:08:48.75" personId="{F6B11BA8-355E-463D-A22A-71C9CBE4F6C6}" id="{B941D389-E9F9-455B-9137-11F9AC8FC7A1}">
    <text>Overtime rate</text>
  </threadedComment>
  <threadedComment ref="D161" dT="2025-07-08T11:36:51.30" personId="{F6B11BA8-355E-463D-A22A-71C9CBE4F6C6}" id="{BDF84530-AA2D-4B3D-A638-EBEA81610C2B}">
    <text>Costo tecnico dall’Italia</text>
  </threadedComment>
</ThreadedComments>
</file>

<file path=xl/threadedComments/threadedComment3.xml><?xml version="1.0" encoding="utf-8"?>
<ThreadedComments xmlns="http://schemas.microsoft.com/office/spreadsheetml/2018/threadedcomments" xmlns:x="http://schemas.openxmlformats.org/spreadsheetml/2006/main">
  <threadedComment ref="B14" dT="2024-07-22T14:08:48.75" personId="{F6B11BA8-355E-463D-A22A-71C9CBE4F6C6}" id="{280EAAC6-E7DC-45DD-877E-2CBE8C1515AA}">
    <text>Overtime rate</text>
  </threadedComment>
</ThreadedComments>
</file>

<file path=xl/threadedComments/threadedComment4.xml><?xml version="1.0" encoding="utf-8"?>
<ThreadedComments xmlns="http://schemas.microsoft.com/office/spreadsheetml/2018/threadedcomments" xmlns:x="http://schemas.openxmlformats.org/spreadsheetml/2006/main">
  <threadedComment ref="N5" dT="2025-12-26T12:47:13.36" personId="{F6B11BA8-355E-463D-A22A-71C9CBE4F6C6}" id="{2D959566-75BC-4CE9-B682-8394832A9C1C}">
    <text>DHU:
Ottimo: &lt; 2%
Accettabile: 2% – 4%
Critico: &gt; 5%</text>
  </threadedComment>
  <threadedComment ref="O5" dT="2024-07-30T07:09:42.03" personId="{F6B11BA8-355E-463D-A22A-71C9CBE4F6C6}" id="{DDCB5FA4-93C8-4A54-9187-C79998A73260}">
    <text>Is called also First Time Yield</text>
  </threadedComment>
  <threadedComment ref="O5" dT="2024-07-30T07:10:50.13" personId="{F6B11BA8-355E-463D-A22A-71C9CBE4F6C6}" id="{E496E9D5-CD8A-4D03-852C-3A475D3CED54}" parentId="{DDCB5FA4-93C8-4A54-9187-C79998A73260}">
    <text># of good units produced (including Re-work &amp; Repair) / Total inspected units</text>
  </threadedComment>
  <threadedComment ref="P5" dT="2024-07-29T07:43:32.60" personId="{F6B11BA8-355E-463D-A22A-71C9CBE4F6C6}" id="{5A6817C1-1A1A-4D21-A9C7-878BE01C069E}">
    <text>First Pass Yield</text>
  </threadedComment>
  <threadedComment ref="P5" dT="2024-07-30T07:14:13.49" personId="{F6B11BA8-355E-463D-A22A-71C9CBE4F6C6}" id="{20623899-37B6-4277-A1AF-060EF50DB5E3}" parentId="{5A6817C1-1A1A-4D21-A9C7-878BE01C069E}">
    <text># of good units produced (without re-work &amp; Repair) / Total inspected units</text>
  </threadedComment>
  <threadedComment ref="P5" dT="2026-01-06T07:55:01.50" personId="{F6B11BA8-355E-463D-A22A-71C9CBE4F6C6}" id="{BC1669DA-37A0-4A25-B792-8F044DB1C7C0}" parentId="{5A6817C1-1A1A-4D21-A9C7-878BE01C069E}">
    <text xml:space="preserve">FPY = (Good units produced on first pass ÷ Total units entering the process) × 100 </text>
  </threadedComment>
  <threadedComment ref="Y5" dT="2024-07-24T16:08:34.37" personId="{F6B11BA8-355E-463D-A22A-71C9CBE4F6C6}" id="{8CE65EB3-E7AA-479D-8819-51862A28273D}">
    <text>Defects per unit
Idealmente vicino a 0,10 – 0,15 (cioè 1 difetto ogni 7-10 pezzi).</text>
  </threadedComment>
  <threadedComment ref="Z5" dT="2025-12-26T12:42:28.90" personId="{F6B11BA8-355E-463D-A22A-71C9CBE4F6C6}" id="{E02818DA-F559-4400-8566-69CC63C1DD85}">
    <text xml:space="preserve">Defects Per Rejected o Defects Per Repaired
1,0 – 1,5 è considerato normale (un capo difettato ha 1-2 difetti).
Se &gt; 2, significa che i pezzi difettati sono molto problematici.
</text>
  </threadedComment>
  <threadedComment ref="AB5" dT="2024-07-24T16:10:02.44" personId="{F6B11BA8-355E-463D-A22A-71C9CBE4F6C6}" id="{039171A1-E684-446A-908B-99688F10FE27}">
    <text>Defects per opportunity</text>
  </threadedComment>
  <threadedComment ref="AC5" dT="2024-07-24T16:07:42.01" personId="{F6B11BA8-355E-463D-A22A-71C9CBE4F6C6}" id="{EBC8E7E7-A05A-4C1E-873A-257178C90C34}">
    <text>Defects per million opportunities</text>
  </threadedComment>
  <threadedComment ref="AE5" dT="2024-07-24T16:08:22.19" personId="{F6B11BA8-355E-463D-A22A-71C9CBE4F6C6}" id="{DBEA641B-D3E8-4BAE-B738-11CAA0851C62}">
    <text xml:space="preserve">Defective Parts per million
(Defective Parts / Total Parts)*1000000 </text>
  </threadedComment>
  <threadedComment ref="AE5" dT="2024-07-24T16:18:13.83" personId="{F6B11BA8-355E-463D-A22A-71C9CBE4F6C6}" id="{B499D4B8-EF86-48F0-A698-6ED084BDDF7A}" parentId="{DBEA641B-D3E8-4BAE-B738-11CAA0851C62}">
    <text>Or DPMU Defective per million units</text>
  </threadedComment>
  <threadedComment ref="D23" dT="2025-02-09T16:40:09.35" personId="{F6B11BA8-355E-463D-A22A-71C9CBE4F6C6}" id="{D696781B-7FEE-4445-9BAB-EADA80CFDF87}">
    <text>Trgt 21%</text>
  </threadedComment>
  <threadedComment ref="N23" dT="2025-12-26T12:47:13.36" personId="{F6B11BA8-355E-463D-A22A-71C9CBE4F6C6}" id="{E988BA29-BC35-4458-90A5-4F4DC502AF93}">
    <text>DHU:
Ottimo: &lt; 2%
Accettabile: 2% – 4%
Critico: &gt; 5%</text>
  </threadedComment>
  <threadedComment ref="O23" dT="2024-07-30T07:09:42.03" personId="{F6B11BA8-355E-463D-A22A-71C9CBE4F6C6}" id="{68C3B655-08BB-4E23-9D78-017F819776FD}">
    <text>First Time Yield</text>
  </threadedComment>
  <threadedComment ref="O23" dT="2024-07-30T07:10:50.13" personId="{F6B11BA8-355E-463D-A22A-71C9CBE4F6C6}" id="{30DAFAD8-28AB-4AEB-83FC-516001260C67}" parentId="{68C3B655-08BB-4E23-9D78-017F819776FD}">
    <text># of good units produced (including Re-work &amp; Repair) / Total inspected units</text>
  </threadedComment>
  <threadedComment ref="P23" dT="2024-07-29T07:43:32.60" personId="{F6B11BA8-355E-463D-A22A-71C9CBE4F6C6}" id="{F0B3F42D-FC1A-4964-A10C-080EA0B88240}">
    <text>First Pass Yield</text>
  </threadedComment>
  <threadedComment ref="P23" dT="2024-07-30T07:14:13.49" personId="{F6B11BA8-355E-463D-A22A-71C9CBE4F6C6}" id="{009651CF-739A-47B6-A445-CF35C95213BB}" parentId="{F0B3F42D-FC1A-4964-A10C-080EA0B88240}">
    <text># of good units produced (without re-work &amp; Repair) / Total inspected units</text>
  </threadedComment>
  <threadedComment ref="Y23" dT="2024-07-24T16:08:34.37" personId="{F6B11BA8-355E-463D-A22A-71C9CBE4F6C6}" id="{CB4B95E4-ADD7-4255-922F-40D5DC41D78B}">
    <text>Defects per unit
Idealmente vicino a 0,10 – 0,15 (cioè 1 difetto ogni 7-10 pezzi).</text>
  </threadedComment>
  <threadedComment ref="Z23" dT="2025-12-26T12:42:28.90" personId="{F6B11BA8-355E-463D-A22A-71C9CBE4F6C6}" id="{0AC50707-D070-4A27-B641-2AEC19462DAE}">
    <text xml:space="preserve">Defects Per Rejected o Defects Per Repaired
1,0 – 1,5 è considerato normale (un capo difettato ha 1-2 difetti).
Se &gt; 2, significa che i pezzi difettati sono molto problematici.
</text>
  </threadedComment>
  <threadedComment ref="AB23" dT="2024-07-24T16:10:02.44" personId="{F6B11BA8-355E-463D-A22A-71C9CBE4F6C6}" id="{485B8F51-0BC8-426E-88F5-B1DB14C5A744}">
    <text>Defects per opportunity</text>
  </threadedComment>
  <threadedComment ref="AC23" dT="2024-07-24T16:07:42.01" personId="{F6B11BA8-355E-463D-A22A-71C9CBE4F6C6}" id="{EE913B4D-4880-4AA0-B65B-9251110DC8A6}">
    <text>Defects per million opportunities</text>
  </threadedComment>
  <threadedComment ref="AE23" dT="2024-07-24T16:08:22.19" personId="{F6B11BA8-355E-463D-A22A-71C9CBE4F6C6}" id="{71665BC9-32EE-4DD5-888C-76DC021F554B}">
    <text>Defective Parts per million</text>
  </threadedComment>
  <threadedComment ref="AE23" dT="2024-07-24T16:18:13.83" personId="{F6B11BA8-355E-463D-A22A-71C9CBE4F6C6}" id="{A4B9159F-9C0A-444B-B68E-A2E321E070A5}" parentId="{71665BC9-32EE-4DD5-888C-76DC021F554B}">
    <text>Or DPMU Defective per million units</text>
  </threadedComment>
</ThreadedComments>
</file>

<file path=xl/threadedComments/threadedComment5.xml><?xml version="1.0" encoding="utf-8"?>
<ThreadedComments xmlns="http://schemas.microsoft.com/office/spreadsheetml/2018/threadedcomments" xmlns:x="http://schemas.openxmlformats.org/spreadsheetml/2006/main">
  <threadedComment ref="J6" dT="2025-10-14T20:52:52.02" personId="{F6B11BA8-355E-463D-A22A-71C9CBE4F6C6}" id="{8DF99E39-FB5C-47A0-99FE-D1D39FF497DC}">
    <text>Incluso RW</text>
  </threadedComment>
  <threadedComment ref="K6" dT="2025-10-14T20:52:52.02" personId="{F6B11BA8-355E-463D-A22A-71C9CBE4F6C6}" id="{2A6238B0-E95A-4537-A7A9-69728D6C2709}">
    <text>Incluso RW</text>
  </threadedComment>
  <threadedComment ref="B22" dT="2025-02-09T19:41:57.70" personId="{F6B11BA8-355E-463D-A22A-71C9CBE4F6C6}" id="{07CADB1F-02AD-45AA-87F1-0CF4BE82D2DF}">
    <text>Included RW</text>
  </threadedComment>
  <threadedComment ref="C22" dT="2025-02-09T19:41:57.70" personId="{F6B11BA8-355E-463D-A22A-71C9CBE4F6C6}" id="{3BE66543-033B-47DB-80F5-D163AF63F780}">
    <text>Included RW</text>
  </threadedComment>
  <threadedComment ref="J22" dT="2025-10-14T20:53:01.16" personId="{F6B11BA8-355E-463D-A22A-71C9CBE4F6C6}" id="{6A5AEF2E-2B72-41E3-9B4D-8C70F05C0EFE}">
    <text>Incluso RW</text>
  </threadedComment>
  <threadedComment ref="K22" dT="2025-10-14T20:53:01.16" personId="{F6B11BA8-355E-463D-A22A-71C9CBE4F6C6}" id="{FA477237-6F50-4C5C-8DD1-2B05E77E0C65}">
    <text>Incluso RW</text>
  </threadedComment>
  <threadedComment ref="L22" dT="2025-12-08T07:20:03.87" personId="{F6B11BA8-355E-463D-A22A-71C9CBE4F6C6}" id="{4BF8215E-65EE-439C-8970-2F34FF2C6076}">
    <text>Incluso RW</text>
  </threadedComment>
</ThreadedComments>
</file>

<file path=xl/threadedComments/threadedComment6.xml><?xml version="1.0" encoding="utf-8"?>
<ThreadedComments xmlns="http://schemas.microsoft.com/office/spreadsheetml/2018/threadedcomments" xmlns:x="http://schemas.openxmlformats.org/spreadsheetml/2006/main">
  <threadedComment ref="B21" dT="2024-07-17T16:02:07.90" personId="{F6B11BA8-355E-463D-A22A-71C9CBE4F6C6}" id="{0E3765E9-A21C-4CDD-B3D1-150539B5ED7C}">
    <text>Direct labour + Indirect</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F5F51-691E-44A1-928A-A857BA3797F0}">
  <sheetPr>
    <tabColor rgb="FF000000"/>
  </sheetPr>
  <dimension ref="A1:D6"/>
  <sheetViews>
    <sheetView showGridLines="0" tabSelected="1" workbookViewId="0">
      <selection sqref="A1:B1"/>
    </sheetView>
  </sheetViews>
  <sheetFormatPr baseColWidth="10" defaultColWidth="8.85546875" defaultRowHeight="12.75"/>
  <cols>
    <col min="1" max="1" width="21.85546875" style="628" customWidth="1"/>
    <col min="2" max="2" width="126.85546875" style="628" bestFit="1" customWidth="1"/>
    <col min="3" max="16384" width="8.85546875" style="628"/>
  </cols>
  <sheetData>
    <row r="1" spans="1:4" ht="46.5" customHeight="1">
      <c r="A1" s="1742" t="s">
        <v>69</v>
      </c>
      <c r="B1" s="1742"/>
    </row>
    <row r="2" spans="1:4" ht="36">
      <c r="A2" s="629" t="s">
        <v>1</v>
      </c>
      <c r="B2" s="630" t="s">
        <v>64</v>
      </c>
      <c r="C2" s="631"/>
      <c r="D2" s="632"/>
    </row>
    <row r="3" spans="1:4" ht="18">
      <c r="A3" s="629" t="s">
        <v>134</v>
      </c>
      <c r="B3" s="630" t="s">
        <v>65</v>
      </c>
      <c r="C3" s="631"/>
      <c r="D3" s="632"/>
    </row>
    <row r="4" spans="1:4" ht="18">
      <c r="A4" s="629" t="s">
        <v>158</v>
      </c>
      <c r="B4" s="630" t="s">
        <v>159</v>
      </c>
      <c r="C4" s="631"/>
      <c r="D4" s="632"/>
    </row>
    <row r="5" spans="1:4" ht="18">
      <c r="A5" s="629" t="s">
        <v>70</v>
      </c>
      <c r="B5" s="630" t="s">
        <v>66</v>
      </c>
      <c r="C5" s="631"/>
      <c r="D5" s="632"/>
    </row>
    <row r="6" spans="1:4" ht="18">
      <c r="A6" s="629" t="s">
        <v>67</v>
      </c>
      <c r="B6" s="630" t="s">
        <v>68</v>
      </c>
      <c r="C6" s="631"/>
      <c r="D6" s="632"/>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342D1-CB20-40D3-8ADA-0872BBEE765A}">
  <sheetPr>
    <tabColor theme="8" tint="0.59999389629810485"/>
  </sheetPr>
  <dimension ref="A1:AN72"/>
  <sheetViews>
    <sheetView showGridLines="0" zoomScale="90" zoomScaleNormal="90" workbookViewId="0">
      <pane xSplit="1" topLeftCell="B1" activePane="topRight" state="frozen"/>
      <selection pane="topRight"/>
    </sheetView>
  </sheetViews>
  <sheetFormatPr baseColWidth="10" defaultColWidth="8.85546875" defaultRowHeight="15" outlineLevelRow="3" outlineLevelCol="1"/>
  <cols>
    <col min="1" max="1" width="27.28515625" style="633" customWidth="1"/>
    <col min="2" max="2" width="20.140625" style="633" customWidth="1"/>
    <col min="3" max="7" width="8.85546875" style="633" hidden="1" customWidth="1" outlineLevel="1"/>
    <col min="8" max="8" width="8.85546875" style="633" customWidth="1" collapsed="1"/>
    <col min="9" max="9" width="8.85546875" style="633" customWidth="1"/>
    <col min="10" max="10" width="9.42578125" style="633" bestFit="1" customWidth="1"/>
    <col min="11" max="11" width="9.28515625" style="633" bestFit="1" customWidth="1"/>
    <col min="12" max="16" width="8.85546875" style="633" customWidth="1"/>
    <col min="17" max="17" width="10" style="633" bestFit="1" customWidth="1"/>
    <col min="18" max="20" width="8.85546875" style="633" customWidth="1"/>
    <col min="21" max="21" width="11" style="633" customWidth="1"/>
    <col min="22" max="24" width="10" style="633" customWidth="1"/>
    <col min="25" max="25" width="16.28515625" style="633" customWidth="1"/>
    <col min="26" max="26" width="17.85546875" style="633" customWidth="1"/>
    <col min="27" max="27" width="10" style="633" customWidth="1"/>
    <col min="28" max="28" width="10" style="633" hidden="1" customWidth="1" outlineLevel="1"/>
    <col min="29" max="29" width="8" style="633" hidden="1" customWidth="1" outlineLevel="1"/>
    <col min="30" max="30" width="10" style="633" hidden="1" customWidth="1" outlineLevel="1"/>
    <col min="31" max="31" width="11.42578125" style="633" hidden="1" customWidth="1" outlineLevel="1"/>
    <col min="32" max="32" width="19.42578125" style="633" hidden="1" customWidth="1" outlineLevel="1"/>
    <col min="33" max="33" width="10.28515625" style="633" hidden="1" customWidth="1" outlineLevel="1"/>
    <col min="34" max="34" width="18.85546875" style="633" hidden="1" customWidth="1" outlineLevel="1"/>
    <col min="35" max="36" width="10" style="633" hidden="1" customWidth="1" outlineLevel="1"/>
    <col min="37" max="37" width="10" style="633" customWidth="1" collapsed="1"/>
    <col min="38" max="38" width="19.85546875" style="633" customWidth="1"/>
    <col min="39" max="39" width="15.7109375" style="633" customWidth="1"/>
    <col min="40" max="40" width="9" style="633" customWidth="1"/>
    <col min="41" max="41" width="10.140625" style="633" bestFit="1" customWidth="1"/>
    <col min="42" max="43" width="11.42578125" style="633" customWidth="1"/>
    <col min="44" max="44" width="17.140625" style="633" bestFit="1" customWidth="1"/>
    <col min="45" max="16384" width="8.85546875" style="633"/>
  </cols>
  <sheetData>
    <row r="1" spans="1:37" ht="20.25">
      <c r="A1" s="1218" t="s">
        <v>18</v>
      </c>
      <c r="B1" s="1219"/>
      <c r="C1" s="1219"/>
      <c r="D1" s="1219"/>
      <c r="E1" s="1219"/>
      <c r="F1" s="1219"/>
      <c r="G1" s="1219"/>
      <c r="H1" s="1219"/>
      <c r="I1" s="1219"/>
      <c r="J1" s="1219"/>
      <c r="K1" s="1219"/>
      <c r="L1" s="1219"/>
      <c r="M1" s="1219"/>
      <c r="N1" s="1219"/>
      <c r="O1" s="1219"/>
      <c r="P1" s="1219"/>
      <c r="Q1" s="1219"/>
      <c r="R1" s="1219"/>
      <c r="S1" s="1219"/>
      <c r="T1" s="1219"/>
      <c r="U1" s="1219"/>
      <c r="V1" s="1219"/>
      <c r="W1" s="1219"/>
      <c r="X1" s="1219"/>
      <c r="Y1" s="1219"/>
      <c r="Z1" s="1219"/>
      <c r="AA1" s="1219"/>
    </row>
    <row r="2" spans="1:37" ht="15.75" outlineLevel="1">
      <c r="A2" s="105" t="s">
        <v>418</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row>
    <row r="3" spans="1:37" ht="15.75" outlineLevel="2" thickBot="1">
      <c r="A3" s="227" t="s">
        <v>415</v>
      </c>
      <c r="B3" s="6"/>
      <c r="C3" s="6"/>
      <c r="D3" s="6"/>
      <c r="E3" s="6"/>
      <c r="F3" s="6"/>
      <c r="G3" s="6"/>
      <c r="H3" s="6"/>
      <c r="I3" s="6"/>
      <c r="J3" s="6"/>
      <c r="K3" s="6"/>
      <c r="L3" s="6"/>
      <c r="M3" s="6"/>
      <c r="N3" s="6"/>
      <c r="O3" s="6"/>
      <c r="P3" s="6"/>
      <c r="Q3" s="6"/>
      <c r="R3" s="6"/>
      <c r="S3" s="6"/>
      <c r="T3" s="527"/>
      <c r="U3" s="527"/>
      <c r="V3" s="6"/>
      <c r="W3" s="6"/>
      <c r="X3" s="6"/>
      <c r="Y3" s="6"/>
      <c r="Z3" s="6"/>
      <c r="AA3" s="6"/>
      <c r="AB3" s="6"/>
      <c r="AC3" s="6"/>
      <c r="AD3" s="6"/>
      <c r="AE3" s="6"/>
      <c r="AF3" s="6"/>
      <c r="AG3" s="6"/>
    </row>
    <row r="4" spans="1:37" ht="31.5" outlineLevel="2">
      <c r="A4" s="32" t="s">
        <v>0</v>
      </c>
      <c r="B4" s="32"/>
      <c r="C4" s="634">
        <v>45688</v>
      </c>
      <c r="D4" s="634">
        <v>45716</v>
      </c>
      <c r="E4" s="634">
        <v>45747</v>
      </c>
      <c r="F4" s="634">
        <v>45777</v>
      </c>
      <c r="G4" s="634">
        <v>45808</v>
      </c>
      <c r="H4" s="1140">
        <v>45838</v>
      </c>
      <c r="I4" s="876">
        <v>45869</v>
      </c>
      <c r="J4" s="876">
        <v>45900</v>
      </c>
      <c r="K4" s="876">
        <v>45930</v>
      </c>
      <c r="L4" s="876">
        <v>45961</v>
      </c>
      <c r="M4" s="876">
        <v>45991</v>
      </c>
      <c r="N4" s="877">
        <v>46022</v>
      </c>
      <c r="O4" s="886">
        <v>46053</v>
      </c>
      <c r="P4" s="887">
        <v>46081</v>
      </c>
      <c r="Q4" s="887">
        <v>46112</v>
      </c>
      <c r="R4" s="887">
        <v>46142</v>
      </c>
      <c r="S4" s="887">
        <v>46173</v>
      </c>
      <c r="T4" s="1120">
        <v>46203</v>
      </c>
      <c r="U4" s="1159" t="s">
        <v>1</v>
      </c>
      <c r="V4" s="1160" t="s">
        <v>12</v>
      </c>
      <c r="W4" s="1161" t="s">
        <v>10</v>
      </c>
      <c r="X4" s="1161" t="s">
        <v>62</v>
      </c>
      <c r="Y4" s="1159" t="s">
        <v>335</v>
      </c>
      <c r="Z4" s="1162" t="s">
        <v>368</v>
      </c>
      <c r="AB4" s="5"/>
      <c r="AC4" s="5"/>
      <c r="AD4" s="5"/>
      <c r="AE4" s="5"/>
      <c r="AF4" s="5"/>
      <c r="AG4" s="5"/>
    </row>
    <row r="5" spans="1:37" ht="15.75" outlineLevel="2">
      <c r="A5" s="1743" t="s">
        <v>2</v>
      </c>
      <c r="B5" s="9" t="s">
        <v>32</v>
      </c>
      <c r="C5" s="202">
        <v>0.5</v>
      </c>
      <c r="D5" s="202">
        <v>0.4</v>
      </c>
      <c r="E5" s="202">
        <v>0.7</v>
      </c>
      <c r="F5" s="202">
        <v>0</v>
      </c>
      <c r="G5" s="202">
        <v>0.33</v>
      </c>
      <c r="H5" s="1184">
        <v>0.375</v>
      </c>
      <c r="I5" s="202">
        <v>1</v>
      </c>
      <c r="J5" s="202">
        <v>1</v>
      </c>
      <c r="K5" s="202">
        <v>0.56999999999999995</v>
      </c>
      <c r="L5" s="202">
        <v>1</v>
      </c>
      <c r="M5" s="202">
        <v>1</v>
      </c>
      <c r="N5" s="1185">
        <v>1</v>
      </c>
      <c r="O5" s="1163">
        <v>0.5</v>
      </c>
      <c r="P5" s="215">
        <v>0.63</v>
      </c>
      <c r="Q5" s="215">
        <v>0.86</v>
      </c>
      <c r="R5" s="215">
        <v>0.36</v>
      </c>
      <c r="S5" s="215">
        <v>0.89</v>
      </c>
      <c r="T5" s="193">
        <v>0.2</v>
      </c>
      <c r="U5" s="173">
        <v>0.58333333333333337</v>
      </c>
      <c r="V5" s="11">
        <v>0.83</v>
      </c>
      <c r="W5" s="12">
        <f>+U5-V5</f>
        <v>-0.24666666666666659</v>
      </c>
      <c r="X5" s="12">
        <f>IFERROR(T5/S5-1,100%)</f>
        <v>-0.7752808988764045</v>
      </c>
      <c r="Y5" s="10">
        <v>0.73</v>
      </c>
      <c r="Z5" s="1164">
        <f>+U5/Y5-1</f>
        <v>-0.2009132420091323</v>
      </c>
      <c r="AB5" s="5"/>
      <c r="AC5" s="5"/>
      <c r="AD5" s="5"/>
      <c r="AE5" s="5"/>
      <c r="AF5" s="5"/>
      <c r="AG5" s="5"/>
    </row>
    <row r="6" spans="1:37" ht="15.75" outlineLevel="2">
      <c r="A6" s="1744"/>
      <c r="B6" s="13" t="s">
        <v>31</v>
      </c>
      <c r="C6" s="14">
        <v>6</v>
      </c>
      <c r="D6" s="14">
        <v>5</v>
      </c>
      <c r="E6" s="14">
        <v>10</v>
      </c>
      <c r="F6" s="14">
        <v>1</v>
      </c>
      <c r="G6" s="14">
        <v>9</v>
      </c>
      <c r="H6" s="1186">
        <v>8</v>
      </c>
      <c r="I6" s="14">
        <v>19</v>
      </c>
      <c r="J6" s="14">
        <v>3</v>
      </c>
      <c r="K6" s="14">
        <v>7</v>
      </c>
      <c r="L6" s="14">
        <v>9</v>
      </c>
      <c r="M6" s="14">
        <v>14</v>
      </c>
      <c r="N6" s="1187">
        <v>3</v>
      </c>
      <c r="O6" s="1165">
        <v>8</v>
      </c>
      <c r="P6" s="216">
        <v>8</v>
      </c>
      <c r="Q6" s="216">
        <v>7</v>
      </c>
      <c r="R6" s="216">
        <v>11</v>
      </c>
      <c r="S6" s="216">
        <v>9</v>
      </c>
      <c r="T6" s="76">
        <v>5</v>
      </c>
      <c r="U6" s="111">
        <f>SUM(O6:T6)</f>
        <v>48</v>
      </c>
      <c r="V6" s="15"/>
      <c r="W6" s="16"/>
      <c r="X6" s="16"/>
      <c r="Y6" s="122">
        <v>94</v>
      </c>
      <c r="Z6" s="1166"/>
      <c r="AB6" s="5"/>
      <c r="AC6" s="5"/>
      <c r="AD6" s="5"/>
      <c r="AE6" s="5"/>
      <c r="AF6" s="5"/>
      <c r="AG6" s="5"/>
    </row>
    <row r="7" spans="1:37" ht="15.75" outlineLevel="2">
      <c r="A7" s="1743" t="s">
        <v>3</v>
      </c>
      <c r="B7" s="9" t="s">
        <v>32</v>
      </c>
      <c r="C7" s="10">
        <v>0.11</v>
      </c>
      <c r="D7" s="10">
        <v>0.43</v>
      </c>
      <c r="E7" s="10">
        <v>0.92</v>
      </c>
      <c r="F7" s="10">
        <v>0</v>
      </c>
      <c r="G7" s="10">
        <v>0.46</v>
      </c>
      <c r="H7" s="1188">
        <v>0.2</v>
      </c>
      <c r="I7" s="203">
        <v>0.78</v>
      </c>
      <c r="J7" s="204"/>
      <c r="K7" s="10">
        <v>0.5</v>
      </c>
      <c r="L7" s="10">
        <v>1</v>
      </c>
      <c r="M7" s="10">
        <v>1</v>
      </c>
      <c r="N7" s="1189">
        <v>1</v>
      </c>
      <c r="O7" s="1167">
        <v>0.88</v>
      </c>
      <c r="P7" s="218">
        <v>0.38</v>
      </c>
      <c r="Q7" s="218">
        <v>1</v>
      </c>
      <c r="R7" s="218">
        <v>0</v>
      </c>
      <c r="S7" s="218">
        <v>0.25</v>
      </c>
      <c r="T7" s="194">
        <v>0.42857142857142855</v>
      </c>
      <c r="U7" s="173">
        <v>0.55102040816326525</v>
      </c>
      <c r="V7" s="20">
        <v>0.69</v>
      </c>
      <c r="W7" s="12">
        <f>+U7-V7</f>
        <v>-0.13897959183673469</v>
      </c>
      <c r="X7" s="12">
        <f>IFERROR(T7/S7-1,100%)</f>
        <v>0.71428571428571419</v>
      </c>
      <c r="Y7" s="19">
        <v>0.59</v>
      </c>
      <c r="Z7" s="1168">
        <f>+U7/Y7-1</f>
        <v>-6.6067104808024912E-2</v>
      </c>
      <c r="AB7" s="5"/>
      <c r="AC7" s="5"/>
      <c r="AD7" s="5"/>
      <c r="AE7" s="5"/>
      <c r="AF7" s="5"/>
      <c r="AG7" s="5"/>
    </row>
    <row r="8" spans="1:37" ht="15.75" outlineLevel="2">
      <c r="A8" s="1744"/>
      <c r="B8" s="611" t="s">
        <v>31</v>
      </c>
      <c r="C8" s="17">
        <v>18</v>
      </c>
      <c r="D8" s="17">
        <v>7</v>
      </c>
      <c r="E8" s="17">
        <v>13</v>
      </c>
      <c r="F8" s="17">
        <v>4</v>
      </c>
      <c r="G8" s="17">
        <v>13</v>
      </c>
      <c r="H8" s="1190">
        <v>5</v>
      </c>
      <c r="I8" s="17">
        <v>9</v>
      </c>
      <c r="J8" s="17">
        <v>0</v>
      </c>
      <c r="K8" s="17">
        <v>6</v>
      </c>
      <c r="L8" s="17">
        <v>9</v>
      </c>
      <c r="M8" s="17">
        <v>22</v>
      </c>
      <c r="N8" s="1191">
        <v>3</v>
      </c>
      <c r="O8" s="1169">
        <v>8</v>
      </c>
      <c r="P8" s="217">
        <v>8</v>
      </c>
      <c r="Q8" s="217">
        <v>10</v>
      </c>
      <c r="R8" s="217">
        <v>5</v>
      </c>
      <c r="S8" s="217">
        <v>4</v>
      </c>
      <c r="T8" s="77">
        <v>14</v>
      </c>
      <c r="U8" s="174">
        <f>SUM(O8:T8)</f>
        <v>49</v>
      </c>
      <c r="V8" s="531"/>
      <c r="W8" s="532"/>
      <c r="X8" s="532"/>
      <c r="Y8" s="123">
        <v>109</v>
      </c>
      <c r="Z8" s="1170"/>
      <c r="AB8" s="5"/>
      <c r="AC8" s="5"/>
      <c r="AD8" s="5"/>
      <c r="AE8" s="5"/>
      <c r="AF8" s="5"/>
      <c r="AG8" s="5"/>
    </row>
    <row r="9" spans="1:37" ht="15.75" outlineLevel="2">
      <c r="A9" s="1743" t="s">
        <v>4</v>
      </c>
      <c r="B9" s="9" t="s">
        <v>32</v>
      </c>
      <c r="C9" s="19">
        <v>0.5</v>
      </c>
      <c r="D9" s="19">
        <v>0.78</v>
      </c>
      <c r="E9" s="19">
        <v>1</v>
      </c>
      <c r="F9" s="19">
        <v>0</v>
      </c>
      <c r="G9" s="19">
        <v>1</v>
      </c>
      <c r="H9" s="1188">
        <v>1</v>
      </c>
      <c r="I9" s="19">
        <v>0.75</v>
      </c>
      <c r="J9" s="19">
        <v>1</v>
      </c>
      <c r="K9" s="19">
        <v>0.6</v>
      </c>
      <c r="L9" s="19">
        <v>1</v>
      </c>
      <c r="M9" s="19">
        <v>1</v>
      </c>
      <c r="N9" s="1192">
        <v>1</v>
      </c>
      <c r="O9" s="1171">
        <v>1</v>
      </c>
      <c r="P9" s="533">
        <v>1</v>
      </c>
      <c r="Q9" s="533">
        <v>1</v>
      </c>
      <c r="R9" s="533">
        <v>0.5</v>
      </c>
      <c r="S9" s="533">
        <v>1</v>
      </c>
      <c r="T9" s="534">
        <v>0.8571428571428571</v>
      </c>
      <c r="U9" s="173">
        <v>0.89473684210526316</v>
      </c>
      <c r="V9" s="20">
        <v>0.92</v>
      </c>
      <c r="W9" s="12">
        <f>+U9-V9</f>
        <v>-2.5263157894736876E-2</v>
      </c>
      <c r="X9" s="12">
        <f>IFERROR(T9/S9-1,100%)</f>
        <v>-0.1428571428571429</v>
      </c>
      <c r="Y9" s="19">
        <v>0.82</v>
      </c>
      <c r="Z9" s="1168">
        <f>+U9/Y9-1</f>
        <v>9.1142490372272178E-2</v>
      </c>
      <c r="AB9" s="5"/>
      <c r="AC9" s="5"/>
      <c r="AD9" s="5"/>
      <c r="AE9" s="5"/>
      <c r="AF9" s="5"/>
      <c r="AG9" s="5"/>
    </row>
    <row r="10" spans="1:37" ht="16.5" outlineLevel="2" thickBot="1">
      <c r="A10" s="1750"/>
      <c r="B10" s="615" t="s">
        <v>31</v>
      </c>
      <c r="C10" s="535">
        <v>4</v>
      </c>
      <c r="D10" s="535">
        <v>9</v>
      </c>
      <c r="E10" s="535">
        <v>9</v>
      </c>
      <c r="F10" s="535">
        <v>0</v>
      </c>
      <c r="G10" s="535">
        <v>4</v>
      </c>
      <c r="H10" s="1193">
        <v>5</v>
      </c>
      <c r="I10" s="535">
        <v>4</v>
      </c>
      <c r="J10" s="535">
        <v>5</v>
      </c>
      <c r="K10" s="535">
        <v>5</v>
      </c>
      <c r="L10" s="535">
        <v>2</v>
      </c>
      <c r="M10" s="535">
        <v>12</v>
      </c>
      <c r="N10" s="1194">
        <v>1</v>
      </c>
      <c r="O10" s="1172">
        <v>4</v>
      </c>
      <c r="P10" s="536">
        <v>3</v>
      </c>
      <c r="Q10" s="536">
        <v>2</v>
      </c>
      <c r="R10" s="536">
        <v>2</v>
      </c>
      <c r="S10" s="536">
        <v>1</v>
      </c>
      <c r="T10" s="537">
        <v>7</v>
      </c>
      <c r="U10" s="538">
        <f>SUM(O10:T10)</f>
        <v>19</v>
      </c>
      <c r="V10" s="539"/>
      <c r="W10" s="540"/>
      <c r="X10" s="540"/>
      <c r="Y10" s="541">
        <v>60</v>
      </c>
      <c r="Z10" s="1173"/>
      <c r="AB10" s="5"/>
      <c r="AC10" s="5"/>
      <c r="AD10" s="5"/>
      <c r="AE10" s="5"/>
      <c r="AF10" s="5"/>
      <c r="AG10" s="5"/>
    </row>
    <row r="11" spans="1:37" ht="15.75" outlineLevel="2">
      <c r="A11" s="220" t="s">
        <v>33</v>
      </c>
      <c r="B11" s="221"/>
      <c r="C11" s="205">
        <v>0.25</v>
      </c>
      <c r="D11" s="205">
        <v>0.56999999999999995</v>
      </c>
      <c r="E11" s="205">
        <v>0.88</v>
      </c>
      <c r="F11" s="205">
        <v>0</v>
      </c>
      <c r="G11" s="205">
        <v>0.5</v>
      </c>
      <c r="H11" s="1195">
        <v>0.5</v>
      </c>
      <c r="I11" s="205">
        <v>0.91</v>
      </c>
      <c r="J11" s="205">
        <v>1</v>
      </c>
      <c r="K11" s="205">
        <v>0.56000000000000005</v>
      </c>
      <c r="L11" s="205">
        <v>1</v>
      </c>
      <c r="M11" s="205">
        <v>1</v>
      </c>
      <c r="N11" s="1196">
        <v>1</v>
      </c>
      <c r="O11" s="1174">
        <v>0.75</v>
      </c>
      <c r="P11" s="219">
        <v>0.57999999999999996</v>
      </c>
      <c r="Q11" s="219">
        <v>0.95</v>
      </c>
      <c r="R11" s="219">
        <v>0.28000000000000003</v>
      </c>
      <c r="S11" s="219">
        <v>0.71</v>
      </c>
      <c r="T11" s="120">
        <v>0.5</v>
      </c>
      <c r="U11" s="222">
        <v>0.62068965517241381</v>
      </c>
      <c r="V11" s="222">
        <v>0.79</v>
      </c>
      <c r="W11" s="91">
        <f>+U11-V11</f>
        <v>-0.16931034482758622</v>
      </c>
      <c r="X11" s="91">
        <f>IFERROR(T11/S11-1,100%)</f>
        <v>-0.29577464788732388</v>
      </c>
      <c r="Y11" s="205">
        <v>0.69</v>
      </c>
      <c r="Z11" s="1175">
        <f>+U11/Y11-1</f>
        <v>-0.10044977511244368</v>
      </c>
      <c r="AB11" s="5"/>
      <c r="AC11" s="5"/>
      <c r="AD11" s="5"/>
      <c r="AE11" s="5"/>
      <c r="AF11" s="5"/>
      <c r="AG11" s="5"/>
    </row>
    <row r="12" spans="1:37" s="640" customFormat="1" ht="16.5" outlineLevel="2" thickBot="1">
      <c r="A12" s="562" t="s">
        <v>34</v>
      </c>
      <c r="B12" s="563"/>
      <c r="C12" s="179">
        <f t="shared" ref="C12:U12" si="0">SUM(C10,C8,C6)</f>
        <v>28</v>
      </c>
      <c r="D12" s="179">
        <f t="shared" si="0"/>
        <v>21</v>
      </c>
      <c r="E12" s="179">
        <f t="shared" si="0"/>
        <v>32</v>
      </c>
      <c r="F12" s="179">
        <f t="shared" si="0"/>
        <v>5</v>
      </c>
      <c r="G12" s="179">
        <f t="shared" si="0"/>
        <v>26</v>
      </c>
      <c r="H12" s="1197">
        <f t="shared" si="0"/>
        <v>18</v>
      </c>
      <c r="I12" s="1182">
        <f t="shared" si="0"/>
        <v>32</v>
      </c>
      <c r="J12" s="1182">
        <f t="shared" si="0"/>
        <v>8</v>
      </c>
      <c r="K12" s="1182">
        <f t="shared" si="0"/>
        <v>18</v>
      </c>
      <c r="L12" s="1182">
        <f t="shared" si="0"/>
        <v>20</v>
      </c>
      <c r="M12" s="1182">
        <f t="shared" si="0"/>
        <v>48</v>
      </c>
      <c r="N12" s="1198">
        <f t="shared" si="0"/>
        <v>7</v>
      </c>
      <c r="O12" s="1176">
        <f t="shared" si="0"/>
        <v>20</v>
      </c>
      <c r="P12" s="1177">
        <f t="shared" si="0"/>
        <v>19</v>
      </c>
      <c r="Q12" s="1177">
        <f t="shared" si="0"/>
        <v>19</v>
      </c>
      <c r="R12" s="1177">
        <f t="shared" si="0"/>
        <v>18</v>
      </c>
      <c r="S12" s="1177">
        <f t="shared" ref="S12" si="1">SUM(S10,S8,S6)</f>
        <v>14</v>
      </c>
      <c r="T12" s="1178">
        <f t="shared" si="0"/>
        <v>26</v>
      </c>
      <c r="U12" s="1179">
        <f t="shared" si="0"/>
        <v>116</v>
      </c>
      <c r="V12" s="1180"/>
      <c r="W12" s="1181"/>
      <c r="X12" s="1181"/>
      <c r="Y12" s="1182">
        <v>263</v>
      </c>
      <c r="Z12" s="1183"/>
      <c r="AB12" s="5"/>
      <c r="AC12" s="5"/>
      <c r="AD12" s="5"/>
      <c r="AE12" s="5"/>
      <c r="AF12" s="5"/>
      <c r="AG12" s="5"/>
      <c r="AH12" s="633"/>
      <c r="AI12" s="633"/>
      <c r="AJ12" s="633"/>
      <c r="AK12" s="633"/>
    </row>
    <row r="13" spans="1:37" ht="15.75" outlineLevel="2">
      <c r="A13" s="6" t="s">
        <v>56</v>
      </c>
      <c r="B13" s="611"/>
      <c r="C13" s="8"/>
      <c r="D13" s="8"/>
      <c r="E13" s="8"/>
      <c r="F13" s="8"/>
      <c r="G13" s="8"/>
      <c r="H13" s="8"/>
      <c r="I13" s="8"/>
      <c r="J13" s="8"/>
      <c r="K13" s="8"/>
      <c r="L13" s="8"/>
      <c r="M13" s="8"/>
      <c r="N13" s="8"/>
      <c r="O13" s="8"/>
      <c r="P13" s="8"/>
      <c r="Q13" s="8"/>
      <c r="R13" s="8"/>
      <c r="S13" s="8"/>
      <c r="T13" s="8"/>
      <c r="U13" s="8"/>
      <c r="V13" s="8"/>
      <c r="W13" s="131"/>
      <c r="X13" s="8"/>
      <c r="Y13" s="8"/>
      <c r="Z13" s="8"/>
      <c r="AA13" s="8"/>
      <c r="AB13" s="5"/>
      <c r="AC13" s="5"/>
      <c r="AD13" s="5"/>
      <c r="AE13" s="5"/>
      <c r="AF13" s="5"/>
      <c r="AG13" s="5"/>
    </row>
    <row r="14" spans="1:37" ht="15.75" outlineLevel="2">
      <c r="A14" s="6" t="s">
        <v>57</v>
      </c>
      <c r="B14" s="611"/>
      <c r="C14" s="8"/>
      <c r="D14" s="8"/>
      <c r="E14" s="8"/>
      <c r="F14" s="8"/>
      <c r="G14" s="8"/>
      <c r="H14" s="8"/>
      <c r="I14" s="8"/>
      <c r="J14" s="8"/>
      <c r="K14" s="8"/>
      <c r="L14" s="8"/>
      <c r="M14" s="8"/>
      <c r="N14" s="8"/>
      <c r="O14" s="8"/>
      <c r="P14" s="8"/>
      <c r="Q14" s="8"/>
      <c r="R14" s="8"/>
      <c r="S14" s="8"/>
      <c r="T14" s="8"/>
      <c r="U14" s="8"/>
      <c r="V14" s="8"/>
      <c r="W14" s="8"/>
      <c r="X14" s="8"/>
      <c r="Y14" s="8"/>
      <c r="Z14" s="8"/>
      <c r="AA14" s="8"/>
      <c r="AB14" s="28"/>
      <c r="AC14" s="29"/>
      <c r="AD14" s="29"/>
      <c r="AE14" s="29"/>
      <c r="AF14" s="28"/>
      <c r="AG14" s="30"/>
      <c r="AH14" s="31"/>
      <c r="AI14" s="31"/>
      <c r="AJ14" s="31"/>
      <c r="AK14" s="31"/>
    </row>
    <row r="15" spans="1:37" ht="15.75" outlineLevel="2">
      <c r="A15" s="6" t="s">
        <v>416</v>
      </c>
      <c r="B15" s="611"/>
      <c r="C15" s="8"/>
      <c r="D15" s="8"/>
      <c r="E15" s="8"/>
      <c r="F15" s="8"/>
      <c r="G15" s="8"/>
      <c r="H15" s="8"/>
      <c r="I15" s="8"/>
      <c r="J15" s="8"/>
      <c r="K15" s="8"/>
      <c r="L15" s="8"/>
      <c r="M15" s="8"/>
      <c r="N15" s="8"/>
      <c r="O15" s="8"/>
      <c r="P15" s="8"/>
      <c r="Q15" s="8"/>
      <c r="R15" s="8"/>
      <c r="S15" s="8"/>
      <c r="T15" s="8"/>
      <c r="U15" s="8"/>
      <c r="V15" s="8"/>
      <c r="W15" s="8"/>
      <c r="X15" s="8"/>
      <c r="Y15" s="8"/>
      <c r="Z15" s="8"/>
      <c r="AA15" s="8"/>
      <c r="AB15" s="28"/>
      <c r="AC15" s="29"/>
      <c r="AD15" s="29"/>
      <c r="AE15" s="29"/>
      <c r="AF15" s="28"/>
      <c r="AG15" s="30"/>
      <c r="AH15" s="31"/>
      <c r="AI15" s="31"/>
      <c r="AJ15" s="31"/>
      <c r="AK15" s="31"/>
    </row>
    <row r="16" spans="1:37" ht="15.75" outlineLevel="2">
      <c r="A16" s="6" t="s">
        <v>58</v>
      </c>
      <c r="B16" s="611"/>
      <c r="U16" s="8"/>
      <c r="V16" s="8"/>
      <c r="W16" s="8"/>
      <c r="X16" s="8"/>
      <c r="Y16" s="8"/>
      <c r="Z16" s="8"/>
      <c r="AA16" s="8"/>
      <c r="AB16" s="28"/>
      <c r="AC16" s="29"/>
      <c r="AD16" s="29"/>
      <c r="AE16" s="29"/>
      <c r="AF16" s="28"/>
      <c r="AG16" s="30"/>
      <c r="AH16" s="31"/>
      <c r="AI16" s="31"/>
      <c r="AJ16" s="31"/>
      <c r="AK16" s="31"/>
    </row>
    <row r="17" spans="1:37" outlineLevel="1"/>
    <row r="18" spans="1:37" ht="20.25" outlineLevel="2">
      <c r="A18" s="1222" t="s">
        <v>35</v>
      </c>
      <c r="B18" s="1222"/>
      <c r="C18" s="1222"/>
      <c r="D18" s="1222"/>
      <c r="E18" s="1222"/>
      <c r="F18" s="1222"/>
      <c r="G18" s="1222"/>
      <c r="H18" s="1222"/>
      <c r="I18" s="1222"/>
      <c r="J18" s="1222"/>
      <c r="K18" s="1222"/>
      <c r="L18" s="1222"/>
      <c r="M18" s="1222"/>
      <c r="N18" s="1222"/>
      <c r="O18" s="1222"/>
      <c r="P18" s="1222"/>
      <c r="Q18" s="1222"/>
      <c r="R18" s="1222"/>
      <c r="S18" s="1222"/>
      <c r="T18" s="1222"/>
      <c r="U18" s="1222"/>
      <c r="V18" s="1222"/>
      <c r="W18" s="1222"/>
      <c r="X18" s="1222"/>
      <c r="Y18" s="1222"/>
      <c r="Z18" s="1222"/>
      <c r="AA18" s="1222"/>
      <c r="AB18" s="5"/>
      <c r="AC18" s="5"/>
      <c r="AD18" s="5"/>
      <c r="AE18" s="5"/>
      <c r="AF18" s="5"/>
      <c r="AG18" s="5"/>
    </row>
    <row r="19" spans="1:37" ht="28.5" customHeight="1" outlineLevel="2" thickBot="1">
      <c r="A19" s="227" t="s">
        <v>460</v>
      </c>
      <c r="B19" s="7"/>
      <c r="C19" s="114"/>
      <c r="D19" s="114"/>
      <c r="E19" s="114"/>
      <c r="F19" s="114"/>
      <c r="G19" s="114"/>
      <c r="H19" s="114"/>
      <c r="I19" s="114"/>
      <c r="J19" s="114"/>
      <c r="K19" s="114"/>
      <c r="L19" s="114"/>
      <c r="M19" s="114"/>
      <c r="N19" s="114"/>
      <c r="O19" s="114"/>
      <c r="P19" s="114"/>
      <c r="Q19" s="114"/>
      <c r="R19" s="114"/>
      <c r="S19" s="114"/>
      <c r="T19" s="525"/>
      <c r="U19" s="525"/>
      <c r="V19" s="7"/>
      <c r="W19" s="7"/>
      <c r="X19" s="7"/>
      <c r="Y19" s="7"/>
      <c r="Z19" s="7"/>
      <c r="AA19" s="7"/>
      <c r="AB19" s="5"/>
      <c r="AC19" s="5"/>
      <c r="AD19" s="5"/>
      <c r="AE19" s="5"/>
      <c r="AF19" s="5"/>
      <c r="AG19" s="5"/>
    </row>
    <row r="20" spans="1:37" ht="47.25" outlineLevel="2">
      <c r="A20" s="32" t="s">
        <v>0</v>
      </c>
      <c r="B20" s="32"/>
      <c r="C20" s="634">
        <v>45688</v>
      </c>
      <c r="D20" s="634">
        <v>45716</v>
      </c>
      <c r="E20" s="634">
        <v>45747</v>
      </c>
      <c r="F20" s="634">
        <v>45777</v>
      </c>
      <c r="G20" s="634">
        <v>45777</v>
      </c>
      <c r="H20" s="1357">
        <v>45838</v>
      </c>
      <c r="I20" s="1265">
        <v>45869</v>
      </c>
      <c r="J20" s="1265">
        <v>45900</v>
      </c>
      <c r="K20" s="1265">
        <v>45930</v>
      </c>
      <c r="L20" s="1265">
        <v>45961</v>
      </c>
      <c r="M20" s="1265">
        <v>45991</v>
      </c>
      <c r="N20" s="1266">
        <v>46022</v>
      </c>
      <c r="O20" s="886">
        <v>46053</v>
      </c>
      <c r="P20" s="887">
        <v>46081</v>
      </c>
      <c r="Q20" s="887">
        <v>46112</v>
      </c>
      <c r="R20" s="887">
        <v>46142</v>
      </c>
      <c r="S20" s="887">
        <v>46173</v>
      </c>
      <c r="T20" s="878">
        <v>46203</v>
      </c>
      <c r="U20" s="637" t="s">
        <v>1</v>
      </c>
      <c r="V20" s="638" t="s">
        <v>12</v>
      </c>
      <c r="W20" s="639" t="s">
        <v>10</v>
      </c>
      <c r="X20" s="641" t="s">
        <v>459</v>
      </c>
      <c r="Y20" s="639" t="s">
        <v>62</v>
      </c>
      <c r="Z20" s="637" t="s">
        <v>335</v>
      </c>
      <c r="AA20" s="639" t="s">
        <v>368</v>
      </c>
      <c r="AB20" s="5"/>
      <c r="AC20" s="5"/>
      <c r="AD20" s="5"/>
      <c r="AE20" s="5"/>
      <c r="AF20" s="5"/>
      <c r="AG20" s="5"/>
    </row>
    <row r="21" spans="1:37" ht="15.75" outlineLevel="2">
      <c r="A21" s="1743" t="s">
        <v>2</v>
      </c>
      <c r="B21" s="9" t="s">
        <v>453</v>
      </c>
      <c r="C21" s="202"/>
      <c r="D21" s="202"/>
      <c r="E21" s="202"/>
      <c r="F21" s="202"/>
      <c r="G21" s="202"/>
      <c r="H21" s="1576"/>
      <c r="I21" s="1577"/>
      <c r="J21" s="1577"/>
      <c r="K21" s="1577"/>
      <c r="L21" s="1577"/>
      <c r="M21" s="1577"/>
      <c r="N21" s="1578"/>
      <c r="O21" s="1199">
        <v>30</v>
      </c>
      <c r="P21" s="544">
        <v>28</v>
      </c>
      <c r="Q21" s="544">
        <v>82</v>
      </c>
      <c r="R21" s="544">
        <v>31</v>
      </c>
      <c r="S21" s="544">
        <v>54</v>
      </c>
      <c r="T21" s="1200">
        <v>64.2</v>
      </c>
      <c r="U21" s="542">
        <v>45.520833333333336</v>
      </c>
      <c r="V21" s="546">
        <v>90</v>
      </c>
      <c r="W21" s="550">
        <f>+U21-V21</f>
        <v>-44.479166666666664</v>
      </c>
      <c r="X21" s="556">
        <f>+U21/V21-1</f>
        <v>-0.49421296296296291</v>
      </c>
      <c r="Y21" s="556">
        <f>IFERROR(T21/S21-1,100%)</f>
        <v>0.18888888888888888</v>
      </c>
      <c r="Z21" s="10"/>
      <c r="AA21" s="12"/>
      <c r="AB21" s="5"/>
      <c r="AC21" s="5"/>
      <c r="AD21" s="5"/>
      <c r="AE21" s="5"/>
      <c r="AF21" s="5"/>
      <c r="AG21" s="5"/>
    </row>
    <row r="22" spans="1:37" ht="15.75" outlineLevel="2">
      <c r="A22" s="1744"/>
      <c r="B22" s="13" t="s">
        <v>454</v>
      </c>
      <c r="C22" s="14"/>
      <c r="D22" s="14"/>
      <c r="E22" s="14"/>
      <c r="F22" s="14"/>
      <c r="G22" s="14"/>
      <c r="H22" s="1579"/>
      <c r="I22" s="1580"/>
      <c r="J22" s="1580"/>
      <c r="K22" s="1580"/>
      <c r="L22" s="1580"/>
      <c r="M22" s="1580"/>
      <c r="N22" s="1581"/>
      <c r="O22" s="1201">
        <v>45</v>
      </c>
      <c r="P22" s="211">
        <v>55</v>
      </c>
      <c r="Q22" s="211">
        <v>30</v>
      </c>
      <c r="R22" s="211">
        <v>47</v>
      </c>
      <c r="S22" s="211">
        <v>27</v>
      </c>
      <c r="T22" s="1202">
        <v>46.2</v>
      </c>
      <c r="U22" s="111">
        <v>41.5625</v>
      </c>
      <c r="V22" s="547">
        <v>30</v>
      </c>
      <c r="W22" s="551">
        <f t="shared" ref="W22:W32" si="2">+U22-V22</f>
        <v>11.5625</v>
      </c>
      <c r="X22" s="557">
        <f t="shared" ref="X22:X32" si="3">+U22/V22-1</f>
        <v>0.38541666666666674</v>
      </c>
      <c r="Y22" s="557">
        <f t="shared" ref="Y22:Y32" si="4">IFERROR(T22/S22-1,100%)</f>
        <v>0.71111111111111125</v>
      </c>
      <c r="Z22" s="122"/>
      <c r="AA22" s="16"/>
      <c r="AB22" s="5"/>
      <c r="AC22" s="5"/>
      <c r="AD22" s="5"/>
      <c r="AE22" s="5"/>
      <c r="AF22" s="5"/>
      <c r="AG22" s="5"/>
    </row>
    <row r="23" spans="1:37" ht="15.75" outlineLevel="2">
      <c r="A23" s="1744"/>
      <c r="B23" s="611" t="s">
        <v>455</v>
      </c>
      <c r="C23" s="17"/>
      <c r="D23" s="17"/>
      <c r="E23" s="17"/>
      <c r="F23" s="17"/>
      <c r="G23" s="17"/>
      <c r="H23" s="1582"/>
      <c r="I23" s="1583"/>
      <c r="J23" s="1583"/>
      <c r="K23" s="1583"/>
      <c r="L23" s="1583"/>
      <c r="M23" s="1583"/>
      <c r="N23" s="1584"/>
      <c r="O23" s="1203">
        <v>78</v>
      </c>
      <c r="P23" s="214">
        <v>86</v>
      </c>
      <c r="Q23" s="214">
        <v>115</v>
      </c>
      <c r="R23" s="214">
        <v>81</v>
      </c>
      <c r="S23" s="214">
        <v>84</v>
      </c>
      <c r="T23" s="1204">
        <v>114.4</v>
      </c>
      <c r="U23" s="174">
        <v>91.083333333333329</v>
      </c>
      <c r="V23" s="188">
        <v>120</v>
      </c>
      <c r="W23" s="552">
        <f t="shared" si="2"/>
        <v>-28.916666666666671</v>
      </c>
      <c r="X23" s="558">
        <f t="shared" si="3"/>
        <v>-0.24097222222222225</v>
      </c>
      <c r="Y23" s="558">
        <f t="shared" si="4"/>
        <v>0.36190476190476195</v>
      </c>
      <c r="Z23" s="123"/>
      <c r="AA23" s="57"/>
      <c r="AB23" s="5"/>
      <c r="AC23" s="5"/>
      <c r="AD23" s="5"/>
      <c r="AE23" s="5"/>
      <c r="AF23" s="5"/>
      <c r="AG23" s="5"/>
    </row>
    <row r="24" spans="1:37" ht="15.75" outlineLevel="2">
      <c r="A24" s="1743" t="s">
        <v>3</v>
      </c>
      <c r="B24" s="9" t="s">
        <v>453</v>
      </c>
      <c r="C24" s="10"/>
      <c r="D24" s="10"/>
      <c r="E24" s="10"/>
      <c r="F24" s="10"/>
      <c r="G24" s="10"/>
      <c r="H24" s="1585"/>
      <c r="I24" s="1586"/>
      <c r="J24" s="1586"/>
      <c r="K24" s="1586"/>
      <c r="L24" s="1586"/>
      <c r="M24" s="1586"/>
      <c r="N24" s="1587"/>
      <c r="O24" s="1205">
        <v>16</v>
      </c>
      <c r="P24" s="426">
        <v>12</v>
      </c>
      <c r="Q24" s="426">
        <v>27</v>
      </c>
      <c r="R24" s="426">
        <v>51</v>
      </c>
      <c r="S24" s="426">
        <v>86</v>
      </c>
      <c r="T24" s="1206">
        <v>43.714285714285715</v>
      </c>
      <c r="U24" s="542">
        <v>34.714285714285715</v>
      </c>
      <c r="V24" s="548">
        <v>90</v>
      </c>
      <c r="W24" s="550">
        <f t="shared" si="2"/>
        <v>-55.285714285714285</v>
      </c>
      <c r="X24" s="556">
        <f t="shared" si="3"/>
        <v>-0.61428571428571432</v>
      </c>
      <c r="Y24" s="556">
        <f t="shared" si="4"/>
        <v>-0.49169435215946844</v>
      </c>
      <c r="Z24" s="19"/>
      <c r="AA24" s="21"/>
      <c r="AB24" s="5"/>
      <c r="AC24" s="5"/>
      <c r="AD24" s="5"/>
      <c r="AE24" s="5"/>
      <c r="AF24" s="5"/>
      <c r="AG24" s="5"/>
    </row>
    <row r="25" spans="1:37" ht="15.75" outlineLevel="2">
      <c r="A25" s="1744"/>
      <c r="B25" s="13" t="s">
        <v>454</v>
      </c>
      <c r="C25" s="14"/>
      <c r="D25" s="14"/>
      <c r="E25" s="14"/>
      <c r="F25" s="14"/>
      <c r="G25" s="14"/>
      <c r="H25" s="1579"/>
      <c r="I25" s="1580"/>
      <c r="J25" s="1580"/>
      <c r="K25" s="1580"/>
      <c r="L25" s="1580"/>
      <c r="M25" s="1580"/>
      <c r="N25" s="1581"/>
      <c r="O25" s="1201">
        <v>57</v>
      </c>
      <c r="P25" s="211">
        <v>76</v>
      </c>
      <c r="Q25" s="211">
        <v>67</v>
      </c>
      <c r="R25" s="211">
        <v>71</v>
      </c>
      <c r="S25" s="211">
        <v>66</v>
      </c>
      <c r="T25" s="1202">
        <v>31.785714285714285</v>
      </c>
      <c r="U25" s="111">
        <v>57.081632653061227</v>
      </c>
      <c r="V25" s="547">
        <v>35</v>
      </c>
      <c r="W25" s="551">
        <f t="shared" si="2"/>
        <v>22.081632653061227</v>
      </c>
      <c r="X25" s="557">
        <f t="shared" si="3"/>
        <v>0.63090379008746367</v>
      </c>
      <c r="Y25" s="557">
        <f t="shared" si="4"/>
        <v>-0.51839826839826841</v>
      </c>
      <c r="Z25" s="122"/>
      <c r="AA25" s="16"/>
      <c r="AB25" s="5"/>
      <c r="AC25" s="5"/>
      <c r="AD25" s="5"/>
      <c r="AE25" s="5"/>
      <c r="AF25" s="5"/>
      <c r="AG25" s="5"/>
    </row>
    <row r="26" spans="1:37" ht="15.75" outlineLevel="2">
      <c r="A26" s="1751"/>
      <c r="B26" s="616" t="s">
        <v>455</v>
      </c>
      <c r="C26" s="22"/>
      <c r="D26" s="22"/>
      <c r="E26" s="22"/>
      <c r="F26" s="22"/>
      <c r="G26" s="22"/>
      <c r="H26" s="1588"/>
      <c r="I26" s="1589"/>
      <c r="J26" s="1589"/>
      <c r="K26" s="1589"/>
      <c r="L26" s="1589"/>
      <c r="M26" s="1589"/>
      <c r="N26" s="1590"/>
      <c r="O26" s="1207">
        <v>75</v>
      </c>
      <c r="P26" s="195">
        <v>91</v>
      </c>
      <c r="Q26" s="195">
        <v>97</v>
      </c>
      <c r="R26" s="195">
        <v>126</v>
      </c>
      <c r="S26" s="195">
        <v>155</v>
      </c>
      <c r="T26" s="1208">
        <v>79.5</v>
      </c>
      <c r="U26" s="174">
        <v>95.795918367346943</v>
      </c>
      <c r="V26" s="189">
        <v>125</v>
      </c>
      <c r="W26" s="552">
        <f t="shared" si="2"/>
        <v>-29.204081632653057</v>
      </c>
      <c r="X26" s="558">
        <f t="shared" si="3"/>
        <v>-0.23363265306122449</v>
      </c>
      <c r="Y26" s="558">
        <f t="shared" si="4"/>
        <v>-0.48709677419354835</v>
      </c>
      <c r="Z26" s="124"/>
      <c r="AA26" s="420"/>
      <c r="AB26" s="5"/>
      <c r="AC26" s="5"/>
      <c r="AD26" s="5"/>
      <c r="AE26" s="5"/>
      <c r="AF26" s="5"/>
      <c r="AG26" s="5"/>
    </row>
    <row r="27" spans="1:37" ht="15.75" outlineLevel="2">
      <c r="A27" s="1744" t="s">
        <v>4</v>
      </c>
      <c r="B27" s="13" t="s">
        <v>453</v>
      </c>
      <c r="C27" s="23"/>
      <c r="D27" s="23"/>
      <c r="E27" s="23"/>
      <c r="F27" s="23"/>
      <c r="G27" s="23"/>
      <c r="H27" s="1591"/>
      <c r="I27" s="1592"/>
      <c r="J27" s="1592"/>
      <c r="K27" s="1592"/>
      <c r="L27" s="1592"/>
      <c r="M27" s="1592"/>
      <c r="N27" s="1593"/>
      <c r="O27" s="1209">
        <v>34</v>
      </c>
      <c r="P27" s="213">
        <v>47</v>
      </c>
      <c r="Q27" s="213">
        <v>81</v>
      </c>
      <c r="R27" s="213">
        <v>79</v>
      </c>
      <c r="S27" s="213">
        <v>69</v>
      </c>
      <c r="T27" s="1210">
        <v>35.428571428571431</v>
      </c>
      <c r="U27" s="542">
        <v>48.05263157894737</v>
      </c>
      <c r="V27" s="549">
        <v>90</v>
      </c>
      <c r="W27" s="550">
        <f t="shared" si="2"/>
        <v>-41.94736842105263</v>
      </c>
      <c r="X27" s="556">
        <f t="shared" si="3"/>
        <v>-0.46608187134502921</v>
      </c>
      <c r="Y27" s="556">
        <f t="shared" si="4"/>
        <v>-0.48654244306418215</v>
      </c>
      <c r="Z27" s="23"/>
      <c r="AA27" s="24"/>
      <c r="AB27" s="5"/>
      <c r="AC27" s="5"/>
      <c r="AD27" s="5"/>
      <c r="AE27" s="5"/>
      <c r="AF27" s="5"/>
      <c r="AG27" s="5"/>
    </row>
    <row r="28" spans="1:37" ht="15.75" outlineLevel="2">
      <c r="A28" s="1744"/>
      <c r="B28" s="13" t="s">
        <v>454</v>
      </c>
      <c r="C28" s="14"/>
      <c r="D28" s="14"/>
      <c r="E28" s="14"/>
      <c r="F28" s="14"/>
      <c r="G28" s="14"/>
      <c r="H28" s="1579"/>
      <c r="I28" s="1580"/>
      <c r="J28" s="1580"/>
      <c r="K28" s="1580"/>
      <c r="L28" s="1580"/>
      <c r="M28" s="1580"/>
      <c r="N28" s="1581"/>
      <c r="O28" s="1201">
        <v>31</v>
      </c>
      <c r="P28" s="211">
        <v>8</v>
      </c>
      <c r="Q28" s="211">
        <v>47</v>
      </c>
      <c r="R28" s="211">
        <v>35</v>
      </c>
      <c r="S28" s="211">
        <v>30</v>
      </c>
      <c r="T28" s="1202">
        <v>17.571428571428573</v>
      </c>
      <c r="U28" s="111">
        <v>24.315789473684209</v>
      </c>
      <c r="V28" s="547">
        <v>15</v>
      </c>
      <c r="W28" s="551">
        <f t="shared" si="2"/>
        <v>9.3157894736842088</v>
      </c>
      <c r="X28" s="557">
        <f t="shared" si="3"/>
        <v>0.6210526315789473</v>
      </c>
      <c r="Y28" s="557">
        <f t="shared" si="4"/>
        <v>-0.41428571428571426</v>
      </c>
      <c r="Z28" s="122"/>
      <c r="AA28" s="16"/>
      <c r="AB28" s="5"/>
      <c r="AC28" s="5"/>
      <c r="AD28" s="5"/>
      <c r="AE28" s="5"/>
      <c r="AF28" s="5"/>
      <c r="AG28" s="5"/>
    </row>
    <row r="29" spans="1:37" ht="16.5" outlineLevel="2" thickBot="1">
      <c r="A29" s="1744"/>
      <c r="B29" s="611" t="s">
        <v>455</v>
      </c>
      <c r="C29" s="17"/>
      <c r="D29" s="17"/>
      <c r="E29" s="17"/>
      <c r="F29" s="17"/>
      <c r="G29" s="17"/>
      <c r="H29" s="1582"/>
      <c r="I29" s="1583"/>
      <c r="J29" s="1583"/>
      <c r="K29" s="1583"/>
      <c r="L29" s="1583"/>
      <c r="M29" s="1583"/>
      <c r="N29" s="1584"/>
      <c r="O29" s="1203">
        <v>68</v>
      </c>
      <c r="P29" s="214">
        <v>58</v>
      </c>
      <c r="Q29" s="214">
        <v>130</v>
      </c>
      <c r="R29" s="214">
        <v>117</v>
      </c>
      <c r="S29" s="214">
        <v>102</v>
      </c>
      <c r="T29" s="1204">
        <v>57</v>
      </c>
      <c r="U29" s="174">
        <v>76.368421052631575</v>
      </c>
      <c r="V29" s="188">
        <v>105</v>
      </c>
      <c r="W29" s="552">
        <f t="shared" si="2"/>
        <v>-28.631578947368425</v>
      </c>
      <c r="X29" s="558">
        <f t="shared" si="3"/>
        <v>-0.27268170426065164</v>
      </c>
      <c r="Y29" s="558">
        <f t="shared" si="4"/>
        <v>-0.44117647058823528</v>
      </c>
      <c r="Z29" s="123"/>
      <c r="AA29" s="57"/>
      <c r="AB29" s="5"/>
      <c r="AC29" s="5"/>
      <c r="AD29" s="5"/>
      <c r="AE29" s="5"/>
      <c r="AF29" s="5"/>
      <c r="AG29" s="5"/>
    </row>
    <row r="30" spans="1:37" ht="15.75" outlineLevel="2">
      <c r="A30" s="220" t="s">
        <v>453</v>
      </c>
      <c r="B30" s="221"/>
      <c r="C30" s="205"/>
      <c r="D30" s="205"/>
      <c r="E30" s="205"/>
      <c r="F30" s="205"/>
      <c r="G30" s="205"/>
      <c r="H30" s="1594"/>
      <c r="I30" s="1595"/>
      <c r="J30" s="1595"/>
      <c r="K30" s="1595"/>
      <c r="L30" s="1595"/>
      <c r="M30" s="1595"/>
      <c r="N30" s="1596"/>
      <c r="O30" s="1211">
        <v>25</v>
      </c>
      <c r="P30" s="545">
        <v>24</v>
      </c>
      <c r="Q30" s="545">
        <v>53</v>
      </c>
      <c r="R30" s="545">
        <v>42</v>
      </c>
      <c r="S30" s="545">
        <v>64</v>
      </c>
      <c r="T30" s="1212">
        <v>45.42307692307692</v>
      </c>
      <c r="U30" s="543">
        <v>41.370689655172413</v>
      </c>
      <c r="V30" s="543">
        <v>90</v>
      </c>
      <c r="W30" s="553">
        <f t="shared" si="2"/>
        <v>-48.629310344827587</v>
      </c>
      <c r="X30" s="559">
        <f t="shared" si="3"/>
        <v>-0.54032567049808433</v>
      </c>
      <c r="Y30" s="559">
        <f t="shared" si="4"/>
        <v>-0.29026442307692313</v>
      </c>
      <c r="Z30" s="205"/>
      <c r="AA30" s="91"/>
      <c r="AB30" s="5"/>
      <c r="AC30" s="5"/>
      <c r="AD30" s="5"/>
      <c r="AE30" s="5"/>
      <c r="AF30" s="5"/>
      <c r="AG30" s="5"/>
    </row>
    <row r="31" spans="1:37" s="640" customFormat="1" ht="15.75" outlineLevel="2">
      <c r="A31" s="25" t="s">
        <v>454</v>
      </c>
      <c r="B31" s="26"/>
      <c r="C31" s="125"/>
      <c r="D31" s="125"/>
      <c r="E31" s="125"/>
      <c r="F31" s="125"/>
      <c r="G31" s="125"/>
      <c r="H31" s="1597"/>
      <c r="I31" s="1598"/>
      <c r="J31" s="1598"/>
      <c r="K31" s="1598"/>
      <c r="L31" s="1598"/>
      <c r="M31" s="1598"/>
      <c r="N31" s="1599"/>
      <c r="O31" s="1213">
        <v>47</v>
      </c>
      <c r="P31" s="108">
        <v>56</v>
      </c>
      <c r="Q31" s="108">
        <v>51</v>
      </c>
      <c r="R31" s="108">
        <v>52</v>
      </c>
      <c r="S31" s="108">
        <v>38</v>
      </c>
      <c r="T31" s="1214">
        <v>30.73076923076923</v>
      </c>
      <c r="U31" s="111">
        <v>45.293103448275865</v>
      </c>
      <c r="V31" s="111">
        <v>27</v>
      </c>
      <c r="W31" s="554">
        <f t="shared" si="2"/>
        <v>18.293103448275865</v>
      </c>
      <c r="X31" s="560">
        <f t="shared" si="3"/>
        <v>0.67752234993614313</v>
      </c>
      <c r="Y31" s="560">
        <f t="shared" si="4"/>
        <v>-0.19129554655870451</v>
      </c>
      <c r="Z31" s="125"/>
      <c r="AA31" s="27"/>
      <c r="AB31" s="5"/>
      <c r="AC31" s="5"/>
      <c r="AD31" s="5"/>
      <c r="AE31" s="5"/>
      <c r="AF31" s="5"/>
      <c r="AG31" s="5"/>
      <c r="AH31" s="633"/>
      <c r="AI31" s="633"/>
      <c r="AJ31" s="633"/>
      <c r="AK31" s="633"/>
    </row>
    <row r="32" spans="1:37" ht="16.5" outlineLevel="2" thickBot="1">
      <c r="A32" s="223" t="s">
        <v>455</v>
      </c>
      <c r="B32" s="616"/>
      <c r="C32" s="224"/>
      <c r="D32" s="224"/>
      <c r="E32" s="224"/>
      <c r="F32" s="224"/>
      <c r="G32" s="224"/>
      <c r="H32" s="1600"/>
      <c r="I32" s="1601"/>
      <c r="J32" s="1601"/>
      <c r="K32" s="1601"/>
      <c r="L32" s="1601"/>
      <c r="M32" s="1601"/>
      <c r="N32" s="1602"/>
      <c r="O32" s="1215">
        <v>75</v>
      </c>
      <c r="P32" s="1216">
        <v>84</v>
      </c>
      <c r="Q32" s="1216">
        <v>107</v>
      </c>
      <c r="R32" s="1216">
        <v>97</v>
      </c>
      <c r="S32" s="1216">
        <v>106</v>
      </c>
      <c r="T32" s="1217">
        <v>80.15384615384616</v>
      </c>
      <c r="U32" s="225">
        <v>90.66379310344827</v>
      </c>
      <c r="V32" s="225">
        <v>117</v>
      </c>
      <c r="W32" s="555">
        <f t="shared" si="2"/>
        <v>-26.33620689655173</v>
      </c>
      <c r="X32" s="561">
        <f t="shared" si="3"/>
        <v>-0.22509578544061304</v>
      </c>
      <c r="Y32" s="561">
        <f t="shared" si="4"/>
        <v>-0.24383164005805513</v>
      </c>
      <c r="Z32" s="226"/>
      <c r="AA32" s="421"/>
      <c r="AB32" s="5"/>
      <c r="AC32" s="5"/>
      <c r="AD32" s="5"/>
      <c r="AE32" s="5"/>
      <c r="AF32" s="5"/>
      <c r="AG32" s="5"/>
    </row>
    <row r="33" spans="1:40" ht="15.75" outlineLevel="2">
      <c r="A33" s="6" t="s">
        <v>456</v>
      </c>
      <c r="B33" s="611"/>
      <c r="C33" s="8"/>
      <c r="D33" s="8"/>
      <c r="E33" s="8"/>
      <c r="F33" s="8"/>
      <c r="G33" s="8"/>
      <c r="H33" s="8"/>
      <c r="I33" s="8"/>
      <c r="J33" s="8"/>
      <c r="K33" s="8"/>
      <c r="L33" s="8"/>
      <c r="M33" s="8"/>
      <c r="N33" s="8"/>
      <c r="O33" s="8"/>
      <c r="P33" s="8"/>
      <c r="Q33" s="8"/>
      <c r="R33" s="8"/>
      <c r="S33" s="8"/>
      <c r="T33" s="8"/>
      <c r="U33" s="8"/>
      <c r="V33" s="8"/>
      <c r="W33" s="131"/>
      <c r="X33" s="8"/>
      <c r="Y33" s="8"/>
      <c r="Z33" s="8"/>
      <c r="AA33" s="8"/>
      <c r="AB33" s="5"/>
      <c r="AC33" s="5"/>
      <c r="AD33" s="5"/>
      <c r="AE33" s="5"/>
      <c r="AF33" s="5"/>
      <c r="AG33" s="5"/>
    </row>
    <row r="34" spans="1:40" ht="15.75" outlineLevel="2">
      <c r="A34" s="6" t="s">
        <v>457</v>
      </c>
      <c r="B34" s="611"/>
      <c r="C34" s="8"/>
      <c r="D34" s="8"/>
      <c r="E34" s="8"/>
      <c r="F34" s="8"/>
      <c r="G34" s="8"/>
      <c r="H34" s="8"/>
      <c r="I34" s="8"/>
      <c r="J34" s="8"/>
      <c r="K34" s="8"/>
      <c r="L34" s="8"/>
      <c r="M34" s="8"/>
      <c r="N34" s="8"/>
      <c r="O34" s="8"/>
      <c r="P34" s="8"/>
      <c r="Q34" s="8"/>
      <c r="R34" s="8"/>
      <c r="S34" s="8"/>
      <c r="T34" s="8"/>
      <c r="U34" s="8"/>
      <c r="V34" s="8"/>
      <c r="W34" s="8"/>
      <c r="X34" s="8"/>
      <c r="Y34" s="8"/>
      <c r="Z34" s="8"/>
      <c r="AA34" s="8"/>
      <c r="AB34" s="28"/>
      <c r="AC34" s="29"/>
      <c r="AD34" s="29"/>
      <c r="AE34" s="29"/>
      <c r="AF34" s="28"/>
      <c r="AG34" s="30"/>
      <c r="AH34" s="31"/>
      <c r="AI34" s="31"/>
      <c r="AJ34" s="31"/>
      <c r="AK34" s="31"/>
    </row>
    <row r="35" spans="1:40" ht="15.75" outlineLevel="2">
      <c r="A35" s="6" t="s">
        <v>458</v>
      </c>
      <c r="B35" s="611"/>
      <c r="C35" s="8"/>
      <c r="D35" s="8"/>
      <c r="E35" s="8"/>
      <c r="F35" s="8"/>
      <c r="G35" s="8"/>
      <c r="H35" s="8"/>
      <c r="I35" s="8"/>
      <c r="J35" s="8"/>
      <c r="K35" s="8"/>
      <c r="L35" s="8"/>
      <c r="M35" s="8"/>
      <c r="N35" s="8"/>
      <c r="O35" s="8"/>
      <c r="P35" s="8"/>
      <c r="Q35" s="8"/>
      <c r="R35" s="8"/>
      <c r="S35" s="8"/>
      <c r="T35" s="8"/>
      <c r="U35" s="8"/>
      <c r="V35" s="8"/>
      <c r="W35" s="8"/>
      <c r="X35" s="8"/>
      <c r="Y35" s="8"/>
      <c r="Z35" s="8"/>
      <c r="AA35" s="8"/>
      <c r="AB35" s="28"/>
      <c r="AC35" s="29"/>
      <c r="AD35" s="29"/>
      <c r="AE35" s="29"/>
      <c r="AF35" s="28"/>
      <c r="AG35" s="30"/>
      <c r="AH35" s="31"/>
      <c r="AI35" s="31"/>
      <c r="AJ35" s="31"/>
      <c r="AK35" s="31"/>
    </row>
    <row r="36" spans="1:40" outlineLevel="1"/>
    <row r="37" spans="1:40" ht="15.6" customHeight="1" outlineLevel="1">
      <c r="A37" s="105" t="s">
        <v>417</v>
      </c>
      <c r="B37" s="105"/>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c r="AA37" s="105"/>
      <c r="AB37" s="105"/>
      <c r="AC37" s="105"/>
      <c r="AD37" s="105"/>
      <c r="AE37" s="105"/>
      <c r="AF37" s="105"/>
      <c r="AG37" s="642"/>
      <c r="AH37" s="5"/>
    </row>
    <row r="38" spans="1:40" ht="15.6" customHeight="1" outlineLevel="2" thickBot="1">
      <c r="A38" s="227" t="s">
        <v>419</v>
      </c>
      <c r="B38" s="6"/>
      <c r="C38" s="105"/>
      <c r="D38" s="105"/>
      <c r="E38" s="105"/>
      <c r="F38" s="105"/>
      <c r="G38" s="105"/>
      <c r="H38" s="105"/>
      <c r="I38" s="105"/>
      <c r="J38" s="105"/>
      <c r="K38" s="227"/>
      <c r="L38" s="105"/>
      <c r="M38" s="105"/>
      <c r="N38" s="105"/>
      <c r="O38" s="105"/>
      <c r="P38" s="105"/>
      <c r="Q38" s="105"/>
      <c r="R38" s="105"/>
      <c r="S38" s="105"/>
      <c r="T38" s="525"/>
      <c r="U38" s="525"/>
      <c r="V38" s="6"/>
      <c r="W38" s="6"/>
      <c r="X38" s="6"/>
      <c r="Y38" s="6"/>
      <c r="Z38" s="6"/>
      <c r="AA38" s="6"/>
      <c r="AB38" s="6"/>
      <c r="AC38" s="6"/>
      <c r="AD38" s="6"/>
      <c r="AE38" s="6"/>
      <c r="AF38" s="6"/>
      <c r="AG38" s="642"/>
      <c r="AH38" s="5"/>
      <c r="AL38" s="643"/>
      <c r="AM38" s="643"/>
    </row>
    <row r="39" spans="1:40" ht="31.5" outlineLevel="2">
      <c r="A39" s="32" t="s">
        <v>0</v>
      </c>
      <c r="C39" s="634">
        <v>45688</v>
      </c>
      <c r="D39" s="634">
        <v>45716</v>
      </c>
      <c r="E39" s="634">
        <v>45747</v>
      </c>
      <c r="F39" s="634">
        <v>45777</v>
      </c>
      <c r="G39" s="634">
        <v>45808</v>
      </c>
      <c r="H39" s="1357">
        <v>45838</v>
      </c>
      <c r="I39" s="1265">
        <v>45869</v>
      </c>
      <c r="J39" s="1265">
        <v>45900</v>
      </c>
      <c r="K39" s="1265">
        <v>45930</v>
      </c>
      <c r="L39" s="1265">
        <v>45961</v>
      </c>
      <c r="M39" s="1265">
        <v>45991</v>
      </c>
      <c r="N39" s="1266">
        <v>46022</v>
      </c>
      <c r="O39" s="634">
        <v>46053</v>
      </c>
      <c r="P39" s="634">
        <v>46081</v>
      </c>
      <c r="Q39" s="634">
        <v>46112</v>
      </c>
      <c r="R39" s="634">
        <v>46142</v>
      </c>
      <c r="S39" s="634">
        <v>46173</v>
      </c>
      <c r="T39" s="635">
        <v>46203</v>
      </c>
      <c r="U39" s="637" t="s">
        <v>1</v>
      </c>
      <c r="V39" s="644" t="s">
        <v>13</v>
      </c>
      <c r="W39" s="639" t="s">
        <v>6</v>
      </c>
      <c r="X39" s="645" t="s">
        <v>15</v>
      </c>
      <c r="Y39" s="638" t="s">
        <v>12</v>
      </c>
      <c r="Z39" s="639" t="s">
        <v>302</v>
      </c>
      <c r="AA39" s="639" t="s">
        <v>62</v>
      </c>
      <c r="AB39" s="637" t="s">
        <v>133</v>
      </c>
      <c r="AC39" s="646" t="s">
        <v>370</v>
      </c>
      <c r="AD39" s="639" t="s">
        <v>7</v>
      </c>
      <c r="AE39" s="641" t="s">
        <v>371</v>
      </c>
      <c r="AF39" s="647" t="s">
        <v>373</v>
      </c>
      <c r="AG39" s="648" t="s">
        <v>11</v>
      </c>
      <c r="AH39" s="649" t="s">
        <v>9</v>
      </c>
      <c r="AI39" s="650" t="s">
        <v>16</v>
      </c>
      <c r="AJ39" s="649" t="s">
        <v>10</v>
      </c>
      <c r="AL39" s="639" t="s">
        <v>160</v>
      </c>
      <c r="AM39" s="639" t="s">
        <v>475</v>
      </c>
    </row>
    <row r="40" spans="1:40" ht="15.75" outlineLevel="2">
      <c r="A40" s="9" t="s">
        <v>2</v>
      </c>
      <c r="B40" s="34"/>
      <c r="C40" s="200">
        <v>5638</v>
      </c>
      <c r="D40" s="200">
        <v>3715</v>
      </c>
      <c r="E40" s="200">
        <v>3194</v>
      </c>
      <c r="F40" s="200">
        <v>3425</v>
      </c>
      <c r="G40" s="200">
        <v>3102</v>
      </c>
      <c r="H40" s="1566">
        <v>3170</v>
      </c>
      <c r="I40" s="1567">
        <v>3939</v>
      </c>
      <c r="J40" s="1567">
        <v>280</v>
      </c>
      <c r="K40" s="1567">
        <v>3415</v>
      </c>
      <c r="L40" s="1567">
        <v>3986</v>
      </c>
      <c r="M40" s="1567">
        <v>5639</v>
      </c>
      <c r="N40" s="1568">
        <v>2160</v>
      </c>
      <c r="O40" s="36">
        <v>4264</v>
      </c>
      <c r="P40" s="36">
        <v>2767</v>
      </c>
      <c r="Q40" s="36">
        <v>2252</v>
      </c>
      <c r="R40" s="36">
        <v>3232</v>
      </c>
      <c r="S40" s="36">
        <v>2300</v>
      </c>
      <c r="T40" s="35">
        <v>2003</v>
      </c>
      <c r="U40" s="180">
        <f>SUM(O40:T40)</f>
        <v>16818</v>
      </c>
      <c r="V40" s="36">
        <v>25967</v>
      </c>
      <c r="W40" s="37">
        <f>+U40-V40</f>
        <v>-9149</v>
      </c>
      <c r="X40" s="117">
        <f>IF(U40=0,"",(U40/V40))</f>
        <v>0.64766819424654365</v>
      </c>
      <c r="Y40" s="190">
        <v>0.95</v>
      </c>
      <c r="Z40" s="38">
        <f>+X40/Y40-1</f>
        <v>-0.31824400605626979</v>
      </c>
      <c r="AA40" s="39">
        <f>IFERROR(T40/S40-1,100%)</f>
        <v>-0.12913043478260866</v>
      </c>
      <c r="AB40" s="112">
        <f>SUM(C40:H40)</f>
        <v>22244</v>
      </c>
      <c r="AC40" s="65">
        <v>0.81086393803156809</v>
      </c>
      <c r="AD40" s="39">
        <f>IF(AB40=0,100%,U40/AB40-1)</f>
        <v>-0.24393094767128209</v>
      </c>
      <c r="AE40" s="39">
        <f>+X40-AC40</f>
        <v>-0.16319574378502444</v>
      </c>
      <c r="AF40" s="210">
        <v>-1537</v>
      </c>
      <c r="AG40" s="81"/>
      <c r="AH40" s="82">
        <f>+U40-AG40</f>
        <v>16818</v>
      </c>
      <c r="AI40" s="83">
        <f>IF(AG40=0,0,U40/AG40)</f>
        <v>0</v>
      </c>
      <c r="AJ40" s="84">
        <f>IF(AG40=0,0,+AI40-Y40)</f>
        <v>0</v>
      </c>
      <c r="AL40" s="37">
        <v>-4222</v>
      </c>
      <c r="AM40" s="37">
        <f>+W40-AL40</f>
        <v>-4927</v>
      </c>
      <c r="AN40" s="651"/>
    </row>
    <row r="41" spans="1:40" ht="15.75" outlineLevel="2">
      <c r="A41" s="40" t="s">
        <v>3</v>
      </c>
      <c r="B41" s="41"/>
      <c r="C41" s="201">
        <v>3500</v>
      </c>
      <c r="D41" s="201">
        <v>1499</v>
      </c>
      <c r="E41" s="201">
        <v>1449</v>
      </c>
      <c r="F41" s="201">
        <v>1381</v>
      </c>
      <c r="G41" s="201">
        <v>1487</v>
      </c>
      <c r="H41" s="1569">
        <v>1697</v>
      </c>
      <c r="I41" s="1570">
        <v>1481</v>
      </c>
      <c r="J41" s="1570">
        <v>0</v>
      </c>
      <c r="K41" s="1570">
        <v>1459</v>
      </c>
      <c r="L41" s="1570">
        <v>2643</v>
      </c>
      <c r="M41" s="1570">
        <v>1798</v>
      </c>
      <c r="N41" s="1571">
        <v>573</v>
      </c>
      <c r="O41" s="43">
        <v>1812</v>
      </c>
      <c r="P41" s="43">
        <v>1149</v>
      </c>
      <c r="Q41" s="43">
        <v>1162</v>
      </c>
      <c r="R41" s="43">
        <v>961</v>
      </c>
      <c r="S41" s="43">
        <v>1536</v>
      </c>
      <c r="T41" s="42">
        <v>1706</v>
      </c>
      <c r="U41" s="181">
        <f>SUM(O41:T41)</f>
        <v>8326</v>
      </c>
      <c r="V41" s="43">
        <v>9878</v>
      </c>
      <c r="W41" s="44">
        <f t="shared" ref="W41:W43" si="5">+U41-V41</f>
        <v>-1552</v>
      </c>
      <c r="X41" s="118">
        <f t="shared" ref="X41:X42" si="6">IF(U41=0,"",(U41/V41))</f>
        <v>0.84288317473172703</v>
      </c>
      <c r="Y41" s="191">
        <v>0.95</v>
      </c>
      <c r="Z41" s="45">
        <f t="shared" ref="Z41:Z43" si="7">+X41/Y41-1</f>
        <v>-0.11275455291397152</v>
      </c>
      <c r="AA41" s="46">
        <f t="shared" ref="AA41:AA43" si="8">IFERROR(T41/S41-1,100%)</f>
        <v>0.11067708333333326</v>
      </c>
      <c r="AB41" s="64">
        <f t="shared" ref="AB41:AB42" si="9">SUM(C41:H41)</f>
        <v>11013</v>
      </c>
      <c r="AC41" s="66">
        <v>0.97727741137675184</v>
      </c>
      <c r="AD41" s="46">
        <f>IF(AB41=0,100%,U41/AB41-1)</f>
        <v>-0.24398438209388906</v>
      </c>
      <c r="AE41" s="46">
        <f>+X41-AC41</f>
        <v>-0.13439423664502481</v>
      </c>
      <c r="AF41" s="43">
        <v>-605</v>
      </c>
      <c r="AG41" s="85"/>
      <c r="AH41" s="86">
        <f>+U41-AG41</f>
        <v>8326</v>
      </c>
      <c r="AI41" s="87">
        <f>IF(AG41=0,0,U41/AG41)</f>
        <v>0</v>
      </c>
      <c r="AJ41" s="88">
        <f>IF(AG41=0,0,+AI41-Y41)</f>
        <v>0</v>
      </c>
      <c r="AL41" s="44">
        <v>-1321</v>
      </c>
      <c r="AM41" s="44">
        <f t="shared" ref="AM41:AM43" si="10">+W41-AL41</f>
        <v>-231</v>
      </c>
      <c r="AN41" s="651"/>
    </row>
    <row r="42" spans="1:40" ht="16.5" outlineLevel="2" thickBot="1">
      <c r="A42" s="40" t="s">
        <v>4</v>
      </c>
      <c r="B42" s="41"/>
      <c r="C42" s="201">
        <v>4358</v>
      </c>
      <c r="D42" s="201">
        <v>1723</v>
      </c>
      <c r="E42" s="201">
        <v>1283</v>
      </c>
      <c r="F42" s="201">
        <v>664</v>
      </c>
      <c r="G42" s="201">
        <v>1971</v>
      </c>
      <c r="H42" s="1572">
        <v>904</v>
      </c>
      <c r="I42" s="1570">
        <v>966</v>
      </c>
      <c r="J42" s="1570">
        <v>620</v>
      </c>
      <c r="K42" s="1570">
        <v>1420</v>
      </c>
      <c r="L42" s="1570">
        <v>2182</v>
      </c>
      <c r="M42" s="1570">
        <v>1950</v>
      </c>
      <c r="N42" s="1571">
        <v>768</v>
      </c>
      <c r="O42" s="43">
        <v>1390</v>
      </c>
      <c r="P42" s="43">
        <v>816</v>
      </c>
      <c r="Q42" s="43">
        <v>877</v>
      </c>
      <c r="R42" s="43">
        <v>1076</v>
      </c>
      <c r="S42" s="43">
        <v>868</v>
      </c>
      <c r="T42" s="42">
        <v>1388</v>
      </c>
      <c r="U42" s="181">
        <f>SUM(O42:T42)</f>
        <v>6415</v>
      </c>
      <c r="V42" s="43">
        <v>11271</v>
      </c>
      <c r="W42" s="44">
        <f t="shared" si="5"/>
        <v>-4856</v>
      </c>
      <c r="X42" s="118">
        <f t="shared" si="6"/>
        <v>0.56915979061307787</v>
      </c>
      <c r="Y42" s="191">
        <v>0.95</v>
      </c>
      <c r="Z42" s="45">
        <f t="shared" si="7"/>
        <v>-0.40088443093360226</v>
      </c>
      <c r="AA42" s="46">
        <f t="shared" si="8"/>
        <v>0.59907834101382496</v>
      </c>
      <c r="AB42" s="64">
        <f t="shared" si="9"/>
        <v>10903</v>
      </c>
      <c r="AC42" s="66">
        <v>0.44674837299890741</v>
      </c>
      <c r="AD42" s="46">
        <f>IF(AB42=0,100%,U42/AB42-1)</f>
        <v>-0.41162982665321468</v>
      </c>
      <c r="AE42" s="46">
        <f>+X42-AC42</f>
        <v>0.12241141761417046</v>
      </c>
      <c r="AF42" s="43">
        <v>-325</v>
      </c>
      <c r="AG42" s="85"/>
      <c r="AH42" s="86">
        <f>+U42-AG42</f>
        <v>6415</v>
      </c>
      <c r="AI42" s="87">
        <f>IF(AG42=0,0,U42/AG42)</f>
        <v>0</v>
      </c>
      <c r="AJ42" s="88">
        <f>IF(AG42=0,0,+AI42-Y42)</f>
        <v>0</v>
      </c>
      <c r="AL42" s="44">
        <v>-4344</v>
      </c>
      <c r="AM42" s="44">
        <f t="shared" si="10"/>
        <v>-512</v>
      </c>
      <c r="AN42" s="651"/>
    </row>
    <row r="43" spans="1:40" ht="16.5" outlineLevel="2" thickBot="1">
      <c r="A43" s="92" t="s">
        <v>5</v>
      </c>
      <c r="B43" s="93"/>
      <c r="C43" s="175">
        <f t="shared" ref="C43:V43" si="11">SUM(C40:C42)</f>
        <v>13496</v>
      </c>
      <c r="D43" s="175">
        <f t="shared" si="11"/>
        <v>6937</v>
      </c>
      <c r="E43" s="175">
        <f t="shared" si="11"/>
        <v>5926</v>
      </c>
      <c r="F43" s="175">
        <f t="shared" si="11"/>
        <v>5470</v>
      </c>
      <c r="G43" s="175">
        <f t="shared" si="11"/>
        <v>6560</v>
      </c>
      <c r="H43" s="1573">
        <f t="shared" si="11"/>
        <v>5771</v>
      </c>
      <c r="I43" s="1574">
        <f t="shared" si="11"/>
        <v>6386</v>
      </c>
      <c r="J43" s="1574">
        <f t="shared" si="11"/>
        <v>900</v>
      </c>
      <c r="K43" s="1574">
        <f t="shared" si="11"/>
        <v>6294</v>
      </c>
      <c r="L43" s="1574">
        <f t="shared" si="11"/>
        <v>8811</v>
      </c>
      <c r="M43" s="1574">
        <f t="shared" si="11"/>
        <v>9387</v>
      </c>
      <c r="N43" s="1575">
        <f t="shared" si="11"/>
        <v>3501</v>
      </c>
      <c r="O43" s="209">
        <f t="shared" si="11"/>
        <v>7466</v>
      </c>
      <c r="P43" s="209">
        <f t="shared" si="11"/>
        <v>4732</v>
      </c>
      <c r="Q43" s="209">
        <f t="shared" ref="Q43:R43" si="12">SUM(Q40:Q42)</f>
        <v>4291</v>
      </c>
      <c r="R43" s="209">
        <f t="shared" si="12"/>
        <v>5269</v>
      </c>
      <c r="S43" s="209">
        <f>SUM(S40:S42)</f>
        <v>4704</v>
      </c>
      <c r="T43" s="115">
        <f t="shared" si="11"/>
        <v>5097</v>
      </c>
      <c r="U43" s="93">
        <f t="shared" si="11"/>
        <v>31559</v>
      </c>
      <c r="V43" s="95">
        <f t="shared" si="11"/>
        <v>47116</v>
      </c>
      <c r="W43" s="96">
        <f t="shared" si="5"/>
        <v>-15557</v>
      </c>
      <c r="X43" s="116">
        <f t="shared" ref="X43" si="13">IF(U43=0,"",(U43/V43))</f>
        <v>0.66981492486628746</v>
      </c>
      <c r="Y43" s="192">
        <v>0.95</v>
      </c>
      <c r="Z43" s="97">
        <f t="shared" si="7"/>
        <v>-0.29493165803548682</v>
      </c>
      <c r="AA43" s="98">
        <f t="shared" si="8"/>
        <v>8.3545918367347038E-2</v>
      </c>
      <c r="AB43" s="94">
        <f>SUM(AB40:AB42)</f>
        <v>44160</v>
      </c>
      <c r="AC43" s="119">
        <v>0.70367876978678545</v>
      </c>
      <c r="AD43" s="98">
        <f>IF(AB43=0,100%,U43/AB43-1)</f>
        <v>-0.28534873188405796</v>
      </c>
      <c r="AE43" s="98">
        <f>+X43-AC43</f>
        <v>-3.3863844920497987E-2</v>
      </c>
      <c r="AF43" s="95">
        <f>SUM(AF40:AF42)</f>
        <v>-2467</v>
      </c>
      <c r="AG43" s="99">
        <f>SUM(AG40:AG42)</f>
        <v>0</v>
      </c>
      <c r="AH43" s="100">
        <f>+U43-AG43</f>
        <v>31559</v>
      </c>
      <c r="AI43" s="101">
        <f>IF(AG43=0,0,U43/AG43)</f>
        <v>0</v>
      </c>
      <c r="AJ43" s="102">
        <f>IF(AG43=0,0,+AI43-Y43)</f>
        <v>0</v>
      </c>
      <c r="AL43" s="96">
        <f>SUM(AL40:AL42)</f>
        <v>-9887</v>
      </c>
      <c r="AM43" s="96">
        <f t="shared" si="10"/>
        <v>-5670</v>
      </c>
      <c r="AN43" s="651"/>
    </row>
    <row r="44" spans="1:40" ht="13.9" customHeight="1" outlineLevel="2">
      <c r="A44" s="6" t="s">
        <v>59</v>
      </c>
      <c r="B44" s="47"/>
      <c r="C44" s="28"/>
      <c r="D44" s="28"/>
      <c r="E44" s="28"/>
      <c r="F44" s="28"/>
      <c r="G44" s="28"/>
      <c r="H44" s="28"/>
      <c r="I44" s="634"/>
      <c r="J44" s="634"/>
      <c r="K44" s="634"/>
      <c r="L44" s="634"/>
      <c r="M44" s="634"/>
      <c r="N44" s="634"/>
      <c r="O44" s="634"/>
      <c r="P44" s="634"/>
      <c r="Q44" s="634"/>
      <c r="R44" s="634"/>
      <c r="S44" s="634"/>
      <c r="V44" s="28"/>
      <c r="W44" s="132">
        <f>+W43/V43</f>
        <v>-0.33018507513371254</v>
      </c>
      <c r="X44" s="132"/>
      <c r="Y44" s="28"/>
      <c r="Z44" s="132"/>
      <c r="AA44" s="28"/>
      <c r="AB44" s="48"/>
      <c r="AC44" s="28"/>
      <c r="AD44" s="48"/>
      <c r="AE44" s="48"/>
      <c r="AF44" s="49"/>
      <c r="AG44" s="50"/>
      <c r="AH44" s="51"/>
    </row>
    <row r="45" spans="1:40" ht="13.5" customHeight="1" outlineLevel="1">
      <c r="AC45" s="642"/>
      <c r="AF45" s="642"/>
      <c r="AG45" s="642"/>
    </row>
    <row r="46" spans="1:40" ht="27" customHeight="1" outlineLevel="1">
      <c r="A46" s="1220" t="s">
        <v>423</v>
      </c>
      <c r="B46" s="1221"/>
      <c r="C46" s="1221"/>
      <c r="D46" s="1221"/>
      <c r="E46" s="1221"/>
      <c r="F46" s="1221"/>
      <c r="G46" s="1221"/>
      <c r="H46" s="1221"/>
      <c r="I46" s="1221"/>
      <c r="J46" s="1221"/>
      <c r="K46" s="1221"/>
      <c r="L46" s="1221"/>
      <c r="M46" s="1221"/>
      <c r="N46" s="1221"/>
      <c r="O46" s="1221"/>
      <c r="P46" s="1221"/>
      <c r="Q46" s="1221"/>
      <c r="R46" s="1221"/>
      <c r="S46" s="1221"/>
      <c r="T46" s="1221"/>
      <c r="U46" s="1221"/>
      <c r="V46" s="1221"/>
      <c r="W46" s="1221"/>
      <c r="X46" s="1221"/>
      <c r="Y46" s="1221"/>
      <c r="Z46" s="5"/>
      <c r="AA46" s="5"/>
      <c r="AB46" s="5"/>
      <c r="AC46" s="5"/>
      <c r="AD46" s="5"/>
      <c r="AE46" s="5"/>
      <c r="AF46" s="5"/>
      <c r="AG46" s="5"/>
    </row>
    <row r="47" spans="1:40" ht="13.9" customHeight="1" outlineLevel="2">
      <c r="A47" s="227" t="s">
        <v>422</v>
      </c>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row>
    <row r="48" spans="1:40" ht="13.9" customHeight="1" outlineLevel="2">
      <c r="A48" s="5" t="s">
        <v>36</v>
      </c>
      <c r="B48" s="5"/>
      <c r="C48" s="6"/>
      <c r="D48" s="6"/>
      <c r="E48" s="6"/>
      <c r="F48" s="6"/>
      <c r="G48" s="6"/>
      <c r="H48" s="6"/>
      <c r="I48" s="6"/>
      <c r="J48" s="6"/>
      <c r="K48" s="6"/>
      <c r="L48" s="6"/>
      <c r="M48" s="6"/>
      <c r="N48" s="6"/>
      <c r="O48" s="6"/>
      <c r="P48" s="6"/>
      <c r="Q48" s="6"/>
      <c r="R48" s="6"/>
      <c r="S48" s="6"/>
      <c r="T48" s="6"/>
      <c r="U48" s="5"/>
      <c r="V48" s="5"/>
      <c r="W48" s="5"/>
      <c r="X48" s="5"/>
      <c r="Y48" s="5"/>
      <c r="Z48" s="5"/>
      <c r="AA48" s="5"/>
      <c r="AB48" s="5"/>
      <c r="AC48" s="5"/>
      <c r="AD48" s="5"/>
      <c r="AE48" s="5"/>
      <c r="AF48" s="5"/>
      <c r="AG48" s="5"/>
    </row>
    <row r="49" spans="1:37" ht="13.9" customHeight="1" outlineLevel="2" thickBot="1">
      <c r="A49" s="7" t="s">
        <v>421</v>
      </c>
      <c r="B49" s="33"/>
      <c r="C49" s="6"/>
      <c r="D49" s="6"/>
      <c r="E49" s="6"/>
      <c r="F49" s="6"/>
      <c r="G49" s="6"/>
      <c r="H49" s="6"/>
      <c r="I49" s="6"/>
      <c r="J49" s="6"/>
      <c r="K49" s="6"/>
      <c r="L49" s="6"/>
      <c r="M49" s="6"/>
      <c r="N49" s="6"/>
      <c r="O49" s="6"/>
      <c r="P49" s="6"/>
      <c r="Q49" s="6"/>
      <c r="R49" s="6"/>
      <c r="S49" s="6"/>
      <c r="T49" s="525"/>
      <c r="U49" s="525"/>
      <c r="V49" s="33"/>
      <c r="W49" s="33"/>
      <c r="X49" s="33"/>
      <c r="Y49" s="33"/>
      <c r="Z49" s="5"/>
      <c r="AA49" s="5"/>
      <c r="AB49" s="5"/>
      <c r="AC49" s="5"/>
      <c r="AD49" s="5"/>
      <c r="AE49" s="5"/>
      <c r="AF49" s="5"/>
      <c r="AG49" s="5"/>
    </row>
    <row r="50" spans="1:37" ht="31.5" outlineLevel="2">
      <c r="A50" s="32" t="s">
        <v>0</v>
      </c>
      <c r="C50" s="634">
        <v>45688</v>
      </c>
      <c r="D50" s="634">
        <v>45716</v>
      </c>
      <c r="E50" s="634">
        <v>45747</v>
      </c>
      <c r="F50" s="634">
        <v>45777</v>
      </c>
      <c r="G50" s="634">
        <v>45808</v>
      </c>
      <c r="H50" s="1357">
        <v>45838</v>
      </c>
      <c r="I50" s="1265">
        <v>45869</v>
      </c>
      <c r="J50" s="1265">
        <v>45900</v>
      </c>
      <c r="K50" s="1265">
        <v>45930</v>
      </c>
      <c r="L50" s="1265">
        <v>45961</v>
      </c>
      <c r="M50" s="1265">
        <v>45991</v>
      </c>
      <c r="N50" s="1266">
        <v>46022</v>
      </c>
      <c r="O50" s="886">
        <v>46053</v>
      </c>
      <c r="P50" s="887">
        <v>46081</v>
      </c>
      <c r="Q50" s="887">
        <v>46112</v>
      </c>
      <c r="R50" s="887">
        <v>46142</v>
      </c>
      <c r="S50" s="887">
        <v>46173</v>
      </c>
      <c r="T50" s="878">
        <v>46203</v>
      </c>
      <c r="U50" s="637" t="s">
        <v>1</v>
      </c>
      <c r="V50" s="638" t="s">
        <v>12</v>
      </c>
      <c r="W50" s="639" t="s">
        <v>10</v>
      </c>
      <c r="X50" s="637" t="s">
        <v>335</v>
      </c>
      <c r="Y50" s="639" t="s">
        <v>368</v>
      </c>
      <c r="AA50" s="5"/>
      <c r="AB50" s="5"/>
      <c r="AC50" s="5"/>
      <c r="AD50" s="5"/>
      <c r="AE50" s="5"/>
      <c r="AF50" s="5"/>
      <c r="AG50" s="5"/>
    </row>
    <row r="51" spans="1:37" ht="15.75" outlineLevel="3">
      <c r="A51" s="1745" t="s">
        <v>2</v>
      </c>
      <c r="B51" s="652" t="s">
        <v>285</v>
      </c>
      <c r="C51" s="206">
        <f t="shared" ref="C51:T51" si="14">+C40</f>
        <v>5638</v>
      </c>
      <c r="D51" s="206">
        <f t="shared" si="14"/>
        <v>3715</v>
      </c>
      <c r="E51" s="206">
        <f t="shared" si="14"/>
        <v>3194</v>
      </c>
      <c r="F51" s="206">
        <f t="shared" si="14"/>
        <v>3425</v>
      </c>
      <c r="G51" s="206">
        <f t="shared" si="14"/>
        <v>3102</v>
      </c>
      <c r="H51" s="1613">
        <f t="shared" si="14"/>
        <v>3170</v>
      </c>
      <c r="I51" s="1603">
        <f t="shared" si="14"/>
        <v>3939</v>
      </c>
      <c r="J51" s="1603">
        <f t="shared" si="14"/>
        <v>280</v>
      </c>
      <c r="K51" s="1603">
        <f t="shared" si="14"/>
        <v>3415</v>
      </c>
      <c r="L51" s="1603">
        <f t="shared" si="14"/>
        <v>3986</v>
      </c>
      <c r="M51" s="1603">
        <f t="shared" si="14"/>
        <v>5639</v>
      </c>
      <c r="N51" s="1614">
        <f t="shared" si="14"/>
        <v>2160</v>
      </c>
      <c r="O51" s="1635">
        <f t="shared" si="14"/>
        <v>4264</v>
      </c>
      <c r="P51" s="210">
        <f t="shared" si="14"/>
        <v>2767</v>
      </c>
      <c r="Q51" s="210">
        <f t="shared" ref="Q51:S51" si="15">+Q40</f>
        <v>2252</v>
      </c>
      <c r="R51" s="210">
        <f t="shared" si="15"/>
        <v>3232</v>
      </c>
      <c r="S51" s="210">
        <f t="shared" si="15"/>
        <v>2300</v>
      </c>
      <c r="T51" s="1636">
        <f t="shared" si="14"/>
        <v>2003</v>
      </c>
      <c r="U51" s="182">
        <f>SUM(O51:T51)</f>
        <v>16818</v>
      </c>
      <c r="V51" s="52"/>
      <c r="W51" s="53"/>
      <c r="X51" s="68">
        <v>41663</v>
      </c>
      <c r="Y51" s="54"/>
      <c r="AA51" s="5"/>
      <c r="AB51" s="5"/>
      <c r="AC51" s="5"/>
      <c r="AD51" s="5"/>
      <c r="AE51" s="5"/>
      <c r="AF51" s="5"/>
      <c r="AG51" s="5"/>
    </row>
    <row r="52" spans="1:37" ht="15.75" outlineLevel="3">
      <c r="A52" s="1746"/>
      <c r="B52" s="653" t="s">
        <v>283</v>
      </c>
      <c r="C52" s="122">
        <v>0</v>
      </c>
      <c r="D52" s="122">
        <v>0</v>
      </c>
      <c r="E52" s="122">
        <v>0</v>
      </c>
      <c r="F52" s="122">
        <v>0</v>
      </c>
      <c r="G52" s="122">
        <v>5</v>
      </c>
      <c r="H52" s="1615">
        <v>0</v>
      </c>
      <c r="I52" s="1604">
        <v>0</v>
      </c>
      <c r="J52" s="1604">
        <v>0</v>
      </c>
      <c r="K52" s="1604">
        <v>16</v>
      </c>
      <c r="L52" s="1604">
        <v>0</v>
      </c>
      <c r="M52" s="1604">
        <v>1</v>
      </c>
      <c r="N52" s="1616">
        <v>0</v>
      </c>
      <c r="O52" s="1201">
        <v>0</v>
      </c>
      <c r="P52" s="211">
        <v>0</v>
      </c>
      <c r="Q52" s="211">
        <v>0</v>
      </c>
      <c r="R52" s="211">
        <v>0</v>
      </c>
      <c r="S52" s="211">
        <v>0</v>
      </c>
      <c r="T52" s="1202">
        <v>0</v>
      </c>
      <c r="U52" s="108">
        <f>SUM(O52:T52)</f>
        <v>0</v>
      </c>
      <c r="V52" s="55"/>
      <c r="W52" s="56"/>
      <c r="X52" s="69">
        <v>22</v>
      </c>
      <c r="Y52" s="57"/>
      <c r="AA52" s="5"/>
      <c r="AB52" s="5"/>
      <c r="AC52" s="5"/>
      <c r="AD52" s="5"/>
      <c r="AE52" s="5"/>
      <c r="AF52" s="5"/>
      <c r="AG52" s="5"/>
    </row>
    <row r="53" spans="1:37" ht="15.75" outlineLevel="3">
      <c r="A53" s="1746"/>
      <c r="B53" s="654" t="s">
        <v>228</v>
      </c>
      <c r="C53" s="207">
        <f t="shared" ref="C53:N53" si="16">IF(C51=0,0,C52/C51)</f>
        <v>0</v>
      </c>
      <c r="D53" s="207">
        <f t="shared" si="16"/>
        <v>0</v>
      </c>
      <c r="E53" s="207">
        <f t="shared" si="16"/>
        <v>0</v>
      </c>
      <c r="F53" s="207">
        <f t="shared" si="16"/>
        <v>0</v>
      </c>
      <c r="G53" s="207">
        <f t="shared" si="16"/>
        <v>1.6118633139909735E-3</v>
      </c>
      <c r="H53" s="1447">
        <f t="shared" si="16"/>
        <v>0</v>
      </c>
      <c r="I53" s="1605">
        <f t="shared" si="16"/>
        <v>0</v>
      </c>
      <c r="J53" s="1605">
        <f t="shared" si="16"/>
        <v>0</v>
      </c>
      <c r="K53" s="1605">
        <f t="shared" si="16"/>
        <v>4.685212298682284E-3</v>
      </c>
      <c r="L53" s="1605">
        <f t="shared" si="16"/>
        <v>0</v>
      </c>
      <c r="M53" s="1605">
        <f t="shared" si="16"/>
        <v>1.7733640716439085E-4</v>
      </c>
      <c r="N53" s="1617">
        <f t="shared" si="16"/>
        <v>0</v>
      </c>
      <c r="O53" s="1637">
        <f t="shared" ref="O53:T53" si="17">IF(O51=0,0,O52/O51)</f>
        <v>0</v>
      </c>
      <c r="P53" s="212">
        <f t="shared" ref="P53:S53" si="18">IF(P51=0,0,P52/P51)</f>
        <v>0</v>
      </c>
      <c r="Q53" s="212">
        <f t="shared" si="18"/>
        <v>0</v>
      </c>
      <c r="R53" s="212">
        <f t="shared" si="18"/>
        <v>0</v>
      </c>
      <c r="S53" s="212">
        <f t="shared" si="18"/>
        <v>0</v>
      </c>
      <c r="T53" s="1638">
        <f t="shared" si="17"/>
        <v>0</v>
      </c>
      <c r="U53" s="109">
        <f>+U52/U51</f>
        <v>0</v>
      </c>
      <c r="V53" s="55">
        <v>5.0000000000000001E-3</v>
      </c>
      <c r="W53" s="56">
        <f>U53-V53</f>
        <v>-5.0000000000000001E-3</v>
      </c>
      <c r="X53" s="106">
        <v>5.2804646808919187E-4</v>
      </c>
      <c r="Y53" s="57">
        <f>IFERROR((U53/X53)-1,0)</f>
        <v>-1</v>
      </c>
      <c r="AA53" s="5"/>
      <c r="AB53" s="5"/>
      <c r="AC53" s="5"/>
      <c r="AD53" s="5"/>
      <c r="AE53" s="5"/>
      <c r="AF53" s="5"/>
      <c r="AG53" s="5"/>
    </row>
    <row r="54" spans="1:37" ht="15.75" outlineLevel="3">
      <c r="A54" s="1747"/>
      <c r="B54" s="655" t="s">
        <v>36</v>
      </c>
      <c r="C54" s="124">
        <v>0</v>
      </c>
      <c r="D54" s="124">
        <v>0</v>
      </c>
      <c r="E54" s="124">
        <v>0</v>
      </c>
      <c r="F54" s="124">
        <v>0</v>
      </c>
      <c r="G54" s="124">
        <v>1</v>
      </c>
      <c r="H54" s="1618">
        <v>0</v>
      </c>
      <c r="I54" s="1606">
        <v>0</v>
      </c>
      <c r="J54" s="1606">
        <v>0</v>
      </c>
      <c r="K54" s="1606">
        <v>2</v>
      </c>
      <c r="L54" s="1606">
        <v>0</v>
      </c>
      <c r="M54" s="1606">
        <v>2</v>
      </c>
      <c r="N54" s="1619">
        <v>0</v>
      </c>
      <c r="O54" s="1207">
        <v>0</v>
      </c>
      <c r="P54" s="195">
        <v>0</v>
      </c>
      <c r="Q54" s="195">
        <v>0</v>
      </c>
      <c r="R54" s="195">
        <v>0</v>
      </c>
      <c r="S54" s="195">
        <v>0</v>
      </c>
      <c r="T54" s="1208">
        <v>0</v>
      </c>
      <c r="U54" s="110">
        <f>SUM(O54:T54)</f>
        <v>0</v>
      </c>
      <c r="V54" s="58"/>
      <c r="W54" s="59"/>
      <c r="X54" s="70">
        <v>5</v>
      </c>
      <c r="Y54" s="656">
        <f>+U54-X54</f>
        <v>-5</v>
      </c>
      <c r="AA54" s="5"/>
      <c r="AB54" s="5"/>
      <c r="AC54" s="5"/>
      <c r="AD54" s="5"/>
      <c r="AE54" s="5"/>
      <c r="AF54" s="5"/>
      <c r="AG54" s="5"/>
    </row>
    <row r="55" spans="1:37" ht="15.75" outlineLevel="3">
      <c r="A55" s="1748" t="s">
        <v>3</v>
      </c>
      <c r="B55" s="657" t="s">
        <v>285</v>
      </c>
      <c r="C55" s="208">
        <f t="shared" ref="C55:T55" si="19">+C41</f>
        <v>3500</v>
      </c>
      <c r="D55" s="208">
        <f t="shared" si="19"/>
        <v>1499</v>
      </c>
      <c r="E55" s="208">
        <f t="shared" si="19"/>
        <v>1449</v>
      </c>
      <c r="F55" s="208">
        <f t="shared" si="19"/>
        <v>1381</v>
      </c>
      <c r="G55" s="208">
        <f t="shared" si="19"/>
        <v>1487</v>
      </c>
      <c r="H55" s="1620">
        <f t="shared" si="19"/>
        <v>1697</v>
      </c>
      <c r="I55" s="1607">
        <f t="shared" si="19"/>
        <v>1481</v>
      </c>
      <c r="J55" s="1607">
        <f t="shared" si="19"/>
        <v>0</v>
      </c>
      <c r="K55" s="1607">
        <f t="shared" si="19"/>
        <v>1459</v>
      </c>
      <c r="L55" s="1607">
        <f t="shared" si="19"/>
        <v>2643</v>
      </c>
      <c r="M55" s="1607">
        <f t="shared" si="19"/>
        <v>1798</v>
      </c>
      <c r="N55" s="1621">
        <f t="shared" si="19"/>
        <v>573</v>
      </c>
      <c r="O55" s="1209">
        <f t="shared" si="19"/>
        <v>1812</v>
      </c>
      <c r="P55" s="213">
        <f t="shared" si="19"/>
        <v>1149</v>
      </c>
      <c r="Q55" s="213">
        <f t="shared" ref="Q55:S55" si="20">+Q41</f>
        <v>1162</v>
      </c>
      <c r="R55" s="213">
        <f t="shared" si="20"/>
        <v>961</v>
      </c>
      <c r="S55" s="213">
        <f t="shared" si="20"/>
        <v>1536</v>
      </c>
      <c r="T55" s="1210">
        <f t="shared" si="19"/>
        <v>1706</v>
      </c>
      <c r="U55" s="182">
        <f>SUM(O55:T55)</f>
        <v>8326</v>
      </c>
      <c r="V55" s="60"/>
      <c r="W55" s="657"/>
      <c r="X55" s="71">
        <v>18967</v>
      </c>
      <c r="Y55" s="652"/>
      <c r="AA55" s="5"/>
      <c r="AB55" s="5"/>
      <c r="AC55" s="5"/>
      <c r="AD55" s="5"/>
      <c r="AE55" s="5"/>
      <c r="AF55" s="5"/>
      <c r="AG55" s="5"/>
    </row>
    <row r="56" spans="1:37" ht="15.75" outlineLevel="3">
      <c r="A56" s="1746"/>
      <c r="B56" s="653" t="s">
        <v>283</v>
      </c>
      <c r="C56" s="122">
        <v>0</v>
      </c>
      <c r="D56" s="122">
        <v>0</v>
      </c>
      <c r="E56" s="122">
        <v>0</v>
      </c>
      <c r="F56" s="122">
        <v>0</v>
      </c>
      <c r="G56" s="122">
        <v>0</v>
      </c>
      <c r="H56" s="1615">
        <v>0</v>
      </c>
      <c r="I56" s="1604">
        <v>0</v>
      </c>
      <c r="J56" s="1604">
        <v>0</v>
      </c>
      <c r="K56" s="1604">
        <v>0</v>
      </c>
      <c r="L56" s="1604">
        <v>0</v>
      </c>
      <c r="M56" s="1604">
        <v>0</v>
      </c>
      <c r="N56" s="1616">
        <v>0</v>
      </c>
      <c r="O56" s="1201">
        <v>0</v>
      </c>
      <c r="P56" s="211">
        <v>0</v>
      </c>
      <c r="Q56" s="211">
        <v>0</v>
      </c>
      <c r="R56" s="211">
        <v>40</v>
      </c>
      <c r="S56" s="211">
        <v>0</v>
      </c>
      <c r="T56" s="1202">
        <v>0</v>
      </c>
      <c r="U56" s="108">
        <f>SUM(O56:T56)</f>
        <v>40</v>
      </c>
      <c r="V56" s="56"/>
      <c r="W56" s="653"/>
      <c r="X56" s="69">
        <v>0</v>
      </c>
      <c r="Y56" s="653"/>
      <c r="AA56" s="5"/>
      <c r="AB56" s="5"/>
      <c r="AC56" s="5"/>
      <c r="AD56" s="5"/>
      <c r="AE56" s="5"/>
      <c r="AF56" s="5"/>
      <c r="AG56" s="5"/>
    </row>
    <row r="57" spans="1:37" ht="15.75" outlineLevel="3">
      <c r="A57" s="1746"/>
      <c r="B57" s="654" t="s">
        <v>228</v>
      </c>
      <c r="C57" s="207">
        <f t="shared" ref="C57:N57" si="21">IF(C55=0,0,C56/C55)</f>
        <v>0</v>
      </c>
      <c r="D57" s="207">
        <f t="shared" si="21"/>
        <v>0</v>
      </c>
      <c r="E57" s="207">
        <f t="shared" si="21"/>
        <v>0</v>
      </c>
      <c r="F57" s="207">
        <f t="shared" si="21"/>
        <v>0</v>
      </c>
      <c r="G57" s="207">
        <f t="shared" si="21"/>
        <v>0</v>
      </c>
      <c r="H57" s="1447">
        <f t="shared" si="21"/>
        <v>0</v>
      </c>
      <c r="I57" s="1605">
        <f t="shared" si="21"/>
        <v>0</v>
      </c>
      <c r="J57" s="1605">
        <f t="shared" si="21"/>
        <v>0</v>
      </c>
      <c r="K57" s="1605">
        <f t="shared" si="21"/>
        <v>0</v>
      </c>
      <c r="L57" s="1605">
        <f t="shared" si="21"/>
        <v>0</v>
      </c>
      <c r="M57" s="1605">
        <f t="shared" si="21"/>
        <v>0</v>
      </c>
      <c r="N57" s="1617">
        <f t="shared" si="21"/>
        <v>0</v>
      </c>
      <c r="O57" s="1637">
        <f t="shared" ref="O57:T57" si="22">IF(O55=0,0,O56/O55)</f>
        <v>0</v>
      </c>
      <c r="P57" s="212">
        <f t="shared" ref="P57:S57" si="23">IF(P55=0,0,P56/P55)</f>
        <v>0</v>
      </c>
      <c r="Q57" s="212">
        <f t="shared" si="23"/>
        <v>0</v>
      </c>
      <c r="R57" s="212">
        <f t="shared" si="23"/>
        <v>4.1623309053069719E-2</v>
      </c>
      <c r="S57" s="212">
        <f t="shared" si="23"/>
        <v>0</v>
      </c>
      <c r="T57" s="1638">
        <f t="shared" si="22"/>
        <v>0</v>
      </c>
      <c r="U57" s="109">
        <f>+U56/U55</f>
        <v>4.8042277203939471E-3</v>
      </c>
      <c r="V57" s="55">
        <v>5.0000000000000001E-3</v>
      </c>
      <c r="W57" s="56">
        <f>U57-V57</f>
        <v>-1.9577227960605303E-4</v>
      </c>
      <c r="X57" s="106">
        <v>0</v>
      </c>
      <c r="Y57" s="57">
        <f>IFERROR((U57/X57)-1,0)</f>
        <v>0</v>
      </c>
      <c r="AA57" s="5"/>
      <c r="AB57" s="5"/>
      <c r="AC57" s="5"/>
      <c r="AD57" s="5"/>
      <c r="AE57" s="5"/>
      <c r="AF57" s="5"/>
      <c r="AG57" s="5"/>
    </row>
    <row r="58" spans="1:37" ht="15.75" outlineLevel="3">
      <c r="A58" s="1749"/>
      <c r="B58" s="658" t="s">
        <v>36</v>
      </c>
      <c r="C58" s="123">
        <v>0</v>
      </c>
      <c r="D58" s="123">
        <v>0</v>
      </c>
      <c r="E58" s="123">
        <v>0</v>
      </c>
      <c r="F58" s="123">
        <v>0</v>
      </c>
      <c r="G58" s="123">
        <v>0</v>
      </c>
      <c r="H58" s="1622">
        <v>0</v>
      </c>
      <c r="I58" s="1608">
        <v>0</v>
      </c>
      <c r="J58" s="1608">
        <v>0</v>
      </c>
      <c r="K58" s="1608">
        <v>0</v>
      </c>
      <c r="L58" s="1608">
        <v>0</v>
      </c>
      <c r="M58" s="1608">
        <v>0</v>
      </c>
      <c r="N58" s="1623">
        <v>0</v>
      </c>
      <c r="O58" s="1203">
        <v>0</v>
      </c>
      <c r="P58" s="214">
        <v>0</v>
      </c>
      <c r="Q58" s="214">
        <v>0</v>
      </c>
      <c r="R58" s="214">
        <v>1</v>
      </c>
      <c r="S58" s="214">
        <v>0</v>
      </c>
      <c r="T58" s="1204">
        <v>0</v>
      </c>
      <c r="U58" s="110">
        <f>SUM(O58:T58)</f>
        <v>1</v>
      </c>
      <c r="V58" s="61"/>
      <c r="W58" s="656"/>
      <c r="X58" s="72">
        <v>0</v>
      </c>
      <c r="Y58" s="656">
        <f>+U58-X58</f>
        <v>1</v>
      </c>
      <c r="AA58" s="5"/>
      <c r="AB58" s="5"/>
      <c r="AC58" s="5"/>
      <c r="AD58" s="5"/>
      <c r="AE58" s="5"/>
      <c r="AF58" s="5"/>
      <c r="AG58" s="5"/>
    </row>
    <row r="59" spans="1:37" ht="15.75" outlineLevel="3">
      <c r="A59" s="1745" t="s">
        <v>4</v>
      </c>
      <c r="B59" s="652" t="s">
        <v>285</v>
      </c>
      <c r="C59" s="206">
        <f t="shared" ref="C59:T59" si="24">+C42</f>
        <v>4358</v>
      </c>
      <c r="D59" s="206">
        <f t="shared" si="24"/>
        <v>1723</v>
      </c>
      <c r="E59" s="206">
        <f t="shared" si="24"/>
        <v>1283</v>
      </c>
      <c r="F59" s="206">
        <f t="shared" si="24"/>
        <v>664</v>
      </c>
      <c r="G59" s="206">
        <f t="shared" si="24"/>
        <v>1971</v>
      </c>
      <c r="H59" s="1613">
        <f t="shared" si="24"/>
        <v>904</v>
      </c>
      <c r="I59" s="1603">
        <f t="shared" si="24"/>
        <v>966</v>
      </c>
      <c r="J59" s="1603">
        <f t="shared" si="24"/>
        <v>620</v>
      </c>
      <c r="K59" s="1603">
        <f t="shared" si="24"/>
        <v>1420</v>
      </c>
      <c r="L59" s="1603">
        <f t="shared" si="24"/>
        <v>2182</v>
      </c>
      <c r="M59" s="1603">
        <f t="shared" si="24"/>
        <v>1950</v>
      </c>
      <c r="N59" s="1614">
        <f t="shared" si="24"/>
        <v>768</v>
      </c>
      <c r="O59" s="1635">
        <f t="shared" si="24"/>
        <v>1390</v>
      </c>
      <c r="P59" s="210">
        <f t="shared" si="24"/>
        <v>816</v>
      </c>
      <c r="Q59" s="210">
        <f t="shared" ref="Q59:S59" si="25">+Q42</f>
        <v>877</v>
      </c>
      <c r="R59" s="210">
        <f t="shared" si="25"/>
        <v>1076</v>
      </c>
      <c r="S59" s="210">
        <f t="shared" si="25"/>
        <v>868</v>
      </c>
      <c r="T59" s="1636">
        <f t="shared" si="24"/>
        <v>1388</v>
      </c>
      <c r="U59" s="182">
        <f>SUM(O59:T59)</f>
        <v>6415</v>
      </c>
      <c r="V59" s="53"/>
      <c r="W59" s="652"/>
      <c r="X59" s="68">
        <v>18809</v>
      </c>
      <c r="Y59" s="652"/>
      <c r="AA59" s="5"/>
      <c r="AB59" s="5"/>
      <c r="AC59" s="5"/>
      <c r="AD59" s="5"/>
      <c r="AE59" s="5"/>
      <c r="AF59" s="5"/>
      <c r="AG59" s="5"/>
    </row>
    <row r="60" spans="1:37" ht="15.75" outlineLevel="3">
      <c r="A60" s="1746"/>
      <c r="B60" s="653" t="s">
        <v>283</v>
      </c>
      <c r="C60" s="122">
        <v>1</v>
      </c>
      <c r="D60" s="122">
        <v>1</v>
      </c>
      <c r="E60" s="122">
        <v>0</v>
      </c>
      <c r="F60" s="122">
        <v>0</v>
      </c>
      <c r="G60" s="122">
        <v>3</v>
      </c>
      <c r="H60" s="1615">
        <v>0</v>
      </c>
      <c r="I60" s="1604">
        <v>0</v>
      </c>
      <c r="J60" s="1604">
        <v>0</v>
      </c>
      <c r="K60" s="1604">
        <v>0</v>
      </c>
      <c r="L60" s="1604">
        <v>0</v>
      </c>
      <c r="M60" s="1604">
        <v>9</v>
      </c>
      <c r="N60" s="1616">
        <v>0</v>
      </c>
      <c r="O60" s="1201">
        <v>0</v>
      </c>
      <c r="P60" s="211">
        <v>1</v>
      </c>
      <c r="Q60" s="211">
        <v>0</v>
      </c>
      <c r="R60" s="211">
        <v>0</v>
      </c>
      <c r="S60" s="211">
        <v>0</v>
      </c>
      <c r="T60" s="1202">
        <v>0</v>
      </c>
      <c r="U60" s="108">
        <f>SUM(O60:T60)</f>
        <v>1</v>
      </c>
      <c r="V60" s="56"/>
      <c r="W60" s="653"/>
      <c r="X60" s="69">
        <v>14</v>
      </c>
      <c r="Y60" s="653"/>
      <c r="AA60" s="5"/>
      <c r="AB60" s="5"/>
      <c r="AC60" s="5"/>
      <c r="AD60" s="5"/>
      <c r="AE60" s="5"/>
      <c r="AF60" s="5"/>
      <c r="AG60" s="5"/>
    </row>
    <row r="61" spans="1:37" ht="15.75" outlineLevel="3">
      <c r="A61" s="1746"/>
      <c r="B61" s="654" t="s">
        <v>228</v>
      </c>
      <c r="C61" s="207">
        <f t="shared" ref="C61:N61" si="26">IF(C59=0,0,C60/C59)</f>
        <v>2.2946305644791189E-4</v>
      </c>
      <c r="D61" s="207">
        <f t="shared" si="26"/>
        <v>5.8038305281485781E-4</v>
      </c>
      <c r="E61" s="207">
        <f t="shared" si="26"/>
        <v>0</v>
      </c>
      <c r="F61" s="207">
        <f t="shared" si="26"/>
        <v>0</v>
      </c>
      <c r="G61" s="207">
        <f t="shared" si="26"/>
        <v>1.5220700152207001E-3</v>
      </c>
      <c r="H61" s="1447">
        <f t="shared" si="26"/>
        <v>0</v>
      </c>
      <c r="I61" s="1605">
        <f t="shared" si="26"/>
        <v>0</v>
      </c>
      <c r="J61" s="1605">
        <f t="shared" si="26"/>
        <v>0</v>
      </c>
      <c r="K61" s="1605">
        <f t="shared" si="26"/>
        <v>0</v>
      </c>
      <c r="L61" s="1605">
        <f t="shared" si="26"/>
        <v>0</v>
      </c>
      <c r="M61" s="1605">
        <f t="shared" si="26"/>
        <v>4.6153846153846158E-3</v>
      </c>
      <c r="N61" s="1617">
        <f t="shared" si="26"/>
        <v>0</v>
      </c>
      <c r="O61" s="1637">
        <f t="shared" ref="O61:T61" si="27">IF(O59=0,0,O60/O59)</f>
        <v>0</v>
      </c>
      <c r="P61" s="212">
        <f t="shared" ref="P61:S61" si="28">IF(P59=0,0,P60/P59)</f>
        <v>1.2254901960784314E-3</v>
      </c>
      <c r="Q61" s="212">
        <f t="shared" si="28"/>
        <v>0</v>
      </c>
      <c r="R61" s="212">
        <f t="shared" si="28"/>
        <v>0</v>
      </c>
      <c r="S61" s="212">
        <f t="shared" si="28"/>
        <v>0</v>
      </c>
      <c r="T61" s="1638">
        <f t="shared" si="27"/>
        <v>0</v>
      </c>
      <c r="U61" s="109">
        <f>+U60/U59</f>
        <v>1.558846453624318E-4</v>
      </c>
      <c r="V61" s="55">
        <v>5.0000000000000001E-3</v>
      </c>
      <c r="W61" s="56">
        <f>U61-V61</f>
        <v>-4.844115354637568E-3</v>
      </c>
      <c r="X61" s="106">
        <v>7.4432452549311504E-4</v>
      </c>
      <c r="Y61" s="57">
        <f>IFERROR((U61/X61)-1,0)</f>
        <v>-0.79056897895557288</v>
      </c>
      <c r="AA61" s="5"/>
      <c r="AB61" s="5"/>
      <c r="AC61" s="5"/>
      <c r="AD61" s="5"/>
      <c r="AE61" s="5"/>
      <c r="AF61" s="5"/>
      <c r="AG61" s="5"/>
    </row>
    <row r="62" spans="1:37" ht="16.5" outlineLevel="3" thickBot="1">
      <c r="A62" s="1747"/>
      <c r="B62" s="655" t="s">
        <v>36</v>
      </c>
      <c r="C62" s="124">
        <v>1</v>
      </c>
      <c r="D62" s="124">
        <v>1</v>
      </c>
      <c r="E62" s="124">
        <v>0</v>
      </c>
      <c r="F62" s="124">
        <v>0</v>
      </c>
      <c r="G62" s="124">
        <v>1</v>
      </c>
      <c r="H62" s="1618">
        <v>0</v>
      </c>
      <c r="I62" s="1606">
        <v>0</v>
      </c>
      <c r="J62" s="1606">
        <v>0</v>
      </c>
      <c r="K62" s="1606">
        <v>0</v>
      </c>
      <c r="L62" s="1606">
        <v>0</v>
      </c>
      <c r="M62" s="1606">
        <v>1</v>
      </c>
      <c r="N62" s="1619">
        <v>0</v>
      </c>
      <c r="O62" s="1207">
        <v>0</v>
      </c>
      <c r="P62" s="195">
        <v>1</v>
      </c>
      <c r="Q62" s="195">
        <v>0</v>
      </c>
      <c r="R62" s="195">
        <v>0</v>
      </c>
      <c r="S62" s="195">
        <v>0</v>
      </c>
      <c r="T62" s="1208">
        <v>0</v>
      </c>
      <c r="U62" s="110">
        <f>SUM(O62:T62)</f>
        <v>1</v>
      </c>
      <c r="V62" s="62"/>
      <c r="W62" s="659"/>
      <c r="X62" s="70">
        <v>4</v>
      </c>
      <c r="Y62" s="659">
        <f>+U62-X62</f>
        <v>-3</v>
      </c>
      <c r="AA62" s="5"/>
      <c r="AB62" s="5"/>
      <c r="AC62" s="5"/>
      <c r="AD62" s="5"/>
      <c r="AE62" s="5"/>
      <c r="AF62" s="5"/>
      <c r="AG62" s="5"/>
    </row>
    <row r="63" spans="1:37" s="640" customFormat="1" ht="15.75" outlineLevel="2">
      <c r="A63" s="660" t="s">
        <v>286</v>
      </c>
      <c r="B63" s="660"/>
      <c r="C63" s="176">
        <f>SUM(C51,C55,C59)</f>
        <v>13496</v>
      </c>
      <c r="D63" s="176">
        <f t="shared" ref="D63:T63" si="29">SUM(D51,D55,D59)</f>
        <v>6937</v>
      </c>
      <c r="E63" s="176">
        <f t="shared" si="29"/>
        <v>5926</v>
      </c>
      <c r="F63" s="176">
        <f t="shared" si="29"/>
        <v>5470</v>
      </c>
      <c r="G63" s="176">
        <f t="shared" si="29"/>
        <v>6560</v>
      </c>
      <c r="H63" s="1624">
        <f t="shared" si="29"/>
        <v>5771</v>
      </c>
      <c r="I63" s="1609">
        <f t="shared" si="29"/>
        <v>6386</v>
      </c>
      <c r="J63" s="1609">
        <f t="shared" si="29"/>
        <v>900</v>
      </c>
      <c r="K63" s="1609">
        <f t="shared" si="29"/>
        <v>6294</v>
      </c>
      <c r="L63" s="1609">
        <f t="shared" si="29"/>
        <v>8811</v>
      </c>
      <c r="M63" s="1609">
        <f t="shared" si="29"/>
        <v>9387</v>
      </c>
      <c r="N63" s="1625">
        <f t="shared" si="29"/>
        <v>3501</v>
      </c>
      <c r="O63" s="1639">
        <f t="shared" si="29"/>
        <v>7466</v>
      </c>
      <c r="P63" s="107">
        <f t="shared" si="29"/>
        <v>4732</v>
      </c>
      <c r="Q63" s="107">
        <f t="shared" ref="Q63:S63" si="30">SUM(Q51,Q55,Q59)</f>
        <v>4291</v>
      </c>
      <c r="R63" s="107">
        <f t="shared" si="30"/>
        <v>5269</v>
      </c>
      <c r="S63" s="107">
        <f t="shared" si="30"/>
        <v>4704</v>
      </c>
      <c r="T63" s="1640">
        <f t="shared" si="29"/>
        <v>5097</v>
      </c>
      <c r="U63" s="107">
        <f>SUM(O63:T63)</f>
        <v>31559</v>
      </c>
      <c r="V63" s="104"/>
      <c r="W63" s="661"/>
      <c r="X63" s="103">
        <v>79439</v>
      </c>
      <c r="Y63" s="660"/>
      <c r="AA63" s="5"/>
      <c r="AB63" s="5"/>
      <c r="AC63" s="5"/>
      <c r="AD63" s="5"/>
      <c r="AE63" s="5"/>
      <c r="AF63" s="5"/>
      <c r="AG63" s="5"/>
      <c r="AH63" s="633"/>
      <c r="AI63" s="633"/>
      <c r="AJ63" s="633"/>
      <c r="AK63" s="633"/>
    </row>
    <row r="64" spans="1:37" s="640" customFormat="1" ht="15.75" outlineLevel="2">
      <c r="A64" s="654" t="s">
        <v>284</v>
      </c>
      <c r="B64" s="654"/>
      <c r="C64" s="125">
        <f>SUM(C52,C56,C60)</f>
        <v>1</v>
      </c>
      <c r="D64" s="125">
        <f t="shared" ref="D64:T64" si="31">SUM(D52,D56,D60)</f>
        <v>1</v>
      </c>
      <c r="E64" s="125">
        <f t="shared" si="31"/>
        <v>0</v>
      </c>
      <c r="F64" s="125">
        <f t="shared" si="31"/>
        <v>0</v>
      </c>
      <c r="G64" s="125">
        <f t="shared" si="31"/>
        <v>8</v>
      </c>
      <c r="H64" s="1597">
        <f t="shared" si="31"/>
        <v>0</v>
      </c>
      <c r="I64" s="1598">
        <f t="shared" si="31"/>
        <v>0</v>
      </c>
      <c r="J64" s="1598">
        <f t="shared" si="31"/>
        <v>0</v>
      </c>
      <c r="K64" s="1598">
        <f t="shared" si="31"/>
        <v>16</v>
      </c>
      <c r="L64" s="1598">
        <f t="shared" si="31"/>
        <v>0</v>
      </c>
      <c r="M64" s="1598">
        <f t="shared" si="31"/>
        <v>10</v>
      </c>
      <c r="N64" s="1599">
        <f t="shared" si="31"/>
        <v>0</v>
      </c>
      <c r="O64" s="1213">
        <f t="shared" si="31"/>
        <v>0</v>
      </c>
      <c r="P64" s="108">
        <f t="shared" si="31"/>
        <v>1</v>
      </c>
      <c r="Q64" s="108">
        <f t="shared" ref="Q64:S64" si="32">SUM(Q52,Q56,Q60)</f>
        <v>0</v>
      </c>
      <c r="R64" s="108">
        <f t="shared" si="32"/>
        <v>40</v>
      </c>
      <c r="S64" s="108">
        <f t="shared" si="32"/>
        <v>0</v>
      </c>
      <c r="T64" s="1214">
        <f t="shared" si="31"/>
        <v>0</v>
      </c>
      <c r="U64" s="108">
        <f>SUM(O64:T64)</f>
        <v>41</v>
      </c>
      <c r="V64" s="63"/>
      <c r="W64" s="653"/>
      <c r="X64" s="73">
        <v>36</v>
      </c>
      <c r="Y64" s="654"/>
      <c r="AA64" s="5"/>
      <c r="AB64" s="5"/>
      <c r="AC64" s="5"/>
      <c r="AD64" s="5"/>
      <c r="AE64" s="5"/>
      <c r="AF64" s="5"/>
      <c r="AG64" s="5"/>
      <c r="AH64" s="633"/>
      <c r="AI64" s="633"/>
      <c r="AJ64" s="633"/>
      <c r="AK64" s="633"/>
    </row>
    <row r="65" spans="1:37" s="640" customFormat="1" ht="15.75" outlineLevel="2">
      <c r="A65" s="654" t="s">
        <v>229</v>
      </c>
      <c r="B65" s="654"/>
      <c r="C65" s="177">
        <f t="shared" ref="C65" si="33">IF(C63=0,0,C64/C63)</f>
        <v>7.409602845287492E-5</v>
      </c>
      <c r="D65" s="177">
        <f t="shared" ref="D65:T65" si="34">IF(D63=0,0,D64/D63)</f>
        <v>1.4415453366008361E-4</v>
      </c>
      <c r="E65" s="177">
        <f t="shared" si="34"/>
        <v>0</v>
      </c>
      <c r="F65" s="177">
        <f t="shared" si="34"/>
        <v>0</v>
      </c>
      <c r="G65" s="177">
        <f t="shared" si="34"/>
        <v>1.2195121951219512E-3</v>
      </c>
      <c r="H65" s="1626">
        <f t="shared" si="34"/>
        <v>0</v>
      </c>
      <c r="I65" s="1610">
        <f t="shared" si="34"/>
        <v>0</v>
      </c>
      <c r="J65" s="1610">
        <f t="shared" si="34"/>
        <v>0</v>
      </c>
      <c r="K65" s="1610">
        <f t="shared" si="34"/>
        <v>2.5421035907213221E-3</v>
      </c>
      <c r="L65" s="1610">
        <f t="shared" si="34"/>
        <v>0</v>
      </c>
      <c r="M65" s="1610">
        <f t="shared" si="34"/>
        <v>1.0653030787258974E-3</v>
      </c>
      <c r="N65" s="1627">
        <f t="shared" si="34"/>
        <v>0</v>
      </c>
      <c r="O65" s="1641">
        <f t="shared" si="34"/>
        <v>0</v>
      </c>
      <c r="P65" s="109">
        <f t="shared" si="34"/>
        <v>2.1132713440405747E-4</v>
      </c>
      <c r="Q65" s="109">
        <f t="shared" ref="Q65:S65" si="35">IF(Q63=0,0,Q64/Q63)</f>
        <v>0</v>
      </c>
      <c r="R65" s="109">
        <f t="shared" si="35"/>
        <v>7.5915733535775291E-3</v>
      </c>
      <c r="S65" s="109">
        <f t="shared" si="35"/>
        <v>0</v>
      </c>
      <c r="T65" s="1642">
        <f t="shared" si="34"/>
        <v>0</v>
      </c>
      <c r="U65" s="109">
        <f>+U64/U63</f>
        <v>1.2991539655882631E-3</v>
      </c>
      <c r="V65" s="55">
        <v>5.0000000000000001E-3</v>
      </c>
      <c r="W65" s="56">
        <f>U65-V65</f>
        <v>-3.7008460344117372E-3</v>
      </c>
      <c r="X65" s="74">
        <v>4.5317791009453795E-4</v>
      </c>
      <c r="Y65" s="183">
        <f>IFERROR((U65/X65)-1,0)</f>
        <v>1.8667636631212789</v>
      </c>
      <c r="AA65" s="5"/>
      <c r="AB65" s="5"/>
      <c r="AC65" s="5"/>
      <c r="AD65" s="5"/>
      <c r="AE65" s="5"/>
      <c r="AF65" s="5"/>
      <c r="AG65" s="5"/>
      <c r="AH65" s="633"/>
      <c r="AI65" s="633"/>
      <c r="AJ65" s="633"/>
      <c r="AK65" s="633"/>
    </row>
    <row r="66" spans="1:37" s="640" customFormat="1" ht="15.75" outlineLevel="2">
      <c r="A66" s="658" t="s">
        <v>420</v>
      </c>
      <c r="B66" s="658"/>
      <c r="C66" s="178">
        <f t="shared" ref="C66:U66" si="36">1-C65</f>
        <v>0.99992590397154713</v>
      </c>
      <c r="D66" s="178">
        <f t="shared" ref="D66:T66" si="37">1-D65</f>
        <v>0.99985584546633988</v>
      </c>
      <c r="E66" s="178">
        <f t="shared" si="37"/>
        <v>1</v>
      </c>
      <c r="F66" s="178">
        <f t="shared" si="37"/>
        <v>1</v>
      </c>
      <c r="G66" s="178">
        <f t="shared" si="37"/>
        <v>0.99878048780487805</v>
      </c>
      <c r="H66" s="1628">
        <f t="shared" si="37"/>
        <v>1</v>
      </c>
      <c r="I66" s="1611">
        <f t="shared" si="37"/>
        <v>1</v>
      </c>
      <c r="J66" s="1611">
        <f t="shared" si="37"/>
        <v>1</v>
      </c>
      <c r="K66" s="1611">
        <f t="shared" si="37"/>
        <v>0.99745789640927873</v>
      </c>
      <c r="L66" s="1611">
        <f t="shared" si="37"/>
        <v>1</v>
      </c>
      <c r="M66" s="1611">
        <f t="shared" si="37"/>
        <v>0.99893469692127412</v>
      </c>
      <c r="N66" s="1629">
        <f t="shared" si="37"/>
        <v>1</v>
      </c>
      <c r="O66" s="1643">
        <f t="shared" si="37"/>
        <v>1</v>
      </c>
      <c r="P66" s="166">
        <f t="shared" si="37"/>
        <v>0.99978867286559592</v>
      </c>
      <c r="Q66" s="166">
        <f t="shared" ref="Q66:S66" si="38">1-Q65</f>
        <v>1</v>
      </c>
      <c r="R66" s="166">
        <f t="shared" si="38"/>
        <v>0.99240842664642248</v>
      </c>
      <c r="S66" s="166">
        <f t="shared" si="38"/>
        <v>1</v>
      </c>
      <c r="T66" s="1644">
        <f t="shared" si="37"/>
        <v>1</v>
      </c>
      <c r="U66" s="166">
        <f t="shared" si="36"/>
        <v>0.99870084603441178</v>
      </c>
      <c r="V66" s="167">
        <v>0.995</v>
      </c>
      <c r="W66" s="168">
        <f>U66-V66</f>
        <v>3.7008460344117866E-3</v>
      </c>
      <c r="X66" s="74">
        <v>0.99954682208990542</v>
      </c>
      <c r="Y66" s="183"/>
      <c r="AA66" s="5"/>
      <c r="AB66" s="5"/>
      <c r="AC66" s="5"/>
      <c r="AD66" s="5"/>
      <c r="AE66" s="5"/>
      <c r="AF66" s="5"/>
      <c r="AG66" s="5"/>
      <c r="AH66" s="633"/>
      <c r="AI66" s="633"/>
      <c r="AJ66" s="633"/>
      <c r="AK66" s="633"/>
    </row>
    <row r="67" spans="1:37" s="640" customFormat="1" ht="15.75" outlineLevel="2">
      <c r="A67" s="662" t="s">
        <v>274</v>
      </c>
      <c r="B67" s="662"/>
      <c r="C67" s="128">
        <f t="shared" ref="C67" si="39">(C64/C63)*10^6</f>
        <v>74.096028452874918</v>
      </c>
      <c r="D67" s="128">
        <f t="shared" ref="D67:T67" si="40">(D64/D63)*10^6</f>
        <v>144.15453366008362</v>
      </c>
      <c r="E67" s="128">
        <f t="shared" si="40"/>
        <v>0</v>
      </c>
      <c r="F67" s="128">
        <f t="shared" si="40"/>
        <v>0</v>
      </c>
      <c r="G67" s="128">
        <f t="shared" si="40"/>
        <v>1219.5121951219512</v>
      </c>
      <c r="H67" s="1630">
        <f t="shared" si="40"/>
        <v>0</v>
      </c>
      <c r="I67" s="1612">
        <f t="shared" si="40"/>
        <v>0</v>
      </c>
      <c r="J67" s="1612">
        <f t="shared" si="40"/>
        <v>0</v>
      </c>
      <c r="K67" s="1612">
        <f t="shared" si="40"/>
        <v>2542.1035907213222</v>
      </c>
      <c r="L67" s="1612">
        <f t="shared" si="40"/>
        <v>0</v>
      </c>
      <c r="M67" s="1612">
        <f t="shared" si="40"/>
        <v>1065.3030787258974</v>
      </c>
      <c r="N67" s="1631">
        <f t="shared" si="40"/>
        <v>0</v>
      </c>
      <c r="O67" s="1645">
        <f t="shared" si="40"/>
        <v>0</v>
      </c>
      <c r="P67" s="128">
        <f t="shared" si="40"/>
        <v>211.32713440405746</v>
      </c>
      <c r="Q67" s="128">
        <f t="shared" ref="Q67:S67" si="41">(Q64/Q63)*10^6</f>
        <v>0</v>
      </c>
      <c r="R67" s="128">
        <f t="shared" si="41"/>
        <v>7591.5733535775289</v>
      </c>
      <c r="S67" s="128">
        <f t="shared" si="41"/>
        <v>0</v>
      </c>
      <c r="T67" s="1646">
        <f t="shared" si="40"/>
        <v>0</v>
      </c>
      <c r="U67" s="128">
        <f>(U64/U63)*10^6</f>
        <v>1299.1539655882632</v>
      </c>
      <c r="V67" s="129" t="s">
        <v>157</v>
      </c>
      <c r="W67" s="136">
        <f>+U67-5999</f>
        <v>-4699.8460344117366</v>
      </c>
      <c r="X67" s="128">
        <v>453.17791009453794</v>
      </c>
      <c r="Y67" s="184"/>
      <c r="AA67" s="5"/>
      <c r="AB67" s="5"/>
      <c r="AC67" s="5"/>
      <c r="AD67" s="5"/>
      <c r="AE67" s="5"/>
      <c r="AF67" s="5"/>
      <c r="AG67" s="5"/>
      <c r="AH67" s="633"/>
      <c r="AI67" s="633"/>
      <c r="AJ67" s="633"/>
      <c r="AK67" s="633"/>
    </row>
    <row r="68" spans="1:37" s="640" customFormat="1" ht="16.5" outlineLevel="2" thickBot="1">
      <c r="A68" s="655" t="s">
        <v>37</v>
      </c>
      <c r="B68" s="655"/>
      <c r="C68" s="179">
        <f>SUM(C54,C58,C62)</f>
        <v>1</v>
      </c>
      <c r="D68" s="179">
        <f t="shared" ref="D68:T68" si="42">SUM(D54,D58,D62)</f>
        <v>1</v>
      </c>
      <c r="E68" s="179">
        <f t="shared" si="42"/>
        <v>0</v>
      </c>
      <c r="F68" s="179">
        <f t="shared" si="42"/>
        <v>0</v>
      </c>
      <c r="G68" s="179">
        <f t="shared" si="42"/>
        <v>2</v>
      </c>
      <c r="H68" s="1632">
        <f t="shared" si="42"/>
        <v>0</v>
      </c>
      <c r="I68" s="1633">
        <f t="shared" si="42"/>
        <v>0</v>
      </c>
      <c r="J68" s="1633">
        <f t="shared" si="42"/>
        <v>0</v>
      </c>
      <c r="K68" s="1633">
        <f t="shared" si="42"/>
        <v>2</v>
      </c>
      <c r="L68" s="1633">
        <f t="shared" si="42"/>
        <v>0</v>
      </c>
      <c r="M68" s="1633">
        <f t="shared" si="42"/>
        <v>3</v>
      </c>
      <c r="N68" s="1634">
        <f t="shared" si="42"/>
        <v>0</v>
      </c>
      <c r="O68" s="1176">
        <f t="shared" si="42"/>
        <v>0</v>
      </c>
      <c r="P68" s="1177">
        <f t="shared" si="42"/>
        <v>1</v>
      </c>
      <c r="Q68" s="1177">
        <f t="shared" ref="Q68:S68" si="43">SUM(Q54,Q58,Q62)</f>
        <v>0</v>
      </c>
      <c r="R68" s="1177">
        <f t="shared" si="43"/>
        <v>1</v>
      </c>
      <c r="S68" s="1177">
        <f t="shared" si="43"/>
        <v>0</v>
      </c>
      <c r="T68" s="1647">
        <f t="shared" si="42"/>
        <v>0</v>
      </c>
      <c r="U68" s="110">
        <f>SUM(U54,U58,U62)</f>
        <v>2</v>
      </c>
      <c r="V68" s="195">
        <v>4</v>
      </c>
      <c r="W68" s="663">
        <f>U68-V68</f>
        <v>-2</v>
      </c>
      <c r="X68" s="75">
        <v>9</v>
      </c>
      <c r="Y68" s="664">
        <f>+U68-X68</f>
        <v>-7</v>
      </c>
      <c r="AA68" s="5"/>
      <c r="AB68" s="5"/>
      <c r="AC68" s="5"/>
      <c r="AD68" s="5"/>
      <c r="AE68" s="5"/>
      <c r="AF68" s="5"/>
      <c r="AG68" s="5"/>
      <c r="AH68" s="633"/>
      <c r="AI68" s="633"/>
      <c r="AJ68" s="633"/>
      <c r="AK68" s="633"/>
    </row>
    <row r="69" spans="1:37" s="640" customFormat="1" ht="15.75" outlineLevel="2">
      <c r="A69" s="6" t="s">
        <v>63</v>
      </c>
      <c r="C69" s="47"/>
      <c r="D69" s="47"/>
      <c r="E69" s="47"/>
      <c r="F69" s="47"/>
      <c r="G69" s="47"/>
      <c r="H69" s="47"/>
      <c r="I69" s="47"/>
      <c r="J69" s="47"/>
      <c r="K69" s="47"/>
      <c r="L69" s="47"/>
      <c r="M69" s="47"/>
      <c r="N69" s="47"/>
      <c r="O69" s="47"/>
      <c r="P69" s="47"/>
      <c r="Q69" s="47"/>
      <c r="R69" s="47"/>
      <c r="S69" s="47"/>
      <c r="T69" s="47"/>
      <c r="U69" s="47"/>
      <c r="V69" s="127"/>
      <c r="W69" s="169"/>
      <c r="X69" s="47"/>
      <c r="Y69" s="47"/>
      <c r="Z69" s="5"/>
      <c r="AA69" s="5"/>
      <c r="AB69" s="5"/>
      <c r="AC69" s="5"/>
      <c r="AD69" s="5"/>
      <c r="AE69" s="5"/>
      <c r="AF69" s="5"/>
      <c r="AG69" s="5"/>
      <c r="AH69" s="633"/>
      <c r="AI69" s="633"/>
      <c r="AJ69" s="633"/>
      <c r="AK69" s="633"/>
    </row>
    <row r="70" spans="1:37" ht="15.75" outlineLevel="1">
      <c r="V70" s="665"/>
      <c r="Z70" s="5"/>
      <c r="AA70" s="5"/>
      <c r="AB70" s="5"/>
      <c r="AC70" s="5"/>
      <c r="AD70" s="5"/>
      <c r="AE70" s="5"/>
      <c r="AF70" s="5"/>
      <c r="AG70" s="5"/>
    </row>
    <row r="71" spans="1:37" ht="15.75" outlineLevel="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7" ht="15.7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sheetData>
  <mergeCells count="9">
    <mergeCell ref="A5:A6"/>
    <mergeCell ref="A51:A54"/>
    <mergeCell ref="A55:A58"/>
    <mergeCell ref="A59:A62"/>
    <mergeCell ref="A7:A8"/>
    <mergeCell ref="A9:A10"/>
    <mergeCell ref="A21:A23"/>
    <mergeCell ref="A24:A26"/>
    <mergeCell ref="A27:A29"/>
  </mergeCells>
  <pageMargins left="0.7" right="0.7" top="0.75" bottom="0.75" header="0.3" footer="0.3"/>
  <pageSetup paperSize="9" orientation="portrait" r:id="rId1"/>
  <ignoredErrors>
    <ignoredError sqref="T43:U43 AB43 C43:R43 U40:U42 U52 U6 U8 U10 AB40:AB42" formulaRange="1"/>
    <ignoredError sqref="U67" formula="1"/>
    <ignoredError sqref="U63:U66 U53:U62" formula="1" formulaRange="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EAAE8-3E9D-47B4-A1B5-BE5D786E1A0E}">
  <sheetPr>
    <tabColor theme="8" tint="0.59999389629810485"/>
  </sheetPr>
  <dimension ref="A1:AS182"/>
  <sheetViews>
    <sheetView showGridLines="0" zoomScale="90" zoomScaleNormal="90" workbookViewId="0">
      <pane xSplit="1" topLeftCell="B1" activePane="topRight" state="frozen"/>
      <selection pane="topRight"/>
    </sheetView>
  </sheetViews>
  <sheetFormatPr baseColWidth="10" defaultColWidth="8.85546875" defaultRowHeight="15" outlineLevelRow="2"/>
  <cols>
    <col min="1" max="1" width="21.42578125" style="633" customWidth="1"/>
    <col min="2" max="2" width="22.85546875" style="633" bestFit="1" customWidth="1"/>
    <col min="3" max="3" width="9.140625" style="633" customWidth="1"/>
    <col min="4" max="13" width="10" style="633" customWidth="1"/>
    <col min="14" max="14" width="10.140625" style="633" customWidth="1"/>
    <col min="15" max="16" width="10" style="633" customWidth="1"/>
    <col min="17" max="17" width="10.7109375" style="633" customWidth="1"/>
    <col min="18" max="18" width="10.140625" style="633" customWidth="1"/>
    <col min="19" max="20" width="10.28515625" style="633" customWidth="1"/>
    <col min="21" max="21" width="14" style="633" bestFit="1" customWidth="1"/>
    <col min="22" max="22" width="8.42578125" style="633" customWidth="1"/>
    <col min="23" max="23" width="9.7109375" style="633" customWidth="1"/>
    <col min="24" max="25" width="9" style="633" bestFit="1" customWidth="1"/>
    <col min="26" max="26" width="6.85546875" style="633" customWidth="1"/>
    <col min="27" max="27" width="8.85546875" style="633"/>
    <col min="28" max="28" width="9" style="633" bestFit="1" customWidth="1"/>
    <col min="29" max="29" width="10.28515625" style="633" customWidth="1"/>
    <col min="30" max="31" width="9" style="633" bestFit="1" customWidth="1"/>
    <col min="32" max="32" width="7.42578125" style="633" bestFit="1" customWidth="1"/>
    <col min="33" max="33" width="6.85546875" style="633" customWidth="1"/>
    <col min="34" max="34" width="7.85546875" style="633" bestFit="1" customWidth="1"/>
    <col min="35" max="35" width="7.7109375" style="633" bestFit="1" customWidth="1"/>
    <col min="36" max="36" width="7.85546875" style="633" bestFit="1" customWidth="1"/>
    <col min="37" max="37" width="7.42578125" style="633" bestFit="1" customWidth="1"/>
    <col min="38" max="38" width="9.7109375" style="633" customWidth="1"/>
    <col min="39" max="39" width="7.7109375" style="633" customWidth="1"/>
    <col min="40" max="40" width="7.140625" style="633" customWidth="1"/>
    <col min="41" max="41" width="8.85546875" style="633"/>
    <col min="42" max="42" width="11.140625" style="633" bestFit="1" customWidth="1"/>
    <col min="43" max="43" width="9" style="633" bestFit="1" customWidth="1"/>
    <col min="44" max="44" width="7.85546875" style="633" customWidth="1"/>
    <col min="45" max="45" width="9" style="633" bestFit="1" customWidth="1"/>
    <col min="46" max="16384" width="8.85546875" style="633"/>
  </cols>
  <sheetData>
    <row r="1" spans="1:21" ht="20.25">
      <c r="A1" s="1218" t="s">
        <v>26</v>
      </c>
      <c r="B1" s="1223"/>
      <c r="C1" s="1223"/>
      <c r="D1" s="1219"/>
      <c r="E1" s="1219"/>
      <c r="F1" s="1219"/>
      <c r="G1" s="1219"/>
      <c r="H1" s="1219"/>
      <c r="I1" s="1219"/>
      <c r="J1" s="1219"/>
      <c r="K1" s="1219"/>
      <c r="L1" s="1219"/>
      <c r="M1" s="1219"/>
      <c r="N1" s="1219"/>
      <c r="O1" s="1219"/>
      <c r="P1" s="1219"/>
      <c r="Q1" s="1219"/>
      <c r="R1" s="1219"/>
      <c r="S1" s="1219"/>
      <c r="T1" s="1219"/>
      <c r="U1" s="228"/>
    </row>
    <row r="2" spans="1:21" ht="14.45" customHeight="1">
      <c r="A2" s="5" t="s">
        <v>25</v>
      </c>
      <c r="B2" s="5"/>
      <c r="C2" s="5"/>
      <c r="D2" s="5"/>
      <c r="E2" s="5"/>
      <c r="F2" s="5"/>
      <c r="G2" s="5"/>
      <c r="H2" s="5"/>
      <c r="I2" s="5"/>
      <c r="J2" s="5"/>
      <c r="K2" s="5"/>
      <c r="L2" s="5"/>
    </row>
    <row r="3" spans="1:21" ht="15.75" outlineLevel="1" thickBot="1">
      <c r="A3" s="227" t="s">
        <v>403</v>
      </c>
      <c r="B3" s="6"/>
      <c r="C3" s="6"/>
      <c r="D3" s="6"/>
      <c r="E3" s="6"/>
      <c r="F3" s="6"/>
      <c r="G3" s="6"/>
      <c r="H3" s="6"/>
      <c r="I3" s="6"/>
      <c r="J3" s="6"/>
      <c r="K3" s="6"/>
      <c r="L3" s="6"/>
      <c r="Q3" s="643"/>
      <c r="R3" s="643"/>
    </row>
    <row r="4" spans="1:21" ht="15.75" outlineLevel="1">
      <c r="A4" s="32" t="s">
        <v>0</v>
      </c>
      <c r="B4" s="32"/>
      <c r="C4" s="32"/>
      <c r="D4" s="666"/>
      <c r="E4" s="1357">
        <v>45838</v>
      </c>
      <c r="F4" s="1265">
        <v>45869</v>
      </c>
      <c r="G4" s="1265">
        <v>45900</v>
      </c>
      <c r="H4" s="1265">
        <v>45930</v>
      </c>
      <c r="I4" s="1265">
        <v>45961</v>
      </c>
      <c r="J4" s="1265">
        <v>45991</v>
      </c>
      <c r="K4" s="1266">
        <v>46022</v>
      </c>
      <c r="L4" s="875">
        <v>46053</v>
      </c>
      <c r="M4" s="876">
        <v>46081</v>
      </c>
      <c r="N4" s="876">
        <v>46112</v>
      </c>
      <c r="O4" s="876">
        <v>46142</v>
      </c>
      <c r="P4" s="876">
        <v>46173</v>
      </c>
      <c r="Q4" s="1120">
        <v>46203</v>
      </c>
      <c r="R4" s="876">
        <v>46234</v>
      </c>
      <c r="S4" s="1121" t="s">
        <v>12</v>
      </c>
      <c r="T4" s="878" t="s">
        <v>24</v>
      </c>
    </row>
    <row r="5" spans="1:21" outlineLevel="2">
      <c r="A5" s="612" t="s">
        <v>2</v>
      </c>
      <c r="B5" s="612" t="s">
        <v>118</v>
      </c>
      <c r="C5" s="612"/>
      <c r="D5" s="229"/>
      <c r="E5" s="1141">
        <v>36</v>
      </c>
      <c r="F5" s="230">
        <f t="shared" ref="F5:N5" si="0">+E5+E7+E8-E6</f>
        <v>36</v>
      </c>
      <c r="G5" s="230">
        <f t="shared" si="0"/>
        <v>34</v>
      </c>
      <c r="H5" s="230">
        <f t="shared" si="0"/>
        <v>34</v>
      </c>
      <c r="I5" s="230">
        <f t="shared" si="0"/>
        <v>34</v>
      </c>
      <c r="J5" s="230">
        <f t="shared" si="0"/>
        <v>33</v>
      </c>
      <c r="K5" s="1142">
        <f t="shared" si="0"/>
        <v>36</v>
      </c>
      <c r="L5" s="1122">
        <f t="shared" si="0"/>
        <v>34</v>
      </c>
      <c r="M5" s="231">
        <f t="shared" si="0"/>
        <v>27</v>
      </c>
      <c r="N5" s="231">
        <f t="shared" si="0"/>
        <v>30</v>
      </c>
      <c r="O5" s="231">
        <f>+N5+N7+N8-N6</f>
        <v>27</v>
      </c>
      <c r="P5" s="231">
        <f>+O5+O7+O8-O6</f>
        <v>29</v>
      </c>
      <c r="Q5" s="232">
        <f>+P5+P7+P8-P6</f>
        <v>28</v>
      </c>
      <c r="R5" s="231">
        <f t="shared" ref="R5" si="1">+Q5+Q7+Q8-Q6</f>
        <v>32</v>
      </c>
      <c r="S5" s="233"/>
      <c r="T5" s="1123"/>
    </row>
    <row r="6" spans="1:21" outlineLevel="2">
      <c r="A6" s="613" t="s">
        <v>2</v>
      </c>
      <c r="B6" s="234" t="s">
        <v>119</v>
      </c>
      <c r="C6" s="613"/>
      <c r="D6" s="235"/>
      <c r="E6" s="1143">
        <v>1</v>
      </c>
      <c r="F6" s="237">
        <v>4</v>
      </c>
      <c r="G6" s="237">
        <v>0</v>
      </c>
      <c r="H6" s="237">
        <v>2</v>
      </c>
      <c r="I6" s="237">
        <v>2</v>
      </c>
      <c r="J6" s="237">
        <v>2</v>
      </c>
      <c r="K6" s="1144">
        <v>2</v>
      </c>
      <c r="L6" s="1124">
        <v>8</v>
      </c>
      <c r="M6" s="237">
        <v>2</v>
      </c>
      <c r="N6" s="237">
        <v>3</v>
      </c>
      <c r="O6" s="237">
        <v>1</v>
      </c>
      <c r="P6" s="237">
        <v>1</v>
      </c>
      <c r="Q6" s="236">
        <v>0</v>
      </c>
      <c r="R6" s="237"/>
      <c r="S6" s="238"/>
      <c r="T6" s="1125"/>
    </row>
    <row r="7" spans="1:21" outlineLevel="2">
      <c r="A7" s="613" t="s">
        <v>2</v>
      </c>
      <c r="B7" s="613" t="s">
        <v>120</v>
      </c>
      <c r="C7" s="613"/>
      <c r="D7" s="239"/>
      <c r="E7" s="1145">
        <v>1</v>
      </c>
      <c r="F7" s="240">
        <v>2</v>
      </c>
      <c r="G7" s="240">
        <v>0</v>
      </c>
      <c r="H7" s="240">
        <v>2</v>
      </c>
      <c r="I7" s="240">
        <v>2</v>
      </c>
      <c r="J7" s="240">
        <v>2</v>
      </c>
      <c r="K7" s="1146">
        <v>0</v>
      </c>
      <c r="L7" s="1126">
        <v>2</v>
      </c>
      <c r="M7" s="241">
        <v>4</v>
      </c>
      <c r="N7" s="241">
        <v>0</v>
      </c>
      <c r="O7" s="241">
        <v>3</v>
      </c>
      <c r="P7" s="241">
        <v>0</v>
      </c>
      <c r="Q7" s="242">
        <v>4</v>
      </c>
      <c r="R7" s="241"/>
      <c r="S7" s="243"/>
      <c r="T7" s="1127"/>
    </row>
    <row r="8" spans="1:21" outlineLevel="2">
      <c r="A8" s="613" t="s">
        <v>2</v>
      </c>
      <c r="B8" s="613" t="s">
        <v>121</v>
      </c>
      <c r="C8" s="613"/>
      <c r="D8" s="239"/>
      <c r="E8" s="1145">
        <v>0</v>
      </c>
      <c r="F8" s="240">
        <v>0</v>
      </c>
      <c r="G8" s="240">
        <v>0</v>
      </c>
      <c r="H8" s="240">
        <v>0</v>
      </c>
      <c r="I8" s="240">
        <v>-1</v>
      </c>
      <c r="J8" s="240">
        <v>3</v>
      </c>
      <c r="K8" s="1146">
        <v>0</v>
      </c>
      <c r="L8" s="1126">
        <v>-1</v>
      </c>
      <c r="M8" s="241">
        <v>1</v>
      </c>
      <c r="N8" s="241">
        <v>0</v>
      </c>
      <c r="O8" s="241">
        <v>0</v>
      </c>
      <c r="P8" s="241">
        <v>0</v>
      </c>
      <c r="Q8" s="242">
        <v>0</v>
      </c>
      <c r="R8" s="241"/>
      <c r="S8" s="243"/>
      <c r="T8" s="1127"/>
    </row>
    <row r="9" spans="1:21" ht="15.75" outlineLevel="2">
      <c r="A9" s="244" t="s">
        <v>2</v>
      </c>
      <c r="B9" s="244"/>
      <c r="C9" s="245"/>
      <c r="D9" s="245" t="s">
        <v>122</v>
      </c>
      <c r="E9" s="1147">
        <f t="shared" ref="E9:R9" si="2">+E6/E5</f>
        <v>2.7777777777777776E-2</v>
      </c>
      <c r="F9" s="246">
        <f t="shared" si="2"/>
        <v>0.1111111111111111</v>
      </c>
      <c r="G9" s="246">
        <f t="shared" si="2"/>
        <v>0</v>
      </c>
      <c r="H9" s="246">
        <f t="shared" si="2"/>
        <v>5.8823529411764705E-2</v>
      </c>
      <c r="I9" s="246">
        <f t="shared" si="2"/>
        <v>5.8823529411764705E-2</v>
      </c>
      <c r="J9" s="246">
        <f t="shared" si="2"/>
        <v>6.0606060606060608E-2</v>
      </c>
      <c r="K9" s="1148">
        <f t="shared" si="2"/>
        <v>5.5555555555555552E-2</v>
      </c>
      <c r="L9" s="1128">
        <f t="shared" si="2"/>
        <v>0.23529411764705882</v>
      </c>
      <c r="M9" s="247">
        <f t="shared" si="2"/>
        <v>7.407407407407407E-2</v>
      </c>
      <c r="N9" s="247">
        <f t="shared" si="2"/>
        <v>0.1</v>
      </c>
      <c r="O9" s="247">
        <f t="shared" si="2"/>
        <v>3.7037037037037035E-2</v>
      </c>
      <c r="P9" s="247">
        <f t="shared" si="2"/>
        <v>3.4482758620689655E-2</v>
      </c>
      <c r="Q9" s="248">
        <f t="shared" si="2"/>
        <v>0</v>
      </c>
      <c r="R9" s="247">
        <f t="shared" si="2"/>
        <v>0</v>
      </c>
      <c r="S9" s="249"/>
      <c r="T9" s="1129"/>
    </row>
    <row r="10" spans="1:21" ht="15.75" outlineLevel="2">
      <c r="A10" s="244" t="s">
        <v>2</v>
      </c>
      <c r="B10" s="244"/>
      <c r="C10" s="245"/>
      <c r="D10" s="245" t="s">
        <v>1</v>
      </c>
      <c r="E10" s="1147">
        <v>0.2738407668028231</v>
      </c>
      <c r="F10" s="246">
        <v>0.3849518779139342</v>
      </c>
      <c r="G10" s="246">
        <v>0.3849518779139342</v>
      </c>
      <c r="H10" s="246">
        <v>0.44377540732569892</v>
      </c>
      <c r="I10" s="246">
        <v>0.50259893673746359</v>
      </c>
      <c r="J10" s="246">
        <v>0.56320499734352425</v>
      </c>
      <c r="K10" s="1148">
        <v>0.61876055289907983</v>
      </c>
      <c r="L10" s="1128">
        <f>+L9</f>
        <v>0.23529411764705882</v>
      </c>
      <c r="M10" s="247">
        <f>+M9+L10</f>
        <v>0.30936819172113289</v>
      </c>
      <c r="N10" s="247">
        <f>+N9+M10</f>
        <v>0.40936819172113292</v>
      </c>
      <c r="O10" s="247">
        <f>+O9+N10</f>
        <v>0.44640522875816996</v>
      </c>
      <c r="P10" s="247">
        <f>+P9+O10</f>
        <v>0.48088798737885963</v>
      </c>
      <c r="Q10" s="248">
        <f>+Q9+P10</f>
        <v>0.48088798737885963</v>
      </c>
      <c r="R10" s="247">
        <f t="shared" ref="R10" si="3">+R9+Q10</f>
        <v>0.48088798737885963</v>
      </c>
      <c r="S10" s="249" t="s">
        <v>372</v>
      </c>
      <c r="T10" s="1129">
        <f>IFERROR(Q10/E10-1,100%)</f>
        <v>0.75608618465898192</v>
      </c>
    </row>
    <row r="11" spans="1:21" outlineLevel="2">
      <c r="A11" s="612" t="s">
        <v>3</v>
      </c>
      <c r="B11" s="612" t="s">
        <v>118</v>
      </c>
      <c r="C11" s="612"/>
      <c r="D11" s="229"/>
      <c r="E11" s="1141">
        <v>98</v>
      </c>
      <c r="F11" s="230">
        <f t="shared" ref="F11:R11" si="4">+E11+E13+E14-E12</f>
        <v>99</v>
      </c>
      <c r="G11" s="230">
        <f t="shared" si="4"/>
        <v>97</v>
      </c>
      <c r="H11" s="230">
        <f t="shared" si="4"/>
        <v>98</v>
      </c>
      <c r="I11" s="230">
        <f t="shared" si="4"/>
        <v>102</v>
      </c>
      <c r="J11" s="230">
        <f t="shared" si="4"/>
        <v>103</v>
      </c>
      <c r="K11" s="1142">
        <f t="shared" si="4"/>
        <v>101</v>
      </c>
      <c r="L11" s="1122">
        <f t="shared" si="4"/>
        <v>100</v>
      </c>
      <c r="M11" s="231">
        <f t="shared" si="4"/>
        <v>94</v>
      </c>
      <c r="N11" s="231">
        <f t="shared" si="4"/>
        <v>94</v>
      </c>
      <c r="O11" s="231">
        <f t="shared" si="4"/>
        <v>92</v>
      </c>
      <c r="P11" s="231">
        <f t="shared" si="4"/>
        <v>92</v>
      </c>
      <c r="Q11" s="232">
        <f t="shared" si="4"/>
        <v>94</v>
      </c>
      <c r="R11" s="250">
        <f t="shared" si="4"/>
        <v>96</v>
      </c>
      <c r="S11" s="233"/>
      <c r="T11" s="1123"/>
    </row>
    <row r="12" spans="1:21" outlineLevel="2">
      <c r="A12" s="613" t="s">
        <v>3</v>
      </c>
      <c r="B12" s="234" t="s">
        <v>119</v>
      </c>
      <c r="C12" s="613"/>
      <c r="D12" s="235"/>
      <c r="E12" s="1143">
        <v>0</v>
      </c>
      <c r="F12" s="237">
        <v>2</v>
      </c>
      <c r="G12" s="237">
        <v>0</v>
      </c>
      <c r="H12" s="237">
        <v>3</v>
      </c>
      <c r="I12" s="237">
        <v>1</v>
      </c>
      <c r="J12" s="237">
        <v>3</v>
      </c>
      <c r="K12" s="1144">
        <v>1</v>
      </c>
      <c r="L12" s="1124">
        <v>4</v>
      </c>
      <c r="M12" s="237">
        <v>1</v>
      </c>
      <c r="N12" s="237">
        <v>2</v>
      </c>
      <c r="O12" s="237">
        <v>2</v>
      </c>
      <c r="P12" s="237">
        <v>0</v>
      </c>
      <c r="Q12" s="236">
        <v>1</v>
      </c>
      <c r="R12" s="237"/>
      <c r="S12" s="238"/>
      <c r="T12" s="1125"/>
    </row>
    <row r="13" spans="1:21" outlineLevel="2">
      <c r="A13" s="613" t="s">
        <v>3</v>
      </c>
      <c r="B13" s="613" t="s">
        <v>120</v>
      </c>
      <c r="C13" s="613"/>
      <c r="D13" s="239"/>
      <c r="E13" s="1145">
        <v>1</v>
      </c>
      <c r="F13" s="240">
        <v>0</v>
      </c>
      <c r="G13" s="240">
        <v>0</v>
      </c>
      <c r="H13" s="240">
        <v>6</v>
      </c>
      <c r="I13" s="240">
        <v>2</v>
      </c>
      <c r="J13" s="240">
        <v>3</v>
      </c>
      <c r="K13" s="1146">
        <v>0</v>
      </c>
      <c r="L13" s="1126">
        <v>1</v>
      </c>
      <c r="M13" s="241">
        <v>1</v>
      </c>
      <c r="N13" s="241">
        <v>0</v>
      </c>
      <c r="O13" s="241">
        <v>2</v>
      </c>
      <c r="P13" s="241">
        <v>1</v>
      </c>
      <c r="Q13" s="242">
        <v>3</v>
      </c>
      <c r="R13" s="241"/>
      <c r="S13" s="243"/>
      <c r="T13" s="1127"/>
    </row>
    <row r="14" spans="1:21" outlineLevel="2">
      <c r="A14" s="613" t="s">
        <v>3</v>
      </c>
      <c r="B14" s="613" t="s">
        <v>121</v>
      </c>
      <c r="C14" s="613"/>
      <c r="D14" s="239"/>
      <c r="E14" s="1145">
        <v>0</v>
      </c>
      <c r="F14" s="240">
        <v>0</v>
      </c>
      <c r="G14" s="240">
        <v>1</v>
      </c>
      <c r="H14" s="240">
        <v>1</v>
      </c>
      <c r="I14" s="240">
        <v>0</v>
      </c>
      <c r="J14" s="240">
        <v>-2</v>
      </c>
      <c r="K14" s="1146">
        <v>0</v>
      </c>
      <c r="L14" s="1126">
        <v>-3</v>
      </c>
      <c r="M14" s="241">
        <v>0</v>
      </c>
      <c r="N14" s="241">
        <v>0</v>
      </c>
      <c r="O14" s="241">
        <v>0</v>
      </c>
      <c r="P14" s="241">
        <v>1</v>
      </c>
      <c r="Q14" s="242">
        <v>0</v>
      </c>
      <c r="R14" s="241"/>
      <c r="S14" s="243"/>
      <c r="T14" s="1127"/>
    </row>
    <row r="15" spans="1:21" ht="15.75" outlineLevel="2">
      <c r="A15" s="244" t="s">
        <v>3</v>
      </c>
      <c r="B15" s="244"/>
      <c r="C15" s="245"/>
      <c r="D15" s="245" t="s">
        <v>122</v>
      </c>
      <c r="E15" s="1147">
        <f t="shared" ref="E15:R15" si="5">+E12/E11</f>
        <v>0</v>
      </c>
      <c r="F15" s="246">
        <f t="shared" si="5"/>
        <v>2.0202020202020204E-2</v>
      </c>
      <c r="G15" s="246">
        <f t="shared" si="5"/>
        <v>0</v>
      </c>
      <c r="H15" s="246">
        <f t="shared" si="5"/>
        <v>3.0612244897959183E-2</v>
      </c>
      <c r="I15" s="246">
        <f t="shared" si="5"/>
        <v>9.8039215686274508E-3</v>
      </c>
      <c r="J15" s="246">
        <f t="shared" si="5"/>
        <v>2.9126213592233011E-2</v>
      </c>
      <c r="K15" s="1148">
        <f t="shared" si="5"/>
        <v>9.9009900990099011E-3</v>
      </c>
      <c r="L15" s="1128">
        <f t="shared" si="5"/>
        <v>0.04</v>
      </c>
      <c r="M15" s="247">
        <f t="shared" si="5"/>
        <v>1.0638297872340425E-2</v>
      </c>
      <c r="N15" s="247">
        <f t="shared" si="5"/>
        <v>2.1276595744680851E-2</v>
      </c>
      <c r="O15" s="247">
        <f t="shared" si="5"/>
        <v>2.1739130434782608E-2</v>
      </c>
      <c r="P15" s="247">
        <f t="shared" si="5"/>
        <v>0</v>
      </c>
      <c r="Q15" s="248">
        <f t="shared" si="5"/>
        <v>1.0638297872340425E-2</v>
      </c>
      <c r="R15" s="247">
        <f t="shared" si="5"/>
        <v>0</v>
      </c>
      <c r="S15" s="249"/>
      <c r="T15" s="1129"/>
    </row>
    <row r="16" spans="1:21" ht="15.75" outlineLevel="2">
      <c r="A16" s="244" t="s">
        <v>3</v>
      </c>
      <c r="B16" s="244"/>
      <c r="C16" s="245"/>
      <c r="D16" s="245" t="s">
        <v>1</v>
      </c>
      <c r="E16" s="1147">
        <v>0.10954128501085403</v>
      </c>
      <c r="F16" s="246">
        <v>0.12974330521287422</v>
      </c>
      <c r="G16" s="246">
        <v>0.12974330521287422</v>
      </c>
      <c r="H16" s="246">
        <v>0.16035555011083341</v>
      </c>
      <c r="I16" s="246">
        <v>0.17015947167946086</v>
      </c>
      <c r="J16" s="246">
        <v>0.19928568527169388</v>
      </c>
      <c r="K16" s="1148">
        <v>0.20918667537070379</v>
      </c>
      <c r="L16" s="1128">
        <f>+L15</f>
        <v>0.04</v>
      </c>
      <c r="M16" s="247">
        <f>+M15+L16</f>
        <v>5.0638297872340428E-2</v>
      </c>
      <c r="N16" s="247">
        <f>+N15+M16</f>
        <v>7.1914893617021275E-2</v>
      </c>
      <c r="O16" s="247">
        <f>+O15+N16</f>
        <v>9.3654024051803883E-2</v>
      </c>
      <c r="P16" s="247">
        <f>+P15+O16</f>
        <v>9.3654024051803883E-2</v>
      </c>
      <c r="Q16" s="248">
        <f>+Q15+P16</f>
        <v>0.10429232192414431</v>
      </c>
      <c r="R16" s="247">
        <f t="shared" ref="R16" si="6">+R15+Q16</f>
        <v>0.10429232192414431</v>
      </c>
      <c r="S16" s="249" t="s">
        <v>372</v>
      </c>
      <c r="T16" s="1129">
        <f>IFERROR(Q16/E16-1,100%)</f>
        <v>-4.791766945393805E-2</v>
      </c>
    </row>
    <row r="17" spans="1:20" s="640" customFormat="1" ht="15.75" outlineLevel="2">
      <c r="A17" s="612" t="s">
        <v>81</v>
      </c>
      <c r="B17" s="612" t="s">
        <v>118</v>
      </c>
      <c r="C17" s="612"/>
      <c r="D17" s="229"/>
      <c r="E17" s="1141">
        <v>13</v>
      </c>
      <c r="F17" s="230">
        <f t="shared" ref="F17:R17" si="7">+E17+E19+E20-E18</f>
        <v>14</v>
      </c>
      <c r="G17" s="230">
        <f t="shared" si="7"/>
        <v>14</v>
      </c>
      <c r="H17" s="230">
        <f t="shared" si="7"/>
        <v>13</v>
      </c>
      <c r="I17" s="230">
        <f t="shared" si="7"/>
        <v>11</v>
      </c>
      <c r="J17" s="230">
        <f t="shared" si="7"/>
        <v>12</v>
      </c>
      <c r="K17" s="1142">
        <f t="shared" si="7"/>
        <v>11</v>
      </c>
      <c r="L17" s="1122">
        <f t="shared" si="7"/>
        <v>11</v>
      </c>
      <c r="M17" s="231">
        <f t="shared" si="7"/>
        <v>9</v>
      </c>
      <c r="N17" s="231">
        <f t="shared" si="7"/>
        <v>9</v>
      </c>
      <c r="O17" s="231">
        <f t="shared" si="7"/>
        <v>9</v>
      </c>
      <c r="P17" s="231">
        <f t="shared" si="7"/>
        <v>9</v>
      </c>
      <c r="Q17" s="232">
        <f t="shared" si="7"/>
        <v>8</v>
      </c>
      <c r="R17" s="250">
        <f t="shared" si="7"/>
        <v>8</v>
      </c>
      <c r="S17" s="233"/>
      <c r="T17" s="1123"/>
    </row>
    <row r="18" spans="1:20" s="640" customFormat="1" ht="15.75" outlineLevel="2">
      <c r="A18" s="613" t="s">
        <v>81</v>
      </c>
      <c r="B18" s="234" t="s">
        <v>119</v>
      </c>
      <c r="C18" s="613"/>
      <c r="D18" s="235"/>
      <c r="E18" s="1143">
        <v>0</v>
      </c>
      <c r="F18" s="237">
        <v>1</v>
      </c>
      <c r="G18" s="237">
        <v>0</v>
      </c>
      <c r="H18" s="237">
        <v>1</v>
      </c>
      <c r="I18" s="237">
        <v>1</v>
      </c>
      <c r="J18" s="237">
        <v>0</v>
      </c>
      <c r="K18" s="1144">
        <v>0</v>
      </c>
      <c r="L18" s="1124">
        <v>1</v>
      </c>
      <c r="M18" s="237">
        <v>0</v>
      </c>
      <c r="N18" s="237">
        <v>0</v>
      </c>
      <c r="O18" s="237">
        <v>0</v>
      </c>
      <c r="P18" s="237">
        <v>0</v>
      </c>
      <c r="Q18" s="236">
        <v>0</v>
      </c>
      <c r="R18" s="237"/>
      <c r="S18" s="238"/>
      <c r="T18" s="1125"/>
    </row>
    <row r="19" spans="1:20" outlineLevel="2">
      <c r="A19" s="613" t="s">
        <v>81</v>
      </c>
      <c r="B19" s="613" t="s">
        <v>120</v>
      </c>
      <c r="C19" s="613"/>
      <c r="D19" s="239"/>
      <c r="E19" s="1145">
        <v>1</v>
      </c>
      <c r="F19" s="240">
        <v>1</v>
      </c>
      <c r="G19" s="240">
        <v>0</v>
      </c>
      <c r="H19" s="240">
        <v>0</v>
      </c>
      <c r="I19" s="240">
        <v>1</v>
      </c>
      <c r="J19" s="240">
        <v>0</v>
      </c>
      <c r="K19" s="1146">
        <v>0</v>
      </c>
      <c r="L19" s="1130">
        <v>0</v>
      </c>
      <c r="M19" s="251">
        <v>0</v>
      </c>
      <c r="N19" s="251">
        <v>0</v>
      </c>
      <c r="O19" s="251">
        <v>0</v>
      </c>
      <c r="P19" s="251">
        <v>0</v>
      </c>
      <c r="Q19" s="252">
        <v>0</v>
      </c>
      <c r="R19" s="251"/>
      <c r="S19" s="243"/>
      <c r="T19" s="1127"/>
    </row>
    <row r="20" spans="1:20" outlineLevel="2">
      <c r="A20" s="613" t="s">
        <v>81</v>
      </c>
      <c r="B20" s="613" t="s">
        <v>121</v>
      </c>
      <c r="C20" s="613"/>
      <c r="D20" s="239"/>
      <c r="E20" s="1145">
        <v>0</v>
      </c>
      <c r="F20" s="240">
        <v>0</v>
      </c>
      <c r="G20" s="240">
        <v>-1</v>
      </c>
      <c r="H20" s="240">
        <v>-1</v>
      </c>
      <c r="I20" s="240">
        <v>1</v>
      </c>
      <c r="J20" s="240">
        <v>-1</v>
      </c>
      <c r="K20" s="1146">
        <v>0</v>
      </c>
      <c r="L20" s="1130">
        <v>-1</v>
      </c>
      <c r="M20" s="251">
        <v>0</v>
      </c>
      <c r="N20" s="251">
        <v>0</v>
      </c>
      <c r="O20" s="251">
        <v>0</v>
      </c>
      <c r="P20" s="251">
        <v>-1</v>
      </c>
      <c r="Q20" s="252">
        <v>0</v>
      </c>
      <c r="R20" s="251"/>
      <c r="S20" s="243"/>
      <c r="T20" s="1127"/>
    </row>
    <row r="21" spans="1:20" ht="15.75" outlineLevel="2">
      <c r="A21" s="244" t="s">
        <v>81</v>
      </c>
      <c r="B21" s="244"/>
      <c r="C21" s="245"/>
      <c r="D21" s="245" t="s">
        <v>122</v>
      </c>
      <c r="E21" s="1147">
        <f t="shared" ref="E21:R21" si="8">+E18/E17</f>
        <v>0</v>
      </c>
      <c r="F21" s="246">
        <f t="shared" si="8"/>
        <v>7.1428571428571425E-2</v>
      </c>
      <c r="G21" s="246">
        <f t="shared" si="8"/>
        <v>0</v>
      </c>
      <c r="H21" s="246">
        <f t="shared" si="8"/>
        <v>7.6923076923076927E-2</v>
      </c>
      <c r="I21" s="246">
        <f t="shared" si="8"/>
        <v>9.0909090909090912E-2</v>
      </c>
      <c r="J21" s="246">
        <f t="shared" si="8"/>
        <v>0</v>
      </c>
      <c r="K21" s="1148">
        <f t="shared" si="8"/>
        <v>0</v>
      </c>
      <c r="L21" s="1128">
        <f t="shared" si="8"/>
        <v>9.0909090909090912E-2</v>
      </c>
      <c r="M21" s="247">
        <f t="shared" si="8"/>
        <v>0</v>
      </c>
      <c r="N21" s="247">
        <f t="shared" si="8"/>
        <v>0</v>
      </c>
      <c r="O21" s="247">
        <f t="shared" si="8"/>
        <v>0</v>
      </c>
      <c r="P21" s="247">
        <f t="shared" si="8"/>
        <v>0</v>
      </c>
      <c r="Q21" s="248">
        <f t="shared" si="8"/>
        <v>0</v>
      </c>
      <c r="R21" s="247">
        <f t="shared" si="8"/>
        <v>0</v>
      </c>
      <c r="S21" s="249"/>
      <c r="T21" s="1129"/>
    </row>
    <row r="22" spans="1:20" ht="15.75" outlineLevel="2">
      <c r="A22" s="244" t="s">
        <v>81</v>
      </c>
      <c r="B22" s="244"/>
      <c r="C22" s="245"/>
      <c r="D22" s="245" t="s">
        <v>1</v>
      </c>
      <c r="E22" s="1147">
        <v>0.33501400560224093</v>
      </c>
      <c r="F22" s="246">
        <v>0.40644257703081232</v>
      </c>
      <c r="G22" s="246">
        <v>0.40644257703081232</v>
      </c>
      <c r="H22" s="246">
        <v>0.48336565395388925</v>
      </c>
      <c r="I22" s="246">
        <v>0.57427474486298014</v>
      </c>
      <c r="J22" s="246">
        <v>0.57427474486298014</v>
      </c>
      <c r="K22" s="1148">
        <v>0.57427474486298014</v>
      </c>
      <c r="L22" s="1128">
        <f>+L21</f>
        <v>9.0909090909090912E-2</v>
      </c>
      <c r="M22" s="247">
        <f>+M21+L22</f>
        <v>9.0909090909090912E-2</v>
      </c>
      <c r="N22" s="247">
        <f>+N21+M22</f>
        <v>9.0909090909090912E-2</v>
      </c>
      <c r="O22" s="247">
        <f>+O21+N22</f>
        <v>9.0909090909090912E-2</v>
      </c>
      <c r="P22" s="247">
        <f>+P21+O22</f>
        <v>9.0909090909090912E-2</v>
      </c>
      <c r="Q22" s="248">
        <f>+Q21+P22</f>
        <v>9.0909090909090912E-2</v>
      </c>
      <c r="R22" s="247">
        <f t="shared" ref="R22" si="9">+R21+Q22</f>
        <v>9.0909090909090912E-2</v>
      </c>
      <c r="S22" s="249" t="s">
        <v>372</v>
      </c>
      <c r="T22" s="1129">
        <f>IFERROR(Q22/E22-1,100%)</f>
        <v>-0.72864092429309824</v>
      </c>
    </row>
    <row r="23" spans="1:20" outlineLevel="2">
      <c r="A23" s="612" t="s">
        <v>149</v>
      </c>
      <c r="B23" s="612" t="s">
        <v>118</v>
      </c>
      <c r="C23" s="612"/>
      <c r="D23" s="229"/>
      <c r="E23" s="1141">
        <v>16</v>
      </c>
      <c r="F23" s="230">
        <f t="shared" ref="F23:R23" si="10">+E23+E25+E26-E24</f>
        <v>16</v>
      </c>
      <c r="G23" s="230">
        <f t="shared" si="10"/>
        <v>17</v>
      </c>
      <c r="H23" s="230">
        <f t="shared" si="10"/>
        <v>17</v>
      </c>
      <c r="I23" s="230">
        <f t="shared" si="10"/>
        <v>17</v>
      </c>
      <c r="J23" s="230">
        <f t="shared" si="10"/>
        <v>16</v>
      </c>
      <c r="K23" s="1142">
        <f t="shared" si="10"/>
        <v>14</v>
      </c>
      <c r="L23" s="1122">
        <f t="shared" si="10"/>
        <v>14</v>
      </c>
      <c r="M23" s="231">
        <f t="shared" si="10"/>
        <v>20</v>
      </c>
      <c r="N23" s="231">
        <f t="shared" si="10"/>
        <v>19</v>
      </c>
      <c r="O23" s="231">
        <f t="shared" si="10"/>
        <v>19</v>
      </c>
      <c r="P23" s="231">
        <f t="shared" si="10"/>
        <v>18</v>
      </c>
      <c r="Q23" s="232">
        <f t="shared" si="10"/>
        <v>18</v>
      </c>
      <c r="R23" s="231">
        <f t="shared" si="10"/>
        <v>19</v>
      </c>
      <c r="S23" s="233"/>
      <c r="T23" s="1123"/>
    </row>
    <row r="24" spans="1:20" outlineLevel="2">
      <c r="A24" s="613" t="s">
        <v>149</v>
      </c>
      <c r="B24" s="253" t="s">
        <v>119</v>
      </c>
      <c r="C24" s="613"/>
      <c r="D24" s="235"/>
      <c r="E24" s="1143">
        <v>0</v>
      </c>
      <c r="F24" s="237">
        <v>0</v>
      </c>
      <c r="G24" s="237">
        <v>0</v>
      </c>
      <c r="H24" s="237">
        <v>0</v>
      </c>
      <c r="I24" s="237">
        <v>2</v>
      </c>
      <c r="J24" s="237">
        <v>2</v>
      </c>
      <c r="K24" s="1144">
        <v>0</v>
      </c>
      <c r="L24" s="1124">
        <v>0</v>
      </c>
      <c r="M24" s="237">
        <v>1</v>
      </c>
      <c r="N24" s="237">
        <v>0</v>
      </c>
      <c r="O24" s="237">
        <v>1</v>
      </c>
      <c r="P24" s="237">
        <v>0</v>
      </c>
      <c r="Q24" s="236">
        <v>1</v>
      </c>
      <c r="R24" s="237"/>
      <c r="S24" s="238"/>
      <c r="T24" s="1125"/>
    </row>
    <row r="25" spans="1:20" outlineLevel="2">
      <c r="A25" s="613" t="s">
        <v>149</v>
      </c>
      <c r="B25" s="254" t="s">
        <v>120</v>
      </c>
      <c r="C25" s="613"/>
      <c r="D25" s="239"/>
      <c r="E25" s="1145">
        <v>0</v>
      </c>
      <c r="F25" s="240">
        <v>1</v>
      </c>
      <c r="G25" s="240">
        <v>0</v>
      </c>
      <c r="H25" s="240">
        <v>0</v>
      </c>
      <c r="I25" s="240">
        <v>1</v>
      </c>
      <c r="J25" s="240">
        <v>0</v>
      </c>
      <c r="K25" s="1146">
        <v>0</v>
      </c>
      <c r="L25" s="1130">
        <v>1</v>
      </c>
      <c r="M25" s="251">
        <v>1</v>
      </c>
      <c r="N25" s="251">
        <v>0</v>
      </c>
      <c r="O25" s="251">
        <v>0</v>
      </c>
      <c r="P25" s="251">
        <v>0</v>
      </c>
      <c r="Q25" s="252">
        <v>2</v>
      </c>
      <c r="R25" s="251"/>
      <c r="S25" s="243"/>
      <c r="T25" s="1127"/>
    </row>
    <row r="26" spans="1:20" outlineLevel="2">
      <c r="A26" s="613" t="s">
        <v>149</v>
      </c>
      <c r="B26" s="613" t="s">
        <v>121</v>
      </c>
      <c r="C26" s="613"/>
      <c r="D26" s="239"/>
      <c r="E26" s="1145">
        <v>0</v>
      </c>
      <c r="F26" s="240">
        <v>0</v>
      </c>
      <c r="G26" s="240">
        <v>0</v>
      </c>
      <c r="H26" s="240">
        <v>0</v>
      </c>
      <c r="I26" s="240">
        <v>0</v>
      </c>
      <c r="J26" s="240">
        <v>0</v>
      </c>
      <c r="K26" s="1146">
        <v>0</v>
      </c>
      <c r="L26" s="1130">
        <v>5</v>
      </c>
      <c r="M26" s="251">
        <v>-1</v>
      </c>
      <c r="N26" s="251">
        <v>0</v>
      </c>
      <c r="O26" s="251">
        <v>0</v>
      </c>
      <c r="P26" s="251">
        <v>0</v>
      </c>
      <c r="Q26" s="252">
        <v>0</v>
      </c>
      <c r="R26" s="251"/>
      <c r="S26" s="243"/>
      <c r="T26" s="1127"/>
    </row>
    <row r="27" spans="1:20" ht="15.75" outlineLevel="2">
      <c r="A27" s="244" t="s">
        <v>149</v>
      </c>
      <c r="B27" s="244"/>
      <c r="C27" s="245"/>
      <c r="D27" s="245" t="s">
        <v>122</v>
      </c>
      <c r="E27" s="1147">
        <f t="shared" ref="E27:R27" si="11">+E24/E23</f>
        <v>0</v>
      </c>
      <c r="F27" s="246">
        <f t="shared" si="11"/>
        <v>0</v>
      </c>
      <c r="G27" s="246">
        <f t="shared" si="11"/>
        <v>0</v>
      </c>
      <c r="H27" s="246">
        <f t="shared" si="11"/>
        <v>0</v>
      </c>
      <c r="I27" s="246">
        <f t="shared" si="11"/>
        <v>0.11764705882352941</v>
      </c>
      <c r="J27" s="246">
        <f t="shared" si="11"/>
        <v>0.125</v>
      </c>
      <c r="K27" s="1148">
        <f t="shared" si="11"/>
        <v>0</v>
      </c>
      <c r="L27" s="1128">
        <f t="shared" si="11"/>
        <v>0</v>
      </c>
      <c r="M27" s="247">
        <f t="shared" si="11"/>
        <v>0.05</v>
      </c>
      <c r="N27" s="247">
        <f t="shared" si="11"/>
        <v>0</v>
      </c>
      <c r="O27" s="247">
        <f t="shared" si="11"/>
        <v>5.2631578947368418E-2</v>
      </c>
      <c r="P27" s="247">
        <f t="shared" si="11"/>
        <v>0</v>
      </c>
      <c r="Q27" s="248">
        <f t="shared" si="11"/>
        <v>5.5555555555555552E-2</v>
      </c>
      <c r="R27" s="247">
        <f t="shared" si="11"/>
        <v>0</v>
      </c>
      <c r="S27" s="249"/>
      <c r="T27" s="1129"/>
    </row>
    <row r="28" spans="1:20" ht="16.5" outlineLevel="2" thickBot="1">
      <c r="A28" s="255" t="s">
        <v>149</v>
      </c>
      <c r="B28" s="255"/>
      <c r="C28" s="256"/>
      <c r="D28" s="256" t="s">
        <v>1</v>
      </c>
      <c r="E28" s="1149">
        <v>5.8823529411764705E-2</v>
      </c>
      <c r="F28" s="257">
        <v>5.8823529411764705E-2</v>
      </c>
      <c r="G28" s="257">
        <v>5.8823529411764705E-2</v>
      </c>
      <c r="H28" s="257">
        <v>5.8823529411764705E-2</v>
      </c>
      <c r="I28" s="257">
        <v>0.1764705882352941</v>
      </c>
      <c r="J28" s="257">
        <v>0.3014705882352941</v>
      </c>
      <c r="K28" s="1150">
        <v>0.3014705882352941</v>
      </c>
      <c r="L28" s="1131">
        <f>+L27</f>
        <v>0</v>
      </c>
      <c r="M28" s="258">
        <f>+M27+L28</f>
        <v>0.05</v>
      </c>
      <c r="N28" s="258">
        <f>+N27+M28</f>
        <v>0.05</v>
      </c>
      <c r="O28" s="258">
        <f>+O27+N28</f>
        <v>0.10263157894736842</v>
      </c>
      <c r="P28" s="258">
        <f>+P27+O28</f>
        <v>0.10263157894736842</v>
      </c>
      <c r="Q28" s="259">
        <f>+Q27+P28</f>
        <v>0.15818713450292399</v>
      </c>
      <c r="R28" s="258">
        <f t="shared" ref="R28" si="12">+R27+Q28</f>
        <v>0.15818713450292399</v>
      </c>
      <c r="S28" s="260" t="s">
        <v>372</v>
      </c>
      <c r="T28" s="1132">
        <f>IFERROR(Q28/E28-1,100%)</f>
        <v>1.689181286549708</v>
      </c>
    </row>
    <row r="29" spans="1:20" ht="15.75" outlineLevel="1" thickTop="1">
      <c r="A29" s="261" t="s">
        <v>5</v>
      </c>
      <c r="B29" s="261" t="s">
        <v>118</v>
      </c>
      <c r="C29" s="261"/>
      <c r="D29" s="262"/>
      <c r="E29" s="1151">
        <v>163</v>
      </c>
      <c r="F29" s="263">
        <f t="shared" ref="F29:O29" si="13">+E29+E31+E32-E30</f>
        <v>165</v>
      </c>
      <c r="G29" s="263">
        <f t="shared" si="13"/>
        <v>162</v>
      </c>
      <c r="H29" s="263">
        <f t="shared" si="13"/>
        <v>162</v>
      </c>
      <c r="I29" s="263">
        <f t="shared" si="13"/>
        <v>164</v>
      </c>
      <c r="J29" s="263">
        <f t="shared" si="13"/>
        <v>164</v>
      </c>
      <c r="K29" s="1152">
        <f t="shared" si="13"/>
        <v>162</v>
      </c>
      <c r="L29" s="1133">
        <f t="shared" si="13"/>
        <v>159</v>
      </c>
      <c r="M29" s="264">
        <f t="shared" si="13"/>
        <v>150</v>
      </c>
      <c r="N29" s="264">
        <f t="shared" si="13"/>
        <v>152</v>
      </c>
      <c r="O29" s="264">
        <f t="shared" si="13"/>
        <v>147</v>
      </c>
      <c r="P29" s="264">
        <f>+O29+O31+O32-O30</f>
        <v>148</v>
      </c>
      <c r="Q29" s="265">
        <f>+P29+P31+P32-P30</f>
        <v>148</v>
      </c>
      <c r="R29" s="264">
        <f>+Q29+Q31+Q32-Q30</f>
        <v>155</v>
      </c>
      <c r="S29" s="266"/>
      <c r="T29" s="1134"/>
    </row>
    <row r="30" spans="1:20" outlineLevel="1">
      <c r="A30" s="613" t="s">
        <v>5</v>
      </c>
      <c r="B30" s="234" t="s">
        <v>119</v>
      </c>
      <c r="C30" s="613"/>
      <c r="D30" s="235"/>
      <c r="E30" s="1153">
        <f>SUM(E24,E18,E12,E6)</f>
        <v>1</v>
      </c>
      <c r="F30" s="237">
        <f t="shared" ref="F30:R32" si="14">SUM(F24,F18,F12,F6)</f>
        <v>7</v>
      </c>
      <c r="G30" s="237">
        <f t="shared" si="14"/>
        <v>0</v>
      </c>
      <c r="H30" s="237">
        <f t="shared" si="14"/>
        <v>6</v>
      </c>
      <c r="I30" s="237">
        <f t="shared" si="14"/>
        <v>6</v>
      </c>
      <c r="J30" s="237">
        <f t="shared" si="14"/>
        <v>7</v>
      </c>
      <c r="K30" s="1144">
        <f t="shared" si="14"/>
        <v>3</v>
      </c>
      <c r="L30" s="1124">
        <f t="shared" si="14"/>
        <v>13</v>
      </c>
      <c r="M30" s="237">
        <f t="shared" si="14"/>
        <v>4</v>
      </c>
      <c r="N30" s="237">
        <f t="shared" si="14"/>
        <v>5</v>
      </c>
      <c r="O30" s="237">
        <f t="shared" si="14"/>
        <v>4</v>
      </c>
      <c r="P30" s="237">
        <f t="shared" si="14"/>
        <v>1</v>
      </c>
      <c r="Q30" s="267">
        <f t="shared" si="14"/>
        <v>2</v>
      </c>
      <c r="R30" s="237">
        <f t="shared" si="14"/>
        <v>0</v>
      </c>
      <c r="S30" s="238"/>
      <c r="T30" s="1125"/>
    </row>
    <row r="31" spans="1:20" outlineLevel="1">
      <c r="A31" s="613" t="s">
        <v>5</v>
      </c>
      <c r="B31" s="613" t="s">
        <v>120</v>
      </c>
      <c r="C31" s="613"/>
      <c r="D31" s="239"/>
      <c r="E31" s="1154">
        <f t="shared" ref="E31:P32" si="15">SUM(E25,E19,E13,E7)</f>
        <v>3</v>
      </c>
      <c r="F31" s="240">
        <f t="shared" si="15"/>
        <v>4</v>
      </c>
      <c r="G31" s="240">
        <f t="shared" si="15"/>
        <v>0</v>
      </c>
      <c r="H31" s="240">
        <f t="shared" si="15"/>
        <v>8</v>
      </c>
      <c r="I31" s="240">
        <f t="shared" si="15"/>
        <v>6</v>
      </c>
      <c r="J31" s="240">
        <f t="shared" si="15"/>
        <v>5</v>
      </c>
      <c r="K31" s="1146">
        <f t="shared" si="15"/>
        <v>0</v>
      </c>
      <c r="L31" s="1130">
        <f t="shared" si="15"/>
        <v>4</v>
      </c>
      <c r="M31" s="251">
        <f t="shared" si="15"/>
        <v>6</v>
      </c>
      <c r="N31" s="251">
        <f t="shared" si="15"/>
        <v>0</v>
      </c>
      <c r="O31" s="251">
        <f t="shared" si="15"/>
        <v>5</v>
      </c>
      <c r="P31" s="251">
        <f t="shared" si="15"/>
        <v>1</v>
      </c>
      <c r="Q31" s="268">
        <f t="shared" si="14"/>
        <v>9</v>
      </c>
      <c r="R31" s="251">
        <f t="shared" si="14"/>
        <v>0</v>
      </c>
      <c r="S31" s="243"/>
      <c r="T31" s="1127"/>
    </row>
    <row r="32" spans="1:20" outlineLevel="1">
      <c r="A32" s="613" t="s">
        <v>5</v>
      </c>
      <c r="B32" s="613" t="s">
        <v>121</v>
      </c>
      <c r="C32" s="613"/>
      <c r="D32" s="239"/>
      <c r="E32" s="1154">
        <f t="shared" si="15"/>
        <v>0</v>
      </c>
      <c r="F32" s="240">
        <f t="shared" si="15"/>
        <v>0</v>
      </c>
      <c r="G32" s="240">
        <f t="shared" si="15"/>
        <v>0</v>
      </c>
      <c r="H32" s="240">
        <f t="shared" si="15"/>
        <v>0</v>
      </c>
      <c r="I32" s="240">
        <f t="shared" si="15"/>
        <v>0</v>
      </c>
      <c r="J32" s="240">
        <f t="shared" si="15"/>
        <v>0</v>
      </c>
      <c r="K32" s="1146">
        <f t="shared" si="15"/>
        <v>0</v>
      </c>
      <c r="L32" s="1130">
        <f t="shared" si="15"/>
        <v>0</v>
      </c>
      <c r="M32" s="251">
        <f t="shared" si="15"/>
        <v>0</v>
      </c>
      <c r="N32" s="251">
        <f t="shared" si="15"/>
        <v>0</v>
      </c>
      <c r="O32" s="251">
        <f t="shared" si="15"/>
        <v>0</v>
      </c>
      <c r="P32" s="251">
        <f t="shared" si="15"/>
        <v>0</v>
      </c>
      <c r="Q32" s="268">
        <f t="shared" si="14"/>
        <v>0</v>
      </c>
      <c r="R32" s="251">
        <f t="shared" si="14"/>
        <v>0</v>
      </c>
      <c r="S32" s="243"/>
      <c r="T32" s="1127"/>
    </row>
    <row r="33" spans="1:45" ht="15.75" outlineLevel="1">
      <c r="A33" s="244" t="s">
        <v>5</v>
      </c>
      <c r="B33" s="244"/>
      <c r="C33" s="245"/>
      <c r="D33" s="245" t="s">
        <v>122</v>
      </c>
      <c r="E33" s="1155">
        <f t="shared" ref="E33:R33" si="16">+E30/E29</f>
        <v>6.1349693251533744E-3</v>
      </c>
      <c r="F33" s="246">
        <f t="shared" si="16"/>
        <v>4.2424242424242427E-2</v>
      </c>
      <c r="G33" s="246">
        <f t="shared" si="16"/>
        <v>0</v>
      </c>
      <c r="H33" s="246">
        <f t="shared" si="16"/>
        <v>3.7037037037037035E-2</v>
      </c>
      <c r="I33" s="246">
        <f t="shared" si="16"/>
        <v>3.6585365853658534E-2</v>
      </c>
      <c r="J33" s="246">
        <f t="shared" si="16"/>
        <v>4.2682926829268296E-2</v>
      </c>
      <c r="K33" s="1148">
        <f t="shared" si="16"/>
        <v>1.8518518518518517E-2</v>
      </c>
      <c r="L33" s="1128">
        <f t="shared" si="16"/>
        <v>8.1761006289308172E-2</v>
      </c>
      <c r="M33" s="247">
        <f t="shared" si="16"/>
        <v>2.6666666666666668E-2</v>
      </c>
      <c r="N33" s="247">
        <f t="shared" si="16"/>
        <v>3.2894736842105261E-2</v>
      </c>
      <c r="O33" s="247">
        <f t="shared" si="16"/>
        <v>2.7210884353741496E-2</v>
      </c>
      <c r="P33" s="247">
        <f t="shared" si="16"/>
        <v>6.7567567567567571E-3</v>
      </c>
      <c r="Q33" s="269">
        <f t="shared" si="16"/>
        <v>1.3513513513513514E-2</v>
      </c>
      <c r="R33" s="247">
        <f t="shared" si="16"/>
        <v>0</v>
      </c>
      <c r="S33" s="249"/>
      <c r="T33" s="1129"/>
    </row>
    <row r="34" spans="1:45" ht="16.5" outlineLevel="1" thickBot="1">
      <c r="A34" s="270" t="s">
        <v>5</v>
      </c>
      <c r="B34" s="270"/>
      <c r="C34" s="271"/>
      <c r="D34" s="271" t="s">
        <v>1</v>
      </c>
      <c r="E34" s="1156">
        <v>0.16418943448022003</v>
      </c>
      <c r="F34" s="1157">
        <v>0.20661367690446245</v>
      </c>
      <c r="G34" s="1157">
        <v>0.20661367690446245</v>
      </c>
      <c r="H34" s="1157">
        <v>0.24365071394149948</v>
      </c>
      <c r="I34" s="1157">
        <v>0.28023607979515802</v>
      </c>
      <c r="J34" s="1157">
        <v>0.3229190066244263</v>
      </c>
      <c r="K34" s="1158">
        <v>0.34143752514294479</v>
      </c>
      <c r="L34" s="1135">
        <f>+L33</f>
        <v>8.1761006289308172E-2</v>
      </c>
      <c r="M34" s="1136">
        <f>+M33+L34</f>
        <v>0.10842767295597484</v>
      </c>
      <c r="N34" s="1136">
        <f>+N33+M34</f>
        <v>0.14132240979808011</v>
      </c>
      <c r="O34" s="1136">
        <f>+O33+N34</f>
        <v>0.16853329415182161</v>
      </c>
      <c r="P34" s="1136">
        <f>+P33+O34</f>
        <v>0.17529005090857835</v>
      </c>
      <c r="Q34" s="1137">
        <f>+Q33+P34</f>
        <v>0.18880356442209187</v>
      </c>
      <c r="R34" s="1136">
        <f t="shared" ref="R34" si="17">+R33+Q34</f>
        <v>0.18880356442209187</v>
      </c>
      <c r="S34" s="1138" t="s">
        <v>445</v>
      </c>
      <c r="T34" s="1139">
        <f>IFERROR(Q34/E34-1,100%)</f>
        <v>0.14991299543599501</v>
      </c>
    </row>
    <row r="35" spans="1:45" outlineLevel="1">
      <c r="A35" s="6" t="s">
        <v>117</v>
      </c>
    </row>
    <row r="36" spans="1:45">
      <c r="R36" s="667"/>
    </row>
    <row r="37" spans="1:45">
      <c r="R37" s="667"/>
    </row>
    <row r="38" spans="1:45" ht="24.75" customHeight="1">
      <c r="A38" s="1220" t="s">
        <v>29</v>
      </c>
      <c r="B38" s="1220"/>
      <c r="C38" s="1220"/>
      <c r="D38" s="1222"/>
      <c r="E38" s="1222"/>
      <c r="F38" s="1222"/>
      <c r="G38" s="1222"/>
      <c r="H38" s="1222"/>
      <c r="I38" s="1222"/>
      <c r="J38" s="1222"/>
      <c r="K38" s="1222"/>
      <c r="L38" s="1222"/>
      <c r="M38" s="1224"/>
      <c r="N38" s="1224"/>
      <c r="O38" s="1224"/>
      <c r="P38" s="1224"/>
      <c r="Q38" s="1224"/>
      <c r="R38" s="1225"/>
      <c r="S38" s="1224"/>
      <c r="T38" s="1224"/>
    </row>
    <row r="39" spans="1:45" outlineLevel="1">
      <c r="A39" s="227" t="s">
        <v>404</v>
      </c>
      <c r="B39" s="6"/>
      <c r="C39" s="6"/>
      <c r="D39" s="6"/>
      <c r="E39" s="6"/>
      <c r="F39" s="6"/>
      <c r="G39" s="6"/>
      <c r="H39" s="6"/>
      <c r="I39" s="6"/>
      <c r="J39" s="6"/>
      <c r="K39" s="6"/>
      <c r="L39" s="6"/>
      <c r="AJ39" s="668"/>
    </row>
    <row r="40" spans="1:45" ht="14.45" customHeight="1" outlineLevel="1">
      <c r="A40" s="6"/>
      <c r="B40" s="6"/>
      <c r="C40" s="6"/>
      <c r="D40" s="1753" t="s">
        <v>500</v>
      </c>
      <c r="E40" s="1753"/>
      <c r="F40" s="1753"/>
      <c r="G40" s="1753"/>
      <c r="H40" s="1753"/>
      <c r="I40" s="6"/>
      <c r="L40" s="1753" t="s">
        <v>369</v>
      </c>
      <c r="M40" s="1753"/>
      <c r="N40" s="1753"/>
      <c r="O40" s="1753"/>
      <c r="P40" s="1753"/>
      <c r="V40" s="1754" t="s">
        <v>74</v>
      </c>
      <c r="W40" s="1754"/>
      <c r="X40" s="1754"/>
      <c r="Y40" s="1754"/>
      <c r="AB40" s="1755" t="s">
        <v>1</v>
      </c>
      <c r="AC40" s="1755"/>
      <c r="AD40" s="1755"/>
      <c r="AE40" s="1755"/>
      <c r="AH40" s="643"/>
      <c r="AI40" s="1756" t="s">
        <v>13</v>
      </c>
      <c r="AJ40" s="1757"/>
      <c r="AK40" s="1758"/>
      <c r="AL40" s="1752" t="s">
        <v>143</v>
      </c>
      <c r="AM40" s="1752"/>
      <c r="AN40" s="1752"/>
    </row>
    <row r="41" spans="1:45" ht="63" outlineLevel="1">
      <c r="A41" s="669" t="s">
        <v>0</v>
      </c>
      <c r="B41" s="669"/>
      <c r="C41" s="669"/>
      <c r="D41" s="670" t="s">
        <v>104</v>
      </c>
      <c r="E41" s="670" t="s">
        <v>103</v>
      </c>
      <c r="F41" s="671" t="s">
        <v>105</v>
      </c>
      <c r="G41" s="670" t="s">
        <v>501</v>
      </c>
      <c r="H41" s="672" t="s">
        <v>30</v>
      </c>
      <c r="I41" s="673" t="s">
        <v>12</v>
      </c>
      <c r="J41" s="674" t="s">
        <v>28</v>
      </c>
      <c r="K41" s="6"/>
      <c r="L41" s="670" t="s">
        <v>99</v>
      </c>
      <c r="M41" s="670" t="s">
        <v>102</v>
      </c>
      <c r="N41" s="671" t="s">
        <v>105</v>
      </c>
      <c r="O41" s="670" t="s">
        <v>100</v>
      </c>
      <c r="P41" s="672" t="s">
        <v>30</v>
      </c>
      <c r="Q41" s="673" t="s">
        <v>12</v>
      </c>
      <c r="R41" s="674" t="s">
        <v>28</v>
      </c>
      <c r="S41" s="673" t="s">
        <v>335</v>
      </c>
      <c r="T41" s="639" t="s">
        <v>368</v>
      </c>
      <c r="V41" s="675" t="s">
        <v>140</v>
      </c>
      <c r="W41" s="675" t="s">
        <v>144</v>
      </c>
      <c r="X41" s="675" t="s">
        <v>141</v>
      </c>
      <c r="Y41" s="676" t="s">
        <v>77</v>
      </c>
      <c r="Z41" s="675" t="s">
        <v>142</v>
      </c>
      <c r="AB41" s="677" t="s">
        <v>140</v>
      </c>
      <c r="AC41" s="677" t="s">
        <v>144</v>
      </c>
      <c r="AD41" s="677" t="s">
        <v>141</v>
      </c>
      <c r="AE41" s="678" t="s">
        <v>77</v>
      </c>
      <c r="AF41" s="675" t="s">
        <v>142</v>
      </c>
      <c r="AH41" s="679" t="s">
        <v>337</v>
      </c>
      <c r="AI41" s="680" t="s">
        <v>80</v>
      </c>
      <c r="AJ41" s="675" t="s">
        <v>77</v>
      </c>
      <c r="AK41" s="681" t="s">
        <v>142</v>
      </c>
      <c r="AL41" s="675" t="s">
        <v>326</v>
      </c>
      <c r="AM41" s="675" t="s">
        <v>77</v>
      </c>
      <c r="AN41" s="675" t="s">
        <v>142</v>
      </c>
      <c r="AP41" s="675" t="s">
        <v>145</v>
      </c>
      <c r="AQ41" s="675" t="s">
        <v>146</v>
      </c>
      <c r="AR41" s="675" t="s">
        <v>142</v>
      </c>
      <c r="AS41" s="675" t="s">
        <v>147</v>
      </c>
    </row>
    <row r="42" spans="1:45" ht="13.9" customHeight="1" outlineLevel="1">
      <c r="A42" s="612" t="s">
        <v>2</v>
      </c>
      <c r="B42" s="612"/>
      <c r="C42" s="612"/>
      <c r="D42" s="272">
        <v>4922.5</v>
      </c>
      <c r="E42" s="272">
        <v>1181</v>
      </c>
      <c r="F42" s="273">
        <f>+E42/D42</f>
        <v>0.23991874047739969</v>
      </c>
      <c r="G42" s="272">
        <v>1085.5</v>
      </c>
      <c r="H42" s="274">
        <f t="shared" ref="H42:H47" si="18">+G42/D42</f>
        <v>0.22051802945657695</v>
      </c>
      <c r="I42" s="273">
        <v>7.4999999999999997E-2</v>
      </c>
      <c r="J42" s="53">
        <f>H42-I42</f>
        <v>0.14551802945657694</v>
      </c>
      <c r="K42" s="275"/>
      <c r="L42" s="272">
        <v>27484.5</v>
      </c>
      <c r="M42" s="272">
        <v>7124</v>
      </c>
      <c r="N42" s="273">
        <f>+M42/L42</f>
        <v>0.25920064036093071</v>
      </c>
      <c r="O42" s="272">
        <v>5418.5</v>
      </c>
      <c r="P42" s="274">
        <f t="shared" ref="P42:P47" si="19">+O42/L42</f>
        <v>0.19714748312685332</v>
      </c>
      <c r="Q42" s="273">
        <v>7.4999999999999997E-2</v>
      </c>
      <c r="R42" s="53">
        <f t="shared" ref="R42:R47" si="20">P42-Q42</f>
        <v>0.12214748312685332</v>
      </c>
      <c r="S42" s="276">
        <v>0.10604720928396622</v>
      </c>
      <c r="T42" s="53">
        <f t="shared" ref="T42:T47" si="21">P42/S42-1</f>
        <v>0.85905394831225412</v>
      </c>
      <c r="V42" s="682">
        <v>193.5</v>
      </c>
      <c r="W42" s="683">
        <f>+D42/V42</f>
        <v>25.439276485788113</v>
      </c>
      <c r="X42" s="683">
        <f>+E42/V42</f>
        <v>6.1033591731266146</v>
      </c>
      <c r="Y42" s="684">
        <f t="shared" ref="Y42:Y46" si="22">+W42-X42</f>
        <v>19.3359173126615</v>
      </c>
      <c r="Z42" s="667">
        <f>+Y42/W42-1</f>
        <v>-0.23991874047739958</v>
      </c>
      <c r="AB42" s="685">
        <v>1105</v>
      </c>
      <c r="AC42" s="683">
        <f>+L42/AB42</f>
        <v>24.87285067873303</v>
      </c>
      <c r="AD42" s="683">
        <f>+M42/AB42</f>
        <v>6.447058823529412</v>
      </c>
      <c r="AE42" s="684">
        <f t="shared" ref="AE42:AE46" si="23">+AC42-AD42</f>
        <v>18.42579185520362</v>
      </c>
      <c r="AF42" s="667">
        <f>+AE42/AC42-1</f>
        <v>-0.2592006403609306</v>
      </c>
      <c r="AH42" s="684">
        <v>26</v>
      </c>
      <c r="AI42" s="686">
        <v>44</v>
      </c>
      <c r="AJ42" s="683">
        <v>35.58</v>
      </c>
      <c r="AK42" s="687">
        <f>+AJ42/AI42-1</f>
        <v>-0.1913636363636364</v>
      </c>
      <c r="AL42" s="688">
        <f t="shared" ref="AL42:AL46" si="24">+AH42-AI42</f>
        <v>-18</v>
      </c>
      <c r="AM42" s="688">
        <f t="shared" ref="AM42:AM46" si="25">+AE42-AJ42</f>
        <v>-17.154208144796378</v>
      </c>
      <c r="AN42" s="277">
        <f t="shared" ref="AN42:AN46" si="26">-AF42+AK42</f>
        <v>6.7837003997294198E-2</v>
      </c>
      <c r="AP42" s="12">
        <f>+AH42/AI42</f>
        <v>0.59090909090909094</v>
      </c>
      <c r="AQ42" s="689">
        <f>+AM42*(1+AN42)</f>
        <v>-18.317898231285348</v>
      </c>
      <c r="AR42" s="12">
        <f>AQ42/AI42</f>
        <v>-0.41631586889284883</v>
      </c>
      <c r="AS42" s="278">
        <f>+AF42/AK42</f>
        <v>1.3544926574680456</v>
      </c>
    </row>
    <row r="43" spans="1:45" outlineLevel="1">
      <c r="A43" s="613" t="s">
        <v>3</v>
      </c>
      <c r="B43" s="613"/>
      <c r="C43" s="613"/>
      <c r="D43" s="279">
        <v>16157</v>
      </c>
      <c r="E43" s="279">
        <v>2117.5</v>
      </c>
      <c r="F43" s="280">
        <f t="shared" ref="F43:F47" si="27">+E43/D43</f>
        <v>0.13105774586866373</v>
      </c>
      <c r="G43" s="279">
        <v>1058</v>
      </c>
      <c r="H43" s="281">
        <f t="shared" si="18"/>
        <v>6.5482453425759729E-2</v>
      </c>
      <c r="I43" s="280">
        <v>7.4999999999999997E-2</v>
      </c>
      <c r="J43" s="56">
        <f t="shared" ref="J43:J46" si="28">H43-I43</f>
        <v>-9.5175465742402682E-3</v>
      </c>
      <c r="K43" s="6"/>
      <c r="L43" s="279">
        <v>90887</v>
      </c>
      <c r="M43" s="279">
        <v>14524.5</v>
      </c>
      <c r="N43" s="280">
        <f t="shared" ref="N43:N47" si="29">+M43/L43</f>
        <v>0.15980833342502229</v>
      </c>
      <c r="O43" s="279">
        <v>7741</v>
      </c>
      <c r="P43" s="281">
        <f t="shared" si="19"/>
        <v>8.5171696722303514E-2</v>
      </c>
      <c r="Q43" s="280">
        <v>7.4999999999999997E-2</v>
      </c>
      <c r="R43" s="56">
        <f t="shared" si="20"/>
        <v>1.0171696722303517E-2</v>
      </c>
      <c r="S43" s="282">
        <v>7.1747596085698154E-2</v>
      </c>
      <c r="T43" s="56">
        <f t="shared" si="21"/>
        <v>0.18710174791878864</v>
      </c>
      <c r="V43" s="682">
        <v>193.5</v>
      </c>
      <c r="W43" s="683">
        <f>+D43/V43</f>
        <v>83.498708010335918</v>
      </c>
      <c r="X43" s="683">
        <f>+E43/V43</f>
        <v>10.943152454780362</v>
      </c>
      <c r="Y43" s="684">
        <f t="shared" si="22"/>
        <v>72.555555555555557</v>
      </c>
      <c r="Z43" s="667">
        <f>+Y43/W43-1</f>
        <v>-0.1310577458686637</v>
      </c>
      <c r="AB43" s="685">
        <v>1105</v>
      </c>
      <c r="AC43" s="683">
        <f>+L43/AB43</f>
        <v>82.250678733031677</v>
      </c>
      <c r="AD43" s="683">
        <f>+M43/AB43</f>
        <v>13.144343891402714</v>
      </c>
      <c r="AE43" s="684">
        <f t="shared" si="23"/>
        <v>69.106334841628964</v>
      </c>
      <c r="AF43" s="667">
        <f>+AE43/AC43-1</f>
        <v>-0.15980833342502221</v>
      </c>
      <c r="AH43" s="684">
        <v>84</v>
      </c>
      <c r="AI43" s="686">
        <v>85</v>
      </c>
      <c r="AJ43" s="683">
        <v>69.599999999999994</v>
      </c>
      <c r="AK43" s="687">
        <f>+AJ43/AI43-1</f>
        <v>-0.18117647058823538</v>
      </c>
      <c r="AL43" s="688">
        <f t="shared" si="24"/>
        <v>-1</v>
      </c>
      <c r="AM43" s="688">
        <f t="shared" si="25"/>
        <v>-0.49366515837103009</v>
      </c>
      <c r="AN43" s="283">
        <f t="shared" si="26"/>
        <v>-2.1368137163213174E-2</v>
      </c>
      <c r="AP43" s="198">
        <f t="shared" ref="AP43:AP46" si="30">+AH43/AI43</f>
        <v>0.9882352941176471</v>
      </c>
      <c r="AQ43" s="689">
        <f t="shared" ref="AQ43:AQ46" si="31">+AM43*(1+AN43)</f>
        <v>-0.48311645355425858</v>
      </c>
      <c r="AR43" s="198">
        <f t="shared" ref="AR43:AR46" si="32">AQ43/AI43</f>
        <v>-5.6837229829912773E-3</v>
      </c>
      <c r="AS43" s="284">
        <f t="shared" ref="AS43:AS45" si="33">+AF43/AK43</f>
        <v>0.88205898319005727</v>
      </c>
    </row>
    <row r="44" spans="1:45" outlineLevel="1">
      <c r="A44" s="613" t="s">
        <v>4</v>
      </c>
      <c r="B44" s="613"/>
      <c r="C44" s="613"/>
      <c r="D44" s="279">
        <v>967.5</v>
      </c>
      <c r="E44" s="279">
        <v>112.5</v>
      </c>
      <c r="F44" s="280">
        <f t="shared" si="27"/>
        <v>0.11627906976744186</v>
      </c>
      <c r="G44" s="279">
        <v>25.5</v>
      </c>
      <c r="H44" s="281">
        <f t="shared" si="18"/>
        <v>2.6356589147286821E-2</v>
      </c>
      <c r="I44" s="280">
        <v>7.4999999999999997E-2</v>
      </c>
      <c r="J44" s="56">
        <f t="shared" si="28"/>
        <v>-4.8643410852713176E-2</v>
      </c>
      <c r="K44" s="6"/>
      <c r="L44" s="279">
        <v>4697.5</v>
      </c>
      <c r="M44" s="279">
        <v>441</v>
      </c>
      <c r="N44" s="280">
        <f t="shared" si="29"/>
        <v>9.3879723257051628E-2</v>
      </c>
      <c r="O44" s="279">
        <v>123.5</v>
      </c>
      <c r="P44" s="281">
        <f t="shared" si="19"/>
        <v>2.6290580095795636E-2</v>
      </c>
      <c r="Q44" s="280">
        <v>7.4999999999999997E-2</v>
      </c>
      <c r="R44" s="56">
        <f t="shared" si="20"/>
        <v>-4.8709419904204361E-2</v>
      </c>
      <c r="S44" s="282">
        <v>0.13737623762376239</v>
      </c>
      <c r="T44" s="56">
        <f t="shared" si="21"/>
        <v>-0.80862352506844259</v>
      </c>
      <c r="V44" s="682">
        <v>193.5</v>
      </c>
      <c r="W44" s="683">
        <f>+D44/V44</f>
        <v>5</v>
      </c>
      <c r="X44" s="683">
        <f>+E44/V44</f>
        <v>0.58139534883720934</v>
      </c>
      <c r="Y44" s="684">
        <f t="shared" si="22"/>
        <v>4.4186046511627906</v>
      </c>
      <c r="Z44" s="667">
        <f t="shared" ref="Z44:Z46" si="34">+Y44/W44-1</f>
        <v>-0.11627906976744184</v>
      </c>
      <c r="AB44" s="685">
        <v>1105</v>
      </c>
      <c r="AC44" s="683">
        <f>+L44/AB44</f>
        <v>4.251131221719457</v>
      </c>
      <c r="AD44" s="683">
        <f>+M44/AB44</f>
        <v>0.39909502262443441</v>
      </c>
      <c r="AE44" s="684">
        <f t="shared" si="23"/>
        <v>3.8520361990950227</v>
      </c>
      <c r="AF44" s="667">
        <f t="shared" ref="AF44:AF46" si="35">+AE44/AC44-1</f>
        <v>-9.3879723257051628E-2</v>
      </c>
      <c r="AH44" s="684">
        <v>5</v>
      </c>
      <c r="AI44" s="686">
        <v>6</v>
      </c>
      <c r="AJ44" s="683">
        <v>4.9000000000000004</v>
      </c>
      <c r="AK44" s="687">
        <f t="shared" ref="AK44:AK46" si="36">+AJ44/AI44-1</f>
        <v>-0.18333333333333324</v>
      </c>
      <c r="AL44" s="688">
        <f t="shared" si="24"/>
        <v>-1</v>
      </c>
      <c r="AM44" s="688">
        <f t="shared" si="25"/>
        <v>-1.0479638009049776</v>
      </c>
      <c r="AN44" s="283">
        <f t="shared" si="26"/>
        <v>-8.9453610076281609E-2</v>
      </c>
      <c r="AP44" s="198">
        <f t="shared" si="30"/>
        <v>0.83333333333333337</v>
      </c>
      <c r="AQ44" s="689">
        <f t="shared" si="31"/>
        <v>-0.95421965568476574</v>
      </c>
      <c r="AR44" s="198">
        <f t="shared" si="32"/>
        <v>-0.1590366092807943</v>
      </c>
      <c r="AS44" s="284">
        <f t="shared" si="33"/>
        <v>0.51207121776573639</v>
      </c>
    </row>
    <row r="45" spans="1:45" outlineLevel="1">
      <c r="A45" s="285" t="s">
        <v>98</v>
      </c>
      <c r="B45" s="285"/>
      <c r="C45" s="285"/>
      <c r="D45" s="286">
        <f>SUM(D42:D44)</f>
        <v>22047</v>
      </c>
      <c r="E45" s="286">
        <f>SUM(E42:E44)</f>
        <v>3411</v>
      </c>
      <c r="F45" s="287">
        <f t="shared" si="27"/>
        <v>0.15471492720097973</v>
      </c>
      <c r="G45" s="286">
        <f>SUM(G42:G44)</f>
        <v>2169</v>
      </c>
      <c r="H45" s="287">
        <f t="shared" si="18"/>
        <v>9.83807320723908E-2</v>
      </c>
      <c r="I45" s="287">
        <v>7.4999999999999997E-2</v>
      </c>
      <c r="J45" s="288">
        <f t="shared" si="28"/>
        <v>2.3380732072390803E-2</v>
      </c>
      <c r="K45" s="6"/>
      <c r="L45" s="286">
        <f>SUM(L42:L44)</f>
        <v>123069</v>
      </c>
      <c r="M45" s="286">
        <f>SUM(M42:M44)</f>
        <v>22089.5</v>
      </c>
      <c r="N45" s="287">
        <f t="shared" si="29"/>
        <v>0.17948874208777191</v>
      </c>
      <c r="O45" s="286">
        <f>SUM(O42:O44)</f>
        <v>13283</v>
      </c>
      <c r="P45" s="287">
        <f t="shared" si="19"/>
        <v>0.10793132307892321</v>
      </c>
      <c r="Q45" s="287">
        <v>7.4999999999999997E-2</v>
      </c>
      <c r="R45" s="288">
        <f t="shared" si="20"/>
        <v>3.2931323078923214E-2</v>
      </c>
      <c r="S45" s="289">
        <v>8.3647462354717234E-2</v>
      </c>
      <c r="T45" s="288">
        <f t="shared" si="21"/>
        <v>0.29031198365859945</v>
      </c>
      <c r="U45" s="690"/>
      <c r="V45" s="691">
        <v>193.5</v>
      </c>
      <c r="W45" s="691">
        <f>+D45/V45</f>
        <v>113.93798449612403</v>
      </c>
      <c r="X45" s="691">
        <f>+E45/V45</f>
        <v>17.627906976744185</v>
      </c>
      <c r="Y45" s="691">
        <f t="shared" si="22"/>
        <v>96.310077519379846</v>
      </c>
      <c r="Z45" s="692">
        <f t="shared" si="34"/>
        <v>-0.15471492720097968</v>
      </c>
      <c r="AB45" s="693">
        <v>1105</v>
      </c>
      <c r="AC45" s="691">
        <f>+L45/AB45</f>
        <v>111.37466063348417</v>
      </c>
      <c r="AD45" s="691">
        <f>+M45/AB45</f>
        <v>19.990497737556559</v>
      </c>
      <c r="AE45" s="691">
        <f t="shared" si="23"/>
        <v>91.384162895927602</v>
      </c>
      <c r="AF45" s="692">
        <f t="shared" si="35"/>
        <v>-0.17948874208777199</v>
      </c>
      <c r="AH45" s="691">
        <f>SUBTOTAL(9,AH42:AH44)</f>
        <v>115</v>
      </c>
      <c r="AI45" s="694">
        <f>SUM(AI42:AI44)</f>
        <v>135</v>
      </c>
      <c r="AJ45" s="691">
        <f>SUM(AJ42:AJ44)</f>
        <v>110.08</v>
      </c>
      <c r="AK45" s="695">
        <f t="shared" si="36"/>
        <v>-0.18459259259259264</v>
      </c>
      <c r="AL45" s="696">
        <f t="shared" si="24"/>
        <v>-20</v>
      </c>
      <c r="AM45" s="696">
        <f t="shared" si="25"/>
        <v>-18.695837104072396</v>
      </c>
      <c r="AN45" s="290">
        <f t="shared" si="26"/>
        <v>-5.1038505048206506E-3</v>
      </c>
      <c r="AP45" s="291">
        <f t="shared" si="30"/>
        <v>0.85185185185185186</v>
      </c>
      <c r="AQ45" s="697">
        <f>SUM(AQ42:AQ44)</f>
        <v>-19.755234340524375</v>
      </c>
      <c r="AR45" s="291">
        <f t="shared" si="32"/>
        <v>-0.14633506918906944</v>
      </c>
      <c r="AS45" s="292">
        <f t="shared" si="33"/>
        <v>0.97235072960871638</v>
      </c>
    </row>
    <row r="46" spans="1:45" ht="15.75" outlineLevel="1" thickBot="1">
      <c r="A46" s="293" t="s">
        <v>27</v>
      </c>
      <c r="B46" s="293"/>
      <c r="C46" s="293"/>
      <c r="D46" s="294">
        <v>8032</v>
      </c>
      <c r="E46" s="294">
        <v>465</v>
      </c>
      <c r="F46" s="295">
        <f t="shared" si="27"/>
        <v>5.7893426294820714E-2</v>
      </c>
      <c r="G46" s="294">
        <v>359.5</v>
      </c>
      <c r="H46" s="296">
        <f t="shared" si="18"/>
        <v>4.4758466135458169E-2</v>
      </c>
      <c r="I46" s="295">
        <v>7.4999999999999997E-2</v>
      </c>
      <c r="J46" s="297">
        <f t="shared" si="28"/>
        <v>-3.0241533864541828E-2</v>
      </c>
      <c r="K46" s="6"/>
      <c r="L46" s="294">
        <v>45554</v>
      </c>
      <c r="M46" s="294">
        <v>3563.5</v>
      </c>
      <c r="N46" s="295">
        <f t="shared" si="29"/>
        <v>7.8225841858014664E-2</v>
      </c>
      <c r="O46" s="294">
        <v>1909</v>
      </c>
      <c r="P46" s="296">
        <f t="shared" si="19"/>
        <v>4.1906308995916935E-2</v>
      </c>
      <c r="Q46" s="295">
        <v>7.4999999999999997E-2</v>
      </c>
      <c r="R46" s="297">
        <f t="shared" si="20"/>
        <v>-3.3093691004083062E-2</v>
      </c>
      <c r="S46" s="298">
        <v>4.1861000748546096E-2</v>
      </c>
      <c r="T46" s="297">
        <f t="shared" si="21"/>
        <v>1.0823498378120799E-3</v>
      </c>
      <c r="V46" s="698">
        <v>193.5</v>
      </c>
      <c r="W46" s="698">
        <f>+D46/V46</f>
        <v>41.509043927648577</v>
      </c>
      <c r="X46" s="698">
        <f>+E46/V46</f>
        <v>2.4031007751937983</v>
      </c>
      <c r="Y46" s="698">
        <f t="shared" si="22"/>
        <v>39.105943152454778</v>
      </c>
      <c r="Z46" s="699">
        <f t="shared" si="34"/>
        <v>-5.7893426294820749E-2</v>
      </c>
      <c r="AB46" s="700">
        <v>1105</v>
      </c>
      <c r="AC46" s="698">
        <f>+L46/AB46</f>
        <v>41.22533936651584</v>
      </c>
      <c r="AD46" s="698">
        <f>+M46/AB46</f>
        <v>3.2248868778280544</v>
      </c>
      <c r="AE46" s="698">
        <f t="shared" si="23"/>
        <v>38.000452488687785</v>
      </c>
      <c r="AF46" s="699">
        <f t="shared" si="35"/>
        <v>-7.8225841858014733E-2</v>
      </c>
      <c r="AH46" s="698">
        <v>40</v>
      </c>
      <c r="AI46" s="701">
        <v>44</v>
      </c>
      <c r="AJ46" s="698">
        <v>39</v>
      </c>
      <c r="AK46" s="702">
        <f t="shared" si="36"/>
        <v>-0.11363636363636365</v>
      </c>
      <c r="AL46" s="703">
        <f t="shared" si="24"/>
        <v>-4</v>
      </c>
      <c r="AM46" s="703">
        <f t="shared" si="25"/>
        <v>-0.99954751131221542</v>
      </c>
      <c r="AN46" s="299">
        <f t="shared" si="26"/>
        <v>-3.5410521778348913E-2</v>
      </c>
      <c r="AP46" s="300">
        <f t="shared" si="30"/>
        <v>0.90909090909090906</v>
      </c>
      <c r="AQ46" s="704">
        <f t="shared" si="31"/>
        <v>-0.96415301239439977</v>
      </c>
      <c r="AR46" s="300">
        <f t="shared" si="32"/>
        <v>-2.1912568463509086E-2</v>
      </c>
      <c r="AS46" s="301">
        <f>IFERROR(AF46/AK46,0)</f>
        <v>0.68838740835052958</v>
      </c>
    </row>
    <row r="47" spans="1:45" ht="15.75" outlineLevel="1">
      <c r="A47" s="302" t="s">
        <v>5</v>
      </c>
      <c r="B47" s="302"/>
      <c r="C47" s="302"/>
      <c r="D47" s="303">
        <f>SUM(D45:D46)</f>
        <v>30079</v>
      </c>
      <c r="E47" s="303">
        <f>SUM(E45:E46)</f>
        <v>3876</v>
      </c>
      <c r="F47" s="304">
        <f t="shared" si="27"/>
        <v>0.1288606669104691</v>
      </c>
      <c r="G47" s="303">
        <f>SUM(G45:G46)</f>
        <v>2528.5</v>
      </c>
      <c r="H47" s="305">
        <f t="shared" si="18"/>
        <v>8.406197014528409E-2</v>
      </c>
      <c r="I47" s="306">
        <v>7.4999999999999997E-2</v>
      </c>
      <c r="J47" s="307">
        <f>H47-I47</f>
        <v>9.0619701452840928E-3</v>
      </c>
      <c r="K47" s="6"/>
      <c r="L47" s="303">
        <f>SUM(L45:L46)</f>
        <v>168623</v>
      </c>
      <c r="M47" s="303">
        <f>SUM(M45:M46)</f>
        <v>25653</v>
      </c>
      <c r="N47" s="304">
        <f t="shared" si="29"/>
        <v>0.15213227139832644</v>
      </c>
      <c r="O47" s="303">
        <f>SUM(O45:O46)</f>
        <v>15192</v>
      </c>
      <c r="P47" s="305">
        <f t="shared" si="19"/>
        <v>9.0094471098248752E-2</v>
      </c>
      <c r="Q47" s="306">
        <v>7.4999999999999997E-2</v>
      </c>
      <c r="R47" s="307">
        <f t="shared" si="20"/>
        <v>1.5094471098248755E-2</v>
      </c>
      <c r="S47" s="308">
        <v>7.3588909479251702E-2</v>
      </c>
      <c r="T47" s="307">
        <f t="shared" si="21"/>
        <v>0.22429414616683196</v>
      </c>
      <c r="AP47" s="705">
        <f>AP45-1</f>
        <v>-0.14814814814814814</v>
      </c>
    </row>
    <row r="48" spans="1:45" ht="15.75" outlineLevel="1" thickBot="1">
      <c r="I48" s="6"/>
      <c r="J48" s="6"/>
      <c r="P48" s="643"/>
      <c r="AE48" s="683"/>
      <c r="AF48" s="683"/>
      <c r="AH48" s="683"/>
      <c r="AM48" s="688"/>
      <c r="AN48" s="668"/>
      <c r="AQ48" s="683"/>
    </row>
    <row r="49" spans="1:39" ht="15.75" outlineLevel="1">
      <c r="A49" s="32" t="s">
        <v>0</v>
      </c>
      <c r="D49" s="1357">
        <v>45838</v>
      </c>
      <c r="E49" s="1265">
        <v>45869</v>
      </c>
      <c r="F49" s="1265">
        <v>45900</v>
      </c>
      <c r="G49" s="1265">
        <v>45930</v>
      </c>
      <c r="H49" s="1265">
        <v>45961</v>
      </c>
      <c r="I49" s="1265">
        <v>45991</v>
      </c>
      <c r="J49" s="1266">
        <v>46022</v>
      </c>
      <c r="K49" s="875">
        <v>46053</v>
      </c>
      <c r="L49" s="876">
        <v>46081</v>
      </c>
      <c r="M49" s="876">
        <v>46112</v>
      </c>
      <c r="N49" s="876">
        <v>46142</v>
      </c>
      <c r="O49" s="876">
        <v>46173</v>
      </c>
      <c r="P49" s="878">
        <v>46203</v>
      </c>
      <c r="R49" s="690"/>
      <c r="T49" s="690"/>
      <c r="U49" s="667"/>
    </row>
    <row r="50" spans="1:39" outlineLevel="1">
      <c r="A50" s="612" t="s">
        <v>2</v>
      </c>
      <c r="B50" s="612" t="s">
        <v>101</v>
      </c>
      <c r="C50" s="612"/>
      <c r="D50" s="1445">
        <v>0.14930966469428009</v>
      </c>
      <c r="E50" s="1443">
        <v>0.12945590994371481</v>
      </c>
      <c r="F50" s="1443">
        <v>4.4049967126890202E-2</v>
      </c>
      <c r="G50" s="1443">
        <v>0.14883674686816464</v>
      </c>
      <c r="H50" s="1443">
        <v>9.1409897292250228E-2</v>
      </c>
      <c r="I50" s="1443">
        <v>6.8038879359634083E-2</v>
      </c>
      <c r="J50" s="1446">
        <v>0.12695994982528447</v>
      </c>
      <c r="K50" s="1452">
        <v>0.2720191731575794</v>
      </c>
      <c r="L50" s="273">
        <v>0.27085489546677705</v>
      </c>
      <c r="M50" s="273">
        <v>0.16353887399463807</v>
      </c>
      <c r="N50" s="273">
        <v>7.5152897273763869E-2</v>
      </c>
      <c r="O50" s="273">
        <v>0.16600000000000001</v>
      </c>
      <c r="P50" s="1453">
        <v>0.221</v>
      </c>
      <c r="S50" s="690"/>
      <c r="AE50" s="706"/>
    </row>
    <row r="51" spans="1:39" outlineLevel="1">
      <c r="A51" s="613" t="s">
        <v>3</v>
      </c>
      <c r="B51" s="613" t="s">
        <v>101</v>
      </c>
      <c r="C51" s="613"/>
      <c r="D51" s="1447">
        <v>6.0880520276482004E-2</v>
      </c>
      <c r="E51" s="1444">
        <v>5.5743529013703268E-2</v>
      </c>
      <c r="F51" s="1444">
        <v>5.9043128008645251E-2</v>
      </c>
      <c r="G51" s="1444">
        <v>8.281833022388059E-2</v>
      </c>
      <c r="H51" s="1444">
        <v>9.3952790920137544E-2</v>
      </c>
      <c r="I51" s="1444">
        <v>8.5702253105917031E-2</v>
      </c>
      <c r="J51" s="1448">
        <v>9.5578307830783082E-2</v>
      </c>
      <c r="K51" s="1454">
        <v>0.12512161325510776</v>
      </c>
      <c r="L51" s="280">
        <v>9.556487052937597E-2</v>
      </c>
      <c r="M51" s="280">
        <v>8.4340980148416012E-2</v>
      </c>
      <c r="N51" s="280">
        <v>8.7731154389629543E-2</v>
      </c>
      <c r="O51" s="280">
        <v>4.4999999999999998E-2</v>
      </c>
      <c r="P51" s="1455">
        <v>6.5000000000000002E-2</v>
      </c>
      <c r="T51" s="690"/>
      <c r="AM51" s="688"/>
    </row>
    <row r="52" spans="1:39" ht="15.75" outlineLevel="1" thickBot="1">
      <c r="A52" s="613" t="s">
        <v>4</v>
      </c>
      <c r="B52" s="613" t="s">
        <v>101</v>
      </c>
      <c r="C52" s="613"/>
      <c r="D52" s="1447">
        <v>6.8786982248520714E-2</v>
      </c>
      <c r="E52" s="1444">
        <v>0.10148514851485149</v>
      </c>
      <c r="F52" s="1444">
        <v>0.14285714285714285</v>
      </c>
      <c r="G52" s="1444">
        <v>0.26800000000000002</v>
      </c>
      <c r="H52" s="1444">
        <v>2.0190023752969122E-2</v>
      </c>
      <c r="I52" s="1444">
        <v>3.063063063063063E-2</v>
      </c>
      <c r="J52" s="1448">
        <v>0.10841584158415841</v>
      </c>
      <c r="K52" s="1454">
        <v>5.6306306306306307E-2</v>
      </c>
      <c r="L52" s="280">
        <v>5.758426966292135E-2</v>
      </c>
      <c r="M52" s="280">
        <v>1.0638297872340425E-2</v>
      </c>
      <c r="N52" s="280">
        <v>0</v>
      </c>
      <c r="O52" s="280">
        <v>0</v>
      </c>
      <c r="P52" s="1455">
        <v>2.5999999999999999E-2</v>
      </c>
    </row>
    <row r="53" spans="1:39" ht="16.5" outlineLevel="1" thickBot="1">
      <c r="A53" s="302" t="s">
        <v>5</v>
      </c>
      <c r="B53" s="302" t="s">
        <v>101</v>
      </c>
      <c r="C53" s="302"/>
      <c r="D53" s="1449">
        <v>8.2628574135929694E-2</v>
      </c>
      <c r="E53" s="1450">
        <v>7.5029805807585837E-2</v>
      </c>
      <c r="F53" s="1450">
        <v>6.0683760683760683E-2</v>
      </c>
      <c r="G53" s="1450">
        <v>0.10512920063845391</v>
      </c>
      <c r="H53" s="1450">
        <v>8.9839160165655393E-2</v>
      </c>
      <c r="I53" s="1450">
        <v>7.9008638509911439E-2</v>
      </c>
      <c r="J53" s="1451">
        <v>0.1032975601748302</v>
      </c>
      <c r="K53" s="1456">
        <v>0.15463037913758779</v>
      </c>
      <c r="L53" s="1457">
        <v>0.13588079079374446</v>
      </c>
      <c r="M53" s="1457">
        <v>9.9002689376961009E-2</v>
      </c>
      <c r="N53" s="1457">
        <v>8.1726270625556291E-2</v>
      </c>
      <c r="O53" s="1457">
        <v>7.0000000000000007E-2</v>
      </c>
      <c r="P53" s="1458">
        <v>9.8000000000000004E-2</v>
      </c>
    </row>
    <row r="54" spans="1:39" outlineLevel="1">
      <c r="A54" s="6" t="s">
        <v>115</v>
      </c>
      <c r="I54" s="6"/>
      <c r="J54" s="6"/>
      <c r="M54" s="690"/>
    </row>
    <row r="55" spans="1:39" outlineLevel="1">
      <c r="A55" s="6" t="s">
        <v>124</v>
      </c>
      <c r="I55" s="6"/>
      <c r="J55" s="6"/>
      <c r="M55" s="690"/>
    </row>
    <row r="56" spans="1:39">
      <c r="F56" s="690"/>
      <c r="I56" s="6"/>
      <c r="J56" s="6"/>
    </row>
    <row r="58" spans="1:39" ht="23.25" customHeight="1">
      <c r="A58" s="1220" t="s">
        <v>502</v>
      </c>
      <c r="B58" s="1224"/>
      <c r="C58" s="1224"/>
      <c r="D58" s="1220"/>
      <c r="E58" s="1220"/>
      <c r="F58" s="1220"/>
      <c r="G58" s="1220"/>
      <c r="H58" s="1220"/>
      <c r="I58" s="1220"/>
      <c r="J58" s="1220"/>
      <c r="K58" s="1220"/>
      <c r="L58" s="1220"/>
      <c r="M58" s="1220"/>
      <c r="N58" s="1224"/>
      <c r="O58" s="1224"/>
      <c r="P58" s="1224"/>
      <c r="Q58" s="1224"/>
      <c r="R58" s="1224"/>
      <c r="S58" s="1224"/>
      <c r="T58" s="1224"/>
      <c r="U58" s="1224"/>
      <c r="V58" s="1224"/>
    </row>
    <row r="59" spans="1:39" ht="15.75" outlineLevel="1" thickBot="1">
      <c r="A59" s="227" t="s">
        <v>405</v>
      </c>
      <c r="D59" s="6"/>
      <c r="E59" s="6"/>
      <c r="F59" s="6"/>
      <c r="G59" s="6"/>
      <c r="H59" s="6"/>
      <c r="I59" s="6"/>
      <c r="J59" s="6"/>
      <c r="K59" s="6"/>
      <c r="L59" s="6"/>
      <c r="M59" s="6"/>
      <c r="P59" s="643"/>
      <c r="Q59" s="643"/>
    </row>
    <row r="60" spans="1:39" ht="45" outlineLevel="1">
      <c r="A60" s="32" t="s">
        <v>0</v>
      </c>
      <c r="B60" s="32"/>
      <c r="C60" s="32"/>
      <c r="D60" s="1357">
        <v>45838</v>
      </c>
      <c r="E60" s="1265">
        <v>45869</v>
      </c>
      <c r="F60" s="1265">
        <v>45900</v>
      </c>
      <c r="G60" s="1265">
        <v>45930</v>
      </c>
      <c r="H60" s="1265">
        <v>45961</v>
      </c>
      <c r="I60" s="1265">
        <v>45991</v>
      </c>
      <c r="J60" s="1266">
        <v>46022</v>
      </c>
      <c r="K60" s="875">
        <v>46053</v>
      </c>
      <c r="L60" s="876">
        <v>46081</v>
      </c>
      <c r="M60" s="876">
        <v>46112</v>
      </c>
      <c r="N60" s="876">
        <v>46142</v>
      </c>
      <c r="O60" s="876">
        <v>46173</v>
      </c>
      <c r="P60" s="878">
        <v>46203</v>
      </c>
      <c r="Q60" s="638" t="s">
        <v>12</v>
      </c>
      <c r="R60" s="674" t="s">
        <v>28</v>
      </c>
      <c r="S60" s="641" t="s">
        <v>148</v>
      </c>
      <c r="T60" s="639" t="s">
        <v>150</v>
      </c>
      <c r="U60" s="638" t="s">
        <v>503</v>
      </c>
      <c r="V60" s="707" t="s">
        <v>76</v>
      </c>
    </row>
    <row r="61" spans="1:39" outlineLevel="2">
      <c r="A61" s="310" t="s">
        <v>43</v>
      </c>
      <c r="B61" s="310"/>
      <c r="C61" s="310"/>
      <c r="D61" s="1463">
        <v>30</v>
      </c>
      <c r="E61" s="1464">
        <v>26</v>
      </c>
      <c r="F61" s="1464">
        <v>26</v>
      </c>
      <c r="G61" s="1464">
        <v>27</v>
      </c>
      <c r="H61" s="1464">
        <v>26</v>
      </c>
      <c r="I61" s="1464">
        <v>30</v>
      </c>
      <c r="J61" s="1465">
        <v>28</v>
      </c>
      <c r="K61" s="1499">
        <v>23</v>
      </c>
      <c r="L61" s="272">
        <v>25</v>
      </c>
      <c r="M61" s="272">
        <v>22</v>
      </c>
      <c r="N61" s="272">
        <v>23</v>
      </c>
      <c r="O61" s="272">
        <v>23</v>
      </c>
      <c r="P61" s="1500">
        <v>26</v>
      </c>
      <c r="Q61" s="529">
        <v>44</v>
      </c>
      <c r="R61" s="312">
        <f t="shared" ref="R61:R72" si="37">+P61-Q61</f>
        <v>-18</v>
      </c>
      <c r="S61" s="312">
        <f t="shared" ref="S61:S72" si="38">+P61-O61</f>
        <v>3</v>
      </c>
      <c r="T61" s="21">
        <f t="shared" ref="T61:T72" si="39">IFERROR(P61/O61-1,100%)</f>
        <v>0.13043478260869557</v>
      </c>
      <c r="U61" s="311">
        <v>33</v>
      </c>
    </row>
    <row r="62" spans="1:39" outlineLevel="2">
      <c r="A62" s="313" t="s">
        <v>44</v>
      </c>
      <c r="B62" s="313"/>
      <c r="C62" s="313"/>
      <c r="D62" s="1466">
        <v>6</v>
      </c>
      <c r="E62" s="1467">
        <v>8</v>
      </c>
      <c r="F62" s="1467">
        <v>8</v>
      </c>
      <c r="G62" s="1467">
        <v>7</v>
      </c>
      <c r="H62" s="1467">
        <v>7</v>
      </c>
      <c r="I62" s="1467">
        <v>6</v>
      </c>
      <c r="J62" s="1468">
        <v>6</v>
      </c>
      <c r="K62" s="1501">
        <v>4</v>
      </c>
      <c r="L62" s="279">
        <v>5</v>
      </c>
      <c r="M62" s="279">
        <v>5</v>
      </c>
      <c r="N62" s="279">
        <v>6</v>
      </c>
      <c r="O62" s="279">
        <v>5</v>
      </c>
      <c r="P62" s="1502">
        <v>6</v>
      </c>
      <c r="Q62" s="314">
        <v>6</v>
      </c>
      <c r="R62" s="315">
        <f t="shared" si="37"/>
        <v>0</v>
      </c>
      <c r="S62" s="315">
        <f t="shared" si="38"/>
        <v>1</v>
      </c>
      <c r="T62" s="16">
        <f t="shared" si="39"/>
        <v>0.19999999999999996</v>
      </c>
      <c r="U62" s="314">
        <v>7</v>
      </c>
      <c r="V62" s="708">
        <f>+P61/P62</f>
        <v>4.333333333333333</v>
      </c>
    </row>
    <row r="63" spans="1:39" ht="15.75" outlineLevel="2">
      <c r="A63" s="316" t="s">
        <v>45</v>
      </c>
      <c r="B63" s="316"/>
      <c r="C63" s="316"/>
      <c r="D63" s="1469">
        <f t="shared" ref="D63:M63" si="40">SUM(D61:D62)</f>
        <v>36</v>
      </c>
      <c r="E63" s="1470">
        <f t="shared" si="40"/>
        <v>34</v>
      </c>
      <c r="F63" s="1470">
        <f t="shared" si="40"/>
        <v>34</v>
      </c>
      <c r="G63" s="1470">
        <f t="shared" si="40"/>
        <v>34</v>
      </c>
      <c r="H63" s="1470">
        <f t="shared" si="40"/>
        <v>33</v>
      </c>
      <c r="I63" s="1470">
        <f t="shared" si="40"/>
        <v>36</v>
      </c>
      <c r="J63" s="1471">
        <f t="shared" si="40"/>
        <v>34</v>
      </c>
      <c r="K63" s="1503">
        <f t="shared" si="40"/>
        <v>27</v>
      </c>
      <c r="L63" s="317">
        <f t="shared" si="40"/>
        <v>30</v>
      </c>
      <c r="M63" s="317">
        <f t="shared" si="40"/>
        <v>27</v>
      </c>
      <c r="N63" s="317">
        <f t="shared" ref="N63:Q63" si="41">SUM(N61:N62)</f>
        <v>29</v>
      </c>
      <c r="O63" s="317">
        <f t="shared" si="41"/>
        <v>28</v>
      </c>
      <c r="P63" s="1504">
        <f t="shared" si="41"/>
        <v>32</v>
      </c>
      <c r="Q63" s="318">
        <f t="shared" si="41"/>
        <v>50</v>
      </c>
      <c r="R63" s="319">
        <f t="shared" si="37"/>
        <v>-18</v>
      </c>
      <c r="S63" s="319">
        <f t="shared" si="38"/>
        <v>4</v>
      </c>
      <c r="T63" s="320">
        <f t="shared" si="39"/>
        <v>0.14285714285714279</v>
      </c>
      <c r="U63" s="318">
        <v>40</v>
      </c>
      <c r="V63" s="708"/>
    </row>
    <row r="64" spans="1:39" outlineLevel="2">
      <c r="A64" s="321" t="s">
        <v>46</v>
      </c>
      <c r="B64" s="321"/>
      <c r="C64" s="321"/>
      <c r="D64" s="1472">
        <v>87</v>
      </c>
      <c r="E64" s="1473">
        <v>87</v>
      </c>
      <c r="F64" s="1473">
        <v>87</v>
      </c>
      <c r="G64" s="1473">
        <v>91</v>
      </c>
      <c r="H64" s="1473">
        <v>92</v>
      </c>
      <c r="I64" s="1473">
        <v>88</v>
      </c>
      <c r="J64" s="1474">
        <v>87</v>
      </c>
      <c r="K64" s="1505">
        <v>85</v>
      </c>
      <c r="L64" s="322">
        <v>84</v>
      </c>
      <c r="M64" s="322">
        <v>81</v>
      </c>
      <c r="N64" s="322">
        <v>81</v>
      </c>
      <c r="O64" s="322">
        <v>82</v>
      </c>
      <c r="P64" s="1506">
        <v>84</v>
      </c>
      <c r="Q64" s="528">
        <v>85</v>
      </c>
      <c r="R64" s="324">
        <f t="shared" si="37"/>
        <v>-1</v>
      </c>
      <c r="S64" s="324">
        <f t="shared" si="38"/>
        <v>2</v>
      </c>
      <c r="T64" s="24">
        <f t="shared" si="39"/>
        <v>2.4390243902439046E-2</v>
      </c>
      <c r="U64" s="323">
        <v>95</v>
      </c>
      <c r="V64" s="708"/>
    </row>
    <row r="65" spans="1:25" outlineLevel="2">
      <c r="A65" s="313" t="s">
        <v>47</v>
      </c>
      <c r="B65" s="313"/>
      <c r="C65" s="313"/>
      <c r="D65" s="1466">
        <v>12</v>
      </c>
      <c r="E65" s="1467">
        <v>11</v>
      </c>
      <c r="F65" s="1467">
        <v>11</v>
      </c>
      <c r="G65" s="1467">
        <v>11</v>
      </c>
      <c r="H65" s="1467">
        <v>11</v>
      </c>
      <c r="I65" s="1467">
        <v>13</v>
      </c>
      <c r="J65" s="1468">
        <v>13</v>
      </c>
      <c r="K65" s="1501">
        <v>10</v>
      </c>
      <c r="L65" s="279">
        <v>10</v>
      </c>
      <c r="M65" s="279">
        <v>11</v>
      </c>
      <c r="N65" s="279">
        <v>11</v>
      </c>
      <c r="O65" s="279">
        <v>12</v>
      </c>
      <c r="P65" s="1502">
        <v>12</v>
      </c>
      <c r="Q65" s="314">
        <v>11</v>
      </c>
      <c r="R65" s="315">
        <f t="shared" si="37"/>
        <v>1</v>
      </c>
      <c r="S65" s="315">
        <f t="shared" si="38"/>
        <v>0</v>
      </c>
      <c r="T65" s="16">
        <f t="shared" si="39"/>
        <v>0</v>
      </c>
      <c r="U65" s="314">
        <v>14</v>
      </c>
      <c r="V65" s="708">
        <f>+P64/P65</f>
        <v>7</v>
      </c>
    </row>
    <row r="66" spans="1:25" ht="15.75" outlineLevel="2">
      <c r="A66" s="325" t="s">
        <v>48</v>
      </c>
      <c r="B66" s="325"/>
      <c r="C66" s="325"/>
      <c r="D66" s="1475">
        <f t="shared" ref="D66:Q66" si="42">SUM(D64:D65)</f>
        <v>99</v>
      </c>
      <c r="E66" s="1476">
        <f t="shared" si="42"/>
        <v>98</v>
      </c>
      <c r="F66" s="1476">
        <f t="shared" si="42"/>
        <v>98</v>
      </c>
      <c r="G66" s="1476">
        <f t="shared" si="42"/>
        <v>102</v>
      </c>
      <c r="H66" s="1476">
        <f t="shared" si="42"/>
        <v>103</v>
      </c>
      <c r="I66" s="1476">
        <f t="shared" si="42"/>
        <v>101</v>
      </c>
      <c r="J66" s="1477">
        <f t="shared" si="42"/>
        <v>100</v>
      </c>
      <c r="K66" s="1507">
        <f t="shared" si="42"/>
        <v>95</v>
      </c>
      <c r="L66" s="326">
        <f t="shared" si="42"/>
        <v>94</v>
      </c>
      <c r="M66" s="326">
        <f t="shared" si="42"/>
        <v>92</v>
      </c>
      <c r="N66" s="326">
        <f t="shared" si="42"/>
        <v>92</v>
      </c>
      <c r="O66" s="326">
        <f t="shared" si="42"/>
        <v>94</v>
      </c>
      <c r="P66" s="1508">
        <f t="shared" si="42"/>
        <v>96</v>
      </c>
      <c r="Q66" s="327">
        <f t="shared" si="42"/>
        <v>96</v>
      </c>
      <c r="R66" s="328">
        <f t="shared" si="37"/>
        <v>0</v>
      </c>
      <c r="S66" s="328">
        <f t="shared" si="38"/>
        <v>2</v>
      </c>
      <c r="T66" s="329">
        <f t="shared" si="39"/>
        <v>2.1276595744680771E-2</v>
      </c>
      <c r="U66" s="327">
        <v>109</v>
      </c>
      <c r="V66" s="708"/>
    </row>
    <row r="67" spans="1:25" outlineLevel="2">
      <c r="A67" s="330" t="s">
        <v>49</v>
      </c>
      <c r="B67" s="330"/>
      <c r="C67" s="330"/>
      <c r="D67" s="1478">
        <v>8</v>
      </c>
      <c r="E67" s="1479">
        <v>7</v>
      </c>
      <c r="F67" s="1479">
        <v>7</v>
      </c>
      <c r="G67" s="1479">
        <v>5</v>
      </c>
      <c r="H67" s="1479">
        <v>6</v>
      </c>
      <c r="I67" s="1479">
        <v>5</v>
      </c>
      <c r="J67" s="1480">
        <v>5</v>
      </c>
      <c r="K67" s="1509">
        <v>4</v>
      </c>
      <c r="L67" s="331">
        <v>4</v>
      </c>
      <c r="M67" s="331">
        <v>4</v>
      </c>
      <c r="N67" s="331">
        <v>4</v>
      </c>
      <c r="O67" s="331">
        <v>4</v>
      </c>
      <c r="P67" s="1510">
        <v>5</v>
      </c>
      <c r="Q67" s="332">
        <v>6</v>
      </c>
      <c r="R67" s="333">
        <f t="shared" si="37"/>
        <v>-1</v>
      </c>
      <c r="S67" s="333">
        <f t="shared" si="38"/>
        <v>1</v>
      </c>
      <c r="T67" s="334">
        <f t="shared" si="39"/>
        <v>0.25</v>
      </c>
      <c r="U67" s="332">
        <v>6</v>
      </c>
      <c r="V67" s="708"/>
    </row>
    <row r="68" spans="1:25" outlineLevel="2">
      <c r="A68" s="313" t="s">
        <v>50</v>
      </c>
      <c r="B68" s="313"/>
      <c r="C68" s="313"/>
      <c r="D68" s="1466">
        <v>6</v>
      </c>
      <c r="E68" s="1467">
        <v>6</v>
      </c>
      <c r="F68" s="1467">
        <v>6</v>
      </c>
      <c r="G68" s="1467">
        <v>6</v>
      </c>
      <c r="H68" s="1467">
        <v>6</v>
      </c>
      <c r="I68" s="1467">
        <v>6</v>
      </c>
      <c r="J68" s="1468">
        <v>6</v>
      </c>
      <c r="K68" s="1501">
        <v>5</v>
      </c>
      <c r="L68" s="279">
        <v>5</v>
      </c>
      <c r="M68" s="279">
        <v>5</v>
      </c>
      <c r="N68" s="279">
        <v>5</v>
      </c>
      <c r="O68" s="279">
        <v>4</v>
      </c>
      <c r="P68" s="1502">
        <v>3</v>
      </c>
      <c r="Q68" s="530">
        <v>5</v>
      </c>
      <c r="R68" s="315">
        <f t="shared" si="37"/>
        <v>-2</v>
      </c>
      <c r="S68" s="315">
        <f t="shared" si="38"/>
        <v>-1</v>
      </c>
      <c r="T68" s="16">
        <f t="shared" si="39"/>
        <v>-0.25</v>
      </c>
      <c r="U68" s="314">
        <v>6</v>
      </c>
      <c r="V68" s="708">
        <f>+P67/P68</f>
        <v>1.6666666666666667</v>
      </c>
    </row>
    <row r="69" spans="1:25" ht="15.75" outlineLevel="2">
      <c r="A69" s="335" t="s">
        <v>51</v>
      </c>
      <c r="B69" s="335"/>
      <c r="C69" s="335"/>
      <c r="D69" s="1469">
        <f t="shared" ref="D69:Q69" si="43">SUM(D67:D68)</f>
        <v>14</v>
      </c>
      <c r="E69" s="1470">
        <f t="shared" si="43"/>
        <v>13</v>
      </c>
      <c r="F69" s="1470">
        <f t="shared" si="43"/>
        <v>13</v>
      </c>
      <c r="G69" s="1470">
        <f t="shared" si="43"/>
        <v>11</v>
      </c>
      <c r="H69" s="1470">
        <f t="shared" si="43"/>
        <v>12</v>
      </c>
      <c r="I69" s="1470">
        <f t="shared" si="43"/>
        <v>11</v>
      </c>
      <c r="J69" s="1471">
        <f t="shared" si="43"/>
        <v>11</v>
      </c>
      <c r="K69" s="1503">
        <f t="shared" si="43"/>
        <v>9</v>
      </c>
      <c r="L69" s="317">
        <f t="shared" si="43"/>
        <v>9</v>
      </c>
      <c r="M69" s="317">
        <f t="shared" si="43"/>
        <v>9</v>
      </c>
      <c r="N69" s="317">
        <f t="shared" si="43"/>
        <v>9</v>
      </c>
      <c r="O69" s="317">
        <f t="shared" si="43"/>
        <v>8</v>
      </c>
      <c r="P69" s="1504">
        <f t="shared" si="43"/>
        <v>8</v>
      </c>
      <c r="Q69" s="318">
        <f t="shared" si="43"/>
        <v>11</v>
      </c>
      <c r="R69" s="319">
        <f t="shared" si="37"/>
        <v>-3</v>
      </c>
      <c r="S69" s="319">
        <f t="shared" si="38"/>
        <v>0</v>
      </c>
      <c r="T69" s="320">
        <f t="shared" si="39"/>
        <v>0</v>
      </c>
      <c r="U69" s="318">
        <v>12</v>
      </c>
      <c r="V69" s="708"/>
    </row>
    <row r="70" spans="1:25" outlineLevel="2">
      <c r="A70" s="330" t="s">
        <v>382</v>
      </c>
      <c r="B70" s="330"/>
      <c r="C70" s="330"/>
      <c r="D70" s="1478">
        <v>0</v>
      </c>
      <c r="E70" s="1479">
        <v>0</v>
      </c>
      <c r="F70" s="1479">
        <v>0</v>
      </c>
      <c r="G70" s="1479">
        <v>0</v>
      </c>
      <c r="H70" s="1479">
        <v>0</v>
      </c>
      <c r="I70" s="1479">
        <v>0</v>
      </c>
      <c r="J70" s="1480">
        <v>0</v>
      </c>
      <c r="K70" s="1509">
        <v>0</v>
      </c>
      <c r="L70" s="331">
        <v>0</v>
      </c>
      <c r="M70" s="331">
        <v>0</v>
      </c>
      <c r="N70" s="331">
        <v>0</v>
      </c>
      <c r="O70" s="331">
        <v>0</v>
      </c>
      <c r="P70" s="1510">
        <v>0</v>
      </c>
      <c r="Q70" s="332">
        <v>0</v>
      </c>
      <c r="R70" s="312">
        <f t="shared" si="37"/>
        <v>0</v>
      </c>
      <c r="S70" s="312">
        <f t="shared" si="38"/>
        <v>0</v>
      </c>
      <c r="T70" s="334">
        <f t="shared" si="39"/>
        <v>1</v>
      </c>
      <c r="U70" s="332">
        <v>0</v>
      </c>
      <c r="V70" s="708"/>
    </row>
    <row r="71" spans="1:25" outlineLevel="2">
      <c r="A71" s="313" t="s">
        <v>52</v>
      </c>
      <c r="B71" s="313"/>
      <c r="C71" s="313"/>
      <c r="D71" s="1466">
        <v>16</v>
      </c>
      <c r="E71" s="1467">
        <v>17</v>
      </c>
      <c r="F71" s="1467">
        <v>17</v>
      </c>
      <c r="G71" s="1467">
        <v>17</v>
      </c>
      <c r="H71" s="1467">
        <v>16</v>
      </c>
      <c r="I71" s="1467">
        <v>14</v>
      </c>
      <c r="J71" s="1468">
        <v>14</v>
      </c>
      <c r="K71" s="1501">
        <v>19</v>
      </c>
      <c r="L71" s="279">
        <v>19</v>
      </c>
      <c r="M71" s="279">
        <v>19</v>
      </c>
      <c r="N71" s="279">
        <v>18</v>
      </c>
      <c r="O71" s="279">
        <v>18</v>
      </c>
      <c r="P71" s="1502">
        <v>19</v>
      </c>
      <c r="Q71" s="314">
        <v>22</v>
      </c>
      <c r="R71" s="315">
        <f t="shared" si="37"/>
        <v>-3</v>
      </c>
      <c r="S71" s="315">
        <f t="shared" si="38"/>
        <v>1</v>
      </c>
      <c r="T71" s="16">
        <f t="shared" si="39"/>
        <v>5.555555555555558E-2</v>
      </c>
      <c r="U71" s="314">
        <v>17</v>
      </c>
      <c r="V71" s="708">
        <f>IFERROR(P70/P71,0)</f>
        <v>0</v>
      </c>
    </row>
    <row r="72" spans="1:25" ht="15.75" outlineLevel="2">
      <c r="A72" s="335" t="s">
        <v>383</v>
      </c>
      <c r="B72" s="335"/>
      <c r="C72" s="335"/>
      <c r="D72" s="1469">
        <f t="shared" ref="D72:M72" si="44">SUM(D70:D71)</f>
        <v>16</v>
      </c>
      <c r="E72" s="1470">
        <f t="shared" si="44"/>
        <v>17</v>
      </c>
      <c r="F72" s="1470">
        <f t="shared" si="44"/>
        <v>17</v>
      </c>
      <c r="G72" s="1470">
        <f t="shared" si="44"/>
        <v>17</v>
      </c>
      <c r="H72" s="1470">
        <f t="shared" si="44"/>
        <v>16</v>
      </c>
      <c r="I72" s="1470">
        <f t="shared" si="44"/>
        <v>14</v>
      </c>
      <c r="J72" s="1471">
        <f t="shared" si="44"/>
        <v>14</v>
      </c>
      <c r="K72" s="1503">
        <f t="shared" si="44"/>
        <v>19</v>
      </c>
      <c r="L72" s="317">
        <f t="shared" si="44"/>
        <v>19</v>
      </c>
      <c r="M72" s="317">
        <f t="shared" si="44"/>
        <v>19</v>
      </c>
      <c r="N72" s="317">
        <f t="shared" ref="N72:Q72" si="45">SUM(N70:N71)</f>
        <v>18</v>
      </c>
      <c r="O72" s="317">
        <f t="shared" si="45"/>
        <v>18</v>
      </c>
      <c r="P72" s="1504">
        <f t="shared" si="45"/>
        <v>19</v>
      </c>
      <c r="Q72" s="318">
        <f t="shared" si="45"/>
        <v>22</v>
      </c>
      <c r="R72" s="319">
        <f t="shared" si="37"/>
        <v>-3</v>
      </c>
      <c r="S72" s="319">
        <f t="shared" si="38"/>
        <v>1</v>
      </c>
      <c r="T72" s="320">
        <f t="shared" si="39"/>
        <v>5.555555555555558E-2</v>
      </c>
      <c r="U72" s="318">
        <v>17</v>
      </c>
      <c r="V72" s="708"/>
    </row>
    <row r="73" spans="1:25" ht="16.5" outlineLevel="2" thickBot="1">
      <c r="A73" s="32"/>
      <c r="B73" s="32"/>
      <c r="C73" s="32"/>
      <c r="D73" s="1481"/>
      <c r="E73" s="1482"/>
      <c r="F73" s="1482"/>
      <c r="G73" s="1482"/>
      <c r="H73" s="1482"/>
      <c r="I73" s="1482"/>
      <c r="J73" s="1483"/>
      <c r="K73" s="1511"/>
      <c r="L73" s="336"/>
      <c r="M73" s="336"/>
      <c r="N73" s="336"/>
      <c r="O73" s="336"/>
      <c r="P73" s="1512"/>
      <c r="Q73" s="337"/>
      <c r="R73" s="338"/>
      <c r="S73" s="338"/>
      <c r="T73" s="339"/>
      <c r="U73" s="337"/>
      <c r="V73" s="708"/>
    </row>
    <row r="74" spans="1:25" ht="15.75" outlineLevel="1">
      <c r="A74" s="340" t="s">
        <v>53</v>
      </c>
      <c r="B74" s="340"/>
      <c r="C74" s="340"/>
      <c r="D74" s="1484">
        <f t="shared" ref="D74:Q75" si="46">SUM(D61,D64,D67,D70)</f>
        <v>125</v>
      </c>
      <c r="E74" s="1485">
        <f t="shared" si="46"/>
        <v>120</v>
      </c>
      <c r="F74" s="1485">
        <f t="shared" si="46"/>
        <v>120</v>
      </c>
      <c r="G74" s="1485">
        <f t="shared" si="46"/>
        <v>123</v>
      </c>
      <c r="H74" s="1485">
        <f t="shared" si="46"/>
        <v>124</v>
      </c>
      <c r="I74" s="1485">
        <f t="shared" si="46"/>
        <v>123</v>
      </c>
      <c r="J74" s="1486">
        <f t="shared" si="46"/>
        <v>120</v>
      </c>
      <c r="K74" s="1513">
        <f t="shared" si="46"/>
        <v>112</v>
      </c>
      <c r="L74" s="341">
        <f t="shared" si="46"/>
        <v>113</v>
      </c>
      <c r="M74" s="341">
        <f t="shared" si="46"/>
        <v>107</v>
      </c>
      <c r="N74" s="341">
        <f t="shared" si="46"/>
        <v>108</v>
      </c>
      <c r="O74" s="341">
        <f t="shared" si="46"/>
        <v>109</v>
      </c>
      <c r="P74" s="1514">
        <f t="shared" si="46"/>
        <v>115</v>
      </c>
      <c r="Q74" s="342">
        <f t="shared" si="46"/>
        <v>135</v>
      </c>
      <c r="R74" s="343">
        <f>+P74-Q74</f>
        <v>-20</v>
      </c>
      <c r="S74" s="343">
        <f>+P74-O74</f>
        <v>6</v>
      </c>
      <c r="T74" s="344">
        <f>IFERROR(P74/O74-1,100%)</f>
        <v>5.504587155963292E-2</v>
      </c>
      <c r="U74" s="342">
        <v>134</v>
      </c>
      <c r="V74" s="708"/>
      <c r="W74" s="690"/>
      <c r="X74" s="690"/>
      <c r="Y74" s="690"/>
    </row>
    <row r="75" spans="1:25" ht="15.75" outlineLevel="1">
      <c r="A75" s="26" t="s">
        <v>54</v>
      </c>
      <c r="B75" s="26"/>
      <c r="C75" s="26"/>
      <c r="D75" s="1487">
        <f t="shared" si="46"/>
        <v>40</v>
      </c>
      <c r="E75" s="1488">
        <f t="shared" si="46"/>
        <v>42</v>
      </c>
      <c r="F75" s="1488">
        <f t="shared" si="46"/>
        <v>42</v>
      </c>
      <c r="G75" s="1488">
        <f t="shared" si="46"/>
        <v>41</v>
      </c>
      <c r="H75" s="1488">
        <f t="shared" si="46"/>
        <v>40</v>
      </c>
      <c r="I75" s="1488">
        <f t="shared" si="46"/>
        <v>39</v>
      </c>
      <c r="J75" s="1489">
        <f t="shared" si="46"/>
        <v>39</v>
      </c>
      <c r="K75" s="1515">
        <f t="shared" si="46"/>
        <v>38</v>
      </c>
      <c r="L75" s="345">
        <f t="shared" si="46"/>
        <v>39</v>
      </c>
      <c r="M75" s="345">
        <f t="shared" si="46"/>
        <v>40</v>
      </c>
      <c r="N75" s="345">
        <f t="shared" si="46"/>
        <v>40</v>
      </c>
      <c r="O75" s="345">
        <f t="shared" si="46"/>
        <v>39</v>
      </c>
      <c r="P75" s="1516">
        <f t="shared" si="46"/>
        <v>40</v>
      </c>
      <c r="Q75" s="314">
        <f t="shared" si="46"/>
        <v>44</v>
      </c>
      <c r="R75" s="346">
        <f>+P75-Q75</f>
        <v>-4</v>
      </c>
      <c r="S75" s="346">
        <f>+P75-O75</f>
        <v>1</v>
      </c>
      <c r="T75" s="27">
        <f>IFERROR(P75/O75-1,100%)</f>
        <v>2.564102564102555E-2</v>
      </c>
      <c r="U75" s="314">
        <v>44</v>
      </c>
      <c r="V75" s="708">
        <f>+P74/P75</f>
        <v>2.875</v>
      </c>
      <c r="X75" s="690"/>
      <c r="Y75" s="690"/>
    </row>
    <row r="76" spans="1:25" ht="15.75" outlineLevel="1">
      <c r="A76" s="347" t="s">
        <v>55</v>
      </c>
      <c r="B76" s="347"/>
      <c r="C76" s="347"/>
      <c r="D76" s="1490">
        <f t="shared" ref="D76:M76" si="47">SUM(D74:D75)</f>
        <v>165</v>
      </c>
      <c r="E76" s="1491">
        <f t="shared" si="47"/>
        <v>162</v>
      </c>
      <c r="F76" s="1491">
        <f t="shared" si="47"/>
        <v>162</v>
      </c>
      <c r="G76" s="1491">
        <f t="shared" si="47"/>
        <v>164</v>
      </c>
      <c r="H76" s="1491">
        <f t="shared" si="47"/>
        <v>164</v>
      </c>
      <c r="I76" s="1491">
        <f t="shared" si="47"/>
        <v>162</v>
      </c>
      <c r="J76" s="1492">
        <f t="shared" si="47"/>
        <v>159</v>
      </c>
      <c r="K76" s="1517">
        <f t="shared" si="47"/>
        <v>150</v>
      </c>
      <c r="L76" s="348">
        <f t="shared" si="47"/>
        <v>152</v>
      </c>
      <c r="M76" s="348">
        <f t="shared" si="47"/>
        <v>147</v>
      </c>
      <c r="N76" s="348">
        <f t="shared" ref="N76:Q76" si="48">SUM(N74:N75)</f>
        <v>148</v>
      </c>
      <c r="O76" s="348">
        <f t="shared" si="48"/>
        <v>148</v>
      </c>
      <c r="P76" s="1518">
        <f t="shared" si="48"/>
        <v>155</v>
      </c>
      <c r="Q76" s="349">
        <f t="shared" si="48"/>
        <v>179</v>
      </c>
      <c r="R76" s="350">
        <f>+P76-Q76</f>
        <v>-24</v>
      </c>
      <c r="S76" s="350">
        <f>+P76-O76</f>
        <v>7</v>
      </c>
      <c r="T76" s="351">
        <f>IFERROR(P76/O76-1,100%)</f>
        <v>4.7297297297297369E-2</v>
      </c>
      <c r="U76" s="349">
        <v>178</v>
      </c>
      <c r="X76" s="690"/>
      <c r="Y76" s="690"/>
    </row>
    <row r="77" spans="1:25" outlineLevel="1">
      <c r="D77" s="1493"/>
      <c r="E77" s="1494"/>
      <c r="F77" s="1494"/>
      <c r="G77" s="1494"/>
      <c r="H77" s="1494"/>
      <c r="I77" s="1494"/>
      <c r="J77" s="1495"/>
      <c r="K77" s="1459"/>
      <c r="L77" s="1460"/>
      <c r="M77" s="1460"/>
      <c r="N77" s="1460"/>
      <c r="O77" s="1460"/>
      <c r="P77" s="1519"/>
    </row>
    <row r="78" spans="1:25" ht="16.5" outlineLevel="1" thickBot="1">
      <c r="A78" s="352" t="s">
        <v>76</v>
      </c>
      <c r="D78" s="1496">
        <f>+D74/D75</f>
        <v>3.125</v>
      </c>
      <c r="E78" s="1497">
        <f t="shared" ref="E78:Q78" si="49">+E74/E75</f>
        <v>2.8571428571428572</v>
      </c>
      <c r="F78" s="1497">
        <f t="shared" si="49"/>
        <v>2.8571428571428572</v>
      </c>
      <c r="G78" s="1497">
        <f t="shared" si="49"/>
        <v>3</v>
      </c>
      <c r="H78" s="1497">
        <f>+H74/H75</f>
        <v>3.1</v>
      </c>
      <c r="I78" s="1497">
        <f t="shared" si="49"/>
        <v>3.1538461538461537</v>
      </c>
      <c r="J78" s="1498">
        <f t="shared" si="49"/>
        <v>3.0769230769230771</v>
      </c>
      <c r="K78" s="1461">
        <f t="shared" si="49"/>
        <v>2.9473684210526314</v>
      </c>
      <c r="L78" s="1462">
        <f t="shared" si="49"/>
        <v>2.8974358974358974</v>
      </c>
      <c r="M78" s="1462">
        <f t="shared" si="49"/>
        <v>2.6749999999999998</v>
      </c>
      <c r="N78" s="1462">
        <f t="shared" si="49"/>
        <v>2.7</v>
      </c>
      <c r="O78" s="1462">
        <f t="shared" si="49"/>
        <v>2.7948717948717947</v>
      </c>
      <c r="P78" s="1520">
        <f t="shared" si="49"/>
        <v>2.875</v>
      </c>
      <c r="Q78" s="354">
        <f t="shared" si="49"/>
        <v>3.0681818181818183</v>
      </c>
      <c r="R78" s="709"/>
      <c r="T78" s="709"/>
      <c r="U78" s="355">
        <f t="shared" ref="U78" si="50">+U74/U75</f>
        <v>3.0454545454545454</v>
      </c>
    </row>
    <row r="79" spans="1:25" ht="15.75" outlineLevel="1">
      <c r="A79" s="6" t="s">
        <v>406</v>
      </c>
      <c r="D79" s="353"/>
      <c r="E79" s="353"/>
      <c r="F79" s="353"/>
      <c r="G79" s="353"/>
      <c r="H79" s="353"/>
      <c r="I79" s="353"/>
      <c r="J79" s="353"/>
      <c r="K79" s="353"/>
      <c r="L79" s="353"/>
      <c r="M79" s="353"/>
      <c r="N79" s="353"/>
      <c r="O79" s="353"/>
      <c r="P79" s="354"/>
      <c r="Q79" s="354"/>
      <c r="R79" s="709"/>
      <c r="T79" s="709"/>
      <c r="U79" s="355"/>
    </row>
    <row r="80" spans="1:25" ht="13.9" customHeight="1" outlineLevel="1">
      <c r="A80" s="6" t="s">
        <v>116</v>
      </c>
    </row>
    <row r="81" spans="1:21" ht="13.9" customHeight="1"/>
    <row r="82" spans="1:21" ht="13.9" customHeight="1"/>
    <row r="83" spans="1:21" ht="14.45" customHeight="1">
      <c r="A83" s="105" t="s">
        <v>504</v>
      </c>
      <c r="B83" s="105"/>
      <c r="C83" s="105"/>
      <c r="D83" s="105"/>
      <c r="E83" s="105"/>
      <c r="F83" s="105"/>
      <c r="G83" s="105"/>
      <c r="H83" s="105"/>
      <c r="I83" s="105"/>
      <c r="J83" s="105"/>
      <c r="K83" s="105"/>
      <c r="L83" s="105"/>
      <c r="M83" s="105"/>
    </row>
    <row r="84" spans="1:21" hidden="1" outlineLevel="1">
      <c r="A84" s="227" t="s">
        <v>405</v>
      </c>
      <c r="B84" s="6"/>
      <c r="C84" s="6"/>
      <c r="D84" s="6"/>
      <c r="E84" s="6"/>
      <c r="F84" s="6"/>
      <c r="G84" s="6"/>
      <c r="H84" s="6"/>
      <c r="I84" s="6"/>
      <c r="J84" s="6"/>
      <c r="K84" s="6"/>
      <c r="L84" s="6"/>
      <c r="M84" s="6"/>
      <c r="P84" s="710"/>
    </row>
    <row r="85" spans="1:21" ht="32.25" hidden="1" outlineLevel="1" thickBot="1">
      <c r="A85" s="32" t="s">
        <v>79</v>
      </c>
      <c r="B85" s="32" t="s">
        <v>0</v>
      </c>
      <c r="C85" s="32"/>
      <c r="D85" s="635">
        <v>45777</v>
      </c>
      <c r="E85" s="634">
        <v>45808</v>
      </c>
      <c r="F85" s="634">
        <v>45838</v>
      </c>
      <c r="G85" s="634">
        <v>45869</v>
      </c>
      <c r="H85" s="634">
        <v>45900</v>
      </c>
      <c r="I85" s="634">
        <v>45930</v>
      </c>
      <c r="J85" s="634">
        <v>45961</v>
      </c>
      <c r="K85" s="634">
        <v>45991</v>
      </c>
      <c r="L85" s="636">
        <v>46022</v>
      </c>
      <c r="M85" s="636">
        <v>46053</v>
      </c>
      <c r="N85" s="636">
        <v>46081</v>
      </c>
      <c r="O85" s="636">
        <v>46112</v>
      </c>
      <c r="P85" s="635">
        <v>46142</v>
      </c>
      <c r="Q85" s="638" t="s">
        <v>12</v>
      </c>
      <c r="R85" s="674" t="s">
        <v>28</v>
      </c>
      <c r="S85" s="639" t="s">
        <v>75</v>
      </c>
      <c r="T85" s="638" t="s">
        <v>13</v>
      </c>
    </row>
    <row r="86" spans="1:21" hidden="1" outlineLevel="2">
      <c r="A86" s="356" t="s">
        <v>78</v>
      </c>
      <c r="B86" s="310" t="s">
        <v>2</v>
      </c>
      <c r="C86" s="357" t="s">
        <v>80</v>
      </c>
      <c r="D86" s="358">
        <v>1</v>
      </c>
      <c r="E86" s="359">
        <v>2</v>
      </c>
      <c r="F86" s="359">
        <v>2</v>
      </c>
      <c r="G86" s="359">
        <v>2</v>
      </c>
      <c r="H86" s="359">
        <v>2</v>
      </c>
      <c r="I86" s="359">
        <v>2</v>
      </c>
      <c r="J86" s="359">
        <v>3</v>
      </c>
      <c r="K86" s="359">
        <v>3</v>
      </c>
      <c r="L86" s="359">
        <v>3</v>
      </c>
      <c r="M86" s="359">
        <v>3</v>
      </c>
      <c r="N86" s="359">
        <v>3</v>
      </c>
      <c r="O86" s="359">
        <v>3</v>
      </c>
      <c r="P86" s="360">
        <v>3</v>
      </c>
      <c r="Q86" s="361">
        <v>3</v>
      </c>
      <c r="R86" s="312">
        <f>+P86-Q86</f>
        <v>0</v>
      </c>
      <c r="S86" s="21">
        <f>IFERROR(P86/O86-1,100%)</f>
        <v>0</v>
      </c>
      <c r="T86" s="361">
        <v>3</v>
      </c>
      <c r="U86" s="711"/>
    </row>
    <row r="87" spans="1:21" ht="30" hidden="1" outlineLevel="2">
      <c r="A87" s="362" t="s">
        <v>78</v>
      </c>
      <c r="B87" s="321" t="s">
        <v>2</v>
      </c>
      <c r="C87" s="363" t="s">
        <v>77</v>
      </c>
      <c r="D87" s="364">
        <v>0.67774936061381075</v>
      </c>
      <c r="E87" s="365">
        <v>1.6040756914119358</v>
      </c>
      <c r="F87" s="365">
        <v>1.7840236686390532</v>
      </c>
      <c r="G87" s="365">
        <v>1.8341584158415842</v>
      </c>
      <c r="H87" s="365">
        <v>1.829059829059829</v>
      </c>
      <c r="I87" s="365">
        <v>1.7232375979112271</v>
      </c>
      <c r="J87" s="365">
        <v>2.2256532066508314</v>
      </c>
      <c r="K87" s="365">
        <v>2.8405405405405406</v>
      </c>
      <c r="L87" s="365">
        <v>2.0123762376237622</v>
      </c>
      <c r="M87" s="365">
        <v>2.3681592039800994</v>
      </c>
      <c r="N87" s="365">
        <v>2.7303370786516852</v>
      </c>
      <c r="O87" s="365">
        <v>2.5987841945288754</v>
      </c>
      <c r="P87" s="366">
        <v>2.7202970297029703</v>
      </c>
      <c r="Q87" s="367">
        <v>2.7</v>
      </c>
      <c r="R87" s="368">
        <f>+P87-Q87</f>
        <v>2.0297029702970093E-2</v>
      </c>
      <c r="S87" s="24">
        <f>IFERROR(P87/O87-1,100%)</f>
        <v>4.6757570493891398E-2</v>
      </c>
      <c r="T87" s="367">
        <v>2.7</v>
      </c>
      <c r="U87" s="711"/>
    </row>
    <row r="88" spans="1:21" hidden="1" outlineLevel="2">
      <c r="A88" s="369" t="s">
        <v>78</v>
      </c>
      <c r="B88" s="611"/>
      <c r="C88" s="370"/>
      <c r="D88" s="371"/>
      <c r="E88" s="372"/>
      <c r="F88" s="372"/>
      <c r="G88" s="372"/>
      <c r="H88" s="372"/>
      <c r="I88" s="372"/>
      <c r="J88" s="372"/>
      <c r="K88" s="372"/>
      <c r="L88" s="372"/>
      <c r="M88" s="372"/>
      <c r="N88" s="372"/>
      <c r="O88" s="372"/>
      <c r="P88" s="373"/>
      <c r="Q88" s="374"/>
      <c r="R88" s="375"/>
      <c r="S88" s="198"/>
      <c r="T88" s="374"/>
      <c r="U88" s="711"/>
    </row>
    <row r="89" spans="1:21" hidden="1" outlineLevel="2">
      <c r="A89" s="356" t="s">
        <v>78</v>
      </c>
      <c r="B89" s="310" t="s">
        <v>3</v>
      </c>
      <c r="C89" s="357" t="s">
        <v>80</v>
      </c>
      <c r="D89" s="358">
        <v>6</v>
      </c>
      <c r="E89" s="359">
        <v>5</v>
      </c>
      <c r="F89" s="359">
        <v>5</v>
      </c>
      <c r="G89" s="359">
        <v>5</v>
      </c>
      <c r="H89" s="359">
        <v>5</v>
      </c>
      <c r="I89" s="359">
        <v>6</v>
      </c>
      <c r="J89" s="359">
        <v>6</v>
      </c>
      <c r="K89" s="359">
        <v>7</v>
      </c>
      <c r="L89" s="359">
        <v>7</v>
      </c>
      <c r="M89" s="359">
        <v>7</v>
      </c>
      <c r="N89" s="359">
        <v>6</v>
      </c>
      <c r="O89" s="359">
        <v>5</v>
      </c>
      <c r="P89" s="360">
        <v>5</v>
      </c>
      <c r="Q89" s="361">
        <v>8</v>
      </c>
      <c r="R89" s="312">
        <f>+P89-Q89</f>
        <v>-3</v>
      </c>
      <c r="S89" s="21">
        <f>IFERROR(P89/O89-1,100%)</f>
        <v>0</v>
      </c>
      <c r="T89" s="361">
        <v>10</v>
      </c>
      <c r="U89" s="711"/>
    </row>
    <row r="90" spans="1:21" ht="30" hidden="1" outlineLevel="2">
      <c r="A90" s="376" t="s">
        <v>78</v>
      </c>
      <c r="B90" s="616" t="s">
        <v>3</v>
      </c>
      <c r="C90" s="377" t="s">
        <v>77</v>
      </c>
      <c r="D90" s="378">
        <v>3.9207161125319692</v>
      </c>
      <c r="E90" s="379">
        <v>3.8955223880597014</v>
      </c>
      <c r="F90" s="379">
        <v>4.5710059171597637</v>
      </c>
      <c r="G90" s="379">
        <v>4.6509900990099009</v>
      </c>
      <c r="H90" s="379">
        <v>3.8717948717948718</v>
      </c>
      <c r="I90" s="379">
        <v>4.5483028720626635</v>
      </c>
      <c r="J90" s="379">
        <v>4.5402160864345742</v>
      </c>
      <c r="K90" s="379">
        <v>5.0945945945945947</v>
      </c>
      <c r="L90" s="379">
        <v>5.4158415841584162</v>
      </c>
      <c r="M90" s="379">
        <v>4.7189054726368163</v>
      </c>
      <c r="N90" s="379">
        <v>5.3876404494382024</v>
      </c>
      <c r="O90" s="379">
        <v>4.2553191489361701</v>
      </c>
      <c r="P90" s="380">
        <v>4.5495049504950495</v>
      </c>
      <c r="Q90" s="381">
        <v>7.2</v>
      </c>
      <c r="R90" s="382">
        <f>+P90-Q90</f>
        <v>-2.6504950495049506</v>
      </c>
      <c r="S90" s="383">
        <f>IFERROR(P90/O90-1,100%)</f>
        <v>6.913366336633664E-2</v>
      </c>
      <c r="T90" s="381">
        <v>9</v>
      </c>
      <c r="U90" s="711"/>
    </row>
    <row r="91" spans="1:21" hidden="1" outlineLevel="2">
      <c r="A91" s="369" t="s">
        <v>78</v>
      </c>
      <c r="B91" s="611"/>
      <c r="C91" s="370"/>
      <c r="D91" s="371"/>
      <c r="E91" s="372"/>
      <c r="F91" s="372"/>
      <c r="G91" s="372"/>
      <c r="H91" s="372"/>
      <c r="I91" s="372"/>
      <c r="J91" s="372"/>
      <c r="K91" s="372"/>
      <c r="L91" s="372"/>
      <c r="M91" s="372"/>
      <c r="N91" s="372"/>
      <c r="O91" s="372"/>
      <c r="P91" s="373"/>
      <c r="Q91" s="374"/>
      <c r="R91" s="375"/>
      <c r="S91" s="198"/>
      <c r="T91" s="374"/>
      <c r="U91" s="711"/>
    </row>
    <row r="92" spans="1:21" hidden="1" outlineLevel="2">
      <c r="A92" s="356" t="s">
        <v>78</v>
      </c>
      <c r="B92" s="310" t="s">
        <v>81</v>
      </c>
      <c r="C92" s="357" t="s">
        <v>80</v>
      </c>
      <c r="D92" s="358">
        <v>1</v>
      </c>
      <c r="E92" s="359">
        <v>1</v>
      </c>
      <c r="F92" s="359">
        <v>1</v>
      </c>
      <c r="G92" s="359">
        <v>1</v>
      </c>
      <c r="H92" s="359">
        <v>1</v>
      </c>
      <c r="I92" s="359">
        <v>0</v>
      </c>
      <c r="J92" s="359">
        <v>0</v>
      </c>
      <c r="K92" s="359">
        <v>0</v>
      </c>
      <c r="L92" s="359">
        <v>0</v>
      </c>
      <c r="M92" s="359">
        <v>0</v>
      </c>
      <c r="N92" s="359">
        <v>0</v>
      </c>
      <c r="O92" s="359">
        <v>0</v>
      </c>
      <c r="P92" s="360">
        <v>0</v>
      </c>
      <c r="Q92" s="361">
        <v>1</v>
      </c>
      <c r="R92" s="312">
        <f t="shared" ref="R92:R97" si="51">+P92-Q92</f>
        <v>-1</v>
      </c>
      <c r="S92" s="21">
        <f t="shared" ref="S92:S97" si="52">IFERROR(P92/O92-1,100%)</f>
        <v>1</v>
      </c>
      <c r="T92" s="361">
        <v>2</v>
      </c>
      <c r="U92" s="711"/>
    </row>
    <row r="93" spans="1:21" ht="30.75" hidden="1" outlineLevel="2" thickBot="1">
      <c r="A93" s="376" t="s">
        <v>78</v>
      </c>
      <c r="B93" s="616" t="s">
        <v>81</v>
      </c>
      <c r="C93" s="377" t="s">
        <v>77</v>
      </c>
      <c r="D93" s="378">
        <v>0.875</v>
      </c>
      <c r="E93" s="379">
        <v>0.91891891891891897</v>
      </c>
      <c r="F93" s="379">
        <v>0.8550295857988166</v>
      </c>
      <c r="G93" s="379">
        <v>0.85643564356435642</v>
      </c>
      <c r="H93" s="379">
        <v>0.87179487179487181</v>
      </c>
      <c r="I93" s="379">
        <v>0</v>
      </c>
      <c r="J93" s="379">
        <v>0</v>
      </c>
      <c r="K93" s="379">
        <v>0</v>
      </c>
      <c r="L93" s="379">
        <v>0</v>
      </c>
      <c r="M93" s="379">
        <v>0</v>
      </c>
      <c r="N93" s="379">
        <v>0</v>
      </c>
      <c r="O93" s="379">
        <v>0</v>
      </c>
      <c r="P93" s="380">
        <v>0</v>
      </c>
      <c r="Q93" s="381">
        <v>0.9</v>
      </c>
      <c r="R93" s="382">
        <f t="shared" si="51"/>
        <v>-0.9</v>
      </c>
      <c r="S93" s="383">
        <f t="shared" si="52"/>
        <v>1</v>
      </c>
      <c r="T93" s="381">
        <v>1.8</v>
      </c>
      <c r="U93" s="711"/>
    </row>
    <row r="94" spans="1:21" ht="15.75" hidden="1" outlineLevel="1" collapsed="1">
      <c r="A94" s="384"/>
      <c r="B94" s="385"/>
      <c r="C94" s="386" t="s">
        <v>82</v>
      </c>
      <c r="D94" s="387">
        <f t="shared" ref="D94:P95" si="53">SUBTOTAL(9,D86,D89,D92)</f>
        <v>8</v>
      </c>
      <c r="E94" s="388">
        <f t="shared" si="53"/>
        <v>8</v>
      </c>
      <c r="F94" s="388">
        <f t="shared" si="53"/>
        <v>8</v>
      </c>
      <c r="G94" s="388">
        <f t="shared" si="53"/>
        <v>8</v>
      </c>
      <c r="H94" s="388">
        <f t="shared" si="53"/>
        <v>8</v>
      </c>
      <c r="I94" s="388">
        <f t="shared" si="53"/>
        <v>8</v>
      </c>
      <c r="J94" s="388">
        <f t="shared" si="53"/>
        <v>9</v>
      </c>
      <c r="K94" s="388">
        <f t="shared" si="53"/>
        <v>10</v>
      </c>
      <c r="L94" s="388">
        <f t="shared" si="53"/>
        <v>10</v>
      </c>
      <c r="M94" s="388">
        <f t="shared" si="53"/>
        <v>10</v>
      </c>
      <c r="N94" s="388">
        <f t="shared" si="53"/>
        <v>9</v>
      </c>
      <c r="O94" s="388">
        <f t="shared" si="53"/>
        <v>8</v>
      </c>
      <c r="P94" s="389">
        <f t="shared" si="53"/>
        <v>8</v>
      </c>
      <c r="Q94" s="390">
        <f>SUBTOTAL(9,Q86,Q89,Q92)</f>
        <v>12</v>
      </c>
      <c r="R94" s="391">
        <f t="shared" si="51"/>
        <v>-4</v>
      </c>
      <c r="S94" s="392">
        <f t="shared" si="52"/>
        <v>0</v>
      </c>
      <c r="T94" s="390">
        <f>SUBTOTAL(9,T86,T89,T92)</f>
        <v>15</v>
      </c>
      <c r="U94" s="711"/>
    </row>
    <row r="95" spans="1:21" ht="16.5" hidden="1" outlineLevel="1" thickBot="1">
      <c r="A95" s="393"/>
      <c r="B95" s="394"/>
      <c r="C95" s="395" t="s">
        <v>83</v>
      </c>
      <c r="D95" s="396">
        <f t="shared" si="53"/>
        <v>5.4734654731457795</v>
      </c>
      <c r="E95" s="397">
        <f t="shared" si="53"/>
        <v>6.4185169983905563</v>
      </c>
      <c r="F95" s="397">
        <f t="shared" si="53"/>
        <v>7.2100591715976332</v>
      </c>
      <c r="G95" s="397">
        <f t="shared" si="53"/>
        <v>7.3415841584158414</v>
      </c>
      <c r="H95" s="397">
        <f t="shared" si="53"/>
        <v>6.5726495726495724</v>
      </c>
      <c r="I95" s="397">
        <f t="shared" si="53"/>
        <v>6.2715404699738908</v>
      </c>
      <c r="J95" s="397">
        <f t="shared" si="53"/>
        <v>6.7658692930854052</v>
      </c>
      <c r="K95" s="397">
        <f t="shared" si="53"/>
        <v>7.9351351351351358</v>
      </c>
      <c r="L95" s="397">
        <f t="shared" si="53"/>
        <v>7.4282178217821784</v>
      </c>
      <c r="M95" s="397">
        <f t="shared" si="53"/>
        <v>7.0870646766169152</v>
      </c>
      <c r="N95" s="397">
        <f t="shared" si="53"/>
        <v>8.117977528089888</v>
      </c>
      <c r="O95" s="397">
        <f t="shared" si="53"/>
        <v>6.8541033434650451</v>
      </c>
      <c r="P95" s="398">
        <f t="shared" si="53"/>
        <v>7.2698019801980198</v>
      </c>
      <c r="Q95" s="399">
        <f>SUBTOTAL(9,Q87,Q90,Q93)</f>
        <v>10.8</v>
      </c>
      <c r="R95" s="400">
        <f t="shared" si="51"/>
        <v>-3.5301980198019809</v>
      </c>
      <c r="S95" s="401">
        <f t="shared" si="52"/>
        <v>6.064960154552046E-2</v>
      </c>
      <c r="T95" s="399">
        <f>SUBTOTAL(9,T87,T90,T93)</f>
        <v>13.5</v>
      </c>
      <c r="U95" s="711"/>
    </row>
    <row r="96" spans="1:21" hidden="1" outlineLevel="2">
      <c r="A96" s="356" t="s">
        <v>84</v>
      </c>
      <c r="B96" s="310" t="s">
        <v>2</v>
      </c>
      <c r="C96" s="357" t="s">
        <v>80</v>
      </c>
      <c r="D96" s="358">
        <v>28</v>
      </c>
      <c r="E96" s="359">
        <v>26</v>
      </c>
      <c r="F96" s="359">
        <v>26</v>
      </c>
      <c r="G96" s="359">
        <v>26</v>
      </c>
      <c r="H96" s="359">
        <v>22</v>
      </c>
      <c r="I96" s="359">
        <v>22</v>
      </c>
      <c r="J96" s="359">
        <v>22</v>
      </c>
      <c r="K96" s="359">
        <v>23</v>
      </c>
      <c r="L96" s="359">
        <v>23</v>
      </c>
      <c r="M96" s="359">
        <v>24</v>
      </c>
      <c r="N96" s="359">
        <v>22</v>
      </c>
      <c r="O96" s="359">
        <v>20</v>
      </c>
      <c r="P96" s="360">
        <v>19</v>
      </c>
      <c r="Q96" s="361">
        <v>35</v>
      </c>
      <c r="R96" s="312">
        <f t="shared" si="51"/>
        <v>-16</v>
      </c>
      <c r="S96" s="21">
        <f t="shared" si="52"/>
        <v>-5.0000000000000044E-2</v>
      </c>
      <c r="T96" s="361">
        <v>36</v>
      </c>
      <c r="U96" s="711"/>
    </row>
    <row r="97" spans="1:21" ht="30" hidden="1" outlineLevel="2">
      <c r="A97" s="362" t="s">
        <v>84</v>
      </c>
      <c r="B97" s="321" t="s">
        <v>2</v>
      </c>
      <c r="C97" s="363" t="s">
        <v>77</v>
      </c>
      <c r="D97" s="364">
        <v>14.51918158567775</v>
      </c>
      <c r="E97" s="365">
        <v>17.32089552238806</v>
      </c>
      <c r="F97" s="365">
        <v>18.396449704142011</v>
      </c>
      <c r="G97" s="365">
        <v>18.245049504950494</v>
      </c>
      <c r="H97" s="365">
        <v>10.085470085470085</v>
      </c>
      <c r="I97" s="365">
        <v>18.138381201044385</v>
      </c>
      <c r="J97" s="365">
        <v>18.1187648456057</v>
      </c>
      <c r="K97" s="365">
        <v>17.059459459459461</v>
      </c>
      <c r="L97" s="365">
        <v>15.03960396039604</v>
      </c>
      <c r="M97" s="365">
        <v>12.965174129353233</v>
      </c>
      <c r="N97" s="365">
        <v>14.629213483146067</v>
      </c>
      <c r="O97" s="365">
        <v>14.048632218844984</v>
      </c>
      <c r="P97" s="366">
        <v>14.237623762376238</v>
      </c>
      <c r="Q97" s="367">
        <v>28</v>
      </c>
      <c r="R97" s="368">
        <f t="shared" si="51"/>
        <v>-13.762376237623762</v>
      </c>
      <c r="S97" s="24">
        <f t="shared" si="52"/>
        <v>1.345266504149345E-2</v>
      </c>
      <c r="T97" s="367">
        <v>29.339999999999996</v>
      </c>
      <c r="U97" s="711"/>
    </row>
    <row r="98" spans="1:21" hidden="1" outlineLevel="2">
      <c r="A98" s="369" t="s">
        <v>84</v>
      </c>
      <c r="B98" s="611"/>
      <c r="C98" s="370"/>
      <c r="D98" s="371"/>
      <c r="E98" s="372"/>
      <c r="F98" s="372"/>
      <c r="G98" s="372"/>
      <c r="H98" s="372"/>
      <c r="I98" s="372"/>
      <c r="J98" s="372"/>
      <c r="K98" s="372"/>
      <c r="L98" s="372"/>
      <c r="M98" s="372"/>
      <c r="N98" s="372"/>
      <c r="O98" s="372"/>
      <c r="P98" s="373"/>
      <c r="Q98" s="374"/>
      <c r="R98" s="375"/>
      <c r="S98" s="198"/>
      <c r="T98" s="374"/>
      <c r="U98" s="711"/>
    </row>
    <row r="99" spans="1:21" hidden="1" outlineLevel="2">
      <c r="A99" s="356" t="s">
        <v>84</v>
      </c>
      <c r="B99" s="310" t="s">
        <v>3</v>
      </c>
      <c r="C99" s="357" t="s">
        <v>80</v>
      </c>
      <c r="D99" s="358">
        <v>71</v>
      </c>
      <c r="E99" s="359">
        <v>70</v>
      </c>
      <c r="F99" s="359">
        <v>70</v>
      </c>
      <c r="G99" s="359">
        <v>70</v>
      </c>
      <c r="H99" s="359">
        <v>70</v>
      </c>
      <c r="I99" s="359">
        <v>71</v>
      </c>
      <c r="J99" s="359">
        <v>72</v>
      </c>
      <c r="K99" s="359">
        <v>70</v>
      </c>
      <c r="L99" s="359">
        <v>69</v>
      </c>
      <c r="M99" s="359">
        <v>67</v>
      </c>
      <c r="N99" s="359">
        <v>65</v>
      </c>
      <c r="O99" s="359">
        <v>64</v>
      </c>
      <c r="P99" s="360">
        <v>65</v>
      </c>
      <c r="Q99" s="402">
        <v>62</v>
      </c>
      <c r="R99" s="312">
        <f>+P99-Q99</f>
        <v>3</v>
      </c>
      <c r="S99" s="21">
        <f>IFERROR(P99/O99-1,100%)</f>
        <v>1.5625E-2</v>
      </c>
      <c r="T99" s="361">
        <v>74</v>
      </c>
      <c r="U99" s="711"/>
    </row>
    <row r="100" spans="1:21" ht="30" hidden="1" outlineLevel="2">
      <c r="A100" s="376" t="s">
        <v>84</v>
      </c>
      <c r="B100" s="616" t="s">
        <v>3</v>
      </c>
      <c r="C100" s="377" t="s">
        <v>77</v>
      </c>
      <c r="D100" s="378">
        <v>41.447570332480815</v>
      </c>
      <c r="E100" s="379">
        <v>51.895522388059703</v>
      </c>
      <c r="F100" s="379">
        <v>59.579881656804737</v>
      </c>
      <c r="G100" s="379">
        <v>61.116336633663366</v>
      </c>
      <c r="H100" s="379">
        <v>35.888888888888886</v>
      </c>
      <c r="I100" s="379">
        <v>59.488250652741513</v>
      </c>
      <c r="J100" s="379">
        <v>60.551068883610448</v>
      </c>
      <c r="K100" s="379">
        <v>58.381081081081078</v>
      </c>
      <c r="L100" s="379">
        <v>52.03217821782178</v>
      </c>
      <c r="M100" s="379">
        <v>53.388059701492537</v>
      </c>
      <c r="N100" s="379">
        <v>54.806179775280896</v>
      </c>
      <c r="O100" s="379">
        <v>53.18844984802432</v>
      </c>
      <c r="P100" s="380">
        <v>53.893564356435647</v>
      </c>
      <c r="Q100" s="381">
        <v>49.6</v>
      </c>
      <c r="R100" s="382">
        <f>+P100-Q100</f>
        <v>4.2935643564356454</v>
      </c>
      <c r="S100" s="383">
        <f>IFERROR(P100/O100-1,100%)</f>
        <v>1.3256910295864177E-2</v>
      </c>
      <c r="T100" s="381">
        <v>60.309999999999995</v>
      </c>
      <c r="U100" s="711"/>
    </row>
    <row r="101" spans="1:21" hidden="1" outlineLevel="2">
      <c r="A101" s="369" t="s">
        <v>84</v>
      </c>
      <c r="B101" s="611"/>
      <c r="C101" s="370"/>
      <c r="D101" s="371"/>
      <c r="E101" s="372"/>
      <c r="F101" s="372"/>
      <c r="G101" s="372"/>
      <c r="H101" s="372"/>
      <c r="I101" s="372"/>
      <c r="J101" s="372"/>
      <c r="K101" s="372"/>
      <c r="L101" s="372"/>
      <c r="M101" s="372"/>
      <c r="N101" s="372"/>
      <c r="O101" s="372"/>
      <c r="P101" s="373"/>
      <c r="Q101" s="374"/>
      <c r="R101" s="375"/>
      <c r="S101" s="198"/>
      <c r="T101" s="374"/>
      <c r="U101" s="711"/>
    </row>
    <row r="102" spans="1:21" hidden="1" outlineLevel="2">
      <c r="A102" s="356" t="s">
        <v>84</v>
      </c>
      <c r="B102" s="310" t="s">
        <v>81</v>
      </c>
      <c r="C102" s="357" t="s">
        <v>80</v>
      </c>
      <c r="D102" s="358">
        <v>6</v>
      </c>
      <c r="E102" s="359">
        <v>6</v>
      </c>
      <c r="F102" s="359">
        <v>5</v>
      </c>
      <c r="G102" s="359">
        <v>5</v>
      </c>
      <c r="H102" s="359">
        <v>5</v>
      </c>
      <c r="I102" s="359">
        <v>4</v>
      </c>
      <c r="J102" s="359">
        <v>4</v>
      </c>
      <c r="K102" s="359">
        <v>4</v>
      </c>
      <c r="L102" s="359">
        <v>3</v>
      </c>
      <c r="M102" s="359">
        <v>3</v>
      </c>
      <c r="N102" s="359">
        <v>2</v>
      </c>
      <c r="O102" s="359">
        <v>2</v>
      </c>
      <c r="P102" s="360">
        <v>2</v>
      </c>
      <c r="Q102" s="361">
        <v>3</v>
      </c>
      <c r="R102" s="312">
        <f>+P102-Q102</f>
        <v>-1</v>
      </c>
      <c r="S102" s="21">
        <f>IFERROR(P102/O102-1,100%)</f>
        <v>0</v>
      </c>
      <c r="T102" s="361">
        <v>6</v>
      </c>
      <c r="U102" s="711"/>
    </row>
    <row r="103" spans="1:21" ht="30.75" hidden="1" outlineLevel="2" thickBot="1">
      <c r="A103" s="376" t="s">
        <v>84</v>
      </c>
      <c r="B103" s="616" t="s">
        <v>81</v>
      </c>
      <c r="C103" s="377" t="s">
        <v>77</v>
      </c>
      <c r="D103" s="378">
        <v>2.2583120204603579</v>
      </c>
      <c r="E103" s="379">
        <v>2.2437810945273631</v>
      </c>
      <c r="F103" s="379">
        <v>2.5798816568047336</v>
      </c>
      <c r="G103" s="379">
        <v>2.1831683168316833</v>
      </c>
      <c r="H103" s="379">
        <v>1.641025641025641</v>
      </c>
      <c r="I103" s="379">
        <v>1.0287206266318538</v>
      </c>
      <c r="J103" s="379">
        <v>2.6983372921615203</v>
      </c>
      <c r="K103" s="379">
        <v>2.708108108108108</v>
      </c>
      <c r="L103" s="379">
        <v>2.0396039603960396</v>
      </c>
      <c r="M103" s="379">
        <v>1.644278606965174</v>
      </c>
      <c r="N103" s="379">
        <v>1.8061797752808988</v>
      </c>
      <c r="O103" s="379">
        <v>1.9574468085106382</v>
      </c>
      <c r="P103" s="380">
        <v>1.9678217821782178</v>
      </c>
      <c r="Q103" s="381">
        <v>2.4</v>
      </c>
      <c r="R103" s="382">
        <f>+P103-Q103</f>
        <v>-0.43217821782178212</v>
      </c>
      <c r="S103" s="383">
        <f>IFERROR(P103/O103-1,100%)</f>
        <v>5.3002582866983339E-3</v>
      </c>
      <c r="T103" s="381">
        <v>4.8899999999999997</v>
      </c>
      <c r="U103" s="711"/>
    </row>
    <row r="104" spans="1:21" ht="15.75" hidden="1" outlineLevel="1" collapsed="1">
      <c r="A104" s="384"/>
      <c r="B104" s="385"/>
      <c r="C104" s="386" t="s">
        <v>85</v>
      </c>
      <c r="D104" s="387">
        <f t="shared" ref="D104:P105" si="54">SUBTOTAL(9,D96,D99,D102)</f>
        <v>105</v>
      </c>
      <c r="E104" s="388">
        <f t="shared" si="54"/>
        <v>102</v>
      </c>
      <c r="F104" s="388">
        <f t="shared" si="54"/>
        <v>101</v>
      </c>
      <c r="G104" s="388">
        <f t="shared" si="54"/>
        <v>101</v>
      </c>
      <c r="H104" s="388">
        <f t="shared" si="54"/>
        <v>97</v>
      </c>
      <c r="I104" s="388">
        <f t="shared" si="54"/>
        <v>97</v>
      </c>
      <c r="J104" s="388">
        <f t="shared" si="54"/>
        <v>98</v>
      </c>
      <c r="K104" s="388">
        <f t="shared" si="54"/>
        <v>97</v>
      </c>
      <c r="L104" s="388">
        <f t="shared" si="54"/>
        <v>95</v>
      </c>
      <c r="M104" s="388">
        <f t="shared" si="54"/>
        <v>94</v>
      </c>
      <c r="N104" s="388">
        <f t="shared" si="54"/>
        <v>89</v>
      </c>
      <c r="O104" s="388">
        <f t="shared" si="54"/>
        <v>86</v>
      </c>
      <c r="P104" s="389">
        <f t="shared" si="54"/>
        <v>86</v>
      </c>
      <c r="Q104" s="390">
        <f>SUBTOTAL(9,Q96,Q99,Q102)</f>
        <v>100</v>
      </c>
      <c r="R104" s="391">
        <f>+P104-Q104</f>
        <v>-14</v>
      </c>
      <c r="S104" s="392">
        <f>IFERROR(P104/O104-1,100%)</f>
        <v>0</v>
      </c>
      <c r="T104" s="390">
        <f t="shared" ref="T104:T105" si="55">SUBTOTAL(9,T96,T99,T102)</f>
        <v>116</v>
      </c>
      <c r="U104" s="711"/>
    </row>
    <row r="105" spans="1:21" ht="16.5" hidden="1" outlineLevel="1" thickBot="1">
      <c r="A105" s="393"/>
      <c r="B105" s="394"/>
      <c r="C105" s="395" t="s">
        <v>86</v>
      </c>
      <c r="D105" s="396">
        <f t="shared" si="54"/>
        <v>58.225063938618923</v>
      </c>
      <c r="E105" s="397">
        <f t="shared" si="54"/>
        <v>71.460199004975124</v>
      </c>
      <c r="F105" s="397">
        <f t="shared" si="54"/>
        <v>80.556213017751475</v>
      </c>
      <c r="G105" s="397">
        <f t="shared" si="54"/>
        <v>81.544554455445535</v>
      </c>
      <c r="H105" s="397">
        <f t="shared" si="54"/>
        <v>47.615384615384613</v>
      </c>
      <c r="I105" s="397">
        <f t="shared" si="54"/>
        <v>78.655352480417747</v>
      </c>
      <c r="J105" s="397">
        <f t="shared" si="54"/>
        <v>81.368171021377677</v>
      </c>
      <c r="K105" s="397">
        <f t="shared" si="54"/>
        <v>78.148648648648646</v>
      </c>
      <c r="L105" s="397">
        <f t="shared" si="54"/>
        <v>69.111386138613852</v>
      </c>
      <c r="M105" s="397">
        <f t="shared" si="54"/>
        <v>67.99751243781094</v>
      </c>
      <c r="N105" s="397">
        <f t="shared" si="54"/>
        <v>71.241573033707851</v>
      </c>
      <c r="O105" s="397">
        <f t="shared" si="54"/>
        <v>69.194528875379945</v>
      </c>
      <c r="P105" s="398">
        <f t="shared" si="54"/>
        <v>70.099009900990097</v>
      </c>
      <c r="Q105" s="399">
        <f>SUBTOTAL(9,Q97,Q100,Q103)</f>
        <v>80</v>
      </c>
      <c r="R105" s="400">
        <f>+P105-Q105</f>
        <v>-9.9009900990099027</v>
      </c>
      <c r="S105" s="401">
        <f>IFERROR(P105/O105-1,100%)</f>
        <v>1.3071568522984522E-2</v>
      </c>
      <c r="T105" s="399">
        <f t="shared" si="55"/>
        <v>94.539999999999992</v>
      </c>
      <c r="U105" s="711"/>
    </row>
    <row r="106" spans="1:21" hidden="1" outlineLevel="2">
      <c r="A106" s="356" t="s">
        <v>87</v>
      </c>
      <c r="B106" s="310" t="s">
        <v>2</v>
      </c>
      <c r="C106" s="357" t="s">
        <v>80</v>
      </c>
      <c r="D106" s="358"/>
      <c r="E106" s="359"/>
      <c r="F106" s="359"/>
      <c r="G106" s="359"/>
      <c r="H106" s="359"/>
      <c r="I106" s="359"/>
      <c r="J106" s="359"/>
      <c r="K106" s="359"/>
      <c r="L106" s="359"/>
      <c r="M106" s="359"/>
      <c r="N106" s="359"/>
      <c r="O106" s="359"/>
      <c r="P106" s="360"/>
      <c r="Q106" s="361"/>
      <c r="R106" s="312"/>
      <c r="S106" s="21"/>
      <c r="T106" s="361"/>
      <c r="U106" s="711"/>
    </row>
    <row r="107" spans="1:21" ht="30" hidden="1" outlineLevel="2">
      <c r="A107" s="362" t="s">
        <v>87</v>
      </c>
      <c r="B107" s="321" t="s">
        <v>2</v>
      </c>
      <c r="C107" s="363" t="s">
        <v>77</v>
      </c>
      <c r="D107" s="364"/>
      <c r="E107" s="365"/>
      <c r="F107" s="365"/>
      <c r="G107" s="365"/>
      <c r="H107" s="365"/>
      <c r="I107" s="365"/>
      <c r="J107" s="365"/>
      <c r="K107" s="365"/>
      <c r="L107" s="365"/>
      <c r="M107" s="365"/>
      <c r="N107" s="365"/>
      <c r="O107" s="365"/>
      <c r="P107" s="366"/>
      <c r="Q107" s="367"/>
      <c r="R107" s="324"/>
      <c r="S107" s="24"/>
      <c r="T107" s="367"/>
      <c r="U107" s="711"/>
    </row>
    <row r="108" spans="1:21" hidden="1" outlineLevel="2">
      <c r="A108" s="369" t="s">
        <v>87</v>
      </c>
      <c r="B108" s="611"/>
      <c r="C108" s="370"/>
      <c r="D108" s="371"/>
      <c r="E108" s="372"/>
      <c r="F108" s="372"/>
      <c r="G108" s="372"/>
      <c r="H108" s="372"/>
      <c r="I108" s="372"/>
      <c r="J108" s="372"/>
      <c r="K108" s="372"/>
      <c r="L108" s="372"/>
      <c r="M108" s="372"/>
      <c r="N108" s="372"/>
      <c r="O108" s="372"/>
      <c r="P108" s="373"/>
      <c r="Q108" s="374"/>
      <c r="R108" s="375"/>
      <c r="S108" s="198"/>
      <c r="T108" s="374"/>
      <c r="U108" s="711"/>
    </row>
    <row r="109" spans="1:21" hidden="1" outlineLevel="2">
      <c r="A109" s="356" t="s">
        <v>87</v>
      </c>
      <c r="B109" s="310" t="s">
        <v>3</v>
      </c>
      <c r="C109" s="357" t="s">
        <v>80</v>
      </c>
      <c r="D109" s="358">
        <v>5</v>
      </c>
      <c r="E109" s="359">
        <v>8</v>
      </c>
      <c r="F109" s="359">
        <v>7</v>
      </c>
      <c r="G109" s="359">
        <v>8</v>
      </c>
      <c r="H109" s="359">
        <v>8</v>
      </c>
      <c r="I109" s="359">
        <v>12</v>
      </c>
      <c r="J109" s="359">
        <v>11</v>
      </c>
      <c r="K109" s="359">
        <v>11</v>
      </c>
      <c r="L109" s="359">
        <v>9</v>
      </c>
      <c r="M109" s="359">
        <v>9</v>
      </c>
      <c r="N109" s="359">
        <v>10</v>
      </c>
      <c r="O109" s="359">
        <v>10</v>
      </c>
      <c r="P109" s="360">
        <v>9</v>
      </c>
      <c r="Q109" s="361">
        <v>11</v>
      </c>
      <c r="R109" s="312">
        <f>+P109-Q109</f>
        <v>-2</v>
      </c>
      <c r="S109" s="21">
        <f>IFERROR(P109/O109-1,100%)</f>
        <v>-9.9999999999999978E-2</v>
      </c>
      <c r="T109" s="361">
        <v>10</v>
      </c>
      <c r="U109" s="711"/>
    </row>
    <row r="110" spans="1:21" ht="30" hidden="1" outlineLevel="2">
      <c r="A110" s="376" t="s">
        <v>87</v>
      </c>
      <c r="B110" s="616" t="s">
        <v>3</v>
      </c>
      <c r="C110" s="377" t="s">
        <v>77</v>
      </c>
      <c r="D110" s="378">
        <v>3.0332480818414322</v>
      </c>
      <c r="E110" s="379">
        <v>5.2670025188916876</v>
      </c>
      <c r="F110" s="379">
        <v>6.1834319526627217</v>
      </c>
      <c r="G110" s="379">
        <v>7.6608910891089108</v>
      </c>
      <c r="H110" s="379">
        <v>6.017094017094017</v>
      </c>
      <c r="I110" s="379">
        <v>7.9373368146214096</v>
      </c>
      <c r="J110" s="379">
        <v>9</v>
      </c>
      <c r="K110" s="379">
        <v>8.1432432432432424</v>
      </c>
      <c r="L110" s="379">
        <v>6.3341584158415838</v>
      </c>
      <c r="M110" s="379">
        <v>5.5870646766169152</v>
      </c>
      <c r="N110" s="379">
        <v>7.8848314606741576</v>
      </c>
      <c r="O110" s="379">
        <v>7.2006079027355625</v>
      </c>
      <c r="P110" s="380">
        <v>8.2425742574257423</v>
      </c>
      <c r="Q110" s="381">
        <v>9.68</v>
      </c>
      <c r="R110" s="382">
        <f>+P110-Q110</f>
        <v>-1.4374257425742574</v>
      </c>
      <c r="S110" s="383">
        <f>IFERROR(P110/O110-1,100%)</f>
        <v>0.14470533165600208</v>
      </c>
      <c r="T110" s="381">
        <v>9</v>
      </c>
      <c r="U110" s="711"/>
    </row>
    <row r="111" spans="1:21" hidden="1" outlineLevel="2">
      <c r="A111" s="369" t="s">
        <v>87</v>
      </c>
      <c r="B111" s="611"/>
      <c r="C111" s="370"/>
      <c r="D111" s="371"/>
      <c r="E111" s="372"/>
      <c r="F111" s="372"/>
      <c r="G111" s="372"/>
      <c r="H111" s="372"/>
      <c r="I111" s="372"/>
      <c r="J111" s="372"/>
      <c r="K111" s="372"/>
      <c r="L111" s="372"/>
      <c r="M111" s="372"/>
      <c r="N111" s="372"/>
      <c r="O111" s="372"/>
      <c r="P111" s="373"/>
      <c r="Q111" s="374"/>
      <c r="R111" s="375"/>
      <c r="S111" s="198"/>
      <c r="T111" s="374"/>
      <c r="U111" s="711"/>
    </row>
    <row r="112" spans="1:21" hidden="1" outlineLevel="2">
      <c r="A112" s="356" t="s">
        <v>87</v>
      </c>
      <c r="B112" s="310" t="s">
        <v>81</v>
      </c>
      <c r="C112" s="357" t="s">
        <v>80</v>
      </c>
      <c r="D112" s="358"/>
      <c r="E112" s="359"/>
      <c r="F112" s="359"/>
      <c r="G112" s="359"/>
      <c r="H112" s="359"/>
      <c r="I112" s="359"/>
      <c r="J112" s="359"/>
      <c r="K112" s="359"/>
      <c r="L112" s="359"/>
      <c r="M112" s="359"/>
      <c r="N112" s="359"/>
      <c r="O112" s="359"/>
      <c r="P112" s="360"/>
      <c r="Q112" s="361"/>
      <c r="R112" s="312"/>
      <c r="S112" s="21"/>
      <c r="T112" s="361"/>
      <c r="U112" s="711"/>
    </row>
    <row r="113" spans="1:21" ht="30.75" hidden="1" outlineLevel="2" thickBot="1">
      <c r="A113" s="376" t="s">
        <v>87</v>
      </c>
      <c r="B113" s="616" t="s">
        <v>81</v>
      </c>
      <c r="C113" s="377" t="s">
        <v>77</v>
      </c>
      <c r="D113" s="378"/>
      <c r="E113" s="379"/>
      <c r="F113" s="379"/>
      <c r="G113" s="379"/>
      <c r="H113" s="379"/>
      <c r="I113" s="379"/>
      <c r="J113" s="379"/>
      <c r="K113" s="379"/>
      <c r="L113" s="379"/>
      <c r="M113" s="379"/>
      <c r="N113" s="379"/>
      <c r="O113" s="379"/>
      <c r="P113" s="380"/>
      <c r="Q113" s="381"/>
      <c r="R113" s="403"/>
      <c r="S113" s="383"/>
      <c r="T113" s="381"/>
      <c r="U113" s="711"/>
    </row>
    <row r="114" spans="1:21" ht="15.75" hidden="1" outlineLevel="1" collapsed="1">
      <c r="A114" s="384"/>
      <c r="B114" s="385"/>
      <c r="C114" s="386" t="s">
        <v>92</v>
      </c>
      <c r="D114" s="387">
        <f t="shared" ref="D114:P115" si="56">SUBTOTAL(9,D106,D109,D112)</f>
        <v>5</v>
      </c>
      <c r="E114" s="388">
        <f t="shared" si="56"/>
        <v>8</v>
      </c>
      <c r="F114" s="388">
        <f t="shared" si="56"/>
        <v>7</v>
      </c>
      <c r="G114" s="388">
        <f t="shared" si="56"/>
        <v>8</v>
      </c>
      <c r="H114" s="388">
        <f t="shared" si="56"/>
        <v>8</v>
      </c>
      <c r="I114" s="388">
        <f t="shared" si="56"/>
        <v>12</v>
      </c>
      <c r="J114" s="388">
        <f t="shared" si="56"/>
        <v>11</v>
      </c>
      <c r="K114" s="388">
        <f t="shared" si="56"/>
        <v>11</v>
      </c>
      <c r="L114" s="388">
        <f t="shared" si="56"/>
        <v>9</v>
      </c>
      <c r="M114" s="388">
        <f t="shared" si="56"/>
        <v>9</v>
      </c>
      <c r="N114" s="388">
        <f t="shared" si="56"/>
        <v>10</v>
      </c>
      <c r="O114" s="388">
        <f t="shared" si="56"/>
        <v>10</v>
      </c>
      <c r="P114" s="389">
        <f t="shared" si="56"/>
        <v>9</v>
      </c>
      <c r="Q114" s="390">
        <f>SUBTOTAL(9,Q106,Q109,Q112)</f>
        <v>11</v>
      </c>
      <c r="R114" s="391">
        <f>+P114-Q114</f>
        <v>-2</v>
      </c>
      <c r="S114" s="392">
        <f>IFERROR(P114/O114-1,100%)</f>
        <v>-9.9999999999999978E-2</v>
      </c>
      <c r="T114" s="390">
        <f>SUBTOTAL(9,T106,T109,T112)</f>
        <v>10</v>
      </c>
      <c r="U114" s="711"/>
    </row>
    <row r="115" spans="1:21" ht="16.5" hidden="1" outlineLevel="1" thickBot="1">
      <c r="A115" s="393"/>
      <c r="B115" s="394"/>
      <c r="C115" s="395" t="s">
        <v>93</v>
      </c>
      <c r="D115" s="396">
        <f t="shared" si="56"/>
        <v>3.0332480818414322</v>
      </c>
      <c r="E115" s="397">
        <f t="shared" si="56"/>
        <v>5.2670025188916876</v>
      </c>
      <c r="F115" s="397">
        <f t="shared" si="56"/>
        <v>6.1834319526627217</v>
      </c>
      <c r="G115" s="397">
        <f t="shared" si="56"/>
        <v>7.6608910891089108</v>
      </c>
      <c r="H115" s="397">
        <f t="shared" si="56"/>
        <v>6.017094017094017</v>
      </c>
      <c r="I115" s="397">
        <f t="shared" si="56"/>
        <v>7.9373368146214096</v>
      </c>
      <c r="J115" s="397">
        <f t="shared" si="56"/>
        <v>9</v>
      </c>
      <c r="K115" s="397">
        <f t="shared" si="56"/>
        <v>8.1432432432432424</v>
      </c>
      <c r="L115" s="397">
        <f t="shared" si="56"/>
        <v>6.3341584158415838</v>
      </c>
      <c r="M115" s="397">
        <f t="shared" si="56"/>
        <v>5.5870646766169152</v>
      </c>
      <c r="N115" s="397">
        <f t="shared" si="56"/>
        <v>7.8848314606741576</v>
      </c>
      <c r="O115" s="397">
        <f t="shared" si="56"/>
        <v>7.2006079027355625</v>
      </c>
      <c r="P115" s="398">
        <f t="shared" si="56"/>
        <v>8.2425742574257423</v>
      </c>
      <c r="Q115" s="399">
        <f>SUBTOTAL(9,Q107,Q110,Q113)</f>
        <v>9.68</v>
      </c>
      <c r="R115" s="400">
        <f>+P115-Q115</f>
        <v>-1.4374257425742574</v>
      </c>
      <c r="S115" s="401">
        <f>IFERROR(P115/O115-1,100%)</f>
        <v>0.14470533165600208</v>
      </c>
      <c r="T115" s="399">
        <f>SUBTOTAL(9,T107,T110,T113)</f>
        <v>9</v>
      </c>
      <c r="U115" s="711"/>
    </row>
    <row r="116" spans="1:21" hidden="1" outlineLevel="2">
      <c r="A116" s="356" t="s">
        <v>88</v>
      </c>
      <c r="B116" s="310" t="s">
        <v>2</v>
      </c>
      <c r="C116" s="357" t="s">
        <v>80</v>
      </c>
      <c r="D116" s="358"/>
      <c r="E116" s="359"/>
      <c r="F116" s="359"/>
      <c r="G116" s="359"/>
      <c r="H116" s="359"/>
      <c r="I116" s="359"/>
      <c r="J116" s="359"/>
      <c r="K116" s="359"/>
      <c r="L116" s="359"/>
      <c r="M116" s="359"/>
      <c r="N116" s="359"/>
      <c r="O116" s="359"/>
      <c r="P116" s="360"/>
      <c r="Q116" s="361"/>
      <c r="R116" s="312"/>
      <c r="S116" s="21"/>
      <c r="T116" s="361"/>
      <c r="U116" s="711"/>
    </row>
    <row r="117" spans="1:21" ht="30" hidden="1" outlineLevel="2">
      <c r="A117" s="362" t="s">
        <v>88</v>
      </c>
      <c r="B117" s="321" t="s">
        <v>2</v>
      </c>
      <c r="C117" s="363" t="s">
        <v>77</v>
      </c>
      <c r="D117" s="364"/>
      <c r="E117" s="365"/>
      <c r="F117" s="365"/>
      <c r="G117" s="365"/>
      <c r="H117" s="365"/>
      <c r="I117" s="365"/>
      <c r="J117" s="365"/>
      <c r="K117" s="365"/>
      <c r="L117" s="365"/>
      <c r="M117" s="365"/>
      <c r="N117" s="365"/>
      <c r="O117" s="365"/>
      <c r="P117" s="366"/>
      <c r="Q117" s="367"/>
      <c r="R117" s="324"/>
      <c r="S117" s="24"/>
      <c r="T117" s="367"/>
      <c r="U117" s="711"/>
    </row>
    <row r="118" spans="1:21" hidden="1" outlineLevel="2">
      <c r="A118" s="369" t="s">
        <v>88</v>
      </c>
      <c r="B118" s="611"/>
      <c r="C118" s="370"/>
      <c r="D118" s="371"/>
      <c r="E118" s="372"/>
      <c r="F118" s="372"/>
      <c r="G118" s="372"/>
      <c r="H118" s="372"/>
      <c r="I118" s="372"/>
      <c r="J118" s="372"/>
      <c r="K118" s="372"/>
      <c r="L118" s="372"/>
      <c r="M118" s="372"/>
      <c r="N118" s="372"/>
      <c r="O118" s="372"/>
      <c r="P118" s="373"/>
      <c r="Q118" s="374"/>
      <c r="R118" s="375"/>
      <c r="S118" s="198"/>
      <c r="T118" s="374"/>
      <c r="U118" s="711"/>
    </row>
    <row r="119" spans="1:21" hidden="1" outlineLevel="2">
      <c r="A119" s="356" t="s">
        <v>88</v>
      </c>
      <c r="B119" s="310" t="s">
        <v>3</v>
      </c>
      <c r="C119" s="357" t="s">
        <v>80</v>
      </c>
      <c r="D119" s="358"/>
      <c r="E119" s="359"/>
      <c r="F119" s="359"/>
      <c r="G119" s="359"/>
      <c r="H119" s="359"/>
      <c r="I119" s="359"/>
      <c r="J119" s="359"/>
      <c r="K119" s="359"/>
      <c r="L119" s="359"/>
      <c r="M119" s="359"/>
      <c r="N119" s="359"/>
      <c r="O119" s="359"/>
      <c r="P119" s="360"/>
      <c r="Q119" s="361"/>
      <c r="R119" s="312"/>
      <c r="S119" s="21"/>
      <c r="T119" s="361"/>
      <c r="U119" s="711"/>
    </row>
    <row r="120" spans="1:21" ht="30" hidden="1" outlineLevel="2">
      <c r="A120" s="376" t="s">
        <v>88</v>
      </c>
      <c r="B120" s="616" t="s">
        <v>3</v>
      </c>
      <c r="C120" s="377" t="s">
        <v>77</v>
      </c>
      <c r="D120" s="378"/>
      <c r="E120" s="379"/>
      <c r="F120" s="379"/>
      <c r="G120" s="379"/>
      <c r="H120" s="379"/>
      <c r="I120" s="379"/>
      <c r="J120" s="379"/>
      <c r="K120" s="379"/>
      <c r="L120" s="379"/>
      <c r="M120" s="379"/>
      <c r="N120" s="379"/>
      <c r="O120" s="379"/>
      <c r="P120" s="380"/>
      <c r="Q120" s="381"/>
      <c r="R120" s="403"/>
      <c r="S120" s="383"/>
      <c r="T120" s="381"/>
      <c r="U120" s="711"/>
    </row>
    <row r="121" spans="1:21" hidden="1" outlineLevel="2">
      <c r="A121" s="369" t="s">
        <v>88</v>
      </c>
      <c r="B121" s="611"/>
      <c r="C121" s="370"/>
      <c r="D121" s="371"/>
      <c r="E121" s="372"/>
      <c r="F121" s="372"/>
      <c r="G121" s="372"/>
      <c r="H121" s="372"/>
      <c r="I121" s="372"/>
      <c r="J121" s="372"/>
      <c r="K121" s="372"/>
      <c r="L121" s="372"/>
      <c r="M121" s="372"/>
      <c r="N121" s="372"/>
      <c r="O121" s="372"/>
      <c r="P121" s="373"/>
      <c r="Q121" s="374"/>
      <c r="R121" s="375"/>
      <c r="S121" s="198"/>
      <c r="T121" s="374"/>
      <c r="U121" s="711"/>
    </row>
    <row r="122" spans="1:21" hidden="1" outlineLevel="2">
      <c r="A122" s="356" t="s">
        <v>88</v>
      </c>
      <c r="B122" s="310" t="s">
        <v>81</v>
      </c>
      <c r="C122" s="357" t="s">
        <v>80</v>
      </c>
      <c r="D122" s="358">
        <v>3</v>
      </c>
      <c r="E122" s="359">
        <v>2</v>
      </c>
      <c r="F122" s="359">
        <v>2</v>
      </c>
      <c r="G122" s="359">
        <v>1</v>
      </c>
      <c r="H122" s="359">
        <v>1</v>
      </c>
      <c r="I122" s="359">
        <v>2</v>
      </c>
      <c r="J122" s="359">
        <v>2</v>
      </c>
      <c r="K122" s="359">
        <v>2</v>
      </c>
      <c r="L122" s="359">
        <v>2</v>
      </c>
      <c r="M122" s="359">
        <v>2</v>
      </c>
      <c r="N122" s="359">
        <v>2</v>
      </c>
      <c r="O122" s="359">
        <v>2</v>
      </c>
      <c r="P122" s="360">
        <v>2</v>
      </c>
      <c r="Q122" s="361">
        <v>2</v>
      </c>
      <c r="R122" s="312">
        <f t="shared" ref="R122:R127" si="57">+P122-Q122</f>
        <v>0</v>
      </c>
      <c r="S122" s="21">
        <f t="shared" ref="S122:S127" si="58">IFERROR(P122/O122-1,100%)</f>
        <v>0</v>
      </c>
      <c r="T122" s="361">
        <v>4</v>
      </c>
      <c r="U122" s="711"/>
    </row>
    <row r="123" spans="1:21" ht="30.75" hidden="1" outlineLevel="2" thickBot="1">
      <c r="A123" s="376" t="s">
        <v>88</v>
      </c>
      <c r="B123" s="616" t="s">
        <v>81</v>
      </c>
      <c r="C123" s="377" t="s">
        <v>77</v>
      </c>
      <c r="D123" s="378">
        <v>2.0434782608695654</v>
      </c>
      <c r="E123" s="379">
        <v>1.6815920398009949</v>
      </c>
      <c r="F123" s="379">
        <v>1.6538461538461537</v>
      </c>
      <c r="G123" s="379">
        <v>0.95544554455445541</v>
      </c>
      <c r="H123" s="379">
        <v>0.72649572649572647</v>
      </c>
      <c r="I123" s="379">
        <v>1.7989556135770235</v>
      </c>
      <c r="J123" s="379">
        <v>2</v>
      </c>
      <c r="K123" s="379">
        <v>1.9972972972972973</v>
      </c>
      <c r="L123" s="379">
        <v>1.7475247524752475</v>
      </c>
      <c r="M123" s="379">
        <v>1.6666666666666667</v>
      </c>
      <c r="N123" s="379">
        <v>1.901685393258427</v>
      </c>
      <c r="O123" s="379">
        <v>1.9574468085106382</v>
      </c>
      <c r="P123" s="380">
        <v>1.9876237623762376</v>
      </c>
      <c r="Q123" s="381">
        <v>1.6</v>
      </c>
      <c r="R123" s="382">
        <f t="shared" si="57"/>
        <v>0.38762376237623752</v>
      </c>
      <c r="S123" s="383">
        <f t="shared" si="58"/>
        <v>1.5416487300903947E-2</v>
      </c>
      <c r="T123" s="381">
        <v>2.4449999999999998</v>
      </c>
      <c r="U123" s="711"/>
    </row>
    <row r="124" spans="1:21" ht="15.75" hidden="1" outlineLevel="1" collapsed="1">
      <c r="A124" s="384"/>
      <c r="B124" s="385"/>
      <c r="C124" s="386" t="s">
        <v>94</v>
      </c>
      <c r="D124" s="387">
        <f t="shared" ref="D124:P125" si="59">SUBTOTAL(9,D116,D119,D122)</f>
        <v>3</v>
      </c>
      <c r="E124" s="388">
        <f t="shared" si="59"/>
        <v>2</v>
      </c>
      <c r="F124" s="388">
        <f t="shared" si="59"/>
        <v>2</v>
      </c>
      <c r="G124" s="388">
        <f t="shared" si="59"/>
        <v>1</v>
      </c>
      <c r="H124" s="388">
        <f t="shared" si="59"/>
        <v>1</v>
      </c>
      <c r="I124" s="388">
        <f t="shared" si="59"/>
        <v>2</v>
      </c>
      <c r="J124" s="388">
        <f t="shared" si="59"/>
        <v>2</v>
      </c>
      <c r="K124" s="388">
        <f t="shared" si="59"/>
        <v>2</v>
      </c>
      <c r="L124" s="388">
        <f t="shared" si="59"/>
        <v>2</v>
      </c>
      <c r="M124" s="388">
        <f t="shared" si="59"/>
        <v>2</v>
      </c>
      <c r="N124" s="388">
        <f t="shared" si="59"/>
        <v>2</v>
      </c>
      <c r="O124" s="388">
        <f t="shared" si="59"/>
        <v>2</v>
      </c>
      <c r="P124" s="389">
        <f t="shared" si="59"/>
        <v>2</v>
      </c>
      <c r="Q124" s="390">
        <f>SUBTOTAL(9,Q116,Q119,Q122)</f>
        <v>2</v>
      </c>
      <c r="R124" s="391">
        <f t="shared" si="57"/>
        <v>0</v>
      </c>
      <c r="S124" s="392">
        <f t="shared" si="58"/>
        <v>0</v>
      </c>
      <c r="T124" s="390">
        <f>SUBTOTAL(9,T116,T119,T122)</f>
        <v>4</v>
      </c>
      <c r="U124" s="711"/>
    </row>
    <row r="125" spans="1:21" ht="16.5" hidden="1" outlineLevel="1" thickBot="1">
      <c r="A125" s="393"/>
      <c r="B125" s="394"/>
      <c r="C125" s="395" t="s">
        <v>95</v>
      </c>
      <c r="D125" s="396">
        <f t="shared" si="59"/>
        <v>2.0434782608695654</v>
      </c>
      <c r="E125" s="397">
        <f t="shared" si="59"/>
        <v>1.6815920398009949</v>
      </c>
      <c r="F125" s="397">
        <f t="shared" si="59"/>
        <v>1.6538461538461537</v>
      </c>
      <c r="G125" s="397">
        <f t="shared" si="59"/>
        <v>0.95544554455445541</v>
      </c>
      <c r="H125" s="397">
        <f t="shared" si="59"/>
        <v>0.72649572649572647</v>
      </c>
      <c r="I125" s="397">
        <f t="shared" si="59"/>
        <v>1.7989556135770235</v>
      </c>
      <c r="J125" s="397">
        <f t="shared" si="59"/>
        <v>2</v>
      </c>
      <c r="K125" s="397">
        <f t="shared" si="59"/>
        <v>1.9972972972972973</v>
      </c>
      <c r="L125" s="397">
        <f t="shared" si="59"/>
        <v>1.7475247524752475</v>
      </c>
      <c r="M125" s="397">
        <f t="shared" si="59"/>
        <v>1.6666666666666667</v>
      </c>
      <c r="N125" s="397">
        <f t="shared" si="59"/>
        <v>1.901685393258427</v>
      </c>
      <c r="O125" s="397">
        <f t="shared" si="59"/>
        <v>1.9574468085106382</v>
      </c>
      <c r="P125" s="398">
        <f t="shared" si="59"/>
        <v>1.9876237623762376</v>
      </c>
      <c r="Q125" s="399">
        <f>SUBTOTAL(9,Q117,Q120,Q123)</f>
        <v>1.6</v>
      </c>
      <c r="R125" s="400">
        <f t="shared" si="57"/>
        <v>0.38762376237623752</v>
      </c>
      <c r="S125" s="401">
        <f t="shared" si="58"/>
        <v>1.5416487300903947E-2</v>
      </c>
      <c r="T125" s="399">
        <f>SUBTOTAL(9,T117,T120,T123)</f>
        <v>2.4449999999999998</v>
      </c>
      <c r="U125" s="711"/>
    </row>
    <row r="126" spans="1:21" hidden="1" outlineLevel="2">
      <c r="A126" s="356" t="s">
        <v>89</v>
      </c>
      <c r="B126" s="310" t="s">
        <v>2</v>
      </c>
      <c r="C126" s="357" t="s">
        <v>80</v>
      </c>
      <c r="D126" s="358">
        <v>1</v>
      </c>
      <c r="E126" s="359">
        <v>2</v>
      </c>
      <c r="F126" s="359">
        <v>2</v>
      </c>
      <c r="G126" s="359">
        <v>2</v>
      </c>
      <c r="H126" s="359">
        <v>2</v>
      </c>
      <c r="I126" s="359">
        <v>3</v>
      </c>
      <c r="J126" s="359">
        <v>3</v>
      </c>
      <c r="K126" s="359">
        <v>3</v>
      </c>
      <c r="L126" s="359">
        <v>3</v>
      </c>
      <c r="M126" s="359">
        <v>3</v>
      </c>
      <c r="N126" s="359">
        <v>3</v>
      </c>
      <c r="O126" s="359">
        <v>3</v>
      </c>
      <c r="P126" s="360">
        <v>3</v>
      </c>
      <c r="Q126" s="361">
        <v>5</v>
      </c>
      <c r="R126" s="312">
        <f t="shared" si="57"/>
        <v>-2</v>
      </c>
      <c r="S126" s="21">
        <f t="shared" si="58"/>
        <v>0</v>
      </c>
      <c r="T126" s="361">
        <v>4</v>
      </c>
      <c r="U126" s="711"/>
    </row>
    <row r="127" spans="1:21" ht="30" hidden="1" outlineLevel="2">
      <c r="A127" s="362" t="s">
        <v>89</v>
      </c>
      <c r="B127" s="321" t="s">
        <v>2</v>
      </c>
      <c r="C127" s="363" t="s">
        <v>77</v>
      </c>
      <c r="D127" s="364">
        <v>0.68797953964194369</v>
      </c>
      <c r="E127" s="365">
        <v>1.4303482587064678</v>
      </c>
      <c r="F127" s="365">
        <v>1.5621301775147929</v>
      </c>
      <c r="G127" s="365">
        <v>1.391089108910891</v>
      </c>
      <c r="H127" s="365">
        <v>0.72649572649572647</v>
      </c>
      <c r="I127" s="365">
        <v>0.57180156657963443</v>
      </c>
      <c r="J127" s="365">
        <v>0.95961995249406173</v>
      </c>
      <c r="K127" s="365">
        <v>1.8405405405405406</v>
      </c>
      <c r="L127" s="365">
        <v>1.5668316831683169</v>
      </c>
      <c r="M127" s="365">
        <v>1.3283582089552239</v>
      </c>
      <c r="N127" s="365">
        <v>1.4831460674157304</v>
      </c>
      <c r="O127" s="365">
        <v>0.80547112462006076</v>
      </c>
      <c r="P127" s="366">
        <v>2.3366336633663365</v>
      </c>
      <c r="Q127" s="367">
        <v>4</v>
      </c>
      <c r="R127" s="368">
        <f t="shared" si="57"/>
        <v>-1.6633663366336635</v>
      </c>
      <c r="S127" s="24">
        <f t="shared" si="58"/>
        <v>1.9009527367831121</v>
      </c>
      <c r="T127" s="367">
        <v>3.26</v>
      </c>
      <c r="U127" s="711"/>
    </row>
    <row r="128" spans="1:21" hidden="1" outlineLevel="2">
      <c r="A128" s="369" t="s">
        <v>89</v>
      </c>
      <c r="B128" s="611"/>
      <c r="C128" s="370"/>
      <c r="D128" s="371"/>
      <c r="E128" s="372"/>
      <c r="F128" s="372"/>
      <c r="G128" s="372"/>
      <c r="H128" s="372"/>
      <c r="I128" s="372"/>
      <c r="J128" s="372"/>
      <c r="K128" s="372"/>
      <c r="L128" s="372"/>
      <c r="M128" s="372"/>
      <c r="N128" s="372"/>
      <c r="O128" s="372"/>
      <c r="P128" s="373"/>
      <c r="Q128" s="374"/>
      <c r="R128" s="375"/>
      <c r="S128" s="198"/>
      <c r="T128" s="374"/>
      <c r="U128" s="711"/>
    </row>
    <row r="129" spans="1:21" hidden="1" outlineLevel="2">
      <c r="A129" s="356" t="s">
        <v>89</v>
      </c>
      <c r="B129" s="310" t="s">
        <v>3</v>
      </c>
      <c r="C129" s="357" t="s">
        <v>80</v>
      </c>
      <c r="D129" s="358">
        <v>8</v>
      </c>
      <c r="E129" s="359">
        <v>5</v>
      </c>
      <c r="F129" s="359">
        <v>5</v>
      </c>
      <c r="G129" s="359">
        <v>5</v>
      </c>
      <c r="H129" s="359">
        <v>4</v>
      </c>
      <c r="I129" s="359">
        <v>6</v>
      </c>
      <c r="J129" s="359">
        <v>4</v>
      </c>
      <c r="K129" s="359">
        <v>4</v>
      </c>
      <c r="L129" s="359">
        <v>4</v>
      </c>
      <c r="M129" s="359">
        <v>4</v>
      </c>
      <c r="N129" s="359">
        <v>3</v>
      </c>
      <c r="O129" s="359">
        <v>3</v>
      </c>
      <c r="P129" s="360">
        <v>3</v>
      </c>
      <c r="Q129" s="402">
        <v>5</v>
      </c>
      <c r="R129" s="312">
        <f>+P129-Q129</f>
        <v>-2</v>
      </c>
      <c r="S129" s="21">
        <f>IFERROR(P129/O129-1,100%)</f>
        <v>0</v>
      </c>
      <c r="T129" s="361">
        <v>7</v>
      </c>
      <c r="U129" s="711"/>
    </row>
    <row r="130" spans="1:21" ht="30" hidden="1" outlineLevel="2">
      <c r="A130" s="376" t="s">
        <v>89</v>
      </c>
      <c r="B130" s="616" t="s">
        <v>3</v>
      </c>
      <c r="C130" s="377" t="s">
        <v>77</v>
      </c>
      <c r="D130" s="378">
        <v>4.0409207161125318</v>
      </c>
      <c r="E130" s="379">
        <v>4.0223880597014929</v>
      </c>
      <c r="F130" s="379">
        <v>4.0443786982248522</v>
      </c>
      <c r="G130" s="379">
        <v>3.8465346534653464</v>
      </c>
      <c r="H130" s="379">
        <v>1.7435897435897436</v>
      </c>
      <c r="I130" s="379">
        <v>4.2693997071742311</v>
      </c>
      <c r="J130" s="379">
        <v>2.8764845605700713</v>
      </c>
      <c r="K130" s="379">
        <v>2.8513513513513513</v>
      </c>
      <c r="L130" s="379">
        <v>2.1856435643564356</v>
      </c>
      <c r="M130" s="379">
        <v>1.7263681592039801</v>
      </c>
      <c r="N130" s="379">
        <v>2.8005617977528088</v>
      </c>
      <c r="O130" s="379">
        <v>2.6231003039513676</v>
      </c>
      <c r="P130" s="380">
        <v>2</v>
      </c>
      <c r="Q130" s="381">
        <v>4</v>
      </c>
      <c r="R130" s="382">
        <f>+P130-Q130</f>
        <v>-2</v>
      </c>
      <c r="S130" s="383">
        <f>IFERROR(P130/O130-1,100%)</f>
        <v>-0.23754345307068359</v>
      </c>
      <c r="T130" s="381">
        <v>4.0750000000000002</v>
      </c>
      <c r="U130" s="711"/>
    </row>
    <row r="131" spans="1:21" hidden="1" outlineLevel="2">
      <c r="A131" s="369" t="s">
        <v>89</v>
      </c>
      <c r="B131" s="611"/>
      <c r="C131" s="370"/>
      <c r="D131" s="371"/>
      <c r="E131" s="372"/>
      <c r="F131" s="372"/>
      <c r="G131" s="372"/>
      <c r="H131" s="372"/>
      <c r="I131" s="372"/>
      <c r="J131" s="372"/>
      <c r="K131" s="372"/>
      <c r="L131" s="372"/>
      <c r="M131" s="372"/>
      <c r="N131" s="372"/>
      <c r="O131" s="372"/>
      <c r="P131" s="373"/>
      <c r="Q131" s="374"/>
      <c r="R131" s="375"/>
      <c r="S131" s="198"/>
      <c r="T131" s="374"/>
      <c r="U131" s="711"/>
    </row>
    <row r="132" spans="1:21" hidden="1" outlineLevel="2">
      <c r="A132" s="356" t="s">
        <v>89</v>
      </c>
      <c r="B132" s="310" t="s">
        <v>81</v>
      </c>
      <c r="C132" s="357" t="s">
        <v>80</v>
      </c>
      <c r="D132" s="358"/>
      <c r="E132" s="359"/>
      <c r="F132" s="359"/>
      <c r="G132" s="359"/>
      <c r="H132" s="359"/>
      <c r="I132" s="359"/>
      <c r="J132" s="359"/>
      <c r="K132" s="359"/>
      <c r="L132" s="359"/>
      <c r="M132" s="359"/>
      <c r="N132" s="359"/>
      <c r="O132" s="359"/>
      <c r="P132" s="360"/>
      <c r="Q132" s="361"/>
      <c r="R132" s="312"/>
      <c r="S132" s="21"/>
      <c r="T132" s="361"/>
      <c r="U132" s="711"/>
    </row>
    <row r="133" spans="1:21" ht="30.75" hidden="1" outlineLevel="2" thickBot="1">
      <c r="A133" s="376" t="s">
        <v>89</v>
      </c>
      <c r="B133" s="616" t="s">
        <v>81</v>
      </c>
      <c r="C133" s="377" t="s">
        <v>77</v>
      </c>
      <c r="D133" s="378"/>
      <c r="E133" s="379"/>
      <c r="F133" s="379"/>
      <c r="G133" s="379"/>
      <c r="H133" s="379"/>
      <c r="I133" s="379"/>
      <c r="J133" s="379"/>
      <c r="K133" s="379"/>
      <c r="L133" s="379"/>
      <c r="M133" s="379"/>
      <c r="N133" s="379"/>
      <c r="O133" s="379"/>
      <c r="P133" s="380"/>
      <c r="Q133" s="381"/>
      <c r="R133" s="403"/>
      <c r="S133" s="383"/>
      <c r="T133" s="381"/>
      <c r="U133" s="711"/>
    </row>
    <row r="134" spans="1:21" ht="15.75" hidden="1" outlineLevel="1" collapsed="1">
      <c r="A134" s="384"/>
      <c r="B134" s="385"/>
      <c r="C134" s="386" t="s">
        <v>96</v>
      </c>
      <c r="D134" s="387">
        <f t="shared" ref="D134:P135" si="60">SUBTOTAL(9,D126,D129,D132)</f>
        <v>9</v>
      </c>
      <c r="E134" s="388">
        <f t="shared" si="60"/>
        <v>7</v>
      </c>
      <c r="F134" s="388">
        <f t="shared" si="60"/>
        <v>7</v>
      </c>
      <c r="G134" s="388">
        <f t="shared" si="60"/>
        <v>7</v>
      </c>
      <c r="H134" s="388">
        <f t="shared" si="60"/>
        <v>6</v>
      </c>
      <c r="I134" s="388">
        <f t="shared" si="60"/>
        <v>9</v>
      </c>
      <c r="J134" s="388">
        <f t="shared" si="60"/>
        <v>7</v>
      </c>
      <c r="K134" s="388">
        <f t="shared" si="60"/>
        <v>7</v>
      </c>
      <c r="L134" s="388">
        <f t="shared" si="60"/>
        <v>7</v>
      </c>
      <c r="M134" s="388">
        <f t="shared" si="60"/>
        <v>7</v>
      </c>
      <c r="N134" s="388">
        <f t="shared" si="60"/>
        <v>6</v>
      </c>
      <c r="O134" s="388">
        <f t="shared" si="60"/>
        <v>6</v>
      </c>
      <c r="P134" s="389">
        <f t="shared" si="60"/>
        <v>6</v>
      </c>
      <c r="Q134" s="390">
        <f>SUBTOTAL(9,Q126,Q129,Q132)</f>
        <v>10</v>
      </c>
      <c r="R134" s="391">
        <f>+P134-Q134</f>
        <v>-4</v>
      </c>
      <c r="S134" s="392">
        <f>IFERROR(P134/O134-1,100%)</f>
        <v>0</v>
      </c>
      <c r="T134" s="390">
        <f>SUBTOTAL(9,T126,T129,T132)</f>
        <v>11</v>
      </c>
      <c r="U134" s="711"/>
    </row>
    <row r="135" spans="1:21" ht="16.5" hidden="1" outlineLevel="1" thickBot="1">
      <c r="A135" s="393"/>
      <c r="B135" s="394"/>
      <c r="C135" s="395" t="s">
        <v>97</v>
      </c>
      <c r="D135" s="396">
        <f t="shared" si="60"/>
        <v>4.7289002557544757</v>
      </c>
      <c r="E135" s="397">
        <f t="shared" si="60"/>
        <v>5.4527363184079611</v>
      </c>
      <c r="F135" s="397">
        <f t="shared" si="60"/>
        <v>5.6065088757396451</v>
      </c>
      <c r="G135" s="397">
        <f t="shared" si="60"/>
        <v>5.2376237623762378</v>
      </c>
      <c r="H135" s="397">
        <f t="shared" si="60"/>
        <v>2.4700854700854702</v>
      </c>
      <c r="I135" s="397">
        <f t="shared" si="60"/>
        <v>4.8412012737538657</v>
      </c>
      <c r="J135" s="397">
        <f t="shared" si="60"/>
        <v>3.8361045130641331</v>
      </c>
      <c r="K135" s="397">
        <f t="shared" si="60"/>
        <v>4.6918918918918919</v>
      </c>
      <c r="L135" s="397">
        <f t="shared" si="60"/>
        <v>3.7524752475247523</v>
      </c>
      <c r="M135" s="397">
        <f t="shared" si="60"/>
        <v>3.0547263681592041</v>
      </c>
      <c r="N135" s="397">
        <f t="shared" si="60"/>
        <v>4.2837078651685392</v>
      </c>
      <c r="O135" s="397">
        <f t="shared" si="60"/>
        <v>3.4285714285714284</v>
      </c>
      <c r="P135" s="398">
        <f t="shared" si="60"/>
        <v>4.3366336633663369</v>
      </c>
      <c r="Q135" s="399">
        <f>SUBTOTAL(9,Q127,Q130,Q133)</f>
        <v>8</v>
      </c>
      <c r="R135" s="400">
        <f>+P135-Q135</f>
        <v>-3.6633663366336631</v>
      </c>
      <c r="S135" s="401">
        <f>IFERROR(P135/O135-1,100%)</f>
        <v>0.26485148514851509</v>
      </c>
      <c r="T135" s="399">
        <f>SUBTOTAL(9,T127,T130,T133)</f>
        <v>7.335</v>
      </c>
      <c r="U135" s="711"/>
    </row>
    <row r="136" spans="1:21" ht="16.5" hidden="1" outlineLevel="1" thickBot="1">
      <c r="A136" s="404"/>
      <c r="B136" s="32"/>
      <c r="C136" s="32"/>
      <c r="D136" s="32"/>
      <c r="E136" s="32"/>
      <c r="F136" s="32"/>
      <c r="G136" s="32"/>
      <c r="H136" s="32"/>
      <c r="I136" s="32"/>
      <c r="J136" s="32"/>
      <c r="K136" s="32"/>
      <c r="L136" s="404"/>
      <c r="M136" s="404"/>
      <c r="N136" s="404"/>
      <c r="O136" s="404"/>
      <c r="P136" s="32"/>
      <c r="Q136" s="32"/>
      <c r="R136" s="32"/>
      <c r="S136" s="32"/>
      <c r="T136" s="32"/>
      <c r="U136" s="32"/>
    </row>
    <row r="137" spans="1:21" ht="16.5" hidden="1" outlineLevel="1" thickTop="1">
      <c r="A137" s="405" t="s">
        <v>90</v>
      </c>
      <c r="B137" s="405"/>
      <c r="C137" s="406"/>
      <c r="D137" s="407">
        <f t="shared" ref="D137:Q138" si="61">SUM(D134,D124,D114,D104,D94)</f>
        <v>130</v>
      </c>
      <c r="E137" s="408">
        <f t="shared" si="61"/>
        <v>127</v>
      </c>
      <c r="F137" s="408">
        <f t="shared" si="61"/>
        <v>125</v>
      </c>
      <c r="G137" s="408">
        <f t="shared" si="61"/>
        <v>125</v>
      </c>
      <c r="H137" s="408">
        <f t="shared" si="61"/>
        <v>120</v>
      </c>
      <c r="I137" s="408">
        <f t="shared" si="61"/>
        <v>128</v>
      </c>
      <c r="J137" s="408">
        <f t="shared" si="61"/>
        <v>127</v>
      </c>
      <c r="K137" s="408">
        <f t="shared" si="61"/>
        <v>127</v>
      </c>
      <c r="L137" s="408">
        <f t="shared" si="61"/>
        <v>123</v>
      </c>
      <c r="M137" s="408">
        <f t="shared" si="61"/>
        <v>122</v>
      </c>
      <c r="N137" s="408">
        <f t="shared" si="61"/>
        <v>116</v>
      </c>
      <c r="O137" s="408">
        <f t="shared" si="61"/>
        <v>112</v>
      </c>
      <c r="P137" s="409">
        <f t="shared" si="61"/>
        <v>111</v>
      </c>
      <c r="Q137" s="410">
        <f t="shared" si="61"/>
        <v>135</v>
      </c>
      <c r="R137" s="411">
        <f>+P137-Q137</f>
        <v>-24</v>
      </c>
      <c r="S137" s="412">
        <f>IFERROR(P137/O137-1,100%)</f>
        <v>-8.9285714285713969E-3</v>
      </c>
      <c r="T137" s="410">
        <f>SUM(T134,T124,T114,T104,T94)</f>
        <v>156</v>
      </c>
    </row>
    <row r="138" spans="1:21" ht="16.5" hidden="1" outlineLevel="1" thickBot="1">
      <c r="A138" s="413" t="s">
        <v>91</v>
      </c>
      <c r="B138" s="413"/>
      <c r="C138" s="414"/>
      <c r="D138" s="415">
        <f t="shared" si="61"/>
        <v>73.504156010230176</v>
      </c>
      <c r="E138" s="397">
        <f t="shared" si="61"/>
        <v>90.28004688046633</v>
      </c>
      <c r="F138" s="397">
        <f t="shared" si="61"/>
        <v>101.21005917159763</v>
      </c>
      <c r="G138" s="397">
        <f t="shared" si="61"/>
        <v>102.74009900990099</v>
      </c>
      <c r="H138" s="397">
        <f t="shared" si="61"/>
        <v>63.401709401709404</v>
      </c>
      <c r="I138" s="397">
        <f t="shared" si="61"/>
        <v>99.504386652343939</v>
      </c>
      <c r="J138" s="397">
        <f t="shared" si="61"/>
        <v>102.97014482752721</v>
      </c>
      <c r="K138" s="397">
        <f t="shared" si="61"/>
        <v>100.91621621621621</v>
      </c>
      <c r="L138" s="397">
        <f t="shared" si="61"/>
        <v>88.373762376237622</v>
      </c>
      <c r="M138" s="397">
        <f t="shared" si="61"/>
        <v>85.393034825870643</v>
      </c>
      <c r="N138" s="397">
        <f t="shared" si="61"/>
        <v>93.429775280898866</v>
      </c>
      <c r="O138" s="397">
        <f t="shared" si="61"/>
        <v>88.635258358662611</v>
      </c>
      <c r="P138" s="398">
        <f t="shared" si="61"/>
        <v>91.93564356435644</v>
      </c>
      <c r="Q138" s="416">
        <f t="shared" si="61"/>
        <v>110.08</v>
      </c>
      <c r="R138" s="417">
        <f>+P138-Q138</f>
        <v>-18.144356435643559</v>
      </c>
      <c r="S138" s="418">
        <f>IFERROR(P138/O138-1,100%)</f>
        <v>3.7235579461378787E-2</v>
      </c>
      <c r="T138" s="416">
        <f>SUM(T135,T125,T115,T105,T95)</f>
        <v>126.82</v>
      </c>
    </row>
    <row r="139" spans="1:21" hidden="1" outlineLevel="1">
      <c r="A139" s="6" t="s">
        <v>123</v>
      </c>
    </row>
    <row r="140" spans="1:21" hidden="1" outlineLevel="1">
      <c r="A140" s="6" t="s">
        <v>407</v>
      </c>
    </row>
    <row r="141" spans="1:21" collapsed="1"/>
    <row r="143" spans="1:21" ht="20.25">
      <c r="A143" s="1220" t="s">
        <v>408</v>
      </c>
      <c r="B143" s="1224"/>
      <c r="C143" s="1224"/>
      <c r="D143" s="1224"/>
      <c r="E143" s="1224"/>
      <c r="F143" s="1224"/>
      <c r="G143" s="1224"/>
      <c r="H143" s="1224"/>
      <c r="I143" s="1224"/>
      <c r="J143" s="1224"/>
      <c r="K143" s="1224"/>
      <c r="L143" s="1224"/>
      <c r="M143" s="1224"/>
      <c r="N143" s="1224"/>
      <c r="O143" s="1224"/>
      <c r="P143" s="1224"/>
    </row>
    <row r="144" spans="1:21" ht="15.75" outlineLevel="1" thickBot="1">
      <c r="A144" s="227" t="s">
        <v>409</v>
      </c>
      <c r="P144" s="643"/>
    </row>
    <row r="145" spans="1:16" ht="15.75" outlineLevel="1">
      <c r="A145" s="712" t="s">
        <v>231</v>
      </c>
      <c r="B145" s="712"/>
      <c r="C145" s="712"/>
      <c r="D145" s="1357">
        <v>45838</v>
      </c>
      <c r="E145" s="1265">
        <v>45869</v>
      </c>
      <c r="F145" s="1265">
        <v>45900</v>
      </c>
      <c r="G145" s="1265">
        <v>45930</v>
      </c>
      <c r="H145" s="1265">
        <v>45961</v>
      </c>
      <c r="I145" s="1265">
        <v>45991</v>
      </c>
      <c r="J145" s="1266">
        <v>46022</v>
      </c>
      <c r="K145" s="875">
        <v>46053</v>
      </c>
      <c r="L145" s="876">
        <v>46081</v>
      </c>
      <c r="M145" s="876">
        <v>46112</v>
      </c>
      <c r="N145" s="876">
        <v>46142</v>
      </c>
      <c r="O145" s="876">
        <v>46173</v>
      </c>
      <c r="P145" s="878">
        <v>46203</v>
      </c>
    </row>
    <row r="146" spans="1:16" ht="15.75" outlineLevel="1">
      <c r="A146" s="713" t="s">
        <v>233</v>
      </c>
      <c r="B146" s="713"/>
      <c r="C146" s="713"/>
      <c r="D146" s="1523">
        <v>23249</v>
      </c>
      <c r="E146" s="1524">
        <v>28405.5</v>
      </c>
      <c r="F146" s="1524">
        <v>6313.5</v>
      </c>
      <c r="G146" s="1524">
        <v>26257.5</v>
      </c>
      <c r="H146" s="1524">
        <v>29561.5</v>
      </c>
      <c r="I146" s="1524">
        <v>25807.5</v>
      </c>
      <c r="J146" s="1525">
        <v>24668</v>
      </c>
      <c r="K146" s="1536">
        <v>23842</v>
      </c>
      <c r="L146" s="1537">
        <v>23490.5</v>
      </c>
      <c r="M146" s="1537">
        <v>21026</v>
      </c>
      <c r="N146" s="1537">
        <v>26516</v>
      </c>
      <c r="O146" s="1537">
        <v>21892.5</v>
      </c>
      <c r="P146" s="1538">
        <v>26203</v>
      </c>
    </row>
    <row r="147" spans="1:16" outlineLevel="1">
      <c r="A147" s="714" t="s">
        <v>152</v>
      </c>
      <c r="B147" s="714"/>
      <c r="C147" s="714"/>
      <c r="D147" s="1526">
        <v>4.5</v>
      </c>
      <c r="E147" s="1521">
        <v>1</v>
      </c>
      <c r="F147" s="1521">
        <v>218.5</v>
      </c>
      <c r="G147" s="1521">
        <v>24.5</v>
      </c>
      <c r="H147" s="1521">
        <v>46.5</v>
      </c>
      <c r="I147" s="1521">
        <v>24</v>
      </c>
      <c r="J147" s="1527">
        <v>0</v>
      </c>
      <c r="K147" s="1539">
        <v>60.5</v>
      </c>
      <c r="L147" s="715">
        <v>31</v>
      </c>
      <c r="M147" s="715">
        <v>0</v>
      </c>
      <c r="N147" s="715">
        <v>0</v>
      </c>
      <c r="O147" s="715">
        <v>3</v>
      </c>
      <c r="P147" s="1540">
        <v>125</v>
      </c>
    </row>
    <row r="148" spans="1:16" outlineLevel="1">
      <c r="A148" s="716" t="s">
        <v>153</v>
      </c>
      <c r="B148" s="716"/>
      <c r="C148" s="716"/>
      <c r="D148" s="1528">
        <v>0</v>
      </c>
      <c r="E148" s="1529">
        <v>0</v>
      </c>
      <c r="F148" s="1529">
        <v>206</v>
      </c>
      <c r="G148" s="1529">
        <v>129</v>
      </c>
      <c r="H148" s="1529">
        <v>179</v>
      </c>
      <c r="I148" s="1529">
        <v>75</v>
      </c>
      <c r="J148" s="1530">
        <v>0</v>
      </c>
      <c r="K148" s="1541">
        <v>7</v>
      </c>
      <c r="L148" s="1542">
        <v>40</v>
      </c>
      <c r="M148" s="1542">
        <v>0</v>
      </c>
      <c r="N148" s="1542">
        <v>30</v>
      </c>
      <c r="O148" s="1542">
        <v>392</v>
      </c>
      <c r="P148" s="1543">
        <v>705</v>
      </c>
    </row>
    <row r="149" spans="1:16" ht="15.75" outlineLevel="1" thickBot="1">
      <c r="A149" s="716" t="s">
        <v>154</v>
      </c>
      <c r="B149" s="716"/>
      <c r="C149" s="716"/>
      <c r="D149" s="1528">
        <v>245.5</v>
      </c>
      <c r="E149" s="1529">
        <v>48</v>
      </c>
      <c r="F149" s="1529">
        <v>57.5</v>
      </c>
      <c r="G149" s="1529">
        <v>71.5</v>
      </c>
      <c r="H149" s="1529">
        <v>5.5</v>
      </c>
      <c r="I149" s="1529">
        <v>11.5</v>
      </c>
      <c r="J149" s="1530">
        <v>36</v>
      </c>
      <c r="K149" s="1541">
        <v>44</v>
      </c>
      <c r="L149" s="1542">
        <v>0</v>
      </c>
      <c r="M149" s="1542">
        <v>96</v>
      </c>
      <c r="N149" s="1542">
        <v>20</v>
      </c>
      <c r="O149" s="1542">
        <v>165.5</v>
      </c>
      <c r="P149" s="1543">
        <v>110</v>
      </c>
    </row>
    <row r="150" spans="1:16" ht="15.75" outlineLevel="1">
      <c r="A150" s="717" t="s">
        <v>410</v>
      </c>
      <c r="B150" s="717"/>
      <c r="C150" s="717"/>
      <c r="D150" s="1531">
        <v>23499</v>
      </c>
      <c r="E150" s="1522">
        <v>28454.5</v>
      </c>
      <c r="F150" s="1522">
        <v>6795.5</v>
      </c>
      <c r="G150" s="1522">
        <v>26482.5</v>
      </c>
      <c r="H150" s="1522">
        <v>29792.5</v>
      </c>
      <c r="I150" s="1522">
        <v>25918</v>
      </c>
      <c r="J150" s="1532">
        <v>24704</v>
      </c>
      <c r="K150" s="1544">
        <v>23953.5</v>
      </c>
      <c r="L150" s="718">
        <v>23561.5</v>
      </c>
      <c r="M150" s="718">
        <v>21122</v>
      </c>
      <c r="N150" s="718">
        <v>26566</v>
      </c>
      <c r="O150" s="718">
        <v>22453</v>
      </c>
      <c r="P150" s="1545">
        <v>27143</v>
      </c>
    </row>
    <row r="151" spans="1:16" outlineLevel="1">
      <c r="A151" s="719" t="s">
        <v>235</v>
      </c>
      <c r="B151" s="719"/>
      <c r="C151" s="719"/>
      <c r="D151" s="1528">
        <v>250</v>
      </c>
      <c r="E151" s="1529">
        <v>49</v>
      </c>
      <c r="F151" s="1529">
        <v>482</v>
      </c>
      <c r="G151" s="1529">
        <v>225</v>
      </c>
      <c r="H151" s="1529">
        <v>231</v>
      </c>
      <c r="I151" s="1529">
        <v>110.5</v>
      </c>
      <c r="J151" s="1530">
        <v>36</v>
      </c>
      <c r="K151" s="1541">
        <v>111.5</v>
      </c>
      <c r="L151" s="1542">
        <v>71</v>
      </c>
      <c r="M151" s="1542">
        <v>96</v>
      </c>
      <c r="N151" s="1542">
        <v>50</v>
      </c>
      <c r="O151" s="1542">
        <v>560.5</v>
      </c>
      <c r="P151" s="1543">
        <v>940</v>
      </c>
    </row>
    <row r="152" spans="1:16" ht="15.75" outlineLevel="1" thickBot="1">
      <c r="A152" s="719" t="s">
        <v>263</v>
      </c>
      <c r="D152" s="1533">
        <v>1.0638750585131283E-2</v>
      </c>
      <c r="E152" s="1534">
        <v>1.7220474793090725E-3</v>
      </c>
      <c r="F152" s="1534">
        <v>7.0929291442866596E-2</v>
      </c>
      <c r="G152" s="1534">
        <v>8.4961767204757861E-3</v>
      </c>
      <c r="H152" s="1534">
        <v>7.7536292691113536E-3</v>
      </c>
      <c r="I152" s="1534">
        <v>4.2634462535689486E-3</v>
      </c>
      <c r="J152" s="1535">
        <v>1.4572538860103627E-3</v>
      </c>
      <c r="K152" s="1546">
        <v>4.6548521092950922E-3</v>
      </c>
      <c r="L152" s="1547">
        <v>3.0133904887210067E-3</v>
      </c>
      <c r="M152" s="1547">
        <v>4.5450241454407731E-3</v>
      </c>
      <c r="N152" s="1547">
        <v>1.8821049461717986E-3</v>
      </c>
      <c r="O152" s="1547">
        <v>2.5000000000000001E-2</v>
      </c>
      <c r="P152" s="1548">
        <v>3.5000000000000003E-2</v>
      </c>
    </row>
    <row r="155" spans="1:16" ht="20.25">
      <c r="A155" s="1220" t="s">
        <v>414</v>
      </c>
      <c r="B155" s="1224"/>
      <c r="C155" s="1224"/>
      <c r="D155" s="1224"/>
      <c r="E155" s="1224"/>
      <c r="F155" s="1224"/>
      <c r="G155" s="1224"/>
      <c r="H155" s="1224"/>
      <c r="I155" s="1224"/>
      <c r="J155" s="1224"/>
      <c r="K155" s="1224"/>
      <c r="L155" s="1224"/>
      <c r="M155" s="1224"/>
      <c r="N155" s="1224"/>
      <c r="O155" s="1224"/>
      <c r="P155" s="1224"/>
    </row>
    <row r="156" spans="1:16" ht="15.75" outlineLevel="1" thickBot="1">
      <c r="A156" s="227" t="s">
        <v>413</v>
      </c>
      <c r="P156" s="710"/>
    </row>
    <row r="157" spans="1:16" ht="15.75" outlineLevel="1">
      <c r="D157" s="1357">
        <v>45838</v>
      </c>
      <c r="E157" s="1265">
        <v>45869</v>
      </c>
      <c r="F157" s="1265">
        <v>45900</v>
      </c>
      <c r="G157" s="1265">
        <v>45930</v>
      </c>
      <c r="H157" s="1265">
        <v>45961</v>
      </c>
      <c r="I157" s="1265">
        <v>45991</v>
      </c>
      <c r="J157" s="1266">
        <v>46022</v>
      </c>
      <c r="K157" s="875">
        <v>46053</v>
      </c>
      <c r="L157" s="876">
        <v>46081</v>
      </c>
      <c r="M157" s="876">
        <v>46112</v>
      </c>
      <c r="N157" s="876">
        <v>46142</v>
      </c>
      <c r="O157" s="876">
        <v>46173</v>
      </c>
      <c r="P157" s="878">
        <v>46203</v>
      </c>
    </row>
    <row r="158" spans="1:16" outlineLevel="1">
      <c r="A158" s="720" t="s">
        <v>327</v>
      </c>
      <c r="B158" s="720"/>
      <c r="C158" s="720" t="s">
        <v>330</v>
      </c>
      <c r="D158" s="1549">
        <v>23</v>
      </c>
      <c r="E158" s="1550">
        <v>5</v>
      </c>
      <c r="F158" s="1550">
        <v>0</v>
      </c>
      <c r="G158" s="1550">
        <v>4</v>
      </c>
      <c r="H158" s="1550">
        <v>4</v>
      </c>
      <c r="I158" s="1550">
        <v>8</v>
      </c>
      <c r="J158" s="1551">
        <v>33</v>
      </c>
      <c r="K158" s="1558">
        <v>0</v>
      </c>
      <c r="L158" s="721">
        <v>0</v>
      </c>
      <c r="M158" s="721">
        <v>0</v>
      </c>
      <c r="N158" s="721">
        <v>2</v>
      </c>
      <c r="O158" s="721">
        <v>0</v>
      </c>
      <c r="P158" s="1559">
        <v>0</v>
      </c>
    </row>
    <row r="159" spans="1:16" outlineLevel="1">
      <c r="A159" s="633" t="s">
        <v>336</v>
      </c>
      <c r="C159" s="633" t="s">
        <v>344</v>
      </c>
      <c r="D159" s="1552">
        <v>12</v>
      </c>
      <c r="E159" s="1553">
        <v>3</v>
      </c>
      <c r="F159" s="1553">
        <v>0</v>
      </c>
      <c r="G159" s="1553">
        <v>3</v>
      </c>
      <c r="H159" s="1553">
        <v>4</v>
      </c>
      <c r="I159" s="1553">
        <v>2</v>
      </c>
      <c r="J159" s="1554">
        <v>12</v>
      </c>
      <c r="K159" s="1560">
        <v>0</v>
      </c>
      <c r="L159" s="1561">
        <v>0</v>
      </c>
      <c r="M159" s="1561">
        <v>0</v>
      </c>
      <c r="N159" s="1561">
        <v>2</v>
      </c>
      <c r="O159" s="1561">
        <v>0</v>
      </c>
      <c r="P159" s="1562">
        <v>0</v>
      </c>
    </row>
    <row r="160" spans="1:16" outlineLevel="1">
      <c r="A160" s="633" t="s">
        <v>328</v>
      </c>
      <c r="C160" s="633" t="s">
        <v>345</v>
      </c>
      <c r="D160" s="1552">
        <v>72</v>
      </c>
      <c r="E160" s="1553">
        <v>18</v>
      </c>
      <c r="F160" s="1553">
        <v>0</v>
      </c>
      <c r="G160" s="1553">
        <v>18</v>
      </c>
      <c r="H160" s="1553">
        <v>24</v>
      </c>
      <c r="I160" s="1553">
        <v>12</v>
      </c>
      <c r="J160" s="1554">
        <v>72</v>
      </c>
      <c r="K160" s="1560">
        <v>0</v>
      </c>
      <c r="L160" s="1561">
        <v>0</v>
      </c>
      <c r="M160" s="1561">
        <v>0</v>
      </c>
      <c r="N160" s="1561">
        <v>16</v>
      </c>
      <c r="O160" s="1561">
        <v>0</v>
      </c>
      <c r="P160" s="1562">
        <v>0</v>
      </c>
    </row>
    <row r="161" spans="1:16" ht="16.5" outlineLevel="1" thickBot="1">
      <c r="A161" s="633" t="s">
        <v>329</v>
      </c>
      <c r="C161" s="633" t="s">
        <v>331</v>
      </c>
      <c r="D161" s="1555">
        <v>4051</v>
      </c>
      <c r="E161" s="1556">
        <v>0</v>
      </c>
      <c r="F161" s="1556">
        <v>0</v>
      </c>
      <c r="G161" s="1556">
        <v>0</v>
      </c>
      <c r="H161" s="1556">
        <v>0</v>
      </c>
      <c r="I161" s="1556">
        <v>0</v>
      </c>
      <c r="J161" s="1557">
        <v>600</v>
      </c>
      <c r="K161" s="1563">
        <v>0</v>
      </c>
      <c r="L161" s="1564">
        <v>0</v>
      </c>
      <c r="M161" s="1564">
        <v>0</v>
      </c>
      <c r="N161" s="1564">
        <v>400</v>
      </c>
      <c r="O161" s="1564">
        <v>0</v>
      </c>
      <c r="P161" s="1565">
        <v>0</v>
      </c>
    </row>
    <row r="162" spans="1:16" outlineLevel="1"/>
    <row r="163" spans="1:16" ht="15.75" outlineLevel="1">
      <c r="A163" s="419" t="s">
        <v>412</v>
      </c>
    </row>
    <row r="164" spans="1:16" ht="15.75" outlineLevel="1">
      <c r="A164" s="227" t="s">
        <v>411</v>
      </c>
      <c r="M164" s="722" t="s">
        <v>332</v>
      </c>
      <c r="N164" s="723">
        <f>+COUNTIF(N167:N182,"Y")/COUNT(A167:A182)</f>
        <v>0.125</v>
      </c>
    </row>
    <row r="165" spans="1:16" outlineLevel="1">
      <c r="M165" s="709" t="s">
        <v>334</v>
      </c>
      <c r="N165" s="633">
        <f>+COUNTIF(N167:N182,"Y")</f>
        <v>2</v>
      </c>
    </row>
    <row r="166" spans="1:16" ht="15.75" outlineLevel="1">
      <c r="A166" s="640" t="s">
        <v>374</v>
      </c>
      <c r="N166" s="724" t="s">
        <v>333</v>
      </c>
    </row>
    <row r="167" spans="1:16" ht="15.75" outlineLevel="1">
      <c r="A167" s="185">
        <v>1</v>
      </c>
      <c r="B167" s="187" t="s">
        <v>438</v>
      </c>
      <c r="N167" s="186"/>
    </row>
    <row r="168" spans="1:16" ht="15.75" outlineLevel="1">
      <c r="A168" s="185">
        <v>2</v>
      </c>
      <c r="B168" s="187" t="s">
        <v>439</v>
      </c>
      <c r="N168" s="186"/>
    </row>
    <row r="169" spans="1:16" ht="15.75" outlineLevel="1">
      <c r="A169" s="185">
        <v>3</v>
      </c>
      <c r="B169" s="187" t="s">
        <v>440</v>
      </c>
      <c r="N169" s="186"/>
    </row>
    <row r="170" spans="1:16" ht="15.75" outlineLevel="1">
      <c r="A170" s="185">
        <v>4</v>
      </c>
      <c r="B170" s="187" t="s">
        <v>441</v>
      </c>
      <c r="N170" s="186"/>
    </row>
    <row r="171" spans="1:16" ht="15.75" outlineLevel="1">
      <c r="A171" s="185">
        <v>5</v>
      </c>
      <c r="B171" s="187" t="s">
        <v>451</v>
      </c>
      <c r="N171" s="186" t="s">
        <v>452</v>
      </c>
    </row>
    <row r="172" spans="1:16" ht="15.75" outlineLevel="1">
      <c r="A172" s="185">
        <v>6</v>
      </c>
      <c r="B172" s="187" t="s">
        <v>505</v>
      </c>
      <c r="N172" s="186" t="s">
        <v>452</v>
      </c>
    </row>
    <row r="173" spans="1:16" ht="15.75" outlineLevel="1">
      <c r="A173" s="185">
        <v>7</v>
      </c>
      <c r="B173" s="187"/>
      <c r="N173" s="186"/>
    </row>
    <row r="174" spans="1:16" ht="15.75" outlineLevel="1">
      <c r="A174" s="185">
        <v>8</v>
      </c>
      <c r="B174" s="187"/>
      <c r="N174" s="186"/>
    </row>
    <row r="175" spans="1:16" ht="15.75" outlineLevel="1">
      <c r="A175" s="185">
        <v>9</v>
      </c>
      <c r="B175" s="187"/>
      <c r="N175" s="186"/>
    </row>
    <row r="176" spans="1:16" ht="15.75" outlineLevel="1">
      <c r="A176" s="185">
        <v>10</v>
      </c>
      <c r="B176" s="187"/>
      <c r="N176" s="186"/>
    </row>
    <row r="177" spans="1:14" ht="15.75" outlineLevel="1">
      <c r="A177" s="185">
        <v>11</v>
      </c>
      <c r="B177" s="187"/>
      <c r="N177" s="186"/>
    </row>
    <row r="178" spans="1:14" ht="15.75" outlineLevel="1">
      <c r="A178" s="185">
        <v>12</v>
      </c>
      <c r="B178" s="187"/>
      <c r="N178" s="186"/>
    </row>
    <row r="179" spans="1:14" ht="15.75" outlineLevel="1">
      <c r="A179" s="185">
        <v>13</v>
      </c>
      <c r="B179" s="187"/>
      <c r="N179" s="186"/>
    </row>
    <row r="180" spans="1:14" ht="15.75" outlineLevel="1">
      <c r="A180" s="185">
        <v>14</v>
      </c>
      <c r="B180" s="187"/>
      <c r="N180" s="186"/>
    </row>
    <row r="181" spans="1:14" ht="15.75" outlineLevel="1">
      <c r="A181" s="185">
        <v>15</v>
      </c>
      <c r="B181" s="187"/>
      <c r="N181" s="186"/>
    </row>
    <row r="182" spans="1:14" ht="15.75" outlineLevel="1">
      <c r="A182" s="185">
        <v>16</v>
      </c>
      <c r="B182" s="187"/>
      <c r="N182" s="186"/>
    </row>
  </sheetData>
  <autoFilter ref="A85:C135" xr:uid="{F0BEAAE8-3E9D-47B4-A1B5-BE5D786E1A0E}"/>
  <mergeCells count="6">
    <mergeCell ref="AL40:AN40"/>
    <mergeCell ref="L40:P40"/>
    <mergeCell ref="D40:H40"/>
    <mergeCell ref="V40:Y40"/>
    <mergeCell ref="AB40:AE40"/>
    <mergeCell ref="AI40:AK40"/>
  </mergeCell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57A54-D92B-4837-9B95-73344B08395A}">
  <dimension ref="A1:M14"/>
  <sheetViews>
    <sheetView showGridLines="0" zoomScale="90" zoomScaleNormal="90" workbookViewId="0"/>
  </sheetViews>
  <sheetFormatPr baseColWidth="10" defaultColWidth="8.85546875" defaultRowHeight="12.75"/>
  <cols>
    <col min="1" max="1" width="4.5703125" style="617" bestFit="1" customWidth="1"/>
    <col min="2" max="2" width="6.7109375" style="617" bestFit="1" customWidth="1"/>
    <col min="3" max="3" width="5.28515625" style="617" bestFit="1" customWidth="1"/>
    <col min="4" max="4" width="5.140625" style="617" bestFit="1" customWidth="1"/>
    <col min="5" max="6" width="5.7109375" style="617" customWidth="1"/>
    <col min="7" max="7" width="6.28515625" style="617" bestFit="1" customWidth="1"/>
    <col min="8" max="8" width="5.7109375" style="617" bestFit="1" customWidth="1"/>
    <col min="9" max="9" width="10.7109375" style="617" customWidth="1"/>
    <col min="10" max="10" width="6.28515625" style="617" bestFit="1" customWidth="1"/>
    <col min="11" max="11" width="48.28515625" style="617" bestFit="1" customWidth="1"/>
    <col min="12" max="16384" width="8.85546875" style="617"/>
  </cols>
  <sheetData>
    <row r="1" spans="1:13" ht="51">
      <c r="A1" s="620" t="s">
        <v>391</v>
      </c>
      <c r="B1" s="621" t="s">
        <v>392</v>
      </c>
      <c r="C1" s="621" t="s">
        <v>389</v>
      </c>
      <c r="D1" s="621" t="s">
        <v>390</v>
      </c>
      <c r="E1" s="621" t="s">
        <v>401</v>
      </c>
      <c r="F1" s="621" t="s">
        <v>506</v>
      </c>
      <c r="G1" s="621" t="s">
        <v>393</v>
      </c>
      <c r="H1" s="621" t="s">
        <v>444</v>
      </c>
      <c r="I1" s="621" t="s">
        <v>394</v>
      </c>
      <c r="J1" s="622" t="s">
        <v>395</v>
      </c>
      <c r="K1" s="623" t="s">
        <v>443</v>
      </c>
    </row>
    <row r="2" spans="1:13">
      <c r="A2" s="624" t="s">
        <v>338</v>
      </c>
      <c r="B2" s="625">
        <v>120</v>
      </c>
      <c r="C2" s="625">
        <v>2</v>
      </c>
      <c r="D2" s="625">
        <v>10</v>
      </c>
      <c r="E2" s="625"/>
      <c r="F2" s="625"/>
      <c r="G2" s="625">
        <f t="shared" ref="G2:G5" si="0">+B2+C2-D2-E2+F2</f>
        <v>112</v>
      </c>
      <c r="H2" s="625">
        <v>120</v>
      </c>
      <c r="I2" s="626">
        <f t="shared" ref="I2:I13" si="1">+G2/H2</f>
        <v>0.93333333333333335</v>
      </c>
      <c r="J2" s="625">
        <f t="shared" ref="J2:J13" si="2">+G2-H2</f>
        <v>-8</v>
      </c>
      <c r="K2" s="627"/>
    </row>
    <row r="3" spans="1:13">
      <c r="A3" s="624" t="s">
        <v>339</v>
      </c>
      <c r="B3" s="625">
        <f>+G2</f>
        <v>112</v>
      </c>
      <c r="C3" s="625">
        <v>4</v>
      </c>
      <c r="D3" s="625">
        <v>3</v>
      </c>
      <c r="E3" s="625"/>
      <c r="F3" s="625"/>
      <c r="G3" s="625">
        <f t="shared" si="0"/>
        <v>113</v>
      </c>
      <c r="H3" s="625">
        <v>120</v>
      </c>
      <c r="I3" s="626">
        <f t="shared" si="1"/>
        <v>0.94166666666666665</v>
      </c>
      <c r="J3" s="625">
        <f t="shared" si="2"/>
        <v>-7</v>
      </c>
      <c r="K3" s="627"/>
    </row>
    <row r="4" spans="1:13">
      <c r="A4" s="624" t="s">
        <v>340</v>
      </c>
      <c r="B4" s="625">
        <f>+G3</f>
        <v>113</v>
      </c>
      <c r="C4" s="625">
        <v>0</v>
      </c>
      <c r="D4" s="625">
        <v>5</v>
      </c>
      <c r="E4" s="625">
        <v>1</v>
      </c>
      <c r="F4" s="625"/>
      <c r="G4" s="625">
        <f t="shared" si="0"/>
        <v>107</v>
      </c>
      <c r="H4" s="625">
        <v>123</v>
      </c>
      <c r="I4" s="626">
        <f t="shared" si="1"/>
        <v>0.86991869918699183</v>
      </c>
      <c r="J4" s="625">
        <f t="shared" si="2"/>
        <v>-16</v>
      </c>
      <c r="K4" s="627" t="s">
        <v>442</v>
      </c>
    </row>
    <row r="5" spans="1:13">
      <c r="A5" s="624" t="s">
        <v>342</v>
      </c>
      <c r="B5" s="625">
        <f t="shared" ref="B5:B13" si="3">+G4</f>
        <v>107</v>
      </c>
      <c r="C5" s="625">
        <v>4</v>
      </c>
      <c r="D5" s="625">
        <v>3</v>
      </c>
      <c r="E5" s="625"/>
      <c r="F5" s="625"/>
      <c r="G5" s="625">
        <f t="shared" si="0"/>
        <v>108</v>
      </c>
      <c r="H5" s="625">
        <v>129</v>
      </c>
      <c r="I5" s="626">
        <f t="shared" si="1"/>
        <v>0.83720930232558144</v>
      </c>
      <c r="J5" s="625">
        <f t="shared" si="2"/>
        <v>-21</v>
      </c>
      <c r="K5" s="627"/>
    </row>
    <row r="6" spans="1:13">
      <c r="A6" s="624" t="s">
        <v>341</v>
      </c>
      <c r="B6" s="625">
        <f t="shared" si="3"/>
        <v>108</v>
      </c>
      <c r="C6" s="625">
        <v>1</v>
      </c>
      <c r="D6" s="625"/>
      <c r="E6" s="625"/>
      <c r="F6" s="625"/>
      <c r="G6" s="625">
        <f>+B6+C6-D6-E6+F6</f>
        <v>109</v>
      </c>
      <c r="H6" s="625">
        <v>134</v>
      </c>
      <c r="I6" s="626">
        <f t="shared" si="1"/>
        <v>0.81343283582089554</v>
      </c>
      <c r="J6" s="625">
        <f t="shared" si="2"/>
        <v>-25</v>
      </c>
      <c r="K6" s="627"/>
    </row>
    <row r="7" spans="1:13" ht="25.5">
      <c r="A7" s="624" t="s">
        <v>346</v>
      </c>
      <c r="B7" s="625">
        <f>+G6</f>
        <v>109</v>
      </c>
      <c r="C7" s="625">
        <v>7</v>
      </c>
      <c r="D7" s="625">
        <v>1</v>
      </c>
      <c r="E7" s="625">
        <v>1</v>
      </c>
      <c r="F7" s="625">
        <v>1</v>
      </c>
      <c r="G7" s="625">
        <f>+B7+C7-D7-E7+F7</f>
        <v>115</v>
      </c>
      <c r="H7" s="625">
        <v>135</v>
      </c>
      <c r="I7" s="626">
        <f t="shared" si="1"/>
        <v>0.85185185185185186</v>
      </c>
      <c r="J7" s="625">
        <f t="shared" si="2"/>
        <v>-20</v>
      </c>
      <c r="K7" s="627" t="s">
        <v>507</v>
      </c>
      <c r="M7" s="618"/>
    </row>
    <row r="8" spans="1:13">
      <c r="A8" s="624" t="s">
        <v>347</v>
      </c>
      <c r="B8" s="625">
        <f t="shared" si="3"/>
        <v>115</v>
      </c>
      <c r="C8" s="625"/>
      <c r="D8" s="625"/>
      <c r="E8" s="625"/>
      <c r="F8" s="625"/>
      <c r="G8" s="625">
        <f t="shared" ref="G8:G13" si="4">+B8+C8-D8-E8+F8</f>
        <v>115</v>
      </c>
      <c r="H8" s="625">
        <v>135</v>
      </c>
      <c r="I8" s="626">
        <f t="shared" si="1"/>
        <v>0.85185185185185186</v>
      </c>
      <c r="J8" s="625">
        <f t="shared" si="2"/>
        <v>-20</v>
      </c>
      <c r="K8" s="627"/>
      <c r="M8" s="618"/>
    </row>
    <row r="9" spans="1:13">
      <c r="A9" s="624" t="s">
        <v>349</v>
      </c>
      <c r="B9" s="625">
        <f t="shared" si="3"/>
        <v>115</v>
      </c>
      <c r="C9" s="625"/>
      <c r="D9" s="625"/>
      <c r="E9" s="625"/>
      <c r="F9" s="625"/>
      <c r="G9" s="625">
        <f t="shared" si="4"/>
        <v>115</v>
      </c>
      <c r="H9" s="625">
        <v>135</v>
      </c>
      <c r="I9" s="626">
        <f t="shared" si="1"/>
        <v>0.85185185185185186</v>
      </c>
      <c r="J9" s="625">
        <f t="shared" si="2"/>
        <v>-20</v>
      </c>
      <c r="K9" s="627"/>
    </row>
    <row r="10" spans="1:13">
      <c r="A10" s="624" t="s">
        <v>350</v>
      </c>
      <c r="B10" s="625">
        <f t="shared" si="3"/>
        <v>115</v>
      </c>
      <c r="C10" s="625"/>
      <c r="D10" s="625"/>
      <c r="E10" s="625"/>
      <c r="F10" s="625"/>
      <c r="G10" s="625">
        <f t="shared" si="4"/>
        <v>115</v>
      </c>
      <c r="H10" s="625">
        <v>135</v>
      </c>
      <c r="I10" s="626">
        <f t="shared" si="1"/>
        <v>0.85185185185185186</v>
      </c>
      <c r="J10" s="625">
        <f t="shared" si="2"/>
        <v>-20</v>
      </c>
      <c r="K10" s="627"/>
    </row>
    <row r="11" spans="1:13">
      <c r="A11" s="624" t="s">
        <v>351</v>
      </c>
      <c r="B11" s="625">
        <f t="shared" si="3"/>
        <v>115</v>
      </c>
      <c r="C11" s="625"/>
      <c r="D11" s="625"/>
      <c r="E11" s="625"/>
      <c r="F11" s="625"/>
      <c r="G11" s="625">
        <f t="shared" si="4"/>
        <v>115</v>
      </c>
      <c r="H11" s="625">
        <v>135</v>
      </c>
      <c r="I11" s="626">
        <f t="shared" si="1"/>
        <v>0.85185185185185186</v>
      </c>
      <c r="J11" s="625">
        <f t="shared" si="2"/>
        <v>-20</v>
      </c>
      <c r="K11" s="627"/>
    </row>
    <row r="12" spans="1:13">
      <c r="A12" s="624" t="s">
        <v>388</v>
      </c>
      <c r="B12" s="625">
        <f t="shared" si="3"/>
        <v>115</v>
      </c>
      <c r="C12" s="625"/>
      <c r="D12" s="625"/>
      <c r="E12" s="625"/>
      <c r="F12" s="625"/>
      <c r="G12" s="625">
        <f t="shared" si="4"/>
        <v>115</v>
      </c>
      <c r="H12" s="625">
        <v>135</v>
      </c>
      <c r="I12" s="626">
        <f t="shared" si="1"/>
        <v>0.85185185185185186</v>
      </c>
      <c r="J12" s="625">
        <f t="shared" si="2"/>
        <v>-20</v>
      </c>
      <c r="K12" s="627"/>
    </row>
    <row r="13" spans="1:13">
      <c r="A13" s="624" t="s">
        <v>352</v>
      </c>
      <c r="B13" s="625">
        <f t="shared" si="3"/>
        <v>115</v>
      </c>
      <c r="C13" s="625"/>
      <c r="D13" s="625"/>
      <c r="E13" s="625"/>
      <c r="F13" s="625"/>
      <c r="G13" s="625">
        <f t="shared" si="4"/>
        <v>115</v>
      </c>
      <c r="H13" s="625">
        <v>135</v>
      </c>
      <c r="I13" s="626">
        <f t="shared" si="1"/>
        <v>0.85185185185185186</v>
      </c>
      <c r="J13" s="625">
        <f t="shared" si="2"/>
        <v>-20</v>
      </c>
      <c r="K13" s="627"/>
    </row>
    <row r="14" spans="1:13">
      <c r="I14" s="619"/>
    </row>
  </sheetData>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739DC-5EB4-4834-8137-338678D7C5FF}">
  <sheetPr>
    <tabColor theme="8" tint="0.59999389629810485"/>
  </sheetPr>
  <dimension ref="A1:T169"/>
  <sheetViews>
    <sheetView showGridLines="0" zoomScale="80" zoomScaleNormal="80" workbookViewId="0">
      <selection activeCell="A17" sqref="A17"/>
    </sheetView>
  </sheetViews>
  <sheetFormatPr baseColWidth="10" defaultColWidth="8.85546875" defaultRowHeight="15" customHeight="1"/>
  <cols>
    <col min="1" max="1" width="14.42578125" style="725" bestFit="1" customWidth="1"/>
    <col min="2" max="2" width="40.7109375" style="725" bestFit="1" customWidth="1"/>
    <col min="3" max="9" width="11.42578125" style="725" bestFit="1" customWidth="1"/>
    <col min="10" max="10" width="10.28515625" style="725" bestFit="1" customWidth="1"/>
    <col min="11" max="15" width="11.42578125" style="725" bestFit="1" customWidth="1"/>
    <col min="16" max="16" width="12.28515625" style="725" bestFit="1" customWidth="1"/>
    <col min="17" max="20" width="11.42578125" style="725" bestFit="1" customWidth="1"/>
    <col min="21" max="16384" width="8.85546875" style="725"/>
  </cols>
  <sheetData>
    <row r="1" spans="1:20" ht="22.5" customHeight="1" thickBot="1">
      <c r="B1" s="1230" t="s">
        <v>230</v>
      </c>
      <c r="C1" s="1231"/>
      <c r="D1" s="1231"/>
      <c r="E1" s="1231"/>
      <c r="F1" s="1231"/>
      <c r="G1" s="1231"/>
      <c r="H1" s="727"/>
      <c r="I1" s="727"/>
      <c r="J1" s="727"/>
      <c r="K1" s="727"/>
      <c r="L1" s="727"/>
      <c r="M1" s="727"/>
      <c r="N1" s="727"/>
    </row>
    <row r="2" spans="1:20" ht="22.5" customHeight="1" thickBot="1">
      <c r="B2" s="728"/>
      <c r="C2" s="728"/>
      <c r="D2" s="728"/>
      <c r="E2" s="728"/>
      <c r="F2" s="728"/>
      <c r="G2" s="728"/>
      <c r="H2" s="728"/>
      <c r="I2" s="728"/>
      <c r="J2" s="728"/>
      <c r="K2" s="728"/>
      <c r="L2" s="728"/>
      <c r="M2" s="728"/>
      <c r="N2" s="728"/>
      <c r="O2" s="729"/>
      <c r="P2" s="729"/>
      <c r="Q2" s="729"/>
      <c r="R2" s="729"/>
      <c r="S2" s="729"/>
      <c r="T2" s="729"/>
    </row>
    <row r="3" spans="1:20" ht="22.5" customHeight="1">
      <c r="A3" s="730" t="s">
        <v>260</v>
      </c>
      <c r="B3" s="731" t="s">
        <v>231</v>
      </c>
      <c r="C3" s="1410">
        <v>45688</v>
      </c>
      <c r="D3" s="1411">
        <v>45716</v>
      </c>
      <c r="E3" s="1411">
        <v>45747</v>
      </c>
      <c r="F3" s="1410">
        <v>45777</v>
      </c>
      <c r="G3" s="1411">
        <v>45808</v>
      </c>
      <c r="H3" s="1411">
        <v>45838</v>
      </c>
      <c r="I3" s="1410">
        <v>45869</v>
      </c>
      <c r="J3" s="1411">
        <v>45900</v>
      </c>
      <c r="K3" s="1411">
        <v>45930</v>
      </c>
      <c r="L3" s="1410">
        <v>45961</v>
      </c>
      <c r="M3" s="1411">
        <v>45991</v>
      </c>
      <c r="N3" s="1412">
        <v>46022</v>
      </c>
      <c r="O3" s="1022">
        <v>46053</v>
      </c>
      <c r="P3" s="1023">
        <v>46081</v>
      </c>
      <c r="Q3" s="1023">
        <v>46112</v>
      </c>
      <c r="R3" s="1022">
        <v>46142</v>
      </c>
      <c r="S3" s="1023">
        <v>46173</v>
      </c>
      <c r="T3" s="1024">
        <v>46203</v>
      </c>
    </row>
    <row r="4" spans="1:20" ht="22.5" customHeight="1">
      <c r="A4" s="732">
        <f>SUM(O4:Z4)</f>
        <v>168623</v>
      </c>
      <c r="B4" s="733" t="s">
        <v>232</v>
      </c>
      <c r="C4" s="1413">
        <v>35186</v>
      </c>
      <c r="D4" s="1414">
        <v>31851.5</v>
      </c>
      <c r="E4" s="1414">
        <v>28203</v>
      </c>
      <c r="F4" s="1414">
        <v>31774.5</v>
      </c>
      <c r="G4" s="1414">
        <v>32422.5</v>
      </c>
      <c r="H4" s="1414">
        <v>28239</v>
      </c>
      <c r="I4" s="1414">
        <v>33153.5</v>
      </c>
      <c r="J4" s="1414">
        <v>10444.5</v>
      </c>
      <c r="K4" s="1414">
        <v>31287</v>
      </c>
      <c r="L4" s="1414">
        <v>34724.5</v>
      </c>
      <c r="M4" s="1414">
        <v>30948</v>
      </c>
      <c r="N4" s="1415">
        <v>32506.5</v>
      </c>
      <c r="O4" s="1025">
        <v>30654</v>
      </c>
      <c r="P4" s="1026">
        <v>27728</v>
      </c>
      <c r="Q4" s="1026">
        <v>24817.5</v>
      </c>
      <c r="R4" s="1026">
        <v>30334.5</v>
      </c>
      <c r="S4" s="1026">
        <v>25010</v>
      </c>
      <c r="T4" s="1027">
        <v>30079</v>
      </c>
    </row>
    <row r="5" spans="1:20" ht="22.5" customHeight="1">
      <c r="A5" s="734">
        <f t="shared" ref="A5:A13" si="0">SUM(O5:Z5)</f>
        <v>142970</v>
      </c>
      <c r="B5" s="735" t="s">
        <v>233</v>
      </c>
      <c r="C5" s="1416">
        <v>30578</v>
      </c>
      <c r="D5" s="1417">
        <v>27764</v>
      </c>
      <c r="E5" s="1417">
        <v>19899</v>
      </c>
      <c r="F5" s="1417">
        <v>18771</v>
      </c>
      <c r="G5" s="1417">
        <v>23784</v>
      </c>
      <c r="H5" s="1417">
        <v>23249</v>
      </c>
      <c r="I5" s="1417">
        <v>28405.5</v>
      </c>
      <c r="J5" s="1417">
        <v>6313.5</v>
      </c>
      <c r="K5" s="1417">
        <v>26257.5</v>
      </c>
      <c r="L5" s="1417">
        <v>29561.5</v>
      </c>
      <c r="M5" s="1417">
        <v>25807.5</v>
      </c>
      <c r="N5" s="1418">
        <v>24668</v>
      </c>
      <c r="O5" s="1028">
        <v>23842</v>
      </c>
      <c r="P5" s="1029">
        <v>23490.5</v>
      </c>
      <c r="Q5" s="1029">
        <v>21026</v>
      </c>
      <c r="R5" s="1029">
        <v>26516</v>
      </c>
      <c r="S5" s="1029">
        <v>21892.5</v>
      </c>
      <c r="T5" s="1030">
        <v>26203</v>
      </c>
    </row>
    <row r="6" spans="1:20" ht="22.5" customHeight="1">
      <c r="A6" s="732">
        <f t="shared" si="0"/>
        <v>923</v>
      </c>
      <c r="B6" s="736" t="s">
        <v>80</v>
      </c>
      <c r="C6" s="1419">
        <v>179</v>
      </c>
      <c r="D6" s="1420">
        <v>177</v>
      </c>
      <c r="E6" s="1420">
        <v>174</v>
      </c>
      <c r="F6" s="1420">
        <v>167</v>
      </c>
      <c r="G6" s="1420">
        <v>164</v>
      </c>
      <c r="H6" s="1420">
        <v>165</v>
      </c>
      <c r="I6" s="1420">
        <v>168</v>
      </c>
      <c r="J6" s="1420">
        <v>161</v>
      </c>
      <c r="K6" s="1420">
        <v>169</v>
      </c>
      <c r="L6" s="1420">
        <v>169</v>
      </c>
      <c r="M6" s="1420">
        <v>168</v>
      </c>
      <c r="N6" s="1421">
        <v>161</v>
      </c>
      <c r="O6" s="1031">
        <v>162</v>
      </c>
      <c r="P6" s="1032">
        <v>155</v>
      </c>
      <c r="Q6" s="1032">
        <v>151</v>
      </c>
      <c r="R6" s="1032">
        <v>151</v>
      </c>
      <c r="S6" s="1032">
        <v>148</v>
      </c>
      <c r="T6" s="1033">
        <v>156</v>
      </c>
    </row>
    <row r="7" spans="1:20" ht="22.5" customHeight="1">
      <c r="A7" s="732">
        <f t="shared" si="0"/>
        <v>1105</v>
      </c>
      <c r="B7" s="736" t="s">
        <v>140</v>
      </c>
      <c r="C7" s="1413">
        <v>202</v>
      </c>
      <c r="D7" s="1414">
        <v>185</v>
      </c>
      <c r="E7" s="1414">
        <v>168</v>
      </c>
      <c r="F7" s="1414">
        <v>195.5</v>
      </c>
      <c r="G7" s="1414">
        <v>201</v>
      </c>
      <c r="H7" s="1414">
        <v>169</v>
      </c>
      <c r="I7" s="1414">
        <v>202</v>
      </c>
      <c r="J7" s="1414">
        <v>58.5</v>
      </c>
      <c r="K7" s="1414">
        <v>191.5</v>
      </c>
      <c r="L7" s="1414">
        <v>210.5</v>
      </c>
      <c r="M7" s="1414">
        <v>185</v>
      </c>
      <c r="N7" s="1415">
        <v>202</v>
      </c>
      <c r="O7" s="1025">
        <v>201</v>
      </c>
      <c r="P7" s="1026">
        <v>178</v>
      </c>
      <c r="Q7" s="1026">
        <v>164.5</v>
      </c>
      <c r="R7" s="1026">
        <v>202</v>
      </c>
      <c r="S7" s="1026">
        <v>166</v>
      </c>
      <c r="T7" s="1027">
        <v>193.5</v>
      </c>
    </row>
    <row r="8" spans="1:20" ht="22.5" customHeight="1" thickBot="1">
      <c r="A8" s="734">
        <f t="shared" si="0"/>
        <v>776.96952325080213</v>
      </c>
      <c r="B8" s="737" t="s">
        <v>77</v>
      </c>
      <c r="C8" s="1422">
        <v>151.37623762376236</v>
      </c>
      <c r="D8" s="1423">
        <v>150.07567567567568</v>
      </c>
      <c r="E8" s="1423">
        <v>118.44642857142857</v>
      </c>
      <c r="F8" s="1423">
        <v>96.015345268542205</v>
      </c>
      <c r="G8" s="1423">
        <v>118.32835820895522</v>
      </c>
      <c r="H8" s="1423">
        <v>137.5680473372781</v>
      </c>
      <c r="I8" s="1423">
        <v>140.62128712871288</v>
      </c>
      <c r="J8" s="1423">
        <v>107.92307692307692</v>
      </c>
      <c r="K8" s="1423">
        <v>137.11488250652741</v>
      </c>
      <c r="L8" s="1423">
        <v>140.43467933491686</v>
      </c>
      <c r="M8" s="1423">
        <v>139.5</v>
      </c>
      <c r="N8" s="1424">
        <v>122.11881188118812</v>
      </c>
      <c r="O8" s="1034">
        <v>118.61691542288557</v>
      </c>
      <c r="P8" s="738">
        <v>131.96910112359549</v>
      </c>
      <c r="Q8" s="738">
        <v>127.81762917933131</v>
      </c>
      <c r="R8" s="738">
        <v>131.26732673267327</v>
      </c>
      <c r="S8" s="738">
        <v>131.88253012048193</v>
      </c>
      <c r="T8" s="1035">
        <v>135.41602067183462</v>
      </c>
    </row>
    <row r="9" spans="1:20" ht="22.5" customHeight="1">
      <c r="A9" s="732">
        <f t="shared" si="0"/>
        <v>219.5</v>
      </c>
      <c r="B9" s="739" t="s">
        <v>152</v>
      </c>
      <c r="C9" s="1425">
        <v>0</v>
      </c>
      <c r="D9" s="1426">
        <v>1.5</v>
      </c>
      <c r="E9" s="1426">
        <v>220.5</v>
      </c>
      <c r="F9" s="1426">
        <v>609.5</v>
      </c>
      <c r="G9" s="1426">
        <v>87.5</v>
      </c>
      <c r="H9" s="1426">
        <v>4.5</v>
      </c>
      <c r="I9" s="1426">
        <v>1</v>
      </c>
      <c r="J9" s="1426">
        <v>218.5</v>
      </c>
      <c r="K9" s="1426">
        <v>24.5</v>
      </c>
      <c r="L9" s="1426">
        <v>46.5</v>
      </c>
      <c r="M9" s="1426">
        <v>24</v>
      </c>
      <c r="N9" s="1427">
        <v>0</v>
      </c>
      <c r="O9" s="1036">
        <v>60.5</v>
      </c>
      <c r="P9" s="740">
        <v>31</v>
      </c>
      <c r="Q9" s="740">
        <v>0</v>
      </c>
      <c r="R9" s="740">
        <v>0</v>
      </c>
      <c r="S9" s="740">
        <v>3</v>
      </c>
      <c r="T9" s="1037">
        <v>125</v>
      </c>
    </row>
    <row r="10" spans="1:20" ht="22.5" customHeight="1">
      <c r="A10" s="732">
        <f t="shared" si="0"/>
        <v>1174</v>
      </c>
      <c r="B10" s="733" t="s">
        <v>153</v>
      </c>
      <c r="C10" s="1413">
        <v>7.5</v>
      </c>
      <c r="D10" s="1414">
        <v>24</v>
      </c>
      <c r="E10" s="1414">
        <v>0</v>
      </c>
      <c r="F10" s="1414">
        <v>28.5</v>
      </c>
      <c r="G10" s="1414">
        <v>38.5</v>
      </c>
      <c r="H10" s="1414">
        <v>0</v>
      </c>
      <c r="I10" s="1414">
        <v>0</v>
      </c>
      <c r="J10" s="1414">
        <v>206</v>
      </c>
      <c r="K10" s="1414">
        <v>129</v>
      </c>
      <c r="L10" s="1414">
        <v>179</v>
      </c>
      <c r="M10" s="1414">
        <v>75</v>
      </c>
      <c r="N10" s="1415">
        <v>0</v>
      </c>
      <c r="O10" s="1025">
        <v>7</v>
      </c>
      <c r="P10" s="1026">
        <v>40</v>
      </c>
      <c r="Q10" s="1026">
        <v>0</v>
      </c>
      <c r="R10" s="1026">
        <v>30</v>
      </c>
      <c r="S10" s="1026">
        <v>392</v>
      </c>
      <c r="T10" s="1027">
        <v>705</v>
      </c>
    </row>
    <row r="11" spans="1:20" ht="22.5" customHeight="1" thickBot="1">
      <c r="A11" s="732">
        <f t="shared" si="0"/>
        <v>435.5</v>
      </c>
      <c r="B11" s="733" t="s">
        <v>154</v>
      </c>
      <c r="C11" s="1413">
        <v>64</v>
      </c>
      <c r="D11" s="1414">
        <v>5</v>
      </c>
      <c r="E11" s="1414">
        <v>5</v>
      </c>
      <c r="F11" s="1414">
        <v>10.5</v>
      </c>
      <c r="G11" s="1414"/>
      <c r="H11" s="1414">
        <v>245.5</v>
      </c>
      <c r="I11" s="1414">
        <v>48</v>
      </c>
      <c r="J11" s="1414">
        <v>57.5</v>
      </c>
      <c r="K11" s="1414">
        <v>71.5</v>
      </c>
      <c r="L11" s="1414">
        <v>5.5</v>
      </c>
      <c r="M11" s="1414">
        <v>11.5</v>
      </c>
      <c r="N11" s="1415">
        <v>36</v>
      </c>
      <c r="O11" s="1025">
        <v>44</v>
      </c>
      <c r="P11" s="1026"/>
      <c r="Q11" s="1026">
        <v>96</v>
      </c>
      <c r="R11" s="1026">
        <v>20</v>
      </c>
      <c r="S11" s="1026">
        <v>165.5</v>
      </c>
      <c r="T11" s="1027">
        <v>110</v>
      </c>
    </row>
    <row r="12" spans="1:20" ht="22.5" customHeight="1">
      <c r="A12" s="734">
        <f t="shared" si="0"/>
        <v>144799</v>
      </c>
      <c r="B12" s="741" t="s">
        <v>234</v>
      </c>
      <c r="C12" s="1428">
        <v>30649.5</v>
      </c>
      <c r="D12" s="1429">
        <v>27794.5</v>
      </c>
      <c r="E12" s="1429">
        <v>20124.5</v>
      </c>
      <c r="F12" s="1429">
        <v>19419.5</v>
      </c>
      <c r="G12" s="1429">
        <v>23910</v>
      </c>
      <c r="H12" s="1429">
        <v>23499</v>
      </c>
      <c r="I12" s="1429">
        <v>28454.5</v>
      </c>
      <c r="J12" s="1429">
        <v>6795.5</v>
      </c>
      <c r="K12" s="1429">
        <v>26482.5</v>
      </c>
      <c r="L12" s="1429">
        <v>29792.5</v>
      </c>
      <c r="M12" s="1429">
        <v>25918</v>
      </c>
      <c r="N12" s="1430">
        <v>24704</v>
      </c>
      <c r="O12" s="1038">
        <v>23953.5</v>
      </c>
      <c r="P12" s="742">
        <v>23561.5</v>
      </c>
      <c r="Q12" s="742">
        <v>21122</v>
      </c>
      <c r="R12" s="742">
        <v>26566</v>
      </c>
      <c r="S12" s="742">
        <v>22453</v>
      </c>
      <c r="T12" s="1039">
        <v>27143</v>
      </c>
    </row>
    <row r="13" spans="1:20" ht="22.5" customHeight="1">
      <c r="A13" s="732">
        <f t="shared" si="0"/>
        <v>1829</v>
      </c>
      <c r="B13" s="736" t="s">
        <v>235</v>
      </c>
      <c r="C13" s="1413">
        <v>71.5</v>
      </c>
      <c r="D13" s="1414">
        <v>30.5</v>
      </c>
      <c r="E13" s="1414">
        <v>225.5</v>
      </c>
      <c r="F13" s="1414">
        <v>648.5</v>
      </c>
      <c r="G13" s="1414">
        <v>126</v>
      </c>
      <c r="H13" s="1414">
        <v>250</v>
      </c>
      <c r="I13" s="1414">
        <v>49</v>
      </c>
      <c r="J13" s="1414">
        <v>482</v>
      </c>
      <c r="K13" s="1414">
        <v>225</v>
      </c>
      <c r="L13" s="1414">
        <v>231</v>
      </c>
      <c r="M13" s="1414">
        <v>110.5</v>
      </c>
      <c r="N13" s="1415">
        <v>36</v>
      </c>
      <c r="O13" s="1025">
        <v>111.5</v>
      </c>
      <c r="P13" s="1026">
        <v>71</v>
      </c>
      <c r="Q13" s="1026">
        <f t="shared" ref="Q13:R13" si="1">SUM(Q9:Q11)</f>
        <v>96</v>
      </c>
      <c r="R13" s="1026">
        <f t="shared" si="1"/>
        <v>50</v>
      </c>
      <c r="S13" s="1026">
        <v>560.5</v>
      </c>
      <c r="T13" s="1027">
        <v>940</v>
      </c>
    </row>
    <row r="14" spans="1:20" ht="22.5" customHeight="1" thickBot="1">
      <c r="A14" s="743">
        <f>+A13/A12</f>
        <v>1.263130270236673E-2</v>
      </c>
      <c r="B14" s="736" t="s">
        <v>263</v>
      </c>
      <c r="C14" s="1431">
        <v>2.3328276154586537E-3</v>
      </c>
      <c r="D14" s="1432">
        <v>1.0973394016801886E-3</v>
      </c>
      <c r="E14" s="1432">
        <v>1.1205247335337523E-2</v>
      </c>
      <c r="F14" s="1432">
        <v>3.3394268647493501E-2</v>
      </c>
      <c r="G14" s="1432">
        <v>5.269761606022585E-3</v>
      </c>
      <c r="H14" s="1432">
        <v>1.0638750585131283E-2</v>
      </c>
      <c r="I14" s="1432">
        <v>1.7220474793090725E-3</v>
      </c>
      <c r="J14" s="1432">
        <v>7.0929291442866596E-2</v>
      </c>
      <c r="K14" s="1432">
        <v>8.4961767204757861E-3</v>
      </c>
      <c r="L14" s="1432">
        <v>7.7536292691113536E-3</v>
      </c>
      <c r="M14" s="1432">
        <v>4.2634462535689486E-3</v>
      </c>
      <c r="N14" s="1433">
        <v>1.4572538860103627E-3</v>
      </c>
      <c r="O14" s="1040">
        <v>4.6548521092950922E-3</v>
      </c>
      <c r="P14" s="1041">
        <v>3.0133904887210067E-3</v>
      </c>
      <c r="Q14" s="1041">
        <f t="shared" ref="Q14:R14" si="2">+Q13/Q12</f>
        <v>4.5450241454407731E-3</v>
      </c>
      <c r="R14" s="1041">
        <f t="shared" si="2"/>
        <v>1.8821049461717986E-3</v>
      </c>
      <c r="S14" s="1041">
        <v>2.4963256580412416E-2</v>
      </c>
      <c r="T14" s="1042">
        <v>3.4631396676859598E-2</v>
      </c>
    </row>
    <row r="15" spans="1:20" ht="22.5" customHeight="1">
      <c r="A15" s="150"/>
    </row>
    <row r="16" spans="1:20" ht="22.5" customHeight="1">
      <c r="A16" s="744"/>
    </row>
    <row r="17" spans="1:20" ht="22.5" customHeight="1" thickBot="1">
      <c r="A17" s="745"/>
      <c r="B17" s="1227" t="s">
        <v>508</v>
      </c>
      <c r="C17" s="1228"/>
      <c r="D17" s="1228"/>
      <c r="E17" s="1228"/>
      <c r="F17" s="1226"/>
      <c r="G17" s="1226"/>
      <c r="H17" s="727"/>
      <c r="I17" s="727"/>
      <c r="J17" s="727"/>
      <c r="K17" s="727"/>
      <c r="L17" s="727"/>
      <c r="M17" s="727"/>
      <c r="N17" s="727"/>
    </row>
    <row r="18" spans="1:20" ht="22.5" customHeight="1" thickBot="1">
      <c r="B18" s="728"/>
      <c r="C18" s="728"/>
      <c r="D18" s="728"/>
      <c r="E18" s="728"/>
      <c r="F18" s="728"/>
      <c r="G18" s="728"/>
      <c r="H18" s="728"/>
      <c r="I18" s="728"/>
      <c r="J18" s="728"/>
      <c r="K18" s="728"/>
      <c r="L18" s="728"/>
      <c r="M18" s="728"/>
      <c r="N18" s="728"/>
      <c r="O18" s="728"/>
      <c r="P18" s="746"/>
      <c r="Q18" s="746"/>
      <c r="R18" s="746"/>
      <c r="S18" s="747"/>
      <c r="T18" s="747"/>
    </row>
    <row r="19" spans="1:20" ht="22.5" customHeight="1">
      <c r="A19" s="730" t="s">
        <v>260</v>
      </c>
      <c r="B19" s="731" t="s">
        <v>231</v>
      </c>
      <c r="C19" s="1410">
        <v>45688</v>
      </c>
      <c r="D19" s="1411">
        <v>45716</v>
      </c>
      <c r="E19" s="1411">
        <v>45747</v>
      </c>
      <c r="F19" s="1410">
        <v>45777</v>
      </c>
      <c r="G19" s="1411">
        <v>45808</v>
      </c>
      <c r="H19" s="1411">
        <v>45838</v>
      </c>
      <c r="I19" s="1410">
        <v>45869</v>
      </c>
      <c r="J19" s="1411">
        <v>45900</v>
      </c>
      <c r="K19" s="1411">
        <v>45930</v>
      </c>
      <c r="L19" s="1410">
        <v>45961</v>
      </c>
      <c r="M19" s="1411">
        <v>45991</v>
      </c>
      <c r="N19" s="1412">
        <v>46022</v>
      </c>
      <c r="O19" s="1022">
        <v>46053</v>
      </c>
      <c r="P19" s="1023">
        <v>46081</v>
      </c>
      <c r="Q19" s="1023">
        <v>46112</v>
      </c>
      <c r="R19" s="1022">
        <v>46142</v>
      </c>
      <c r="S19" s="1023">
        <v>46173</v>
      </c>
      <c r="T19" s="1024">
        <v>46203</v>
      </c>
    </row>
    <row r="20" spans="1:20" ht="22.5" customHeight="1">
      <c r="A20" s="732">
        <f>SUM(O20:Z20)</f>
        <v>123069</v>
      </c>
      <c r="B20" s="733" t="s">
        <v>232</v>
      </c>
      <c r="C20" s="1413">
        <v>27679</v>
      </c>
      <c r="D20" s="1414">
        <v>25191.5</v>
      </c>
      <c r="E20" s="1414">
        <v>22155</v>
      </c>
      <c r="F20" s="1414">
        <v>24541</v>
      </c>
      <c r="G20" s="1414">
        <v>24985.5</v>
      </c>
      <c r="H20" s="1414">
        <v>21106.5</v>
      </c>
      <c r="I20" s="1414">
        <v>24743.5</v>
      </c>
      <c r="J20" s="1414">
        <v>7020</v>
      </c>
      <c r="K20" s="1414">
        <v>23181</v>
      </c>
      <c r="L20" s="1414">
        <v>25957.5</v>
      </c>
      <c r="M20" s="1414">
        <v>22978.5</v>
      </c>
      <c r="N20" s="1415">
        <v>24366.5</v>
      </c>
      <c r="O20" s="1025">
        <v>22854.5</v>
      </c>
      <c r="P20" s="1044">
        <v>20334</v>
      </c>
      <c r="Q20" s="1045">
        <v>17848</v>
      </c>
      <c r="R20" s="1046">
        <v>21908.5</v>
      </c>
      <c r="S20" s="1047">
        <v>18077</v>
      </c>
      <c r="T20" s="1048">
        <v>22047</v>
      </c>
    </row>
    <row r="21" spans="1:20" ht="22.5" customHeight="1">
      <c r="A21" s="732">
        <f t="shared" ref="A21:A32" si="3">SUM(O21:Z21)</f>
        <v>100979.5</v>
      </c>
      <c r="B21" s="735" t="s">
        <v>161</v>
      </c>
      <c r="C21" s="1416">
        <v>23742.5</v>
      </c>
      <c r="D21" s="1417">
        <v>21530</v>
      </c>
      <c r="E21" s="1417">
        <v>15443.5</v>
      </c>
      <c r="F21" s="1417">
        <v>14258.5</v>
      </c>
      <c r="G21" s="1417">
        <v>18071.5</v>
      </c>
      <c r="H21" s="1417">
        <v>17104.5</v>
      </c>
      <c r="I21" s="1417">
        <v>20753.5</v>
      </c>
      <c r="J21" s="1417">
        <v>3709</v>
      </c>
      <c r="K21" s="1417">
        <v>18966.5</v>
      </c>
      <c r="L21" s="1417">
        <v>21665</v>
      </c>
      <c r="M21" s="1417">
        <v>18669.5</v>
      </c>
      <c r="N21" s="1418">
        <v>17851.5</v>
      </c>
      <c r="O21" s="1028">
        <v>17164</v>
      </c>
      <c r="P21" s="1049">
        <v>16630.5</v>
      </c>
      <c r="Q21" s="1049">
        <v>14580.5</v>
      </c>
      <c r="R21" s="1049">
        <v>18571</v>
      </c>
      <c r="S21" s="1050">
        <v>15397.5</v>
      </c>
      <c r="T21" s="1051">
        <v>18636</v>
      </c>
    </row>
    <row r="22" spans="1:20" ht="22.5" customHeight="1">
      <c r="A22" s="732">
        <f t="shared" si="3"/>
        <v>686</v>
      </c>
      <c r="B22" s="736" t="s">
        <v>80</v>
      </c>
      <c r="C22" s="1419">
        <v>141</v>
      </c>
      <c r="D22" s="1420">
        <v>141</v>
      </c>
      <c r="E22" s="1420">
        <v>138</v>
      </c>
      <c r="F22" s="1420">
        <v>130</v>
      </c>
      <c r="G22" s="1420">
        <v>127</v>
      </c>
      <c r="H22" s="1420">
        <v>125</v>
      </c>
      <c r="I22" s="1420">
        <v>125</v>
      </c>
      <c r="J22" s="1420">
        <v>120</v>
      </c>
      <c r="K22" s="1420">
        <v>128</v>
      </c>
      <c r="L22" s="1420">
        <v>127</v>
      </c>
      <c r="M22" s="1420">
        <v>127</v>
      </c>
      <c r="N22" s="1421">
        <v>123</v>
      </c>
      <c r="O22" s="1031">
        <v>122</v>
      </c>
      <c r="P22" s="1052">
        <v>116</v>
      </c>
      <c r="Q22" s="1053">
        <v>112</v>
      </c>
      <c r="R22" s="1054">
        <v>111</v>
      </c>
      <c r="S22" s="1055">
        <v>109</v>
      </c>
      <c r="T22" s="1056">
        <v>116</v>
      </c>
    </row>
    <row r="23" spans="1:20" ht="22.5" customHeight="1">
      <c r="A23" s="748">
        <f t="shared" si="3"/>
        <v>-22089.5</v>
      </c>
      <c r="B23" s="749" t="s">
        <v>236</v>
      </c>
      <c r="C23" s="1434">
        <v>-3936.5</v>
      </c>
      <c r="D23" s="1435">
        <v>-3661.5</v>
      </c>
      <c r="E23" s="1435">
        <v>-6711.5</v>
      </c>
      <c r="F23" s="1435">
        <v>-10282.5</v>
      </c>
      <c r="G23" s="1435">
        <v>-6914</v>
      </c>
      <c r="H23" s="1435">
        <v>-4002</v>
      </c>
      <c r="I23" s="1435">
        <v>-3990</v>
      </c>
      <c r="J23" s="1435">
        <v>-3311</v>
      </c>
      <c r="K23" s="1435">
        <v>-4214.5</v>
      </c>
      <c r="L23" s="1435">
        <v>-4292.5</v>
      </c>
      <c r="M23" s="1435">
        <v>-4309</v>
      </c>
      <c r="N23" s="1436">
        <v>-6515</v>
      </c>
      <c r="O23" s="1057">
        <v>-5690.5</v>
      </c>
      <c r="P23" s="1058">
        <v>-3703.5</v>
      </c>
      <c r="Q23" s="1059">
        <v>-3267.5</v>
      </c>
      <c r="R23" s="1060">
        <v>-3337.5</v>
      </c>
      <c r="S23" s="1061">
        <v>-2679.5</v>
      </c>
      <c r="T23" s="1062">
        <v>-3411</v>
      </c>
    </row>
    <row r="24" spans="1:20" ht="22.5" customHeight="1">
      <c r="A24" s="750">
        <f t="shared" si="3"/>
        <v>1.0694753603077263</v>
      </c>
      <c r="B24" s="736" t="s">
        <v>237</v>
      </c>
      <c r="C24" s="1437">
        <v>0.14221973337187038</v>
      </c>
      <c r="D24" s="1438">
        <v>0.14534664470158584</v>
      </c>
      <c r="E24" s="1438">
        <v>0.30293387497178964</v>
      </c>
      <c r="F24" s="1438">
        <v>0.41899270608369665</v>
      </c>
      <c r="G24" s="1438">
        <v>0.27672049788877551</v>
      </c>
      <c r="H24" s="1438">
        <v>0.18960983583256344</v>
      </c>
      <c r="I24" s="1438">
        <v>0.16125447087113787</v>
      </c>
      <c r="J24" s="1438">
        <v>0.47165242165242166</v>
      </c>
      <c r="K24" s="1438">
        <v>0.18180837755058021</v>
      </c>
      <c r="L24" s="1438">
        <v>0.16536646441298275</v>
      </c>
      <c r="M24" s="1438">
        <v>0.18752311943773528</v>
      </c>
      <c r="N24" s="1439">
        <v>0.2673752898446638</v>
      </c>
      <c r="O24" s="1063">
        <v>0.24898816425649214</v>
      </c>
      <c r="P24" s="1064">
        <v>0.18213337267630569</v>
      </c>
      <c r="Q24" s="1065">
        <v>0.18307373375168087</v>
      </c>
      <c r="R24" s="1066">
        <v>0.15233813360111373</v>
      </c>
      <c r="S24" s="1067">
        <v>0.14822702882115396</v>
      </c>
      <c r="T24" s="1068">
        <v>0.15471492720097973</v>
      </c>
    </row>
    <row r="25" spans="1:20" ht="22.5" customHeight="1">
      <c r="A25" s="732">
        <f t="shared" si="3"/>
        <v>1105</v>
      </c>
      <c r="B25" s="736" t="s">
        <v>140</v>
      </c>
      <c r="C25" s="1413">
        <v>202</v>
      </c>
      <c r="D25" s="1414">
        <v>185</v>
      </c>
      <c r="E25" s="1414">
        <v>168</v>
      </c>
      <c r="F25" s="1414">
        <v>195.5</v>
      </c>
      <c r="G25" s="1414">
        <v>201</v>
      </c>
      <c r="H25" s="1414">
        <v>169</v>
      </c>
      <c r="I25" s="1414">
        <v>202</v>
      </c>
      <c r="J25" s="1414">
        <v>58.5</v>
      </c>
      <c r="K25" s="1414">
        <v>191.5</v>
      </c>
      <c r="L25" s="1414">
        <v>210.5</v>
      </c>
      <c r="M25" s="1414">
        <v>185</v>
      </c>
      <c r="N25" s="1415">
        <v>202</v>
      </c>
      <c r="O25" s="1025">
        <v>201</v>
      </c>
      <c r="P25" s="1044">
        <v>178</v>
      </c>
      <c r="Q25" s="1045">
        <v>164.5</v>
      </c>
      <c r="R25" s="1046">
        <v>202</v>
      </c>
      <c r="S25" s="1047">
        <v>166</v>
      </c>
      <c r="T25" s="1048">
        <v>193.5</v>
      </c>
    </row>
    <row r="26" spans="1:20" ht="22.5" customHeight="1" thickBot="1">
      <c r="A26" s="751">
        <f t="shared" si="3"/>
        <v>548.45981364555394</v>
      </c>
      <c r="B26" s="737" t="s">
        <v>77</v>
      </c>
      <c r="C26" s="1422">
        <v>117.53712871287129</v>
      </c>
      <c r="D26" s="1423">
        <v>116.37837837837837</v>
      </c>
      <c r="E26" s="1423">
        <v>91.925595238095241</v>
      </c>
      <c r="F26" s="1423">
        <v>72.933503836317129</v>
      </c>
      <c r="G26" s="1423">
        <v>89.907960199004975</v>
      </c>
      <c r="H26" s="1423">
        <v>101.21005917159763</v>
      </c>
      <c r="I26" s="1423">
        <v>102.74009900990099</v>
      </c>
      <c r="J26" s="1423">
        <v>63.401709401709404</v>
      </c>
      <c r="K26" s="1423">
        <v>99.041775456919055</v>
      </c>
      <c r="L26" s="1423">
        <v>102.92161520190024</v>
      </c>
      <c r="M26" s="1423">
        <v>100.91621621621621</v>
      </c>
      <c r="N26" s="1424">
        <v>88.373762376237622</v>
      </c>
      <c r="O26" s="1034">
        <v>85.393034825870643</v>
      </c>
      <c r="P26" s="751">
        <v>93.42977528089888</v>
      </c>
      <c r="Q26" s="751">
        <v>88.635258358662611</v>
      </c>
      <c r="R26" s="751">
        <v>91.93564356435644</v>
      </c>
      <c r="S26" s="752">
        <v>92.756024096385545</v>
      </c>
      <c r="T26" s="1069">
        <v>96.310077519379846</v>
      </c>
    </row>
    <row r="27" spans="1:20" ht="22.5" customHeight="1">
      <c r="A27" s="734">
        <f t="shared" si="3"/>
        <v>5637.5</v>
      </c>
      <c r="B27" s="726" t="s">
        <v>238</v>
      </c>
      <c r="C27" s="1416">
        <v>230.5</v>
      </c>
      <c r="D27" s="1417">
        <v>266.5</v>
      </c>
      <c r="E27" s="1417">
        <v>444.5</v>
      </c>
      <c r="F27" s="1417">
        <v>513.5</v>
      </c>
      <c r="G27" s="1417">
        <v>1045.5</v>
      </c>
      <c r="H27" s="1417">
        <v>755.5</v>
      </c>
      <c r="I27" s="1417">
        <v>737.5</v>
      </c>
      <c r="J27" s="1417">
        <v>322.5</v>
      </c>
      <c r="K27" s="1417">
        <v>509.5</v>
      </c>
      <c r="L27" s="1417">
        <v>843.5</v>
      </c>
      <c r="M27" s="1417">
        <v>895</v>
      </c>
      <c r="N27" s="1418">
        <v>905</v>
      </c>
      <c r="O27" s="1028">
        <v>603</v>
      </c>
      <c r="P27" s="1049">
        <v>847.5</v>
      </c>
      <c r="Q27" s="1049">
        <v>1023</v>
      </c>
      <c r="R27" s="1049">
        <v>1173.5</v>
      </c>
      <c r="S27" s="1050">
        <v>937</v>
      </c>
      <c r="T27" s="1051">
        <v>1053.5</v>
      </c>
    </row>
    <row r="28" spans="1:20" ht="22.5" customHeight="1">
      <c r="A28" s="734">
        <f t="shared" si="3"/>
        <v>3169</v>
      </c>
      <c r="B28" s="726" t="s">
        <v>239</v>
      </c>
      <c r="C28" s="1416">
        <v>1735</v>
      </c>
      <c r="D28" s="1417">
        <v>986</v>
      </c>
      <c r="E28" s="1417">
        <v>4868</v>
      </c>
      <c r="F28" s="1417">
        <v>7480</v>
      </c>
      <c r="G28" s="1417">
        <v>4153</v>
      </c>
      <c r="H28" s="1417">
        <v>1502.5</v>
      </c>
      <c r="I28" s="1417">
        <v>1396</v>
      </c>
      <c r="J28" s="1417">
        <v>2562.5</v>
      </c>
      <c r="K28" s="1417">
        <v>1268</v>
      </c>
      <c r="L28" s="1417">
        <v>1117</v>
      </c>
      <c r="M28" s="1417">
        <v>1598.5</v>
      </c>
      <c r="N28" s="1418">
        <v>3093</v>
      </c>
      <c r="O28" s="1028">
        <v>1553.5</v>
      </c>
      <c r="P28" s="1049">
        <v>93</v>
      </c>
      <c r="Q28" s="1049">
        <v>477.5</v>
      </c>
      <c r="R28" s="1049">
        <v>373.5</v>
      </c>
      <c r="S28" s="1050">
        <v>483</v>
      </c>
      <c r="T28" s="1051">
        <v>188.5</v>
      </c>
    </row>
    <row r="29" spans="1:20" ht="22.5" customHeight="1">
      <c r="A29" s="734">
        <f t="shared" si="3"/>
        <v>2651.5</v>
      </c>
      <c r="B29" s="726" t="s">
        <v>240</v>
      </c>
      <c r="C29" s="1416">
        <v>980</v>
      </c>
      <c r="D29" s="1417">
        <v>837.5</v>
      </c>
      <c r="E29" s="1417">
        <v>370</v>
      </c>
      <c r="F29" s="1417">
        <v>373</v>
      </c>
      <c r="G29" s="1417">
        <v>210</v>
      </c>
      <c r="H29" s="1417">
        <v>454.5</v>
      </c>
      <c r="I29" s="1417">
        <v>455.5</v>
      </c>
      <c r="J29" s="1417">
        <v>56</v>
      </c>
      <c r="K29" s="1417">
        <v>360</v>
      </c>
      <c r="L29" s="1417">
        <v>496</v>
      </c>
      <c r="M29" s="1417">
        <v>507</v>
      </c>
      <c r="N29" s="1418">
        <v>445</v>
      </c>
      <c r="O29" s="1028">
        <v>871</v>
      </c>
      <c r="P29" s="1049">
        <v>339.5</v>
      </c>
      <c r="Q29" s="1049">
        <v>274.5</v>
      </c>
      <c r="R29" s="1049">
        <v>336</v>
      </c>
      <c r="S29" s="1050">
        <v>222.5</v>
      </c>
      <c r="T29" s="1051">
        <v>608</v>
      </c>
    </row>
    <row r="30" spans="1:20" ht="22.5" customHeight="1">
      <c r="A30" s="734">
        <f t="shared" si="3"/>
        <v>10631.5</v>
      </c>
      <c r="B30" s="726" t="s">
        <v>241</v>
      </c>
      <c r="C30" s="1416">
        <v>991</v>
      </c>
      <c r="D30" s="1417">
        <v>1571.5</v>
      </c>
      <c r="E30" s="1417">
        <v>1029</v>
      </c>
      <c r="F30" s="1417">
        <v>1916</v>
      </c>
      <c r="G30" s="1417">
        <v>1505.5</v>
      </c>
      <c r="H30" s="1417">
        <v>1289.5</v>
      </c>
      <c r="I30" s="1417">
        <v>1401</v>
      </c>
      <c r="J30" s="1417">
        <v>370</v>
      </c>
      <c r="K30" s="1417">
        <v>2077</v>
      </c>
      <c r="L30" s="1417">
        <v>1836</v>
      </c>
      <c r="M30" s="1417">
        <v>1308.5</v>
      </c>
      <c r="N30" s="1418">
        <v>2072</v>
      </c>
      <c r="O30" s="1028">
        <v>2663</v>
      </c>
      <c r="P30" s="1049">
        <v>2423.5</v>
      </c>
      <c r="Q30" s="1049">
        <v>1492.5</v>
      </c>
      <c r="R30" s="1049">
        <v>1454.5</v>
      </c>
      <c r="S30" s="1050">
        <v>1037</v>
      </c>
      <c r="T30" s="1051">
        <v>1561</v>
      </c>
    </row>
    <row r="31" spans="1:20" ht="22.5" customHeight="1">
      <c r="A31" s="734"/>
      <c r="B31" s="727"/>
      <c r="C31" s="1440"/>
      <c r="D31" s="1441"/>
      <c r="E31" s="1441"/>
      <c r="F31" s="1441"/>
      <c r="G31" s="1441"/>
      <c r="H31" s="1441"/>
      <c r="I31" s="1441"/>
      <c r="J31" s="1441"/>
      <c r="K31" s="1441"/>
      <c r="L31" s="1441"/>
      <c r="M31" s="1441"/>
      <c r="N31" s="1442"/>
      <c r="O31" s="1070"/>
      <c r="P31" s="1071"/>
      <c r="Q31" s="1072"/>
      <c r="R31" s="1073"/>
      <c r="S31" s="1074"/>
      <c r="T31" s="1075"/>
    </row>
    <row r="32" spans="1:20" ht="22.5" customHeight="1">
      <c r="A32" s="734">
        <f t="shared" si="3"/>
        <v>13283</v>
      </c>
      <c r="B32" s="753" t="s">
        <v>100</v>
      </c>
      <c r="C32" s="1416">
        <v>1971</v>
      </c>
      <c r="D32" s="1417">
        <v>2409</v>
      </c>
      <c r="E32" s="1417">
        <v>1399</v>
      </c>
      <c r="F32" s="1417">
        <v>2289</v>
      </c>
      <c r="G32" s="1417">
        <v>1715.5</v>
      </c>
      <c r="H32" s="1417">
        <v>1744</v>
      </c>
      <c r="I32" s="1417">
        <v>1856.5</v>
      </c>
      <c r="J32" s="1417">
        <v>426</v>
      </c>
      <c r="K32" s="1417">
        <v>2437</v>
      </c>
      <c r="L32" s="1417">
        <v>2332</v>
      </c>
      <c r="M32" s="1417">
        <v>1815.5</v>
      </c>
      <c r="N32" s="1418">
        <v>2517</v>
      </c>
      <c r="O32" s="1028">
        <v>3534</v>
      </c>
      <c r="P32" s="1049">
        <v>2763</v>
      </c>
      <c r="Q32" s="1049">
        <v>1767</v>
      </c>
      <c r="R32" s="1049">
        <v>1790.5</v>
      </c>
      <c r="S32" s="1049">
        <v>1259.5</v>
      </c>
      <c r="T32" s="1076">
        <v>2169</v>
      </c>
    </row>
    <row r="33" spans="1:20" ht="22.5" customHeight="1" thickBot="1">
      <c r="A33" s="754">
        <f>+A32/A20</f>
        <v>0.10793132307892321</v>
      </c>
      <c r="B33" s="755" t="s">
        <v>30</v>
      </c>
      <c r="C33" s="1431">
        <v>7.120921998627118E-2</v>
      </c>
      <c r="D33" s="1432">
        <v>9.562749340055178E-2</v>
      </c>
      <c r="E33" s="1432">
        <v>6.3146016700519073E-2</v>
      </c>
      <c r="F33" s="1432">
        <v>9.3272482783912633E-2</v>
      </c>
      <c r="G33" s="1432">
        <v>6.8659822697164349E-2</v>
      </c>
      <c r="H33" s="1432">
        <v>8.2628574135929694E-2</v>
      </c>
      <c r="I33" s="1432">
        <v>7.5029805807585837E-2</v>
      </c>
      <c r="J33" s="1432">
        <v>6.0683760683760683E-2</v>
      </c>
      <c r="K33" s="1432">
        <v>0.10512920063845391</v>
      </c>
      <c r="L33" s="1432">
        <v>8.9839160165655393E-2</v>
      </c>
      <c r="M33" s="1432">
        <v>7.9008638509911439E-2</v>
      </c>
      <c r="N33" s="1433">
        <v>0.1032975601748302</v>
      </c>
      <c r="O33" s="1043">
        <v>0.15463037913758779</v>
      </c>
      <c r="P33" s="1077">
        <v>0.13588079079374446</v>
      </c>
      <c r="Q33" s="1077">
        <v>9.9002689376961009E-2</v>
      </c>
      <c r="R33" s="1077">
        <v>8.1726270625556291E-2</v>
      </c>
      <c r="S33" s="1077">
        <v>6.9674171599269794E-2</v>
      </c>
      <c r="T33" s="1078">
        <v>9.83807320723908E-2</v>
      </c>
    </row>
    <row r="34" spans="1:20" ht="22.5" customHeight="1"/>
    <row r="35" spans="1:20" ht="22.5" customHeight="1" thickBot="1">
      <c r="A35" s="732"/>
      <c r="B35" s="1229" t="s">
        <v>230</v>
      </c>
      <c r="C35" s="1224"/>
      <c r="D35" s="1224"/>
      <c r="E35" s="1224"/>
      <c r="F35" s="1224"/>
      <c r="G35" s="1224"/>
      <c r="H35" s="150"/>
      <c r="I35" s="150"/>
      <c r="J35" s="150"/>
      <c r="K35" s="150"/>
      <c r="L35" s="150"/>
      <c r="M35" s="150"/>
      <c r="N35" s="150"/>
    </row>
    <row r="36" spans="1:20" ht="22.5" customHeight="1" thickBot="1">
      <c r="A36" s="734"/>
      <c r="B36" s="728"/>
      <c r="C36" s="728"/>
      <c r="D36" s="728"/>
      <c r="E36" s="728"/>
      <c r="F36" s="728"/>
      <c r="G36" s="728"/>
      <c r="H36" s="728"/>
      <c r="I36" s="728"/>
      <c r="J36" s="728"/>
      <c r="K36" s="728"/>
      <c r="L36" s="728"/>
      <c r="M36" s="728"/>
      <c r="N36" s="728"/>
      <c r="O36" s="728"/>
      <c r="P36" s="728"/>
      <c r="Q36" s="728"/>
      <c r="R36" s="728"/>
      <c r="S36" s="728"/>
      <c r="T36" s="728"/>
    </row>
    <row r="37" spans="1:20" ht="22.5" customHeight="1">
      <c r="A37" s="732"/>
      <c r="B37" s="731" t="s">
        <v>231</v>
      </c>
      <c r="C37" s="1410">
        <v>45688</v>
      </c>
      <c r="D37" s="1411">
        <v>45716</v>
      </c>
      <c r="E37" s="1411">
        <v>45747</v>
      </c>
      <c r="F37" s="1410">
        <v>45777</v>
      </c>
      <c r="G37" s="1411">
        <v>45808</v>
      </c>
      <c r="H37" s="1411">
        <v>45838</v>
      </c>
      <c r="I37" s="1410">
        <v>45869</v>
      </c>
      <c r="J37" s="1411">
        <v>45900</v>
      </c>
      <c r="K37" s="1411">
        <v>45930</v>
      </c>
      <c r="L37" s="1410">
        <v>45961</v>
      </c>
      <c r="M37" s="1411">
        <v>45991</v>
      </c>
      <c r="N37" s="1412">
        <v>46022</v>
      </c>
      <c r="O37" s="1022">
        <v>46053</v>
      </c>
      <c r="P37" s="1023">
        <v>46081</v>
      </c>
      <c r="Q37" s="1023">
        <v>46112</v>
      </c>
      <c r="R37" s="1022">
        <v>46142</v>
      </c>
      <c r="S37" s="1023">
        <v>46173</v>
      </c>
      <c r="T37" s="1024">
        <v>46203</v>
      </c>
    </row>
    <row r="38" spans="1:20" ht="22.5" customHeight="1">
      <c r="A38" s="734">
        <f>SUM(O38:Z38)</f>
        <v>150652.5</v>
      </c>
      <c r="B38" s="756" t="s">
        <v>242</v>
      </c>
      <c r="C38" s="1079">
        <v>31640</v>
      </c>
      <c r="D38" s="1080">
        <v>27545</v>
      </c>
      <c r="E38" s="1080">
        <v>22460</v>
      </c>
      <c r="F38" s="1080">
        <v>20550</v>
      </c>
      <c r="G38" s="1080">
        <v>24940.5</v>
      </c>
      <c r="H38" s="1080">
        <v>26254</v>
      </c>
      <c r="I38" s="1080">
        <v>29251.5</v>
      </c>
      <c r="J38" s="1080">
        <v>6538.5</v>
      </c>
      <c r="K38" s="1080">
        <v>27199</v>
      </c>
      <c r="L38" s="1080">
        <v>29367.5</v>
      </c>
      <c r="M38" s="1080">
        <v>25509.5</v>
      </c>
      <c r="N38" s="1081">
        <v>28336.5</v>
      </c>
      <c r="O38" s="1101">
        <v>24926</v>
      </c>
      <c r="P38" s="1102">
        <v>23688</v>
      </c>
      <c r="Q38" s="1102">
        <v>22906</v>
      </c>
      <c r="R38" s="1102">
        <v>26452.5</v>
      </c>
      <c r="S38" s="1102">
        <v>25268.5</v>
      </c>
      <c r="T38" s="1103">
        <v>27411.5</v>
      </c>
    </row>
    <row r="39" spans="1:20" ht="22.5" customHeight="1">
      <c r="A39" s="732">
        <f t="shared" ref="A39:A58" si="4">SUM(O39:Z39)</f>
        <v>142970</v>
      </c>
      <c r="B39" s="757" t="s">
        <v>233</v>
      </c>
      <c r="C39" s="1082">
        <v>30578</v>
      </c>
      <c r="D39" s="1083">
        <v>27764</v>
      </c>
      <c r="E39" s="1083">
        <v>19899</v>
      </c>
      <c r="F39" s="1083">
        <v>18771</v>
      </c>
      <c r="G39" s="1083">
        <v>23784</v>
      </c>
      <c r="H39" s="1083">
        <v>23249</v>
      </c>
      <c r="I39" s="1083">
        <v>28405.5</v>
      </c>
      <c r="J39" s="1083">
        <v>6313.5</v>
      </c>
      <c r="K39" s="1083">
        <v>26257.5</v>
      </c>
      <c r="L39" s="1083">
        <v>29561.5</v>
      </c>
      <c r="M39" s="1083">
        <v>25807.5</v>
      </c>
      <c r="N39" s="1084">
        <v>24668</v>
      </c>
      <c r="O39" s="1104">
        <v>23842</v>
      </c>
      <c r="P39" s="1105">
        <v>23490.5</v>
      </c>
      <c r="Q39" s="1105">
        <v>21026</v>
      </c>
      <c r="R39" s="1105">
        <v>26516</v>
      </c>
      <c r="S39" s="1105">
        <v>21892.5</v>
      </c>
      <c r="T39" s="1106">
        <v>26203</v>
      </c>
    </row>
    <row r="40" spans="1:20" ht="22.5" customHeight="1">
      <c r="A40" s="732">
        <f t="shared" si="4"/>
        <v>7024</v>
      </c>
      <c r="B40" s="759" t="s">
        <v>243</v>
      </c>
      <c r="C40" s="1085">
        <v>1275</v>
      </c>
      <c r="D40" s="760"/>
      <c r="E40" s="760">
        <v>2440</v>
      </c>
      <c r="F40" s="760">
        <v>1160</v>
      </c>
      <c r="G40" s="760">
        <v>1136</v>
      </c>
      <c r="H40" s="760">
        <v>3192</v>
      </c>
      <c r="I40" s="760">
        <v>1048</v>
      </c>
      <c r="J40" s="760"/>
      <c r="K40" s="760">
        <v>1088</v>
      </c>
      <c r="L40" s="760"/>
      <c r="M40" s="760"/>
      <c r="N40" s="1086">
        <v>1112</v>
      </c>
      <c r="O40" s="1107">
        <v>1104</v>
      </c>
      <c r="P40" s="761"/>
      <c r="Q40" s="761">
        <v>1968</v>
      </c>
      <c r="R40" s="761"/>
      <c r="S40" s="761">
        <v>2952</v>
      </c>
      <c r="T40" s="1108">
        <v>1000</v>
      </c>
    </row>
    <row r="41" spans="1:20" ht="22.5" customHeight="1">
      <c r="A41" s="732">
        <f t="shared" si="4"/>
        <v>119</v>
      </c>
      <c r="B41" s="757" t="s">
        <v>244</v>
      </c>
      <c r="C41" s="1087">
        <v>67</v>
      </c>
      <c r="D41" s="1088">
        <v>25.5</v>
      </c>
      <c r="E41" s="1088">
        <v>0</v>
      </c>
      <c r="F41" s="1088">
        <v>76.5</v>
      </c>
      <c r="G41" s="1088">
        <v>8.5</v>
      </c>
      <c r="H41" s="1088">
        <v>59.5</v>
      </c>
      <c r="I41" s="1088">
        <v>51</v>
      </c>
      <c r="J41" s="1088">
        <v>25.5</v>
      </c>
      <c r="K41" s="1088">
        <v>25.5</v>
      </c>
      <c r="L41" s="1088">
        <v>34</v>
      </c>
      <c r="M41" s="1088">
        <v>17</v>
      </c>
      <c r="N41" s="1089">
        <v>42.5</v>
      </c>
      <c r="O41" s="1109">
        <v>42.5</v>
      </c>
      <c r="P41" s="1110">
        <v>25.5</v>
      </c>
      <c r="Q41" s="1110">
        <v>0</v>
      </c>
      <c r="R41" s="1110">
        <v>25.5</v>
      </c>
      <c r="S41" s="1110">
        <v>0</v>
      </c>
      <c r="T41" s="1111">
        <v>25.5</v>
      </c>
    </row>
    <row r="42" spans="1:20" ht="22.5" customHeight="1">
      <c r="A42" s="732">
        <f t="shared" si="4"/>
        <v>0</v>
      </c>
      <c r="B42" s="757" t="s">
        <v>245</v>
      </c>
      <c r="C42" s="1082">
        <v>85</v>
      </c>
      <c r="D42" s="1083">
        <v>0</v>
      </c>
      <c r="E42" s="1083">
        <v>0</v>
      </c>
      <c r="F42" s="1083">
        <v>0</v>
      </c>
      <c r="G42" s="1083">
        <v>0</v>
      </c>
      <c r="H42" s="1083">
        <v>0</v>
      </c>
      <c r="I42" s="1083">
        <v>0</v>
      </c>
      <c r="J42" s="1083">
        <v>0</v>
      </c>
      <c r="K42" s="1083">
        <v>0</v>
      </c>
      <c r="L42" s="1083">
        <v>0</v>
      </c>
      <c r="M42" s="1083">
        <v>0</v>
      </c>
      <c r="N42" s="1084">
        <v>0</v>
      </c>
      <c r="O42" s="1104">
        <v>0</v>
      </c>
      <c r="P42" s="1105">
        <v>0</v>
      </c>
      <c r="Q42" s="1105">
        <v>0</v>
      </c>
      <c r="R42" s="1105">
        <v>0</v>
      </c>
      <c r="S42" s="1105">
        <v>0</v>
      </c>
      <c r="T42" s="1106">
        <v>0</v>
      </c>
    </row>
    <row r="43" spans="1:20" ht="22.5" customHeight="1">
      <c r="A43" s="732">
        <f t="shared" si="4"/>
        <v>459</v>
      </c>
      <c r="B43" s="757" t="s">
        <v>246</v>
      </c>
      <c r="C43" s="1082"/>
      <c r="D43" s="1083"/>
      <c r="E43" s="1083"/>
      <c r="F43" s="1083"/>
      <c r="G43" s="1083"/>
      <c r="H43" s="1083"/>
      <c r="I43" s="1083"/>
      <c r="J43" s="1083"/>
      <c r="K43" s="1083"/>
      <c r="L43" s="1083"/>
      <c r="M43" s="1083"/>
      <c r="N43" s="1084"/>
      <c r="O43" s="1104"/>
      <c r="P43" s="1105"/>
      <c r="Q43" s="1105">
        <v>72</v>
      </c>
      <c r="R43" s="1105"/>
      <c r="S43" s="1105">
        <v>387</v>
      </c>
      <c r="T43" s="1106"/>
    </row>
    <row r="44" spans="1:20" ht="22.5" customHeight="1">
      <c r="A44" s="732">
        <f t="shared" si="4"/>
        <v>68</v>
      </c>
      <c r="B44" s="757" t="s">
        <v>247</v>
      </c>
      <c r="C44" s="1082">
        <v>0</v>
      </c>
      <c r="D44" s="1083">
        <v>0</v>
      </c>
      <c r="E44" s="1083">
        <v>0</v>
      </c>
      <c r="F44" s="1083">
        <v>0</v>
      </c>
      <c r="G44" s="1083">
        <v>0</v>
      </c>
      <c r="H44" s="1083">
        <v>0</v>
      </c>
      <c r="I44" s="1083">
        <v>0</v>
      </c>
      <c r="J44" s="1083">
        <v>0</v>
      </c>
      <c r="K44" s="1083">
        <v>0</v>
      </c>
      <c r="L44" s="1083">
        <v>0</v>
      </c>
      <c r="M44" s="1083">
        <v>0</v>
      </c>
      <c r="N44" s="1084">
        <v>0</v>
      </c>
      <c r="O44" s="1104">
        <v>17</v>
      </c>
      <c r="P44" s="1105">
        <v>0</v>
      </c>
      <c r="Q44" s="1105">
        <v>0</v>
      </c>
      <c r="R44" s="1105">
        <v>34</v>
      </c>
      <c r="S44" s="1105">
        <v>0</v>
      </c>
      <c r="T44" s="1106">
        <v>17</v>
      </c>
    </row>
    <row r="45" spans="1:20" ht="22.5" customHeight="1">
      <c r="A45" s="732">
        <f t="shared" si="4"/>
        <v>345</v>
      </c>
      <c r="B45" s="757" t="s">
        <v>248</v>
      </c>
      <c r="C45" s="1082"/>
      <c r="D45" s="1083"/>
      <c r="E45" s="1083"/>
      <c r="F45" s="1083"/>
      <c r="G45" s="1083"/>
      <c r="H45" s="1083"/>
      <c r="I45" s="1083"/>
      <c r="J45" s="1083"/>
      <c r="K45" s="1083"/>
      <c r="L45" s="1083"/>
      <c r="M45" s="1083">
        <v>36</v>
      </c>
      <c r="N45" s="1084">
        <v>18</v>
      </c>
      <c r="O45" s="1104">
        <v>12</v>
      </c>
      <c r="P45" s="1105"/>
      <c r="Q45" s="1105"/>
      <c r="R45" s="1105"/>
      <c r="S45" s="1105">
        <v>134</v>
      </c>
      <c r="T45" s="1106">
        <v>199</v>
      </c>
    </row>
    <row r="46" spans="1:20" ht="22.5" customHeight="1">
      <c r="A46" s="732">
        <f t="shared" si="4"/>
        <v>219.5</v>
      </c>
      <c r="B46" s="757" t="s">
        <v>152</v>
      </c>
      <c r="C46" s="1087">
        <v>0</v>
      </c>
      <c r="D46" s="1088">
        <v>1.5</v>
      </c>
      <c r="E46" s="1088">
        <v>220.5</v>
      </c>
      <c r="F46" s="1088">
        <v>609.5</v>
      </c>
      <c r="G46" s="1088">
        <v>87.5</v>
      </c>
      <c r="H46" s="1088">
        <v>4.5</v>
      </c>
      <c r="I46" s="1088">
        <v>1</v>
      </c>
      <c r="J46" s="1088">
        <v>218.5</v>
      </c>
      <c r="K46" s="1088">
        <v>24.5</v>
      </c>
      <c r="L46" s="1088">
        <v>46.5</v>
      </c>
      <c r="M46" s="1088">
        <v>24</v>
      </c>
      <c r="N46" s="1089">
        <v>0</v>
      </c>
      <c r="O46" s="1109">
        <v>60.5</v>
      </c>
      <c r="P46" s="1110">
        <v>31</v>
      </c>
      <c r="Q46" s="1110">
        <v>0</v>
      </c>
      <c r="R46" s="1110">
        <v>0</v>
      </c>
      <c r="S46" s="1110">
        <v>3</v>
      </c>
      <c r="T46" s="1111">
        <v>125</v>
      </c>
    </row>
    <row r="47" spans="1:20" ht="22.5" customHeight="1">
      <c r="A47" s="763">
        <f t="shared" si="4"/>
        <v>22</v>
      </c>
      <c r="B47" s="764" t="s">
        <v>249</v>
      </c>
      <c r="C47" s="1087">
        <v>54</v>
      </c>
      <c r="D47" s="1088">
        <v>22</v>
      </c>
      <c r="E47" s="1088"/>
      <c r="F47" s="1088">
        <v>10</v>
      </c>
      <c r="G47" s="1088">
        <v>13</v>
      </c>
      <c r="H47" s="1088">
        <v>76</v>
      </c>
      <c r="I47" s="1088">
        <v>8</v>
      </c>
      <c r="J47" s="1088"/>
      <c r="K47" s="1088"/>
      <c r="L47" s="1088">
        <v>28</v>
      </c>
      <c r="M47" s="1088">
        <v>2</v>
      </c>
      <c r="N47" s="1089"/>
      <c r="O47" s="1109"/>
      <c r="P47" s="1110"/>
      <c r="Q47" s="1110"/>
      <c r="R47" s="1110"/>
      <c r="S47" s="1110"/>
      <c r="T47" s="1111">
        <v>22</v>
      </c>
    </row>
    <row r="48" spans="1:20" ht="22.5" customHeight="1">
      <c r="A48" s="763">
        <f t="shared" si="4"/>
        <v>1174</v>
      </c>
      <c r="B48" s="764" t="s">
        <v>153</v>
      </c>
      <c r="C48" s="1082">
        <v>7.5</v>
      </c>
      <c r="D48" s="1083">
        <v>24</v>
      </c>
      <c r="E48" s="1083">
        <v>0</v>
      </c>
      <c r="F48" s="1083">
        <v>28.5</v>
      </c>
      <c r="G48" s="1083">
        <v>38.5</v>
      </c>
      <c r="H48" s="1083">
        <v>0</v>
      </c>
      <c r="I48" s="1083">
        <v>0</v>
      </c>
      <c r="J48" s="1083">
        <v>206</v>
      </c>
      <c r="K48" s="1083">
        <v>129</v>
      </c>
      <c r="L48" s="1083">
        <v>179</v>
      </c>
      <c r="M48" s="1083">
        <v>75</v>
      </c>
      <c r="N48" s="1084">
        <v>0</v>
      </c>
      <c r="O48" s="1104">
        <v>7</v>
      </c>
      <c r="P48" s="1105">
        <v>40</v>
      </c>
      <c r="Q48" s="1105">
        <v>0</v>
      </c>
      <c r="R48" s="1105">
        <v>30</v>
      </c>
      <c r="S48" s="1105">
        <v>392</v>
      </c>
      <c r="T48" s="1106">
        <v>705</v>
      </c>
    </row>
    <row r="49" spans="1:20" ht="22.5" customHeight="1">
      <c r="A49" s="763">
        <f t="shared" si="4"/>
        <v>435.5</v>
      </c>
      <c r="B49" s="764" t="s">
        <v>154</v>
      </c>
      <c r="C49" s="1087">
        <v>64</v>
      </c>
      <c r="D49" s="1088">
        <v>5</v>
      </c>
      <c r="E49" s="1088">
        <v>5</v>
      </c>
      <c r="F49" s="1088">
        <v>10.5</v>
      </c>
      <c r="G49" s="1088"/>
      <c r="H49" s="1088">
        <v>245.5</v>
      </c>
      <c r="I49" s="1088">
        <v>48</v>
      </c>
      <c r="J49" s="1088">
        <v>57.5</v>
      </c>
      <c r="K49" s="1088">
        <v>71.5</v>
      </c>
      <c r="L49" s="1088">
        <v>5.5</v>
      </c>
      <c r="M49" s="1088">
        <v>11.5</v>
      </c>
      <c r="N49" s="1089">
        <v>36</v>
      </c>
      <c r="O49" s="1109">
        <v>44</v>
      </c>
      <c r="P49" s="1110"/>
      <c r="Q49" s="1110">
        <v>96</v>
      </c>
      <c r="R49" s="1110">
        <v>20</v>
      </c>
      <c r="S49" s="1110">
        <v>165.5</v>
      </c>
      <c r="T49" s="1111">
        <v>110</v>
      </c>
    </row>
    <row r="50" spans="1:20" ht="22.5" customHeight="1">
      <c r="A50" s="763">
        <f t="shared" si="4"/>
        <v>1012</v>
      </c>
      <c r="B50" s="764" t="s">
        <v>250</v>
      </c>
      <c r="C50" s="1082">
        <v>204</v>
      </c>
      <c r="D50" s="1083">
        <v>160</v>
      </c>
      <c r="E50" s="1083">
        <v>145</v>
      </c>
      <c r="F50" s="1083">
        <v>119</v>
      </c>
      <c r="G50" s="1083">
        <v>195</v>
      </c>
      <c r="H50" s="1083">
        <v>214</v>
      </c>
      <c r="I50" s="1083">
        <v>263</v>
      </c>
      <c r="J50" s="1083">
        <v>53</v>
      </c>
      <c r="K50" s="1083">
        <v>220</v>
      </c>
      <c r="L50" s="1083">
        <v>190</v>
      </c>
      <c r="M50" s="1083">
        <v>144</v>
      </c>
      <c r="N50" s="1084">
        <v>182</v>
      </c>
      <c r="O50" s="1104">
        <v>164</v>
      </c>
      <c r="P50" s="1105">
        <v>142</v>
      </c>
      <c r="Q50" s="1105">
        <v>124</v>
      </c>
      <c r="R50" s="1105">
        <v>160</v>
      </c>
      <c r="S50" s="1105">
        <v>162</v>
      </c>
      <c r="T50" s="1106">
        <v>260</v>
      </c>
    </row>
    <row r="51" spans="1:20" ht="22.5" customHeight="1">
      <c r="A51" s="732">
        <f t="shared" si="4"/>
        <v>0</v>
      </c>
      <c r="B51" s="757" t="s">
        <v>306</v>
      </c>
      <c r="C51" s="1082"/>
      <c r="D51" s="1083"/>
      <c r="E51" s="1083"/>
      <c r="F51" s="1083"/>
      <c r="G51" s="1083"/>
      <c r="H51" s="1083"/>
      <c r="I51" s="1083"/>
      <c r="J51" s="1083"/>
      <c r="K51" s="1083"/>
      <c r="L51" s="1083"/>
      <c r="M51" s="1083"/>
      <c r="N51" s="1084">
        <v>2677.5</v>
      </c>
      <c r="O51" s="1104"/>
      <c r="P51" s="1105"/>
      <c r="Q51" s="1105"/>
      <c r="R51" s="1105"/>
      <c r="S51" s="1105"/>
      <c r="T51" s="1106"/>
    </row>
    <row r="52" spans="1:20" ht="22.5" customHeight="1">
      <c r="A52" s="732">
        <f t="shared" si="4"/>
        <v>368.5</v>
      </c>
      <c r="B52" s="757" t="s">
        <v>255</v>
      </c>
      <c r="C52" s="1082">
        <v>-67</v>
      </c>
      <c r="D52" s="1083"/>
      <c r="E52" s="1083">
        <v>97</v>
      </c>
      <c r="F52" s="1083">
        <v>96</v>
      </c>
      <c r="G52" s="1083">
        <v>52</v>
      </c>
      <c r="H52" s="1083">
        <v>3</v>
      </c>
      <c r="I52" s="1083">
        <v>15</v>
      </c>
      <c r="J52" s="1083">
        <v>16</v>
      </c>
      <c r="K52" s="1083">
        <v>6.5</v>
      </c>
      <c r="L52" s="1083">
        <v>4</v>
      </c>
      <c r="M52" s="1083">
        <v>-134</v>
      </c>
      <c r="N52" s="1084">
        <v>8</v>
      </c>
      <c r="O52" s="1104">
        <v>49</v>
      </c>
      <c r="P52" s="1105">
        <v>234</v>
      </c>
      <c r="Q52" s="1105">
        <v>20</v>
      </c>
      <c r="R52" s="1105">
        <v>12.5</v>
      </c>
      <c r="S52" s="1105">
        <v>21</v>
      </c>
      <c r="T52" s="1106">
        <v>32</v>
      </c>
    </row>
    <row r="53" spans="1:20" ht="22.5" customHeight="1">
      <c r="A53" s="765">
        <f t="shared" si="4"/>
        <v>-277</v>
      </c>
      <c r="B53" s="766" t="s">
        <v>251</v>
      </c>
      <c r="C53" s="1090">
        <v>-41</v>
      </c>
      <c r="D53" s="1091">
        <v>-83</v>
      </c>
      <c r="E53" s="1091">
        <v>-42</v>
      </c>
      <c r="F53" s="1091">
        <v>-30</v>
      </c>
      <c r="G53" s="1091">
        <v>-32</v>
      </c>
      <c r="H53" s="1091">
        <v>-41</v>
      </c>
      <c r="I53" s="1091">
        <v>-62</v>
      </c>
      <c r="J53" s="1091">
        <v>-6</v>
      </c>
      <c r="K53" s="1091">
        <v>-78</v>
      </c>
      <c r="L53" s="1091">
        <v>-53</v>
      </c>
      <c r="M53" s="1091">
        <v>-81</v>
      </c>
      <c r="N53" s="1092">
        <v>-43</v>
      </c>
      <c r="O53" s="1090">
        <v>-46</v>
      </c>
      <c r="P53" s="1091">
        <v>-44</v>
      </c>
      <c r="Q53" s="1091">
        <v>-58</v>
      </c>
      <c r="R53" s="1091">
        <v>-36</v>
      </c>
      <c r="S53" s="1091">
        <v>-37</v>
      </c>
      <c r="T53" s="1092">
        <v>-56</v>
      </c>
    </row>
    <row r="54" spans="1:20" ht="22.5" customHeight="1">
      <c r="A54" s="765">
        <f t="shared" si="4"/>
        <v>-296</v>
      </c>
      <c r="B54" s="766" t="s">
        <v>252</v>
      </c>
      <c r="C54" s="1090">
        <v>-68</v>
      </c>
      <c r="D54" s="1091">
        <v>-60</v>
      </c>
      <c r="E54" s="1091">
        <v>-48</v>
      </c>
      <c r="F54" s="1091">
        <v>-28</v>
      </c>
      <c r="G54" s="1091">
        <v>-44</v>
      </c>
      <c r="H54" s="1091">
        <v>-68</v>
      </c>
      <c r="I54" s="1091">
        <v>-88</v>
      </c>
      <c r="J54" s="1091">
        <v>-20</v>
      </c>
      <c r="K54" s="1091">
        <v>-52</v>
      </c>
      <c r="L54" s="1091">
        <v>-96</v>
      </c>
      <c r="M54" s="1091">
        <v>-80</v>
      </c>
      <c r="N54" s="1092">
        <v>-60</v>
      </c>
      <c r="O54" s="1090">
        <v>-52</v>
      </c>
      <c r="P54" s="1091">
        <v>-16</v>
      </c>
      <c r="Q54" s="1091">
        <v>-64</v>
      </c>
      <c r="R54" s="1091">
        <v>-48</v>
      </c>
      <c r="S54" s="1091">
        <v>-60</v>
      </c>
      <c r="T54" s="1092">
        <v>-56</v>
      </c>
    </row>
    <row r="55" spans="1:20" ht="22.5" customHeight="1">
      <c r="A55" s="765">
        <f t="shared" si="4"/>
        <v>-148</v>
      </c>
      <c r="B55" s="766" t="s">
        <v>253</v>
      </c>
      <c r="C55" s="1090">
        <v>-57</v>
      </c>
      <c r="D55" s="1091">
        <v>-39</v>
      </c>
      <c r="E55" s="1091">
        <v>-43.5</v>
      </c>
      <c r="F55" s="1091">
        <v>-30</v>
      </c>
      <c r="G55" s="1091">
        <v>-25.5</v>
      </c>
      <c r="H55" s="1091">
        <v>-39</v>
      </c>
      <c r="I55" s="1091">
        <v>-50</v>
      </c>
      <c r="J55" s="1091">
        <v>-7</v>
      </c>
      <c r="K55" s="1091">
        <v>-33</v>
      </c>
      <c r="L55" s="1091">
        <v>-18.5</v>
      </c>
      <c r="M55" s="1091">
        <v>-29</v>
      </c>
      <c r="N55" s="1092">
        <v>-41.5</v>
      </c>
      <c r="O55" s="1090">
        <v>-21.5</v>
      </c>
      <c r="P55" s="1091">
        <v>-24</v>
      </c>
      <c r="Q55" s="1091">
        <v>-25</v>
      </c>
      <c r="R55" s="1091">
        <v>-35.5</v>
      </c>
      <c r="S55" s="1091">
        <v>-16</v>
      </c>
      <c r="T55" s="1092">
        <v>-26</v>
      </c>
    </row>
    <row r="56" spans="1:20" ht="22.5" customHeight="1" thickBot="1">
      <c r="A56" s="765">
        <f t="shared" si="4"/>
        <v>-177.5</v>
      </c>
      <c r="B56" s="766" t="s">
        <v>254</v>
      </c>
      <c r="C56" s="1090">
        <v>-78</v>
      </c>
      <c r="D56" s="1091">
        <v>-42</v>
      </c>
      <c r="E56" s="1091">
        <v>-63</v>
      </c>
      <c r="F56" s="1091">
        <v>-65</v>
      </c>
      <c r="G56" s="1091">
        <v>-13</v>
      </c>
      <c r="H56" s="1091">
        <v>-30</v>
      </c>
      <c r="I56" s="1091">
        <v>-61</v>
      </c>
      <c r="J56" s="1091">
        <v>-2</v>
      </c>
      <c r="K56" s="1091">
        <v>-40</v>
      </c>
      <c r="L56" s="1091">
        <v>-83</v>
      </c>
      <c r="M56" s="1091">
        <v>-49</v>
      </c>
      <c r="N56" s="1092">
        <v>-45</v>
      </c>
      <c r="O56" s="1090">
        <v>-81.5</v>
      </c>
      <c r="P56" s="1091">
        <v>-9</v>
      </c>
      <c r="Q56" s="1091">
        <v>-33</v>
      </c>
      <c r="R56" s="1091">
        <v>-16</v>
      </c>
      <c r="S56" s="1091">
        <v>-8</v>
      </c>
      <c r="T56" s="1092">
        <v>-30</v>
      </c>
    </row>
    <row r="57" spans="1:20" ht="22.5" customHeight="1">
      <c r="A57" s="734">
        <f t="shared" si="4"/>
        <v>153296</v>
      </c>
      <c r="B57" s="767" t="s">
        <v>256</v>
      </c>
      <c r="C57" s="1093">
        <v>31969.5</v>
      </c>
      <c r="D57" s="768">
        <v>27756</v>
      </c>
      <c r="E57" s="768">
        <v>22610</v>
      </c>
      <c r="F57" s="768">
        <v>20718</v>
      </c>
      <c r="G57" s="768">
        <v>25187</v>
      </c>
      <c r="H57" s="768">
        <v>26789.5</v>
      </c>
      <c r="I57" s="768">
        <v>29570.5</v>
      </c>
      <c r="J57" s="768">
        <v>6855</v>
      </c>
      <c r="K57" s="768">
        <v>27619.5</v>
      </c>
      <c r="L57" s="768">
        <v>29770</v>
      </c>
      <c r="M57" s="768">
        <v>25742</v>
      </c>
      <c r="N57" s="1094">
        <v>28554.5</v>
      </c>
      <c r="O57" s="1112">
        <v>25141</v>
      </c>
      <c r="P57" s="769">
        <v>23870</v>
      </c>
      <c r="Q57" s="769">
        <v>23126</v>
      </c>
      <c r="R57" s="769">
        <v>26662.5</v>
      </c>
      <c r="S57" s="769">
        <v>25988</v>
      </c>
      <c r="T57" s="1113">
        <v>28508.5</v>
      </c>
    </row>
    <row r="58" spans="1:20" ht="22.5" customHeight="1">
      <c r="A58" s="732">
        <f t="shared" si="4"/>
        <v>8497</v>
      </c>
      <c r="B58" s="770" t="s">
        <v>257</v>
      </c>
      <c r="C58" s="1082">
        <v>1320</v>
      </c>
      <c r="D58" s="1083">
        <v>-38.5</v>
      </c>
      <c r="E58" s="1083">
        <v>2485.5</v>
      </c>
      <c r="F58" s="1083">
        <v>1298.5</v>
      </c>
      <c r="G58" s="1083">
        <v>1277</v>
      </c>
      <c r="H58" s="1083">
        <v>3290.5</v>
      </c>
      <c r="I58" s="1083">
        <v>1116</v>
      </c>
      <c r="J58" s="1083">
        <v>59.5</v>
      </c>
      <c r="K58" s="1083">
        <v>1137</v>
      </c>
      <c r="L58" s="1083">
        <v>-22.5</v>
      </c>
      <c r="M58" s="1083">
        <v>-176</v>
      </c>
      <c r="N58" s="1084">
        <v>3850.5</v>
      </c>
      <c r="O58" s="1104">
        <v>1187.5</v>
      </c>
      <c r="P58" s="1105">
        <v>308.5</v>
      </c>
      <c r="Q58" s="1105">
        <v>2004</v>
      </c>
      <c r="R58" s="1105">
        <v>96.5</v>
      </c>
      <c r="S58" s="1105">
        <v>3535</v>
      </c>
      <c r="T58" s="1106">
        <v>1365.5</v>
      </c>
    </row>
    <row r="59" spans="1:20" ht="22.5" customHeight="1">
      <c r="A59" s="771">
        <f>+A58/A39</f>
        <v>5.9432048681541581E-2</v>
      </c>
      <c r="B59" s="770" t="s">
        <v>258</v>
      </c>
      <c r="C59" s="1095">
        <v>1.0455065733533913</v>
      </c>
      <c r="D59" s="1096">
        <v>0.99971185708111221</v>
      </c>
      <c r="E59" s="1096">
        <v>1.1362380019096436</v>
      </c>
      <c r="F59" s="1096">
        <v>1.1037238293111715</v>
      </c>
      <c r="G59" s="1096">
        <v>1.0589892364614868</v>
      </c>
      <c r="H59" s="1096">
        <v>1.1522861198331111</v>
      </c>
      <c r="I59" s="1096">
        <v>1.041013184066466</v>
      </c>
      <c r="J59" s="1096">
        <v>1.0857685911142789</v>
      </c>
      <c r="K59" s="1096">
        <v>1.051870894030277</v>
      </c>
      <c r="L59" s="1096">
        <v>1.0070530927050387</v>
      </c>
      <c r="M59" s="1096">
        <v>0.99746197810713944</v>
      </c>
      <c r="N59" s="1097">
        <v>1.1575522944705692</v>
      </c>
      <c r="O59" s="1114">
        <v>1.0544836842546765</v>
      </c>
      <c r="P59" s="1115">
        <v>1.0161554671037227</v>
      </c>
      <c r="Q59" s="1115">
        <v>1.0998763435746219</v>
      </c>
      <c r="R59" s="1115">
        <v>1.0055249660582291</v>
      </c>
      <c r="S59" s="1115">
        <v>1.18707319858399</v>
      </c>
      <c r="T59" s="1116">
        <v>1.0879861084608633</v>
      </c>
    </row>
    <row r="60" spans="1:20" ht="22.5" customHeight="1">
      <c r="A60" s="150"/>
      <c r="B60" s="770"/>
      <c r="C60" s="1087"/>
      <c r="D60" s="1088"/>
      <c r="E60" s="1088"/>
      <c r="F60" s="1088"/>
      <c r="G60" s="1088"/>
      <c r="H60" s="1088"/>
      <c r="I60" s="1088"/>
      <c r="J60" s="1088"/>
      <c r="K60" s="1088"/>
      <c r="L60" s="1088"/>
      <c r="M60" s="1088"/>
      <c r="N60" s="1089"/>
      <c r="O60" s="1109"/>
      <c r="P60" s="1110"/>
      <c r="Q60" s="1110"/>
      <c r="R60" s="1110"/>
      <c r="S60" s="1110"/>
      <c r="T60" s="1111"/>
    </row>
    <row r="61" spans="1:20" ht="22.5" customHeight="1" thickBot="1">
      <c r="A61" s="758">
        <f>SUM(A39:A56,-A47)-A57</f>
        <v>0</v>
      </c>
      <c r="B61" s="770" t="s">
        <v>259</v>
      </c>
      <c r="C61" s="1098">
        <v>0</v>
      </c>
      <c r="D61" s="1099">
        <v>0</v>
      </c>
      <c r="E61" s="1099">
        <v>0</v>
      </c>
      <c r="F61" s="1099">
        <v>0</v>
      </c>
      <c r="G61" s="1099">
        <v>0</v>
      </c>
      <c r="H61" s="1099">
        <v>0</v>
      </c>
      <c r="I61" s="1099">
        <v>0</v>
      </c>
      <c r="J61" s="1099">
        <v>0</v>
      </c>
      <c r="K61" s="1099">
        <v>0</v>
      </c>
      <c r="L61" s="1099">
        <v>0</v>
      </c>
      <c r="M61" s="1099">
        <v>0</v>
      </c>
      <c r="N61" s="1100">
        <v>0</v>
      </c>
      <c r="O61" s="1117">
        <v>0</v>
      </c>
      <c r="P61" s="1118">
        <f t="shared" ref="P61:R61" si="5">SUM(P39:P56,-P47)-P57</f>
        <v>0</v>
      </c>
      <c r="Q61" s="1118">
        <f t="shared" si="5"/>
        <v>0</v>
      </c>
      <c r="R61" s="1118">
        <f t="shared" si="5"/>
        <v>0</v>
      </c>
      <c r="S61" s="1118">
        <v>0</v>
      </c>
      <c r="T61" s="1119">
        <v>0</v>
      </c>
    </row>
    <row r="62" spans="1:20" ht="22.5" customHeight="1"/>
    <row r="63" spans="1:20" ht="22.5" customHeight="1"/>
    <row r="64" spans="1:20"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FD724-3790-45B0-9BC6-A28BA873C7FC}">
  <sheetPr>
    <tabColor theme="8" tint="0.59999389629810485"/>
  </sheetPr>
  <dimension ref="A1:AI83"/>
  <sheetViews>
    <sheetView showGridLines="0" topLeftCell="A49" zoomScale="80" zoomScaleNormal="80" workbookViewId="0">
      <selection activeCell="S21" sqref="S21"/>
    </sheetView>
  </sheetViews>
  <sheetFormatPr baseColWidth="10" defaultColWidth="8.85546875" defaultRowHeight="14.25" outlineLevelRow="2"/>
  <cols>
    <col min="1" max="1" width="11.42578125" style="939" customWidth="1"/>
    <col min="2" max="2" width="8.7109375" style="939" bestFit="1" customWidth="1"/>
    <col min="3" max="3" width="9.42578125" style="939" bestFit="1" customWidth="1"/>
    <col min="4" max="4" width="8.85546875" style="939" bestFit="1" customWidth="1"/>
    <col min="5" max="5" width="12" style="939" customWidth="1"/>
    <col min="6" max="6" width="11.42578125" style="939" customWidth="1"/>
    <col min="7" max="7" width="9.5703125" style="939" bestFit="1" customWidth="1"/>
    <col min="8" max="8" width="8.140625" style="939" bestFit="1" customWidth="1"/>
    <col min="9" max="9" width="8.5703125" style="939" bestFit="1" customWidth="1"/>
    <col min="10" max="10" width="8.42578125" style="939" bestFit="1" customWidth="1"/>
    <col min="11" max="11" width="9.85546875" style="939" bestFit="1" customWidth="1"/>
    <col min="12" max="12" width="8.7109375" style="939" bestFit="1" customWidth="1"/>
    <col min="13" max="13" width="9.5703125" style="939" bestFit="1" customWidth="1"/>
    <col min="14" max="14" width="8" style="939" bestFit="1" customWidth="1"/>
    <col min="15" max="15" width="8.5703125" style="939" bestFit="1" customWidth="1"/>
    <col min="16" max="16" width="7.5703125" style="939" bestFit="1" customWidth="1"/>
    <col min="17" max="17" width="8.42578125" style="939" bestFit="1" customWidth="1"/>
    <col min="18" max="18" width="8.85546875" style="939" bestFit="1" customWidth="1"/>
    <col min="19" max="19" width="3.5703125" style="939" customWidth="1"/>
    <col min="20" max="20" width="6.5703125" style="939" bestFit="1" customWidth="1"/>
    <col min="21" max="21" width="11.28515625" style="939" bestFit="1" customWidth="1"/>
    <col min="22" max="22" width="4.85546875" style="939" customWidth="1"/>
    <col min="23" max="23" width="16.85546875" style="939" bestFit="1" customWidth="1"/>
    <col min="24" max="24" width="10.85546875" style="939" bestFit="1" customWidth="1"/>
    <col min="25" max="25" width="17.140625" style="939" customWidth="1"/>
    <col min="26" max="26" width="7.140625" style="939" customWidth="1"/>
    <col min="27" max="27" width="18.85546875" style="939" bestFit="1" customWidth="1"/>
    <col min="28" max="28" width="11" style="939" customWidth="1"/>
    <col min="29" max="29" width="9.85546875" style="939" customWidth="1"/>
    <col min="30" max="30" width="16.7109375" style="939" customWidth="1"/>
    <col min="31" max="31" width="9.140625" style="939" bestFit="1" customWidth="1"/>
    <col min="32" max="32" width="5.140625" style="939" customWidth="1"/>
    <col min="33" max="33" width="10.140625" style="939" bestFit="1" customWidth="1"/>
    <col min="34" max="34" width="2.5703125" style="939" customWidth="1"/>
    <col min="35" max="35" width="20.28515625" style="939" bestFit="1" customWidth="1"/>
    <col min="36" max="36" width="8.85546875" style="939"/>
    <col min="37" max="37" width="9.5703125" style="939" bestFit="1" customWidth="1"/>
    <col min="38" max="38" width="11.28515625" style="939" bestFit="1" customWidth="1"/>
    <col min="39" max="39" width="8.28515625" style="939" bestFit="1" customWidth="1"/>
    <col min="40" max="16384" width="8.85546875" style="939"/>
  </cols>
  <sheetData>
    <row r="1" spans="1:35" ht="26.25" customHeight="1">
      <c r="A1" s="1766" t="s">
        <v>20</v>
      </c>
      <c r="B1" s="1766"/>
      <c r="C1" s="1766"/>
      <c r="D1" s="1766"/>
      <c r="E1" s="1766"/>
      <c r="F1" s="1766"/>
      <c r="G1" s="1766"/>
      <c r="H1" s="1766"/>
      <c r="I1" s="1766"/>
      <c r="J1" s="1766"/>
      <c r="K1" s="1766"/>
      <c r="L1" s="1766"/>
      <c r="M1" s="1766"/>
      <c r="N1" s="1766"/>
      <c r="O1" s="1766"/>
      <c r="P1" s="1766"/>
      <c r="Q1" s="1766"/>
      <c r="R1" s="1766"/>
    </row>
    <row r="2" spans="1:35" ht="15" outlineLevel="1">
      <c r="A2" s="1765" t="s">
        <v>473</v>
      </c>
      <c r="B2" s="1765"/>
      <c r="C2" s="1765"/>
      <c r="D2" s="1765"/>
      <c r="E2" s="1765"/>
      <c r="F2" s="1765"/>
      <c r="G2" s="1765"/>
      <c r="H2" s="1765"/>
      <c r="I2" s="940"/>
    </row>
    <row r="3" spans="1:35" outlineLevel="2">
      <c r="A3" s="1764" t="s">
        <v>402</v>
      </c>
      <c r="B3" s="1764"/>
      <c r="C3" s="1764"/>
      <c r="D3" s="1764"/>
      <c r="E3" s="1764"/>
      <c r="F3" s="1764"/>
      <c r="G3" s="1764"/>
      <c r="H3" s="1764"/>
      <c r="I3" s="941"/>
    </row>
    <row r="4" spans="1:35" outlineLevel="2">
      <c r="A4" s="1001"/>
      <c r="B4" s="1001"/>
      <c r="C4" s="1001"/>
      <c r="D4" s="1001"/>
      <c r="E4" s="1001"/>
      <c r="F4" s="1001"/>
      <c r="G4" s="1001"/>
      <c r="H4" s="1001"/>
      <c r="I4" s="941"/>
    </row>
    <row r="5" spans="1:35" ht="15" outlineLevel="2">
      <c r="A5" s="67"/>
      <c r="B5" s="1770" t="s">
        <v>476</v>
      </c>
      <c r="C5" s="1770"/>
      <c r="D5" s="1770"/>
      <c r="E5" s="1770"/>
      <c r="F5" s="1770"/>
      <c r="G5" s="67"/>
      <c r="H5" s="67"/>
      <c r="I5" s="67"/>
      <c r="J5" s="1772" t="s">
        <v>369</v>
      </c>
      <c r="K5" s="1772"/>
      <c r="L5" s="1772"/>
      <c r="M5" s="1772"/>
      <c r="N5" s="1772"/>
      <c r="O5" s="1772"/>
      <c r="W5" s="942"/>
      <c r="X5" s="943"/>
      <c r="AC5" s="942"/>
      <c r="AD5" s="942"/>
      <c r="AE5" s="942"/>
    </row>
    <row r="6" spans="1:35" ht="45" outlineLevel="2">
      <c r="A6" s="772" t="s">
        <v>0</v>
      </c>
      <c r="B6" s="773" t="s">
        <v>72</v>
      </c>
      <c r="C6" s="774" t="s">
        <v>298</v>
      </c>
      <c r="D6" s="775" t="s">
        <v>73</v>
      </c>
      <c r="E6" s="774" t="s">
        <v>269</v>
      </c>
      <c r="F6" s="776" t="s">
        <v>276</v>
      </c>
      <c r="G6" s="777" t="s">
        <v>12</v>
      </c>
      <c r="H6" s="774" t="s">
        <v>10</v>
      </c>
      <c r="I6" s="67"/>
      <c r="J6" s="773" t="s">
        <v>72</v>
      </c>
      <c r="K6" s="774" t="s">
        <v>298</v>
      </c>
      <c r="L6" s="775" t="s">
        <v>73</v>
      </c>
      <c r="M6" s="774" t="s">
        <v>269</v>
      </c>
      <c r="N6" s="776" t="s">
        <v>276</v>
      </c>
      <c r="O6" s="778" t="s">
        <v>303</v>
      </c>
      <c r="P6" s="774" t="s">
        <v>296</v>
      </c>
      <c r="Q6" s="777" t="s">
        <v>12</v>
      </c>
      <c r="R6" s="774" t="s">
        <v>268</v>
      </c>
      <c r="T6" s="776" t="s">
        <v>335</v>
      </c>
      <c r="U6" s="779" t="s">
        <v>71</v>
      </c>
      <c r="V6" s="779"/>
      <c r="W6" s="774" t="s">
        <v>282</v>
      </c>
      <c r="X6" s="774" t="s">
        <v>270</v>
      </c>
      <c r="Y6" s="774" t="s">
        <v>272</v>
      </c>
      <c r="Z6" s="774" t="s">
        <v>353</v>
      </c>
      <c r="AA6" s="774" t="s">
        <v>301</v>
      </c>
      <c r="AB6" s="774" t="s">
        <v>273</v>
      </c>
      <c r="AC6" s="780" t="s">
        <v>271</v>
      </c>
      <c r="AD6" s="780" t="s">
        <v>299</v>
      </c>
      <c r="AE6" s="780" t="s">
        <v>275</v>
      </c>
      <c r="AG6" s="618" t="s">
        <v>317</v>
      </c>
      <c r="AI6" s="774" t="s">
        <v>297</v>
      </c>
    </row>
    <row r="7" spans="1:35" ht="18" customHeight="1" outlineLevel="2">
      <c r="A7" s="944" t="s">
        <v>2</v>
      </c>
      <c r="B7" s="163">
        <v>1500</v>
      </c>
      <c r="C7" s="945">
        <v>1677</v>
      </c>
      <c r="D7" s="946">
        <f>IFERROR(C7/B7,"")</f>
        <v>1.1180000000000001</v>
      </c>
      <c r="E7" s="945">
        <v>192</v>
      </c>
      <c r="F7" s="947">
        <f>IFERROR(E7/C7,"")</f>
        <v>0.11449016100178891</v>
      </c>
      <c r="G7" s="948">
        <v>3.5000000000000003E-2</v>
      </c>
      <c r="H7" s="949">
        <f>IFERROR(F7-G7,"")</f>
        <v>7.9490161001788906E-2</v>
      </c>
      <c r="I7" s="67"/>
      <c r="J7" s="163">
        <v>15299</v>
      </c>
      <c r="K7" s="945">
        <v>15783</v>
      </c>
      <c r="L7" s="946">
        <f>+K7/J7</f>
        <v>1.0316360546440944</v>
      </c>
      <c r="M7" s="945">
        <v>1253</v>
      </c>
      <c r="N7" s="947">
        <f>+M7/K7</f>
        <v>7.9389216245327257E-2</v>
      </c>
      <c r="O7" s="947">
        <f>1-N7</f>
        <v>0.92061078375467276</v>
      </c>
      <c r="P7" s="950">
        <f t="shared" ref="P7:P10" si="0">(1-N7)/L7</f>
        <v>0.89237941967070511</v>
      </c>
      <c r="Q7" s="948">
        <v>3.5000000000000003E-2</v>
      </c>
      <c r="R7" s="90">
        <f>IFERROR((N7/Q7)-1,0)</f>
        <v>1.2682633212950645</v>
      </c>
      <c r="S7" s="950"/>
      <c r="T7" s="951">
        <v>5.40502030444798E-2</v>
      </c>
      <c r="U7" s="4">
        <f>IFERROR((N7/T7)-1,0)</f>
        <v>0.46880514361796388</v>
      </c>
      <c r="V7" s="133"/>
      <c r="W7" s="952">
        <v>6</v>
      </c>
      <c r="X7" s="945">
        <v>1379</v>
      </c>
      <c r="Y7" s="953">
        <f>+X7/K7</f>
        <v>8.7372489387315469E-2</v>
      </c>
      <c r="Z7" s="954">
        <f>+X7/M7</f>
        <v>1.1005586592178771</v>
      </c>
      <c r="AA7" s="955">
        <f>1-Y7</f>
        <v>0.91262751061268454</v>
      </c>
      <c r="AB7" s="953">
        <f>+X7/(K7*W7)</f>
        <v>1.4562081564552578E-2</v>
      </c>
      <c r="AC7" s="956">
        <f t="shared" ref="AC7:AC8" si="1">+(X7/(K7*W7))*10^6</f>
        <v>14562.081564552578</v>
      </c>
      <c r="AD7" s="957">
        <f>IF(K7=0,"",(IF((AC7/1000000)&gt;0.933199,0,IF((AC7/1000000)&gt;0.5,1.5-ABS(NORMSINV(AC7/1000000)),ABS(NORMSINV(AC7/1000000))+1.5))))</f>
        <v>3.6818018075171581</v>
      </c>
      <c r="AE7" s="956">
        <f>+(M7/K7)*10^6</f>
        <v>79389.216245327261</v>
      </c>
      <c r="AG7" s="617" t="str">
        <f>IF(AC7="","",IF(AC7&gt;20000,"BRONZE",IF(AC7&lt;=6000,"PLATINUM",IF(AC7&gt;15000,"SILVER","GOLD"))))</f>
        <v>GOLD</v>
      </c>
      <c r="AH7" s="958"/>
      <c r="AI7" s="958"/>
    </row>
    <row r="8" spans="1:35" ht="18" customHeight="1" outlineLevel="2">
      <c r="A8" s="944" t="s">
        <v>3</v>
      </c>
      <c r="B8" s="163">
        <v>1510</v>
      </c>
      <c r="C8" s="945">
        <v>1480</v>
      </c>
      <c r="D8" s="946">
        <f t="shared" ref="D8:D10" si="2">IFERROR(C8/B8,"")</f>
        <v>0.98013245033112584</v>
      </c>
      <c r="E8" s="945">
        <v>151</v>
      </c>
      <c r="F8" s="947">
        <f t="shared" ref="F8:F10" si="3">IFERROR(E8/C8,"")</f>
        <v>0.10202702702702703</v>
      </c>
      <c r="G8" s="948">
        <v>7.4999999999999997E-2</v>
      </c>
      <c r="H8" s="959">
        <f t="shared" ref="H8:H10" si="4">IFERROR(F8-G8,"")</f>
        <v>2.7027027027027029E-2</v>
      </c>
      <c r="I8" s="67"/>
      <c r="J8" s="163">
        <v>7929</v>
      </c>
      <c r="K8" s="945">
        <v>7919</v>
      </c>
      <c r="L8" s="946">
        <f t="shared" ref="L8:L10" si="5">+K8/J8</f>
        <v>0.9987388069113381</v>
      </c>
      <c r="M8" s="945">
        <v>811</v>
      </c>
      <c r="N8" s="947">
        <f>+M8/K8</f>
        <v>0.10241192069705771</v>
      </c>
      <c r="O8" s="947">
        <f t="shared" ref="O8:O10" si="6">1-N8</f>
        <v>0.89758807930294227</v>
      </c>
      <c r="P8" s="960">
        <f t="shared" si="0"/>
        <v>0.89872154069870303</v>
      </c>
      <c r="Q8" s="948">
        <v>7.4999999999999997E-2</v>
      </c>
      <c r="R8" s="959">
        <f>IFERROR((N8/Q8)-1,0)</f>
        <v>0.3654922759607695</v>
      </c>
      <c r="S8" s="950"/>
      <c r="T8" s="951">
        <v>6.1077389984825495E-2</v>
      </c>
      <c r="U8" s="133">
        <f>IFERROR((N8/T8)-1,0)</f>
        <v>0.67675666433195092</v>
      </c>
      <c r="V8" s="133"/>
      <c r="W8" s="952">
        <v>6</v>
      </c>
      <c r="X8" s="945">
        <v>985</v>
      </c>
      <c r="Y8" s="953">
        <f>+X8/K8</f>
        <v>0.12438439196868291</v>
      </c>
      <c r="Z8" s="954">
        <f t="shared" ref="Z8:Z10" si="7">+X8/M8</f>
        <v>1.214549938347719</v>
      </c>
      <c r="AA8" s="955">
        <f t="shared" ref="AA8:AA10" si="8">1-Y8</f>
        <v>0.87561560803131711</v>
      </c>
      <c r="AB8" s="953">
        <f>+X8/(K8*W8)</f>
        <v>2.0730731994780486E-2</v>
      </c>
      <c r="AC8" s="956">
        <f t="shared" si="1"/>
        <v>20730.731994780486</v>
      </c>
      <c r="AD8" s="957">
        <f>IF(K8=0,"",(IF((AC8/1000000)&gt;0.933199,0,IF((AC8/1000000)&gt;0.5,1.5-ABS(NORMSINV(AC8/1000000)),ABS(NORMSINV(AC8/1000000))+1.5))))</f>
        <v>3.5388854238631122</v>
      </c>
      <c r="AE8" s="956">
        <f>+(M8/K8)*10^6</f>
        <v>102411.92069705771</v>
      </c>
      <c r="AG8" s="617" t="str">
        <f t="shared" ref="AG8:AG10" si="9">IF(AC8="","",IF(AC8&gt;20000,"BRONZE",IF(AC8&lt;=6000,"PLATINUM",IF(AC8&gt;15000,"SILVER","GOLD"))))</f>
        <v>BRONZE</v>
      </c>
      <c r="AH8" s="961"/>
      <c r="AI8" s="958"/>
    </row>
    <row r="9" spans="1:35" ht="18" customHeight="1" outlineLevel="2" thickBot="1">
      <c r="A9" s="962" t="s">
        <v>4</v>
      </c>
      <c r="B9" s="163">
        <v>1382</v>
      </c>
      <c r="C9" s="945">
        <v>1350</v>
      </c>
      <c r="D9" s="946">
        <f t="shared" si="2"/>
        <v>0.97684515195369026</v>
      </c>
      <c r="E9" s="963">
        <v>88</v>
      </c>
      <c r="F9" s="947">
        <f>IFERROR(E9/C9,"")</f>
        <v>6.5185185185185179E-2</v>
      </c>
      <c r="G9" s="964">
        <v>5.0000000000000001E-3</v>
      </c>
      <c r="H9" s="965">
        <f t="shared" si="4"/>
        <v>6.0185185185185182E-2</v>
      </c>
      <c r="I9" s="67"/>
      <c r="J9" s="199">
        <v>5952</v>
      </c>
      <c r="K9" s="963">
        <v>5908</v>
      </c>
      <c r="L9" s="946">
        <f t="shared" si="5"/>
        <v>0.99260752688172038</v>
      </c>
      <c r="M9" s="945">
        <v>130</v>
      </c>
      <c r="N9" s="947">
        <f>+M9/K9</f>
        <v>2.2004062288422478E-2</v>
      </c>
      <c r="O9" s="947">
        <f t="shared" si="6"/>
        <v>0.97799593771157756</v>
      </c>
      <c r="P9" s="960">
        <f>(1-N9)/L9</f>
        <v>0.98527959059907078</v>
      </c>
      <c r="Q9" s="964">
        <v>5.0000000000000001E-3</v>
      </c>
      <c r="R9" s="965">
        <f>IFERROR((N9/Q9)-1,0)</f>
        <v>3.4008124576844958</v>
      </c>
      <c r="S9" s="950"/>
      <c r="T9" s="966">
        <v>1.3636611574755905E-3</v>
      </c>
      <c r="U9" s="165">
        <f>IFERROR((N9/T9)-1,0)</f>
        <v>15.136018957345971</v>
      </c>
      <c r="V9" s="133"/>
      <c r="W9" s="952">
        <v>6</v>
      </c>
      <c r="X9" s="963">
        <v>130</v>
      </c>
      <c r="Y9" s="953">
        <f>+X9/K9</f>
        <v>2.2004062288422478E-2</v>
      </c>
      <c r="Z9" s="954">
        <f t="shared" si="7"/>
        <v>1</v>
      </c>
      <c r="AA9" s="955">
        <f t="shared" si="8"/>
        <v>0.97799593771157756</v>
      </c>
      <c r="AB9" s="953">
        <f>+X9/(K9*W9)</f>
        <v>3.6673437147370798E-3</v>
      </c>
      <c r="AC9" s="956">
        <f>+(X9/(K9*W9))*10^6</f>
        <v>3667.3437147370801</v>
      </c>
      <c r="AD9" s="957">
        <f>IF(K9=0,"",IF(X9=0,6,IF((AC9/1000000)&gt;0.933199,0,IF((AC9/1000000)&gt;0.5,1.5-ABS(NORMSINV(AC9/1000000)),ABS(NORMSINV(AC9/1000000))+1.5))))</f>
        <v>4.1812537523734097</v>
      </c>
      <c r="AE9" s="956">
        <f>+(M9/K9)*10^6</f>
        <v>22004.062288422479</v>
      </c>
      <c r="AG9" s="617" t="str">
        <f t="shared" si="9"/>
        <v>PLATINUM</v>
      </c>
      <c r="AH9" s="961"/>
      <c r="AI9" s="958"/>
    </row>
    <row r="10" spans="1:35" ht="18" customHeight="1" outlineLevel="2">
      <c r="A10" s="967" t="s">
        <v>5</v>
      </c>
      <c r="B10" s="79">
        <f>SUM(B7:B9)</f>
        <v>4392</v>
      </c>
      <c r="C10" s="79">
        <f>SUM(C7:C9)</f>
        <v>4507</v>
      </c>
      <c r="D10" s="968">
        <f t="shared" si="2"/>
        <v>1.026183970856102</v>
      </c>
      <c r="E10" s="79">
        <f>SUM(E7:E9)</f>
        <v>431</v>
      </c>
      <c r="F10" s="969">
        <f t="shared" si="3"/>
        <v>9.5629021522076765E-2</v>
      </c>
      <c r="G10" s="970">
        <f>AVERAGE(G7:G9)</f>
        <v>3.8333333333333337E-2</v>
      </c>
      <c r="H10" s="971">
        <f t="shared" si="4"/>
        <v>5.7295688188743428E-2</v>
      </c>
      <c r="I10" s="67"/>
      <c r="J10" s="79">
        <f>SUM(J7:J9)</f>
        <v>29180</v>
      </c>
      <c r="K10" s="972">
        <f>SUM(K7:K9)</f>
        <v>29610</v>
      </c>
      <c r="L10" s="968">
        <f t="shared" si="5"/>
        <v>1.0147361206305689</v>
      </c>
      <c r="M10" s="972">
        <f>SUM(M7:M9)</f>
        <v>2194</v>
      </c>
      <c r="N10" s="969">
        <f>+M10/K10</f>
        <v>7.4096588990206005E-2</v>
      </c>
      <c r="O10" s="969">
        <f t="shared" si="6"/>
        <v>0.92590341100979401</v>
      </c>
      <c r="P10" s="973">
        <f t="shared" si="0"/>
        <v>0.91245732972866556</v>
      </c>
      <c r="Q10" s="970">
        <f>AVERAGE(Q7:Q9)</f>
        <v>3.8333333333333337E-2</v>
      </c>
      <c r="R10" s="971">
        <f>IFERROR((N10/Q10)-1,0)</f>
        <v>0.93295449539667819</v>
      </c>
      <c r="S10" s="950"/>
      <c r="T10" s="974">
        <v>4.3450706010596495E-2</v>
      </c>
      <c r="U10" s="80">
        <f>IFERROR((N10/T10)-1,0)</f>
        <v>0.70530230215674239</v>
      </c>
      <c r="V10" s="164"/>
      <c r="W10" s="975">
        <v>6</v>
      </c>
      <c r="X10" s="972">
        <f>SUM(X7:X9)</f>
        <v>2494</v>
      </c>
      <c r="Y10" s="976">
        <f>+X10/K10</f>
        <v>8.422830124957785E-2</v>
      </c>
      <c r="Z10" s="977">
        <f t="shared" si="7"/>
        <v>1.1367365542388332</v>
      </c>
      <c r="AA10" s="978">
        <f t="shared" si="8"/>
        <v>0.91577169875042219</v>
      </c>
      <c r="AB10" s="976">
        <f>+X10/(K10*W10)</f>
        <v>1.4038050208262974E-2</v>
      </c>
      <c r="AC10" s="972">
        <f>+(X10/(K10*W10))*10^6</f>
        <v>14038.050208262974</v>
      </c>
      <c r="AD10" s="979">
        <f>IF(K10=0,"",(IF((AC10/1000000)&gt;0.933199,0,IF((AC10/1000000)&gt;0.5,1.5-ABS(NORMSINV(AC10/1000000)),ABS(NORMSINV(AC10/1000000))+1.5))))</f>
        <v>3.6962213993740849</v>
      </c>
      <c r="AE10" s="972">
        <f>+(M10/K10)*10^6</f>
        <v>74096.588990206001</v>
      </c>
      <c r="AG10" s="617" t="str">
        <f t="shared" si="9"/>
        <v>GOLD</v>
      </c>
      <c r="AH10" s="961"/>
      <c r="AI10" s="980">
        <f>PRODUCT(AA7:AA9)</f>
        <v>0.78152720675485865</v>
      </c>
    </row>
    <row r="11" spans="1:35" ht="18" customHeight="1" outlineLevel="2">
      <c r="A11" s="1771" t="s">
        <v>348</v>
      </c>
      <c r="B11" s="1771"/>
      <c r="C11" s="1771"/>
      <c r="D11" s="1771"/>
      <c r="E11" s="1771"/>
      <c r="F11" s="1771"/>
      <c r="G11" s="1771"/>
      <c r="H11" s="1771"/>
      <c r="I11" s="67"/>
      <c r="AC11" s="955"/>
      <c r="AD11" s="942"/>
    </row>
    <row r="12" spans="1:35" ht="18" customHeight="1" outlineLevel="2" thickBot="1">
      <c r="A12" s="67"/>
      <c r="B12" s="67"/>
      <c r="C12" s="67"/>
      <c r="D12" s="67"/>
      <c r="E12" s="67"/>
      <c r="F12" s="67"/>
      <c r="G12" s="67"/>
      <c r="H12" s="67"/>
      <c r="N12" s="981"/>
      <c r="Q12" s="956"/>
      <c r="U12" s="956"/>
      <c r="V12" s="956"/>
      <c r="X12" s="956"/>
      <c r="Y12" s="956"/>
      <c r="Z12" s="956"/>
      <c r="AA12" s="956"/>
      <c r="AB12" s="956"/>
      <c r="AC12" s="982"/>
      <c r="AD12" s="957"/>
      <c r="AE12" s="982"/>
      <c r="AG12" s="950"/>
      <c r="AI12" s="956"/>
    </row>
    <row r="13" spans="1:35" ht="18" customHeight="1" outlineLevel="2">
      <c r="A13" s="3" t="s">
        <v>0</v>
      </c>
      <c r="B13" s="1395">
        <v>45838</v>
      </c>
      <c r="C13" s="1396">
        <v>45869</v>
      </c>
      <c r="D13" s="1396">
        <v>45900</v>
      </c>
      <c r="E13" s="1396">
        <v>45930</v>
      </c>
      <c r="F13" s="1396">
        <v>45961</v>
      </c>
      <c r="G13" s="1396">
        <v>45991</v>
      </c>
      <c r="H13" s="1397">
        <v>46022</v>
      </c>
      <c r="I13" s="1010">
        <v>46053</v>
      </c>
      <c r="J13" s="1011">
        <v>46081</v>
      </c>
      <c r="K13" s="1011">
        <v>46112</v>
      </c>
      <c r="L13" s="1011">
        <v>46142</v>
      </c>
      <c r="M13" s="1011">
        <v>46173</v>
      </c>
      <c r="N13" s="1012">
        <v>46203</v>
      </c>
      <c r="AC13" s="958"/>
      <c r="AD13" s="983"/>
      <c r="AE13" s="958"/>
    </row>
    <row r="14" spans="1:35" ht="18" customHeight="1" outlineLevel="2">
      <c r="A14" s="984" t="s">
        <v>2</v>
      </c>
      <c r="B14" s="1398">
        <v>6.8409164246531137E-2</v>
      </c>
      <c r="C14" s="1399">
        <v>4.9539170506912443E-2</v>
      </c>
      <c r="D14" s="1399">
        <v>3.3482142857142856E-2</v>
      </c>
      <c r="E14" s="1399">
        <v>4.8514251061249243E-2</v>
      </c>
      <c r="F14" s="1399">
        <v>7.2122922546252743E-2</v>
      </c>
      <c r="G14" s="1399">
        <v>4.3126684636118601E-2</v>
      </c>
      <c r="H14" s="1400">
        <v>4.4018058690744918E-2</v>
      </c>
      <c r="I14" s="1013">
        <v>5.4557777024737381E-2</v>
      </c>
      <c r="J14" s="985">
        <v>7.1646859083191849E-2</v>
      </c>
      <c r="K14" s="985">
        <v>0.10163468372423597</v>
      </c>
      <c r="L14" s="985">
        <v>9.2005513439007577E-2</v>
      </c>
      <c r="M14" s="985">
        <v>5.9351815696993361E-2</v>
      </c>
      <c r="N14" s="1014">
        <v>0.11449016100178891</v>
      </c>
      <c r="AC14" s="986"/>
      <c r="AD14" s="987"/>
      <c r="AE14" s="986"/>
    </row>
    <row r="15" spans="1:35" ht="18" customHeight="1" outlineLevel="2">
      <c r="A15" s="988" t="s">
        <v>3</v>
      </c>
      <c r="B15" s="1401">
        <v>6.2683069712946696E-2</v>
      </c>
      <c r="C15" s="1402">
        <v>6.8376068376068383E-2</v>
      </c>
      <c r="D15" s="1402">
        <v>7.8328981723237601E-2</v>
      </c>
      <c r="E15" s="1402">
        <v>5.1051051051051052E-2</v>
      </c>
      <c r="F15" s="1402">
        <v>7.0320579110651496E-2</v>
      </c>
      <c r="G15" s="1402">
        <v>8.2182774490466792E-2</v>
      </c>
      <c r="H15" s="1403">
        <v>0.12467306015693112</v>
      </c>
      <c r="I15" s="1015">
        <v>0.1271249076127125</v>
      </c>
      <c r="J15" s="989">
        <v>8.9358245329000816E-2</v>
      </c>
      <c r="K15" s="989">
        <v>7.6028622540250446E-2</v>
      </c>
      <c r="L15" s="989">
        <v>8.6320409656181415E-2</v>
      </c>
      <c r="M15" s="989">
        <v>0.12773722627737227</v>
      </c>
      <c r="N15" s="1016">
        <v>0.10202702702702703</v>
      </c>
      <c r="AD15" s="942"/>
    </row>
    <row r="16" spans="1:35" ht="18" customHeight="1" outlineLevel="2" thickBot="1">
      <c r="A16" s="990" t="s">
        <v>4</v>
      </c>
      <c r="B16" s="1404">
        <v>4.5871559633027525E-3</v>
      </c>
      <c r="C16" s="1405">
        <v>2.8208744710860366E-3</v>
      </c>
      <c r="D16" s="1405">
        <v>3.205128205128205E-3</v>
      </c>
      <c r="E16" s="1405">
        <v>1.7006802721088435E-3</v>
      </c>
      <c r="F16" s="1405">
        <v>1.6411378555798686E-3</v>
      </c>
      <c r="G16" s="1405">
        <v>2.8801843317972351E-3</v>
      </c>
      <c r="H16" s="1406">
        <v>6.9979006298110562E-4</v>
      </c>
      <c r="I16" s="1017">
        <v>0</v>
      </c>
      <c r="J16" s="991">
        <v>0</v>
      </c>
      <c r="K16" s="991">
        <v>0</v>
      </c>
      <c r="L16" s="991">
        <v>0</v>
      </c>
      <c r="M16" s="991">
        <v>6.7524115755627015E-2</v>
      </c>
      <c r="N16" s="1018">
        <v>6.5185185185185179E-2</v>
      </c>
      <c r="AD16" s="942"/>
    </row>
    <row r="17" spans="1:35" ht="18" customHeight="1" outlineLevel="2" thickBot="1">
      <c r="A17" s="967" t="s">
        <v>5</v>
      </c>
      <c r="B17" s="1407">
        <v>4.9923664122137404E-2</v>
      </c>
      <c r="C17" s="1408">
        <v>4.9199940182443544E-2</v>
      </c>
      <c r="D17" s="1408">
        <v>3.7273173124080433E-2</v>
      </c>
      <c r="E17" s="1408">
        <v>4.1293166789125646E-2</v>
      </c>
      <c r="F17" s="1408">
        <v>5.3085886922744928E-2</v>
      </c>
      <c r="G17" s="1408">
        <v>4.1831683168316834E-2</v>
      </c>
      <c r="H17" s="1409">
        <v>4.9019607843137254E-2</v>
      </c>
      <c r="I17" s="1019">
        <v>6.8181818181818177E-2</v>
      </c>
      <c r="J17" s="1020">
        <v>6.3052445492044779E-2</v>
      </c>
      <c r="K17" s="1020">
        <v>7.7436860780630348E-2</v>
      </c>
      <c r="L17" s="1020">
        <v>6.6448049706593029E-2</v>
      </c>
      <c r="M17" s="1020">
        <v>8.1045464528882061E-2</v>
      </c>
      <c r="N17" s="1021">
        <v>9.5629021522076765E-2</v>
      </c>
      <c r="AD17" s="942"/>
    </row>
    <row r="18" spans="1:35" ht="18" customHeight="1" outlineLevel="2">
      <c r="A18" s="1771" t="s">
        <v>139</v>
      </c>
      <c r="B18" s="1774"/>
      <c r="C18" s="1774"/>
      <c r="D18" s="1774"/>
      <c r="E18" s="1774"/>
      <c r="F18" s="1774"/>
      <c r="G18" s="1774"/>
      <c r="H18" s="1774"/>
      <c r="I18" s="1774"/>
      <c r="J18" s="1774"/>
      <c r="K18" s="1774"/>
      <c r="L18" s="1774"/>
      <c r="M18" s="1774"/>
      <c r="N18" s="1774"/>
      <c r="AD18" s="942"/>
    </row>
    <row r="19" spans="1:35" ht="18" customHeight="1" outlineLevel="2">
      <c r="AD19" s="942"/>
    </row>
    <row r="20" spans="1:35" ht="18" customHeight="1" outlineLevel="1">
      <c r="AD20" s="942"/>
    </row>
    <row r="21" spans="1:35" ht="26.25" customHeight="1" outlineLevel="1">
      <c r="A21" s="1766" t="s">
        <v>474</v>
      </c>
      <c r="B21" s="1766"/>
      <c r="C21" s="1766"/>
      <c r="D21" s="1766"/>
      <c r="E21" s="1766"/>
      <c r="F21" s="1766"/>
      <c r="G21" s="1766"/>
      <c r="H21" s="1766"/>
      <c r="I21" s="1766"/>
      <c r="J21" s="1766"/>
      <c r="K21" s="1766"/>
      <c r="L21" s="1766"/>
      <c r="M21" s="1766"/>
      <c r="N21" s="1766"/>
      <c r="AD21" s="942"/>
    </row>
    <row r="22" spans="1:35" ht="18" customHeight="1" outlineLevel="2">
      <c r="A22" s="1764" t="s">
        <v>402</v>
      </c>
      <c r="B22" s="1764"/>
      <c r="C22" s="1764"/>
      <c r="D22" s="1764"/>
      <c r="E22" s="1764"/>
      <c r="F22" s="1764"/>
      <c r="G22" s="1764"/>
      <c r="H22" s="1764"/>
      <c r="I22" s="1764"/>
      <c r="J22" s="1764"/>
      <c r="K22" s="1764"/>
      <c r="L22" s="1764"/>
      <c r="M22" s="1764"/>
      <c r="N22" s="1764"/>
      <c r="AD22" s="942"/>
    </row>
    <row r="23" spans="1:35" ht="18" customHeight="1" outlineLevel="2">
      <c r="A23" s="1001"/>
      <c r="B23" s="1001"/>
      <c r="C23" s="1001"/>
      <c r="D23" s="1001"/>
      <c r="E23" s="1001"/>
      <c r="F23" s="1001"/>
      <c r="G23" s="1001"/>
      <c r="H23" s="1001"/>
      <c r="I23" s="1001"/>
      <c r="J23" s="1001"/>
      <c r="K23" s="1001"/>
      <c r="L23" s="1001"/>
      <c r="M23" s="1001"/>
      <c r="N23" s="1001"/>
      <c r="AD23" s="942"/>
    </row>
    <row r="24" spans="1:35" ht="18" customHeight="1" outlineLevel="2">
      <c r="A24" s="67"/>
      <c r="B24" s="1770" t="s">
        <v>476</v>
      </c>
      <c r="C24" s="1770"/>
      <c r="D24" s="1770"/>
      <c r="E24" s="1770"/>
      <c r="F24" s="1770"/>
      <c r="G24" s="67"/>
      <c r="H24" s="67"/>
      <c r="I24" s="67"/>
      <c r="J24" s="1772" t="s">
        <v>369</v>
      </c>
      <c r="K24" s="1772"/>
      <c r="L24" s="1772"/>
      <c r="M24" s="1772"/>
      <c r="N24" s="1772"/>
      <c r="O24" s="1772"/>
      <c r="X24" s="981"/>
      <c r="AC24" s="942"/>
      <c r="AD24" s="942"/>
      <c r="AE24" s="942"/>
    </row>
    <row r="25" spans="1:35" ht="45" outlineLevel="2">
      <c r="A25" s="772" t="s">
        <v>0</v>
      </c>
      <c r="B25" s="773" t="s">
        <v>72</v>
      </c>
      <c r="C25" s="774" t="s">
        <v>298</v>
      </c>
      <c r="D25" s="775" t="s">
        <v>73</v>
      </c>
      <c r="E25" s="774" t="s">
        <v>269</v>
      </c>
      <c r="F25" s="776" t="s">
        <v>300</v>
      </c>
      <c r="G25" s="777" t="s">
        <v>12</v>
      </c>
      <c r="H25" s="774" t="s">
        <v>10</v>
      </c>
      <c r="I25" s="67"/>
      <c r="J25" s="773" t="s">
        <v>72</v>
      </c>
      <c r="K25" s="774" t="s">
        <v>298</v>
      </c>
      <c r="L25" s="775" t="s">
        <v>73</v>
      </c>
      <c r="M25" s="774" t="s">
        <v>269</v>
      </c>
      <c r="N25" s="776" t="s">
        <v>300</v>
      </c>
      <c r="O25" s="778" t="s">
        <v>304</v>
      </c>
      <c r="P25" s="774" t="s">
        <v>296</v>
      </c>
      <c r="Q25" s="777" t="s">
        <v>12</v>
      </c>
      <c r="R25" s="774" t="s">
        <v>268</v>
      </c>
      <c r="T25" s="776" t="s">
        <v>335</v>
      </c>
      <c r="U25" s="779" t="s">
        <v>71</v>
      </c>
      <c r="V25" s="779"/>
      <c r="W25" s="774" t="s">
        <v>282</v>
      </c>
      <c r="X25" s="774" t="s">
        <v>270</v>
      </c>
      <c r="Y25" s="774" t="s">
        <v>272</v>
      </c>
      <c r="Z25" s="774" t="s">
        <v>353</v>
      </c>
      <c r="AA25" s="774" t="s">
        <v>295</v>
      </c>
      <c r="AB25" s="774" t="s">
        <v>273</v>
      </c>
      <c r="AC25" s="780" t="s">
        <v>271</v>
      </c>
      <c r="AD25" s="780" t="s">
        <v>299</v>
      </c>
      <c r="AE25" s="780" t="s">
        <v>275</v>
      </c>
      <c r="AG25" s="618" t="s">
        <v>317</v>
      </c>
      <c r="AI25" s="774" t="s">
        <v>297</v>
      </c>
    </row>
    <row r="26" spans="1:35" ht="18" customHeight="1" outlineLevel="2">
      <c r="A26" s="944" t="s">
        <v>2</v>
      </c>
      <c r="B26" s="163">
        <v>1500</v>
      </c>
      <c r="C26" s="945">
        <v>433</v>
      </c>
      <c r="D26" s="946">
        <f>IFERROR(C26/B26,"")</f>
        <v>0.28866666666666668</v>
      </c>
      <c r="E26" s="945">
        <v>6</v>
      </c>
      <c r="F26" s="947">
        <f>IFERROR(E26/C26,"")</f>
        <v>1.3856812933025405E-2</v>
      </c>
      <c r="G26" s="948">
        <v>1.4999999999999999E-2</v>
      </c>
      <c r="H26" s="90">
        <f>IFERROR(F26-G26,"")</f>
        <v>-1.1431870669745946E-3</v>
      </c>
      <c r="I26" s="67"/>
      <c r="J26" s="163">
        <v>15299</v>
      </c>
      <c r="K26" s="945">
        <v>4145</v>
      </c>
      <c r="L26" s="946">
        <f>+K26/J26</f>
        <v>0.27093274070200668</v>
      </c>
      <c r="M26" s="945">
        <v>43</v>
      </c>
      <c r="N26" s="947">
        <f>+M26/K26</f>
        <v>1.0373944511459589E-2</v>
      </c>
      <c r="O26" s="947">
        <f>1-N26</f>
        <v>0.98962605548854043</v>
      </c>
      <c r="P26" s="950"/>
      <c r="Q26" s="948">
        <v>1.4999999999999999E-2</v>
      </c>
      <c r="R26" s="90">
        <f>IFERROR((N26/Q26)-1,0)</f>
        <v>-0.3084036992360274</v>
      </c>
      <c r="S26" s="950"/>
      <c r="T26" s="951">
        <v>1.4391579851788208E-2</v>
      </c>
      <c r="U26" s="4">
        <f>IFERROR((N26/T26)-1,0)</f>
        <v>-0.27916569144626691</v>
      </c>
      <c r="V26" s="133"/>
      <c r="W26" s="952">
        <v>7</v>
      </c>
      <c r="X26" s="945">
        <v>46</v>
      </c>
      <c r="Y26" s="953">
        <f>+X26/K26</f>
        <v>1.1097708082026538E-2</v>
      </c>
      <c r="Z26" s="954">
        <f>+X26/M26</f>
        <v>1.069767441860465</v>
      </c>
      <c r="AA26" s="955">
        <f>1-Y26</f>
        <v>0.98890229191797341</v>
      </c>
      <c r="AB26" s="953">
        <f>+X26/(K26*W26)</f>
        <v>1.585386868860934E-3</v>
      </c>
      <c r="AC26" s="956">
        <f>+(X26/(K26*W26))*10^6</f>
        <v>1585.3868688609339</v>
      </c>
      <c r="AD26" s="957">
        <f>IF(AC26=0,6,(_xlfn.NORM.S.INV(1-(AC26/10^6)))+1.5)</f>
        <v>4.4506779128639913</v>
      </c>
      <c r="AE26" s="956">
        <f>+(M26/K26)*10^6</f>
        <v>10373.944511459589</v>
      </c>
      <c r="AG26" s="617" t="str">
        <f>IF(AC26="","",IF(AC26&gt;20000,"BRONZE",IF(AC26&lt;=6000,"PLATINUM",IF(AC26&gt;15000,"SILVER","GOLD"))))</f>
        <v>PLATINUM</v>
      </c>
      <c r="AH26" s="961"/>
      <c r="AI26" s="958"/>
    </row>
    <row r="27" spans="1:35" ht="18" customHeight="1" outlineLevel="2">
      <c r="A27" s="944" t="s">
        <v>3</v>
      </c>
      <c r="B27" s="163">
        <v>1510</v>
      </c>
      <c r="C27" s="945">
        <v>535</v>
      </c>
      <c r="D27" s="946">
        <f t="shared" ref="D27:D29" si="10">IFERROR(C27/B27,"")</f>
        <v>0.35430463576158938</v>
      </c>
      <c r="E27" s="945">
        <v>2</v>
      </c>
      <c r="F27" s="947">
        <f t="shared" ref="F27:F29" si="11">IFERROR(E27/C27,"")</f>
        <v>3.7383177570093459E-3</v>
      </c>
      <c r="G27" s="948">
        <v>1.4999999999999999E-2</v>
      </c>
      <c r="H27" s="959">
        <f t="shared" ref="H27:H29" si="12">IFERROR(F27-G27,"")</f>
        <v>-1.1261682242990654E-2</v>
      </c>
      <c r="I27" s="67"/>
      <c r="J27" s="163">
        <v>7929</v>
      </c>
      <c r="K27" s="945">
        <v>2703</v>
      </c>
      <c r="L27" s="946">
        <f t="shared" ref="L27" si="13">+K27/J27</f>
        <v>0.34090049186530458</v>
      </c>
      <c r="M27" s="945">
        <v>14</v>
      </c>
      <c r="N27" s="947">
        <f>+M27/K27</f>
        <v>5.1794302626711058E-3</v>
      </c>
      <c r="O27" s="947">
        <f t="shared" ref="O27:O29" si="14">1-N27</f>
        <v>0.99482056973732891</v>
      </c>
      <c r="P27" s="960"/>
      <c r="Q27" s="948">
        <v>1.4999999999999999E-2</v>
      </c>
      <c r="R27" s="959">
        <f>IFERROR((N27/Q27)-1,0)</f>
        <v>-0.65470464915525961</v>
      </c>
      <c r="S27" s="950"/>
      <c r="T27" s="951">
        <v>1.0797016097369454E-2</v>
      </c>
      <c r="U27" s="133">
        <f>IFERROR((N27/T27)-1,0)</f>
        <v>-0.52029058621733437</v>
      </c>
      <c r="V27" s="133"/>
      <c r="W27" s="952">
        <v>7</v>
      </c>
      <c r="X27" s="945">
        <v>15</v>
      </c>
      <c r="Y27" s="953">
        <f>+X27/K27</f>
        <v>5.5493895671476137E-3</v>
      </c>
      <c r="Z27" s="954">
        <f t="shared" ref="Z27:Z29" si="15">+X27/M27</f>
        <v>1.0714285714285714</v>
      </c>
      <c r="AA27" s="955">
        <f t="shared" ref="AA27:AA29" si="16">1-Y27</f>
        <v>0.99445061043285243</v>
      </c>
      <c r="AB27" s="953">
        <f>+X27/(K27*W27)</f>
        <v>7.9276993816394478E-4</v>
      </c>
      <c r="AC27" s="956">
        <f>+(X27/(K27*W27))*10^6</f>
        <v>792.76993816394474</v>
      </c>
      <c r="AD27" s="957">
        <f>IF(AC27=0,6,(_xlfn.NORM.S.INV(1-(AC27/10^6)))+1.5)</f>
        <v>4.6585538981464101</v>
      </c>
      <c r="AE27" s="956">
        <f>+(M27/K27)*10^6</f>
        <v>5179.430262671106</v>
      </c>
      <c r="AG27" s="617" t="str">
        <f t="shared" ref="AG27:AG29" si="17">IF(AC27="","",IF(AC27&gt;20000,"BRONZE",IF(AC27&lt;=6000,"PLATINUM",IF(AC27&gt;15000,"SILVER","GOLD"))))</f>
        <v>PLATINUM</v>
      </c>
      <c r="AH27" s="961"/>
      <c r="AI27" s="958"/>
    </row>
    <row r="28" spans="1:35" ht="18" customHeight="1" outlineLevel="2" thickBot="1">
      <c r="A28" s="962" t="s">
        <v>4</v>
      </c>
      <c r="B28" s="199">
        <v>1019</v>
      </c>
      <c r="C28" s="963">
        <v>322</v>
      </c>
      <c r="D28" s="946">
        <f t="shared" si="10"/>
        <v>0.31599607458292445</v>
      </c>
      <c r="E28" s="963">
        <v>2</v>
      </c>
      <c r="F28" s="992">
        <f t="shared" si="11"/>
        <v>6.2111801242236021E-3</v>
      </c>
      <c r="G28" s="964">
        <v>5.0000000000000001E-3</v>
      </c>
      <c r="H28" s="965">
        <f t="shared" si="12"/>
        <v>1.211180124223602E-3</v>
      </c>
      <c r="I28" s="67"/>
      <c r="J28" s="199">
        <v>6583</v>
      </c>
      <c r="K28" s="963">
        <v>1560</v>
      </c>
      <c r="L28" s="993">
        <f t="shared" ref="L28" si="18">+K28/J28</f>
        <v>0.23697402400121526</v>
      </c>
      <c r="M28" s="963">
        <v>8</v>
      </c>
      <c r="N28" s="992">
        <f>+M28/K28</f>
        <v>5.1282051282051282E-3</v>
      </c>
      <c r="O28" s="992">
        <f t="shared" si="14"/>
        <v>0.99487179487179489</v>
      </c>
      <c r="P28" s="960"/>
      <c r="Q28" s="964">
        <v>5.0000000000000001E-3</v>
      </c>
      <c r="R28" s="965">
        <f>IFERROR((N28/Q28)-1,0)</f>
        <v>2.564102564102555E-2</v>
      </c>
      <c r="S28" s="950"/>
      <c r="T28" s="966">
        <v>6.4613396510876586E-3</v>
      </c>
      <c r="U28" s="165">
        <f>IFERROR((N28/T28)-1,0)</f>
        <v>-0.20632478632478635</v>
      </c>
      <c r="V28" s="133"/>
      <c r="W28" s="952">
        <v>7</v>
      </c>
      <c r="X28" s="994">
        <v>8</v>
      </c>
      <c r="Y28" s="953">
        <f>+X28/K28</f>
        <v>5.1282051282051282E-3</v>
      </c>
      <c r="Z28" s="954">
        <f t="shared" si="15"/>
        <v>1</v>
      </c>
      <c r="AA28" s="955">
        <f t="shared" si="16"/>
        <v>0.99487179487179489</v>
      </c>
      <c r="AB28" s="953">
        <f>+X28/(K28*W28)</f>
        <v>7.326007326007326E-4</v>
      </c>
      <c r="AC28" s="956">
        <f>+(X28/(K28*W28))*10^6</f>
        <v>732.60073260073261</v>
      </c>
      <c r="AD28" s="957">
        <f>IF(AC28=0,6,(_xlfn.NORM.S.INV(1-(AC28/10^6)))+1.5)</f>
        <v>4.6814888821539471</v>
      </c>
      <c r="AE28" s="956">
        <f>+(M28/K28)*10^6</f>
        <v>5128.2051282051279</v>
      </c>
      <c r="AG28" s="617" t="str">
        <f t="shared" si="17"/>
        <v>PLATINUM</v>
      </c>
      <c r="AH28" s="961"/>
      <c r="AI28" s="958"/>
    </row>
    <row r="29" spans="1:35" ht="18" customHeight="1" outlineLevel="2">
      <c r="A29" s="967" t="s">
        <v>5</v>
      </c>
      <c r="B29" s="79">
        <f>SUM(B26:B28)</f>
        <v>4029</v>
      </c>
      <c r="C29" s="79">
        <f>SUM(C26:C28)</f>
        <v>1290</v>
      </c>
      <c r="D29" s="968">
        <f t="shared" si="10"/>
        <v>0.32017870439314966</v>
      </c>
      <c r="E29" s="79">
        <f>SUM(E26:E28)</f>
        <v>10</v>
      </c>
      <c r="F29" s="969">
        <f t="shared" si="11"/>
        <v>7.7519379844961239E-3</v>
      </c>
      <c r="G29" s="970">
        <f>AVERAGE(G26:G28)</f>
        <v>1.1666666666666665E-2</v>
      </c>
      <c r="H29" s="971">
        <f t="shared" si="12"/>
        <v>-3.9147286821705415E-3</v>
      </c>
      <c r="I29" s="67"/>
      <c r="J29" s="79">
        <f>SUM(J26:J28)</f>
        <v>29811</v>
      </c>
      <c r="K29" s="972">
        <f>SUM(K26:K28)</f>
        <v>8408</v>
      </c>
      <c r="L29" s="968">
        <f t="shared" ref="L29" si="19">+K29/J29</f>
        <v>0.28204354097480794</v>
      </c>
      <c r="M29" s="972">
        <f>SUM(M26:M28)</f>
        <v>65</v>
      </c>
      <c r="N29" s="969">
        <f>+M29/K29</f>
        <v>7.7307326355851571E-3</v>
      </c>
      <c r="O29" s="969">
        <f t="shared" si="14"/>
        <v>0.9922692673644149</v>
      </c>
      <c r="P29" s="973"/>
      <c r="Q29" s="970">
        <f>AVERAGE(Q26:Q28)</f>
        <v>1.1666666666666665E-2</v>
      </c>
      <c r="R29" s="971">
        <f>IFERROR((N29/Q29)-1,0)</f>
        <v>-0.33736577409270074</v>
      </c>
      <c r="S29" s="950"/>
      <c r="T29" s="974">
        <v>1.1497270054598907E-2</v>
      </c>
      <c r="U29" s="80">
        <f>IFERROR((N29/T29)-1,0)</f>
        <v>-0.32760276144919598</v>
      </c>
      <c r="V29" s="164"/>
      <c r="W29" s="975">
        <v>7</v>
      </c>
      <c r="X29" s="972">
        <f>SUM(X26:X28)</f>
        <v>69</v>
      </c>
      <c r="Y29" s="976">
        <f>+X29/K29</f>
        <v>8.2064700285442438E-3</v>
      </c>
      <c r="Z29" s="977">
        <f t="shared" si="15"/>
        <v>1.0615384615384615</v>
      </c>
      <c r="AA29" s="978">
        <f t="shared" si="16"/>
        <v>0.99179352997145576</v>
      </c>
      <c r="AB29" s="976">
        <f>+X29/(K29*W29)</f>
        <v>1.1723528612206063E-3</v>
      </c>
      <c r="AC29" s="972">
        <f>+(X29/(K29*W29))*10^6</f>
        <v>1172.3528612206064</v>
      </c>
      <c r="AD29" s="979">
        <f>IF(AC29=0,6,(_xlfn.NORM.S.INV(1-(AC29/10^6)))+1.5)</f>
        <v>4.5426940704187633</v>
      </c>
      <c r="AE29" s="972">
        <f>+(M29/K29)*10^6</f>
        <v>7730.7326355851574</v>
      </c>
      <c r="AG29" s="617" t="str">
        <f t="shared" si="17"/>
        <v>PLATINUM</v>
      </c>
      <c r="AI29" s="980">
        <f>PRODUCT(AA26:AA28)</f>
        <v>0.97837133663649978</v>
      </c>
    </row>
    <row r="30" spans="1:35" ht="18" customHeight="1" outlineLevel="2">
      <c r="A30" s="1771" t="s">
        <v>138</v>
      </c>
      <c r="B30" s="1771"/>
      <c r="C30" s="1771"/>
      <c r="D30" s="1771"/>
      <c r="E30" s="1771"/>
      <c r="F30" s="1771"/>
      <c r="G30" s="1771"/>
      <c r="H30" s="1771"/>
      <c r="I30" s="941"/>
    </row>
    <row r="31" spans="1:35" ht="18" customHeight="1" outlineLevel="2" thickBot="1">
      <c r="N31" s="981"/>
    </row>
    <row r="32" spans="1:35" ht="18" customHeight="1" outlineLevel="2">
      <c r="A32" s="3" t="s">
        <v>0</v>
      </c>
      <c r="B32" s="1395">
        <v>45838</v>
      </c>
      <c r="C32" s="1396">
        <v>45869</v>
      </c>
      <c r="D32" s="1396">
        <v>45900</v>
      </c>
      <c r="E32" s="1396">
        <v>45930</v>
      </c>
      <c r="F32" s="1396">
        <v>45961</v>
      </c>
      <c r="G32" s="1396">
        <v>45991</v>
      </c>
      <c r="H32" s="1397">
        <v>46022</v>
      </c>
      <c r="I32" s="1010">
        <v>46053</v>
      </c>
      <c r="J32" s="1011">
        <v>46081</v>
      </c>
      <c r="K32" s="1011">
        <v>46112</v>
      </c>
      <c r="L32" s="1011">
        <v>46142</v>
      </c>
      <c r="M32" s="1011">
        <v>46173</v>
      </c>
      <c r="N32" s="1012">
        <v>46203</v>
      </c>
    </row>
    <row r="33" spans="1:14" ht="18" customHeight="1" outlineLevel="2">
      <c r="A33" s="984" t="s">
        <v>2</v>
      </c>
      <c r="B33" s="1398">
        <v>5.434782608695652E-3</v>
      </c>
      <c r="C33" s="1399">
        <v>0</v>
      </c>
      <c r="D33" s="1399">
        <v>8.6956521739130436E-3</v>
      </c>
      <c r="E33" s="1399">
        <v>1.2617220801364024E-2</v>
      </c>
      <c r="F33" s="1399">
        <v>2.4288107202680067E-2</v>
      </c>
      <c r="G33" s="1399">
        <v>2.6275115919629059E-2</v>
      </c>
      <c r="H33" s="1400">
        <v>2.1691973969631237E-3</v>
      </c>
      <c r="I33" s="1013">
        <v>1.7567567567567569E-2</v>
      </c>
      <c r="J33" s="985">
        <v>7.5853350189633373E-3</v>
      </c>
      <c r="K33" s="985">
        <v>1.0479041916167664E-2</v>
      </c>
      <c r="L33" s="985">
        <v>1.2642225031605562E-2</v>
      </c>
      <c r="M33" s="985">
        <v>1.3850415512465374E-3</v>
      </c>
      <c r="N33" s="1014">
        <v>1.3856812933025405E-2</v>
      </c>
    </row>
    <row r="34" spans="1:14" ht="18" customHeight="1" outlineLevel="2">
      <c r="A34" s="988" t="s">
        <v>3</v>
      </c>
      <c r="B34" s="1401">
        <v>9.1116173120728925E-3</v>
      </c>
      <c r="C34" s="1402">
        <v>6.7226890756302525E-3</v>
      </c>
      <c r="D34" s="1402">
        <v>0</v>
      </c>
      <c r="E34" s="1402">
        <v>1.3565891472868217E-2</v>
      </c>
      <c r="F34" s="1402">
        <v>1.4245014245014246E-3</v>
      </c>
      <c r="G34" s="1402">
        <v>1.6393442622950821E-2</v>
      </c>
      <c r="H34" s="1403">
        <v>2.2727272727272728E-2</v>
      </c>
      <c r="I34" s="1015">
        <v>0</v>
      </c>
      <c r="J34" s="989">
        <v>1.7632241813602016E-2</v>
      </c>
      <c r="K34" s="989">
        <v>2.9069767441860465E-3</v>
      </c>
      <c r="L34" s="989">
        <v>2.0161290322580645E-3</v>
      </c>
      <c r="M34" s="989">
        <v>6.5075921908893707E-3</v>
      </c>
      <c r="N34" s="1016">
        <v>3.7383177570093459E-3</v>
      </c>
    </row>
    <row r="35" spans="1:14" ht="18" customHeight="1" outlineLevel="2" thickBot="1">
      <c r="A35" s="990" t="s">
        <v>4</v>
      </c>
      <c r="B35" s="1404">
        <v>1.3201320132013201E-2</v>
      </c>
      <c r="C35" s="1405">
        <v>0</v>
      </c>
      <c r="D35" s="1405">
        <v>0</v>
      </c>
      <c r="E35" s="1405">
        <v>0</v>
      </c>
      <c r="F35" s="1405">
        <v>8.291873963515755E-3</v>
      </c>
      <c r="G35" s="1405">
        <v>0</v>
      </c>
      <c r="H35" s="1406">
        <v>0</v>
      </c>
      <c r="I35" s="1017">
        <v>7.6923076923076927E-3</v>
      </c>
      <c r="J35" s="991">
        <v>0</v>
      </c>
      <c r="K35" s="991">
        <v>0</v>
      </c>
      <c r="L35" s="991">
        <v>1.282051282051282E-2</v>
      </c>
      <c r="M35" s="991">
        <v>3.7313432835820895E-3</v>
      </c>
      <c r="N35" s="1018">
        <v>6.2111801242236021E-3</v>
      </c>
    </row>
    <row r="36" spans="1:14" ht="18" customHeight="1" outlineLevel="2" thickBot="1">
      <c r="A36" s="967" t="s">
        <v>5</v>
      </c>
      <c r="B36" s="1407">
        <v>8.119079837618403E-3</v>
      </c>
      <c r="C36" s="1408">
        <v>2.1609940572663426E-3</v>
      </c>
      <c r="D36" s="1408">
        <v>4.601226993865031E-3</v>
      </c>
      <c r="E36" s="1408">
        <v>1.0835640958952314E-2</v>
      </c>
      <c r="F36" s="1408">
        <v>1.4005602240896359E-2</v>
      </c>
      <c r="G36" s="1408">
        <v>2.0466444550214184E-2</v>
      </c>
      <c r="H36" s="1409">
        <v>7.2683222289521504E-3</v>
      </c>
      <c r="I36" s="1019">
        <v>1.020408163265306E-2</v>
      </c>
      <c r="J36" s="1020">
        <v>9.0277777777777769E-3</v>
      </c>
      <c r="K36" s="1020">
        <v>6.4724919093851136E-3</v>
      </c>
      <c r="L36" s="1020">
        <v>9.204470742932281E-3</v>
      </c>
      <c r="M36" s="1020">
        <v>3.4458993797381117E-3</v>
      </c>
      <c r="N36" s="1021">
        <v>7.7519379844961239E-3</v>
      </c>
    </row>
    <row r="37" spans="1:14" ht="18" customHeight="1" outlineLevel="1"/>
    <row r="38" spans="1:14" ht="18" customHeight="1">
      <c r="L38" s="995"/>
    </row>
    <row r="39" spans="1:14" ht="18" customHeight="1">
      <c r="L39" s="996"/>
    </row>
    <row r="40" spans="1:14" ht="18" customHeight="1">
      <c r="L40" s="996"/>
    </row>
    <row r="41" spans="1:14" ht="18" customHeight="1">
      <c r="L41" s="996"/>
    </row>
    <row r="42" spans="1:14" ht="18" customHeight="1"/>
    <row r="43" spans="1:14" ht="18" customHeight="1">
      <c r="L43" s="995"/>
    </row>
    <row r="44" spans="1:14" ht="18" customHeight="1">
      <c r="L44" s="997"/>
    </row>
    <row r="45" spans="1:14" ht="18" customHeight="1"/>
    <row r="46" spans="1:14" ht="18" customHeight="1">
      <c r="L46" s="995"/>
    </row>
    <row r="47" spans="1:14" ht="18" customHeight="1">
      <c r="L47" s="996"/>
    </row>
    <row r="48" spans="1:14" ht="18" customHeight="1">
      <c r="L48" s="997"/>
    </row>
    <row r="49" spans="1:11" ht="18" customHeight="1"/>
    <row r="50" spans="1:11" ht="18" customHeight="1"/>
    <row r="51" spans="1:11" ht="18" customHeight="1"/>
    <row r="52" spans="1:11" ht="18" customHeight="1"/>
    <row r="53" spans="1:11" ht="18" customHeight="1"/>
    <row r="54" spans="1:11" ht="18" customHeight="1">
      <c r="A54" s="1773" t="s">
        <v>277</v>
      </c>
      <c r="B54" s="1773"/>
      <c r="C54" s="1773"/>
      <c r="D54" s="1773"/>
      <c r="E54" s="1773"/>
      <c r="F54" s="1773"/>
      <c r="G54" s="1773"/>
      <c r="H54" s="1773"/>
      <c r="I54" s="1773"/>
      <c r="J54" s="1773"/>
      <c r="K54" s="1773"/>
    </row>
    <row r="55" spans="1:11" ht="18" customHeight="1">
      <c r="A55" s="1761" t="s">
        <v>278</v>
      </c>
      <c r="B55" s="1761"/>
      <c r="C55" s="1761"/>
      <c r="D55" s="1761"/>
      <c r="E55" s="1761"/>
      <c r="F55" s="1761"/>
      <c r="G55" s="1761"/>
      <c r="H55" s="1761"/>
      <c r="I55" s="1761"/>
      <c r="J55" s="1761"/>
      <c r="K55" s="1761"/>
    </row>
    <row r="56" spans="1:11" ht="18" customHeight="1">
      <c r="A56" s="1761" t="s">
        <v>279</v>
      </c>
      <c r="B56" s="1761"/>
      <c r="C56" s="1761"/>
      <c r="D56" s="1761"/>
      <c r="E56" s="1761"/>
      <c r="F56" s="1761"/>
      <c r="G56" s="1761"/>
      <c r="H56" s="1761"/>
      <c r="I56" s="1761"/>
      <c r="J56" s="1761"/>
      <c r="K56" s="1761"/>
    </row>
    <row r="57" spans="1:11" ht="18" customHeight="1">
      <c r="A57" s="1761" t="s">
        <v>280</v>
      </c>
      <c r="B57" s="1761"/>
      <c r="C57" s="1761"/>
      <c r="D57" s="1761"/>
      <c r="E57" s="1761"/>
      <c r="F57" s="1761"/>
      <c r="G57" s="1761"/>
      <c r="H57" s="1761"/>
      <c r="I57" s="1761"/>
      <c r="J57" s="1761"/>
      <c r="K57" s="1761"/>
    </row>
    <row r="58" spans="1:11" ht="18" customHeight="1">
      <c r="A58" s="1761" t="s">
        <v>281</v>
      </c>
      <c r="B58" s="1761"/>
      <c r="C58" s="1761"/>
      <c r="D58" s="1761"/>
      <c r="E58" s="1761"/>
      <c r="F58" s="1761"/>
      <c r="G58" s="1761"/>
      <c r="H58" s="1761"/>
      <c r="I58" s="1761"/>
      <c r="J58" s="1761"/>
      <c r="K58" s="1761"/>
    </row>
    <row r="59" spans="1:11" ht="18" customHeight="1"/>
    <row r="60" spans="1:11" ht="18" customHeight="1">
      <c r="A60" s="1769" t="s">
        <v>287</v>
      </c>
      <c r="B60" s="1769"/>
      <c r="C60" s="986"/>
      <c r="D60" s="781">
        <v>1</v>
      </c>
      <c r="E60" s="782">
        <v>690000</v>
      </c>
    </row>
    <row r="61" spans="1:11" ht="18" customHeight="1">
      <c r="A61" s="986"/>
      <c r="B61" s="986"/>
      <c r="C61" s="986"/>
      <c r="D61" s="783">
        <v>2</v>
      </c>
      <c r="E61" s="784">
        <v>308000</v>
      </c>
    </row>
    <row r="62" spans="1:11" ht="18" customHeight="1">
      <c r="A62" s="986"/>
      <c r="B62" s="986"/>
      <c r="C62" s="986"/>
      <c r="D62" s="783">
        <v>3</v>
      </c>
      <c r="E62" s="784">
        <v>66800</v>
      </c>
    </row>
    <row r="63" spans="1:11" ht="18" customHeight="1">
      <c r="A63" s="986"/>
      <c r="B63" s="986"/>
      <c r="C63" s="986"/>
      <c r="D63" s="783">
        <v>4</v>
      </c>
      <c r="E63" s="784">
        <v>6210</v>
      </c>
    </row>
    <row r="64" spans="1:11" ht="18" customHeight="1">
      <c r="A64" s="986"/>
      <c r="B64" s="986"/>
      <c r="C64" s="986"/>
      <c r="D64" s="783">
        <v>5</v>
      </c>
      <c r="E64" s="785">
        <v>320</v>
      </c>
    </row>
    <row r="65" spans="1:15" ht="18" customHeight="1">
      <c r="A65" s="986"/>
      <c r="B65" s="986"/>
      <c r="C65" s="986"/>
      <c r="D65" s="783">
        <v>6</v>
      </c>
      <c r="E65" s="785">
        <v>3.4</v>
      </c>
    </row>
    <row r="66" spans="1:15" ht="18" customHeight="1">
      <c r="A66" s="986"/>
      <c r="B66" s="986"/>
      <c r="C66" s="986"/>
      <c r="D66" s="1002"/>
      <c r="E66" s="1002"/>
    </row>
    <row r="67" spans="1:15" ht="18" customHeight="1">
      <c r="A67" s="1767" t="s">
        <v>288</v>
      </c>
      <c r="B67" s="1768"/>
      <c r="C67" s="1768"/>
      <c r="D67" s="1768"/>
      <c r="E67" s="1768"/>
      <c r="F67" s="1768"/>
    </row>
    <row r="68" spans="1:15" ht="18" customHeight="1">
      <c r="A68" s="1762" t="s">
        <v>289</v>
      </c>
      <c r="B68" s="1762"/>
      <c r="C68" s="1762"/>
      <c r="D68" s="1762"/>
      <c r="E68" s="1762"/>
      <c r="F68" s="1762"/>
    </row>
    <row r="69" spans="1:15" ht="18" customHeight="1">
      <c r="A69" s="1762" t="s">
        <v>290</v>
      </c>
      <c r="B69" s="1762"/>
      <c r="C69" s="1762"/>
      <c r="D69" s="1762"/>
      <c r="E69" s="1762"/>
      <c r="F69" s="1762"/>
    </row>
    <row r="70" spans="1:15" ht="18" customHeight="1">
      <c r="A70" s="1762" t="s">
        <v>291</v>
      </c>
      <c r="B70" s="1762"/>
      <c r="C70" s="1762"/>
      <c r="D70" s="1762"/>
      <c r="E70" s="1762"/>
      <c r="F70" s="1762"/>
    </row>
    <row r="71" spans="1:15" ht="18" customHeight="1">
      <c r="A71" s="1762" t="s">
        <v>292</v>
      </c>
      <c r="B71" s="1762"/>
      <c r="C71" s="1762"/>
      <c r="D71" s="1762"/>
      <c r="E71" s="1762"/>
      <c r="F71" s="1762"/>
    </row>
    <row r="72" spans="1:15" ht="18" customHeight="1">
      <c r="A72" s="1762" t="s">
        <v>293</v>
      </c>
      <c r="B72" s="1762"/>
      <c r="C72" s="1762"/>
      <c r="D72" s="1762"/>
      <c r="E72" s="1762"/>
      <c r="F72" s="1762"/>
    </row>
    <row r="73" spans="1:15" ht="18" customHeight="1">
      <c r="A73" s="1762" t="s">
        <v>294</v>
      </c>
      <c r="B73" s="1762"/>
      <c r="C73" s="1762"/>
      <c r="D73" s="1762"/>
      <c r="E73" s="1762"/>
      <c r="F73" s="1762"/>
    </row>
    <row r="74" spans="1:15" ht="18" customHeight="1"/>
    <row r="75" spans="1:15" ht="18" customHeight="1">
      <c r="A75" s="1003" t="s">
        <v>317</v>
      </c>
      <c r="B75" s="1004" t="s">
        <v>271</v>
      </c>
      <c r="E75" s="1763" t="s">
        <v>355</v>
      </c>
      <c r="F75" s="1763"/>
      <c r="G75" s="1763"/>
      <c r="H75" s="1763"/>
      <c r="I75" s="1763"/>
      <c r="J75" s="1763"/>
      <c r="K75" s="1763"/>
      <c r="L75" s="1763"/>
      <c r="M75" s="1763"/>
      <c r="N75" s="1763"/>
      <c r="O75" s="1763"/>
    </row>
    <row r="76" spans="1:15" ht="18" customHeight="1">
      <c r="A76" s="1005" t="s">
        <v>162</v>
      </c>
      <c r="B76" s="1006" t="s">
        <v>318</v>
      </c>
      <c r="E76" s="998"/>
      <c r="F76" s="986"/>
    </row>
    <row r="77" spans="1:15" ht="18" customHeight="1">
      <c r="A77" s="1007" t="s">
        <v>163</v>
      </c>
      <c r="B77" s="1006" t="s">
        <v>319</v>
      </c>
      <c r="E77" s="999" t="s">
        <v>356</v>
      </c>
      <c r="F77" s="1760" t="s">
        <v>357</v>
      </c>
      <c r="G77" s="1760"/>
      <c r="H77" s="1760"/>
      <c r="I77" s="1760"/>
    </row>
    <row r="78" spans="1:15" ht="18" customHeight="1">
      <c r="A78" s="1008" t="s">
        <v>164</v>
      </c>
      <c r="B78" s="1006" t="s">
        <v>320</v>
      </c>
      <c r="E78" s="1000" t="s">
        <v>358</v>
      </c>
      <c r="F78" s="1759" t="s">
        <v>359</v>
      </c>
      <c r="G78" s="1759"/>
      <c r="H78" s="1759"/>
      <c r="I78" s="1759"/>
    </row>
    <row r="79" spans="1:15" ht="18" customHeight="1">
      <c r="A79" s="1009" t="s">
        <v>165</v>
      </c>
      <c r="B79" s="1006" t="s">
        <v>321</v>
      </c>
      <c r="E79" s="1000" t="s">
        <v>360</v>
      </c>
      <c r="F79" s="1759" t="s">
        <v>361</v>
      </c>
      <c r="G79" s="1759"/>
      <c r="H79" s="1759"/>
      <c r="I79" s="1759"/>
    </row>
    <row r="80" spans="1:15" ht="18" customHeight="1">
      <c r="E80" s="1000" t="s">
        <v>362</v>
      </c>
      <c r="F80" s="1759" t="s">
        <v>363</v>
      </c>
      <c r="G80" s="1759"/>
      <c r="H80" s="1759"/>
      <c r="I80" s="1759"/>
    </row>
    <row r="81" spans="5:9" ht="18" customHeight="1">
      <c r="E81" s="1000" t="s">
        <v>364</v>
      </c>
      <c r="F81" s="1759" t="s">
        <v>365</v>
      </c>
      <c r="G81" s="1759"/>
      <c r="H81" s="1759"/>
      <c r="I81" s="1759"/>
    </row>
    <row r="82" spans="5:9" ht="18" customHeight="1"/>
    <row r="83" spans="5:9" ht="18" customHeight="1"/>
  </sheetData>
  <mergeCells count="31">
    <mergeCell ref="A3:H3"/>
    <mergeCell ref="A2:H2"/>
    <mergeCell ref="A1:R1"/>
    <mergeCell ref="A67:F67"/>
    <mergeCell ref="A60:B60"/>
    <mergeCell ref="B5:F5"/>
    <mergeCell ref="B24:F24"/>
    <mergeCell ref="A11:H11"/>
    <mergeCell ref="J24:O24"/>
    <mergeCell ref="J5:O5"/>
    <mergeCell ref="A54:K54"/>
    <mergeCell ref="A18:N18"/>
    <mergeCell ref="A21:N21"/>
    <mergeCell ref="A22:N22"/>
    <mergeCell ref="A30:H30"/>
    <mergeCell ref="F79:I79"/>
    <mergeCell ref="F80:I80"/>
    <mergeCell ref="F81:I81"/>
    <mergeCell ref="F77:I77"/>
    <mergeCell ref="A55:K55"/>
    <mergeCell ref="A56:K56"/>
    <mergeCell ref="A57:K57"/>
    <mergeCell ref="A58:K58"/>
    <mergeCell ref="A72:F72"/>
    <mergeCell ref="A73:F73"/>
    <mergeCell ref="E75:O75"/>
    <mergeCell ref="F78:I78"/>
    <mergeCell ref="A68:F68"/>
    <mergeCell ref="A69:F69"/>
    <mergeCell ref="A71:F71"/>
    <mergeCell ref="A70:F70"/>
  </mergeCells>
  <phoneticPr fontId="41" type="noConversion"/>
  <conditionalFormatting sqref="AG7:AG10 AG26:AG29">
    <cfRule type="cellIs" dxfId="3" priority="5" operator="equal">
      <formula>"GOLD"</formula>
    </cfRule>
    <cfRule type="cellIs" dxfId="2" priority="6" operator="equal">
      <formula>"PLATINUM"</formula>
    </cfRule>
    <cfRule type="cellIs" dxfId="1" priority="7" operator="equal">
      <formula>"SILVER"</formula>
    </cfRule>
    <cfRule type="cellIs" dxfId="0" priority="8" operator="equal">
      <formula>"BRONZE"</formula>
    </cfRule>
  </conditionalFormatting>
  <pageMargins left="0.7" right="0.7" top="0.75" bottom="0.75" header="0.3" footer="0.3"/>
  <pageSetup paperSize="9" orientation="portrait" r:id="rId1"/>
  <ignoredErrors>
    <ignoredError sqref="L10 L29 D29 D10" formula="1"/>
    <ignoredError sqref="AE9 AG26:AG27 AG28:AG29" evalError="1"/>
  </ignoredError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CA555-9D1A-4CD1-AFAF-8EB92DAF4A25}">
  <sheetPr>
    <tabColor theme="8" tint="0.59999389629810485"/>
  </sheetPr>
  <dimension ref="A1:AB59"/>
  <sheetViews>
    <sheetView showGridLines="0" zoomScale="90" zoomScaleNormal="90" workbookViewId="0"/>
  </sheetViews>
  <sheetFormatPr baseColWidth="10" defaultColWidth="8.85546875" defaultRowHeight="15" outlineLevelCol="1"/>
  <cols>
    <col min="1" max="1" width="17.140625" style="633" customWidth="1"/>
    <col min="2" max="2" width="22.7109375" style="633" bestFit="1" customWidth="1"/>
    <col min="3" max="7" width="9.7109375" style="633" hidden="1" customWidth="1" outlineLevel="1"/>
    <col min="8" max="8" width="9.7109375" style="633" customWidth="1" collapsed="1"/>
    <col min="9" max="20" width="9.7109375" style="633" customWidth="1"/>
    <col min="21" max="22" width="10.28515625" style="633" customWidth="1"/>
    <col min="23" max="23" width="19" style="633" customWidth="1"/>
    <col min="24" max="24" width="9.28515625" style="633" customWidth="1"/>
    <col min="25" max="25" width="11.28515625" style="633" customWidth="1"/>
    <col min="26" max="26" width="9.85546875" style="633" customWidth="1"/>
    <col min="27" max="16384" width="8.85546875" style="633"/>
  </cols>
  <sheetData>
    <row r="1" spans="1:28" ht="24" customHeight="1">
      <c r="A1" s="1232" t="s">
        <v>305</v>
      </c>
      <c r="B1" s="1224"/>
      <c r="C1" s="1224"/>
      <c r="D1" s="1224"/>
      <c r="E1" s="1224"/>
      <c r="F1" s="1224"/>
      <c r="G1" s="1224"/>
      <c r="H1" s="1224"/>
      <c r="I1" s="1224"/>
      <c r="J1" s="1224"/>
      <c r="K1" s="1224"/>
      <c r="L1" s="1224"/>
      <c r="M1" s="1224"/>
      <c r="N1" s="1224"/>
      <c r="O1" s="1224"/>
      <c r="P1" s="1224"/>
      <c r="Q1" s="1224"/>
      <c r="R1" s="1224"/>
      <c r="S1" s="1224"/>
      <c r="T1" s="1224"/>
      <c r="U1" s="1224"/>
      <c r="V1" s="1224"/>
      <c r="W1" s="1224"/>
      <c r="X1" s="1224"/>
      <c r="Y1" s="1224"/>
      <c r="Z1" s="1224"/>
    </row>
    <row r="2" spans="1:28" ht="18" customHeight="1" thickBot="1">
      <c r="A2" s="227" t="s">
        <v>424</v>
      </c>
      <c r="B2" s="786"/>
      <c r="T2" s="643"/>
      <c r="AA2" s="638"/>
      <c r="AB2" s="639"/>
    </row>
    <row r="3" spans="1:28" ht="18" customHeight="1">
      <c r="A3" s="787" t="s">
        <v>0</v>
      </c>
      <c r="B3" s="787"/>
      <c r="C3" s="636">
        <v>45688</v>
      </c>
      <c r="D3" s="636">
        <v>45716</v>
      </c>
      <c r="E3" s="636">
        <v>45747</v>
      </c>
      <c r="F3" s="636">
        <v>45777</v>
      </c>
      <c r="G3" s="636">
        <v>45808</v>
      </c>
      <c r="H3" s="1357">
        <v>45838</v>
      </c>
      <c r="I3" s="1265">
        <v>45869</v>
      </c>
      <c r="J3" s="1265">
        <v>45900</v>
      </c>
      <c r="K3" s="1265">
        <v>45930</v>
      </c>
      <c r="L3" s="1265">
        <v>45961</v>
      </c>
      <c r="M3" s="1265">
        <v>45991</v>
      </c>
      <c r="N3" s="1266">
        <v>46022</v>
      </c>
      <c r="O3" s="886">
        <v>46053</v>
      </c>
      <c r="P3" s="887">
        <v>46081</v>
      </c>
      <c r="Q3" s="887">
        <v>46112</v>
      </c>
      <c r="R3" s="887">
        <v>46142</v>
      </c>
      <c r="S3" s="887">
        <v>46173</v>
      </c>
      <c r="T3" s="1375">
        <v>46203</v>
      </c>
      <c r="U3" s="637" t="s">
        <v>1</v>
      </c>
      <c r="V3" s="644" t="s">
        <v>12</v>
      </c>
      <c r="W3" s="637" t="s">
        <v>302</v>
      </c>
      <c r="X3" s="639" t="s">
        <v>62</v>
      </c>
      <c r="Y3" s="788" t="s">
        <v>133</v>
      </c>
      <c r="Z3" s="639" t="s">
        <v>7</v>
      </c>
    </row>
    <row r="4" spans="1:28" ht="18" customHeight="1">
      <c r="A4" s="789" t="s">
        <v>155</v>
      </c>
      <c r="B4" s="720" t="s">
        <v>310</v>
      </c>
      <c r="C4" s="790">
        <v>4377</v>
      </c>
      <c r="D4" s="790">
        <v>3694</v>
      </c>
      <c r="E4" s="790">
        <v>3161</v>
      </c>
      <c r="F4" s="790">
        <v>3199</v>
      </c>
      <c r="G4" s="790">
        <v>3454</v>
      </c>
      <c r="H4" s="1358">
        <v>2969</v>
      </c>
      <c r="I4" s="1328">
        <v>4374</v>
      </c>
      <c r="J4" s="1328">
        <v>1312</v>
      </c>
      <c r="K4" s="1328">
        <v>1683</v>
      </c>
      <c r="L4" s="1328">
        <v>5771</v>
      </c>
      <c r="M4" s="1328">
        <v>4927</v>
      </c>
      <c r="N4" s="1329">
        <v>3646</v>
      </c>
      <c r="O4" s="1376">
        <v>2951</v>
      </c>
      <c r="P4" s="791">
        <v>2686</v>
      </c>
      <c r="Q4" s="791">
        <v>2775</v>
      </c>
      <c r="R4" s="791">
        <v>2893</v>
      </c>
      <c r="S4" s="791">
        <v>2500</v>
      </c>
      <c r="T4" s="1377">
        <v>1561</v>
      </c>
      <c r="U4" s="792">
        <f>SUM(O4:T4)</f>
        <v>15366</v>
      </c>
      <c r="V4" s="791"/>
      <c r="W4" s="12"/>
      <c r="X4" s="12">
        <f>IFERROR(T4/S4-1,100%)</f>
        <v>-0.37560000000000004</v>
      </c>
      <c r="Y4" s="790">
        <f>SUM(C4:H4)</f>
        <v>20854</v>
      </c>
      <c r="Z4" s="12">
        <f>+U4/Y4-1</f>
        <v>-0.26316294236117777</v>
      </c>
    </row>
    <row r="5" spans="1:28" ht="18" customHeight="1">
      <c r="A5" s="787" t="s">
        <v>155</v>
      </c>
      <c r="B5" s="793" t="s">
        <v>311</v>
      </c>
      <c r="C5" s="794">
        <v>388</v>
      </c>
      <c r="D5" s="794">
        <v>393</v>
      </c>
      <c r="E5" s="794">
        <v>291</v>
      </c>
      <c r="F5" s="794">
        <v>259</v>
      </c>
      <c r="G5" s="794">
        <v>323.5</v>
      </c>
      <c r="H5" s="1359">
        <v>356</v>
      </c>
      <c r="I5" s="1360">
        <v>273</v>
      </c>
      <c r="J5" s="1360">
        <v>74.5</v>
      </c>
      <c r="K5" s="1360">
        <v>346</v>
      </c>
      <c r="L5" s="1360">
        <v>504.5</v>
      </c>
      <c r="M5" s="1360">
        <v>428.5</v>
      </c>
      <c r="N5" s="1361">
        <v>351</v>
      </c>
      <c r="O5" s="1378">
        <v>290.5</v>
      </c>
      <c r="P5" s="1379">
        <v>333.5</v>
      </c>
      <c r="Q5" s="1379">
        <v>442.5</v>
      </c>
      <c r="R5" s="1379">
        <v>508.5</v>
      </c>
      <c r="S5" s="1379">
        <v>325</v>
      </c>
      <c r="T5" s="1380">
        <v>360</v>
      </c>
      <c r="U5" s="796">
        <f>SUM(O5:T5)</f>
        <v>2260</v>
      </c>
      <c r="V5" s="795"/>
      <c r="W5" s="797"/>
      <c r="X5" s="797">
        <f t="shared" ref="X5:X6" si="0">IFERROR(T5/S5-1,100%)</f>
        <v>0.10769230769230775</v>
      </c>
      <c r="Y5" s="794">
        <f>SUM(C5:H5)</f>
        <v>2010.5</v>
      </c>
      <c r="Z5" s="797">
        <f>+U5/Y5-1</f>
        <v>0.12409848296443671</v>
      </c>
    </row>
    <row r="6" spans="1:28" ht="18" customHeight="1">
      <c r="A6" s="789" t="s">
        <v>155</v>
      </c>
      <c r="B6" s="798" t="s">
        <v>312</v>
      </c>
      <c r="C6" s="799">
        <v>11.280927835051546</v>
      </c>
      <c r="D6" s="799">
        <v>9.3994910941475833</v>
      </c>
      <c r="E6" s="799">
        <v>10.862542955326461</v>
      </c>
      <c r="F6" s="799">
        <v>12.351351351351351</v>
      </c>
      <c r="G6" s="799">
        <v>10.676970633693973</v>
      </c>
      <c r="H6" s="1362">
        <v>8.3398876404494384</v>
      </c>
      <c r="I6" s="1353">
        <v>16.021978021978022</v>
      </c>
      <c r="J6" s="1353">
        <v>17.610738255033556</v>
      </c>
      <c r="K6" s="1353">
        <v>4.8641618497109826</v>
      </c>
      <c r="L6" s="1353">
        <v>11.439048562933598</v>
      </c>
      <c r="M6" s="1353">
        <v>11.498249708284714</v>
      </c>
      <c r="N6" s="1363">
        <v>10.387464387464387</v>
      </c>
      <c r="O6" s="1381">
        <v>10.158347676419966</v>
      </c>
      <c r="P6" s="800">
        <v>8.0539730134932537</v>
      </c>
      <c r="Q6" s="800">
        <v>6.2711864406779663</v>
      </c>
      <c r="R6" s="800">
        <v>5.689282202556539</v>
      </c>
      <c r="S6" s="800">
        <v>7.6923076923076925</v>
      </c>
      <c r="T6" s="1382">
        <v>4.3361111111111112</v>
      </c>
      <c r="U6" s="800">
        <f>+U4/U5</f>
        <v>6.7991150442477872</v>
      </c>
      <c r="V6" s="801">
        <v>8.1872465074357805</v>
      </c>
      <c r="W6" s="802">
        <f>+U6/V6-1</f>
        <v>-0.16954802349327958</v>
      </c>
      <c r="X6" s="802">
        <f t="shared" si="0"/>
        <v>-0.4363055555555555</v>
      </c>
      <c r="Y6" s="799">
        <f>+Y4/Y5</f>
        <v>10.372544143247948</v>
      </c>
      <c r="Z6" s="802">
        <f>+U6/Y6-1</f>
        <v>-0.34450844938811853</v>
      </c>
    </row>
    <row r="7" spans="1:28" ht="18" customHeight="1">
      <c r="A7" s="803"/>
      <c r="C7" s="804"/>
      <c r="D7" s="804"/>
      <c r="E7" s="804"/>
      <c r="F7" s="804"/>
      <c r="G7" s="804"/>
      <c r="H7" s="1364"/>
      <c r="I7" s="1365"/>
      <c r="J7" s="1365"/>
      <c r="K7" s="1365"/>
      <c r="L7" s="1365"/>
      <c r="M7" s="1365"/>
      <c r="N7" s="1366"/>
      <c r="O7" s="1383"/>
      <c r="P7" s="1384"/>
      <c r="Q7" s="1384"/>
      <c r="R7" s="1384"/>
      <c r="S7" s="1384"/>
      <c r="T7" s="1385"/>
      <c r="U7" s="806"/>
      <c r="V7" s="805"/>
      <c r="W7" s="807"/>
      <c r="X7" s="807"/>
      <c r="Y7" s="804"/>
      <c r="Z7" s="807"/>
    </row>
    <row r="8" spans="1:28" ht="18" customHeight="1">
      <c r="A8" s="787" t="s">
        <v>151</v>
      </c>
      <c r="B8" s="633" t="s">
        <v>310</v>
      </c>
      <c r="C8" s="804">
        <v>2304</v>
      </c>
      <c r="D8" s="804">
        <v>1643</v>
      </c>
      <c r="E8" s="804">
        <v>1500</v>
      </c>
      <c r="F8" s="804">
        <v>1283</v>
      </c>
      <c r="G8" s="804">
        <v>1524</v>
      </c>
      <c r="H8" s="1364">
        <v>1766</v>
      </c>
      <c r="I8" s="1365">
        <v>1679</v>
      </c>
      <c r="J8" s="1365">
        <v>367</v>
      </c>
      <c r="K8" s="1365">
        <v>960</v>
      </c>
      <c r="L8" s="1365">
        <v>2837</v>
      </c>
      <c r="M8" s="1365">
        <v>1490</v>
      </c>
      <c r="N8" s="1366">
        <v>1073</v>
      </c>
      <c r="O8" s="1383">
        <v>1358</v>
      </c>
      <c r="P8" s="1384">
        <v>1221</v>
      </c>
      <c r="Q8" s="1384">
        <v>1127</v>
      </c>
      <c r="R8" s="1384">
        <v>1329</v>
      </c>
      <c r="S8" s="1384">
        <v>1435</v>
      </c>
      <c r="T8" s="1385">
        <v>1511</v>
      </c>
      <c r="U8" s="806">
        <f>SUM(O8:T8)</f>
        <v>7981</v>
      </c>
      <c r="V8" s="805"/>
      <c r="W8" s="807"/>
      <c r="X8" s="198">
        <f t="shared" ref="X8:X10" si="1">IFERROR(T8/S8-1,100%)</f>
        <v>5.2961672473867516E-2</v>
      </c>
      <c r="Y8" s="804">
        <f>SUM(C8:H8)</f>
        <v>10020</v>
      </c>
      <c r="Z8" s="807">
        <f>+U8/Y8-1</f>
        <v>-0.20349301397205588</v>
      </c>
    </row>
    <row r="9" spans="1:28" ht="18" customHeight="1">
      <c r="A9" s="787" t="s">
        <v>151</v>
      </c>
      <c r="B9" s="793" t="s">
        <v>311</v>
      </c>
      <c r="C9" s="794">
        <v>419.5</v>
      </c>
      <c r="D9" s="794">
        <v>459.5</v>
      </c>
      <c r="E9" s="794">
        <v>375</v>
      </c>
      <c r="F9" s="794">
        <v>346.5</v>
      </c>
      <c r="G9" s="794">
        <v>408</v>
      </c>
      <c r="H9" s="1359">
        <v>432.5</v>
      </c>
      <c r="I9" s="1360">
        <v>450.5</v>
      </c>
      <c r="J9" s="1360">
        <v>75.5</v>
      </c>
      <c r="K9" s="1360">
        <v>361.5</v>
      </c>
      <c r="L9" s="1360">
        <v>433</v>
      </c>
      <c r="M9" s="1360">
        <v>355.5</v>
      </c>
      <c r="N9" s="1361">
        <v>407</v>
      </c>
      <c r="O9" s="1378">
        <v>367</v>
      </c>
      <c r="P9" s="1379">
        <v>386</v>
      </c>
      <c r="Q9" s="1379">
        <v>354.5</v>
      </c>
      <c r="R9" s="1379">
        <v>384</v>
      </c>
      <c r="S9" s="1379">
        <v>444</v>
      </c>
      <c r="T9" s="1380">
        <v>504.5</v>
      </c>
      <c r="U9" s="796">
        <f>SUM(O9:T9)</f>
        <v>2440</v>
      </c>
      <c r="V9" s="795"/>
      <c r="W9" s="797"/>
      <c r="X9" s="797">
        <f t="shared" si="1"/>
        <v>0.13626126126126126</v>
      </c>
      <c r="Y9" s="794">
        <f>SUM(C9:H9)</f>
        <v>2441</v>
      </c>
      <c r="Z9" s="797">
        <f>+U9/Y9-1</f>
        <v>-4.0966816878329482E-4</v>
      </c>
    </row>
    <row r="10" spans="1:28" ht="18" customHeight="1">
      <c r="A10" s="789" t="s">
        <v>151</v>
      </c>
      <c r="B10" s="798" t="s">
        <v>312</v>
      </c>
      <c r="C10" s="799">
        <v>5.4922526817640049</v>
      </c>
      <c r="D10" s="799">
        <v>3.5756256800870512</v>
      </c>
      <c r="E10" s="799">
        <v>4</v>
      </c>
      <c r="F10" s="799">
        <v>3.7027417027417027</v>
      </c>
      <c r="G10" s="799">
        <v>3.7352941176470589</v>
      </c>
      <c r="H10" s="1362">
        <v>4.0832369942196536</v>
      </c>
      <c r="I10" s="1353">
        <v>3.7269700332963374</v>
      </c>
      <c r="J10" s="1353">
        <v>4.8609271523178812</v>
      </c>
      <c r="K10" s="1353">
        <v>2.6556016597510372</v>
      </c>
      <c r="L10" s="1353">
        <v>6.5519630484988456</v>
      </c>
      <c r="M10" s="1353">
        <v>4.1912798874824189</v>
      </c>
      <c r="N10" s="1363">
        <v>2.6363636363636362</v>
      </c>
      <c r="O10" s="1381">
        <v>3.7002724795640325</v>
      </c>
      <c r="P10" s="800">
        <v>3.1632124352331608</v>
      </c>
      <c r="Q10" s="800">
        <v>3.1791255289139633</v>
      </c>
      <c r="R10" s="800">
        <v>3.4609375</v>
      </c>
      <c r="S10" s="800">
        <v>3.2319819819819822</v>
      </c>
      <c r="T10" s="1382">
        <v>2.9950445986124876</v>
      </c>
      <c r="U10" s="800">
        <f>+U8/U9</f>
        <v>3.2709016393442623</v>
      </c>
      <c r="V10" s="801">
        <v>1.97</v>
      </c>
      <c r="W10" s="12">
        <f>+U10/V10-1</f>
        <v>0.66035616210368642</v>
      </c>
      <c r="X10" s="802">
        <f t="shared" si="1"/>
        <v>-7.3310242659272218E-2</v>
      </c>
      <c r="Y10" s="799">
        <f>+Y8/Y9</f>
        <v>4.1048750512085208</v>
      </c>
      <c r="Z10" s="12">
        <f>+U10/Y10-1</f>
        <v>-0.20316657668270011</v>
      </c>
    </row>
    <row r="11" spans="1:28" ht="18" customHeight="1">
      <c r="A11" s="803"/>
      <c r="C11" s="804"/>
      <c r="D11" s="804"/>
      <c r="E11" s="804"/>
      <c r="F11" s="804"/>
      <c r="G11" s="804"/>
      <c r="H11" s="1364"/>
      <c r="I11" s="1365"/>
      <c r="J11" s="1365"/>
      <c r="K11" s="1365"/>
      <c r="L11" s="1365"/>
      <c r="M11" s="1365"/>
      <c r="N11" s="1366"/>
      <c r="O11" s="1383"/>
      <c r="P11" s="1384"/>
      <c r="Q11" s="1384"/>
      <c r="R11" s="1384"/>
      <c r="S11" s="1384"/>
      <c r="T11" s="1385"/>
      <c r="U11" s="806"/>
      <c r="V11" s="805"/>
      <c r="W11" s="807"/>
      <c r="X11" s="807"/>
      <c r="Y11" s="804"/>
      <c r="Z11" s="807"/>
    </row>
    <row r="12" spans="1:28" ht="18" customHeight="1">
      <c r="A12" s="787" t="s">
        <v>156</v>
      </c>
      <c r="B12" s="633" t="s">
        <v>310</v>
      </c>
      <c r="C12" s="804"/>
      <c r="D12" s="804"/>
      <c r="E12" s="804"/>
      <c r="F12" s="804"/>
      <c r="G12" s="804"/>
      <c r="H12" s="1364"/>
      <c r="I12" s="1365"/>
      <c r="J12" s="1365"/>
      <c r="K12" s="1365"/>
      <c r="L12" s="1365"/>
      <c r="M12" s="1365"/>
      <c r="N12" s="1366"/>
      <c r="O12" s="1383"/>
      <c r="P12" s="1384"/>
      <c r="Q12" s="1384"/>
      <c r="R12" s="1384"/>
      <c r="S12" s="1384"/>
      <c r="T12" s="1385"/>
      <c r="U12" s="806"/>
      <c r="V12" s="805"/>
      <c r="W12" s="807"/>
      <c r="X12" s="807"/>
      <c r="Y12" s="804">
        <f>SUM(C12:H12)</f>
        <v>0</v>
      </c>
      <c r="Z12" s="807"/>
    </row>
    <row r="13" spans="1:28" ht="18" customHeight="1">
      <c r="A13" s="787" t="s">
        <v>156</v>
      </c>
      <c r="B13" s="793" t="s">
        <v>311</v>
      </c>
      <c r="C13" s="794"/>
      <c r="D13" s="794"/>
      <c r="E13" s="794"/>
      <c r="F13" s="794"/>
      <c r="G13" s="794"/>
      <c r="H13" s="1359"/>
      <c r="I13" s="1360"/>
      <c r="J13" s="1360"/>
      <c r="K13" s="1360"/>
      <c r="L13" s="1360"/>
      <c r="M13" s="1360"/>
      <c r="N13" s="1361"/>
      <c r="O13" s="1378"/>
      <c r="P13" s="1379"/>
      <c r="Q13" s="1379"/>
      <c r="R13" s="1379"/>
      <c r="S13" s="1379"/>
      <c r="T13" s="1380"/>
      <c r="U13" s="796"/>
      <c r="V13" s="795"/>
      <c r="W13" s="797"/>
      <c r="X13" s="797"/>
      <c r="Y13" s="794">
        <f>SUM(C13:H13)</f>
        <v>0</v>
      </c>
      <c r="Z13" s="797"/>
    </row>
    <row r="14" spans="1:28" ht="18" customHeight="1">
      <c r="A14" s="789" t="s">
        <v>156</v>
      </c>
      <c r="B14" s="798" t="s">
        <v>312</v>
      </c>
      <c r="C14" s="799"/>
      <c r="D14" s="799"/>
      <c r="E14" s="799"/>
      <c r="F14" s="799"/>
      <c r="G14" s="799"/>
      <c r="H14" s="1362"/>
      <c r="I14" s="1353"/>
      <c r="J14" s="1353"/>
      <c r="K14" s="1353"/>
      <c r="L14" s="1353"/>
      <c r="M14" s="1353"/>
      <c r="N14" s="1363"/>
      <c r="O14" s="1381"/>
      <c r="P14" s="800"/>
      <c r="Q14" s="800"/>
      <c r="R14" s="800"/>
      <c r="S14" s="800"/>
      <c r="T14" s="1382"/>
      <c r="U14" s="800"/>
      <c r="V14" s="801"/>
      <c r="W14" s="802"/>
      <c r="X14" s="808"/>
      <c r="Y14" s="809"/>
      <c r="Z14" s="802"/>
    </row>
    <row r="15" spans="1:28" ht="18" customHeight="1">
      <c r="A15" s="803"/>
      <c r="C15" s="804"/>
      <c r="D15" s="804"/>
      <c r="E15" s="804"/>
      <c r="F15" s="804"/>
      <c r="G15" s="804"/>
      <c r="H15" s="1364"/>
      <c r="I15" s="1365"/>
      <c r="J15" s="1365"/>
      <c r="K15" s="1365"/>
      <c r="L15" s="1365"/>
      <c r="M15" s="1365"/>
      <c r="N15" s="1366"/>
      <c r="O15" s="1383"/>
      <c r="P15" s="1384"/>
      <c r="Q15" s="1384"/>
      <c r="R15" s="1384"/>
      <c r="S15" s="1384"/>
      <c r="T15" s="1385"/>
      <c r="U15" s="806"/>
      <c r="V15" s="805"/>
      <c r="W15" s="807"/>
      <c r="X15" s="807"/>
      <c r="Y15" s="804"/>
      <c r="Z15" s="807"/>
    </row>
    <row r="16" spans="1:28" ht="18" customHeight="1">
      <c r="A16" s="810" t="s">
        <v>313</v>
      </c>
      <c r="B16" s="810"/>
      <c r="C16" s="811">
        <v>6681</v>
      </c>
      <c r="D16" s="811">
        <v>5337</v>
      </c>
      <c r="E16" s="811">
        <v>4661</v>
      </c>
      <c r="F16" s="811">
        <v>4482</v>
      </c>
      <c r="G16" s="811">
        <v>4978</v>
      </c>
      <c r="H16" s="1367">
        <v>4735</v>
      </c>
      <c r="I16" s="1354">
        <v>6053</v>
      </c>
      <c r="J16" s="1354">
        <v>1679</v>
      </c>
      <c r="K16" s="1354">
        <v>2643</v>
      </c>
      <c r="L16" s="1354">
        <v>8608</v>
      </c>
      <c r="M16" s="1354">
        <v>6417</v>
      </c>
      <c r="N16" s="1368">
        <v>4719</v>
      </c>
      <c r="O16" s="1386">
        <v>4309</v>
      </c>
      <c r="P16" s="812">
        <v>3907</v>
      </c>
      <c r="Q16" s="812">
        <v>3902</v>
      </c>
      <c r="R16" s="812">
        <v>4222</v>
      </c>
      <c r="S16" s="812">
        <v>3935</v>
      </c>
      <c r="T16" s="1387">
        <v>3072</v>
      </c>
      <c r="U16" s="812">
        <f>SUM(O16:T16)</f>
        <v>23347</v>
      </c>
      <c r="V16" s="813"/>
      <c r="W16" s="814"/>
      <c r="X16" s="815">
        <f t="shared" ref="X16:X18" si="2">IFERROR(T16/S16-1,100%)</f>
        <v>-0.21931385006353243</v>
      </c>
      <c r="Y16" s="811">
        <f>SUM(C16:H16)</f>
        <v>30874</v>
      </c>
      <c r="Z16" s="815">
        <f>+U16/Y16-1</f>
        <v>-0.24379736995530221</v>
      </c>
    </row>
    <row r="17" spans="1:26" ht="18" customHeight="1">
      <c r="A17" s="787" t="s">
        <v>314</v>
      </c>
      <c r="B17" s="787"/>
      <c r="C17" s="816">
        <v>807.5</v>
      </c>
      <c r="D17" s="816">
        <v>852.5</v>
      </c>
      <c r="E17" s="816">
        <v>666</v>
      </c>
      <c r="F17" s="816">
        <v>605.5</v>
      </c>
      <c r="G17" s="816">
        <v>731.5</v>
      </c>
      <c r="H17" s="1369">
        <v>788.5</v>
      </c>
      <c r="I17" s="1370">
        <v>723.5</v>
      </c>
      <c r="J17" s="1370">
        <v>150</v>
      </c>
      <c r="K17" s="1370">
        <v>707.5</v>
      </c>
      <c r="L17" s="1370">
        <v>937.5</v>
      </c>
      <c r="M17" s="1370">
        <v>784</v>
      </c>
      <c r="N17" s="1371">
        <v>758</v>
      </c>
      <c r="O17" s="1388">
        <v>657.5</v>
      </c>
      <c r="P17" s="1389">
        <v>719.5</v>
      </c>
      <c r="Q17" s="1389">
        <v>797</v>
      </c>
      <c r="R17" s="1389">
        <v>892.5</v>
      </c>
      <c r="S17" s="1389">
        <v>769</v>
      </c>
      <c r="T17" s="1390">
        <v>864.5</v>
      </c>
      <c r="U17" s="796">
        <f>SUM(O17:T17)</f>
        <v>4700</v>
      </c>
      <c r="V17" s="795"/>
      <c r="W17" s="797"/>
      <c r="X17" s="817">
        <f t="shared" si="2"/>
        <v>0.12418725617685311</v>
      </c>
      <c r="Y17" s="816">
        <f>SUM(C17:H17)</f>
        <v>4451.5</v>
      </c>
      <c r="Z17" s="817">
        <f>+U17/Y17-1</f>
        <v>5.5823879591148984E-2</v>
      </c>
    </row>
    <row r="18" spans="1:26" ht="18" customHeight="1" thickBot="1">
      <c r="A18" s="818" t="s">
        <v>322</v>
      </c>
      <c r="B18" s="818"/>
      <c r="C18" s="819">
        <v>8.2736842105263158</v>
      </c>
      <c r="D18" s="819">
        <v>6.260410557184751</v>
      </c>
      <c r="E18" s="819">
        <v>6.9984984984984981</v>
      </c>
      <c r="F18" s="819">
        <v>7.4021469859620153</v>
      </c>
      <c r="G18" s="819">
        <v>6.8051948051948052</v>
      </c>
      <c r="H18" s="1372">
        <v>6.0050729232720359</v>
      </c>
      <c r="I18" s="1373">
        <v>8.3662750518313747</v>
      </c>
      <c r="J18" s="1373">
        <v>11.193333333333333</v>
      </c>
      <c r="K18" s="1373">
        <v>3.7356890459363958</v>
      </c>
      <c r="L18" s="1373">
        <v>9.1818666666666662</v>
      </c>
      <c r="M18" s="1373">
        <v>8.1849489795918373</v>
      </c>
      <c r="N18" s="1374">
        <v>6.2255936675461738</v>
      </c>
      <c r="O18" s="1391">
        <v>6.55361216730038</v>
      </c>
      <c r="P18" s="1392">
        <v>5.4301598332175125</v>
      </c>
      <c r="Q18" s="1392">
        <v>4.8958594730238394</v>
      </c>
      <c r="R18" s="1392">
        <v>4.7305322128851541</v>
      </c>
      <c r="S18" s="1392">
        <v>5.11703511053316</v>
      </c>
      <c r="T18" s="1393">
        <v>3.5534991324465008</v>
      </c>
      <c r="U18" s="820">
        <f>+U16/U17</f>
        <v>4.9674468085106387</v>
      </c>
      <c r="V18" s="821">
        <v>6.56</v>
      </c>
      <c r="W18" s="822">
        <f>+U18/V18-1</f>
        <v>-0.24276725480020744</v>
      </c>
      <c r="X18" s="823">
        <f t="shared" si="2"/>
        <v>-0.30555506153713874</v>
      </c>
      <c r="Y18" s="819">
        <f>+Y16/Y17</f>
        <v>6.9356396720206668</v>
      </c>
      <c r="Z18" s="823">
        <f>+U18/Y18-1</f>
        <v>-0.28377957284170796</v>
      </c>
    </row>
    <row r="19" spans="1:26" ht="18" customHeight="1">
      <c r="A19" s="2" t="s">
        <v>477</v>
      </c>
      <c r="B19" s="786"/>
      <c r="H19" s="1350"/>
      <c r="I19" s="1350"/>
      <c r="J19" s="1350"/>
      <c r="K19" s="1350"/>
      <c r="L19" s="1350"/>
      <c r="M19" s="1350"/>
      <c r="N19" s="1350"/>
      <c r="U19" s="824"/>
      <c r="V19" s="786"/>
      <c r="W19" s="786"/>
      <c r="X19" s="786"/>
      <c r="Y19" s="786"/>
    </row>
    <row r="20" spans="1:26" ht="18" customHeight="1">
      <c r="A20" s="2"/>
      <c r="B20" s="786"/>
      <c r="H20" s="1350"/>
      <c r="I20" s="1350"/>
      <c r="J20" s="1350"/>
      <c r="K20" s="1350"/>
      <c r="L20" s="1350"/>
      <c r="M20" s="1350"/>
      <c r="N20" s="1350"/>
      <c r="U20" s="824"/>
      <c r="V20" s="786"/>
      <c r="W20" s="786"/>
      <c r="X20" s="786"/>
      <c r="Y20" s="786"/>
    </row>
    <row r="21" spans="1:26" ht="24" customHeight="1">
      <c r="A21" s="1232" t="s">
        <v>354</v>
      </c>
      <c r="B21" s="1233"/>
      <c r="C21" s="1233"/>
      <c r="D21" s="1233"/>
      <c r="E21" s="1233"/>
      <c r="F21" s="1233"/>
      <c r="G21" s="1233"/>
      <c r="H21" s="1355"/>
      <c r="I21" s="1355"/>
      <c r="J21" s="1355"/>
      <c r="K21" s="1355"/>
      <c r="L21" s="1355"/>
      <c r="M21" s="1355"/>
      <c r="N21" s="1355"/>
      <c r="O21" s="1233"/>
      <c r="P21" s="1233"/>
      <c r="Q21" s="1233"/>
      <c r="R21" s="1233"/>
      <c r="S21" s="1233"/>
      <c r="T21" s="1233"/>
      <c r="U21" s="1234"/>
      <c r="V21" s="1233"/>
      <c r="W21" s="1233"/>
      <c r="X21" s="1233"/>
      <c r="Y21" s="1233"/>
      <c r="Z21" s="1224"/>
    </row>
    <row r="22" spans="1:26" ht="18" customHeight="1" thickBot="1">
      <c r="A22" s="227" t="s">
        <v>425</v>
      </c>
      <c r="B22" s="786"/>
      <c r="C22" s="786"/>
      <c r="D22" s="786"/>
      <c r="E22" s="786"/>
      <c r="F22" s="786"/>
      <c r="G22" s="786"/>
      <c r="H22" s="1356"/>
      <c r="I22" s="1356"/>
      <c r="J22" s="1356"/>
      <c r="K22" s="1356"/>
      <c r="L22" s="1356"/>
      <c r="M22" s="1356"/>
      <c r="N22" s="1356"/>
      <c r="O22" s="786"/>
      <c r="P22" s="786"/>
      <c r="Q22" s="786"/>
      <c r="R22" s="786"/>
      <c r="S22" s="786"/>
      <c r="T22" s="825"/>
      <c r="U22" s="824"/>
      <c r="V22" s="786"/>
      <c r="W22" s="786"/>
      <c r="X22" s="786"/>
    </row>
    <row r="23" spans="1:26" ht="18" customHeight="1">
      <c r="A23" s="787" t="s">
        <v>309</v>
      </c>
      <c r="B23" s="787"/>
      <c r="C23" s="636">
        <v>45688</v>
      </c>
      <c r="D23" s="636">
        <v>45716</v>
      </c>
      <c r="E23" s="636">
        <v>45747</v>
      </c>
      <c r="F23" s="636">
        <v>45777</v>
      </c>
      <c r="G23" s="636">
        <v>45808</v>
      </c>
      <c r="H23" s="1357">
        <v>45838</v>
      </c>
      <c r="I23" s="1265">
        <v>45869</v>
      </c>
      <c r="J23" s="1265">
        <v>45900</v>
      </c>
      <c r="K23" s="1265">
        <v>45930</v>
      </c>
      <c r="L23" s="1265">
        <v>45961</v>
      </c>
      <c r="M23" s="1265">
        <v>45991</v>
      </c>
      <c r="N23" s="1266">
        <v>46022</v>
      </c>
      <c r="O23" s="886">
        <v>46053</v>
      </c>
      <c r="P23" s="887">
        <v>46081</v>
      </c>
      <c r="Q23" s="887">
        <v>46112</v>
      </c>
      <c r="R23" s="887">
        <v>46142</v>
      </c>
      <c r="S23" s="887">
        <v>46173</v>
      </c>
      <c r="T23" s="1375">
        <v>46203</v>
      </c>
      <c r="U23" s="637" t="s">
        <v>1</v>
      </c>
      <c r="V23" s="644" t="s">
        <v>12</v>
      </c>
      <c r="W23" s="637" t="s">
        <v>302</v>
      </c>
      <c r="X23" s="639" t="s">
        <v>62</v>
      </c>
      <c r="Y23" s="788" t="s">
        <v>133</v>
      </c>
      <c r="Z23" s="639" t="s">
        <v>7</v>
      </c>
    </row>
    <row r="24" spans="1:26" ht="18" customHeight="1">
      <c r="A24" s="789" t="s">
        <v>155</v>
      </c>
      <c r="B24" s="826" t="s">
        <v>310</v>
      </c>
      <c r="C24" s="790">
        <v>4377</v>
      </c>
      <c r="D24" s="790">
        <v>3694</v>
      </c>
      <c r="E24" s="790">
        <v>3161</v>
      </c>
      <c r="F24" s="790">
        <v>3199</v>
      </c>
      <c r="G24" s="790">
        <v>3454</v>
      </c>
      <c r="H24" s="1358">
        <v>2969</v>
      </c>
      <c r="I24" s="1328">
        <v>4374</v>
      </c>
      <c r="J24" s="1328">
        <v>1312</v>
      </c>
      <c r="K24" s="1328">
        <v>1683</v>
      </c>
      <c r="L24" s="1328">
        <v>5771</v>
      </c>
      <c r="M24" s="1328">
        <v>4927</v>
      </c>
      <c r="N24" s="1329">
        <v>3646</v>
      </c>
      <c r="O24" s="1376">
        <v>2951</v>
      </c>
      <c r="P24" s="791">
        <v>2686</v>
      </c>
      <c r="Q24" s="791">
        <v>2775</v>
      </c>
      <c r="R24" s="791">
        <v>2893</v>
      </c>
      <c r="S24" s="791">
        <v>2500</v>
      </c>
      <c r="T24" s="1377">
        <v>1561</v>
      </c>
      <c r="U24" s="792">
        <f>SUM(O24:T24)</f>
        <v>15366</v>
      </c>
      <c r="V24" s="791"/>
      <c r="W24" s="12"/>
      <c r="X24" s="12">
        <f>IFERROR(T24/S24-1,100%)</f>
        <v>-0.37560000000000004</v>
      </c>
      <c r="Y24" s="790">
        <f>SUM(C24:H24)</f>
        <v>20854</v>
      </c>
      <c r="Z24" s="12">
        <f>+U24/Y24-1</f>
        <v>-0.26316294236117777</v>
      </c>
    </row>
    <row r="25" spans="1:26" ht="18" customHeight="1">
      <c r="A25" s="787" t="s">
        <v>155</v>
      </c>
      <c r="B25" s="803" t="s">
        <v>315</v>
      </c>
      <c r="C25" s="794">
        <v>202</v>
      </c>
      <c r="D25" s="794">
        <v>185</v>
      </c>
      <c r="E25" s="794">
        <v>133</v>
      </c>
      <c r="F25" s="794">
        <v>136</v>
      </c>
      <c r="G25" s="794">
        <v>170</v>
      </c>
      <c r="H25" s="1359">
        <v>160.5</v>
      </c>
      <c r="I25" s="1360">
        <v>194.5</v>
      </c>
      <c r="J25" s="1360">
        <v>34</v>
      </c>
      <c r="K25" s="1360">
        <v>183</v>
      </c>
      <c r="L25" s="1360">
        <v>210.5</v>
      </c>
      <c r="M25" s="1360">
        <v>185</v>
      </c>
      <c r="N25" s="1361">
        <v>187</v>
      </c>
      <c r="O25" s="1378">
        <v>192.5</v>
      </c>
      <c r="P25" s="1379">
        <v>178</v>
      </c>
      <c r="Q25" s="1379">
        <v>164.5</v>
      </c>
      <c r="R25" s="1379">
        <v>202</v>
      </c>
      <c r="S25" s="1379">
        <v>169</v>
      </c>
      <c r="T25" s="1380">
        <v>205.5</v>
      </c>
      <c r="U25" s="796">
        <f>SUM(O25:T25)</f>
        <v>1111.5</v>
      </c>
      <c r="V25" s="795"/>
      <c r="W25" s="797"/>
      <c r="X25" s="797">
        <f t="shared" ref="X25:X26" si="3">IFERROR(T25/S25-1,100%)</f>
        <v>0.21597633136094685</v>
      </c>
      <c r="Y25" s="794">
        <f>SUM(C25:H25)</f>
        <v>986.5</v>
      </c>
      <c r="Z25" s="797">
        <f>+U25/Y25-1</f>
        <v>0.12671059300557519</v>
      </c>
    </row>
    <row r="26" spans="1:26" ht="18" customHeight="1">
      <c r="A26" s="789" t="s">
        <v>155</v>
      </c>
      <c r="B26" s="827" t="s">
        <v>316</v>
      </c>
      <c r="C26" s="799">
        <v>21.668316831683168</v>
      </c>
      <c r="D26" s="799">
        <v>19.967567567567567</v>
      </c>
      <c r="E26" s="799">
        <v>23.766917293233082</v>
      </c>
      <c r="F26" s="799">
        <v>23.522058823529413</v>
      </c>
      <c r="G26" s="799">
        <v>20.317647058823528</v>
      </c>
      <c r="H26" s="1362">
        <v>18.498442367601246</v>
      </c>
      <c r="I26" s="1353">
        <v>22.488431876606683</v>
      </c>
      <c r="J26" s="1353">
        <v>38.588235294117645</v>
      </c>
      <c r="K26" s="1353">
        <v>9.1967213114754092</v>
      </c>
      <c r="L26" s="1353">
        <v>27.415676959619951</v>
      </c>
      <c r="M26" s="1353">
        <v>26.632432432432431</v>
      </c>
      <c r="N26" s="1363">
        <v>19.497326203208555</v>
      </c>
      <c r="O26" s="1381">
        <v>15.32987012987013</v>
      </c>
      <c r="P26" s="800">
        <v>15.089887640449438</v>
      </c>
      <c r="Q26" s="800">
        <v>16.869300911854104</v>
      </c>
      <c r="R26" s="800">
        <v>14.321782178217822</v>
      </c>
      <c r="S26" s="800">
        <v>14.792899408284024</v>
      </c>
      <c r="T26" s="1382">
        <v>7.5961070559610704</v>
      </c>
      <c r="U26" s="800">
        <f>+U24/U25</f>
        <v>13.824561403508772</v>
      </c>
      <c r="V26" s="801">
        <v>40.93623253717891</v>
      </c>
      <c r="W26" s="802">
        <f>+U26/V26-1</f>
        <v>-0.66229033434004725</v>
      </c>
      <c r="X26" s="802">
        <f t="shared" si="3"/>
        <v>-0.48650316301703167</v>
      </c>
      <c r="Y26" s="799">
        <f>+Y24/Y25</f>
        <v>21.139381652306131</v>
      </c>
      <c r="Z26" s="802">
        <f>+U26/Y26-1</f>
        <v>-0.34602810853738353</v>
      </c>
    </row>
    <row r="27" spans="1:26" ht="18" customHeight="1">
      <c r="A27" s="803"/>
      <c r="B27" s="803"/>
      <c r="C27" s="804"/>
      <c r="D27" s="804"/>
      <c r="E27" s="804"/>
      <c r="F27" s="804"/>
      <c r="G27" s="804"/>
      <c r="H27" s="1364"/>
      <c r="I27" s="1365"/>
      <c r="J27" s="1365"/>
      <c r="K27" s="1365"/>
      <c r="L27" s="1365"/>
      <c r="M27" s="1365"/>
      <c r="N27" s="1366"/>
      <c r="O27" s="1383"/>
      <c r="P27" s="1384"/>
      <c r="Q27" s="1384"/>
      <c r="R27" s="1384"/>
      <c r="S27" s="1384"/>
      <c r="T27" s="1385"/>
      <c r="U27" s="806"/>
      <c r="V27" s="805"/>
      <c r="W27" s="807"/>
      <c r="X27" s="807"/>
      <c r="Y27" s="804"/>
      <c r="Z27" s="807"/>
    </row>
    <row r="28" spans="1:26" ht="18" customHeight="1">
      <c r="A28" s="787" t="s">
        <v>151</v>
      </c>
      <c r="B28" s="803" t="s">
        <v>310</v>
      </c>
      <c r="C28" s="804">
        <v>2304</v>
      </c>
      <c r="D28" s="804">
        <v>1643</v>
      </c>
      <c r="E28" s="804">
        <v>1500</v>
      </c>
      <c r="F28" s="804">
        <v>1283</v>
      </c>
      <c r="G28" s="804">
        <v>1524</v>
      </c>
      <c r="H28" s="1364">
        <v>1766</v>
      </c>
      <c r="I28" s="1365">
        <v>1679</v>
      </c>
      <c r="J28" s="1365">
        <v>367</v>
      </c>
      <c r="K28" s="1365">
        <v>960</v>
      </c>
      <c r="L28" s="1365">
        <v>2837</v>
      </c>
      <c r="M28" s="1365">
        <v>1490</v>
      </c>
      <c r="N28" s="1366">
        <v>1073</v>
      </c>
      <c r="O28" s="1383">
        <v>1358</v>
      </c>
      <c r="P28" s="1384">
        <v>1221</v>
      </c>
      <c r="Q28" s="1384">
        <v>1127</v>
      </c>
      <c r="R28" s="1384">
        <v>1329</v>
      </c>
      <c r="S28" s="1384">
        <v>1434</v>
      </c>
      <c r="T28" s="1385">
        <v>1511</v>
      </c>
      <c r="U28" s="806">
        <f t="shared" ref="U28:U29" si="4">SUM(O28:T28)</f>
        <v>7980</v>
      </c>
      <c r="V28" s="805"/>
      <c r="W28" s="807"/>
      <c r="X28" s="807">
        <f t="shared" ref="X28:X30" si="5">IFERROR(T28/S28-1,100%)</f>
        <v>5.3695955369595483E-2</v>
      </c>
      <c r="Y28" s="804">
        <f t="shared" ref="Y28:Y29" si="6">SUM(C28:H28)</f>
        <v>10020</v>
      </c>
      <c r="Z28" s="807">
        <f>+U28/Y28-1</f>
        <v>-0.20359281437125754</v>
      </c>
    </row>
    <row r="29" spans="1:26" ht="18" customHeight="1">
      <c r="A29" s="787" t="s">
        <v>151</v>
      </c>
      <c r="B29" s="803" t="s">
        <v>315</v>
      </c>
      <c r="C29" s="794">
        <v>202</v>
      </c>
      <c r="D29" s="794">
        <v>185</v>
      </c>
      <c r="E29" s="794">
        <v>133</v>
      </c>
      <c r="F29" s="794">
        <v>136</v>
      </c>
      <c r="G29" s="794">
        <v>170</v>
      </c>
      <c r="H29" s="1359">
        <v>160.5</v>
      </c>
      <c r="I29" s="1360">
        <v>194.5</v>
      </c>
      <c r="J29" s="1360">
        <v>34</v>
      </c>
      <c r="K29" s="1360">
        <v>183</v>
      </c>
      <c r="L29" s="1360">
        <v>210.5</v>
      </c>
      <c r="M29" s="1360">
        <v>185</v>
      </c>
      <c r="N29" s="1361">
        <v>187</v>
      </c>
      <c r="O29" s="1378">
        <v>192.5</v>
      </c>
      <c r="P29" s="1379">
        <v>178</v>
      </c>
      <c r="Q29" s="1379">
        <v>164.5</v>
      </c>
      <c r="R29" s="1379">
        <v>202</v>
      </c>
      <c r="S29" s="1379">
        <v>169</v>
      </c>
      <c r="T29" s="1380">
        <v>205.5</v>
      </c>
      <c r="U29" s="796">
        <f t="shared" si="4"/>
        <v>1111.5</v>
      </c>
      <c r="V29" s="795"/>
      <c r="W29" s="797"/>
      <c r="X29" s="797">
        <f t="shared" si="5"/>
        <v>0.21597633136094685</v>
      </c>
      <c r="Y29" s="794">
        <f t="shared" si="6"/>
        <v>986.5</v>
      </c>
      <c r="Z29" s="797">
        <f>+U29/Y29-1</f>
        <v>0.12671059300557519</v>
      </c>
    </row>
    <row r="30" spans="1:26" ht="18" customHeight="1">
      <c r="A30" s="789" t="s">
        <v>151</v>
      </c>
      <c r="B30" s="827" t="s">
        <v>316</v>
      </c>
      <c r="C30" s="799">
        <v>11.405940594059405</v>
      </c>
      <c r="D30" s="799">
        <v>8.8810810810810814</v>
      </c>
      <c r="E30" s="799">
        <v>11.278195488721805</v>
      </c>
      <c r="F30" s="799">
        <v>9.4338235294117645</v>
      </c>
      <c r="G30" s="799">
        <v>8.9647058823529413</v>
      </c>
      <c r="H30" s="1362">
        <v>11.003115264797508</v>
      </c>
      <c r="I30" s="1353">
        <v>8.6323907455012847</v>
      </c>
      <c r="J30" s="1353">
        <v>10.794117647058824</v>
      </c>
      <c r="K30" s="1353">
        <v>5.2459016393442619</v>
      </c>
      <c r="L30" s="1353">
        <v>13.477434679334916</v>
      </c>
      <c r="M30" s="1353">
        <v>8.0540540540540544</v>
      </c>
      <c r="N30" s="1363">
        <v>5.737967914438503</v>
      </c>
      <c r="O30" s="1381">
        <v>7.0545454545454547</v>
      </c>
      <c r="P30" s="800">
        <v>6.8595505617977528</v>
      </c>
      <c r="Q30" s="800">
        <v>6.8510638297872344</v>
      </c>
      <c r="R30" s="800">
        <v>6.5792079207920793</v>
      </c>
      <c r="S30" s="800">
        <v>8.4852071005917153</v>
      </c>
      <c r="T30" s="1382">
        <v>7.3527980535279802</v>
      </c>
      <c r="U30" s="800">
        <f>+U28/U29</f>
        <v>7.1794871794871797</v>
      </c>
      <c r="V30" s="801">
        <v>9.83</v>
      </c>
      <c r="W30" s="12">
        <f>+U30/V30-1</f>
        <v>-0.26963507838380674</v>
      </c>
      <c r="X30" s="12">
        <f t="shared" si="5"/>
        <v>-0.13345685422159781</v>
      </c>
      <c r="Y30" s="799">
        <f>+Y28/Y29</f>
        <v>10.157121135326914</v>
      </c>
      <c r="Z30" s="12">
        <f>+U30/Y30-1</f>
        <v>-0.29315727519320334</v>
      </c>
    </row>
    <row r="31" spans="1:26" ht="18" customHeight="1">
      <c r="A31" s="803"/>
      <c r="B31" s="803"/>
      <c r="C31" s="804"/>
      <c r="D31" s="804"/>
      <c r="E31" s="804"/>
      <c r="F31" s="804"/>
      <c r="G31" s="804"/>
      <c r="H31" s="1364"/>
      <c r="I31" s="1365"/>
      <c r="J31" s="1365"/>
      <c r="K31" s="1365"/>
      <c r="L31" s="1365"/>
      <c r="M31" s="1365"/>
      <c r="N31" s="1366"/>
      <c r="O31" s="1383"/>
      <c r="P31" s="1384"/>
      <c r="Q31" s="1384"/>
      <c r="R31" s="1384"/>
      <c r="S31" s="1384"/>
      <c r="T31" s="1385"/>
      <c r="U31" s="806"/>
      <c r="V31" s="805"/>
      <c r="W31" s="807"/>
      <c r="X31" s="807"/>
      <c r="Y31" s="804"/>
      <c r="Z31" s="807"/>
    </row>
    <row r="32" spans="1:26" ht="18" customHeight="1">
      <c r="A32" s="787" t="s">
        <v>156</v>
      </c>
      <c r="B32" s="803" t="s">
        <v>310</v>
      </c>
      <c r="C32" s="804"/>
      <c r="D32" s="804"/>
      <c r="E32" s="804"/>
      <c r="F32" s="804"/>
      <c r="G32" s="804"/>
      <c r="H32" s="1364"/>
      <c r="I32" s="1365"/>
      <c r="J32" s="1365"/>
      <c r="K32" s="1365"/>
      <c r="L32" s="1365"/>
      <c r="M32" s="1365"/>
      <c r="N32" s="1366"/>
      <c r="O32" s="1383"/>
      <c r="P32" s="1384"/>
      <c r="Q32" s="1384"/>
      <c r="R32" s="1384"/>
      <c r="S32" s="1384"/>
      <c r="T32" s="1385"/>
      <c r="U32" s="806"/>
      <c r="V32" s="805"/>
      <c r="W32" s="807"/>
      <c r="X32" s="807"/>
      <c r="Y32" s="804">
        <f t="shared" ref="Y32:Y33" si="7">SUM(C32:H32)</f>
        <v>0</v>
      </c>
      <c r="Z32" s="807"/>
    </row>
    <row r="33" spans="1:26" ht="18" customHeight="1">
      <c r="A33" s="787" t="s">
        <v>156</v>
      </c>
      <c r="B33" s="803" t="s">
        <v>315</v>
      </c>
      <c r="C33" s="794">
        <v>202</v>
      </c>
      <c r="D33" s="794">
        <v>185</v>
      </c>
      <c r="E33" s="794">
        <v>133</v>
      </c>
      <c r="F33" s="794">
        <v>136</v>
      </c>
      <c r="G33" s="794">
        <v>170</v>
      </c>
      <c r="H33" s="1359">
        <v>160.5</v>
      </c>
      <c r="I33" s="1360">
        <v>194.5</v>
      </c>
      <c r="J33" s="1360">
        <v>34</v>
      </c>
      <c r="K33" s="1360">
        <v>183</v>
      </c>
      <c r="L33" s="1360">
        <v>210.5</v>
      </c>
      <c r="M33" s="1360">
        <v>185</v>
      </c>
      <c r="N33" s="1361">
        <v>187</v>
      </c>
      <c r="O33" s="1378">
        <v>192.5</v>
      </c>
      <c r="P33" s="1379">
        <v>178</v>
      </c>
      <c r="Q33" s="1379">
        <v>164.5</v>
      </c>
      <c r="R33" s="1379">
        <v>202</v>
      </c>
      <c r="S33" s="1379">
        <v>169</v>
      </c>
      <c r="T33" s="1380">
        <v>205.5</v>
      </c>
      <c r="U33" s="796">
        <f>SUM(O33:T33)</f>
        <v>1111.5</v>
      </c>
      <c r="V33" s="795"/>
      <c r="W33" s="797"/>
      <c r="X33" s="797"/>
      <c r="Y33" s="794">
        <f t="shared" si="7"/>
        <v>986.5</v>
      </c>
      <c r="Z33" s="797"/>
    </row>
    <row r="34" spans="1:26" ht="18" customHeight="1">
      <c r="A34" s="789" t="s">
        <v>156</v>
      </c>
      <c r="B34" s="827" t="s">
        <v>316</v>
      </c>
      <c r="C34" s="799"/>
      <c r="D34" s="799"/>
      <c r="E34" s="799"/>
      <c r="F34" s="799"/>
      <c r="G34" s="799"/>
      <c r="H34" s="1362"/>
      <c r="I34" s="1353"/>
      <c r="J34" s="1353"/>
      <c r="K34" s="1353"/>
      <c r="L34" s="1353"/>
      <c r="M34" s="1353"/>
      <c r="N34" s="1363"/>
      <c r="O34" s="1381"/>
      <c r="P34" s="800"/>
      <c r="Q34" s="800"/>
      <c r="R34" s="800"/>
      <c r="S34" s="800"/>
      <c r="T34" s="1382"/>
      <c r="U34" s="800"/>
      <c r="V34" s="801"/>
      <c r="W34" s="802"/>
      <c r="X34" s="808"/>
      <c r="Y34" s="799">
        <f>+Y32/Y33</f>
        <v>0</v>
      </c>
      <c r="Z34" s="802"/>
    </row>
    <row r="35" spans="1:26" ht="18" customHeight="1">
      <c r="A35" s="803"/>
      <c r="B35" s="803"/>
      <c r="C35" s="804"/>
      <c r="D35" s="804"/>
      <c r="E35" s="804"/>
      <c r="F35" s="804"/>
      <c r="G35" s="804"/>
      <c r="H35" s="1364"/>
      <c r="I35" s="1365"/>
      <c r="J35" s="1365"/>
      <c r="K35" s="1365"/>
      <c r="L35" s="1365"/>
      <c r="M35" s="1365"/>
      <c r="N35" s="1366"/>
      <c r="O35" s="1383"/>
      <c r="P35" s="1384"/>
      <c r="Q35" s="1384"/>
      <c r="R35" s="1384"/>
      <c r="S35" s="1384"/>
      <c r="T35" s="1385"/>
      <c r="U35" s="806"/>
      <c r="V35" s="805"/>
      <c r="W35" s="807"/>
      <c r="X35" s="807"/>
      <c r="Y35" s="804"/>
      <c r="Z35" s="807"/>
    </row>
    <row r="36" spans="1:26" ht="18" customHeight="1">
      <c r="A36" s="828" t="s">
        <v>313</v>
      </c>
      <c r="B36" s="828"/>
      <c r="C36" s="811">
        <v>6681</v>
      </c>
      <c r="D36" s="811">
        <v>5337</v>
      </c>
      <c r="E36" s="811">
        <v>4661</v>
      </c>
      <c r="F36" s="811">
        <v>4482</v>
      </c>
      <c r="G36" s="811">
        <v>4978</v>
      </c>
      <c r="H36" s="1367">
        <v>4735</v>
      </c>
      <c r="I36" s="1354">
        <v>6053</v>
      </c>
      <c r="J36" s="1354">
        <v>1679</v>
      </c>
      <c r="K36" s="1354">
        <v>2643</v>
      </c>
      <c r="L36" s="1354">
        <v>8608</v>
      </c>
      <c r="M36" s="1354">
        <v>6417</v>
      </c>
      <c r="N36" s="1368">
        <v>4719</v>
      </c>
      <c r="O36" s="1386">
        <v>4309</v>
      </c>
      <c r="P36" s="812">
        <v>3907</v>
      </c>
      <c r="Q36" s="812">
        <v>3902</v>
      </c>
      <c r="R36" s="812">
        <v>4222</v>
      </c>
      <c r="S36" s="812">
        <v>3934</v>
      </c>
      <c r="T36" s="1387">
        <v>3072</v>
      </c>
      <c r="U36" s="812">
        <f t="shared" ref="U36:U37" si="8">SUM(O36:T36)</f>
        <v>23346</v>
      </c>
      <c r="V36" s="813"/>
      <c r="W36" s="814"/>
      <c r="X36" s="815">
        <f t="shared" ref="X36:X38" si="9">IFERROR(T36/S36-1,100%)</f>
        <v>-0.21911540416878494</v>
      </c>
      <c r="Y36" s="811">
        <f t="shared" ref="Y36:Y37" si="10">SUM(C36:H36)</f>
        <v>30874</v>
      </c>
      <c r="Z36" s="815">
        <f>+U36/Y36-1</f>
        <v>-0.24382975966832932</v>
      </c>
    </row>
    <row r="37" spans="1:26" ht="18" customHeight="1">
      <c r="A37" s="787" t="s">
        <v>323</v>
      </c>
      <c r="B37" s="787"/>
      <c r="C37" s="816">
        <v>202</v>
      </c>
      <c r="D37" s="816">
        <v>185</v>
      </c>
      <c r="E37" s="816">
        <v>133</v>
      </c>
      <c r="F37" s="816">
        <v>136</v>
      </c>
      <c r="G37" s="816">
        <v>170</v>
      </c>
      <c r="H37" s="1369">
        <v>160.5</v>
      </c>
      <c r="I37" s="1370">
        <v>194.5</v>
      </c>
      <c r="J37" s="1370">
        <v>34</v>
      </c>
      <c r="K37" s="1370">
        <v>183</v>
      </c>
      <c r="L37" s="1370">
        <v>210.5</v>
      </c>
      <c r="M37" s="1370">
        <v>185</v>
      </c>
      <c r="N37" s="1371">
        <v>187</v>
      </c>
      <c r="O37" s="1388">
        <v>192.5</v>
      </c>
      <c r="P37" s="1389">
        <v>178</v>
      </c>
      <c r="Q37" s="1389">
        <v>164.5</v>
      </c>
      <c r="R37" s="1389">
        <v>202</v>
      </c>
      <c r="S37" s="1389">
        <v>169</v>
      </c>
      <c r="T37" s="1390">
        <v>205.5</v>
      </c>
      <c r="U37" s="796">
        <f t="shared" si="8"/>
        <v>1111.5</v>
      </c>
      <c r="V37" s="795"/>
      <c r="W37" s="797"/>
      <c r="X37" s="817">
        <f t="shared" si="9"/>
        <v>0.21597633136094685</v>
      </c>
      <c r="Y37" s="816">
        <f t="shared" si="10"/>
        <v>986.5</v>
      </c>
      <c r="Z37" s="817">
        <f>+U37/Y37-1</f>
        <v>0.12671059300557519</v>
      </c>
    </row>
    <row r="38" spans="1:26" ht="18" customHeight="1" thickBot="1">
      <c r="A38" s="818" t="s">
        <v>324</v>
      </c>
      <c r="B38" s="818"/>
      <c r="C38" s="829">
        <v>33.074257425742573</v>
      </c>
      <c r="D38" s="829">
        <v>28.848648648648648</v>
      </c>
      <c r="E38" s="829">
        <v>35.045112781954884</v>
      </c>
      <c r="F38" s="829">
        <v>32.955882352941174</v>
      </c>
      <c r="G38" s="829">
        <v>29.28235294117647</v>
      </c>
      <c r="H38" s="1394">
        <v>29.501557632398754</v>
      </c>
      <c r="I38" s="1373">
        <v>31.120822622107969</v>
      </c>
      <c r="J38" s="1373">
        <v>49.382352941176471</v>
      </c>
      <c r="K38" s="1373">
        <v>14.442622950819672</v>
      </c>
      <c r="L38" s="1373">
        <v>40.893111638954871</v>
      </c>
      <c r="M38" s="1373">
        <v>34.686486486486487</v>
      </c>
      <c r="N38" s="1374">
        <v>25.235294117647058</v>
      </c>
      <c r="O38" s="1391">
        <v>22.384415584415585</v>
      </c>
      <c r="P38" s="1392">
        <v>21.94943820224719</v>
      </c>
      <c r="Q38" s="1392">
        <v>23.720364741641337</v>
      </c>
      <c r="R38" s="1392">
        <v>20.900990099009903</v>
      </c>
      <c r="S38" s="1392">
        <v>23.278106508875741</v>
      </c>
      <c r="T38" s="1393">
        <v>14.948905109489051</v>
      </c>
      <c r="U38" s="820">
        <f>+U36/U37</f>
        <v>21.004048582995953</v>
      </c>
      <c r="V38" s="821">
        <v>65.58</v>
      </c>
      <c r="W38" s="822">
        <f>+U38/V38-1</f>
        <v>-0.67971868583415751</v>
      </c>
      <c r="X38" s="823">
        <f t="shared" si="9"/>
        <v>-0.35781266814853852</v>
      </c>
      <c r="Y38" s="829">
        <f>+Y36/Y37</f>
        <v>31.296502787633045</v>
      </c>
      <c r="Z38" s="823">
        <f>+U38/Y38-1</f>
        <v>-0.32886914791975419</v>
      </c>
    </row>
    <row r="39" spans="1:26" ht="18" customHeight="1">
      <c r="L39" s="636"/>
      <c r="M39" s="636"/>
      <c r="U39" s="786"/>
      <c r="V39" s="786"/>
      <c r="W39" s="786"/>
      <c r="X39" s="786"/>
    </row>
    <row r="40" spans="1:26" ht="18" customHeight="1">
      <c r="C40" s="683"/>
      <c r="D40" s="683"/>
      <c r="E40" s="683"/>
      <c r="F40" s="683"/>
      <c r="G40" s="683"/>
      <c r="H40" s="683"/>
      <c r="I40" s="683"/>
      <c r="J40" s="683"/>
      <c r="K40" s="683"/>
      <c r="L40" s="683"/>
      <c r="M40" s="683"/>
      <c r="N40" s="683"/>
      <c r="O40" s="683"/>
      <c r="P40" s="683"/>
      <c r="Q40" s="683"/>
      <c r="R40" s="683"/>
      <c r="S40" s="683"/>
      <c r="T40" s="683"/>
      <c r="U40" s="786"/>
      <c r="V40" s="786"/>
      <c r="W40" s="786"/>
      <c r="X40" s="786"/>
    </row>
    <row r="41" spans="1:26" ht="18" customHeight="1"/>
    <row r="42" spans="1:26" ht="18" customHeight="1"/>
    <row r="43" spans="1:26" ht="18" customHeight="1"/>
    <row r="44" spans="1:26" ht="18" customHeight="1"/>
    <row r="45" spans="1:26" ht="18" customHeight="1"/>
    <row r="46" spans="1:26" ht="18" customHeight="1"/>
    <row r="47" spans="1:26" ht="18" customHeight="1"/>
    <row r="48" spans="1:26"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sheetData>
  <pageMargins left="0.7" right="0.7" top="0.75" bottom="0.75" header="0.3" footer="0.3"/>
  <ignoredErrors>
    <ignoredError sqref="U4:U5 U8:U17 U24:U25 U27:U38 Y21:Y38 Y4:Y19" formulaRange="1"/>
  </ignoredError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B7BF8-EB45-47D1-92C9-1A83CC23CA1F}">
  <sheetPr>
    <tabColor theme="8" tint="0.59999389629810485"/>
  </sheetPr>
  <dimension ref="A1:AC43"/>
  <sheetViews>
    <sheetView showGridLines="0" topLeftCell="A5" zoomScale="90" zoomScaleNormal="90" workbookViewId="0">
      <pane xSplit="1" topLeftCell="B1" activePane="topRight" state="frozen"/>
      <selection pane="topRight" activeCell="P27" sqref="P27"/>
    </sheetView>
  </sheetViews>
  <sheetFormatPr baseColWidth="10" defaultColWidth="8.85546875" defaultRowHeight="15" outlineLevelRow="2" outlineLevelCol="1"/>
  <cols>
    <col min="1" max="1" width="25" style="633" customWidth="1"/>
    <col min="2" max="6" width="10" style="633" hidden="1" customWidth="1" outlineLevel="1"/>
    <col min="7" max="7" width="10" style="633" customWidth="1" collapsed="1"/>
    <col min="8" max="19" width="10" style="633" customWidth="1"/>
    <col min="20" max="20" width="11" style="633" customWidth="1"/>
    <col min="21" max="21" width="12.7109375" style="633" customWidth="1"/>
    <col min="22" max="22" width="10.140625" style="633" bestFit="1" customWidth="1"/>
    <col min="23" max="23" width="10.140625" style="633" customWidth="1"/>
    <col min="24" max="24" width="11.42578125" style="633" customWidth="1"/>
    <col min="25" max="25" width="8.85546875" style="633"/>
    <col min="26" max="26" width="11.28515625" style="633" customWidth="1"/>
    <col min="27" max="16384" width="8.85546875" style="633"/>
  </cols>
  <sheetData>
    <row r="1" spans="1:27" ht="21" customHeight="1">
      <c r="A1" s="1218" t="s">
        <v>19</v>
      </c>
      <c r="B1" s="1235"/>
      <c r="C1" s="1235"/>
      <c r="D1" s="1235"/>
      <c r="E1" s="1235"/>
      <c r="F1" s="1235"/>
      <c r="G1" s="1235"/>
      <c r="H1" s="1235"/>
      <c r="I1" s="1235"/>
      <c r="J1" s="1235"/>
      <c r="K1" s="1235"/>
      <c r="L1" s="1235"/>
      <c r="M1" s="1235"/>
      <c r="N1" s="1235"/>
      <c r="O1" s="1235"/>
      <c r="P1" s="1235"/>
      <c r="Q1" s="1235"/>
      <c r="R1" s="1235"/>
      <c r="S1" s="1235"/>
      <c r="T1" s="1235"/>
      <c r="U1" s="1219"/>
      <c r="V1" s="1219"/>
      <c r="W1" s="1219"/>
      <c r="X1" s="1219"/>
      <c r="Y1" s="1219"/>
      <c r="Z1" s="1219"/>
      <c r="AA1" s="1219"/>
    </row>
    <row r="2" spans="1:27" ht="21" customHeight="1">
      <c r="A2" s="105" t="s">
        <v>8</v>
      </c>
      <c r="K2" s="227"/>
      <c r="T2" s="830"/>
    </row>
    <row r="3" spans="1:27" ht="21" customHeight="1" thickBot="1">
      <c r="A3" s="227" t="s">
        <v>426</v>
      </c>
      <c r="S3" s="643"/>
      <c r="T3" s="643"/>
    </row>
    <row r="4" spans="1:27" ht="21" customHeight="1" outlineLevel="1">
      <c r="A4" s="1236" t="s">
        <v>41</v>
      </c>
      <c r="B4" s="634">
        <v>45688</v>
      </c>
      <c r="C4" s="634">
        <v>45716</v>
      </c>
      <c r="D4" s="634">
        <v>45747</v>
      </c>
      <c r="E4" s="634">
        <v>45777</v>
      </c>
      <c r="F4" s="634">
        <v>45808</v>
      </c>
      <c r="G4" s="1279">
        <v>45838</v>
      </c>
      <c r="H4" s="1264">
        <v>45869</v>
      </c>
      <c r="I4" s="1265">
        <v>45900</v>
      </c>
      <c r="J4" s="1265">
        <v>45930</v>
      </c>
      <c r="K4" s="1265">
        <v>45961</v>
      </c>
      <c r="L4" s="1265">
        <v>45991</v>
      </c>
      <c r="M4" s="1266">
        <v>46022</v>
      </c>
      <c r="N4" s="875">
        <v>46053</v>
      </c>
      <c r="O4" s="876">
        <v>46081</v>
      </c>
      <c r="P4" s="876">
        <v>46112</v>
      </c>
      <c r="Q4" s="876">
        <v>46142</v>
      </c>
      <c r="R4" s="877">
        <v>46173</v>
      </c>
      <c r="S4" s="635">
        <v>46203</v>
      </c>
      <c r="T4" s="634" t="s">
        <v>1</v>
      </c>
      <c r="U4" s="638" t="s">
        <v>12</v>
      </c>
      <c r="V4" s="639" t="s">
        <v>262</v>
      </c>
      <c r="W4" s="639" t="s">
        <v>75</v>
      </c>
      <c r="X4" s="831" t="s">
        <v>133</v>
      </c>
      <c r="Y4" s="639" t="s">
        <v>24</v>
      </c>
      <c r="Z4" s="638" t="s">
        <v>17</v>
      </c>
      <c r="AA4" s="644" t="s">
        <v>373</v>
      </c>
    </row>
    <row r="5" spans="1:27" ht="21" customHeight="1" outlineLevel="2">
      <c r="A5" s="422" t="s">
        <v>226</v>
      </c>
      <c r="B5" s="790">
        <v>4523</v>
      </c>
      <c r="C5" s="790">
        <v>3850</v>
      </c>
      <c r="D5" s="790">
        <v>2740</v>
      </c>
      <c r="E5" s="790">
        <v>3280</v>
      </c>
      <c r="F5" s="790">
        <v>3583</v>
      </c>
      <c r="G5" s="1326">
        <v>2928</v>
      </c>
      <c r="H5" s="1327">
        <v>4382</v>
      </c>
      <c r="I5" s="1328">
        <v>1140</v>
      </c>
      <c r="J5" s="1328">
        <v>3357</v>
      </c>
      <c r="K5" s="1328">
        <v>3617</v>
      </c>
      <c r="L5" s="1328">
        <v>4784</v>
      </c>
      <c r="M5" s="1329">
        <v>3331</v>
      </c>
      <c r="N5" s="925">
        <v>3246</v>
      </c>
      <c r="O5" s="832">
        <v>2503</v>
      </c>
      <c r="P5" s="832">
        <v>2749</v>
      </c>
      <c r="Q5" s="832">
        <v>2769</v>
      </c>
      <c r="R5" s="926">
        <v>2532</v>
      </c>
      <c r="S5" s="833">
        <v>1500</v>
      </c>
      <c r="T5" s="832">
        <f>SUM(N5:S5)</f>
        <v>15299</v>
      </c>
      <c r="U5" s="832"/>
      <c r="V5" s="423"/>
      <c r="W5" s="423">
        <f>IFERROR(S5/R5-1,100%)</f>
        <v>-0.40758293838862558</v>
      </c>
      <c r="X5" s="834">
        <f>SUM(B5:G5)</f>
        <v>20904</v>
      </c>
      <c r="Y5" s="424">
        <f>+T5/X5-1</f>
        <v>-0.2681305013394566</v>
      </c>
      <c r="Z5" s="425">
        <f>+T5+AA5-Delivery!U40</f>
        <v>18</v>
      </c>
      <c r="AA5" s="426">
        <v>1537</v>
      </c>
    </row>
    <row r="6" spans="1:27" ht="21" customHeight="1" outlineLevel="2">
      <c r="A6" s="293" t="s">
        <v>227</v>
      </c>
      <c r="B6" s="835">
        <v>202146.49000000005</v>
      </c>
      <c r="C6" s="835">
        <v>170449.61</v>
      </c>
      <c r="D6" s="835">
        <v>136977.90000000005</v>
      </c>
      <c r="E6" s="835">
        <v>112796.39999999998</v>
      </c>
      <c r="F6" s="835">
        <v>153489.3900000001</v>
      </c>
      <c r="G6" s="1330">
        <v>133601.25</v>
      </c>
      <c r="H6" s="1331">
        <v>171640.58</v>
      </c>
      <c r="I6" s="1332">
        <v>25459.24</v>
      </c>
      <c r="J6" s="1332">
        <v>142370.34000000003</v>
      </c>
      <c r="K6" s="1332">
        <v>153598.73000000004</v>
      </c>
      <c r="L6" s="1332">
        <v>163253.58000000005</v>
      </c>
      <c r="M6" s="1333">
        <v>155414.94000000003</v>
      </c>
      <c r="N6" s="927">
        <v>131914.27999999994</v>
      </c>
      <c r="O6" s="928">
        <v>115658.16666666663</v>
      </c>
      <c r="P6" s="928">
        <v>118011.03000000007</v>
      </c>
      <c r="Q6" s="928">
        <v>137511.02999999997</v>
      </c>
      <c r="R6" s="929">
        <v>104725.79000000002</v>
      </c>
      <c r="S6" s="836">
        <v>100927.74000000003</v>
      </c>
      <c r="T6" s="837">
        <f t="shared" ref="T6:T7" si="0">SUM(N6:S6)</f>
        <v>708748.03666666662</v>
      </c>
      <c r="U6" s="30"/>
      <c r="V6" s="427"/>
      <c r="W6" s="427">
        <f t="shared" ref="W6:W10" si="1">IFERROR(S6/R6-1,100%)</f>
        <v>-3.6266615892799559E-2</v>
      </c>
      <c r="X6" s="838">
        <f t="shared" ref="X6:X7" si="2">SUM(B6:G6)</f>
        <v>909461.04000000027</v>
      </c>
      <c r="Y6" s="428">
        <f>+T6/X6-1</f>
        <v>-0.22069444924582315</v>
      </c>
      <c r="Z6" s="429"/>
      <c r="AA6" s="49"/>
    </row>
    <row r="7" spans="1:27" ht="21" customHeight="1" outlineLevel="2" thickBot="1">
      <c r="A7" s="430" t="s">
        <v>137</v>
      </c>
      <c r="B7" s="839">
        <v>304050</v>
      </c>
      <c r="C7" s="839">
        <v>276330</v>
      </c>
      <c r="D7" s="839">
        <v>219150</v>
      </c>
      <c r="E7" s="839">
        <v>190080</v>
      </c>
      <c r="F7" s="839">
        <v>219780</v>
      </c>
      <c r="G7" s="1334">
        <v>200400</v>
      </c>
      <c r="H7" s="1335">
        <v>239400</v>
      </c>
      <c r="I7" s="1336">
        <v>43050</v>
      </c>
      <c r="J7" s="1336">
        <v>212970</v>
      </c>
      <c r="K7" s="1336">
        <v>248370</v>
      </c>
      <c r="L7" s="1336">
        <v>217110</v>
      </c>
      <c r="M7" s="1337">
        <v>208800</v>
      </c>
      <c r="N7" s="930">
        <v>190860</v>
      </c>
      <c r="O7" s="840">
        <v>176870</v>
      </c>
      <c r="P7" s="840">
        <v>180120</v>
      </c>
      <c r="Q7" s="840">
        <v>191220</v>
      </c>
      <c r="R7" s="931">
        <v>151080</v>
      </c>
      <c r="S7" s="841">
        <v>178980</v>
      </c>
      <c r="T7" s="842">
        <f t="shared" si="0"/>
        <v>1069130</v>
      </c>
      <c r="U7" s="431"/>
      <c r="V7" s="432"/>
      <c r="W7" s="432">
        <f t="shared" si="1"/>
        <v>0.18467037331215241</v>
      </c>
      <c r="X7" s="843">
        <f t="shared" si="2"/>
        <v>1409790</v>
      </c>
      <c r="Y7" s="433">
        <f>+T7/X7-1</f>
        <v>-0.24163882564069827</v>
      </c>
      <c r="Z7" s="434"/>
      <c r="AA7" s="435"/>
    </row>
    <row r="8" spans="1:27" ht="21" customHeight="1" outlineLevel="2">
      <c r="A8" s="436" t="s">
        <v>39</v>
      </c>
      <c r="B8" s="437">
        <f t="shared" ref="B8:M8" si="3">IFERROR(B6/B7,"")</f>
        <v>0.66484620950501583</v>
      </c>
      <c r="C8" s="437">
        <f t="shared" si="3"/>
        <v>0.61683353237071614</v>
      </c>
      <c r="D8" s="437">
        <f t="shared" si="3"/>
        <v>0.62504175222450398</v>
      </c>
      <c r="E8" s="437">
        <f t="shared" si="3"/>
        <v>0.59341540404040394</v>
      </c>
      <c r="F8" s="437">
        <f t="shared" si="3"/>
        <v>0.69837742287742333</v>
      </c>
      <c r="G8" s="1338">
        <f t="shared" si="3"/>
        <v>0.66667290419161673</v>
      </c>
      <c r="H8" s="1339">
        <f t="shared" si="3"/>
        <v>0.71696148705096063</v>
      </c>
      <c r="I8" s="1340">
        <f t="shared" si="3"/>
        <v>0.59138768873403025</v>
      </c>
      <c r="J8" s="1340">
        <f t="shared" si="3"/>
        <v>0.66849950697281324</v>
      </c>
      <c r="K8" s="1340">
        <f t="shared" si="3"/>
        <v>0.61842706446028117</v>
      </c>
      <c r="L8" s="1340">
        <f t="shared" si="3"/>
        <v>0.7519394776841235</v>
      </c>
      <c r="M8" s="1341">
        <f t="shared" si="3"/>
        <v>0.74432442528735643</v>
      </c>
      <c r="N8" s="932">
        <f t="shared" ref="N8:S8" si="4">IFERROR(N6/N7,"")</f>
        <v>0.69115728806454957</v>
      </c>
      <c r="O8" s="438">
        <f t="shared" ref="O8:R8" si="5">IFERROR(O6/O7,"")</f>
        <v>0.65391624733796927</v>
      </c>
      <c r="P8" s="438">
        <f t="shared" si="5"/>
        <v>0.65518004663557672</v>
      </c>
      <c r="Q8" s="438">
        <f t="shared" si="5"/>
        <v>0.7191247254471288</v>
      </c>
      <c r="R8" s="933">
        <f t="shared" si="5"/>
        <v>0.69318102991792441</v>
      </c>
      <c r="S8" s="439">
        <f t="shared" si="4"/>
        <v>0.56390512906470014</v>
      </c>
      <c r="T8" s="438"/>
      <c r="U8" s="440"/>
      <c r="V8" s="441"/>
      <c r="W8" s="441">
        <f t="shared" si="1"/>
        <v>-0.18649659363663063</v>
      </c>
      <c r="X8" s="442"/>
      <c r="Y8" s="443"/>
      <c r="Z8" s="844"/>
      <c r="AA8" s="844"/>
    </row>
    <row r="9" spans="1:27" ht="21" customHeight="1" outlineLevel="2">
      <c r="A9" s="444" t="s">
        <v>40</v>
      </c>
      <c r="B9" s="445">
        <f>SUM($B6:B6)/SUM($B7:B7)</f>
        <v>0.66484620950501583</v>
      </c>
      <c r="C9" s="445">
        <f>SUM($B6:C6)/SUM($B7:C7)</f>
        <v>0.64198645714876468</v>
      </c>
      <c r="D9" s="445">
        <f>SUM($B6:D6)/SUM($B7:D7)</f>
        <v>0.6373419383888036</v>
      </c>
      <c r="E9" s="445">
        <f>SUM($B6:E6)/SUM($B7:E7)</f>
        <v>0.62890472004122855</v>
      </c>
      <c r="F9" s="445">
        <f>SUM($B6:F6)/SUM($B7:F7)</f>
        <v>0.64152985389328532</v>
      </c>
      <c r="G9" s="1342">
        <f>SUM($B6:G6)/SUM($B7:G7)</f>
        <v>0.64510390909284376</v>
      </c>
      <c r="H9" s="1343">
        <f>SUM($B6:H6)/SUM($B7:H7)</f>
        <v>0.65553491107755946</v>
      </c>
      <c r="I9" s="1344">
        <f>SUM($B6:I6)/SUM($B7:I7)</f>
        <v>0.65390302793929955</v>
      </c>
      <c r="J9" s="1344">
        <f>SUM($B6:J6)/SUM($B7:J7)</f>
        <v>0.65553466546994843</v>
      </c>
      <c r="K9" s="1344">
        <f>SUM($B6:K6)/SUM($B7:K7)</f>
        <v>0.65125508687859301</v>
      </c>
      <c r="L9" s="1344">
        <f>SUM($B6:L6)/SUM($B7:L7)</f>
        <v>0.66047585723987556</v>
      </c>
      <c r="M9" s="1345">
        <f>SUM($B6:M6)/SUM($B7:M7)</f>
        <v>0.66726308301253368</v>
      </c>
      <c r="N9" s="934">
        <f>SUM(N6:$N6)/SUM(N7:$N7)</f>
        <v>0.69115728806454957</v>
      </c>
      <c r="O9" s="446">
        <f>SUM($N6:O6)/SUM($N7:O7)</f>
        <v>0.67324517082279545</v>
      </c>
      <c r="P9" s="446">
        <f>SUM($N6:P6)/SUM($N7:P7)</f>
        <v>0.66730578929755702</v>
      </c>
      <c r="Q9" s="446">
        <f>SUM($N6:Q6)/SUM($N7:Q7)</f>
        <v>0.68071293201816685</v>
      </c>
      <c r="R9" s="935">
        <f>SUM($N6:R6)/SUM($N7:R7)</f>
        <v>0.68282907000692761</v>
      </c>
      <c r="S9" s="447">
        <f>SUM($N6:S6)/SUM($N7:S7)</f>
        <v>0.66292035268551686</v>
      </c>
      <c r="T9" s="446">
        <f>+T6/T7</f>
        <v>0.66292035268551686</v>
      </c>
      <c r="U9" s="448">
        <v>0.79</v>
      </c>
      <c r="V9" s="449">
        <f>T9/U9-1</f>
        <v>-0.16086031305630777</v>
      </c>
      <c r="W9" s="449">
        <f t="shared" si="1"/>
        <v>-2.9156224003774156E-2</v>
      </c>
      <c r="X9" s="450">
        <f>+X6/X7</f>
        <v>0.64510390909284376</v>
      </c>
      <c r="Y9" s="451">
        <f>+T9/X9-1</f>
        <v>2.7617943933601063E-2</v>
      </c>
      <c r="Z9" s="845"/>
      <c r="AA9" s="845"/>
    </row>
    <row r="10" spans="1:27" ht="21" customHeight="1" outlineLevel="2" thickBot="1">
      <c r="A10" s="452" t="s">
        <v>261</v>
      </c>
      <c r="B10" s="453">
        <f t="shared" ref="B10:R10" si="6">IFERROR(B5/(B7/60),0)</f>
        <v>0.89255056734089788</v>
      </c>
      <c r="C10" s="453">
        <f t="shared" si="6"/>
        <v>0.83595700792530669</v>
      </c>
      <c r="D10" s="453">
        <f t="shared" si="6"/>
        <v>0.75017111567419581</v>
      </c>
      <c r="E10" s="453">
        <f t="shared" si="6"/>
        <v>1.0353535353535352</v>
      </c>
      <c r="F10" s="453">
        <f t="shared" si="6"/>
        <v>0.97815997815997813</v>
      </c>
      <c r="G10" s="1346">
        <f t="shared" si="6"/>
        <v>0.87664670658682631</v>
      </c>
      <c r="H10" s="1347">
        <f t="shared" si="6"/>
        <v>1.0982456140350878</v>
      </c>
      <c r="I10" s="1348">
        <f t="shared" si="6"/>
        <v>1.5888501742160279</v>
      </c>
      <c r="J10" s="1348">
        <f t="shared" si="6"/>
        <v>0.945767009437949</v>
      </c>
      <c r="K10" s="1348">
        <f t="shared" si="6"/>
        <v>0.87377702621089504</v>
      </c>
      <c r="L10" s="1348">
        <f t="shared" si="6"/>
        <v>1.322094790659113</v>
      </c>
      <c r="M10" s="1349">
        <f t="shared" si="6"/>
        <v>0.95718390804597697</v>
      </c>
      <c r="N10" s="936">
        <f t="shared" si="6"/>
        <v>1.0204338258409305</v>
      </c>
      <c r="O10" s="937">
        <f t="shared" si="6"/>
        <v>0.84909820772318645</v>
      </c>
      <c r="P10" s="937">
        <f t="shared" si="6"/>
        <v>0.91572285143237842</v>
      </c>
      <c r="Q10" s="937">
        <f t="shared" si="6"/>
        <v>0.86884217132099151</v>
      </c>
      <c r="R10" s="938">
        <f t="shared" si="6"/>
        <v>1.005559968228753</v>
      </c>
      <c r="S10" s="455">
        <f t="shared" ref="S10:T10" si="7">IFERROR(S5/(S7/60),0)</f>
        <v>0.50284948038887023</v>
      </c>
      <c r="T10" s="454">
        <f t="shared" si="7"/>
        <v>0.85858595306464136</v>
      </c>
      <c r="U10" s="453">
        <v>1.05</v>
      </c>
      <c r="V10" s="456">
        <f>T10/U10-1</f>
        <v>-0.18229909231938923</v>
      </c>
      <c r="W10" s="456">
        <f t="shared" si="1"/>
        <v>-0.49993088798610774</v>
      </c>
      <c r="X10" s="453">
        <f>+X5/(X7/60)</f>
        <v>0.88966441810482411</v>
      </c>
      <c r="Y10" s="424">
        <f>+T10/X10-1</f>
        <v>-3.4932795341401368E-2</v>
      </c>
      <c r="Z10" s="720"/>
      <c r="AA10" s="720"/>
    </row>
    <row r="11" spans="1:27" ht="21" customHeight="1" outlineLevel="1" thickBot="1">
      <c r="G11" s="1350"/>
      <c r="H11" s="1350"/>
      <c r="I11" s="1350"/>
      <c r="J11" s="1350"/>
      <c r="K11" s="1350"/>
      <c r="L11" s="1350"/>
      <c r="M11" s="1350"/>
      <c r="T11" s="640"/>
      <c r="X11" s="640"/>
    </row>
    <row r="12" spans="1:27" ht="21" customHeight="1" outlineLevel="1">
      <c r="A12" s="1236" t="s">
        <v>38</v>
      </c>
      <c r="B12" s="634">
        <v>45688</v>
      </c>
      <c r="C12" s="634">
        <v>45716</v>
      </c>
      <c r="D12" s="634">
        <v>45747</v>
      </c>
      <c r="E12" s="634">
        <v>45777</v>
      </c>
      <c r="F12" s="634">
        <v>45808</v>
      </c>
      <c r="G12" s="1279">
        <v>45838</v>
      </c>
      <c r="H12" s="1264">
        <v>45869</v>
      </c>
      <c r="I12" s="1265">
        <v>45900</v>
      </c>
      <c r="J12" s="1265">
        <v>45930</v>
      </c>
      <c r="K12" s="1265">
        <v>45961</v>
      </c>
      <c r="L12" s="1265">
        <v>45991</v>
      </c>
      <c r="M12" s="1266">
        <v>46022</v>
      </c>
      <c r="N12" s="875">
        <v>46053</v>
      </c>
      <c r="O12" s="876">
        <v>46081</v>
      </c>
      <c r="P12" s="876">
        <v>46112</v>
      </c>
      <c r="Q12" s="876">
        <v>46142</v>
      </c>
      <c r="R12" s="877">
        <v>46173</v>
      </c>
      <c r="S12" s="635">
        <v>46203</v>
      </c>
      <c r="T12" s="634" t="s">
        <v>1</v>
      </c>
      <c r="U12" s="638" t="s">
        <v>12</v>
      </c>
      <c r="V12" s="639" t="s">
        <v>262</v>
      </c>
      <c r="W12" s="639" t="s">
        <v>75</v>
      </c>
      <c r="X12" s="831" t="s">
        <v>133</v>
      </c>
      <c r="Y12" s="639" t="s">
        <v>24</v>
      </c>
      <c r="Z12" s="638" t="s">
        <v>17</v>
      </c>
      <c r="AA12" s="644" t="s">
        <v>373</v>
      </c>
    </row>
    <row r="13" spans="1:27" ht="21" customHeight="1" outlineLevel="2">
      <c r="A13" s="422" t="s">
        <v>226</v>
      </c>
      <c r="B13" s="790">
        <v>2331</v>
      </c>
      <c r="C13" s="790">
        <v>1625</v>
      </c>
      <c r="D13" s="790">
        <v>1493</v>
      </c>
      <c r="E13" s="790">
        <v>1285</v>
      </c>
      <c r="F13" s="790">
        <v>1532</v>
      </c>
      <c r="G13" s="1326">
        <v>1764</v>
      </c>
      <c r="H13" s="1327">
        <v>1715</v>
      </c>
      <c r="I13" s="1328">
        <v>339</v>
      </c>
      <c r="J13" s="1328">
        <v>1901</v>
      </c>
      <c r="K13" s="1328">
        <v>1913</v>
      </c>
      <c r="L13" s="1328">
        <v>1455</v>
      </c>
      <c r="M13" s="1329">
        <v>1098</v>
      </c>
      <c r="N13" s="925">
        <v>1375</v>
      </c>
      <c r="O13" s="832">
        <v>1193</v>
      </c>
      <c r="P13" s="832">
        <v>1131</v>
      </c>
      <c r="Q13" s="832">
        <v>1273</v>
      </c>
      <c r="R13" s="926">
        <v>1380</v>
      </c>
      <c r="S13" s="833">
        <v>1510</v>
      </c>
      <c r="T13" s="832">
        <f>SUM(N13:S13)</f>
        <v>7862</v>
      </c>
      <c r="U13" s="832"/>
      <c r="V13" s="423"/>
      <c r="W13" s="423">
        <f>IFERROR(S13/R13-1,100%)</f>
        <v>9.4202898550724612E-2</v>
      </c>
      <c r="X13" s="834">
        <f>SUM(B13:G13)</f>
        <v>10030</v>
      </c>
      <c r="Y13" s="424">
        <f>+T13/X13-1</f>
        <v>-0.21615154536390824</v>
      </c>
      <c r="Z13" s="457">
        <f>+T13+AA13-Delivery!U41</f>
        <v>141</v>
      </c>
      <c r="AA13" s="426">
        <v>605</v>
      </c>
    </row>
    <row r="14" spans="1:27" ht="21" customHeight="1" outlineLevel="2">
      <c r="A14" s="293" t="s">
        <v>227</v>
      </c>
      <c r="B14" s="835">
        <v>769873.22000000055</v>
      </c>
      <c r="C14" s="835">
        <v>630240.10999999964</v>
      </c>
      <c r="D14" s="835">
        <v>484938.79999999987</v>
      </c>
      <c r="E14" s="835">
        <v>440865.73999999993</v>
      </c>
      <c r="F14" s="835">
        <v>558572.49999999977</v>
      </c>
      <c r="G14" s="1330">
        <v>589885.71999999986</v>
      </c>
      <c r="H14" s="1331">
        <v>667067.33999999985</v>
      </c>
      <c r="I14" s="1332">
        <v>136692.47</v>
      </c>
      <c r="J14" s="1332">
        <v>631411.39000000013</v>
      </c>
      <c r="K14" s="1332">
        <v>690790.96</v>
      </c>
      <c r="L14" s="1332">
        <v>497397.75999999978</v>
      </c>
      <c r="M14" s="1333">
        <v>433900.00000000006</v>
      </c>
      <c r="N14" s="927">
        <v>435609.89999999979</v>
      </c>
      <c r="O14" s="928">
        <v>432189.38000000024</v>
      </c>
      <c r="P14" s="928">
        <v>393442.09000000008</v>
      </c>
      <c r="Q14" s="928">
        <v>515577.83000000025</v>
      </c>
      <c r="R14" s="929">
        <v>479471.30999999982</v>
      </c>
      <c r="S14" s="836">
        <v>580505.27000000037</v>
      </c>
      <c r="T14" s="837">
        <f t="shared" ref="T14:T15" si="8">SUM(N14:S14)</f>
        <v>2836795.7800000007</v>
      </c>
      <c r="U14" s="30"/>
      <c r="V14" s="427"/>
      <c r="W14" s="427">
        <f t="shared" ref="W14:W18" si="9">IFERROR(S14/R14-1,100%)</f>
        <v>0.21071951103810682</v>
      </c>
      <c r="X14" s="838">
        <f t="shared" ref="X14:X15" si="10">SUM(B14:G14)</f>
        <v>3474376.0899999989</v>
      </c>
      <c r="Y14" s="428">
        <f>+T14/X14-1</f>
        <v>-0.18350929590929765</v>
      </c>
      <c r="Z14" s="429"/>
      <c r="AA14" s="49"/>
    </row>
    <row r="15" spans="1:27" ht="21" customHeight="1" outlineLevel="2" thickBot="1">
      <c r="A15" s="430" t="s">
        <v>137</v>
      </c>
      <c r="B15" s="839">
        <v>955230</v>
      </c>
      <c r="C15" s="839">
        <v>853590</v>
      </c>
      <c r="D15" s="839">
        <v>604860</v>
      </c>
      <c r="E15" s="839">
        <v>583140</v>
      </c>
      <c r="F15" s="839">
        <v>744690</v>
      </c>
      <c r="G15" s="1334">
        <v>726420</v>
      </c>
      <c r="H15" s="1335">
        <v>910500</v>
      </c>
      <c r="I15" s="1336">
        <v>169920</v>
      </c>
      <c r="J15" s="1336">
        <v>841230</v>
      </c>
      <c r="K15" s="1336">
        <v>950010</v>
      </c>
      <c r="L15" s="1336">
        <v>805470</v>
      </c>
      <c r="M15" s="1337">
        <v>776310</v>
      </c>
      <c r="N15" s="930">
        <v>758100</v>
      </c>
      <c r="O15" s="840">
        <v>721180</v>
      </c>
      <c r="P15" s="840">
        <v>602550</v>
      </c>
      <c r="Q15" s="840">
        <v>820350</v>
      </c>
      <c r="R15" s="931">
        <v>709140</v>
      </c>
      <c r="S15" s="841">
        <v>869880</v>
      </c>
      <c r="T15" s="842">
        <f t="shared" si="8"/>
        <v>4481200</v>
      </c>
      <c r="U15" s="431"/>
      <c r="V15" s="432"/>
      <c r="W15" s="432">
        <f t="shared" si="9"/>
        <v>0.22666892292072083</v>
      </c>
      <c r="X15" s="843">
        <f t="shared" si="10"/>
        <v>4467930</v>
      </c>
      <c r="Y15" s="433">
        <f>+T15/X15-1</f>
        <v>2.9700554843070659E-3</v>
      </c>
      <c r="Z15" s="434"/>
      <c r="AA15" s="435"/>
    </row>
    <row r="16" spans="1:27" ht="21" customHeight="1" outlineLevel="2">
      <c r="A16" s="436" t="s">
        <v>39</v>
      </c>
      <c r="B16" s="442">
        <f t="shared" ref="B16:M16" si="11">IFERROR(B14/B15,"")</f>
        <v>0.80595586403274666</v>
      </c>
      <c r="C16" s="442">
        <f t="shared" si="11"/>
        <v>0.73834054991272113</v>
      </c>
      <c r="D16" s="442">
        <f t="shared" si="11"/>
        <v>0.80173726151506108</v>
      </c>
      <c r="E16" s="442">
        <f t="shared" si="11"/>
        <v>0.75602040676338433</v>
      </c>
      <c r="F16" s="442">
        <f t="shared" si="11"/>
        <v>0.75007385623548017</v>
      </c>
      <c r="G16" s="1338">
        <f t="shared" si="11"/>
        <v>0.81204498774813449</v>
      </c>
      <c r="H16" s="1339">
        <f t="shared" si="11"/>
        <v>0.73263848434925849</v>
      </c>
      <c r="I16" s="1340">
        <f t="shared" si="11"/>
        <v>0.80445191854990583</v>
      </c>
      <c r="J16" s="1340">
        <f t="shared" si="11"/>
        <v>0.75058116091913052</v>
      </c>
      <c r="K16" s="1340">
        <f t="shared" si="11"/>
        <v>0.72714072483447534</v>
      </c>
      <c r="L16" s="1340">
        <f t="shared" si="11"/>
        <v>0.61752487367623843</v>
      </c>
      <c r="M16" s="1341">
        <f t="shared" si="11"/>
        <v>0.55892620216150768</v>
      </c>
      <c r="N16" s="932">
        <f t="shared" ref="N16:S16" si="12">IFERROR(N14/N15,"")</f>
        <v>0.57460743965176075</v>
      </c>
      <c r="O16" s="438">
        <f t="shared" ref="O16:R16" si="13">IFERROR(O14/O15,"")</f>
        <v>0.59928087301367239</v>
      </c>
      <c r="P16" s="438">
        <f t="shared" si="13"/>
        <v>0.65296172931706931</v>
      </c>
      <c r="Q16" s="438">
        <f t="shared" si="13"/>
        <v>0.62848519534345126</v>
      </c>
      <c r="R16" s="933">
        <f t="shared" si="13"/>
        <v>0.67613067941450178</v>
      </c>
      <c r="S16" s="439">
        <f t="shared" si="12"/>
        <v>0.66733948360693474</v>
      </c>
      <c r="T16" s="438"/>
      <c r="U16" s="440"/>
      <c r="V16" s="441"/>
      <c r="W16" s="441">
        <f t="shared" si="9"/>
        <v>-1.3002214032322601E-2</v>
      </c>
      <c r="X16" s="442"/>
      <c r="Y16" s="443"/>
      <c r="Z16" s="844"/>
      <c r="AA16" s="844"/>
    </row>
    <row r="17" spans="1:27" ht="21" customHeight="1" outlineLevel="2">
      <c r="A17" s="444" t="s">
        <v>40</v>
      </c>
      <c r="B17" s="450">
        <f>SUM($B14:B14)/SUM($B15:B15)</f>
        <v>0.80595586403274666</v>
      </c>
      <c r="C17" s="450">
        <f>SUM($B14:C14)/SUM($B15:C15)</f>
        <v>0.77404790415851221</v>
      </c>
      <c r="D17" s="450">
        <f>SUM($B14:D14)/SUM($B15:D15)</f>
        <v>0.78098676295117819</v>
      </c>
      <c r="E17" s="450">
        <f>SUM($B14:E14)/SUM($B15:E15)</f>
        <v>0.77612865303888778</v>
      </c>
      <c r="F17" s="450">
        <f>SUM($B14:F14)/SUM($B15:F15)</f>
        <v>0.77094284660471291</v>
      </c>
      <c r="G17" s="1342">
        <f>SUM($B14:G14)/SUM($B15:G15)</f>
        <v>0.77762545295024743</v>
      </c>
      <c r="H17" s="1343">
        <f>SUM($B14:H14)/SUM($B15:H15)</f>
        <v>0.77000972960510761</v>
      </c>
      <c r="I17" s="1344">
        <f>SUM($B14:I14)/SUM($B15:I15)</f>
        <v>0.77106453269891018</v>
      </c>
      <c r="J17" s="1344">
        <f>SUM($B14:J14)/SUM($B15:J15)</f>
        <v>0.76836776282635155</v>
      </c>
      <c r="K17" s="1344">
        <f>SUM($B14:K14)/SUM($B15:K15)</f>
        <v>0.7630314840474739</v>
      </c>
      <c r="L17" s="1344">
        <f>SUM($B14:L14)/SUM($B15:L15)</f>
        <v>0.74864224572931304</v>
      </c>
      <c r="M17" s="1345">
        <f>SUM($B14:M14)/SUM($B15:M15)</f>
        <v>0.73213374291168276</v>
      </c>
      <c r="N17" s="934">
        <f>SUM(N14:$N14)/SUM(N15:$N15)</f>
        <v>0.57460743965176075</v>
      </c>
      <c r="O17" s="446">
        <f>SUM($N14:O14)/SUM($N15:O15)</f>
        <v>0.5866362554756368</v>
      </c>
      <c r="P17" s="446">
        <f>SUM($N14:P14)/SUM($N15:P15)</f>
        <v>0.60583302671207551</v>
      </c>
      <c r="Q17" s="446">
        <f>SUM($N14:Q14)/SUM($N15:Q15)</f>
        <v>0.6122360432502465</v>
      </c>
      <c r="R17" s="935">
        <f>SUM($N14:R14)/SUM($N15:R15)</f>
        <v>0.624782769181352</v>
      </c>
      <c r="S17" s="447">
        <f>SUM($N14:S14)/SUM($N15:S15)</f>
        <v>0.6330437784522005</v>
      </c>
      <c r="T17" s="446">
        <f>+T14/T15</f>
        <v>0.6330437784522005</v>
      </c>
      <c r="U17" s="448">
        <v>0.77</v>
      </c>
      <c r="V17" s="449">
        <f>T17/U17-1</f>
        <v>-0.17786522278935002</v>
      </c>
      <c r="W17" s="449">
        <f t="shared" si="9"/>
        <v>1.3222210467924489E-2</v>
      </c>
      <c r="X17" s="450">
        <f>+X14/X15</f>
        <v>0.77762545295024743</v>
      </c>
      <c r="Y17" s="451">
        <f>+T17/X17-1</f>
        <v>-0.18592713747925282</v>
      </c>
      <c r="Z17" s="845"/>
      <c r="AA17" s="845"/>
    </row>
    <row r="18" spans="1:27" ht="21" customHeight="1" outlineLevel="2" thickBot="1">
      <c r="A18" s="452" t="s">
        <v>261</v>
      </c>
      <c r="B18" s="453">
        <f t="shared" ref="B18:R18" si="14">IFERROR(B13/(B15/60),0)</f>
        <v>0.14641499952890927</v>
      </c>
      <c r="C18" s="453">
        <f t="shared" si="14"/>
        <v>0.11422345622605701</v>
      </c>
      <c r="D18" s="453">
        <f t="shared" si="14"/>
        <v>0.1481003868663823</v>
      </c>
      <c r="E18" s="453">
        <f t="shared" si="14"/>
        <v>0.13221524848235416</v>
      </c>
      <c r="F18" s="453">
        <f t="shared" si="14"/>
        <v>0.12343391209765137</v>
      </c>
      <c r="G18" s="1346">
        <f t="shared" si="14"/>
        <v>0.14570083422813249</v>
      </c>
      <c r="H18" s="1347">
        <f t="shared" si="14"/>
        <v>0.11301482701812191</v>
      </c>
      <c r="I18" s="1348">
        <f t="shared" si="14"/>
        <v>0.11970338983050847</v>
      </c>
      <c r="J18" s="1348">
        <f t="shared" si="14"/>
        <v>0.13558717592097286</v>
      </c>
      <c r="K18" s="1348">
        <f t="shared" si="14"/>
        <v>0.12081978084441217</v>
      </c>
      <c r="L18" s="1348">
        <f t="shared" si="14"/>
        <v>0.10838392491340459</v>
      </c>
      <c r="M18" s="1349">
        <f t="shared" si="14"/>
        <v>8.486300575800905E-2</v>
      </c>
      <c r="N18" s="936">
        <f t="shared" si="14"/>
        <v>0.10882469331222794</v>
      </c>
      <c r="O18" s="937">
        <f t="shared" si="14"/>
        <v>9.9254000388252592E-2</v>
      </c>
      <c r="P18" s="937">
        <f t="shared" si="14"/>
        <v>0.11262135922330097</v>
      </c>
      <c r="Q18" s="937">
        <f t="shared" si="14"/>
        <v>9.3106600841104406E-2</v>
      </c>
      <c r="R18" s="938">
        <f t="shared" si="14"/>
        <v>0.11676114730518657</v>
      </c>
      <c r="S18" s="455">
        <f t="shared" ref="S18:T18" si="15">IFERROR(S13/(S15/60),0)</f>
        <v>0.1041522968685336</v>
      </c>
      <c r="T18" s="454">
        <f t="shared" si="15"/>
        <v>0.10526644648754797</v>
      </c>
      <c r="U18" s="453">
        <v>0.12</v>
      </c>
      <c r="V18" s="456">
        <f>T18/U18-1</f>
        <v>-0.1227796126037668</v>
      </c>
      <c r="W18" s="456">
        <f t="shared" si="9"/>
        <v>-0.1079884081962329</v>
      </c>
      <c r="X18" s="453">
        <f>+X13/(X15/60)</f>
        <v>0.13469324720843881</v>
      </c>
      <c r="Y18" s="424">
        <f>+T18/X18-1</f>
        <v>-0.21847272473394785</v>
      </c>
      <c r="Z18" s="720"/>
      <c r="AA18" s="720"/>
    </row>
    <row r="19" spans="1:27" ht="21" customHeight="1" outlineLevel="1" thickBot="1">
      <c r="B19" s="846"/>
      <c r="C19" s="846"/>
      <c r="D19" s="846"/>
      <c r="E19" s="846"/>
      <c r="F19" s="846"/>
      <c r="G19" s="1350"/>
      <c r="H19" s="1351"/>
      <c r="I19" s="1351"/>
      <c r="J19" s="1351"/>
      <c r="K19" s="1351"/>
      <c r="L19" s="1351"/>
      <c r="M19" s="1351"/>
      <c r="N19" s="847"/>
      <c r="O19" s="847"/>
      <c r="P19" s="847"/>
      <c r="Q19" s="847"/>
      <c r="R19" s="847"/>
      <c r="S19" s="847"/>
      <c r="T19" s="847"/>
      <c r="X19" s="846"/>
    </row>
    <row r="20" spans="1:27" ht="21" customHeight="1" outlineLevel="1">
      <c r="A20" s="1236" t="s">
        <v>42</v>
      </c>
      <c r="B20" s="634">
        <v>45688</v>
      </c>
      <c r="C20" s="634">
        <v>45716</v>
      </c>
      <c r="D20" s="634">
        <v>45747</v>
      </c>
      <c r="E20" s="634">
        <v>45777</v>
      </c>
      <c r="F20" s="634">
        <v>45808</v>
      </c>
      <c r="G20" s="1279">
        <v>45838</v>
      </c>
      <c r="H20" s="1264">
        <v>45869</v>
      </c>
      <c r="I20" s="1265">
        <v>45900</v>
      </c>
      <c r="J20" s="1265">
        <v>45930</v>
      </c>
      <c r="K20" s="1265">
        <v>45961</v>
      </c>
      <c r="L20" s="1265">
        <v>45991</v>
      </c>
      <c r="M20" s="1266">
        <v>46022</v>
      </c>
      <c r="N20" s="875">
        <v>46053</v>
      </c>
      <c r="O20" s="876">
        <v>46081</v>
      </c>
      <c r="P20" s="876">
        <v>46112</v>
      </c>
      <c r="Q20" s="876">
        <v>46142</v>
      </c>
      <c r="R20" s="877">
        <v>46173</v>
      </c>
      <c r="S20" s="635">
        <v>46203</v>
      </c>
      <c r="T20" s="634" t="s">
        <v>1</v>
      </c>
      <c r="U20" s="638" t="s">
        <v>12</v>
      </c>
      <c r="V20" s="639" t="s">
        <v>262</v>
      </c>
      <c r="W20" s="639" t="s">
        <v>75</v>
      </c>
      <c r="X20" s="831" t="s">
        <v>133</v>
      </c>
      <c r="Y20" s="639" t="s">
        <v>24</v>
      </c>
      <c r="Z20" s="638" t="s">
        <v>17</v>
      </c>
      <c r="AA20" s="644" t="s">
        <v>373</v>
      </c>
    </row>
    <row r="21" spans="1:27" ht="21" customHeight="1" outlineLevel="2">
      <c r="A21" s="422" t="s">
        <v>226</v>
      </c>
      <c r="B21" s="790">
        <v>2966</v>
      </c>
      <c r="C21" s="790">
        <v>1856</v>
      </c>
      <c r="D21" s="790">
        <v>1295</v>
      </c>
      <c r="E21" s="790">
        <v>1197</v>
      </c>
      <c r="F21" s="790">
        <v>1391</v>
      </c>
      <c r="G21" s="1326">
        <v>870</v>
      </c>
      <c r="H21" s="1327">
        <v>1229</v>
      </c>
      <c r="I21" s="1328">
        <v>721</v>
      </c>
      <c r="J21" s="1328">
        <v>1127</v>
      </c>
      <c r="K21" s="1328">
        <v>2278</v>
      </c>
      <c r="L21" s="1328">
        <v>1795</v>
      </c>
      <c r="M21" s="1329">
        <v>1067</v>
      </c>
      <c r="N21" s="925">
        <v>1143</v>
      </c>
      <c r="O21" s="832">
        <v>1235</v>
      </c>
      <c r="P21" s="832">
        <v>658</v>
      </c>
      <c r="Q21" s="832">
        <v>1463</v>
      </c>
      <c r="R21" s="926">
        <v>998</v>
      </c>
      <c r="S21" s="833">
        <v>1019</v>
      </c>
      <c r="T21" s="832">
        <f>SUM(N21:S21)</f>
        <v>6516</v>
      </c>
      <c r="U21" s="832"/>
      <c r="V21" s="423"/>
      <c r="W21" s="423">
        <f>IFERROR(S21/R21-1,100%)</f>
        <v>2.104208416833675E-2</v>
      </c>
      <c r="X21" s="834">
        <f>SUM(B21:G21)</f>
        <v>9575</v>
      </c>
      <c r="Y21" s="424">
        <f>+T21/X21-1</f>
        <v>-0.31947780678851179</v>
      </c>
      <c r="Z21" s="425">
        <f>+T21+AA21-Delivery!U42</f>
        <v>426</v>
      </c>
      <c r="AA21" s="426">
        <v>325</v>
      </c>
    </row>
    <row r="22" spans="1:27" ht="21" customHeight="1" outlineLevel="2">
      <c r="A22" s="293" t="s">
        <v>227</v>
      </c>
      <c r="B22" s="835">
        <v>74949.189999999988</v>
      </c>
      <c r="C22" s="835">
        <v>64117.710000000057</v>
      </c>
      <c r="D22" s="835">
        <v>36342.150000000016</v>
      </c>
      <c r="E22" s="835">
        <v>36034.989999999983</v>
      </c>
      <c r="F22" s="835">
        <v>41466.449999999997</v>
      </c>
      <c r="G22" s="1330">
        <v>36754.320000000007</v>
      </c>
      <c r="H22" s="1331">
        <v>25191.300000000007</v>
      </c>
      <c r="I22" s="1332">
        <v>9535.18</v>
      </c>
      <c r="J22" s="1332">
        <v>44162.400000000009</v>
      </c>
      <c r="K22" s="1332">
        <v>55662.289999999979</v>
      </c>
      <c r="L22" s="1332">
        <v>45258.099999999984</v>
      </c>
      <c r="M22" s="1333">
        <v>39423.439999999988</v>
      </c>
      <c r="N22" s="927">
        <v>22627.399999999994</v>
      </c>
      <c r="O22" s="928">
        <v>29088.319999999996</v>
      </c>
      <c r="P22" s="928">
        <v>28795.419999999995</v>
      </c>
      <c r="Q22" s="928">
        <v>41224.569999999992</v>
      </c>
      <c r="R22" s="929">
        <v>29638.589999999997</v>
      </c>
      <c r="S22" s="836">
        <v>37055.00999999998</v>
      </c>
      <c r="T22" s="837">
        <f t="shared" ref="T22:T23" si="16">SUM(N22:S22)</f>
        <v>188429.30999999997</v>
      </c>
      <c r="U22" s="30"/>
      <c r="V22" s="427"/>
      <c r="W22" s="427">
        <f t="shared" ref="W22:W26" si="17">IFERROR(S22/R22-1,100%)</f>
        <v>0.25022850277290476</v>
      </c>
      <c r="X22" s="838">
        <f t="shared" ref="X22:X23" si="18">SUM(B22:G22)</f>
        <v>289664.81000000006</v>
      </c>
      <c r="Y22" s="428">
        <f>+T22/X22-1</f>
        <v>-0.34949188339446569</v>
      </c>
      <c r="Z22" s="458"/>
      <c r="AA22" s="49"/>
    </row>
    <row r="23" spans="1:27" ht="21" customHeight="1" outlineLevel="2" thickBot="1">
      <c r="A23" s="430" t="s">
        <v>137</v>
      </c>
      <c r="B23" s="839">
        <v>90150</v>
      </c>
      <c r="C23" s="839">
        <v>78780</v>
      </c>
      <c r="D23" s="839">
        <v>44010</v>
      </c>
      <c r="E23" s="839">
        <v>43170</v>
      </c>
      <c r="F23" s="839">
        <v>55020</v>
      </c>
      <c r="G23" s="1334">
        <v>42360</v>
      </c>
      <c r="H23" s="1335">
        <v>32010</v>
      </c>
      <c r="I23" s="1336">
        <v>12930</v>
      </c>
      <c r="J23" s="1336">
        <v>48810</v>
      </c>
      <c r="K23" s="1336">
        <v>66120</v>
      </c>
      <c r="L23" s="1336">
        <v>56370</v>
      </c>
      <c r="M23" s="1337">
        <v>48690</v>
      </c>
      <c r="N23" s="930">
        <v>30000</v>
      </c>
      <c r="O23" s="840">
        <v>40410</v>
      </c>
      <c r="P23" s="840">
        <v>45690</v>
      </c>
      <c r="Q23" s="840">
        <v>53610</v>
      </c>
      <c r="R23" s="931">
        <v>38430</v>
      </c>
      <c r="S23" s="841">
        <v>50310</v>
      </c>
      <c r="T23" s="842">
        <f t="shared" si="16"/>
        <v>258450</v>
      </c>
      <c r="U23" s="431"/>
      <c r="V23" s="432"/>
      <c r="W23" s="432">
        <f t="shared" si="17"/>
        <v>0.30913348946135821</v>
      </c>
      <c r="X23" s="843">
        <f t="shared" si="18"/>
        <v>353490</v>
      </c>
      <c r="Y23" s="433">
        <f>+T23/X23-1</f>
        <v>-0.26886191971484341</v>
      </c>
      <c r="Z23" s="459"/>
      <c r="AA23" s="435"/>
    </row>
    <row r="24" spans="1:27" ht="21" customHeight="1" outlineLevel="2">
      <c r="A24" s="436" t="s">
        <v>39</v>
      </c>
      <c r="B24" s="442">
        <f t="shared" ref="B24:M24" si="19">IFERROR(B22/B23,"")</f>
        <v>0.83138313921242357</v>
      </c>
      <c r="C24" s="442">
        <f t="shared" si="19"/>
        <v>0.81388309215537014</v>
      </c>
      <c r="D24" s="442">
        <f t="shared" si="19"/>
        <v>0.82577027948193626</v>
      </c>
      <c r="E24" s="442">
        <f t="shared" si="19"/>
        <v>0.83472295575631184</v>
      </c>
      <c r="F24" s="442">
        <f t="shared" si="19"/>
        <v>0.7536613958560523</v>
      </c>
      <c r="G24" s="1338">
        <f t="shared" si="19"/>
        <v>0.8676657223796036</v>
      </c>
      <c r="H24" s="1339">
        <f t="shared" si="19"/>
        <v>0.78698219306466755</v>
      </c>
      <c r="I24" s="1340">
        <f t="shared" si="19"/>
        <v>0.73744624903325606</v>
      </c>
      <c r="J24" s="1340">
        <f t="shared" si="19"/>
        <v>0.90478180700676114</v>
      </c>
      <c r="K24" s="1340">
        <f t="shared" si="19"/>
        <v>0.84183741681790647</v>
      </c>
      <c r="L24" s="1340">
        <f t="shared" si="19"/>
        <v>0.80287564307255599</v>
      </c>
      <c r="M24" s="1341">
        <f t="shared" si="19"/>
        <v>0.80968248100225892</v>
      </c>
      <c r="N24" s="932">
        <f t="shared" ref="N24:S24" si="20">IFERROR(N22/N23,"")</f>
        <v>0.75424666666666651</v>
      </c>
      <c r="O24" s="438">
        <f t="shared" ref="O24:R24" si="21">IFERROR(O22/O23,"")</f>
        <v>0.71982974511259579</v>
      </c>
      <c r="P24" s="438">
        <f t="shared" si="21"/>
        <v>0.63023462464434221</v>
      </c>
      <c r="Q24" s="438">
        <f t="shared" si="21"/>
        <v>0.76897164708076837</v>
      </c>
      <c r="R24" s="933">
        <f t="shared" si="21"/>
        <v>0.77123575331772043</v>
      </c>
      <c r="S24" s="439">
        <f t="shared" si="20"/>
        <v>0.73653369111508604</v>
      </c>
      <c r="T24" s="438"/>
      <c r="U24" s="440"/>
      <c r="V24" s="441"/>
      <c r="W24" s="441">
        <f t="shared" si="17"/>
        <v>-4.4995401280804481E-2</v>
      </c>
      <c r="X24" s="442"/>
      <c r="Y24" s="443"/>
      <c r="Z24" s="844"/>
      <c r="AA24" s="844"/>
    </row>
    <row r="25" spans="1:27" ht="21" customHeight="1" outlineLevel="2">
      <c r="A25" s="444" t="s">
        <v>40</v>
      </c>
      <c r="B25" s="450">
        <f>SUM($B22:B22)/SUM($B23:B23)</f>
        <v>0.83138313921242357</v>
      </c>
      <c r="C25" s="450">
        <f>SUM($B22:C22)/SUM($B23:C23)</f>
        <v>0.82322204463387227</v>
      </c>
      <c r="D25" s="450">
        <f>SUM($B22:D22)/SUM($B23:D23)</f>
        <v>0.82374870855640125</v>
      </c>
      <c r="E25" s="450">
        <f>SUM($B22:E22)/SUM($B23:E23)</f>
        <v>0.82559853188083276</v>
      </c>
      <c r="F25" s="450">
        <f>SUM($B22:F22)/SUM($B23:F23)</f>
        <v>0.81287722174010879</v>
      </c>
      <c r="G25" s="1342">
        <f>SUM($B22:G22)/SUM($B23:G23)</f>
        <v>0.81944272822427811</v>
      </c>
      <c r="H25" s="1343">
        <f>SUM($B22:H22)/SUM($B23:H23)</f>
        <v>0.81674736705577189</v>
      </c>
      <c r="I25" s="1344">
        <f>SUM($B22:I22)/SUM($B23:I23)</f>
        <v>0.81417385739025683</v>
      </c>
      <c r="J25" s="1344">
        <f>SUM($B22:J22)/SUM($B23:J23)</f>
        <v>0.82406244969144093</v>
      </c>
      <c r="K25" s="1344">
        <f>SUM($B22:K22)/SUM($B23:K23)</f>
        <v>0.82635183886551355</v>
      </c>
      <c r="L25" s="1344">
        <f>SUM($B22:L22)/SUM($B23:L23)</f>
        <v>0.82402906639987361</v>
      </c>
      <c r="M25" s="1345">
        <f>SUM($B22:M22)/SUM($B23:M23)</f>
        <v>0.82289951812683937</v>
      </c>
      <c r="N25" s="934">
        <f>SUM(N22:$N22)/SUM(N23:$N23)</f>
        <v>0.75424666666666651</v>
      </c>
      <c r="O25" s="446">
        <f>SUM($N22:O22)/SUM($N23:O23)</f>
        <v>0.73449396392557853</v>
      </c>
      <c r="P25" s="446">
        <f>SUM($N22:P22)/SUM($N23:P23)</f>
        <v>0.69346373815676132</v>
      </c>
      <c r="Q25" s="446">
        <f>SUM($N22:Q22)/SUM($N23:Q23)</f>
        <v>0.71731606858759045</v>
      </c>
      <c r="R25" s="935">
        <f>SUM($N22:R22)/SUM($N23:R23)</f>
        <v>0.7272715479965407</v>
      </c>
      <c r="S25" s="447">
        <f>SUM($N22:S22)/SUM($N23:S23)</f>
        <v>0.72907452118398131</v>
      </c>
      <c r="T25" s="446">
        <f>+T22/T23</f>
        <v>0.72907452118398131</v>
      </c>
      <c r="U25" s="448">
        <v>0.8</v>
      </c>
      <c r="V25" s="449">
        <f>T25/U25-1</f>
        <v>-8.8656848520023424E-2</v>
      </c>
      <c r="W25" s="449">
        <f t="shared" si="17"/>
        <v>2.4790921525905674E-3</v>
      </c>
      <c r="X25" s="450">
        <f>+X22/X23</f>
        <v>0.81944272822427811</v>
      </c>
      <c r="Y25" s="451">
        <f>+T25/X25-1</f>
        <v>-0.1102800768470098</v>
      </c>
      <c r="Z25" s="845"/>
      <c r="AA25" s="845"/>
    </row>
    <row r="26" spans="1:27" ht="21" customHeight="1" outlineLevel="2" thickBot="1">
      <c r="A26" s="452" t="s">
        <v>261</v>
      </c>
      <c r="B26" s="453">
        <f t="shared" ref="B26:R26" si="22">IFERROR(B21/(B23/60),0)</f>
        <v>1.9740432612312813</v>
      </c>
      <c r="C26" s="453">
        <f t="shared" si="22"/>
        <v>1.4135567402894136</v>
      </c>
      <c r="D26" s="453">
        <f t="shared" si="22"/>
        <v>1.765507839127471</v>
      </c>
      <c r="E26" s="453">
        <f t="shared" si="22"/>
        <v>1.6636553161918</v>
      </c>
      <c r="F26" s="453">
        <f t="shared" si="22"/>
        <v>1.5169029443838604</v>
      </c>
      <c r="G26" s="1346">
        <f t="shared" si="22"/>
        <v>1.2322946175637395</v>
      </c>
      <c r="H26" s="1347">
        <f t="shared" si="22"/>
        <v>2.3036551077788192</v>
      </c>
      <c r="I26" s="1348">
        <f t="shared" si="22"/>
        <v>3.3457076566125292</v>
      </c>
      <c r="J26" s="1348">
        <f t="shared" si="22"/>
        <v>1.3853718500307315</v>
      </c>
      <c r="K26" s="1348">
        <f t="shared" si="22"/>
        <v>2.0671506352087112</v>
      </c>
      <c r="L26" s="1348">
        <f t="shared" si="22"/>
        <v>1.9105907397551889</v>
      </c>
      <c r="M26" s="1349">
        <f t="shared" si="22"/>
        <v>1.3148490449784349</v>
      </c>
      <c r="N26" s="936">
        <f t="shared" si="22"/>
        <v>2.286</v>
      </c>
      <c r="O26" s="937">
        <f t="shared" si="22"/>
        <v>1.8337045285820341</v>
      </c>
      <c r="P26" s="937">
        <f t="shared" si="22"/>
        <v>0.86408404464871968</v>
      </c>
      <c r="Q26" s="937">
        <f t="shared" si="22"/>
        <v>1.6373810856183548</v>
      </c>
      <c r="R26" s="938">
        <f t="shared" si="22"/>
        <v>1.5581576893052302</v>
      </c>
      <c r="S26" s="455">
        <f t="shared" ref="S26:T26" si="23">IFERROR(S21/(S23/60),0)</f>
        <v>1.2152653548002386</v>
      </c>
      <c r="T26" s="454">
        <f t="shared" si="23"/>
        <v>1.5127103888566453</v>
      </c>
      <c r="U26" s="453">
        <v>2.4700000000000002</v>
      </c>
      <c r="V26" s="456">
        <f>T26/U26-1</f>
        <v>-0.38756664418759301</v>
      </c>
      <c r="W26" s="456">
        <f t="shared" si="17"/>
        <v>-0.22006266558161036</v>
      </c>
      <c r="X26" s="453">
        <f>+X21/(X23/60)</f>
        <v>1.6252227785793092</v>
      </c>
      <c r="Y26" s="424">
        <f>+T26/X26-1</f>
        <v>-6.9228902772958123E-2</v>
      </c>
      <c r="Z26" s="720"/>
      <c r="AA26" s="720"/>
    </row>
    <row r="27" spans="1:27" ht="21" customHeight="1" outlineLevel="1" thickBot="1">
      <c r="X27" s="640"/>
    </row>
    <row r="28" spans="1:27" ht="21" customHeight="1">
      <c r="A28" s="1237" t="s">
        <v>5</v>
      </c>
      <c r="B28" s="848">
        <v>45688</v>
      </c>
      <c r="C28" s="848">
        <v>45716</v>
      </c>
      <c r="D28" s="848">
        <v>45747</v>
      </c>
      <c r="E28" s="848">
        <v>45777</v>
      </c>
      <c r="F28" s="848">
        <v>45808</v>
      </c>
      <c r="G28" s="1352">
        <v>45838</v>
      </c>
      <c r="H28" s="1280">
        <v>45869</v>
      </c>
      <c r="I28" s="1281">
        <v>45900</v>
      </c>
      <c r="J28" s="1281">
        <v>45930</v>
      </c>
      <c r="K28" s="1281">
        <v>45961</v>
      </c>
      <c r="L28" s="1281">
        <v>45991</v>
      </c>
      <c r="M28" s="1282">
        <v>46022</v>
      </c>
      <c r="N28" s="892">
        <v>46053</v>
      </c>
      <c r="O28" s="893">
        <v>46081</v>
      </c>
      <c r="P28" s="893">
        <v>46112</v>
      </c>
      <c r="Q28" s="893">
        <v>46142</v>
      </c>
      <c r="R28" s="918">
        <v>46173</v>
      </c>
      <c r="S28" s="849">
        <v>46203</v>
      </c>
      <c r="T28" s="848" t="s">
        <v>1</v>
      </c>
      <c r="U28" s="850" t="s">
        <v>12</v>
      </c>
      <c r="V28" s="851" t="s">
        <v>10</v>
      </c>
      <c r="W28" s="851" t="s">
        <v>75</v>
      </c>
      <c r="X28" s="852" t="s">
        <v>133</v>
      </c>
      <c r="Y28" s="851" t="s">
        <v>24</v>
      </c>
      <c r="Z28" s="850" t="s">
        <v>17</v>
      </c>
      <c r="AA28" s="853" t="s">
        <v>373</v>
      </c>
    </row>
    <row r="29" spans="1:27" ht="21" customHeight="1">
      <c r="A29" s="422" t="s">
        <v>226</v>
      </c>
      <c r="B29" s="790">
        <f>SUM(B5,B13,B21)</f>
        <v>9820</v>
      </c>
      <c r="C29" s="790">
        <f t="shared" ref="C29:S29" si="24">SUM(C5,C13,C21)</f>
        <v>7331</v>
      </c>
      <c r="D29" s="790">
        <f t="shared" si="24"/>
        <v>5528</v>
      </c>
      <c r="E29" s="790">
        <f t="shared" si="24"/>
        <v>5762</v>
      </c>
      <c r="F29" s="790">
        <f t="shared" si="24"/>
        <v>6506</v>
      </c>
      <c r="G29" s="1326">
        <f t="shared" si="24"/>
        <v>5562</v>
      </c>
      <c r="H29" s="1327">
        <f t="shared" si="24"/>
        <v>7326</v>
      </c>
      <c r="I29" s="1328">
        <f t="shared" si="24"/>
        <v>2200</v>
      </c>
      <c r="J29" s="1328">
        <f t="shared" si="24"/>
        <v>6385</v>
      </c>
      <c r="K29" s="1328">
        <f t="shared" si="24"/>
        <v>7808</v>
      </c>
      <c r="L29" s="1328">
        <f t="shared" si="24"/>
        <v>8034</v>
      </c>
      <c r="M29" s="1329">
        <f t="shared" si="24"/>
        <v>5496</v>
      </c>
      <c r="N29" s="925">
        <f t="shared" si="24"/>
        <v>5764</v>
      </c>
      <c r="O29" s="832">
        <f t="shared" si="24"/>
        <v>4931</v>
      </c>
      <c r="P29" s="832">
        <f t="shared" ref="P29:R29" si="25">SUM(P5,P13,P21)</f>
        <v>4538</v>
      </c>
      <c r="Q29" s="832">
        <f t="shared" si="25"/>
        <v>5505</v>
      </c>
      <c r="R29" s="926">
        <f t="shared" si="25"/>
        <v>4910</v>
      </c>
      <c r="S29" s="833">
        <f t="shared" si="24"/>
        <v>4029</v>
      </c>
      <c r="T29" s="832">
        <f>SUM(N29:S29)</f>
        <v>29677</v>
      </c>
      <c r="U29" s="832"/>
      <c r="V29" s="423"/>
      <c r="W29" s="423">
        <f>IFERROR(S29/R29-1,100%)</f>
        <v>-0.1794297352342159</v>
      </c>
      <c r="X29" s="834">
        <f>SUM(B29:G29)</f>
        <v>40509</v>
      </c>
      <c r="Y29" s="424">
        <f>+T29/X29-1</f>
        <v>-0.26739736848601547</v>
      </c>
      <c r="Z29" s="457">
        <f>+T29+AA29-Delivery!U43</f>
        <v>585</v>
      </c>
      <c r="AA29" s="426">
        <f>SUM(AA21,AA13,AA5)</f>
        <v>2467</v>
      </c>
    </row>
    <row r="30" spans="1:27" ht="21" customHeight="1">
      <c r="A30" s="293" t="s">
        <v>227</v>
      </c>
      <c r="B30" s="835">
        <f>SUM(B6,B14,B22)</f>
        <v>1046968.9000000006</v>
      </c>
      <c r="C30" s="835">
        <f t="shared" ref="C30:S30" si="26">SUM(C6,C14,C22)</f>
        <v>864807.4299999997</v>
      </c>
      <c r="D30" s="835">
        <f t="shared" si="26"/>
        <v>658258.85</v>
      </c>
      <c r="E30" s="835">
        <f t="shared" si="26"/>
        <v>589697.12999999989</v>
      </c>
      <c r="F30" s="835">
        <f t="shared" si="26"/>
        <v>753528.33999999985</v>
      </c>
      <c r="G30" s="1330">
        <f t="shared" si="26"/>
        <v>760241.2899999998</v>
      </c>
      <c r="H30" s="1331">
        <f t="shared" si="26"/>
        <v>863899.21999999986</v>
      </c>
      <c r="I30" s="1332">
        <f t="shared" si="26"/>
        <v>171686.88999999998</v>
      </c>
      <c r="J30" s="1332">
        <f t="shared" si="26"/>
        <v>817944.13000000024</v>
      </c>
      <c r="K30" s="1332">
        <f t="shared" si="26"/>
        <v>900051.98</v>
      </c>
      <c r="L30" s="1332">
        <f t="shared" si="26"/>
        <v>705909.43999999983</v>
      </c>
      <c r="M30" s="1333">
        <f t="shared" si="26"/>
        <v>628738.38</v>
      </c>
      <c r="N30" s="927">
        <f t="shared" si="26"/>
        <v>590151.57999999973</v>
      </c>
      <c r="O30" s="928">
        <f t="shared" si="26"/>
        <v>576935.86666666681</v>
      </c>
      <c r="P30" s="928">
        <f t="shared" ref="P30:R30" si="27">SUM(P6,P14,P22)</f>
        <v>540248.54000000015</v>
      </c>
      <c r="Q30" s="928">
        <f t="shared" si="27"/>
        <v>694313.43000000017</v>
      </c>
      <c r="R30" s="929">
        <f t="shared" si="27"/>
        <v>613835.68999999983</v>
      </c>
      <c r="S30" s="836">
        <f t="shared" si="26"/>
        <v>718488.02000000037</v>
      </c>
      <c r="T30" s="837">
        <f t="shared" ref="T30:T31" si="28">SUM(N30:S30)</f>
        <v>3733973.1266666674</v>
      </c>
      <c r="U30" s="30"/>
      <c r="V30" s="427"/>
      <c r="W30" s="427">
        <f t="shared" ref="W30:W34" si="29">IFERROR(S30/R30-1,100%)</f>
        <v>0.17048915810027365</v>
      </c>
      <c r="X30" s="838">
        <f t="shared" ref="X30:X31" si="30">SUM(B30:G30)</f>
        <v>4673501.9399999995</v>
      </c>
      <c r="Y30" s="428">
        <f>+T30/X30-1</f>
        <v>-0.20103314931614902</v>
      </c>
      <c r="Z30" s="429"/>
      <c r="AA30" s="49"/>
    </row>
    <row r="31" spans="1:27" ht="21" customHeight="1" thickBot="1">
      <c r="A31" s="430" t="s">
        <v>137</v>
      </c>
      <c r="B31" s="839">
        <f>SUM(B7,B15,B23)</f>
        <v>1349430</v>
      </c>
      <c r="C31" s="839">
        <f t="shared" ref="C31:S31" si="31">SUM(C7,C15,C23)</f>
        <v>1208700</v>
      </c>
      <c r="D31" s="839">
        <f t="shared" si="31"/>
        <v>868020</v>
      </c>
      <c r="E31" s="839">
        <f t="shared" si="31"/>
        <v>816390</v>
      </c>
      <c r="F31" s="839">
        <f t="shared" si="31"/>
        <v>1019490</v>
      </c>
      <c r="G31" s="1334">
        <f t="shared" si="31"/>
        <v>969180</v>
      </c>
      <c r="H31" s="1335">
        <f t="shared" si="31"/>
        <v>1181910</v>
      </c>
      <c r="I31" s="1336">
        <f t="shared" si="31"/>
        <v>225900</v>
      </c>
      <c r="J31" s="1336">
        <f t="shared" si="31"/>
        <v>1103010</v>
      </c>
      <c r="K31" s="1336">
        <f t="shared" si="31"/>
        <v>1264500</v>
      </c>
      <c r="L31" s="1336">
        <f t="shared" si="31"/>
        <v>1078950</v>
      </c>
      <c r="M31" s="1337">
        <f t="shared" si="31"/>
        <v>1033800</v>
      </c>
      <c r="N31" s="930">
        <f t="shared" si="31"/>
        <v>978960</v>
      </c>
      <c r="O31" s="840">
        <f t="shared" si="31"/>
        <v>938460</v>
      </c>
      <c r="P31" s="840">
        <f t="shared" ref="P31:R31" si="32">SUM(P7,P15,P23)</f>
        <v>828360</v>
      </c>
      <c r="Q31" s="840">
        <f t="shared" si="32"/>
        <v>1065180</v>
      </c>
      <c r="R31" s="931">
        <f t="shared" si="32"/>
        <v>898650</v>
      </c>
      <c r="S31" s="841">
        <f t="shared" si="31"/>
        <v>1099170</v>
      </c>
      <c r="T31" s="842">
        <f t="shared" si="28"/>
        <v>5808780</v>
      </c>
      <c r="U31" s="431"/>
      <c r="V31" s="432"/>
      <c r="W31" s="432">
        <f t="shared" si="29"/>
        <v>0.22313470205307961</v>
      </c>
      <c r="X31" s="843">
        <f t="shared" si="30"/>
        <v>6231210</v>
      </c>
      <c r="Y31" s="433">
        <f>+T31/X31-1</f>
        <v>-6.7792611707838457E-2</v>
      </c>
      <c r="Z31" s="434"/>
      <c r="AA31" s="435"/>
    </row>
    <row r="32" spans="1:27" ht="21" customHeight="1">
      <c r="A32" s="436" t="s">
        <v>39</v>
      </c>
      <c r="B32" s="437">
        <f t="shared" ref="B32:M32" si="33">IFERROR(B30/B31,"")</f>
        <v>0.77586010389571936</v>
      </c>
      <c r="C32" s="437">
        <f t="shared" si="33"/>
        <v>0.7154855878216263</v>
      </c>
      <c r="D32" s="437">
        <f t="shared" si="33"/>
        <v>0.75834525702172761</v>
      </c>
      <c r="E32" s="437">
        <f t="shared" si="33"/>
        <v>0.72232282365046108</v>
      </c>
      <c r="F32" s="437">
        <f t="shared" si="33"/>
        <v>0.73912283592776762</v>
      </c>
      <c r="G32" s="1338">
        <f t="shared" si="33"/>
        <v>0.78441702263769353</v>
      </c>
      <c r="H32" s="1339">
        <f t="shared" si="33"/>
        <v>0.73093485967628657</v>
      </c>
      <c r="I32" s="1340">
        <f t="shared" si="33"/>
        <v>0.76001279327135896</v>
      </c>
      <c r="J32" s="1340">
        <f t="shared" si="33"/>
        <v>0.74155640474701068</v>
      </c>
      <c r="K32" s="1340">
        <f t="shared" si="33"/>
        <v>0.71178487939897195</v>
      </c>
      <c r="L32" s="1340">
        <f t="shared" si="33"/>
        <v>0.65425593400991688</v>
      </c>
      <c r="M32" s="1341">
        <f t="shared" si="33"/>
        <v>0.6081818340104469</v>
      </c>
      <c r="N32" s="932">
        <f t="shared" ref="N32:S32" si="34">IFERROR(N30/N31,"")</f>
        <v>0.60283523330881728</v>
      </c>
      <c r="O32" s="438">
        <f t="shared" ref="O32:R32" si="35">IFERROR(O30/O31,"")</f>
        <v>0.61476873459355419</v>
      </c>
      <c r="P32" s="438">
        <f t="shared" si="35"/>
        <v>0.65219052102950426</v>
      </c>
      <c r="Q32" s="438">
        <f t="shared" si="35"/>
        <v>0.65182732495916196</v>
      </c>
      <c r="R32" s="933">
        <f t="shared" si="35"/>
        <v>0.68306425193345555</v>
      </c>
      <c r="S32" s="439">
        <f t="shared" si="34"/>
        <v>0.65366414658333138</v>
      </c>
      <c r="T32" s="438"/>
      <c r="U32" s="440"/>
      <c r="V32" s="441"/>
      <c r="W32" s="441">
        <f t="shared" si="29"/>
        <v>-4.3041493193217706E-2</v>
      </c>
      <c r="X32" s="442"/>
      <c r="Y32" s="443"/>
      <c r="Z32" s="844"/>
      <c r="AA32" s="844"/>
    </row>
    <row r="33" spans="1:29" ht="21" customHeight="1">
      <c r="A33" s="444" t="s">
        <v>40</v>
      </c>
      <c r="B33" s="445">
        <f>SUM($B30:B30)/SUM($B31:B31)</f>
        <v>0.77586010389571936</v>
      </c>
      <c r="C33" s="445">
        <f>SUM($B30:C30)/SUM($B31:C31)</f>
        <v>0.74733353269771285</v>
      </c>
      <c r="D33" s="445">
        <f>SUM($B30:D30)/SUM($B31:D31)</f>
        <v>0.75012336879587882</v>
      </c>
      <c r="E33" s="445">
        <f>SUM($B30:E30)/SUM($B31:E31)</f>
        <v>0.74477372281699172</v>
      </c>
      <c r="F33" s="445">
        <f>SUM($B30:F30)/SUM($B31:F31)</f>
        <v>0.74367889388695996</v>
      </c>
      <c r="G33" s="1342">
        <f>SUM($B30:G30)/SUM($B31:G31)</f>
        <v>0.75001515596489277</v>
      </c>
      <c r="H33" s="1343">
        <f>SUM($B30:H30)/SUM($B31:H31)</f>
        <v>0.7469730909522575</v>
      </c>
      <c r="I33" s="1344">
        <f>SUM($B30:I30)/SUM($B31:I31)</f>
        <v>0.74735869915250897</v>
      </c>
      <c r="J33" s="1344">
        <f>SUM($B30:J30)/SUM($B31:J31)</f>
        <v>0.74662660503338452</v>
      </c>
      <c r="K33" s="1344">
        <f>SUM($B30:K30)/SUM($B31:K31)</f>
        <v>0.74222374389523627</v>
      </c>
      <c r="L33" s="1344">
        <f>SUM($B30:L30)/SUM($B31:L31)</f>
        <v>0.73366183512125749</v>
      </c>
      <c r="M33" s="1345">
        <f>SUM($B30:M30)/SUM($B31:M31)</f>
        <v>0.72295812787558322</v>
      </c>
      <c r="N33" s="934">
        <f>SUM(N30:$N30)/SUM(N31:$N31)</f>
        <v>0.60283523330881728</v>
      </c>
      <c r="O33" s="446">
        <f>SUM($N30:O30)/SUM($N31:O31)</f>
        <v>0.60867595345133907</v>
      </c>
      <c r="P33" s="446">
        <f>SUM($N30:P30)/SUM($N31:P31)</f>
        <v>0.62180363563966046</v>
      </c>
      <c r="Q33" s="446">
        <f>SUM($N30:Q30)/SUM($N31:Q31)</f>
        <v>0.63019538821364351</v>
      </c>
      <c r="R33" s="935">
        <f>SUM($N30:R30)/SUM($N31:R31)</f>
        <v>0.64028340067790479</v>
      </c>
      <c r="S33" s="447">
        <f>SUM($N30:S30)/SUM($N31:S31)</f>
        <v>0.64281538062496213</v>
      </c>
      <c r="T33" s="446">
        <f>+T30/T31</f>
        <v>0.64281538062496213</v>
      </c>
      <c r="U33" s="448">
        <v>0.77</v>
      </c>
      <c r="V33" s="449">
        <f>T33/U33-1</f>
        <v>-0.16517483035719205</v>
      </c>
      <c r="W33" s="449">
        <f t="shared" si="29"/>
        <v>3.954467575415288E-3</v>
      </c>
      <c r="X33" s="450">
        <f>+X30/X31</f>
        <v>0.75001515596489277</v>
      </c>
      <c r="Y33" s="451">
        <f>+T33/X33-1</f>
        <v>-0.14293014546088523</v>
      </c>
      <c r="Z33" s="845"/>
      <c r="AA33" s="845"/>
    </row>
    <row r="34" spans="1:29" ht="21" customHeight="1" thickBot="1">
      <c r="A34" s="452" t="s">
        <v>261</v>
      </c>
      <c r="B34" s="453">
        <f t="shared" ref="B34:R34" si="36">IFERROR(B29/(B31/60),0)</f>
        <v>0.43662879882617106</v>
      </c>
      <c r="C34" s="453">
        <f t="shared" si="36"/>
        <v>0.36391164060560932</v>
      </c>
      <c r="D34" s="453">
        <f t="shared" si="36"/>
        <v>0.38211101126702152</v>
      </c>
      <c r="E34" s="453">
        <f t="shared" si="36"/>
        <v>0.42347407489067723</v>
      </c>
      <c r="F34" s="453">
        <f t="shared" si="36"/>
        <v>0.38289733101845042</v>
      </c>
      <c r="G34" s="1346">
        <f t="shared" si="36"/>
        <v>0.34433232216925647</v>
      </c>
      <c r="H34" s="1347">
        <f t="shared" si="36"/>
        <v>0.37190649034190421</v>
      </c>
      <c r="I34" s="1348">
        <f t="shared" si="36"/>
        <v>0.58432934926958835</v>
      </c>
      <c r="J34" s="1348">
        <f t="shared" si="36"/>
        <v>0.34732232708678978</v>
      </c>
      <c r="K34" s="1348">
        <f t="shared" si="36"/>
        <v>0.37048635824436538</v>
      </c>
      <c r="L34" s="1348">
        <f t="shared" si="36"/>
        <v>0.44676769081051021</v>
      </c>
      <c r="M34" s="1349">
        <f t="shared" si="36"/>
        <v>0.31897852582704583</v>
      </c>
      <c r="N34" s="936">
        <f t="shared" si="36"/>
        <v>0.353272860995342</v>
      </c>
      <c r="O34" s="937">
        <f t="shared" si="36"/>
        <v>0.31526117255929925</v>
      </c>
      <c r="P34" s="937">
        <f t="shared" si="36"/>
        <v>0.32869766768071851</v>
      </c>
      <c r="Q34" s="937">
        <f t="shared" si="36"/>
        <v>0.3100884357573368</v>
      </c>
      <c r="R34" s="938">
        <f t="shared" si="36"/>
        <v>0.32782507093974295</v>
      </c>
      <c r="S34" s="455">
        <f t="shared" ref="S34:T34" si="37">IFERROR(S29/(S31/60),0)</f>
        <v>0.21992958323098338</v>
      </c>
      <c r="T34" s="454">
        <f t="shared" si="37"/>
        <v>0.30653941102951049</v>
      </c>
      <c r="U34" s="453">
        <v>0.52</v>
      </c>
      <c r="V34" s="456">
        <f>T34/U34-1</f>
        <v>-0.41050113263555676</v>
      </c>
      <c r="W34" s="456">
        <f t="shared" si="29"/>
        <v>-0.32912518679387914</v>
      </c>
      <c r="X34" s="453">
        <f>+X29/(X31/60)</f>
        <v>0.39005907359886766</v>
      </c>
      <c r="Y34" s="424">
        <f>+T34/X34-1</f>
        <v>-0.21412054794358626</v>
      </c>
      <c r="Z34" s="460"/>
      <c r="AA34" s="460"/>
      <c r="AB34" s="228"/>
      <c r="AC34" s="228"/>
    </row>
    <row r="35" spans="1:29" ht="21" customHeight="1">
      <c r="A35" s="6" t="s">
        <v>427</v>
      </c>
      <c r="B35" s="708"/>
      <c r="C35" s="708"/>
      <c r="D35" s="708"/>
      <c r="E35" s="708"/>
      <c r="F35" s="708"/>
      <c r="G35" s="708"/>
      <c r="H35" s="708"/>
      <c r="I35" s="708"/>
      <c r="J35" s="708"/>
      <c r="K35" s="708"/>
      <c r="L35" s="708"/>
      <c r="M35" s="708"/>
      <c r="N35" s="708"/>
      <c r="O35" s="708"/>
      <c r="P35" s="708"/>
      <c r="Q35" s="708"/>
      <c r="R35" s="708"/>
      <c r="U35" s="461"/>
    </row>
    <row r="36" spans="1:29" ht="21" customHeight="1">
      <c r="A36" s="6" t="s">
        <v>428</v>
      </c>
    </row>
    <row r="37" spans="1:29" ht="21" customHeight="1">
      <c r="A37" s="6" t="s">
        <v>429</v>
      </c>
    </row>
    <row r="38" spans="1:29" ht="21" customHeight="1">
      <c r="A38" s="6" t="s">
        <v>430</v>
      </c>
    </row>
    <row r="39" spans="1:29" ht="21" customHeight="1"/>
    <row r="40" spans="1:29" ht="21" customHeight="1">
      <c r="B40" s="854"/>
      <c r="C40" s="854"/>
      <c r="D40" s="854"/>
      <c r="E40" s="854"/>
      <c r="F40" s="854"/>
      <c r="G40" s="854"/>
      <c r="H40" s="854"/>
      <c r="I40" s="854"/>
      <c r="J40" s="854"/>
      <c r="K40" s="854"/>
      <c r="L40" s="854"/>
      <c r="M40" s="854"/>
      <c r="N40" s="854"/>
      <c r="O40" s="854"/>
      <c r="P40" s="854"/>
      <c r="Q40" s="854"/>
      <c r="R40" s="854"/>
      <c r="S40" s="854"/>
      <c r="T40" s="854"/>
    </row>
    <row r="41" spans="1:29" ht="21" customHeight="1">
      <c r="T41" s="855"/>
    </row>
    <row r="42" spans="1:29" ht="21" customHeight="1"/>
    <row r="43" spans="1:29" ht="21" customHeight="1"/>
  </sheetData>
  <pageMargins left="0.7" right="0.7" top="0.75" bottom="0.75" header="0.3" footer="0.3"/>
  <pageSetup paperSize="9" orientation="portrait" r:id="rId1"/>
  <ignoredErrors>
    <ignoredError sqref="S16 S32:V32 U29:V31 U19:W20 S18:S19 S34:T34 T33 B34 B18:B20 B24 B16 B10:B12 S10:S11 T27:W28 T24:V24 Y9:AA11 C17 D10:D12 D16:D17 U11:W12 C9:M9 T25:T26 U13:V16 U21:V23 V9:V10 V17:V18 V25:V26 V33:V34 Y14:AA19 Y22:AA27 Y12:Z13 Y20:Z21 Y30:AA34 T5:T23 C25:M25 B26:B28 B32 O9:R9 Y28:Z29 E17:R17 S24:S27 X5:X39 O25:R25" formulaRange="1"/>
  </ignoredError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A1571-91FF-4DBC-831C-C21F36391B08}">
  <sheetPr>
    <tabColor theme="8" tint="0.59999389629810485"/>
  </sheetPr>
  <dimension ref="A1:Y45"/>
  <sheetViews>
    <sheetView showGridLines="0" zoomScale="90" zoomScaleNormal="90" workbookViewId="0"/>
  </sheetViews>
  <sheetFormatPr baseColWidth="10" defaultColWidth="8.85546875" defaultRowHeight="15" outlineLevelRow="1"/>
  <cols>
    <col min="1" max="1" width="14.28515625" style="793" bestFit="1" customWidth="1"/>
    <col min="2" max="2" width="48.85546875" style="633" customWidth="1"/>
    <col min="3" max="11" width="10" style="633" customWidth="1"/>
    <col min="12" max="12" width="10.5703125" style="633" bestFit="1" customWidth="1"/>
    <col min="13" max="21" width="10" style="633" customWidth="1"/>
    <col min="22" max="22" width="13.5703125" style="633" bestFit="1" customWidth="1"/>
    <col min="23" max="23" width="10" style="633" customWidth="1"/>
    <col min="24" max="24" width="11.42578125" style="633" customWidth="1"/>
    <col min="25" max="25" width="17.140625" style="633" bestFit="1" customWidth="1"/>
    <col min="26" max="16384" width="8.85546875" style="633"/>
  </cols>
  <sheetData>
    <row r="1" spans="2:23" ht="21.75" customHeight="1">
      <c r="B1" s="1218" t="s">
        <v>22</v>
      </c>
      <c r="C1" s="1219"/>
      <c r="D1" s="1219"/>
      <c r="E1" s="1219"/>
      <c r="F1" s="1219"/>
      <c r="G1" s="1219"/>
      <c r="H1" s="1219"/>
      <c r="I1" s="1219"/>
      <c r="J1" s="1219"/>
      <c r="K1" s="1219"/>
      <c r="L1" s="1219"/>
      <c r="M1" s="1219"/>
      <c r="N1" s="1219"/>
      <c r="O1" s="1219"/>
      <c r="P1" s="1219"/>
      <c r="Q1" s="1219"/>
      <c r="R1" s="1219"/>
      <c r="S1" s="1219"/>
      <c r="T1" s="1219"/>
      <c r="U1" s="1219"/>
      <c r="V1" s="1219"/>
    </row>
    <row r="2" spans="2:23" ht="21.75" customHeight="1" outlineLevel="1">
      <c r="B2" s="105" t="s">
        <v>432</v>
      </c>
      <c r="C2" s="105"/>
      <c r="D2" s="105"/>
      <c r="E2" s="105"/>
      <c r="F2" s="105"/>
      <c r="G2" s="105"/>
      <c r="H2" s="105"/>
      <c r="I2" s="105"/>
      <c r="J2" s="105"/>
      <c r="K2" s="105"/>
      <c r="L2" s="105"/>
      <c r="M2" s="105"/>
      <c r="N2" s="105"/>
      <c r="O2" s="105"/>
      <c r="P2" s="105"/>
      <c r="Q2" s="105"/>
      <c r="R2" s="105"/>
      <c r="S2" s="105"/>
      <c r="T2" s="105"/>
    </row>
    <row r="3" spans="2:23" ht="21.75" customHeight="1" outlineLevel="1" thickBot="1">
      <c r="B3" s="227" t="s">
        <v>431</v>
      </c>
      <c r="C3" s="6"/>
      <c r="D3" s="6"/>
      <c r="E3" s="6"/>
      <c r="F3" s="6"/>
      <c r="G3" s="6"/>
      <c r="H3" s="6"/>
      <c r="I3" s="6"/>
      <c r="J3" s="6"/>
      <c r="K3" s="6"/>
      <c r="L3" s="6"/>
      <c r="M3" s="6"/>
      <c r="N3" s="6"/>
      <c r="O3" s="527"/>
      <c r="P3" s="525"/>
      <c r="Q3" s="6"/>
      <c r="R3" s="6"/>
      <c r="S3" s="6"/>
      <c r="T3" s="6"/>
    </row>
    <row r="4" spans="2:23" ht="21.75" customHeight="1" outlineLevel="1">
      <c r="B4" s="32" t="s">
        <v>0</v>
      </c>
      <c r="C4" s="1279">
        <v>45838</v>
      </c>
      <c r="D4" s="1280">
        <v>45869</v>
      </c>
      <c r="E4" s="1281">
        <v>45900</v>
      </c>
      <c r="F4" s="1281">
        <v>45930</v>
      </c>
      <c r="G4" s="1281">
        <v>45961</v>
      </c>
      <c r="H4" s="1281">
        <v>45991</v>
      </c>
      <c r="I4" s="1282">
        <v>46022</v>
      </c>
      <c r="J4" s="892">
        <v>46053</v>
      </c>
      <c r="K4" s="893">
        <v>46081</v>
      </c>
      <c r="L4" s="893">
        <v>46112</v>
      </c>
      <c r="M4" s="893">
        <v>46142</v>
      </c>
      <c r="N4" s="918">
        <v>46173</v>
      </c>
      <c r="O4" s="856">
        <v>46203</v>
      </c>
      <c r="P4" s="637" t="s">
        <v>1</v>
      </c>
      <c r="Q4" s="638" t="s">
        <v>12</v>
      </c>
      <c r="R4" s="639" t="s">
        <v>10</v>
      </c>
      <c r="S4" s="639" t="s">
        <v>14</v>
      </c>
      <c r="T4" s="637" t="s">
        <v>335</v>
      </c>
      <c r="U4" s="639" t="s">
        <v>368</v>
      </c>
      <c r="V4" s="857" t="s">
        <v>21</v>
      </c>
    </row>
    <row r="5" spans="2:23" ht="21.75" customHeight="1" outlineLevel="1">
      <c r="B5" s="422" t="s">
        <v>2</v>
      </c>
      <c r="C5" s="1283">
        <v>483</v>
      </c>
      <c r="D5" s="1284">
        <v>404</v>
      </c>
      <c r="E5" s="1285">
        <v>2</v>
      </c>
      <c r="F5" s="1285">
        <v>95</v>
      </c>
      <c r="G5" s="1285">
        <v>1</v>
      </c>
      <c r="H5" s="1285">
        <v>82</v>
      </c>
      <c r="I5" s="1286">
        <v>65</v>
      </c>
      <c r="J5" s="919">
        <v>0</v>
      </c>
      <c r="K5" s="920">
        <v>616</v>
      </c>
      <c r="L5" s="920">
        <v>256</v>
      </c>
      <c r="M5" s="920">
        <v>7</v>
      </c>
      <c r="N5" s="921">
        <v>0</v>
      </c>
      <c r="O5" s="462">
        <v>96</v>
      </c>
      <c r="P5" s="463">
        <f>SUM(J5:O5)</f>
        <v>975</v>
      </c>
      <c r="Q5" s="464">
        <f>Efficiency!T5*V5*0.1%</f>
        <v>568.35784999999998</v>
      </c>
      <c r="R5" s="465">
        <f>P5-Q5</f>
        <v>406.64215000000002</v>
      </c>
      <c r="S5" s="466">
        <f>+P5/Q5-1</f>
        <v>0.71546852040488229</v>
      </c>
      <c r="T5" s="467">
        <v>2793</v>
      </c>
      <c r="U5" s="466">
        <f>IFERROR(P5/T5-1,100%)</f>
        <v>-0.65091299677765846</v>
      </c>
      <c r="V5" s="803">
        <v>37.15</v>
      </c>
    </row>
    <row r="6" spans="2:23" ht="21.75" customHeight="1" outlineLevel="1">
      <c r="B6" s="293" t="s">
        <v>3</v>
      </c>
      <c r="C6" s="1287">
        <v>0</v>
      </c>
      <c r="D6" s="1284">
        <v>303</v>
      </c>
      <c r="E6" s="1285">
        <v>0</v>
      </c>
      <c r="F6" s="1285">
        <v>121</v>
      </c>
      <c r="G6" s="1285">
        <v>129</v>
      </c>
      <c r="H6" s="1285">
        <v>154</v>
      </c>
      <c r="I6" s="1286">
        <v>93</v>
      </c>
      <c r="J6" s="919">
        <v>0</v>
      </c>
      <c r="K6" s="920">
        <v>138</v>
      </c>
      <c r="L6" s="920">
        <v>143</v>
      </c>
      <c r="M6" s="920">
        <v>667</v>
      </c>
      <c r="N6" s="921">
        <v>203</v>
      </c>
      <c r="O6" s="462">
        <v>79</v>
      </c>
      <c r="P6" s="468">
        <f t="shared" ref="P6:P7" si="0">SUM(J6:O6)</f>
        <v>1230</v>
      </c>
      <c r="Q6" s="469">
        <f>Efficiency!T13*V6*0.1%</f>
        <v>669.68516</v>
      </c>
      <c r="R6" s="31">
        <f t="shared" ref="R6:R8" si="1">P6-Q6</f>
        <v>560.31484</v>
      </c>
      <c r="S6" s="470">
        <f t="shared" ref="S6:S8" si="2">+P6/Q6-1</f>
        <v>0.83668397251030613</v>
      </c>
      <c r="T6" s="47">
        <v>1401.3</v>
      </c>
      <c r="U6" s="470">
        <f>IFERROR(P6/T6-1,100%)</f>
        <v>-0.12224363091415114</v>
      </c>
      <c r="V6" s="858">
        <v>85.18</v>
      </c>
    </row>
    <row r="7" spans="2:23" ht="21.75" customHeight="1" outlineLevel="1" thickBot="1">
      <c r="B7" s="293" t="s">
        <v>4</v>
      </c>
      <c r="C7" s="1287">
        <v>0.11</v>
      </c>
      <c r="D7" s="1284">
        <v>26</v>
      </c>
      <c r="E7" s="1285">
        <v>0</v>
      </c>
      <c r="F7" s="1285">
        <v>0</v>
      </c>
      <c r="G7" s="1285">
        <v>32</v>
      </c>
      <c r="H7" s="1285">
        <v>0</v>
      </c>
      <c r="I7" s="1286">
        <v>0</v>
      </c>
      <c r="J7" s="919">
        <v>0</v>
      </c>
      <c r="K7" s="920">
        <v>0</v>
      </c>
      <c r="L7" s="920">
        <v>0</v>
      </c>
      <c r="M7" s="920">
        <v>0</v>
      </c>
      <c r="N7" s="921">
        <v>0</v>
      </c>
      <c r="O7" s="462">
        <v>12</v>
      </c>
      <c r="P7" s="468">
        <f t="shared" si="0"/>
        <v>12</v>
      </c>
      <c r="Q7" s="469">
        <f>Efficiency!T21*V7*0.1%</f>
        <v>413.04924</v>
      </c>
      <c r="R7" s="31">
        <f t="shared" si="1"/>
        <v>-401.04924</v>
      </c>
      <c r="S7" s="470">
        <f t="shared" si="2"/>
        <v>-0.97094777368431906</v>
      </c>
      <c r="T7" s="47">
        <v>321.11</v>
      </c>
      <c r="U7" s="470">
        <f>IFERROR(P7/T7-1,100%)</f>
        <v>-0.96262962847622313</v>
      </c>
      <c r="V7" s="803">
        <v>63.39</v>
      </c>
    </row>
    <row r="8" spans="2:23" ht="21.75" customHeight="1" outlineLevel="1" thickBot="1">
      <c r="B8" s="302" t="s">
        <v>5</v>
      </c>
      <c r="C8" s="1288">
        <f t="shared" ref="C8:N8" si="3">SUM(C5:C7)</f>
        <v>483.11</v>
      </c>
      <c r="D8" s="1289">
        <f t="shared" si="3"/>
        <v>733</v>
      </c>
      <c r="E8" s="1290">
        <f t="shared" si="3"/>
        <v>2</v>
      </c>
      <c r="F8" s="1290">
        <f t="shared" si="3"/>
        <v>216</v>
      </c>
      <c r="G8" s="1290">
        <f t="shared" si="3"/>
        <v>162</v>
      </c>
      <c r="H8" s="1290">
        <f t="shared" si="3"/>
        <v>236</v>
      </c>
      <c r="I8" s="1291">
        <f t="shared" si="3"/>
        <v>158</v>
      </c>
      <c r="J8" s="922">
        <f t="shared" si="3"/>
        <v>0</v>
      </c>
      <c r="K8" s="923">
        <f t="shared" si="3"/>
        <v>754</v>
      </c>
      <c r="L8" s="923">
        <f t="shared" si="3"/>
        <v>399</v>
      </c>
      <c r="M8" s="923">
        <f t="shared" si="3"/>
        <v>674</v>
      </c>
      <c r="N8" s="924">
        <f t="shared" si="3"/>
        <v>203</v>
      </c>
      <c r="O8" s="472">
        <f t="shared" ref="O8:Q8" si="4">SUM(O5:O7)</f>
        <v>187</v>
      </c>
      <c r="P8" s="471">
        <f t="shared" si="4"/>
        <v>2217</v>
      </c>
      <c r="Q8" s="473">
        <f t="shared" si="4"/>
        <v>1651.0922499999999</v>
      </c>
      <c r="R8" s="474">
        <f t="shared" si="1"/>
        <v>565.90775000000008</v>
      </c>
      <c r="S8" s="475">
        <f t="shared" si="2"/>
        <v>0.34274750547705635</v>
      </c>
      <c r="T8" s="476">
        <v>4515.41</v>
      </c>
      <c r="U8" s="475">
        <f>IFERROR(P8/T8-1,100%)</f>
        <v>-0.5090146852666757</v>
      </c>
      <c r="V8" s="477">
        <f>SUM(V5:V7)</f>
        <v>185.72000000000003</v>
      </c>
    </row>
    <row r="9" spans="2:23" ht="21.75" customHeight="1"/>
    <row r="10" spans="2:23" ht="21.75" customHeight="1"/>
    <row r="11" spans="2:23" ht="21.75" customHeight="1"/>
    <row r="12" spans="2:23" ht="21.75" customHeight="1">
      <c r="B12" s="1220" t="s">
        <v>434</v>
      </c>
      <c r="C12" s="1224"/>
      <c r="D12" s="1224"/>
      <c r="E12" s="1224"/>
      <c r="F12" s="1224"/>
      <c r="G12" s="1224"/>
      <c r="H12" s="1224"/>
      <c r="I12" s="1224"/>
      <c r="J12" s="1224"/>
      <c r="K12" s="1224"/>
      <c r="L12" s="1224"/>
      <c r="M12" s="1224"/>
      <c r="N12" s="1224"/>
      <c r="O12" s="1224"/>
      <c r="P12" s="1224"/>
      <c r="Q12" s="1224"/>
      <c r="R12" s="1224"/>
      <c r="S12" s="1224"/>
      <c r="T12" s="1224"/>
      <c r="U12" s="1224"/>
    </row>
    <row r="13" spans="2:23" ht="21.75" customHeight="1" thickBot="1">
      <c r="B13" s="227" t="s">
        <v>433</v>
      </c>
      <c r="O13" s="710"/>
      <c r="P13" s="710"/>
    </row>
    <row r="14" spans="2:23" ht="21.75" customHeight="1">
      <c r="B14" s="32" t="s">
        <v>0</v>
      </c>
      <c r="C14" s="1279">
        <v>45838</v>
      </c>
      <c r="D14" s="1280">
        <v>45869</v>
      </c>
      <c r="E14" s="1281">
        <v>45900</v>
      </c>
      <c r="F14" s="1281">
        <v>45930</v>
      </c>
      <c r="G14" s="1281">
        <v>45961</v>
      </c>
      <c r="H14" s="1281">
        <v>45991</v>
      </c>
      <c r="I14" s="1282">
        <v>46022</v>
      </c>
      <c r="J14" s="892">
        <v>46053</v>
      </c>
      <c r="K14" s="893">
        <v>46081</v>
      </c>
      <c r="L14" s="893">
        <v>46112</v>
      </c>
      <c r="M14" s="893">
        <v>46142</v>
      </c>
      <c r="N14" s="893">
        <v>46173</v>
      </c>
      <c r="O14" s="894">
        <v>46203</v>
      </c>
      <c r="P14" s="637" t="s">
        <v>1</v>
      </c>
      <c r="Q14" s="638" t="s">
        <v>13</v>
      </c>
      <c r="R14" s="641" t="s">
        <v>6</v>
      </c>
      <c r="S14" s="639" t="s">
        <v>14</v>
      </c>
      <c r="T14" s="637" t="s">
        <v>335</v>
      </c>
      <c r="U14" s="639" t="s">
        <v>368</v>
      </c>
      <c r="W14" s="638" t="s">
        <v>13</v>
      </c>
    </row>
    <row r="15" spans="2:23" ht="21.75" customHeight="1">
      <c r="B15" s="422" t="s">
        <v>166</v>
      </c>
      <c r="C15" s="1283">
        <v>0</v>
      </c>
      <c r="D15" s="1292">
        <v>0</v>
      </c>
      <c r="E15" s="1293">
        <v>0</v>
      </c>
      <c r="F15" s="1293">
        <v>0</v>
      </c>
      <c r="G15" s="1293">
        <v>0</v>
      </c>
      <c r="H15" s="1293">
        <v>0</v>
      </c>
      <c r="I15" s="1294">
        <v>0</v>
      </c>
      <c r="J15" s="895">
        <v>0</v>
      </c>
      <c r="K15" s="463">
        <v>0</v>
      </c>
      <c r="L15" s="463">
        <v>0</v>
      </c>
      <c r="M15" s="463"/>
      <c r="N15" s="463"/>
      <c r="O15" s="896"/>
      <c r="P15" s="463">
        <f t="shared" ref="P15" si="5">SUM(K15:O15)</f>
        <v>0</v>
      </c>
      <c r="Q15" s="464">
        <f>+W15/12*6</f>
        <v>0</v>
      </c>
      <c r="R15" s="465">
        <f>P15-Q15</f>
        <v>0</v>
      </c>
      <c r="S15" s="466">
        <f>IFERROR(P15/Q15-1,0)</f>
        <v>0</v>
      </c>
      <c r="T15" s="478">
        <v>0</v>
      </c>
      <c r="U15" s="466">
        <f>IFERROR(P15/T15-1,100%)</f>
        <v>1</v>
      </c>
      <c r="W15" s="464">
        <v>0</v>
      </c>
    </row>
    <row r="16" spans="2:23" ht="21.75" customHeight="1">
      <c r="B16" s="293" t="s">
        <v>181</v>
      </c>
      <c r="C16" s="1287">
        <f t="shared" ref="C16:M16" si="6">SUM(C35:C37)</f>
        <v>7963.5450000000001</v>
      </c>
      <c r="D16" s="1295">
        <f t="shared" si="6"/>
        <v>8200.4940000000006</v>
      </c>
      <c r="E16" s="1296">
        <f t="shared" si="6"/>
        <v>8200.4940000000006</v>
      </c>
      <c r="F16" s="1296">
        <f t="shared" si="6"/>
        <v>8143.5450000000001</v>
      </c>
      <c r="G16" s="1296">
        <f t="shared" si="6"/>
        <v>8380.4940000000006</v>
      </c>
      <c r="H16" s="1296">
        <f t="shared" si="6"/>
        <v>8922.7119999999995</v>
      </c>
      <c r="I16" s="1297">
        <f t="shared" si="6"/>
        <v>8536.3320000000003</v>
      </c>
      <c r="J16" s="897">
        <f t="shared" si="6"/>
        <v>8465.2109999999993</v>
      </c>
      <c r="K16" s="898">
        <f t="shared" si="6"/>
        <v>6332.6649999999991</v>
      </c>
      <c r="L16" s="898">
        <f t="shared" si="6"/>
        <v>9886.9089999999997</v>
      </c>
      <c r="M16" s="898">
        <f t="shared" si="6"/>
        <v>9308.2800000000007</v>
      </c>
      <c r="N16" s="898">
        <f t="shared" ref="N16:O16" si="7">SUM(N35:N37)</f>
        <v>8964.9210000000003</v>
      </c>
      <c r="O16" s="899">
        <f t="shared" si="7"/>
        <v>0</v>
      </c>
      <c r="P16" s="468">
        <f>SUM(K16:O16)</f>
        <v>34492.775000000001</v>
      </c>
      <c r="Q16" s="469">
        <f>+W16/12*6</f>
        <v>52842.074999999997</v>
      </c>
      <c r="R16" s="31">
        <f t="shared" ref="R16:R18" si="8">P16-Q16</f>
        <v>-18349.299999999996</v>
      </c>
      <c r="S16" s="470">
        <f t="shared" ref="S16:S18" si="9">IFERROR(P16/Q16-1,0)</f>
        <v>-0.34724790803540539</v>
      </c>
      <c r="T16" s="479">
        <v>97904.645999999993</v>
      </c>
      <c r="U16" s="470">
        <f>IFERROR(P16/T16-1,100%)</f>
        <v>-0.64769011064091886</v>
      </c>
      <c r="W16" s="469">
        <f>SUM(W35:W37)*1</f>
        <v>105684.14999999998</v>
      </c>
    </row>
    <row r="17" spans="1:25" ht="21.75" customHeight="1">
      <c r="B17" s="480" t="s">
        <v>167</v>
      </c>
      <c r="C17" s="1298">
        <f t="shared" ref="C17:M17" si="10">SUM(C27:C34)</f>
        <v>4485.6409999999996</v>
      </c>
      <c r="D17" s="1299">
        <f t="shared" si="10"/>
        <v>1663.297</v>
      </c>
      <c r="E17" s="1300">
        <f t="shared" si="10"/>
        <v>1299.7429999999999</v>
      </c>
      <c r="F17" s="1300">
        <f t="shared" si="10"/>
        <v>1415.94</v>
      </c>
      <c r="G17" s="1300">
        <f t="shared" si="10"/>
        <v>10529.315000000001</v>
      </c>
      <c r="H17" s="1300">
        <f t="shared" si="10"/>
        <v>6933.2659999999996</v>
      </c>
      <c r="I17" s="1301">
        <f t="shared" si="10"/>
        <v>7019.723</v>
      </c>
      <c r="J17" s="900">
        <f t="shared" si="10"/>
        <v>1104.1780000000001</v>
      </c>
      <c r="K17" s="481">
        <f t="shared" si="10"/>
        <v>10283.570000000002</v>
      </c>
      <c r="L17" s="481">
        <f t="shared" si="10"/>
        <v>20755.82</v>
      </c>
      <c r="M17" s="481">
        <f t="shared" si="10"/>
        <v>16479.056</v>
      </c>
      <c r="N17" s="481">
        <f t="shared" ref="N17:O17" si="11">SUM(N27:N34)</f>
        <v>3405.2060000000015</v>
      </c>
      <c r="O17" s="901">
        <f t="shared" si="11"/>
        <v>0</v>
      </c>
      <c r="P17" s="481">
        <f t="shared" ref="P17" si="12">SUM(K17:O17)</f>
        <v>50923.651999999995</v>
      </c>
      <c r="Q17" s="482">
        <f>+W17/12*6</f>
        <v>49821.754742499994</v>
      </c>
      <c r="R17" s="483">
        <f t="shared" si="8"/>
        <v>1101.8972575000007</v>
      </c>
      <c r="S17" s="484">
        <f t="shared" si="9"/>
        <v>2.211678940645645E-2</v>
      </c>
      <c r="T17" s="485">
        <v>87702.40400000001</v>
      </c>
      <c r="U17" s="484">
        <f>IFERROR(P17/T17-1,100%)</f>
        <v>-0.41935853890618568</v>
      </c>
      <c r="W17" s="482">
        <f>SUM(W27:W34)*1</f>
        <v>99643.509484999988</v>
      </c>
    </row>
    <row r="18" spans="1:25" ht="21.75" customHeight="1">
      <c r="B18" s="486" t="s">
        <v>472</v>
      </c>
      <c r="C18" s="1302">
        <f t="shared" ref="C18:M18" si="13">SUM(C15:C17)</f>
        <v>12449.186</v>
      </c>
      <c r="D18" s="1303">
        <f t="shared" si="13"/>
        <v>9863.7910000000011</v>
      </c>
      <c r="E18" s="1304">
        <f t="shared" si="13"/>
        <v>9500.237000000001</v>
      </c>
      <c r="F18" s="1304">
        <f t="shared" si="13"/>
        <v>9559.4850000000006</v>
      </c>
      <c r="G18" s="1304">
        <f t="shared" si="13"/>
        <v>18909.809000000001</v>
      </c>
      <c r="H18" s="1304">
        <f t="shared" si="13"/>
        <v>15855.977999999999</v>
      </c>
      <c r="I18" s="1305">
        <f t="shared" si="13"/>
        <v>15556.055</v>
      </c>
      <c r="J18" s="902">
        <f t="shared" si="13"/>
        <v>9569.3889999999992</v>
      </c>
      <c r="K18" s="487">
        <f t="shared" si="13"/>
        <v>16616.235000000001</v>
      </c>
      <c r="L18" s="487">
        <f t="shared" si="13"/>
        <v>30642.728999999999</v>
      </c>
      <c r="M18" s="487">
        <f t="shared" si="13"/>
        <v>25787.336000000003</v>
      </c>
      <c r="N18" s="487">
        <f t="shared" ref="N18:O18" si="14">SUM(N15:N17)</f>
        <v>12370.127000000002</v>
      </c>
      <c r="O18" s="903">
        <f t="shared" si="14"/>
        <v>0</v>
      </c>
      <c r="P18" s="487">
        <f>SUM(P15:P17)</f>
        <v>85416.426999999996</v>
      </c>
      <c r="Q18" s="488">
        <f>SUM(Q15:Q17)</f>
        <v>102663.82974249999</v>
      </c>
      <c r="R18" s="489">
        <f t="shared" si="8"/>
        <v>-17247.402742499995</v>
      </c>
      <c r="S18" s="490">
        <f t="shared" si="9"/>
        <v>-0.16799882476388905</v>
      </c>
      <c r="T18" s="491">
        <v>185607.05</v>
      </c>
      <c r="U18" s="490">
        <f>IFERROR(P18/T18-1,100%)</f>
        <v>-0.5397996627822057</v>
      </c>
      <c r="W18" s="488">
        <f>SUM(W15:W17)</f>
        <v>205327.65948499995</v>
      </c>
      <c r="X18" s="667">
        <f>+P18/W18</f>
        <v>0.41600058761805553</v>
      </c>
    </row>
    <row r="19" spans="1:25" ht="21.75" customHeight="1">
      <c r="B19" s="228"/>
      <c r="C19" s="1306"/>
      <c r="D19" s="1307"/>
      <c r="E19" s="1308"/>
      <c r="F19" s="1308"/>
      <c r="G19" s="1308"/>
      <c r="H19" s="1308"/>
      <c r="I19" s="1309"/>
      <c r="J19" s="904"/>
      <c r="K19" s="905"/>
      <c r="L19" s="905"/>
      <c r="M19" s="905"/>
      <c r="N19" s="905"/>
      <c r="O19" s="906"/>
      <c r="P19" s="228"/>
      <c r="Q19" s="228"/>
      <c r="R19" s="460"/>
      <c r="S19" s="460"/>
      <c r="T19" s="492"/>
      <c r="U19" s="460"/>
      <c r="V19" s="228"/>
      <c r="W19" s="228"/>
    </row>
    <row r="20" spans="1:25" ht="21.75" customHeight="1">
      <c r="B20" s="293" t="s">
        <v>264</v>
      </c>
      <c r="C20" s="1287">
        <v>17104.5</v>
      </c>
      <c r="D20" s="1295">
        <v>20753.5</v>
      </c>
      <c r="E20" s="1296">
        <v>3709</v>
      </c>
      <c r="F20" s="1296">
        <v>18966.5</v>
      </c>
      <c r="G20" s="1296">
        <v>21665</v>
      </c>
      <c r="H20" s="1296">
        <v>18669.5</v>
      </c>
      <c r="I20" s="1297">
        <v>17851.5</v>
      </c>
      <c r="J20" s="897">
        <v>17164</v>
      </c>
      <c r="K20" s="898">
        <v>16630.5</v>
      </c>
      <c r="L20" s="898">
        <v>14580.5</v>
      </c>
      <c r="M20" s="898">
        <v>18571</v>
      </c>
      <c r="N20" s="898">
        <v>15397.5</v>
      </c>
      <c r="O20" s="899">
        <v>18636</v>
      </c>
      <c r="P20" s="468">
        <f>SUM(K20:O20)</f>
        <v>83815.5</v>
      </c>
      <c r="Q20" s="469">
        <f>+W20/12*6</f>
        <v>149242.5</v>
      </c>
      <c r="R20" s="493">
        <f t="shared" ref="R20:R22" si="15">P20-Q20</f>
        <v>-65427</v>
      </c>
      <c r="S20" s="428">
        <f t="shared" ref="S20:S25" si="16">IFERROR(P20/Q20-1,0)</f>
        <v>-0.43839388914015776</v>
      </c>
      <c r="T20" s="494">
        <v>211765.5</v>
      </c>
      <c r="U20" s="470">
        <f t="shared" ref="U20:U22" si="17">IFERROR(P20/T20-1,100%)</f>
        <v>-0.60420606756058004</v>
      </c>
      <c r="V20" s="667"/>
      <c r="W20" s="469">
        <f>134*2227.5</f>
        <v>298485</v>
      </c>
    </row>
    <row r="21" spans="1:25" ht="21.75" customHeight="1">
      <c r="B21" s="293" t="s">
        <v>265</v>
      </c>
      <c r="C21" s="1287">
        <v>23499</v>
      </c>
      <c r="D21" s="1295">
        <v>28454.5</v>
      </c>
      <c r="E21" s="1296">
        <v>6795.5</v>
      </c>
      <c r="F21" s="1296">
        <v>26482.5</v>
      </c>
      <c r="G21" s="1296">
        <v>29792.5</v>
      </c>
      <c r="H21" s="1296">
        <v>25918</v>
      </c>
      <c r="I21" s="1297">
        <v>24704</v>
      </c>
      <c r="J21" s="897">
        <v>23953.5</v>
      </c>
      <c r="K21" s="898">
        <v>23561.5</v>
      </c>
      <c r="L21" s="898">
        <v>21122</v>
      </c>
      <c r="M21" s="898">
        <v>26566</v>
      </c>
      <c r="N21" s="898">
        <v>22453</v>
      </c>
      <c r="O21" s="899">
        <v>27143</v>
      </c>
      <c r="P21" s="468">
        <f>SUM(K21:O21)</f>
        <v>120845.5</v>
      </c>
      <c r="Q21" s="469">
        <f>+W21/12*6</f>
        <v>198247.5</v>
      </c>
      <c r="R21" s="493">
        <f t="shared" si="15"/>
        <v>-77402</v>
      </c>
      <c r="S21" s="428">
        <f t="shared" si="16"/>
        <v>-0.39043115297796949</v>
      </c>
      <c r="T21" s="494">
        <v>287544</v>
      </c>
      <c r="U21" s="470">
        <f t="shared" si="17"/>
        <v>-0.57973214534123474</v>
      </c>
      <c r="W21" s="469">
        <f>178*2227.5</f>
        <v>396495</v>
      </c>
    </row>
    <row r="22" spans="1:25" ht="21.75" customHeight="1" thickBot="1">
      <c r="B22" s="640" t="s">
        <v>180</v>
      </c>
      <c r="C22" s="1310">
        <v>169</v>
      </c>
      <c r="D22" s="1311">
        <v>202</v>
      </c>
      <c r="E22" s="1312">
        <v>58.5</v>
      </c>
      <c r="F22" s="1312">
        <v>191.5</v>
      </c>
      <c r="G22" s="1312">
        <v>210.5</v>
      </c>
      <c r="H22" s="1312">
        <v>185</v>
      </c>
      <c r="I22" s="1313">
        <v>202</v>
      </c>
      <c r="J22" s="907">
        <v>201</v>
      </c>
      <c r="K22" s="908">
        <v>178</v>
      </c>
      <c r="L22" s="908">
        <v>164.5</v>
      </c>
      <c r="M22" s="908">
        <v>202</v>
      </c>
      <c r="N22" s="908">
        <v>166</v>
      </c>
      <c r="O22" s="909">
        <v>193.5</v>
      </c>
      <c r="P22" s="859">
        <f>SUM(K22:O22)</f>
        <v>904</v>
      </c>
      <c r="Q22" s="859">
        <f>+W22/12*6</f>
        <v>1129.75</v>
      </c>
      <c r="R22" s="495">
        <f t="shared" si="15"/>
        <v>-225.75</v>
      </c>
      <c r="S22" s="496">
        <f t="shared" si="16"/>
        <v>-0.19982296968355828</v>
      </c>
      <c r="T22" s="497">
        <v>2170</v>
      </c>
      <c r="U22" s="498">
        <f t="shared" si="17"/>
        <v>-0.58341013824884791</v>
      </c>
      <c r="W22" s="859">
        <v>2259.5</v>
      </c>
      <c r="X22" s="667"/>
    </row>
    <row r="23" spans="1:25" ht="21.75" customHeight="1">
      <c r="B23" s="499" t="s">
        <v>267</v>
      </c>
      <c r="C23" s="1314">
        <f t="shared" ref="C23:N23" si="18">+C18/C20</f>
        <v>0.72783103861556897</v>
      </c>
      <c r="D23" s="1315">
        <f t="shared" si="18"/>
        <v>0.47528325342713285</v>
      </c>
      <c r="E23" s="1316">
        <f t="shared" si="18"/>
        <v>2.5614011863035859</v>
      </c>
      <c r="F23" s="1316">
        <f t="shared" si="18"/>
        <v>0.50401945535549519</v>
      </c>
      <c r="G23" s="1316">
        <f t="shared" si="18"/>
        <v>0.8728275559658436</v>
      </c>
      <c r="H23" s="1316">
        <f t="shared" si="18"/>
        <v>0.84929848148048948</v>
      </c>
      <c r="I23" s="1317">
        <f t="shared" si="18"/>
        <v>0.87141444696524106</v>
      </c>
      <c r="J23" s="910">
        <f t="shared" si="18"/>
        <v>0.55752674201817753</v>
      </c>
      <c r="K23" s="500">
        <f t="shared" si="18"/>
        <v>0.99914223865788765</v>
      </c>
      <c r="L23" s="500">
        <f t="shared" si="18"/>
        <v>2.101624018380714</v>
      </c>
      <c r="M23" s="500">
        <f t="shared" si="18"/>
        <v>1.388580905713209</v>
      </c>
      <c r="N23" s="500">
        <f t="shared" si="18"/>
        <v>0.8033854197109922</v>
      </c>
      <c r="O23" s="911">
        <f t="shared" ref="O23:Q23" si="19">+O18/O20</f>
        <v>0</v>
      </c>
      <c r="P23" s="500">
        <f t="shared" si="19"/>
        <v>1.0191006078827902</v>
      </c>
      <c r="Q23" s="500">
        <f t="shared" si="19"/>
        <v>0.68789942370638379</v>
      </c>
      <c r="R23" s="501">
        <f>P23-Q23</f>
        <v>0.33120118417640643</v>
      </c>
      <c r="S23" s="502">
        <f t="shared" si="16"/>
        <v>0.48146745405295333</v>
      </c>
      <c r="T23" s="503">
        <v>0.87647444933192609</v>
      </c>
      <c r="U23" s="502">
        <f>IFERROR(P23/T23-1,100%)</f>
        <v>0.16272711504548454</v>
      </c>
      <c r="W23" s="500">
        <f t="shared" ref="W23" si="20">+W18/W20</f>
        <v>0.68789942370638379</v>
      </c>
    </row>
    <row r="24" spans="1:25" ht="21.75" customHeight="1">
      <c r="B24" s="793" t="s">
        <v>266</v>
      </c>
      <c r="C24" s="1318">
        <f t="shared" ref="C24:N24" si="21">+C18/C21</f>
        <v>0.52977513936763265</v>
      </c>
      <c r="D24" s="1319">
        <f t="shared" si="21"/>
        <v>0.34665135567309219</v>
      </c>
      <c r="E24" s="1320">
        <f t="shared" si="21"/>
        <v>1.3980188359944081</v>
      </c>
      <c r="F24" s="1320">
        <f t="shared" si="21"/>
        <v>0.36097366185216656</v>
      </c>
      <c r="G24" s="1320">
        <f t="shared" si="21"/>
        <v>0.6347170932281615</v>
      </c>
      <c r="H24" s="1320">
        <f t="shared" si="21"/>
        <v>0.61177475113820512</v>
      </c>
      <c r="I24" s="1321">
        <f t="shared" si="21"/>
        <v>0.6296978222150259</v>
      </c>
      <c r="J24" s="912">
        <f t="shared" si="21"/>
        <v>0.39949857014632512</v>
      </c>
      <c r="K24" s="913">
        <f t="shared" si="21"/>
        <v>0.70522823249793098</v>
      </c>
      <c r="L24" s="913">
        <f t="shared" si="21"/>
        <v>1.450749408199981</v>
      </c>
      <c r="M24" s="913">
        <f t="shared" si="21"/>
        <v>0.97068945268388174</v>
      </c>
      <c r="N24" s="913">
        <f t="shared" si="21"/>
        <v>0.55093426268204704</v>
      </c>
      <c r="O24" s="914">
        <f t="shared" ref="O24:P24" si="22">+O18/O21</f>
        <v>0</v>
      </c>
      <c r="P24" s="861">
        <f t="shared" si="22"/>
        <v>0.70682339847160214</v>
      </c>
      <c r="Q24" s="861">
        <f t="shared" ref="Q24" si="23">+Q18/Q21</f>
        <v>0.51785686953177212</v>
      </c>
      <c r="R24" s="862">
        <f t="shared" ref="R24:R25" si="24">P24-Q24</f>
        <v>0.18896652893983001</v>
      </c>
      <c r="S24" s="470">
        <f t="shared" si="16"/>
        <v>0.36490107606506572</v>
      </c>
      <c r="T24" s="860">
        <v>0.64549095095011544</v>
      </c>
      <c r="U24" s="470">
        <f t="shared" ref="U24:U25" si="25">IFERROR(P24/T24-1,100%)</f>
        <v>9.5016742575879443E-2</v>
      </c>
      <c r="W24" s="861">
        <f t="shared" ref="W24" si="26">+W18/W21</f>
        <v>0.51785686953177201</v>
      </c>
    </row>
    <row r="25" spans="1:25" ht="21.75" customHeight="1" thickBot="1">
      <c r="B25" s="863" t="s">
        <v>471</v>
      </c>
      <c r="C25" s="1322">
        <f t="shared" ref="C25:N25" si="27">+C18/C22</f>
        <v>73.663822485207092</v>
      </c>
      <c r="D25" s="1323">
        <f t="shared" si="27"/>
        <v>48.830648514851489</v>
      </c>
      <c r="E25" s="1324">
        <f t="shared" si="27"/>
        <v>162.39721367521369</v>
      </c>
      <c r="F25" s="1324">
        <f t="shared" si="27"/>
        <v>49.9189817232376</v>
      </c>
      <c r="G25" s="1324">
        <f t="shared" si="27"/>
        <v>89.832821852731598</v>
      </c>
      <c r="H25" s="1324">
        <f t="shared" si="27"/>
        <v>85.707989189189178</v>
      </c>
      <c r="I25" s="1325">
        <f t="shared" si="27"/>
        <v>77.010173267326735</v>
      </c>
      <c r="J25" s="915">
        <f t="shared" si="27"/>
        <v>47.608900497512437</v>
      </c>
      <c r="K25" s="916">
        <f t="shared" si="27"/>
        <v>93.349634831460676</v>
      </c>
      <c r="L25" s="916">
        <f t="shared" si="27"/>
        <v>186.27798784194528</v>
      </c>
      <c r="M25" s="916">
        <f t="shared" si="27"/>
        <v>127.6600792079208</v>
      </c>
      <c r="N25" s="916">
        <f t="shared" si="27"/>
        <v>74.5188373493976</v>
      </c>
      <c r="O25" s="917">
        <f t="shared" ref="O25:P25" si="28">+O18/O22</f>
        <v>0</v>
      </c>
      <c r="P25" s="865">
        <f t="shared" si="28"/>
        <v>94.487198008849546</v>
      </c>
      <c r="Q25" s="865">
        <f t="shared" ref="Q25" si="29">+Q18/Q22</f>
        <v>90.873051332153125</v>
      </c>
      <c r="R25" s="866">
        <f t="shared" si="24"/>
        <v>3.6141466766964214</v>
      </c>
      <c r="S25" s="498">
        <f t="shared" si="16"/>
        <v>3.9771380224553399E-2</v>
      </c>
      <c r="T25" s="864">
        <v>85.533202764976949</v>
      </c>
      <c r="U25" s="498">
        <f t="shared" si="25"/>
        <v>0.10468443779050163</v>
      </c>
      <c r="W25" s="865">
        <f t="shared" ref="W25" si="30">+W18/W22</f>
        <v>90.873051332153111</v>
      </c>
    </row>
    <row r="26" spans="1:25" ht="21.75" customHeight="1">
      <c r="R26" s="690"/>
      <c r="W26" s="867"/>
      <c r="X26" s="867"/>
    </row>
    <row r="27" spans="1:25" ht="21.75" customHeight="1">
      <c r="A27" s="868">
        <v>6152000000</v>
      </c>
      <c r="B27" s="869" t="s">
        <v>172</v>
      </c>
      <c r="C27" s="690">
        <v>0</v>
      </c>
      <c r="D27" s="690">
        <v>634.01700000000005</v>
      </c>
      <c r="E27" s="690">
        <v>675.6</v>
      </c>
      <c r="F27" s="690">
        <v>178.12200000000001</v>
      </c>
      <c r="G27" s="690">
        <v>24</v>
      </c>
      <c r="H27" s="690">
        <v>1811</v>
      </c>
      <c r="I27" s="690">
        <v>250</v>
      </c>
      <c r="J27" s="690">
        <v>555.50400000000002</v>
      </c>
      <c r="K27" s="690">
        <v>461.55700000000002</v>
      </c>
      <c r="L27" s="690">
        <v>6980.7110000000002</v>
      </c>
      <c r="M27" s="690">
        <v>4673.4179999999997</v>
      </c>
      <c r="N27" s="690">
        <v>2829.4420000000014</v>
      </c>
      <c r="O27" s="690"/>
      <c r="P27" s="690"/>
      <c r="Q27" s="690"/>
      <c r="R27" s="690"/>
      <c r="S27" s="690"/>
      <c r="T27" s="870">
        <v>48804.986000000004</v>
      </c>
      <c r="U27" s="667"/>
      <c r="V27" s="690"/>
      <c r="W27" s="690">
        <v>57426.583829999996</v>
      </c>
      <c r="X27" s="871"/>
      <c r="Y27" s="690"/>
    </row>
    <row r="28" spans="1:25" ht="21.75" customHeight="1">
      <c r="A28" s="868">
        <v>6152000001</v>
      </c>
      <c r="B28" s="869" t="s">
        <v>173</v>
      </c>
      <c r="C28" s="690">
        <v>0</v>
      </c>
      <c r="D28" s="690">
        <v>0</v>
      </c>
      <c r="E28" s="690">
        <v>25</v>
      </c>
      <c r="F28" s="690">
        <v>250.59200000000001</v>
      </c>
      <c r="G28" s="690">
        <v>0</v>
      </c>
      <c r="H28" s="690">
        <v>165.5</v>
      </c>
      <c r="I28" s="690">
        <v>220.58</v>
      </c>
      <c r="J28" s="690">
        <v>0</v>
      </c>
      <c r="K28" s="690">
        <v>903.5</v>
      </c>
      <c r="L28" s="690">
        <v>0</v>
      </c>
      <c r="M28" s="690">
        <v>131.81</v>
      </c>
      <c r="N28" s="690">
        <v>0</v>
      </c>
      <c r="O28" s="690"/>
      <c r="P28" s="690"/>
      <c r="Q28" s="690"/>
      <c r="R28" s="690"/>
      <c r="S28" s="690"/>
      <c r="T28" s="870">
        <v>2324.748</v>
      </c>
      <c r="U28" s="667"/>
      <c r="V28" s="690"/>
      <c r="W28" s="690">
        <v>5704.161540000001</v>
      </c>
      <c r="X28" s="871"/>
      <c r="Y28" s="690"/>
    </row>
    <row r="29" spans="1:25" ht="21.75" customHeight="1">
      <c r="A29" s="868">
        <v>6152000004</v>
      </c>
      <c r="B29" s="869" t="s">
        <v>174</v>
      </c>
      <c r="C29" s="690">
        <v>3749.37</v>
      </c>
      <c r="D29" s="690">
        <v>413</v>
      </c>
      <c r="E29" s="690">
        <v>0</v>
      </c>
      <c r="F29" s="690">
        <v>64.198999999999998</v>
      </c>
      <c r="G29" s="690">
        <v>8456.2880000000005</v>
      </c>
      <c r="H29" s="690">
        <v>80.686999999999998</v>
      </c>
      <c r="I29" s="690">
        <v>0</v>
      </c>
      <c r="J29" s="690">
        <v>98.340999999999994</v>
      </c>
      <c r="K29" s="690">
        <v>6883.85</v>
      </c>
      <c r="L29" s="690">
        <v>100</v>
      </c>
      <c r="M29" s="690">
        <v>11080.529</v>
      </c>
      <c r="N29" s="690">
        <v>125.431</v>
      </c>
      <c r="O29" s="690"/>
      <c r="P29" s="690"/>
      <c r="Q29" s="690"/>
      <c r="R29" s="690"/>
      <c r="S29" s="690"/>
      <c r="T29" s="870">
        <v>16848.627000000004</v>
      </c>
      <c r="U29" s="667"/>
      <c r="V29" s="690"/>
      <c r="W29" s="690">
        <v>21149.958060000004</v>
      </c>
      <c r="X29" s="871"/>
      <c r="Y29" s="690"/>
    </row>
    <row r="30" spans="1:25" ht="21.75" customHeight="1">
      <c r="A30" s="868">
        <v>6152000005</v>
      </c>
      <c r="B30" s="869" t="s">
        <v>175</v>
      </c>
      <c r="C30" s="690">
        <v>0</v>
      </c>
      <c r="D30" s="690">
        <v>0</v>
      </c>
      <c r="E30" s="690">
        <v>0</v>
      </c>
      <c r="F30" s="690">
        <v>0</v>
      </c>
      <c r="G30" s="690">
        <v>748.88400000000001</v>
      </c>
      <c r="H30" s="690">
        <v>0</v>
      </c>
      <c r="I30" s="690">
        <v>0</v>
      </c>
      <c r="J30" s="690">
        <v>0</v>
      </c>
      <c r="K30" s="690">
        <v>745.83</v>
      </c>
      <c r="L30" s="690">
        <v>0</v>
      </c>
      <c r="M30" s="690">
        <v>0</v>
      </c>
      <c r="N30" s="690">
        <v>0</v>
      </c>
      <c r="O30" s="690"/>
      <c r="P30" s="690"/>
      <c r="Q30" s="690"/>
      <c r="R30" s="690"/>
      <c r="S30" s="690"/>
      <c r="T30" s="870">
        <v>1589.3980000000001</v>
      </c>
      <c r="U30" s="667"/>
      <c r="V30" s="690"/>
      <c r="W30" s="690">
        <v>2010.2936700000005</v>
      </c>
      <c r="X30" s="871"/>
      <c r="Y30" s="690"/>
    </row>
    <row r="31" spans="1:25" ht="21.75" customHeight="1">
      <c r="A31" s="868">
        <v>6152000006</v>
      </c>
      <c r="B31" s="869" t="s">
        <v>176</v>
      </c>
      <c r="C31" s="690">
        <v>0</v>
      </c>
      <c r="D31" s="690">
        <v>17.137</v>
      </c>
      <c r="E31" s="690">
        <v>0</v>
      </c>
      <c r="F31" s="690">
        <v>256</v>
      </c>
      <c r="G31" s="690">
        <v>0</v>
      </c>
      <c r="H31" s="690">
        <v>4075.5</v>
      </c>
      <c r="I31" s="690">
        <v>20.001000000000001</v>
      </c>
      <c r="J31" s="690">
        <v>0</v>
      </c>
      <c r="K31" s="690">
        <v>838.5</v>
      </c>
      <c r="L31" s="690">
        <v>13224.776</v>
      </c>
      <c r="M31" s="690">
        <v>0</v>
      </c>
      <c r="N31" s="690">
        <v>0</v>
      </c>
      <c r="O31" s="690"/>
      <c r="P31" s="690"/>
      <c r="Q31" s="690"/>
      <c r="R31" s="690"/>
      <c r="S31" s="690"/>
      <c r="T31" s="870">
        <v>5628.308</v>
      </c>
      <c r="U31" s="667"/>
      <c r="V31" s="690"/>
      <c r="W31" s="690">
        <v>2463.392085</v>
      </c>
      <c r="X31" s="871"/>
      <c r="Y31" s="690"/>
    </row>
    <row r="32" spans="1:25" ht="21.75" customHeight="1">
      <c r="A32" s="868">
        <v>6151000001</v>
      </c>
      <c r="B32" s="869" t="s">
        <v>169</v>
      </c>
      <c r="C32" s="690">
        <v>607.27099999999996</v>
      </c>
      <c r="D32" s="690">
        <v>478.14299999999997</v>
      </c>
      <c r="E32" s="690">
        <v>478.14299999999997</v>
      </c>
      <c r="F32" s="690">
        <v>546.02700000000004</v>
      </c>
      <c r="G32" s="690">
        <v>1179.143</v>
      </c>
      <c r="H32" s="690">
        <v>601.16899999999998</v>
      </c>
      <c r="I32" s="690">
        <v>6408.1419999999998</v>
      </c>
      <c r="J32" s="690">
        <v>329.33300000000003</v>
      </c>
      <c r="K32" s="690">
        <v>329.33300000000003</v>
      </c>
      <c r="L32" s="690">
        <v>329.33300000000003</v>
      </c>
      <c r="M32" s="690">
        <v>472.29899999999998</v>
      </c>
      <c r="N32" s="690">
        <v>329.33300000000003</v>
      </c>
      <c r="O32" s="690"/>
      <c r="P32" s="690"/>
      <c r="Q32" s="690"/>
      <c r="R32" s="690"/>
      <c r="S32" s="690"/>
      <c r="T32" s="870">
        <v>10957.917000000001</v>
      </c>
      <c r="U32" s="667"/>
      <c r="V32" s="690"/>
      <c r="W32" s="690">
        <v>8846.4093000000012</v>
      </c>
      <c r="X32" s="871"/>
      <c r="Y32" s="690"/>
    </row>
    <row r="33" spans="1:25" ht="21.75" customHeight="1">
      <c r="A33" s="868">
        <v>6151000004</v>
      </c>
      <c r="B33" s="869" t="s">
        <v>170</v>
      </c>
      <c r="C33" s="690">
        <v>0</v>
      </c>
      <c r="D33" s="690">
        <v>0</v>
      </c>
      <c r="E33" s="690">
        <v>0</v>
      </c>
      <c r="F33" s="690">
        <v>0</v>
      </c>
      <c r="G33" s="690">
        <v>0</v>
      </c>
      <c r="H33" s="690">
        <v>0</v>
      </c>
      <c r="I33" s="690">
        <v>0</v>
      </c>
      <c r="J33" s="690">
        <v>0</v>
      </c>
      <c r="K33" s="690">
        <v>0</v>
      </c>
      <c r="L33" s="690">
        <v>0</v>
      </c>
      <c r="M33" s="690">
        <v>0</v>
      </c>
      <c r="N33" s="690">
        <v>0</v>
      </c>
      <c r="O33" s="690"/>
      <c r="P33" s="690"/>
      <c r="Q33" s="690"/>
      <c r="R33" s="690"/>
      <c r="S33" s="690"/>
      <c r="T33" s="870">
        <v>10.01</v>
      </c>
      <c r="U33" s="667"/>
      <c r="V33" s="690"/>
      <c r="W33" s="690">
        <v>176.01100000000005</v>
      </c>
      <c r="X33" s="871"/>
      <c r="Y33" s="690"/>
    </row>
    <row r="34" spans="1:25" ht="21.75" customHeight="1">
      <c r="A34" s="868">
        <v>6151000005</v>
      </c>
      <c r="B34" s="869" t="s">
        <v>171</v>
      </c>
      <c r="C34" s="690">
        <v>129</v>
      </c>
      <c r="D34" s="690">
        <v>121</v>
      </c>
      <c r="E34" s="690">
        <v>121</v>
      </c>
      <c r="F34" s="690">
        <v>121</v>
      </c>
      <c r="G34" s="690">
        <v>121</v>
      </c>
      <c r="H34" s="690">
        <v>199.41</v>
      </c>
      <c r="I34" s="690">
        <v>121</v>
      </c>
      <c r="J34" s="690">
        <v>121</v>
      </c>
      <c r="K34" s="690">
        <v>121</v>
      </c>
      <c r="L34" s="690">
        <v>121</v>
      </c>
      <c r="M34" s="690">
        <v>121</v>
      </c>
      <c r="N34" s="690">
        <v>121</v>
      </c>
      <c r="O34" s="690"/>
      <c r="P34" s="690"/>
      <c r="Q34" s="690"/>
      <c r="R34" s="690"/>
      <c r="S34" s="690"/>
      <c r="T34" s="870">
        <v>1538.41</v>
      </c>
      <c r="U34" s="667"/>
      <c r="V34" s="690"/>
      <c r="W34" s="690">
        <v>1866.7000000000005</v>
      </c>
      <c r="X34" s="871"/>
      <c r="Y34" s="690"/>
    </row>
    <row r="35" spans="1:25" ht="21.75" customHeight="1">
      <c r="A35" s="868">
        <v>6155000001</v>
      </c>
      <c r="B35" s="869" t="s">
        <v>177</v>
      </c>
      <c r="C35" s="690">
        <v>583</v>
      </c>
      <c r="D35" s="690">
        <v>583</v>
      </c>
      <c r="E35" s="690">
        <v>583</v>
      </c>
      <c r="F35" s="690">
        <v>763</v>
      </c>
      <c r="G35" s="690">
        <v>763</v>
      </c>
      <c r="H35" s="690">
        <v>1542.1669999999999</v>
      </c>
      <c r="I35" s="690">
        <v>918.83299999999997</v>
      </c>
      <c r="J35" s="690">
        <v>836.84500000000003</v>
      </c>
      <c r="K35" s="690">
        <v>836.84500000000003</v>
      </c>
      <c r="L35" s="690">
        <v>836.84500000000003</v>
      </c>
      <c r="M35" s="690">
        <v>836.84500000000003</v>
      </c>
      <c r="N35" s="690">
        <v>836.84500000000003</v>
      </c>
      <c r="O35" s="690"/>
      <c r="P35" s="690"/>
      <c r="Q35" s="690"/>
      <c r="R35" s="690"/>
      <c r="S35" s="690"/>
      <c r="T35" s="870">
        <v>8651</v>
      </c>
      <c r="U35" s="667"/>
      <c r="V35" s="690"/>
      <c r="W35" s="690">
        <v>9124.1499999999978</v>
      </c>
      <c r="X35" s="871"/>
      <c r="Y35" s="690"/>
    </row>
    <row r="36" spans="1:25" ht="21.75" customHeight="1">
      <c r="A36" s="868">
        <v>6156000000</v>
      </c>
      <c r="B36" s="869" t="s">
        <v>178</v>
      </c>
      <c r="C36" s="690">
        <v>272.05700000000002</v>
      </c>
      <c r="D36" s="690">
        <v>272.05700000000002</v>
      </c>
      <c r="E36" s="690">
        <v>272.05700000000002</v>
      </c>
      <c r="F36" s="690">
        <v>272.05700000000002</v>
      </c>
      <c r="G36" s="690">
        <v>272.05700000000002</v>
      </c>
      <c r="H36" s="690">
        <v>272.05700000000002</v>
      </c>
      <c r="I36" s="690">
        <v>272.06200000000001</v>
      </c>
      <c r="J36" s="690">
        <v>282.92899999999997</v>
      </c>
      <c r="K36" s="690">
        <v>282.92899999999997</v>
      </c>
      <c r="L36" s="690">
        <v>282.92899999999997</v>
      </c>
      <c r="M36" s="690">
        <v>282.92899999999997</v>
      </c>
      <c r="N36" s="690">
        <v>282.92899999999997</v>
      </c>
      <c r="O36" s="690"/>
      <c r="P36" s="690"/>
      <c r="Q36" s="690"/>
      <c r="R36" s="690"/>
      <c r="S36" s="690"/>
      <c r="T36" s="870">
        <v>3264.6889999999994</v>
      </c>
      <c r="U36" s="667"/>
      <c r="V36" s="690"/>
      <c r="W36" s="690">
        <v>3553.0000000000005</v>
      </c>
      <c r="X36" s="871"/>
      <c r="Y36" s="690"/>
    </row>
    <row r="37" spans="1:25" ht="21.75" customHeight="1">
      <c r="A37" s="868">
        <v>6156000004</v>
      </c>
      <c r="B37" s="869" t="s">
        <v>179</v>
      </c>
      <c r="C37" s="690">
        <v>7108.4880000000003</v>
      </c>
      <c r="D37" s="690">
        <v>7345.4369999999999</v>
      </c>
      <c r="E37" s="690">
        <v>7345.4369999999999</v>
      </c>
      <c r="F37" s="690">
        <v>7108.4880000000003</v>
      </c>
      <c r="G37" s="690">
        <v>7345.4369999999999</v>
      </c>
      <c r="H37" s="690">
        <v>7108.4880000000003</v>
      </c>
      <c r="I37" s="690">
        <v>7345.4369999999999</v>
      </c>
      <c r="J37" s="690">
        <v>7345.4369999999999</v>
      </c>
      <c r="K37" s="690">
        <v>5212.8909999999996</v>
      </c>
      <c r="L37" s="690">
        <v>8767.1350000000002</v>
      </c>
      <c r="M37" s="690">
        <v>8188.5060000000003</v>
      </c>
      <c r="N37" s="690">
        <v>7845.1469999999999</v>
      </c>
      <c r="O37" s="690"/>
      <c r="P37" s="690"/>
      <c r="Q37" s="690"/>
      <c r="R37" s="690"/>
      <c r="S37" s="690"/>
      <c r="T37" s="870">
        <v>85988.956999999995</v>
      </c>
      <c r="U37" s="667"/>
      <c r="V37" s="690"/>
      <c r="W37" s="690">
        <v>93006.999999999985</v>
      </c>
      <c r="X37" s="871"/>
      <c r="Y37" s="690"/>
    </row>
    <row r="38" spans="1:25" ht="21.75" customHeight="1"/>
    <row r="39" spans="1:25" ht="21.75" customHeight="1"/>
    <row r="40" spans="1:25" ht="21.75" customHeight="1">
      <c r="I40" s="690"/>
      <c r="N40" s="690"/>
    </row>
    <row r="41" spans="1:25" ht="21.75" customHeight="1">
      <c r="I41" s="690"/>
      <c r="N41" s="690"/>
    </row>
    <row r="42" spans="1:25" ht="21.75" customHeight="1"/>
    <row r="43" spans="1:25" ht="21.75" customHeight="1"/>
    <row r="44" spans="1:25" ht="21.75" customHeight="1"/>
    <row r="45" spans="1:25" ht="21.75" customHeight="1"/>
  </sheetData>
  <pageMargins left="0.7" right="0.7" top="0.75" bottom="0.75" header="0.3" footer="0.3"/>
  <pageSetup paperSize="9" orientation="portrait" r:id="rId1"/>
  <ignoredErrors>
    <ignoredError sqref="V8 Q8:S8 R17 R18 R15 R16 P18:Q18 Q23:Q25 Q19 W18 W16:W17 O8:P8 O23:O25 O16 O17 P15:P17 P20:P22 P5:P7 C8:N8 C16:N25" formulaRange="1"/>
    <ignoredError sqref="U8 O18:O19 P23:P25 P19" formula="1" formulaRange="1"/>
  </ignoredError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8A624-E911-4FE7-BEA4-BE89CB2DBB4D}">
  <sheetPr>
    <tabColor theme="8" tint="0.59999389629810485"/>
  </sheetPr>
  <dimension ref="A1:Z29"/>
  <sheetViews>
    <sheetView showGridLines="0" zoomScale="90" zoomScaleNormal="90" workbookViewId="0"/>
  </sheetViews>
  <sheetFormatPr baseColWidth="10" defaultColWidth="8.85546875" defaultRowHeight="15" outlineLevelRow="1" outlineLevelCol="1"/>
  <cols>
    <col min="1" max="1" width="29.5703125" style="633" customWidth="1"/>
    <col min="2" max="16" width="10" style="633" customWidth="1"/>
    <col min="17" max="17" width="17.140625" style="633" customWidth="1"/>
    <col min="18" max="22" width="10" style="633" customWidth="1"/>
    <col min="23" max="24" width="10" style="633" customWidth="1" outlineLevel="1"/>
    <col min="25" max="25" width="9" style="633" customWidth="1" outlineLevel="1"/>
    <col min="26" max="26" width="10.140625" style="633" bestFit="1" customWidth="1" outlineLevel="1"/>
    <col min="27" max="28" width="11.42578125" style="633" customWidth="1"/>
    <col min="29" max="29" width="17.140625" style="633" bestFit="1" customWidth="1"/>
    <col min="30" max="16384" width="8.85546875" style="633"/>
  </cols>
  <sheetData>
    <row r="1" spans="1:20" ht="24.75" customHeight="1">
      <c r="A1" s="1218" t="s">
        <v>23</v>
      </c>
      <c r="B1" s="1219"/>
      <c r="C1" s="1219"/>
      <c r="D1" s="1219"/>
      <c r="E1" s="1219"/>
      <c r="F1" s="1219"/>
      <c r="G1" s="1219"/>
      <c r="H1" s="1219"/>
      <c r="I1" s="1219"/>
      <c r="J1" s="1219"/>
      <c r="K1" s="1219"/>
      <c r="L1" s="1219"/>
      <c r="M1" s="1219"/>
      <c r="N1" s="1219"/>
      <c r="O1" s="1219"/>
      <c r="P1" s="1219"/>
      <c r="Q1" s="1219"/>
      <c r="R1" s="1219"/>
      <c r="S1" s="1219"/>
    </row>
    <row r="2" spans="1:20" ht="24.75" customHeight="1" outlineLevel="1">
      <c r="A2" s="228" t="s">
        <v>60</v>
      </c>
      <c r="B2" s="32"/>
      <c r="C2" s="32"/>
      <c r="D2" s="32"/>
      <c r="E2" s="32"/>
      <c r="F2" s="32"/>
      <c r="G2" s="32"/>
      <c r="H2" s="32"/>
      <c r="I2" s="32"/>
      <c r="J2" s="32"/>
      <c r="K2" s="32"/>
      <c r="L2" s="32"/>
      <c r="M2" s="32"/>
      <c r="N2" s="32"/>
      <c r="O2" s="32"/>
      <c r="P2" s="32"/>
      <c r="Q2" s="32"/>
      <c r="R2" s="32"/>
      <c r="S2" s="32"/>
      <c r="T2" s="32"/>
    </row>
    <row r="3" spans="1:20" ht="24.75" customHeight="1" thickBot="1">
      <c r="A3" s="227" t="s">
        <v>435</v>
      </c>
      <c r="N3" s="643"/>
      <c r="O3" s="643"/>
      <c r="T3" s="32"/>
    </row>
    <row r="4" spans="1:20" ht="24.75" customHeight="1">
      <c r="A4" s="32" t="s">
        <v>0</v>
      </c>
      <c r="B4" s="635">
        <v>45838</v>
      </c>
      <c r="C4" s="1264">
        <v>45869</v>
      </c>
      <c r="D4" s="1265">
        <v>45900</v>
      </c>
      <c r="E4" s="1265">
        <v>45930</v>
      </c>
      <c r="F4" s="1265">
        <v>45961</v>
      </c>
      <c r="G4" s="1265">
        <v>45991</v>
      </c>
      <c r="H4" s="1266">
        <v>46022</v>
      </c>
      <c r="I4" s="886">
        <v>46053</v>
      </c>
      <c r="J4" s="887">
        <v>46081</v>
      </c>
      <c r="K4" s="887">
        <v>46112</v>
      </c>
      <c r="L4" s="887">
        <v>46142</v>
      </c>
      <c r="M4" s="888">
        <v>46173</v>
      </c>
      <c r="N4" s="635">
        <v>46203</v>
      </c>
      <c r="O4" s="637" t="s">
        <v>1</v>
      </c>
      <c r="P4" s="638" t="s">
        <v>12</v>
      </c>
      <c r="Q4" s="639" t="s">
        <v>10</v>
      </c>
      <c r="R4" s="637" t="s">
        <v>335</v>
      </c>
      <c r="S4" s="639" t="s">
        <v>368</v>
      </c>
      <c r="T4" s="32"/>
    </row>
    <row r="5" spans="1:20" ht="24.75" customHeight="1">
      <c r="A5" s="613" t="s">
        <v>149</v>
      </c>
      <c r="B5" s="504">
        <v>1</v>
      </c>
      <c r="C5" s="1267">
        <v>1</v>
      </c>
      <c r="D5" s="1268">
        <v>1</v>
      </c>
      <c r="E5" s="1268">
        <v>1</v>
      </c>
      <c r="F5" s="1268">
        <v>1</v>
      </c>
      <c r="G5" s="1268">
        <v>1</v>
      </c>
      <c r="H5" s="1269">
        <v>1</v>
      </c>
      <c r="I5" s="889">
        <v>1</v>
      </c>
      <c r="J5" s="505">
        <v>1</v>
      </c>
      <c r="K5" s="505">
        <v>1</v>
      </c>
      <c r="L5" s="505">
        <v>1</v>
      </c>
      <c r="M5" s="890">
        <v>1</v>
      </c>
      <c r="N5" s="526">
        <v>1</v>
      </c>
      <c r="O5" s="280">
        <v>1</v>
      </c>
      <c r="P5" s="506">
        <v>0.98</v>
      </c>
      <c r="Q5" s="507">
        <f>O5-P5</f>
        <v>2.0000000000000018E-2</v>
      </c>
      <c r="R5" s="508">
        <v>1</v>
      </c>
      <c r="S5" s="507">
        <f>+O5/R5-1</f>
        <v>0</v>
      </c>
      <c r="T5" s="32"/>
    </row>
    <row r="6" spans="1:20" ht="24.75" customHeight="1">
      <c r="A6" s="613" t="s">
        <v>2</v>
      </c>
      <c r="B6" s="504">
        <v>1</v>
      </c>
      <c r="C6" s="1267">
        <v>1</v>
      </c>
      <c r="D6" s="1268">
        <v>1</v>
      </c>
      <c r="E6" s="1268">
        <v>1</v>
      </c>
      <c r="F6" s="1268">
        <v>1</v>
      </c>
      <c r="G6" s="1268">
        <v>1</v>
      </c>
      <c r="H6" s="1269">
        <v>1</v>
      </c>
      <c r="I6" s="889">
        <v>1</v>
      </c>
      <c r="J6" s="505">
        <v>1</v>
      </c>
      <c r="K6" s="505">
        <v>1</v>
      </c>
      <c r="L6" s="505">
        <v>0.9285714285714286</v>
      </c>
      <c r="M6" s="890">
        <v>1</v>
      </c>
      <c r="N6" s="526">
        <v>0.91666666666666663</v>
      </c>
      <c r="O6" s="280">
        <v>0.97402597402597402</v>
      </c>
      <c r="P6" s="506">
        <v>0.98</v>
      </c>
      <c r="Q6" s="507">
        <f>O6-P6</f>
        <v>-5.9740259740259649E-3</v>
      </c>
      <c r="R6" s="508">
        <v>1</v>
      </c>
      <c r="S6" s="507">
        <f t="shared" ref="S6:S9" si="0">+O6/R6-1</f>
        <v>-2.5974025974025983E-2</v>
      </c>
      <c r="T6" s="32"/>
    </row>
    <row r="7" spans="1:20" ht="24.75" customHeight="1">
      <c r="A7" s="613" t="s">
        <v>3</v>
      </c>
      <c r="B7" s="504">
        <v>1</v>
      </c>
      <c r="C7" s="1267">
        <v>1</v>
      </c>
      <c r="D7" s="1268">
        <v>1</v>
      </c>
      <c r="E7" s="1268">
        <v>1</v>
      </c>
      <c r="F7" s="1268">
        <v>1</v>
      </c>
      <c r="G7" s="1268">
        <v>1</v>
      </c>
      <c r="H7" s="1269">
        <v>1</v>
      </c>
      <c r="I7" s="889">
        <v>1</v>
      </c>
      <c r="J7" s="505">
        <v>1</v>
      </c>
      <c r="K7" s="505">
        <v>1</v>
      </c>
      <c r="L7" s="505">
        <v>1</v>
      </c>
      <c r="M7" s="890">
        <v>1</v>
      </c>
      <c r="N7" s="526">
        <v>0.98333333333333328</v>
      </c>
      <c r="O7" s="280">
        <v>0.99537037037037035</v>
      </c>
      <c r="P7" s="506">
        <v>0.98</v>
      </c>
      <c r="Q7" s="507">
        <f t="shared" ref="Q7:Q9" si="1">O7-P7</f>
        <v>1.5370370370370368E-2</v>
      </c>
      <c r="R7" s="508">
        <v>1</v>
      </c>
      <c r="S7" s="507">
        <f t="shared" si="0"/>
        <v>-4.6296296296296502E-3</v>
      </c>
      <c r="T7" s="32"/>
    </row>
    <row r="8" spans="1:20" ht="24.75" customHeight="1" thickBot="1">
      <c r="A8" s="613" t="s">
        <v>4</v>
      </c>
      <c r="B8" s="504">
        <v>1</v>
      </c>
      <c r="C8" s="1267">
        <v>1</v>
      </c>
      <c r="D8" s="1268">
        <v>1</v>
      </c>
      <c r="E8" s="1268">
        <v>1</v>
      </c>
      <c r="F8" s="1268">
        <v>1</v>
      </c>
      <c r="G8" s="1268">
        <v>1</v>
      </c>
      <c r="H8" s="1269">
        <v>1</v>
      </c>
      <c r="I8" s="889">
        <v>1</v>
      </c>
      <c r="J8" s="505">
        <v>1</v>
      </c>
      <c r="K8" s="505">
        <v>1</v>
      </c>
      <c r="L8" s="505">
        <v>1</v>
      </c>
      <c r="M8" s="890">
        <v>1</v>
      </c>
      <c r="N8" s="526">
        <v>1</v>
      </c>
      <c r="O8" s="280">
        <v>1</v>
      </c>
      <c r="P8" s="506">
        <v>0.98</v>
      </c>
      <c r="Q8" s="507">
        <f t="shared" si="1"/>
        <v>2.0000000000000018E-2</v>
      </c>
      <c r="R8" s="508">
        <v>1</v>
      </c>
      <c r="S8" s="507">
        <f t="shared" si="0"/>
        <v>0</v>
      </c>
      <c r="T8" s="32"/>
    </row>
    <row r="9" spans="1:20" ht="24.75" customHeight="1" thickBot="1">
      <c r="A9" s="302" t="s">
        <v>5</v>
      </c>
      <c r="B9" s="509">
        <v>1</v>
      </c>
      <c r="C9" s="1270">
        <v>1</v>
      </c>
      <c r="D9" s="1271">
        <v>1</v>
      </c>
      <c r="E9" s="1271">
        <v>1</v>
      </c>
      <c r="F9" s="1271">
        <v>1</v>
      </c>
      <c r="G9" s="1271">
        <v>1</v>
      </c>
      <c r="H9" s="1272">
        <v>1</v>
      </c>
      <c r="I9" s="883">
        <v>1</v>
      </c>
      <c r="J9" s="884">
        <v>1</v>
      </c>
      <c r="K9" s="884">
        <v>1</v>
      </c>
      <c r="L9" s="884">
        <v>0.98795180722891562</v>
      </c>
      <c r="M9" s="891">
        <v>1</v>
      </c>
      <c r="N9" s="511">
        <v>0.984375</v>
      </c>
      <c r="O9" s="309">
        <v>0.99446494464944646</v>
      </c>
      <c r="P9" s="512">
        <v>0.98</v>
      </c>
      <c r="Q9" s="513">
        <f t="shared" si="1"/>
        <v>1.4464944649446476E-2</v>
      </c>
      <c r="R9" s="514">
        <v>1</v>
      </c>
      <c r="S9" s="513">
        <f t="shared" si="0"/>
        <v>-5.5350553505535416E-3</v>
      </c>
      <c r="T9" s="32"/>
    </row>
    <row r="10" spans="1:20" ht="24.75" customHeight="1">
      <c r="A10" s="6" t="s">
        <v>113</v>
      </c>
      <c r="T10" s="32"/>
    </row>
    <row r="11" spans="1:20" ht="24.75" customHeight="1">
      <c r="A11" s="6" t="s">
        <v>114</v>
      </c>
      <c r="T11" s="32"/>
    </row>
    <row r="12" spans="1:20" ht="24.75" customHeight="1">
      <c r="T12" s="32"/>
    </row>
    <row r="13" spans="1:20" ht="24.75" customHeight="1">
      <c r="T13" s="32"/>
    </row>
    <row r="14" spans="1:20" ht="24.75" customHeight="1">
      <c r="A14" s="1218" t="s">
        <v>436</v>
      </c>
      <c r="B14" s="1219"/>
      <c r="C14" s="1219"/>
      <c r="D14" s="1219"/>
      <c r="E14" s="1219"/>
      <c r="F14" s="1219"/>
      <c r="G14" s="1219"/>
      <c r="H14" s="1219"/>
      <c r="I14" s="1219"/>
      <c r="J14" s="1219"/>
      <c r="K14" s="1219"/>
      <c r="L14" s="1219"/>
      <c r="M14" s="1219"/>
      <c r="N14" s="1219"/>
      <c r="O14" s="1219"/>
      <c r="P14" s="1219"/>
      <c r="Q14" s="1219"/>
      <c r="R14" s="1219"/>
      <c r="S14" s="1219"/>
    </row>
    <row r="15" spans="1:20" ht="24.75" customHeight="1" thickBot="1">
      <c r="A15" s="6" t="s">
        <v>437</v>
      </c>
      <c r="N15" s="643"/>
      <c r="O15" s="643"/>
    </row>
    <row r="16" spans="1:20" ht="24.75" customHeight="1">
      <c r="A16" s="32" t="s">
        <v>0</v>
      </c>
      <c r="B16" s="635">
        <v>45838</v>
      </c>
      <c r="C16" s="1264">
        <v>45869</v>
      </c>
      <c r="D16" s="1265">
        <v>45900</v>
      </c>
      <c r="E16" s="1265">
        <v>45930</v>
      </c>
      <c r="F16" s="1265">
        <v>45961</v>
      </c>
      <c r="G16" s="1265">
        <v>45991</v>
      </c>
      <c r="H16" s="1266">
        <v>46022</v>
      </c>
      <c r="I16" s="875">
        <v>46053</v>
      </c>
      <c r="J16" s="876">
        <v>46081</v>
      </c>
      <c r="K16" s="876">
        <v>46112</v>
      </c>
      <c r="L16" s="876">
        <v>46142</v>
      </c>
      <c r="M16" s="876">
        <v>46173</v>
      </c>
      <c r="N16" s="878">
        <v>46203</v>
      </c>
      <c r="O16" s="637" t="s">
        <v>1</v>
      </c>
      <c r="P16" s="638" t="s">
        <v>12</v>
      </c>
      <c r="Q16" s="639" t="s">
        <v>10</v>
      </c>
      <c r="R16" s="637" t="s">
        <v>335</v>
      </c>
      <c r="S16" s="639" t="s">
        <v>368</v>
      </c>
    </row>
    <row r="17" spans="1:19" ht="24.75" customHeight="1">
      <c r="A17" s="612" t="s">
        <v>111</v>
      </c>
      <c r="B17" s="196">
        <v>0</v>
      </c>
      <c r="C17" s="1273">
        <v>3</v>
      </c>
      <c r="D17" s="1274">
        <v>0</v>
      </c>
      <c r="E17" s="1274">
        <v>10</v>
      </c>
      <c r="F17" s="1274">
        <v>0</v>
      </c>
      <c r="G17" s="1274">
        <v>7</v>
      </c>
      <c r="H17" s="1275">
        <v>9</v>
      </c>
      <c r="I17" s="879">
        <v>0</v>
      </c>
      <c r="J17" s="515">
        <v>4</v>
      </c>
      <c r="K17" s="515">
        <v>4</v>
      </c>
      <c r="L17" s="515">
        <v>2</v>
      </c>
      <c r="M17" s="515">
        <v>0</v>
      </c>
      <c r="N17" s="880">
        <v>0</v>
      </c>
      <c r="O17" s="515">
        <f>SUM(I17:N17)</f>
        <v>10</v>
      </c>
      <c r="P17" s="516"/>
      <c r="Q17" s="517"/>
      <c r="R17" s="518">
        <v>48</v>
      </c>
      <c r="S17" s="21"/>
    </row>
    <row r="18" spans="1:19" ht="24.75" customHeight="1" thickBot="1">
      <c r="A18" s="614" t="s">
        <v>112</v>
      </c>
      <c r="B18" s="197">
        <v>0</v>
      </c>
      <c r="C18" s="1276">
        <v>10</v>
      </c>
      <c r="D18" s="1277">
        <v>0</v>
      </c>
      <c r="E18" s="1277">
        <v>10</v>
      </c>
      <c r="F18" s="1277">
        <v>0</v>
      </c>
      <c r="G18" s="1277">
        <v>8</v>
      </c>
      <c r="H18" s="1278">
        <v>9</v>
      </c>
      <c r="I18" s="881">
        <v>0</v>
      </c>
      <c r="J18" s="519">
        <v>10</v>
      </c>
      <c r="K18" s="519">
        <v>7</v>
      </c>
      <c r="L18" s="519">
        <v>6</v>
      </c>
      <c r="M18" s="519">
        <v>0</v>
      </c>
      <c r="N18" s="882">
        <v>0</v>
      </c>
      <c r="O18" s="519">
        <f>SUM(I18:N18)</f>
        <v>23</v>
      </c>
      <c r="P18" s="520"/>
      <c r="Q18" s="18"/>
      <c r="R18" s="521">
        <v>63</v>
      </c>
      <c r="S18" s="198">
        <f>O18/R18-1</f>
        <v>-0.63492063492063489</v>
      </c>
    </row>
    <row r="19" spans="1:19" ht="24.75" customHeight="1" thickBot="1">
      <c r="A19" s="302" t="s">
        <v>110</v>
      </c>
      <c r="B19" s="522" t="str">
        <f t="shared" ref="B19:M19" si="2">IFERROR(B17/B18,"")</f>
        <v/>
      </c>
      <c r="C19" s="1270">
        <f t="shared" si="2"/>
        <v>0.3</v>
      </c>
      <c r="D19" s="1271" t="str">
        <f t="shared" si="2"/>
        <v/>
      </c>
      <c r="E19" s="1271">
        <f t="shared" si="2"/>
        <v>1</v>
      </c>
      <c r="F19" s="1271" t="str">
        <f t="shared" si="2"/>
        <v/>
      </c>
      <c r="G19" s="1271">
        <f t="shared" si="2"/>
        <v>0.875</v>
      </c>
      <c r="H19" s="1272">
        <f t="shared" si="2"/>
        <v>1</v>
      </c>
      <c r="I19" s="883" t="str">
        <f t="shared" si="2"/>
        <v/>
      </c>
      <c r="J19" s="884">
        <f t="shared" si="2"/>
        <v>0.4</v>
      </c>
      <c r="K19" s="884">
        <f t="shared" si="2"/>
        <v>0.5714285714285714</v>
      </c>
      <c r="L19" s="884">
        <f t="shared" si="2"/>
        <v>0.33333333333333331</v>
      </c>
      <c r="M19" s="884" t="str">
        <f t="shared" si="2"/>
        <v/>
      </c>
      <c r="N19" s="885" t="str">
        <f t="shared" ref="N19" si="3">IFERROR(N17/N18,"")</f>
        <v/>
      </c>
      <c r="O19" s="510">
        <f t="shared" ref="O19" si="4">IFERROR(O17/O18,0)</f>
        <v>0.43478260869565216</v>
      </c>
      <c r="P19" s="523">
        <v>0.97</v>
      </c>
      <c r="Q19" s="513">
        <f t="shared" ref="Q19" si="5">O19-P19</f>
        <v>-0.53521739130434787</v>
      </c>
      <c r="R19" s="524">
        <v>0.76190476190476186</v>
      </c>
      <c r="S19" s="513">
        <f>O19/R19-1</f>
        <v>-0.42934782608695654</v>
      </c>
    </row>
    <row r="20" spans="1:19" ht="24.75" customHeight="1">
      <c r="A20" s="6" t="s">
        <v>109</v>
      </c>
      <c r="P20" s="709" t="s">
        <v>135</v>
      </c>
    </row>
    <row r="21" spans="1:19" ht="24.75" customHeight="1">
      <c r="A21" s="6" t="s">
        <v>106</v>
      </c>
    </row>
    <row r="22" spans="1:19" ht="24.75" customHeight="1">
      <c r="A22" s="6" t="s">
        <v>107</v>
      </c>
    </row>
    <row r="23" spans="1:19" ht="24.75" customHeight="1">
      <c r="A23" s="6" t="s">
        <v>108</v>
      </c>
    </row>
    <row r="24" spans="1:19" ht="24.75" customHeight="1">
      <c r="A24" s="6"/>
    </row>
    <row r="25" spans="1:19" ht="24.75" customHeight="1"/>
    <row r="26" spans="1:19" ht="24.75" customHeight="1"/>
    <row r="27" spans="1:19" ht="24.75" customHeight="1"/>
    <row r="28" spans="1:19" ht="24.75" customHeight="1"/>
    <row r="29" spans="1:19" ht="24.75" customHeight="1"/>
  </sheetData>
  <pageMargins left="0.7" right="0.7" top="0.75" bottom="0.75" header="0.3" footer="0.3"/>
  <pageSetup paperSize="9" orientation="portrait" r:id="rId1"/>
  <ignoredErrors>
    <ignoredError sqref="O19 O17:O18" formulaRange="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AEB88-EAB1-4B80-AF2E-6DED9FDBD05C}">
  <sheetPr>
    <tabColor theme="8" tint="0.59999389629810485"/>
  </sheetPr>
  <dimension ref="A1:AD154"/>
  <sheetViews>
    <sheetView showGridLines="0" topLeftCell="A17" zoomScale="80" zoomScaleNormal="80" workbookViewId="0">
      <selection activeCell="Y9" sqref="Y9"/>
    </sheetView>
  </sheetViews>
  <sheetFormatPr baseColWidth="10" defaultColWidth="8.85546875" defaultRowHeight="14.25" outlineLevelRow="2" outlineLevelCol="1"/>
  <cols>
    <col min="1" max="1" width="11.5703125" style="872" bestFit="1" customWidth="1"/>
    <col min="2" max="2" width="35.7109375" style="873" bestFit="1" customWidth="1"/>
    <col min="3" max="3" width="10.5703125" style="762" bestFit="1" customWidth="1" outlineLevel="1"/>
    <col min="4" max="4" width="10" style="762" bestFit="1" customWidth="1" outlineLevel="1"/>
    <col min="5" max="5" width="11.140625" style="762" bestFit="1" customWidth="1" outlineLevel="1"/>
    <col min="6" max="6" width="9.28515625" style="762" bestFit="1" customWidth="1" outlineLevel="1"/>
    <col min="7" max="7" width="9.7109375" style="762" bestFit="1" customWidth="1"/>
    <col min="8" max="8" width="10" style="762" bestFit="1" customWidth="1"/>
    <col min="9" max="9" width="9.140625" style="762" bestFit="1" customWidth="1"/>
    <col min="10" max="11" width="10.7109375" style="762" bestFit="1" customWidth="1"/>
    <col min="12" max="12" width="9.5703125" style="762" bestFit="1" customWidth="1"/>
    <col min="13" max="14" width="10" style="762" bestFit="1" customWidth="1"/>
    <col min="15" max="15" width="10.5703125" style="139" bestFit="1" customWidth="1"/>
    <col min="16" max="16" width="10" style="139" bestFit="1" customWidth="1"/>
    <col min="17" max="17" width="11.140625" style="139" bestFit="1" customWidth="1"/>
    <col min="18" max="18" width="9.28515625" style="139" bestFit="1" customWidth="1"/>
    <col min="19" max="19" width="9.7109375" style="139" bestFit="1" customWidth="1"/>
    <col min="20" max="20" width="10.5703125" style="873" bestFit="1" customWidth="1"/>
    <col min="21" max="21" width="12.28515625" style="873" bestFit="1" customWidth="1"/>
    <col min="22" max="22" width="9.5703125" style="873" bestFit="1" customWidth="1"/>
    <col min="23" max="23" width="12.85546875" style="873" customWidth="1"/>
    <col min="24" max="24" width="14" style="873" customWidth="1"/>
    <col min="25" max="25" width="20.7109375" style="873" customWidth="1"/>
    <col min="26" max="26" width="19" style="873" customWidth="1"/>
    <col min="27" max="27" width="19.7109375" style="873" customWidth="1"/>
    <col min="28" max="28" width="10.5703125" style="873" bestFit="1" customWidth="1"/>
    <col min="29" max="29" width="11.42578125" style="873" customWidth="1"/>
    <col min="30" max="30" width="17.140625" style="873" bestFit="1" customWidth="1"/>
    <col min="31" max="16384" width="8.85546875" style="873"/>
  </cols>
  <sheetData>
    <row r="1" spans="1:30" ht="22.5" customHeight="1" thickBot="1">
      <c r="A1" s="1669"/>
      <c r="B1" s="1670" t="s">
        <v>478</v>
      </c>
      <c r="C1" s="170"/>
      <c r="D1" s="170"/>
      <c r="E1" s="170"/>
      <c r="F1" s="170"/>
      <c r="G1" s="170"/>
      <c r="H1" s="170"/>
      <c r="I1" s="170"/>
      <c r="J1" s="170"/>
      <c r="K1" s="170"/>
      <c r="L1" s="170"/>
      <c r="M1" s="170"/>
      <c r="N1" s="170"/>
      <c r="O1" s="1671"/>
      <c r="P1" s="1671"/>
      <c r="Q1" s="1671"/>
      <c r="R1" s="1671"/>
      <c r="S1" s="1671"/>
      <c r="T1" s="1672"/>
      <c r="U1" s="1673"/>
      <c r="V1" s="1674"/>
      <c r="W1" s="1674"/>
      <c r="X1" s="1674"/>
      <c r="Y1" s="1674"/>
      <c r="Z1" s="1674"/>
      <c r="AA1" s="1674"/>
      <c r="AB1" s="1674"/>
      <c r="AC1" s="1674"/>
      <c r="AD1" s="1674"/>
    </row>
    <row r="2" spans="1:30" ht="22.5" customHeight="1" outlineLevel="1">
      <c r="A2" s="1669"/>
      <c r="B2" s="1675" t="s">
        <v>0</v>
      </c>
      <c r="C2" s="1694">
        <v>45658</v>
      </c>
      <c r="D2" s="1695">
        <v>45716</v>
      </c>
      <c r="E2" s="1695">
        <v>45747</v>
      </c>
      <c r="F2" s="1695">
        <v>45777</v>
      </c>
      <c r="G2" s="1695">
        <v>45808</v>
      </c>
      <c r="H2" s="1696">
        <v>45838</v>
      </c>
      <c r="I2" s="1695">
        <v>45869</v>
      </c>
      <c r="J2" s="1695">
        <v>45900</v>
      </c>
      <c r="K2" s="1695">
        <v>45930</v>
      </c>
      <c r="L2" s="1695">
        <v>45961</v>
      </c>
      <c r="M2" s="1695">
        <v>45991</v>
      </c>
      <c r="N2" s="1697">
        <v>46022</v>
      </c>
      <c r="O2" s="1702">
        <v>46053</v>
      </c>
      <c r="P2" s="1703">
        <v>46081</v>
      </c>
      <c r="Q2" s="1703">
        <v>46112</v>
      </c>
      <c r="R2" s="1703">
        <v>46142</v>
      </c>
      <c r="S2" s="1703">
        <v>46173</v>
      </c>
      <c r="T2" s="1704">
        <v>46203</v>
      </c>
      <c r="U2" s="1676" t="s">
        <v>1</v>
      </c>
      <c r="V2" s="1677" t="s">
        <v>479</v>
      </c>
      <c r="W2" s="1677" t="s">
        <v>12</v>
      </c>
      <c r="X2" s="1678" t="s">
        <v>10</v>
      </c>
      <c r="Y2" s="1678" t="s">
        <v>14</v>
      </c>
      <c r="Z2" s="1676" t="s">
        <v>480</v>
      </c>
      <c r="AA2" s="1678" t="s">
        <v>368</v>
      </c>
      <c r="AB2" s="1674"/>
      <c r="AC2" s="1674"/>
      <c r="AD2" s="1674"/>
    </row>
    <row r="3" spans="1:30" ht="22.5" customHeight="1" outlineLevel="1">
      <c r="A3" s="1669"/>
      <c r="B3" s="564" t="s">
        <v>2</v>
      </c>
      <c r="C3" s="1253">
        <v>1.1397058823529411</v>
      </c>
      <c r="D3" s="1254">
        <v>0.43382352941176466</v>
      </c>
      <c r="E3" s="1254">
        <v>1.0588235294117647</v>
      </c>
      <c r="F3" s="1254">
        <v>0.51470588235294112</v>
      </c>
      <c r="G3" s="1254">
        <v>0.77205882352941169</v>
      </c>
      <c r="H3" s="565">
        <v>0.77205882352941169</v>
      </c>
      <c r="I3" s="1255">
        <v>1.3823529411764706</v>
      </c>
      <c r="J3" s="1255">
        <v>0</v>
      </c>
      <c r="K3" s="1255">
        <v>1.1544117647058825</v>
      </c>
      <c r="L3" s="1255">
        <v>1</v>
      </c>
      <c r="M3" s="1255">
        <v>1.1764705882352942</v>
      </c>
      <c r="N3" s="1256">
        <v>0.63970588235294112</v>
      </c>
      <c r="O3" s="1661">
        <v>1.4338235294117647</v>
      </c>
      <c r="P3" s="1662">
        <v>0.67415966386554627</v>
      </c>
      <c r="Q3" s="1662">
        <v>1.2867647058823528</v>
      </c>
      <c r="R3" s="1662">
        <v>1.0808823529411764</v>
      </c>
      <c r="S3" s="1662">
        <v>1.1323529411764706</v>
      </c>
      <c r="T3" s="1663">
        <v>1.6102941176470589</v>
      </c>
      <c r="U3" s="566">
        <f>SUM(O3:T3)</f>
        <v>7.2182773109243703</v>
      </c>
      <c r="V3" s="567">
        <f>+U3/6</f>
        <v>1.2030462184873951</v>
      </c>
      <c r="W3" s="567">
        <f>+Z3*0.7</f>
        <v>0.58590686274509807</v>
      </c>
      <c r="X3" s="568">
        <f>V3-W3</f>
        <v>0.61713935574229706</v>
      </c>
      <c r="Y3" s="4">
        <f>+V3/W3-1</f>
        <v>1.0533062419697017</v>
      </c>
      <c r="Z3" s="569">
        <v>0.83700980392156865</v>
      </c>
      <c r="AA3" s="4">
        <f>IFERROR(V3/Z3-1,100%)</f>
        <v>0.43731436937879131</v>
      </c>
      <c r="AB3" s="1674"/>
      <c r="AC3" s="1674"/>
      <c r="AD3" s="1674"/>
    </row>
    <row r="4" spans="1:30" ht="22.5" customHeight="1" outlineLevel="1">
      <c r="A4" s="1669"/>
      <c r="B4" s="89" t="s">
        <v>3</v>
      </c>
      <c r="C4" s="1253">
        <v>2.0588235294117645</v>
      </c>
      <c r="D4" s="1254">
        <v>1.4411764705882351</v>
      </c>
      <c r="E4" s="1254">
        <v>1.7058823529411764</v>
      </c>
      <c r="F4" s="1254">
        <v>0.86029411764705888</v>
      </c>
      <c r="G4" s="1254">
        <v>1.1985294117647058</v>
      </c>
      <c r="H4" s="1257">
        <v>1.1985294117647058</v>
      </c>
      <c r="I4" s="1255">
        <v>2.1985294117647061</v>
      </c>
      <c r="J4" s="1255">
        <v>0.33088235294117646</v>
      </c>
      <c r="K4" s="1255">
        <v>1.2069327731092436</v>
      </c>
      <c r="L4" s="1255">
        <v>1.9852941176470587</v>
      </c>
      <c r="M4" s="1255">
        <v>1.6544117647058822</v>
      </c>
      <c r="N4" s="1256">
        <v>0.88235294117647056</v>
      </c>
      <c r="O4" s="1661">
        <v>2.2352941176470589</v>
      </c>
      <c r="P4" s="1662">
        <v>1.4021008403361344</v>
      </c>
      <c r="Q4" s="1662">
        <v>1.5955882352941178</v>
      </c>
      <c r="R4" s="1662">
        <v>1.6404411764705884</v>
      </c>
      <c r="S4" s="1662">
        <v>1.2279411764705883</v>
      </c>
      <c r="T4" s="1663">
        <v>1.6449579831932772</v>
      </c>
      <c r="U4" s="570">
        <f t="shared" ref="U4:U5" si="0">SUM(O4:T4)</f>
        <v>9.7463235294117663</v>
      </c>
      <c r="V4" s="571">
        <f>+U4/6</f>
        <v>1.6243872549019611</v>
      </c>
      <c r="W4" s="571">
        <f>+V4*0.7</f>
        <v>1.1370710784313727</v>
      </c>
      <c r="X4" s="572">
        <f t="shared" ref="X4:X5" si="1">V4-W4</f>
        <v>0.48731617647058845</v>
      </c>
      <c r="Y4" s="133">
        <f>+V4/W4-1</f>
        <v>0.4285714285714286</v>
      </c>
      <c r="Z4" s="573">
        <v>1.3934698879551821</v>
      </c>
      <c r="AA4" s="133">
        <f>IFERROR(V4/Z4-1,100%)</f>
        <v>0.16571392675419339</v>
      </c>
      <c r="AB4" s="1674"/>
      <c r="AC4" s="1674"/>
      <c r="AD4" s="1674"/>
    </row>
    <row r="5" spans="1:30" ht="22.5" customHeight="1" outlineLevel="1">
      <c r="A5" s="1669"/>
      <c r="B5" s="89" t="s">
        <v>4</v>
      </c>
      <c r="C5" s="1253">
        <v>1.536764705882353</v>
      </c>
      <c r="D5" s="1254">
        <v>0.6029411764705882</v>
      </c>
      <c r="E5" s="1254">
        <v>1.9558823529411762</v>
      </c>
      <c r="F5" s="1254">
        <v>0.35294117647058826</v>
      </c>
      <c r="G5" s="1254">
        <v>0.44117647058823528</v>
      </c>
      <c r="H5" s="1257">
        <v>0.44117647058823528</v>
      </c>
      <c r="I5" s="1255">
        <v>0.86029411764705888</v>
      </c>
      <c r="J5" s="1255">
        <v>0.20588235294117649</v>
      </c>
      <c r="K5" s="1255">
        <v>1.0577731092436975</v>
      </c>
      <c r="L5" s="1255">
        <v>1.3382352941176472</v>
      </c>
      <c r="M5" s="1255">
        <v>0.76470588235294112</v>
      </c>
      <c r="N5" s="1256">
        <v>0.67647058823529416</v>
      </c>
      <c r="O5" s="1661">
        <v>0.72058823529411753</v>
      </c>
      <c r="P5" s="1662">
        <v>0.35430672268907565</v>
      </c>
      <c r="Q5" s="1662">
        <v>0.44117647058823528</v>
      </c>
      <c r="R5" s="1662">
        <v>0.7</v>
      </c>
      <c r="S5" s="1662">
        <v>0.6470588235294118</v>
      </c>
      <c r="T5" s="1663">
        <v>0.83823529411764719</v>
      </c>
      <c r="U5" s="570">
        <f t="shared" si="0"/>
        <v>3.7013655462184873</v>
      </c>
      <c r="V5" s="571">
        <f>+U5/6</f>
        <v>0.61689425770308126</v>
      </c>
      <c r="W5" s="571">
        <f>+V5*0.7</f>
        <v>0.43182598039215686</v>
      </c>
      <c r="X5" s="572">
        <f t="shared" si="1"/>
        <v>0.1850682773109244</v>
      </c>
      <c r="Y5" s="133">
        <f>+V5/W5-1</f>
        <v>0.4285714285714286</v>
      </c>
      <c r="Z5" s="573">
        <v>0.8528536414565826</v>
      </c>
      <c r="AA5" s="133">
        <f>IFERROR(V5/Z5-1,100%)</f>
        <v>-0.27667043005234526</v>
      </c>
      <c r="AB5" s="1674"/>
      <c r="AC5" s="1674"/>
      <c r="AD5" s="1674"/>
    </row>
    <row r="6" spans="1:30" ht="22.5" customHeight="1" outlineLevel="2" thickBot="1">
      <c r="A6" s="1669"/>
      <c r="B6" s="574" t="s">
        <v>481</v>
      </c>
      <c r="C6" s="1258"/>
      <c r="D6" s="575"/>
      <c r="E6" s="575"/>
      <c r="F6" s="575"/>
      <c r="G6" s="575"/>
      <c r="H6" s="576"/>
      <c r="I6" s="575"/>
      <c r="J6" s="575"/>
      <c r="K6" s="575"/>
      <c r="L6" s="575"/>
      <c r="M6" s="575"/>
      <c r="N6" s="1259"/>
      <c r="O6" s="1664"/>
      <c r="P6" s="577"/>
      <c r="Q6" s="577"/>
      <c r="R6" s="577"/>
      <c r="S6" s="577"/>
      <c r="T6" s="1665"/>
      <c r="U6" s="578"/>
      <c r="V6" s="578"/>
      <c r="W6" s="579"/>
      <c r="X6" s="580"/>
      <c r="Y6" s="581"/>
      <c r="Z6" s="581"/>
      <c r="AA6" s="581"/>
      <c r="AB6" s="1674"/>
      <c r="AC6" s="1674"/>
      <c r="AD6" s="1674"/>
    </row>
    <row r="7" spans="1:30" ht="22.5" customHeight="1" outlineLevel="1" thickBot="1">
      <c r="A7" s="1669"/>
      <c r="B7" s="78" t="s">
        <v>5</v>
      </c>
      <c r="C7" s="1260">
        <f t="shared" ref="C7:W7" si="2">SUM(C3:C6)</f>
        <v>4.7352941176470589</v>
      </c>
      <c r="D7" s="1261">
        <f>SUM(D3:D6)</f>
        <v>2.4779411764705879</v>
      </c>
      <c r="E7" s="1261">
        <f t="shared" si="2"/>
        <v>4.7205882352941178</v>
      </c>
      <c r="F7" s="1261">
        <f t="shared" si="2"/>
        <v>1.7279411764705883</v>
      </c>
      <c r="G7" s="1261">
        <f t="shared" si="2"/>
        <v>2.4117647058823528</v>
      </c>
      <c r="H7" s="1262">
        <f t="shared" si="2"/>
        <v>2.4117647058823528</v>
      </c>
      <c r="I7" s="1261">
        <f t="shared" si="2"/>
        <v>4.4411764705882355</v>
      </c>
      <c r="J7" s="1261">
        <f t="shared" si="2"/>
        <v>0.53676470588235292</v>
      </c>
      <c r="K7" s="1261">
        <f t="shared" si="2"/>
        <v>3.4191176470588234</v>
      </c>
      <c r="L7" s="1261">
        <f t="shared" si="2"/>
        <v>4.3235294117647065</v>
      </c>
      <c r="M7" s="1261">
        <f t="shared" si="2"/>
        <v>3.5955882352941178</v>
      </c>
      <c r="N7" s="1263">
        <f t="shared" si="2"/>
        <v>2.1985294117647056</v>
      </c>
      <c r="O7" s="1666">
        <f t="shared" si="2"/>
        <v>4.3897058823529411</v>
      </c>
      <c r="P7" s="1667">
        <f t="shared" si="2"/>
        <v>2.4305672268907563</v>
      </c>
      <c r="Q7" s="1667">
        <v>3.3235294117647056</v>
      </c>
      <c r="R7" s="1667">
        <v>3.4213235294117652</v>
      </c>
      <c r="S7" s="1667">
        <f t="shared" ref="S7" si="3">SUM(S3:S6)</f>
        <v>3.0073529411764706</v>
      </c>
      <c r="T7" s="1668">
        <f t="shared" si="2"/>
        <v>4.0934873949579833</v>
      </c>
      <c r="U7" s="582">
        <f t="shared" si="2"/>
        <v>20.665966386554622</v>
      </c>
      <c r="V7" s="582">
        <f t="shared" si="2"/>
        <v>3.4443277310924376</v>
      </c>
      <c r="W7" s="583">
        <f t="shared" si="2"/>
        <v>2.1548039215686274</v>
      </c>
      <c r="X7" s="584">
        <f>V7-W7</f>
        <v>1.2895238095238102</v>
      </c>
      <c r="Y7" s="80">
        <f>+V7/W7-1</f>
        <v>0.59844136935906378</v>
      </c>
      <c r="Z7" s="585">
        <f>SUM(Z3:Z5)</f>
        <v>3.0833333333333335</v>
      </c>
      <c r="AA7" s="80">
        <f>IFERROR(V7/Z7-1,100%)</f>
        <v>0.11707926413808778</v>
      </c>
      <c r="AB7" s="1674"/>
      <c r="AC7" s="1674"/>
      <c r="AD7" s="1674"/>
    </row>
    <row r="8" spans="1:30" ht="22.5" customHeight="1">
      <c r="A8" s="1669"/>
      <c r="B8" s="1674"/>
      <c r="C8" s="170"/>
      <c r="D8" s="170"/>
      <c r="E8" s="170"/>
      <c r="F8" s="170"/>
      <c r="G8" s="170"/>
      <c r="H8" s="170"/>
      <c r="I8" s="170"/>
      <c r="J8" s="170"/>
      <c r="K8" s="170"/>
      <c r="L8" s="170"/>
      <c r="M8" s="170"/>
      <c r="N8" s="170"/>
      <c r="O8" s="1671"/>
      <c r="P8" s="1671"/>
      <c r="Q8" s="1671"/>
      <c r="R8" s="1671"/>
      <c r="S8" s="1671"/>
      <c r="T8" s="1671"/>
      <c r="U8" s="1674"/>
      <c r="V8" s="1674"/>
      <c r="W8" s="1674"/>
      <c r="X8" s="1674"/>
      <c r="Y8" s="1674"/>
      <c r="Z8" s="1674"/>
      <c r="AA8" s="1674"/>
      <c r="AB8" s="1674"/>
      <c r="AC8" s="1674"/>
      <c r="AD8" s="1674"/>
    </row>
    <row r="9" spans="1:30" ht="22.5" customHeight="1">
      <c r="A9" s="1669"/>
      <c r="B9" s="1674"/>
      <c r="C9" s="170"/>
      <c r="D9" s="170"/>
      <c r="E9" s="170"/>
      <c r="F9" s="170"/>
      <c r="G9" s="170"/>
      <c r="H9" s="170"/>
      <c r="I9" s="170"/>
      <c r="J9" s="170"/>
      <c r="K9" s="170"/>
      <c r="L9" s="170"/>
      <c r="M9" s="170"/>
      <c r="N9" s="170"/>
      <c r="O9" s="1671"/>
      <c r="P9" s="1671"/>
      <c r="Q9" s="1671"/>
      <c r="R9" s="1671"/>
      <c r="S9" s="1671"/>
      <c r="T9" s="1671"/>
      <c r="U9" s="1674"/>
      <c r="V9" s="1674"/>
      <c r="W9" s="1674"/>
      <c r="X9" s="1674"/>
      <c r="Y9" s="1674"/>
      <c r="Z9" s="1674"/>
      <c r="AA9" s="1674"/>
      <c r="AB9" s="1674"/>
      <c r="AC9" s="1674"/>
      <c r="AD9" s="1674"/>
    </row>
    <row r="10" spans="1:30" ht="22.5" customHeight="1">
      <c r="A10" s="1669"/>
      <c r="B10" s="1674"/>
      <c r="C10" s="170"/>
      <c r="D10" s="170"/>
      <c r="E10" s="170"/>
      <c r="F10" s="170"/>
      <c r="G10" s="170"/>
      <c r="H10" s="170"/>
      <c r="I10" s="170"/>
      <c r="J10" s="170"/>
      <c r="K10" s="170"/>
      <c r="L10" s="170"/>
      <c r="M10" s="170"/>
      <c r="N10" s="170"/>
      <c r="O10" s="1671"/>
      <c r="P10" s="1671"/>
      <c r="Q10" s="1671"/>
      <c r="R10" s="1671"/>
      <c r="S10" s="1671"/>
      <c r="T10" s="1671"/>
      <c r="U10" s="1674"/>
      <c r="V10" s="1674"/>
      <c r="W10" s="1674"/>
      <c r="X10" s="1674"/>
      <c r="Y10" s="1674"/>
      <c r="Z10" s="1674"/>
      <c r="AA10" s="1674"/>
      <c r="AB10" s="1674"/>
      <c r="AC10" s="1674"/>
      <c r="AD10" s="1674"/>
    </row>
    <row r="11" spans="1:30" ht="22.5" customHeight="1" thickBot="1">
      <c r="A11" s="1669"/>
      <c r="B11" s="1218" t="s">
        <v>482</v>
      </c>
      <c r="C11" s="1218"/>
      <c r="D11" s="1218"/>
      <c r="E11" s="1218"/>
      <c r="F11" s="1218"/>
      <c r="G11" s="1218"/>
      <c r="H11" s="1218"/>
      <c r="I11" s="170"/>
      <c r="J11" s="170"/>
      <c r="K11" s="170"/>
      <c r="L11" s="170"/>
      <c r="M11" s="170"/>
      <c r="N11" s="170"/>
      <c r="O11" s="1671"/>
      <c r="P11" s="1671"/>
      <c r="Q11" s="1671"/>
      <c r="R11" s="1671"/>
      <c r="S11" s="1671"/>
      <c r="T11" s="1672"/>
      <c r="U11" s="1673"/>
      <c r="V11" s="1674"/>
      <c r="W11" s="1674"/>
      <c r="X11" s="1674"/>
      <c r="Y11" s="1674"/>
      <c r="Z11" s="1674"/>
      <c r="AA11" s="1674"/>
      <c r="AB11" s="1674"/>
      <c r="AC11" s="1674"/>
      <c r="AD11" s="1674"/>
    </row>
    <row r="12" spans="1:30" ht="22.5" customHeight="1">
      <c r="A12" s="1669"/>
      <c r="B12" s="1675"/>
      <c r="C12" s="1694">
        <v>45658</v>
      </c>
      <c r="D12" s="1695">
        <v>45716</v>
      </c>
      <c r="E12" s="1695">
        <v>45747</v>
      </c>
      <c r="F12" s="1695">
        <v>45777</v>
      </c>
      <c r="G12" s="1695">
        <v>45808</v>
      </c>
      <c r="H12" s="1696">
        <v>45838</v>
      </c>
      <c r="I12" s="1695">
        <v>45869</v>
      </c>
      <c r="J12" s="1695">
        <v>45900</v>
      </c>
      <c r="K12" s="1695">
        <v>45930</v>
      </c>
      <c r="L12" s="1695">
        <v>45961</v>
      </c>
      <c r="M12" s="1695">
        <v>45991</v>
      </c>
      <c r="N12" s="1697">
        <v>46022</v>
      </c>
      <c r="O12" s="1702">
        <v>46053</v>
      </c>
      <c r="P12" s="1703">
        <v>46081</v>
      </c>
      <c r="Q12" s="1703">
        <v>46112</v>
      </c>
      <c r="R12" s="1703">
        <v>46142</v>
      </c>
      <c r="S12" s="1703">
        <v>46173</v>
      </c>
      <c r="T12" s="1704">
        <v>46203</v>
      </c>
      <c r="U12" s="1676" t="s">
        <v>1</v>
      </c>
      <c r="V12" s="1677" t="s">
        <v>13</v>
      </c>
      <c r="W12" s="1679" t="s">
        <v>6</v>
      </c>
      <c r="X12" s="1678" t="s">
        <v>14</v>
      </c>
      <c r="Y12" s="1676" t="s">
        <v>509</v>
      </c>
      <c r="Z12" s="1678" t="s">
        <v>368</v>
      </c>
      <c r="AA12" s="1674"/>
      <c r="AB12" s="1674"/>
      <c r="AC12" s="1677" t="s">
        <v>13</v>
      </c>
      <c r="AD12" s="1674"/>
    </row>
    <row r="13" spans="1:30" ht="22.5" customHeight="1">
      <c r="A13" s="1669"/>
      <c r="B13" s="586" t="s">
        <v>483</v>
      </c>
      <c r="C13" s="1240">
        <f t="shared" ref="C13:P13" si="4">SUM(C25:C30)</f>
        <v>25000.395</v>
      </c>
      <c r="D13" s="587">
        <f t="shared" si="4"/>
        <v>20176.679</v>
      </c>
      <c r="E13" s="587">
        <f t="shared" si="4"/>
        <v>20468.866999999998</v>
      </c>
      <c r="F13" s="587">
        <f t="shared" si="4"/>
        <v>8822.5930000000026</v>
      </c>
      <c r="G13" s="587">
        <f t="shared" si="4"/>
        <v>25880.729999999996</v>
      </c>
      <c r="H13" s="588">
        <f t="shared" si="4"/>
        <v>10174.023999999999</v>
      </c>
      <c r="I13" s="587">
        <f t="shared" si="4"/>
        <v>18027.173000000006</v>
      </c>
      <c r="J13" s="587">
        <f t="shared" si="4"/>
        <v>15355.087999999998</v>
      </c>
      <c r="K13" s="587">
        <f t="shared" si="4"/>
        <v>17196.570999999996</v>
      </c>
      <c r="L13" s="587">
        <f t="shared" si="4"/>
        <v>25159.056000000004</v>
      </c>
      <c r="M13" s="587">
        <f t="shared" si="4"/>
        <v>22918.755999999998</v>
      </c>
      <c r="N13" s="1241">
        <f t="shared" si="4"/>
        <v>13166.907999999999</v>
      </c>
      <c r="O13" s="1648">
        <f t="shared" si="4"/>
        <v>19956.297999999999</v>
      </c>
      <c r="P13" s="589">
        <f t="shared" si="4"/>
        <v>19561.466</v>
      </c>
      <c r="Q13" s="589">
        <v>17512.197</v>
      </c>
      <c r="R13" s="589">
        <v>23417.484</v>
      </c>
      <c r="S13" s="589">
        <f>SUM(S25:S30)</f>
        <v>33780.842000000004</v>
      </c>
      <c r="T13" s="1649">
        <f>SUM(T25:T30)</f>
        <v>30065.596999999994</v>
      </c>
      <c r="U13" s="589">
        <f>SUM(O13:T13)</f>
        <v>144293.88399999999</v>
      </c>
      <c r="V13" s="590">
        <f>+AC13/12*6</f>
        <v>135097.37096770134</v>
      </c>
      <c r="W13" s="591">
        <f>U13-V13</f>
        <v>9196.5130322986515</v>
      </c>
      <c r="X13" s="592">
        <f>IFERROR(U13/V13-1,0)</f>
        <v>6.8073219829698495E-2</v>
      </c>
      <c r="Y13" s="587">
        <f>SUM(Y25:Y30)</f>
        <v>226089.57199999999</v>
      </c>
      <c r="Z13" s="592">
        <f>IFERROR(U13/Y13-1,100%)</f>
        <v>-0.36178443471068189</v>
      </c>
      <c r="AA13" s="1674"/>
      <c r="AB13" s="1674"/>
      <c r="AC13" s="593">
        <f>SUM(AC25:AC30)</f>
        <v>270194.74193540268</v>
      </c>
      <c r="AD13" s="1674"/>
    </row>
    <row r="14" spans="1:30" ht="22.5" customHeight="1">
      <c r="A14" s="1669"/>
      <c r="B14" s="586" t="s">
        <v>484</v>
      </c>
      <c r="C14" s="1240">
        <f t="shared" ref="C14:T14" si="5">SUM(C31:C36)</f>
        <v>24455.52</v>
      </c>
      <c r="D14" s="587">
        <f t="shared" si="5"/>
        <v>23651.68</v>
      </c>
      <c r="E14" s="587">
        <f t="shared" si="5"/>
        <v>37225.418999999994</v>
      </c>
      <c r="F14" s="587">
        <f t="shared" si="5"/>
        <v>13323.959000000001</v>
      </c>
      <c r="G14" s="587">
        <f t="shared" si="5"/>
        <v>25616.639000000003</v>
      </c>
      <c r="H14" s="588">
        <f t="shared" si="5"/>
        <v>19079.948</v>
      </c>
      <c r="I14" s="587">
        <f t="shared" si="5"/>
        <v>17626.558000000001</v>
      </c>
      <c r="J14" s="587">
        <f t="shared" si="5"/>
        <v>11836.759</v>
      </c>
      <c r="K14" s="587">
        <f t="shared" si="5"/>
        <v>22089.203999999998</v>
      </c>
      <c r="L14" s="587">
        <f t="shared" si="5"/>
        <v>27587.599999999999</v>
      </c>
      <c r="M14" s="587">
        <f t="shared" si="5"/>
        <v>29294.400000000001</v>
      </c>
      <c r="N14" s="1241">
        <f t="shared" si="5"/>
        <v>11182.76</v>
      </c>
      <c r="O14" s="1648">
        <f t="shared" si="5"/>
        <v>27771.234</v>
      </c>
      <c r="P14" s="589">
        <f t="shared" si="5"/>
        <v>22640.6</v>
      </c>
      <c r="Q14" s="589">
        <v>17850.828000000001</v>
      </c>
      <c r="R14" s="589">
        <v>20783.316000000003</v>
      </c>
      <c r="S14" s="589">
        <f t="shared" ref="S14" si="6">SUM(S31:S36)</f>
        <v>31192.403999999999</v>
      </c>
      <c r="T14" s="1649">
        <f t="shared" si="5"/>
        <v>28798.197000000004</v>
      </c>
      <c r="U14" s="589">
        <f>SUM(O14:T14)</f>
        <v>149036.57900000003</v>
      </c>
      <c r="V14" s="590">
        <f>+AC14/12*6</f>
        <v>155265.73985171434</v>
      </c>
      <c r="W14" s="591">
        <f>U14-V14</f>
        <v>-6229.1608517143177</v>
      </c>
      <c r="X14" s="592">
        <f t="shared" ref="X14" si="7">IFERROR(U14/V14-1,0)</f>
        <v>-4.0119351878034615E-2</v>
      </c>
      <c r="Y14" s="587">
        <f>SUM(Y31:Y36)</f>
        <v>348323.989</v>
      </c>
      <c r="Z14" s="592">
        <f t="shared" ref="Z14:Z15" si="8">IFERROR(U14/Y14-1,100%)</f>
        <v>-0.57213231443556989</v>
      </c>
      <c r="AA14" s="1674"/>
      <c r="AB14" s="594"/>
      <c r="AC14" s="593">
        <f>SUM(AC31:AC36)</f>
        <v>310531.47970342869</v>
      </c>
      <c r="AD14" s="1674"/>
    </row>
    <row r="15" spans="1:30" ht="22.5" customHeight="1">
      <c r="A15" s="1669"/>
      <c r="B15" s="594" t="s">
        <v>168</v>
      </c>
      <c r="C15" s="1242">
        <f>SUM(C13:C14)</f>
        <v>49455.915000000001</v>
      </c>
      <c r="D15" s="1243">
        <f t="shared" ref="D15:V15" si="9">SUM(D13:D14)</f>
        <v>43828.358999999997</v>
      </c>
      <c r="E15" s="1243">
        <f t="shared" si="9"/>
        <v>57694.285999999993</v>
      </c>
      <c r="F15" s="1243">
        <f t="shared" si="9"/>
        <v>22146.552000000003</v>
      </c>
      <c r="G15" s="1243">
        <f t="shared" si="9"/>
        <v>51497.368999999999</v>
      </c>
      <c r="H15" s="1244">
        <f t="shared" si="9"/>
        <v>29253.972000000002</v>
      </c>
      <c r="I15" s="1243">
        <f t="shared" si="9"/>
        <v>35653.731000000007</v>
      </c>
      <c r="J15" s="1243">
        <f t="shared" si="9"/>
        <v>27191.846999999998</v>
      </c>
      <c r="K15" s="1243">
        <f t="shared" si="9"/>
        <v>39285.774999999994</v>
      </c>
      <c r="L15" s="1243">
        <f t="shared" si="9"/>
        <v>52746.656000000003</v>
      </c>
      <c r="M15" s="1243">
        <f t="shared" si="9"/>
        <v>52213.156000000003</v>
      </c>
      <c r="N15" s="1245">
        <f t="shared" si="9"/>
        <v>24349.667999999998</v>
      </c>
      <c r="O15" s="1650">
        <f t="shared" si="9"/>
        <v>47727.531999999999</v>
      </c>
      <c r="P15" s="1651">
        <f t="shared" si="9"/>
        <v>42202.065999999999</v>
      </c>
      <c r="Q15" s="1651">
        <v>35363.025000000001</v>
      </c>
      <c r="R15" s="1651">
        <v>44200.800000000003</v>
      </c>
      <c r="S15" s="1651">
        <f t="shared" ref="S15" si="10">SUM(S13:S14)</f>
        <v>64973.245999999999</v>
      </c>
      <c r="T15" s="1652">
        <f t="shared" si="9"/>
        <v>58863.793999999994</v>
      </c>
      <c r="U15" s="597">
        <f t="shared" si="9"/>
        <v>293330.46299999999</v>
      </c>
      <c r="V15" s="597">
        <f t="shared" si="9"/>
        <v>290363.11081941565</v>
      </c>
      <c r="W15" s="598">
        <f>U15-V15</f>
        <v>2967.3521805843338</v>
      </c>
      <c r="X15" s="592">
        <f>IFERROR(U15/V15-1,0)</f>
        <v>1.0219453057278338E-2</v>
      </c>
      <c r="Y15" s="595">
        <f>SUM(Y13:Y14)</f>
        <v>574413.56099999999</v>
      </c>
      <c r="Z15" s="592">
        <f t="shared" si="8"/>
        <v>-0.48933924455171418</v>
      </c>
      <c r="AA15" s="1674"/>
      <c r="AB15" s="594"/>
      <c r="AC15" s="597">
        <f>SUM(AC13:AC14)</f>
        <v>580726.22163883131</v>
      </c>
      <c r="AD15" s="1674"/>
    </row>
    <row r="16" spans="1:30" ht="22.5" customHeight="1">
      <c r="A16" s="1669"/>
      <c r="B16" s="594"/>
      <c r="C16" s="1242"/>
      <c r="D16" s="1243"/>
      <c r="E16" s="1243"/>
      <c r="F16" s="1243"/>
      <c r="G16" s="1243"/>
      <c r="H16" s="1243"/>
      <c r="I16" s="1243"/>
      <c r="J16" s="1243"/>
      <c r="K16" s="1243"/>
      <c r="L16" s="1243"/>
      <c r="M16" s="1243"/>
      <c r="N16" s="1245"/>
      <c r="O16" s="1650"/>
      <c r="P16" s="1651"/>
      <c r="Q16" s="1651"/>
      <c r="R16" s="1651"/>
      <c r="S16" s="1651"/>
      <c r="T16" s="1653"/>
      <c r="U16" s="597"/>
      <c r="V16" s="597"/>
      <c r="W16" s="598"/>
      <c r="X16" s="164"/>
      <c r="Y16" s="595"/>
      <c r="Z16" s="164"/>
      <c r="AA16" s="1674"/>
      <c r="AB16" s="594"/>
      <c r="AC16" s="597"/>
      <c r="AD16" s="1674"/>
    </row>
    <row r="17" spans="1:30" ht="22.5" customHeight="1">
      <c r="A17" s="1669"/>
      <c r="B17" s="594" t="s">
        <v>485</v>
      </c>
      <c r="C17" s="1246"/>
      <c r="D17" s="1247"/>
      <c r="E17" s="1247"/>
      <c r="F17" s="1247"/>
      <c r="G17" s="1247"/>
      <c r="H17" s="1247"/>
      <c r="I17" s="1247"/>
      <c r="J17" s="1247"/>
      <c r="K17" s="1247"/>
      <c r="L17" s="1247"/>
      <c r="M17" s="1247"/>
      <c r="N17" s="1248"/>
      <c r="O17" s="1654"/>
      <c r="P17" s="1655"/>
      <c r="Q17" s="1655"/>
      <c r="R17" s="1655"/>
      <c r="S17" s="1655"/>
      <c r="T17" s="1656"/>
      <c r="U17" s="594"/>
      <c r="V17" s="594"/>
      <c r="W17" s="598"/>
      <c r="X17" s="594"/>
      <c r="Y17" s="599"/>
      <c r="Z17" s="594"/>
      <c r="AA17" s="1674"/>
      <c r="AB17" s="594"/>
      <c r="AC17" s="594"/>
      <c r="AD17" s="1674"/>
    </row>
    <row r="18" spans="1:30" ht="22.5" customHeight="1">
      <c r="A18" s="1669"/>
      <c r="B18" s="89" t="s">
        <v>2</v>
      </c>
      <c r="C18" s="1249">
        <v>5638</v>
      </c>
      <c r="D18" s="1250">
        <v>3715</v>
      </c>
      <c r="E18" s="1250">
        <v>3194</v>
      </c>
      <c r="F18" s="1250">
        <v>3425</v>
      </c>
      <c r="G18" s="1250">
        <v>3102</v>
      </c>
      <c r="H18" s="1251">
        <v>3170</v>
      </c>
      <c r="I18" s="1250">
        <v>3939</v>
      </c>
      <c r="J18" s="1250">
        <v>280</v>
      </c>
      <c r="K18" s="1250">
        <v>3415</v>
      </c>
      <c r="L18" s="1250">
        <v>3986</v>
      </c>
      <c r="M18" s="1250">
        <v>5639</v>
      </c>
      <c r="N18" s="1252">
        <v>2160</v>
      </c>
      <c r="O18" s="1657">
        <v>4264</v>
      </c>
      <c r="P18" s="1658">
        <v>2767</v>
      </c>
      <c r="Q18" s="1658">
        <v>2252</v>
      </c>
      <c r="R18" s="1658">
        <v>3232</v>
      </c>
      <c r="S18" s="1658">
        <v>2300</v>
      </c>
      <c r="T18" s="1659">
        <v>2300</v>
      </c>
      <c r="U18" s="596">
        <f>SUM(O18:T18)</f>
        <v>17115</v>
      </c>
      <c r="V18" s="596">
        <f>+AC18/12*6</f>
        <v>32084.5</v>
      </c>
      <c r="W18" s="600">
        <f>U18-V18</f>
        <v>-14969.5</v>
      </c>
      <c r="X18" s="601">
        <f>IFERROR(U18/V18-1,0)</f>
        <v>-0.46656485218719324</v>
      </c>
      <c r="Y18" s="602">
        <v>229260</v>
      </c>
      <c r="Z18" s="164">
        <f>IFERROR(U18/Y18-1,100%)</f>
        <v>-0.92534676786181624</v>
      </c>
      <c r="AA18" s="1674"/>
      <c r="AB18" s="1680"/>
      <c r="AC18" s="603">
        <v>64169</v>
      </c>
      <c r="AD18" s="1674"/>
    </row>
    <row r="19" spans="1:30" ht="22.5" customHeight="1">
      <c r="A19" s="1669"/>
      <c r="B19" s="89" t="s">
        <v>3</v>
      </c>
      <c r="C19" s="1249">
        <v>3500</v>
      </c>
      <c r="D19" s="1250">
        <v>1499</v>
      </c>
      <c r="E19" s="1250">
        <v>1449</v>
      </c>
      <c r="F19" s="1250">
        <v>1381</v>
      </c>
      <c r="G19" s="1250">
        <v>1487</v>
      </c>
      <c r="H19" s="1251">
        <v>1697</v>
      </c>
      <c r="I19" s="1250">
        <v>1481</v>
      </c>
      <c r="J19" s="1250">
        <v>0</v>
      </c>
      <c r="K19" s="1250">
        <v>1459</v>
      </c>
      <c r="L19" s="1250">
        <v>2643</v>
      </c>
      <c r="M19" s="1250">
        <v>1798</v>
      </c>
      <c r="N19" s="1252">
        <v>573</v>
      </c>
      <c r="O19" s="1657">
        <v>1812</v>
      </c>
      <c r="P19" s="1658">
        <v>1149</v>
      </c>
      <c r="Q19" s="1658">
        <v>1162</v>
      </c>
      <c r="R19" s="1658">
        <v>961</v>
      </c>
      <c r="S19" s="1658">
        <v>1536</v>
      </c>
      <c r="T19" s="1659">
        <v>1536</v>
      </c>
      <c r="U19" s="596">
        <f t="shared" ref="U19:U20" si="11">SUM(O19:T19)</f>
        <v>8156</v>
      </c>
      <c r="V19" s="596">
        <f>+AC19/12*6</f>
        <v>9301</v>
      </c>
      <c r="W19" s="600">
        <f>U19-V19</f>
        <v>-1145</v>
      </c>
      <c r="X19" s="601">
        <f>IFERROR(U19/V19-1,0)</f>
        <v>-0.12310504246855181</v>
      </c>
      <c r="Y19" s="602">
        <v>16554</v>
      </c>
      <c r="Z19" s="164">
        <f>IFERROR(U19/Y19-1,100%)</f>
        <v>-0.50730941162256848</v>
      </c>
      <c r="AA19" s="1674"/>
      <c r="AB19" s="1680"/>
      <c r="AC19" s="603">
        <v>18602</v>
      </c>
      <c r="AD19" s="1674"/>
    </row>
    <row r="20" spans="1:30" ht="22.5" customHeight="1">
      <c r="A20" s="1669"/>
      <c r="B20" s="89" t="s">
        <v>4</v>
      </c>
      <c r="C20" s="1249">
        <v>4358</v>
      </c>
      <c r="D20" s="1250">
        <v>1723</v>
      </c>
      <c r="E20" s="1250">
        <v>1283</v>
      </c>
      <c r="F20" s="1250">
        <v>664</v>
      </c>
      <c r="G20" s="1250">
        <v>1971</v>
      </c>
      <c r="H20" s="1251">
        <v>904</v>
      </c>
      <c r="I20" s="1250">
        <v>966</v>
      </c>
      <c r="J20" s="1250">
        <v>620</v>
      </c>
      <c r="K20" s="1250">
        <v>1420</v>
      </c>
      <c r="L20" s="1250">
        <v>2182</v>
      </c>
      <c r="M20" s="1250">
        <v>1950</v>
      </c>
      <c r="N20" s="1252">
        <v>768</v>
      </c>
      <c r="O20" s="1657">
        <v>1390</v>
      </c>
      <c r="P20" s="1658">
        <v>816</v>
      </c>
      <c r="Q20" s="1658">
        <v>877</v>
      </c>
      <c r="R20" s="1658">
        <v>1076</v>
      </c>
      <c r="S20" s="1658">
        <v>868</v>
      </c>
      <c r="T20" s="1659">
        <v>868</v>
      </c>
      <c r="U20" s="596">
        <f t="shared" si="11"/>
        <v>5895</v>
      </c>
      <c r="V20" s="596">
        <f>+AC20/12*6</f>
        <v>10924.5</v>
      </c>
      <c r="W20" s="600">
        <f>U20-V20</f>
        <v>-5029.5</v>
      </c>
      <c r="X20" s="601">
        <f>IFERROR(U20/V20-1,0)</f>
        <v>-0.46038720307565562</v>
      </c>
      <c r="Y20" s="602">
        <v>28954</v>
      </c>
      <c r="Z20" s="164">
        <f>IFERROR(U20/Y20-1,100%)</f>
        <v>-0.79640118809145544</v>
      </c>
      <c r="AA20" s="1674"/>
      <c r="AB20" s="1680"/>
      <c r="AC20" s="603">
        <v>21849</v>
      </c>
      <c r="AD20" s="1674"/>
    </row>
    <row r="21" spans="1:30" ht="22.5" customHeight="1">
      <c r="A21" s="1669"/>
      <c r="B21" s="586" t="s">
        <v>486</v>
      </c>
      <c r="C21" s="1240">
        <f>SUM(C18:C20)</f>
        <v>13496</v>
      </c>
      <c r="D21" s="587">
        <f>SUM(D18:D20)</f>
        <v>6937</v>
      </c>
      <c r="E21" s="587">
        <f t="shared" ref="E21:P21" si="12">SUM(E18:E20)</f>
        <v>5926</v>
      </c>
      <c r="F21" s="587">
        <f t="shared" si="12"/>
        <v>5470</v>
      </c>
      <c r="G21" s="587">
        <f t="shared" si="12"/>
        <v>6560</v>
      </c>
      <c r="H21" s="604">
        <f t="shared" si="12"/>
        <v>5771</v>
      </c>
      <c r="I21" s="587">
        <f t="shared" si="12"/>
        <v>6386</v>
      </c>
      <c r="J21" s="587">
        <f t="shared" si="12"/>
        <v>900</v>
      </c>
      <c r="K21" s="587">
        <f t="shared" si="12"/>
        <v>6294</v>
      </c>
      <c r="L21" s="587">
        <f t="shared" si="12"/>
        <v>8811</v>
      </c>
      <c r="M21" s="587">
        <f t="shared" si="12"/>
        <v>9387</v>
      </c>
      <c r="N21" s="1241">
        <f t="shared" si="12"/>
        <v>3501</v>
      </c>
      <c r="O21" s="1648">
        <f t="shared" si="12"/>
        <v>7466</v>
      </c>
      <c r="P21" s="589">
        <f t="shared" si="12"/>
        <v>4732</v>
      </c>
      <c r="Q21" s="589">
        <v>4291</v>
      </c>
      <c r="R21" s="589">
        <v>5269</v>
      </c>
      <c r="S21" s="589">
        <f>SUM(S18:S20)</f>
        <v>4704</v>
      </c>
      <c r="T21" s="1660">
        <f>SUM(T18:T20)</f>
        <v>4704</v>
      </c>
      <c r="U21" s="589">
        <f>SUM(U18:U20)</f>
        <v>31166</v>
      </c>
      <c r="V21" s="590">
        <f>SUM(V18:V20)</f>
        <v>52310</v>
      </c>
      <c r="W21" s="605">
        <f>U21-V21</f>
        <v>-21144</v>
      </c>
      <c r="X21" s="606">
        <f>IFERROR(U21/V21-1,0)</f>
        <v>-0.40420569680749374</v>
      </c>
      <c r="Y21" s="587">
        <f>SUM(Y18:Y20)</f>
        <v>274768</v>
      </c>
      <c r="Z21" s="607">
        <f>IFERROR(U21/Y21-1,100%)</f>
        <v>-0.88657340010481567</v>
      </c>
      <c r="AA21" s="1674"/>
      <c r="AB21" s="1674"/>
      <c r="AC21" s="590">
        <f>SUM(AC18:AC20)</f>
        <v>104620</v>
      </c>
      <c r="AD21" s="1674"/>
    </row>
    <row r="22" spans="1:30" ht="22.5" customHeight="1">
      <c r="A22" s="1669"/>
      <c r="B22" s="594"/>
      <c r="C22" s="1242"/>
      <c r="D22" s="1243"/>
      <c r="E22" s="1243"/>
      <c r="F22" s="1243"/>
      <c r="G22" s="1243"/>
      <c r="H22" s="1243"/>
      <c r="I22" s="1243"/>
      <c r="J22" s="1243"/>
      <c r="K22" s="1243"/>
      <c r="L22" s="1243"/>
      <c r="M22" s="1243"/>
      <c r="N22" s="1245"/>
      <c r="O22" s="1650"/>
      <c r="P22" s="1651"/>
      <c r="Q22" s="1651"/>
      <c r="R22" s="1651"/>
      <c r="S22" s="1651"/>
      <c r="T22" s="1653"/>
      <c r="U22" s="596"/>
      <c r="V22" s="596"/>
      <c r="W22" s="598"/>
      <c r="X22" s="164"/>
      <c r="Y22" s="608"/>
      <c r="Z22" s="164"/>
      <c r="AA22" s="1674"/>
      <c r="AB22" s="1674"/>
      <c r="AC22" s="1681"/>
      <c r="AD22" s="1674"/>
    </row>
    <row r="23" spans="1:30" ht="22.5" customHeight="1" thickBot="1">
      <c r="A23" s="1669"/>
      <c r="B23" s="1682" t="s">
        <v>487</v>
      </c>
      <c r="C23" s="1698">
        <f>+C15/C21</f>
        <v>3.6644868850029639</v>
      </c>
      <c r="D23" s="1699">
        <f>+D15/D21</f>
        <v>6.3180566527317277</v>
      </c>
      <c r="E23" s="1699">
        <f t="shared" ref="E23:P23" si="13">+E15/E21</f>
        <v>9.7357890651366841</v>
      </c>
      <c r="F23" s="1699">
        <f t="shared" si="13"/>
        <v>4.0487297989031088</v>
      </c>
      <c r="G23" s="1699">
        <f t="shared" si="13"/>
        <v>7.8502086890243898</v>
      </c>
      <c r="H23" s="1700">
        <f t="shared" si="13"/>
        <v>5.0691339455900195</v>
      </c>
      <c r="I23" s="1699">
        <f t="shared" si="13"/>
        <v>5.5831085186345142</v>
      </c>
      <c r="J23" s="1699">
        <f t="shared" si="13"/>
        <v>30.21316333333333</v>
      </c>
      <c r="K23" s="1699">
        <f t="shared" si="13"/>
        <v>6.2417818557356206</v>
      </c>
      <c r="L23" s="1699">
        <f t="shared" si="13"/>
        <v>5.9864551129270236</v>
      </c>
      <c r="M23" s="1699">
        <f t="shared" si="13"/>
        <v>5.562283583679557</v>
      </c>
      <c r="N23" s="1701">
        <f t="shared" si="13"/>
        <v>6.9550608397600682</v>
      </c>
      <c r="O23" s="1705">
        <f t="shared" si="13"/>
        <v>6.3926509509777656</v>
      </c>
      <c r="P23" s="1706">
        <f t="shared" si="13"/>
        <v>8.9184416737109036</v>
      </c>
      <c r="Q23" s="1706">
        <v>8.2412083430435796</v>
      </c>
      <c r="R23" s="1706">
        <v>8.3888403871702408</v>
      </c>
      <c r="S23" s="1706">
        <f>+S15/S21</f>
        <v>13.812339710884354</v>
      </c>
      <c r="T23" s="1707">
        <f>+T15/T21</f>
        <v>12.513561649659863</v>
      </c>
      <c r="U23" s="1684">
        <f>+U15/U21</f>
        <v>9.4118739331322594</v>
      </c>
      <c r="V23" s="1684">
        <f>+V15/V21</f>
        <v>5.5508145826690054</v>
      </c>
      <c r="W23" s="609">
        <f>U23-V23</f>
        <v>3.861059350463254</v>
      </c>
      <c r="X23" s="610">
        <f>IFERROR(U23/V23-1,0)</f>
        <v>0.69558427739928863</v>
      </c>
      <c r="Y23" s="1683">
        <f>+Y15/Y21</f>
        <v>2.0905402412216851</v>
      </c>
      <c r="Z23" s="610">
        <f>IFERROR(U23/Y23-1,100%)</f>
        <v>3.5021252150745878</v>
      </c>
      <c r="AA23" s="1674"/>
      <c r="AB23" s="1674"/>
      <c r="AC23" s="1684">
        <f>+AC15/AC21</f>
        <v>5.5508145826690054</v>
      </c>
      <c r="AD23" s="1674"/>
    </row>
    <row r="24" spans="1:30" ht="22.5" customHeight="1">
      <c r="A24" s="1669"/>
      <c r="B24" s="1674"/>
      <c r="C24" s="170"/>
      <c r="D24" s="170"/>
      <c r="E24" s="170"/>
      <c r="F24" s="170"/>
      <c r="G24" s="170"/>
      <c r="H24" s="170"/>
      <c r="I24" s="170"/>
      <c r="J24" s="170"/>
      <c r="K24" s="170"/>
      <c r="L24" s="170"/>
      <c r="M24" s="170"/>
      <c r="N24" s="170"/>
      <c r="O24" s="1671"/>
      <c r="P24" s="1671"/>
      <c r="Q24" s="1671"/>
      <c r="R24" s="1671"/>
      <c r="S24" s="1671"/>
      <c r="T24" s="1671"/>
      <c r="U24" s="1674"/>
      <c r="V24" s="1674"/>
      <c r="W24" s="1674"/>
      <c r="X24" s="1681"/>
      <c r="Y24" s="1674"/>
      <c r="Z24" s="1674"/>
      <c r="AA24" s="1674"/>
      <c r="AB24" s="1674"/>
      <c r="AC24" s="1685"/>
      <c r="AD24" s="1685"/>
    </row>
    <row r="25" spans="1:30" s="874" customFormat="1" ht="22.5" customHeight="1">
      <c r="A25" s="1686">
        <v>6011000000</v>
      </c>
      <c r="B25" s="1687" t="s">
        <v>488</v>
      </c>
      <c r="C25" s="1688">
        <v>3606.5140000000001</v>
      </c>
      <c r="D25" s="1688">
        <v>2889.5680000000002</v>
      </c>
      <c r="E25" s="1688">
        <v>3605.1089999999999</v>
      </c>
      <c r="F25" s="1688">
        <v>1365.9879999999994</v>
      </c>
      <c r="G25" s="1688">
        <v>4147.9650000000001</v>
      </c>
      <c r="H25" s="1688">
        <v>3845.2030000000013</v>
      </c>
      <c r="I25" s="1688">
        <v>4111.1289999999972</v>
      </c>
      <c r="J25" s="1688">
        <v>1679.537</v>
      </c>
      <c r="K25" s="1688">
        <v>6667.6090000000004</v>
      </c>
      <c r="L25" s="1688">
        <v>4026.0520000000001</v>
      </c>
      <c r="M25" s="1688">
        <v>4780.78</v>
      </c>
      <c r="N25" s="1688">
        <v>3782.0830000000001</v>
      </c>
      <c r="O25" s="1689">
        <v>6374.0820000000003</v>
      </c>
      <c r="P25" s="1689">
        <v>3531.2959999999998</v>
      </c>
      <c r="Q25" s="1689">
        <v>4615.3599999999997</v>
      </c>
      <c r="R25" s="1689">
        <v>7704.7599999999975</v>
      </c>
      <c r="S25" s="1689">
        <v>11359.164000000001</v>
      </c>
      <c r="T25" s="1689">
        <v>12783.107</v>
      </c>
      <c r="U25" s="1690"/>
      <c r="V25" s="1690"/>
      <c r="W25" s="1690"/>
      <c r="X25" s="1690"/>
      <c r="Y25" s="1691">
        <v>25685.161</v>
      </c>
      <c r="Z25" s="1688"/>
      <c r="AA25" s="1692"/>
      <c r="AB25" s="1690"/>
      <c r="AC25" s="1690">
        <v>33007.877803953445</v>
      </c>
      <c r="AD25" s="1693"/>
    </row>
    <row r="26" spans="1:30" s="874" customFormat="1" ht="22.5" customHeight="1">
      <c r="A26" s="1686">
        <v>6011000004</v>
      </c>
      <c r="B26" s="1687" t="s">
        <v>489</v>
      </c>
      <c r="C26" s="1688">
        <v>3233.0630000000001</v>
      </c>
      <c r="D26" s="1688">
        <v>5096.5720000000001</v>
      </c>
      <c r="E26" s="1688">
        <v>2491.190999999998</v>
      </c>
      <c r="F26" s="1688">
        <v>3001.691000000003</v>
      </c>
      <c r="G26" s="1688">
        <v>5655.5469999999996</v>
      </c>
      <c r="H26" s="1688">
        <v>5079.1769999999997</v>
      </c>
      <c r="I26" s="1688">
        <v>4733.9600000000046</v>
      </c>
      <c r="J26" s="1688">
        <v>4540.2669999999998</v>
      </c>
      <c r="K26" s="1688">
        <v>3538.8270000000002</v>
      </c>
      <c r="L26" s="1688">
        <v>4990.71</v>
      </c>
      <c r="M26" s="1688">
        <v>5221.5959999999995</v>
      </c>
      <c r="N26" s="1688">
        <v>3986.1210000000001</v>
      </c>
      <c r="O26" s="1689">
        <v>5749.1980000000003</v>
      </c>
      <c r="P26" s="1689">
        <v>2311.4059999999999</v>
      </c>
      <c r="Q26" s="1689">
        <v>6232.9619999999995</v>
      </c>
      <c r="R26" s="1689">
        <v>5498.1579999999994</v>
      </c>
      <c r="S26" s="1689">
        <v>3906.6460000000002</v>
      </c>
      <c r="T26" s="1689">
        <v>5572.8389999999981</v>
      </c>
      <c r="U26" s="1690"/>
      <c r="V26" s="1690"/>
      <c r="W26" s="1690"/>
      <c r="X26" s="1690"/>
      <c r="Y26" s="1691">
        <v>80316.508000000002</v>
      </c>
      <c r="Z26" s="1688"/>
      <c r="AA26" s="1692"/>
      <c r="AB26" s="1690"/>
      <c r="AC26" s="1690">
        <v>34875.192382498382</v>
      </c>
      <c r="AD26" s="1693"/>
    </row>
    <row r="27" spans="1:30" s="874" customFormat="1" ht="22.5" customHeight="1">
      <c r="A27" s="1686">
        <v>6011000005</v>
      </c>
      <c r="B27" s="1687" t="s">
        <v>490</v>
      </c>
      <c r="C27" s="1688">
        <v>4694.0969999999998</v>
      </c>
      <c r="D27" s="1688">
        <v>1599.5119999999999</v>
      </c>
      <c r="E27" s="1688">
        <v>947.75</v>
      </c>
      <c r="F27" s="1688">
        <v>1241.0200000000013</v>
      </c>
      <c r="G27" s="1688">
        <v>1018.1850000000004</v>
      </c>
      <c r="H27" s="1688">
        <v>2399.4649999999988</v>
      </c>
      <c r="I27" s="1688">
        <v>1237.152</v>
      </c>
      <c r="J27" s="1688">
        <v>2353.7009999999982</v>
      </c>
      <c r="K27" s="1688">
        <v>3559.5790000000002</v>
      </c>
      <c r="L27" s="1688">
        <v>2584.71</v>
      </c>
      <c r="M27" s="1688">
        <v>1871.9</v>
      </c>
      <c r="N27" s="1688">
        <v>1076.0640000000001</v>
      </c>
      <c r="O27" s="1689">
        <v>1273.3720000000001</v>
      </c>
      <c r="P27" s="1689">
        <v>1562.1320000000001</v>
      </c>
      <c r="Q27" s="1689">
        <v>1898.6859999999997</v>
      </c>
      <c r="R27" s="1689">
        <v>2478.5220000000008</v>
      </c>
      <c r="S27" s="1689">
        <v>2582.0039999999999</v>
      </c>
      <c r="T27" s="1689">
        <v>2413.828</v>
      </c>
      <c r="U27" s="1690"/>
      <c r="V27" s="1690"/>
      <c r="W27" s="1690"/>
      <c r="X27" s="1690"/>
      <c r="Y27" s="1691">
        <v>28699.786999999997</v>
      </c>
      <c r="Z27" s="1688"/>
      <c r="AA27" s="1692"/>
      <c r="AB27" s="1690"/>
      <c r="AC27" s="1690">
        <v>40180.712770703423</v>
      </c>
      <c r="AD27" s="1693"/>
    </row>
    <row r="28" spans="1:30" s="874" customFormat="1" ht="22.5" customHeight="1">
      <c r="A28" s="1686">
        <v>6012000000</v>
      </c>
      <c r="B28" s="1687" t="s">
        <v>491</v>
      </c>
      <c r="C28" s="1688">
        <v>1806.511</v>
      </c>
      <c r="D28" s="1688">
        <v>1044.6470000000002</v>
      </c>
      <c r="E28" s="1688">
        <v>2548.2489999999998</v>
      </c>
      <c r="F28" s="1688">
        <v>18</v>
      </c>
      <c r="G28" s="1688">
        <v>1520.49</v>
      </c>
      <c r="H28" s="1688">
        <v>1142.806</v>
      </c>
      <c r="I28" s="1688">
        <v>1076.7940000000001</v>
      </c>
      <c r="J28" s="1688">
        <v>748.06200000000001</v>
      </c>
      <c r="K28" s="1688">
        <v>519.96799999999996</v>
      </c>
      <c r="L28" s="1688">
        <v>1138.2360000000001</v>
      </c>
      <c r="M28" s="1688">
        <v>2428.2840000000001</v>
      </c>
      <c r="N28" s="1688">
        <v>321.99400000000003</v>
      </c>
      <c r="O28" s="1689">
        <v>674.07799999999997</v>
      </c>
      <c r="P28" s="1689">
        <v>1184.0160000000001</v>
      </c>
      <c r="Q28" s="1689">
        <v>695.05499999999995</v>
      </c>
      <c r="R28" s="1689">
        <v>1177.788</v>
      </c>
      <c r="S28" s="1689">
        <v>1748.384</v>
      </c>
      <c r="T28" s="1689">
        <v>1110.0640000000001</v>
      </c>
      <c r="U28" s="1690"/>
      <c r="V28" s="1690"/>
      <c r="W28" s="1690"/>
      <c r="X28" s="1690"/>
      <c r="Y28" s="1691">
        <v>6386.53</v>
      </c>
      <c r="Z28" s="1688"/>
      <c r="AA28" s="1692"/>
      <c r="AB28" s="1690"/>
      <c r="AC28" s="1690">
        <v>15401.869759281555</v>
      </c>
      <c r="AD28" s="1693"/>
    </row>
    <row r="29" spans="1:30" s="874" customFormat="1" ht="22.5" customHeight="1">
      <c r="A29" s="1686">
        <v>6012000004</v>
      </c>
      <c r="B29" s="1687" t="s">
        <v>492</v>
      </c>
      <c r="C29" s="1688">
        <v>5366.0659999999998</v>
      </c>
      <c r="D29" s="1688">
        <v>3948.6170000000011</v>
      </c>
      <c r="E29" s="1688">
        <v>3333.7069999999999</v>
      </c>
      <c r="F29" s="1688">
        <v>1191.1639999999982</v>
      </c>
      <c r="G29" s="1688">
        <v>8746.8709999999992</v>
      </c>
      <c r="H29" s="1688">
        <v>-4029.2869999999998</v>
      </c>
      <c r="I29" s="1688">
        <v>2682.7060000000038</v>
      </c>
      <c r="J29" s="1688">
        <v>2659.6880000000001</v>
      </c>
      <c r="K29" s="1688">
        <v>565.65999999999349</v>
      </c>
      <c r="L29" s="1688">
        <v>3922.88</v>
      </c>
      <c r="M29" s="1688">
        <v>4701.7619999999997</v>
      </c>
      <c r="N29" s="1688">
        <v>1001.665</v>
      </c>
      <c r="O29" s="1689">
        <v>3782.3580000000002</v>
      </c>
      <c r="P29" s="1689">
        <v>6864.43</v>
      </c>
      <c r="Q29" s="1689">
        <v>1711.4160000000002</v>
      </c>
      <c r="R29" s="1689">
        <v>4724.3940000000011</v>
      </c>
      <c r="S29" s="1689">
        <v>7999.9520000000002</v>
      </c>
      <c r="T29" s="1689">
        <v>4131.3039999999964</v>
      </c>
      <c r="U29" s="1690"/>
      <c r="V29" s="1690"/>
      <c r="W29" s="1690"/>
      <c r="X29" s="1690"/>
      <c r="Y29" s="1691">
        <v>23825.202000000001</v>
      </c>
      <c r="Z29" s="1688"/>
      <c r="AA29" s="1692"/>
      <c r="AB29" s="1690"/>
      <c r="AC29" s="1690">
        <v>32616.749199741986</v>
      </c>
      <c r="AD29" s="1693"/>
    </row>
    <row r="30" spans="1:30" s="874" customFormat="1" ht="22.5" customHeight="1">
      <c r="A30" s="1686">
        <v>6012000005</v>
      </c>
      <c r="B30" s="1687" t="s">
        <v>493</v>
      </c>
      <c r="C30" s="1688">
        <v>6294.1440000000002</v>
      </c>
      <c r="D30" s="1688">
        <v>5597.762999999999</v>
      </c>
      <c r="E30" s="1688">
        <v>7542.8609999999999</v>
      </c>
      <c r="F30" s="1688">
        <v>2004.7300000000014</v>
      </c>
      <c r="G30" s="1688">
        <v>4791.6719999999996</v>
      </c>
      <c r="H30" s="1688">
        <v>1736.66</v>
      </c>
      <c r="I30" s="1688">
        <v>4185.4319999999998</v>
      </c>
      <c r="J30" s="1688">
        <v>3373.8330000000001</v>
      </c>
      <c r="K30" s="1688">
        <v>2344.9279999999999</v>
      </c>
      <c r="L30" s="1688">
        <v>8496.4680000000008</v>
      </c>
      <c r="M30" s="1688">
        <v>3914.4339999999975</v>
      </c>
      <c r="N30" s="1688">
        <v>2998.9810000000002</v>
      </c>
      <c r="O30" s="1689">
        <v>2103.21</v>
      </c>
      <c r="P30" s="1689">
        <v>4108.1859999999997</v>
      </c>
      <c r="Q30" s="1689">
        <v>2358.7179999999998</v>
      </c>
      <c r="R30" s="1689">
        <v>1833.8620000000003</v>
      </c>
      <c r="S30" s="1689">
        <v>6184.692</v>
      </c>
      <c r="T30" s="1689">
        <v>4054.4549999999999</v>
      </c>
      <c r="U30" s="1690"/>
      <c r="V30" s="1690"/>
      <c r="W30" s="1690"/>
      <c r="X30" s="1690"/>
      <c r="Y30" s="1691">
        <v>61176.383999999998</v>
      </c>
      <c r="Z30" s="1688"/>
      <c r="AA30" s="1692"/>
      <c r="AB30" s="1690"/>
      <c r="AC30" s="1690">
        <v>114112.34001922385</v>
      </c>
      <c r="AD30" s="1693"/>
    </row>
    <row r="31" spans="1:30" s="874" customFormat="1" ht="22.5" customHeight="1">
      <c r="A31" s="1686">
        <v>6241000001</v>
      </c>
      <c r="B31" s="1687" t="s">
        <v>494</v>
      </c>
      <c r="C31" s="1688">
        <v>2766.431</v>
      </c>
      <c r="D31" s="1688">
        <v>3572.32</v>
      </c>
      <c r="E31" s="1688">
        <v>6401.3280000000004</v>
      </c>
      <c r="F31" s="1688">
        <v>4271.2380000000003</v>
      </c>
      <c r="G31" s="1688">
        <v>2868.2629999999999</v>
      </c>
      <c r="H31" s="1688">
        <v>6167.1139999999996</v>
      </c>
      <c r="I31" s="1688">
        <v>3805.7370000000001</v>
      </c>
      <c r="J31" s="1688">
        <v>1095.1199999999999</v>
      </c>
      <c r="K31" s="1688">
        <v>7870.134</v>
      </c>
      <c r="L31" s="1688">
        <v>4766.8</v>
      </c>
      <c r="M31" s="1688">
        <v>4890.5940000000001</v>
      </c>
      <c r="N31" s="1688">
        <v>2303.433</v>
      </c>
      <c r="O31" s="1689">
        <v>7698.28</v>
      </c>
      <c r="P31" s="1689">
        <v>4016.2159999999999</v>
      </c>
      <c r="Q31" s="1689">
        <v>4957.9889999999996</v>
      </c>
      <c r="R31" s="1689">
        <v>5801.4880000000003</v>
      </c>
      <c r="S31" s="1689">
        <v>11107.562</v>
      </c>
      <c r="T31" s="1689">
        <v>12730.475</v>
      </c>
      <c r="U31" s="1690"/>
      <c r="V31" s="1690"/>
      <c r="W31" s="1690"/>
      <c r="X31" s="1690"/>
      <c r="Y31" s="1691">
        <v>33862.915000000001</v>
      </c>
      <c r="Z31" s="1688"/>
      <c r="AA31" s="1692"/>
      <c r="AB31" s="1690"/>
      <c r="AC31" s="1690">
        <v>40142.378424493283</v>
      </c>
      <c r="AD31" s="1693"/>
    </row>
    <row r="32" spans="1:30" s="874" customFormat="1" ht="22.5" customHeight="1">
      <c r="A32" s="1686">
        <v>6241000004</v>
      </c>
      <c r="B32" s="1687" t="s">
        <v>495</v>
      </c>
      <c r="C32" s="1688">
        <v>2733.2640000000001</v>
      </c>
      <c r="D32" s="1688">
        <v>5557.68</v>
      </c>
      <c r="E32" s="1688">
        <v>7017.74</v>
      </c>
      <c r="F32" s="1688">
        <v>4477.8239999999996</v>
      </c>
      <c r="G32" s="1688">
        <v>7038.83</v>
      </c>
      <c r="H32" s="1688">
        <v>4249.674</v>
      </c>
      <c r="I32" s="1688">
        <v>4043.2220000000002</v>
      </c>
      <c r="J32" s="1688">
        <v>2976.462</v>
      </c>
      <c r="K32" s="1688">
        <v>4287.8239999999996</v>
      </c>
      <c r="L32" s="1688">
        <v>5134</v>
      </c>
      <c r="M32" s="1688">
        <v>5757.3559999999998</v>
      </c>
      <c r="N32" s="1688">
        <v>2489.2950000000001</v>
      </c>
      <c r="O32" s="1689">
        <v>6756.82</v>
      </c>
      <c r="P32" s="1689">
        <v>2395.1640000000002</v>
      </c>
      <c r="Q32" s="1689">
        <v>5767.3890000000001</v>
      </c>
      <c r="R32" s="1689">
        <v>4701.7920000000004</v>
      </c>
      <c r="S32" s="1689">
        <v>3232.788</v>
      </c>
      <c r="T32" s="1689">
        <v>4310.8630000000003</v>
      </c>
      <c r="U32" s="1690"/>
      <c r="V32" s="1690"/>
      <c r="W32" s="1690"/>
      <c r="X32" s="1690"/>
      <c r="Y32" s="1691">
        <v>107861.59600000002</v>
      </c>
      <c r="Z32" s="1688"/>
      <c r="AA32" s="1692"/>
      <c r="AB32" s="1690"/>
      <c r="AC32" s="1690">
        <v>39552.766138321502</v>
      </c>
      <c r="AD32" s="1693"/>
    </row>
    <row r="33" spans="1:30" s="874" customFormat="1" ht="22.5" customHeight="1">
      <c r="A33" s="1686">
        <v>6241000005</v>
      </c>
      <c r="B33" s="1687" t="s">
        <v>496</v>
      </c>
      <c r="C33" s="1688">
        <v>4070.7249999999999</v>
      </c>
      <c r="D33" s="1688">
        <v>1772.88</v>
      </c>
      <c r="E33" s="1688">
        <v>1075.3119999999999</v>
      </c>
      <c r="F33" s="1688">
        <v>958.298</v>
      </c>
      <c r="G33" s="1688">
        <v>690.346</v>
      </c>
      <c r="H33" s="1688">
        <v>2928.3810000000003</v>
      </c>
      <c r="I33" s="1688">
        <v>470.4</v>
      </c>
      <c r="J33" s="1688">
        <v>978.13800000000003</v>
      </c>
      <c r="K33" s="1688">
        <v>4114.6959999999999</v>
      </c>
      <c r="L33" s="1688">
        <v>2488.8000000000002</v>
      </c>
      <c r="M33" s="1688">
        <v>1952.45</v>
      </c>
      <c r="N33" s="1688">
        <v>653.553</v>
      </c>
      <c r="O33" s="1689">
        <v>1858.1</v>
      </c>
      <c r="P33" s="1689">
        <v>1673.82</v>
      </c>
      <c r="Q33" s="1689">
        <v>1318.9010000000001</v>
      </c>
      <c r="R33" s="1689">
        <v>3004.0360000000001</v>
      </c>
      <c r="S33" s="1689">
        <v>2151.4180000000001</v>
      </c>
      <c r="T33" s="1689">
        <v>2561.1509999999998</v>
      </c>
      <c r="U33" s="1690"/>
      <c r="V33" s="1690"/>
      <c r="W33" s="1690"/>
      <c r="X33" s="1690"/>
      <c r="Y33" s="1691">
        <v>34227.645000000004</v>
      </c>
      <c r="Z33" s="1688"/>
      <c r="AA33" s="1692"/>
      <c r="AB33" s="1690"/>
      <c r="AC33" s="1690">
        <v>35980.74875777954</v>
      </c>
      <c r="AD33" s="1693"/>
    </row>
    <row r="34" spans="1:30" s="874" customFormat="1" ht="22.5" customHeight="1">
      <c r="A34" s="1686">
        <v>6242000001</v>
      </c>
      <c r="B34" s="1687" t="s">
        <v>497</v>
      </c>
      <c r="C34" s="1688">
        <v>1425.5730000000001</v>
      </c>
      <c r="D34" s="1688">
        <v>1895.72</v>
      </c>
      <c r="E34" s="1688">
        <v>4695.3969999999999</v>
      </c>
      <c r="F34" s="1688">
        <v>0</v>
      </c>
      <c r="G34" s="1688">
        <v>2604.84</v>
      </c>
      <c r="H34" s="1688">
        <v>2121.8679999999999</v>
      </c>
      <c r="I34" s="1688">
        <v>1904.011</v>
      </c>
      <c r="J34" s="1688">
        <v>1386.9490000000001</v>
      </c>
      <c r="K34" s="1688">
        <v>930.64800000000002</v>
      </c>
      <c r="L34" s="1688">
        <v>1923.856</v>
      </c>
      <c r="M34" s="1688">
        <v>3962.53</v>
      </c>
      <c r="N34" s="1688">
        <v>573.64800000000002</v>
      </c>
      <c r="O34" s="1689">
        <v>1910.3240000000001</v>
      </c>
      <c r="P34" s="1689">
        <v>1615.85</v>
      </c>
      <c r="Q34" s="1689">
        <v>1103.2439999999999</v>
      </c>
      <c r="R34" s="1689">
        <v>1165.7239999999999</v>
      </c>
      <c r="S34" s="1689">
        <v>1910.1880000000001</v>
      </c>
      <c r="T34" s="1689">
        <v>1173.23</v>
      </c>
      <c r="U34" s="1690"/>
      <c r="V34" s="1690"/>
      <c r="W34" s="1690"/>
      <c r="X34" s="1690"/>
      <c r="Y34" s="1691">
        <v>14582.672</v>
      </c>
      <c r="Z34" s="1688"/>
      <c r="AA34" s="1692"/>
      <c r="AB34" s="1690"/>
      <c r="AC34" s="1690">
        <v>25062.791826008423</v>
      </c>
      <c r="AD34" s="1693"/>
    </row>
    <row r="35" spans="1:30" s="874" customFormat="1" ht="22.5" customHeight="1">
      <c r="A35" s="1686">
        <v>6242000004</v>
      </c>
      <c r="B35" s="1687" t="s">
        <v>498</v>
      </c>
      <c r="C35" s="1688">
        <v>8228.7630000000008</v>
      </c>
      <c r="D35" s="1688">
        <v>7084.8799999999992</v>
      </c>
      <c r="E35" s="1688">
        <v>6336.277</v>
      </c>
      <c r="F35" s="1688">
        <v>1928.864</v>
      </c>
      <c r="G35" s="1688">
        <v>5788.44</v>
      </c>
      <c r="H35" s="1688">
        <v>2580.6509999999998</v>
      </c>
      <c r="I35" s="1688">
        <v>3934.5259999999998</v>
      </c>
      <c r="J35" s="1688">
        <v>3170.203</v>
      </c>
      <c r="K35" s="1688">
        <v>2791.944</v>
      </c>
      <c r="L35" s="1688">
        <v>6963.37</v>
      </c>
      <c r="M35" s="1688">
        <v>7762.54</v>
      </c>
      <c r="N35" s="1688">
        <v>1835.673</v>
      </c>
      <c r="O35" s="1689">
        <v>5732.06</v>
      </c>
      <c r="P35" s="1689">
        <v>10165.15</v>
      </c>
      <c r="Q35" s="1689">
        <v>2787.1439999999998</v>
      </c>
      <c r="R35" s="1689">
        <v>5384.2400000000025</v>
      </c>
      <c r="S35" s="1689">
        <v>8935.9140000000007</v>
      </c>
      <c r="T35" s="1689">
        <v>4907.3100000000004</v>
      </c>
      <c r="U35" s="1690"/>
      <c r="V35" s="1690"/>
      <c r="W35" s="1690"/>
      <c r="X35" s="1690"/>
      <c r="Y35" s="1691">
        <v>52920.294999999998</v>
      </c>
      <c r="Z35" s="1688"/>
      <c r="AA35" s="1692"/>
      <c r="AB35" s="1690"/>
      <c r="AC35" s="1690">
        <v>55786.732738192499</v>
      </c>
      <c r="AD35" s="1693"/>
    </row>
    <row r="36" spans="1:30" s="874" customFormat="1" ht="22.5" customHeight="1">
      <c r="A36" s="1686">
        <v>6242000005</v>
      </c>
      <c r="B36" s="1687" t="s">
        <v>499</v>
      </c>
      <c r="C36" s="1688">
        <v>5230.7640000000001</v>
      </c>
      <c r="D36" s="1688">
        <v>3768.1999999999994</v>
      </c>
      <c r="E36" s="1688">
        <v>11699.365</v>
      </c>
      <c r="F36" s="1688">
        <v>1687.7349999999999</v>
      </c>
      <c r="G36" s="1688">
        <v>6625.92</v>
      </c>
      <c r="H36" s="1688">
        <v>1032.26</v>
      </c>
      <c r="I36" s="1688">
        <v>3468.6619999999998</v>
      </c>
      <c r="J36" s="1688">
        <v>2229.8870000000002</v>
      </c>
      <c r="K36" s="1688">
        <v>2093.9580000000001</v>
      </c>
      <c r="L36" s="1688">
        <v>6310.7740000000003</v>
      </c>
      <c r="M36" s="1688">
        <v>4968.93</v>
      </c>
      <c r="N36" s="1688">
        <v>3327.1579999999999</v>
      </c>
      <c r="O36" s="1689">
        <v>3815.65</v>
      </c>
      <c r="P36" s="1689">
        <v>2774.4</v>
      </c>
      <c r="Q36" s="1689">
        <v>1916.1610000000001</v>
      </c>
      <c r="R36" s="1689">
        <v>726.03599999999994</v>
      </c>
      <c r="S36" s="1689">
        <v>3854.5339999999997</v>
      </c>
      <c r="T36" s="1689">
        <v>3115.1680000000001</v>
      </c>
      <c r="U36" s="1690"/>
      <c r="V36" s="1690"/>
      <c r="W36" s="1690"/>
      <c r="X36" s="1690"/>
      <c r="Y36" s="1691">
        <v>104868.86599999999</v>
      </c>
      <c r="Z36" s="1688"/>
      <c r="AA36" s="1692"/>
      <c r="AB36" s="1690"/>
      <c r="AC36" s="1690">
        <v>114006.06181863343</v>
      </c>
      <c r="AD36" s="1693"/>
    </row>
    <row r="37" spans="1:30" ht="22.5" customHeight="1">
      <c r="A37" s="1669"/>
      <c r="B37" s="1674"/>
      <c r="C37" s="170"/>
      <c r="D37" s="170"/>
      <c r="E37" s="170"/>
      <c r="F37" s="170"/>
      <c r="G37" s="170"/>
      <c r="H37" s="170"/>
      <c r="I37" s="170"/>
      <c r="J37" s="170"/>
      <c r="K37" s="170"/>
      <c r="L37" s="170"/>
      <c r="M37" s="170"/>
      <c r="N37" s="170"/>
      <c r="O37" s="1671"/>
      <c r="P37" s="1671"/>
      <c r="Q37" s="1671"/>
      <c r="R37" s="1671"/>
      <c r="S37" s="1671"/>
      <c r="T37" s="1671"/>
      <c r="U37" s="1674"/>
      <c r="V37" s="1674"/>
      <c r="W37" s="1674"/>
      <c r="X37" s="1674"/>
      <c r="Y37" s="1674"/>
      <c r="Z37" s="1674"/>
      <c r="AA37" s="1674"/>
      <c r="AB37" s="1674"/>
      <c r="AC37" s="1674"/>
      <c r="AD37" s="1674"/>
    </row>
    <row r="38" spans="1:30" ht="22.5" customHeight="1">
      <c r="A38" s="1669"/>
      <c r="B38" s="1674"/>
      <c r="C38" s="170"/>
      <c r="D38" s="170"/>
      <c r="E38" s="170"/>
      <c r="F38" s="170"/>
      <c r="G38" s="170"/>
      <c r="H38" s="170"/>
      <c r="I38" s="170"/>
      <c r="J38" s="170"/>
      <c r="K38" s="170"/>
      <c r="L38" s="170"/>
      <c r="M38" s="170"/>
      <c r="N38" s="170"/>
      <c r="O38" s="1671"/>
      <c r="P38" s="1671"/>
      <c r="Q38" s="1671"/>
      <c r="R38" s="1671"/>
      <c r="S38" s="1671"/>
      <c r="T38" s="1671"/>
      <c r="U38" s="1674"/>
      <c r="V38" s="1674"/>
      <c r="W38" s="1674"/>
      <c r="X38" s="1674"/>
      <c r="Y38" s="1674"/>
      <c r="Z38" s="1674"/>
      <c r="AA38" s="1674"/>
      <c r="AB38" s="1674"/>
      <c r="AC38" s="1674"/>
      <c r="AD38" s="1674"/>
    </row>
    <row r="39" spans="1:30" ht="22.5" customHeight="1">
      <c r="A39" s="1669"/>
      <c r="B39" s="1674"/>
      <c r="C39" s="170"/>
      <c r="D39" s="170"/>
      <c r="E39" s="170"/>
      <c r="F39" s="170"/>
      <c r="G39" s="170"/>
      <c r="H39" s="170"/>
      <c r="I39" s="170"/>
      <c r="J39" s="170"/>
      <c r="K39" s="170"/>
      <c r="L39" s="170"/>
      <c r="M39" s="170"/>
      <c r="N39" s="170"/>
      <c r="O39" s="1671"/>
      <c r="P39" s="1671"/>
      <c r="Q39" s="1671"/>
      <c r="R39" s="1671"/>
      <c r="S39" s="1671"/>
      <c r="T39" s="1671"/>
      <c r="U39" s="1674"/>
      <c r="V39" s="1674"/>
      <c r="W39" s="1674"/>
      <c r="X39" s="1674"/>
      <c r="Y39" s="1674"/>
      <c r="Z39" s="1674"/>
      <c r="AA39" s="1674"/>
      <c r="AB39" s="1674"/>
      <c r="AC39" s="1674"/>
      <c r="AD39" s="1674"/>
    </row>
    <row r="40" spans="1:30" ht="22.5" customHeight="1">
      <c r="A40" s="1669"/>
      <c r="B40" s="1674"/>
      <c r="C40" s="170"/>
      <c r="D40" s="170"/>
      <c r="E40" s="170"/>
      <c r="F40" s="170"/>
      <c r="G40" s="170"/>
      <c r="H40" s="170"/>
      <c r="I40" s="170"/>
      <c r="J40" s="170"/>
      <c r="K40" s="170"/>
      <c r="L40" s="170"/>
      <c r="M40" s="170"/>
      <c r="N40" s="170"/>
      <c r="O40" s="1671"/>
      <c r="P40" s="1671"/>
      <c r="Q40" s="1671"/>
      <c r="R40" s="1671"/>
      <c r="S40" s="1671"/>
      <c r="T40" s="1671"/>
      <c r="U40" s="1674"/>
      <c r="V40" s="1674"/>
      <c r="W40" s="1674"/>
      <c r="X40" s="1674"/>
      <c r="Y40" s="1674"/>
      <c r="Z40" s="1674"/>
      <c r="AA40" s="1674"/>
      <c r="AB40" s="1674"/>
      <c r="AC40" s="1674"/>
      <c r="AD40" s="1674"/>
    </row>
    <row r="41" spans="1:30" ht="22.5" customHeight="1">
      <c r="A41" s="1669"/>
      <c r="B41" s="1674"/>
      <c r="C41" s="170"/>
      <c r="D41" s="170"/>
      <c r="E41" s="170"/>
      <c r="F41" s="170"/>
      <c r="G41" s="170"/>
      <c r="H41" s="170"/>
      <c r="I41" s="170"/>
      <c r="J41" s="170"/>
      <c r="K41" s="170"/>
      <c r="L41" s="170"/>
      <c r="M41" s="170"/>
      <c r="N41" s="170"/>
      <c r="O41" s="1671"/>
      <c r="P41" s="1671"/>
      <c r="Q41" s="1671"/>
      <c r="R41" s="1671"/>
      <c r="S41" s="1671"/>
      <c r="T41" s="1671"/>
      <c r="U41" s="1674"/>
      <c r="V41" s="1674"/>
      <c r="W41" s="1674"/>
      <c r="X41" s="1674"/>
      <c r="Y41" s="1674"/>
      <c r="Z41" s="1674"/>
      <c r="AA41" s="1674"/>
      <c r="AB41" s="1674"/>
      <c r="AC41" s="1674"/>
      <c r="AD41" s="1674"/>
    </row>
    <row r="42" spans="1:30" ht="22.5" customHeight="1">
      <c r="A42" s="1669"/>
      <c r="B42" s="1674"/>
      <c r="C42" s="170"/>
      <c r="D42" s="170"/>
      <c r="E42" s="170"/>
      <c r="F42" s="170"/>
      <c r="G42" s="170"/>
      <c r="H42" s="170"/>
      <c r="I42" s="170"/>
      <c r="J42" s="170"/>
      <c r="K42" s="170"/>
      <c r="L42" s="170"/>
      <c r="M42" s="170"/>
      <c r="N42" s="170"/>
      <c r="O42" s="1671"/>
      <c r="P42" s="1671"/>
      <c r="Q42" s="1671"/>
      <c r="R42" s="1671"/>
      <c r="S42" s="1671"/>
      <c r="T42" s="1671"/>
      <c r="U42" s="1674"/>
      <c r="V42" s="1674"/>
      <c r="W42" s="1674"/>
      <c r="X42" s="1674"/>
      <c r="Y42" s="1674"/>
      <c r="Z42" s="1674"/>
      <c r="AA42" s="1674"/>
      <c r="AB42" s="1674"/>
      <c r="AC42" s="1674"/>
      <c r="AD42" s="1674"/>
    </row>
    <row r="43" spans="1:30" ht="22.5" customHeight="1">
      <c r="A43" s="1669"/>
      <c r="B43" s="1674"/>
      <c r="C43" s="170"/>
      <c r="D43" s="170"/>
      <c r="E43" s="170"/>
      <c r="F43" s="170"/>
      <c r="G43" s="170"/>
      <c r="H43" s="170"/>
      <c r="I43" s="170"/>
      <c r="J43" s="170"/>
      <c r="K43" s="170"/>
      <c r="L43" s="170"/>
      <c r="M43" s="170"/>
      <c r="N43" s="170"/>
      <c r="O43" s="1671"/>
      <c r="P43" s="1671"/>
      <c r="Q43" s="1671"/>
      <c r="R43" s="1671"/>
      <c r="S43" s="1671"/>
      <c r="T43" s="1671"/>
      <c r="U43" s="1674"/>
      <c r="V43" s="1674"/>
      <c r="W43" s="1674"/>
      <c r="X43" s="1674"/>
      <c r="Y43" s="1674"/>
      <c r="Z43" s="1674"/>
      <c r="AA43" s="1674"/>
      <c r="AB43" s="1674"/>
      <c r="AC43" s="1674"/>
      <c r="AD43" s="1674"/>
    </row>
    <row r="44" spans="1:30" ht="22.5" customHeight="1">
      <c r="A44" s="1669"/>
      <c r="B44" s="1674"/>
      <c r="C44" s="170"/>
      <c r="D44" s="170"/>
      <c r="E44" s="170"/>
      <c r="F44" s="170"/>
      <c r="G44" s="170"/>
      <c r="H44" s="170"/>
      <c r="I44" s="170"/>
      <c r="J44" s="170"/>
      <c r="K44" s="170"/>
      <c r="L44" s="170"/>
      <c r="M44" s="170"/>
      <c r="N44" s="170"/>
      <c r="O44" s="1671"/>
      <c r="P44" s="1671"/>
      <c r="Q44" s="1671"/>
      <c r="R44" s="1671"/>
      <c r="S44" s="1671"/>
      <c r="T44" s="1671"/>
      <c r="U44" s="1674"/>
      <c r="V44" s="1674"/>
      <c r="W44" s="1674"/>
      <c r="X44" s="1674"/>
      <c r="Y44" s="1674"/>
      <c r="Z44" s="1674"/>
      <c r="AA44" s="1674"/>
      <c r="AB44" s="1674"/>
      <c r="AC44" s="1674"/>
      <c r="AD44" s="1674"/>
    </row>
    <row r="45" spans="1:30" ht="22.5" customHeight="1">
      <c r="A45" s="1669"/>
      <c r="B45" s="1674"/>
      <c r="C45" s="170"/>
      <c r="D45" s="170"/>
      <c r="E45" s="170"/>
      <c r="F45" s="170"/>
      <c r="G45" s="170"/>
      <c r="H45" s="170"/>
      <c r="I45" s="170"/>
      <c r="J45" s="170"/>
      <c r="K45" s="170"/>
      <c r="L45" s="170"/>
      <c r="M45" s="170"/>
      <c r="N45" s="170"/>
      <c r="O45" s="1671"/>
      <c r="P45" s="1671"/>
      <c r="Q45" s="1671"/>
      <c r="R45" s="1671"/>
      <c r="S45" s="1671"/>
      <c r="T45" s="1671"/>
      <c r="U45" s="1674"/>
      <c r="V45" s="1674"/>
      <c r="W45" s="1674"/>
      <c r="X45" s="1674"/>
      <c r="Y45" s="1674"/>
      <c r="Z45" s="1674"/>
      <c r="AA45" s="1674"/>
      <c r="AB45" s="1674"/>
      <c r="AC45" s="1674"/>
      <c r="AD45" s="1674"/>
    </row>
    <row r="46" spans="1:30" ht="22.5" customHeight="1">
      <c r="A46" s="1669"/>
      <c r="B46" s="1674"/>
      <c r="C46" s="170"/>
      <c r="D46" s="170"/>
      <c r="E46" s="170"/>
      <c r="F46" s="170"/>
      <c r="G46" s="170"/>
      <c r="H46" s="170"/>
      <c r="I46" s="170"/>
      <c r="J46" s="170"/>
      <c r="K46" s="170"/>
      <c r="L46" s="170"/>
      <c r="M46" s="170"/>
      <c r="N46" s="170"/>
      <c r="O46" s="1671"/>
      <c r="P46" s="1671"/>
      <c r="Q46" s="1671"/>
      <c r="R46" s="1671"/>
      <c r="S46" s="1671"/>
      <c r="T46" s="1671"/>
      <c r="U46" s="1674"/>
      <c r="V46" s="1674"/>
      <c r="W46" s="1674"/>
      <c r="X46" s="1674"/>
      <c r="Y46" s="1674"/>
      <c r="Z46" s="1674"/>
      <c r="AA46" s="1674"/>
      <c r="AB46" s="1674"/>
      <c r="AC46" s="1674"/>
      <c r="AD46" s="1674"/>
    </row>
    <row r="47" spans="1:30" ht="22.5" customHeight="1">
      <c r="A47" s="1669"/>
      <c r="B47" s="1674"/>
      <c r="C47" s="170"/>
      <c r="D47" s="170"/>
      <c r="E47" s="170"/>
      <c r="F47" s="170"/>
      <c r="G47" s="170"/>
      <c r="H47" s="170"/>
      <c r="I47" s="170"/>
      <c r="J47" s="170"/>
      <c r="K47" s="170"/>
      <c r="L47" s="170"/>
      <c r="M47" s="170"/>
      <c r="N47" s="170"/>
      <c r="O47" s="1671"/>
      <c r="P47" s="1671"/>
      <c r="Q47" s="1671"/>
      <c r="R47" s="1671"/>
      <c r="S47" s="1671"/>
      <c r="T47" s="1671"/>
      <c r="U47" s="1674"/>
      <c r="V47" s="1674"/>
      <c r="W47" s="1674"/>
      <c r="X47" s="1674"/>
      <c r="Y47" s="1674"/>
      <c r="Z47" s="1674"/>
      <c r="AA47" s="1674"/>
      <c r="AB47" s="1674"/>
      <c r="AC47" s="1674"/>
      <c r="AD47" s="1674"/>
    </row>
    <row r="48" spans="1:30" ht="22.5" customHeight="1">
      <c r="A48" s="1669"/>
      <c r="B48" s="1674"/>
      <c r="C48" s="170"/>
      <c r="D48" s="170"/>
      <c r="E48" s="170"/>
      <c r="F48" s="170"/>
      <c r="G48" s="170"/>
      <c r="H48" s="170"/>
      <c r="I48" s="170"/>
      <c r="J48" s="170"/>
      <c r="K48" s="170"/>
      <c r="L48" s="170"/>
      <c r="M48" s="170"/>
      <c r="N48" s="170"/>
      <c r="O48" s="1671"/>
      <c r="P48" s="1671"/>
      <c r="Q48" s="1671"/>
      <c r="R48" s="1671"/>
      <c r="S48" s="1671"/>
      <c r="T48" s="1671"/>
      <c r="U48" s="1674"/>
      <c r="V48" s="1674"/>
      <c r="W48" s="1674"/>
      <c r="X48" s="1674"/>
      <c r="Y48" s="1674"/>
      <c r="Z48" s="1674"/>
      <c r="AA48" s="1674"/>
      <c r="AB48" s="1674"/>
      <c r="AC48" s="1674"/>
      <c r="AD48" s="1674"/>
    </row>
    <row r="49" spans="1:30" ht="22.5" customHeight="1">
      <c r="A49" s="1669"/>
      <c r="B49" s="1674"/>
      <c r="C49" s="170"/>
      <c r="D49" s="170"/>
      <c r="E49" s="170"/>
      <c r="F49" s="170"/>
      <c r="G49" s="170"/>
      <c r="H49" s="170"/>
      <c r="I49" s="170"/>
      <c r="J49" s="170"/>
      <c r="K49" s="170"/>
      <c r="L49" s="170"/>
      <c r="M49" s="170"/>
      <c r="N49" s="170"/>
      <c r="O49" s="1671"/>
      <c r="P49" s="1671"/>
      <c r="Q49" s="1671"/>
      <c r="R49" s="1671"/>
      <c r="S49" s="1671"/>
      <c r="T49" s="1671"/>
      <c r="U49" s="1674"/>
      <c r="V49" s="1674"/>
      <c r="W49" s="1674"/>
      <c r="X49" s="1674"/>
      <c r="Y49" s="1674"/>
      <c r="Z49" s="1674"/>
      <c r="AA49" s="1674"/>
      <c r="AB49" s="1674"/>
      <c r="AC49" s="1674"/>
      <c r="AD49" s="1674"/>
    </row>
    <row r="50" spans="1:30" ht="22.5" customHeight="1">
      <c r="A50" s="1669"/>
      <c r="B50" s="1674"/>
      <c r="C50" s="170"/>
      <c r="D50" s="170"/>
      <c r="E50" s="170"/>
      <c r="F50" s="170"/>
      <c r="G50" s="170"/>
      <c r="H50" s="170"/>
      <c r="I50" s="170"/>
      <c r="J50" s="170"/>
      <c r="K50" s="170"/>
      <c r="L50" s="170"/>
      <c r="M50" s="170"/>
      <c r="N50" s="170"/>
      <c r="O50" s="1671"/>
      <c r="P50" s="1671"/>
      <c r="Q50" s="1671"/>
      <c r="R50" s="1671"/>
      <c r="S50" s="1671"/>
      <c r="T50" s="1671"/>
      <c r="U50" s="1674"/>
      <c r="V50" s="1674"/>
      <c r="W50" s="1674"/>
      <c r="X50" s="1674"/>
      <c r="Y50" s="1674"/>
      <c r="Z50" s="1674"/>
      <c r="AA50" s="1674"/>
      <c r="AB50" s="1674"/>
      <c r="AC50" s="1674"/>
      <c r="AD50" s="1674"/>
    </row>
    <row r="51" spans="1:30" ht="22.5" customHeight="1">
      <c r="A51" s="1669"/>
      <c r="B51" s="1674"/>
      <c r="C51" s="170"/>
      <c r="D51" s="170"/>
      <c r="E51" s="170"/>
      <c r="F51" s="170"/>
      <c r="G51" s="170"/>
      <c r="H51" s="170"/>
      <c r="I51" s="170"/>
      <c r="J51" s="170"/>
      <c r="K51" s="170"/>
      <c r="L51" s="170"/>
      <c r="M51" s="170"/>
      <c r="N51" s="170"/>
      <c r="O51" s="1671"/>
      <c r="P51" s="1671"/>
      <c r="Q51" s="1671"/>
      <c r="R51" s="1671"/>
      <c r="S51" s="1671"/>
      <c r="T51" s="1671"/>
      <c r="U51" s="1674"/>
      <c r="V51" s="1674"/>
      <c r="W51" s="1674"/>
      <c r="X51" s="1674"/>
      <c r="Y51" s="1674"/>
      <c r="Z51" s="1674"/>
      <c r="AA51" s="1674"/>
      <c r="AB51" s="1674"/>
      <c r="AC51" s="1674"/>
      <c r="AD51" s="1674"/>
    </row>
    <row r="52" spans="1:30" ht="22.5" customHeight="1">
      <c r="A52" s="1669"/>
      <c r="B52" s="1674"/>
      <c r="C52" s="170"/>
      <c r="D52" s="170"/>
      <c r="E52" s="170"/>
      <c r="F52" s="170"/>
      <c r="G52" s="170"/>
      <c r="H52" s="170"/>
      <c r="I52" s="170"/>
      <c r="J52" s="170"/>
      <c r="K52" s="170"/>
      <c r="L52" s="170"/>
      <c r="M52" s="170"/>
      <c r="N52" s="170"/>
      <c r="O52" s="1671"/>
      <c r="P52" s="1671"/>
      <c r="Q52" s="1671"/>
      <c r="R52" s="1671"/>
      <c r="S52" s="1671"/>
      <c r="T52" s="1671"/>
      <c r="U52" s="1674"/>
      <c r="V52" s="1674"/>
      <c r="W52" s="1674"/>
      <c r="X52" s="1674"/>
      <c r="Y52" s="1674"/>
      <c r="Z52" s="1674"/>
      <c r="AA52" s="1674"/>
      <c r="AB52" s="1674"/>
      <c r="AC52" s="1674"/>
      <c r="AD52" s="1674"/>
    </row>
    <row r="53" spans="1:30" ht="22.5" customHeight="1">
      <c r="A53" s="1669"/>
      <c r="B53" s="1674"/>
      <c r="C53" s="170"/>
      <c r="D53" s="170"/>
      <c r="E53" s="170"/>
      <c r="F53" s="170"/>
      <c r="G53" s="170"/>
      <c r="H53" s="170"/>
      <c r="I53" s="170"/>
      <c r="J53" s="170"/>
      <c r="K53" s="170"/>
      <c r="L53" s="170"/>
      <c r="M53" s="170"/>
      <c r="N53" s="170"/>
      <c r="O53" s="1671"/>
      <c r="P53" s="1671"/>
      <c r="Q53" s="1671"/>
      <c r="R53" s="1671"/>
      <c r="S53" s="1671"/>
      <c r="T53" s="1671"/>
      <c r="U53" s="1674"/>
      <c r="V53" s="1674"/>
      <c r="W53" s="1674"/>
      <c r="X53" s="1674"/>
      <c r="Y53" s="1674"/>
      <c r="Z53" s="1674"/>
      <c r="AA53" s="1674"/>
      <c r="AB53" s="1674"/>
      <c r="AC53" s="1674"/>
      <c r="AD53" s="1674"/>
    </row>
    <row r="54" spans="1:30" ht="22.5" customHeight="1">
      <c r="A54" s="1669"/>
      <c r="B54" s="1674"/>
      <c r="C54" s="170"/>
      <c r="D54" s="170"/>
      <c r="E54" s="170"/>
      <c r="F54" s="170"/>
      <c r="G54" s="170"/>
      <c r="H54" s="170"/>
      <c r="I54" s="170"/>
      <c r="J54" s="170"/>
      <c r="K54" s="170"/>
      <c r="L54" s="170"/>
      <c r="M54" s="170"/>
      <c r="N54" s="170"/>
      <c r="O54" s="1671"/>
      <c r="P54" s="1671"/>
      <c r="Q54" s="1671"/>
      <c r="R54" s="1671"/>
      <c r="S54" s="1671"/>
      <c r="T54" s="1671"/>
      <c r="U54" s="1674"/>
      <c r="V54" s="1674"/>
      <c r="W54" s="1674"/>
      <c r="X54" s="1674"/>
      <c r="Y54" s="1674"/>
      <c r="Z54" s="1674"/>
      <c r="AA54" s="1674"/>
      <c r="AB54" s="1674"/>
      <c r="AC54" s="1674"/>
      <c r="AD54" s="1674"/>
    </row>
    <row r="55" spans="1:30" ht="22.5" customHeight="1">
      <c r="A55" s="1669"/>
      <c r="B55" s="1674"/>
      <c r="C55" s="170"/>
      <c r="D55" s="170"/>
      <c r="E55" s="170"/>
      <c r="F55" s="170"/>
      <c r="G55" s="170"/>
      <c r="H55" s="170"/>
      <c r="I55" s="170"/>
      <c r="J55" s="170"/>
      <c r="K55" s="170"/>
      <c r="L55" s="170"/>
      <c r="M55" s="170"/>
      <c r="N55" s="170"/>
      <c r="O55" s="1671"/>
      <c r="P55" s="1671"/>
      <c r="Q55" s="1671"/>
      <c r="R55" s="1671"/>
      <c r="S55" s="1671"/>
      <c r="T55" s="1671"/>
      <c r="U55" s="1674"/>
      <c r="V55" s="1674"/>
      <c r="W55" s="1674"/>
      <c r="X55" s="1674"/>
      <c r="Y55" s="1674"/>
      <c r="Z55" s="1674"/>
      <c r="AA55" s="1674"/>
      <c r="AB55" s="1674"/>
      <c r="AC55" s="1674"/>
      <c r="AD55" s="1674"/>
    </row>
    <row r="56" spans="1:30" ht="22.5" customHeight="1">
      <c r="A56" s="1669"/>
      <c r="B56" s="1674"/>
      <c r="C56" s="170"/>
      <c r="D56" s="170"/>
      <c r="E56" s="170"/>
      <c r="F56" s="170"/>
      <c r="G56" s="170"/>
      <c r="H56" s="170"/>
      <c r="I56" s="170"/>
      <c r="J56" s="170"/>
      <c r="K56" s="170"/>
      <c r="L56" s="170"/>
      <c r="M56" s="170"/>
      <c r="N56" s="170"/>
      <c r="O56" s="1671"/>
      <c r="P56" s="1671"/>
      <c r="Q56" s="1671"/>
      <c r="R56" s="1671"/>
      <c r="S56" s="1671"/>
      <c r="T56" s="1671"/>
      <c r="U56" s="1674"/>
      <c r="V56" s="1674"/>
      <c r="W56" s="1674"/>
      <c r="X56" s="1674"/>
      <c r="Y56" s="1674"/>
      <c r="Z56" s="1674"/>
      <c r="AA56" s="1674"/>
      <c r="AB56" s="1674"/>
      <c r="AC56" s="1674"/>
      <c r="AD56" s="1674"/>
    </row>
    <row r="57" spans="1:30" ht="22.5" customHeight="1">
      <c r="A57" s="1669"/>
      <c r="B57" s="1674"/>
      <c r="C57" s="170"/>
      <c r="D57" s="170"/>
      <c r="E57" s="170"/>
      <c r="F57" s="170"/>
      <c r="G57" s="170"/>
      <c r="H57" s="170"/>
      <c r="I57" s="170"/>
      <c r="J57" s="170"/>
      <c r="K57" s="170"/>
      <c r="L57" s="170"/>
      <c r="M57" s="170"/>
      <c r="N57" s="170"/>
      <c r="O57" s="1671"/>
      <c r="P57" s="1671"/>
      <c r="Q57" s="1671"/>
      <c r="R57" s="1671"/>
      <c r="S57" s="1671"/>
      <c r="T57" s="1671"/>
      <c r="U57" s="1674"/>
      <c r="V57" s="1674"/>
      <c r="W57" s="1674"/>
      <c r="X57" s="1674"/>
      <c r="Y57" s="1674"/>
      <c r="Z57" s="1674"/>
      <c r="AA57" s="1674"/>
      <c r="AB57" s="1674"/>
      <c r="AC57" s="1674"/>
      <c r="AD57" s="1674"/>
    </row>
    <row r="58" spans="1:30" ht="22.5" customHeight="1">
      <c r="A58" s="1669"/>
      <c r="B58" s="1674"/>
      <c r="C58" s="170"/>
      <c r="D58" s="170"/>
      <c r="E58" s="170"/>
      <c r="F58" s="170"/>
      <c r="G58" s="170"/>
      <c r="H58" s="170"/>
      <c r="I58" s="170"/>
      <c r="J58" s="170"/>
      <c r="K58" s="170"/>
      <c r="L58" s="170"/>
      <c r="M58" s="170"/>
      <c r="N58" s="170"/>
      <c r="O58" s="1671"/>
      <c r="P58" s="1671"/>
      <c r="Q58" s="1671"/>
      <c r="R58" s="1671"/>
      <c r="S58" s="1671"/>
      <c r="T58" s="1671"/>
      <c r="U58" s="1674"/>
      <c r="V58" s="1674"/>
      <c r="W58" s="1674"/>
      <c r="X58" s="1674"/>
      <c r="Y58" s="1674"/>
      <c r="Z58" s="1674"/>
      <c r="AA58" s="1674"/>
      <c r="AB58" s="1674"/>
      <c r="AC58" s="1674"/>
      <c r="AD58" s="1674"/>
    </row>
    <row r="59" spans="1:30" ht="22.5" customHeight="1">
      <c r="A59" s="1669"/>
      <c r="B59" s="1674"/>
      <c r="C59" s="170"/>
      <c r="D59" s="170"/>
      <c r="E59" s="170"/>
      <c r="F59" s="170"/>
      <c r="G59" s="170"/>
      <c r="H59" s="170"/>
      <c r="I59" s="170"/>
      <c r="J59" s="170"/>
      <c r="K59" s="170"/>
      <c r="L59" s="170"/>
      <c r="M59" s="170"/>
      <c r="N59" s="170"/>
      <c r="O59" s="1671"/>
      <c r="P59" s="1671"/>
      <c r="Q59" s="1671"/>
      <c r="R59" s="1671"/>
      <c r="S59" s="1671"/>
      <c r="T59" s="1671"/>
      <c r="U59" s="1674"/>
      <c r="V59" s="1674"/>
      <c r="W59" s="1674"/>
      <c r="X59" s="1674"/>
      <c r="Y59" s="1674"/>
      <c r="Z59" s="1674"/>
      <c r="AA59" s="1674"/>
      <c r="AB59" s="1674"/>
      <c r="AC59" s="1674"/>
      <c r="AD59" s="1674"/>
    </row>
    <row r="60" spans="1:30" ht="22.5" customHeight="1">
      <c r="A60" s="1669"/>
      <c r="B60" s="1674"/>
      <c r="C60" s="170"/>
      <c r="D60" s="170"/>
      <c r="E60" s="170"/>
      <c r="F60" s="170"/>
      <c r="G60" s="170"/>
      <c r="H60" s="170"/>
      <c r="I60" s="170"/>
      <c r="J60" s="170"/>
      <c r="K60" s="170"/>
      <c r="L60" s="170"/>
      <c r="M60" s="170"/>
      <c r="N60" s="170"/>
      <c r="O60" s="1671"/>
      <c r="P60" s="1671"/>
      <c r="Q60" s="1671"/>
      <c r="R60" s="1671"/>
      <c r="S60" s="1671"/>
      <c r="T60" s="1671"/>
      <c r="U60" s="1674"/>
      <c r="V60" s="1674"/>
      <c r="W60" s="1674"/>
      <c r="X60" s="1674"/>
      <c r="Y60" s="1674"/>
      <c r="Z60" s="1674"/>
      <c r="AA60" s="1674"/>
      <c r="AB60" s="1674"/>
      <c r="AC60" s="1674"/>
      <c r="AD60" s="1674"/>
    </row>
    <row r="61" spans="1:30" ht="22.5" customHeight="1">
      <c r="A61" s="1669"/>
      <c r="B61" s="1674"/>
      <c r="C61" s="170"/>
      <c r="D61" s="170"/>
      <c r="E61" s="170"/>
      <c r="F61" s="170"/>
      <c r="G61" s="170"/>
      <c r="H61" s="170"/>
      <c r="I61" s="170"/>
      <c r="J61" s="170"/>
      <c r="K61" s="170"/>
      <c r="L61" s="170"/>
      <c r="M61" s="170"/>
      <c r="N61" s="170"/>
      <c r="O61" s="1671"/>
      <c r="P61" s="1671"/>
      <c r="Q61" s="1671"/>
      <c r="R61" s="1671"/>
      <c r="S61" s="1671"/>
      <c r="T61" s="1671"/>
      <c r="U61" s="1674"/>
      <c r="V61" s="1674"/>
      <c r="W61" s="1674"/>
      <c r="X61" s="1674"/>
      <c r="Y61" s="1674"/>
      <c r="Z61" s="1674"/>
      <c r="AA61" s="1674"/>
      <c r="AB61" s="1674"/>
      <c r="AC61" s="1674"/>
      <c r="AD61" s="1674"/>
    </row>
    <row r="62" spans="1:30" ht="22.5" customHeight="1">
      <c r="A62" s="1669"/>
      <c r="B62" s="1674"/>
      <c r="C62" s="170"/>
      <c r="D62" s="170"/>
      <c r="E62" s="170"/>
      <c r="F62" s="170"/>
      <c r="G62" s="170"/>
      <c r="H62" s="170"/>
      <c r="I62" s="170"/>
      <c r="J62" s="170"/>
      <c r="K62" s="170"/>
      <c r="L62" s="170"/>
      <c r="M62" s="170"/>
      <c r="N62" s="170"/>
      <c r="O62" s="1671"/>
      <c r="P62" s="1671"/>
      <c r="Q62" s="1671"/>
      <c r="R62" s="1671"/>
      <c r="S62" s="1671"/>
      <c r="T62" s="1671"/>
      <c r="U62" s="1674"/>
      <c r="V62" s="1674"/>
      <c r="W62" s="1674"/>
      <c r="X62" s="1674"/>
      <c r="Y62" s="1674"/>
      <c r="Z62" s="1674"/>
      <c r="AA62" s="1674"/>
      <c r="AB62" s="1674"/>
      <c r="AC62" s="1674"/>
      <c r="AD62" s="1674"/>
    </row>
    <row r="63" spans="1:30" ht="22.5" customHeight="1">
      <c r="A63" s="1669"/>
      <c r="B63" s="1674"/>
      <c r="C63" s="170"/>
      <c r="D63" s="170"/>
      <c r="E63" s="170"/>
      <c r="F63" s="170"/>
      <c r="G63" s="170"/>
      <c r="H63" s="170"/>
      <c r="I63" s="170"/>
      <c r="J63" s="170"/>
      <c r="K63" s="170"/>
      <c r="L63" s="170"/>
      <c r="M63" s="170"/>
      <c r="N63" s="170"/>
      <c r="O63" s="1671"/>
      <c r="P63" s="1671"/>
      <c r="Q63" s="1671"/>
      <c r="R63" s="1671"/>
      <c r="S63" s="1671"/>
      <c r="T63" s="1671"/>
      <c r="U63" s="1674"/>
      <c r="V63" s="1674"/>
      <c r="W63" s="1674"/>
      <c r="X63" s="1674"/>
      <c r="Y63" s="1674"/>
      <c r="Z63" s="1674"/>
      <c r="AA63" s="1674"/>
      <c r="AB63" s="1674"/>
      <c r="AC63" s="1674"/>
      <c r="AD63" s="1674"/>
    </row>
    <row r="64" spans="1:30" ht="22.5" customHeight="1">
      <c r="A64" s="1669"/>
      <c r="B64" s="1674"/>
      <c r="C64" s="170"/>
      <c r="D64" s="170"/>
      <c r="E64" s="170"/>
      <c r="F64" s="170"/>
      <c r="G64" s="170"/>
      <c r="H64" s="170"/>
      <c r="I64" s="170"/>
      <c r="J64" s="170"/>
      <c r="K64" s="170"/>
      <c r="L64" s="170"/>
      <c r="M64" s="170"/>
      <c r="N64" s="170"/>
      <c r="O64" s="1671"/>
      <c r="P64" s="1671"/>
      <c r="Q64" s="1671"/>
      <c r="R64" s="1671"/>
      <c r="S64" s="1671"/>
      <c r="T64" s="1671"/>
      <c r="U64" s="1674"/>
      <c r="V64" s="1674"/>
      <c r="W64" s="1674"/>
      <c r="X64" s="1674"/>
      <c r="Y64" s="1674"/>
      <c r="Z64" s="1674"/>
      <c r="AA64" s="1674"/>
      <c r="AB64" s="1674"/>
      <c r="AC64" s="1674"/>
      <c r="AD64" s="1674"/>
    </row>
    <row r="65" spans="1:30" ht="22.5" customHeight="1">
      <c r="A65" s="1669"/>
      <c r="B65" s="1674"/>
      <c r="C65" s="170"/>
      <c r="D65" s="170"/>
      <c r="E65" s="170"/>
      <c r="F65" s="170"/>
      <c r="G65" s="170"/>
      <c r="H65" s="170"/>
      <c r="I65" s="170"/>
      <c r="J65" s="170"/>
      <c r="K65" s="170"/>
      <c r="L65" s="170"/>
      <c r="M65" s="170"/>
      <c r="N65" s="170"/>
      <c r="O65" s="1671"/>
      <c r="P65" s="1671"/>
      <c r="Q65" s="1671"/>
      <c r="R65" s="1671"/>
      <c r="S65" s="1671"/>
      <c r="T65" s="1671"/>
      <c r="U65" s="1674"/>
      <c r="V65" s="1674"/>
      <c r="W65" s="1674"/>
      <c r="X65" s="1674"/>
      <c r="Y65" s="1674"/>
      <c r="Z65" s="1674"/>
      <c r="AA65" s="1674"/>
      <c r="AB65" s="1674"/>
      <c r="AC65" s="1674"/>
      <c r="AD65" s="1674"/>
    </row>
    <row r="66" spans="1:30" ht="22.5" customHeight="1">
      <c r="A66" s="1669"/>
      <c r="B66" s="1674"/>
      <c r="C66" s="170"/>
      <c r="D66" s="170"/>
      <c r="E66" s="170"/>
      <c r="F66" s="170"/>
      <c r="G66" s="170"/>
      <c r="H66" s="170"/>
      <c r="I66" s="170"/>
      <c r="J66" s="170"/>
      <c r="K66" s="170"/>
      <c r="L66" s="170"/>
      <c r="M66" s="170"/>
      <c r="N66" s="170"/>
      <c r="O66" s="1671"/>
      <c r="P66" s="1671"/>
      <c r="Q66" s="1671"/>
      <c r="R66" s="1671"/>
      <c r="S66" s="1671"/>
      <c r="T66" s="1671"/>
      <c r="U66" s="1674"/>
      <c r="V66" s="1674"/>
      <c r="W66" s="1674"/>
      <c r="X66" s="1674"/>
      <c r="Y66" s="1674"/>
      <c r="Z66" s="1674"/>
      <c r="AA66" s="1674"/>
      <c r="AB66" s="1674"/>
      <c r="AC66" s="1674"/>
      <c r="AD66" s="1674"/>
    </row>
    <row r="67" spans="1:30" ht="22.5" customHeight="1">
      <c r="A67" s="1669"/>
      <c r="B67" s="1674"/>
      <c r="C67" s="170"/>
      <c r="D67" s="170"/>
      <c r="E67" s="170"/>
      <c r="F67" s="170"/>
      <c r="G67" s="170"/>
      <c r="H67" s="170"/>
      <c r="I67" s="170"/>
      <c r="J67" s="170"/>
      <c r="K67" s="170"/>
      <c r="L67" s="170"/>
      <c r="M67" s="170"/>
      <c r="N67" s="170"/>
      <c r="O67" s="1671"/>
      <c r="P67" s="1671"/>
      <c r="Q67" s="1671"/>
      <c r="R67" s="1671"/>
      <c r="S67" s="1671"/>
      <c r="T67" s="1671"/>
      <c r="U67" s="1674"/>
      <c r="V67" s="1674"/>
      <c r="W67" s="1674"/>
      <c r="X67" s="1674"/>
      <c r="Y67" s="1674"/>
      <c r="Z67" s="1674"/>
      <c r="AA67" s="1674"/>
      <c r="AB67" s="1674"/>
      <c r="AC67" s="1674"/>
      <c r="AD67" s="1674"/>
    </row>
    <row r="68" spans="1:30" ht="22.5" customHeight="1">
      <c r="A68" s="1669"/>
      <c r="B68" s="1674"/>
      <c r="C68" s="170"/>
      <c r="D68" s="170"/>
      <c r="E68" s="170"/>
      <c r="F68" s="170"/>
      <c r="G68" s="170"/>
      <c r="H68" s="170"/>
      <c r="I68" s="170"/>
      <c r="J68" s="170"/>
      <c r="K68" s="170"/>
      <c r="L68" s="170"/>
      <c r="M68" s="170"/>
      <c r="N68" s="170"/>
      <c r="O68" s="1671"/>
      <c r="P68" s="1671"/>
      <c r="Q68" s="1671"/>
      <c r="R68" s="1671"/>
      <c r="S68" s="1671"/>
      <c r="T68" s="1671"/>
      <c r="U68" s="1674"/>
      <c r="V68" s="1674"/>
      <c r="W68" s="1674"/>
      <c r="X68" s="1674"/>
      <c r="Y68" s="1674"/>
      <c r="Z68" s="1674"/>
      <c r="AA68" s="1674"/>
      <c r="AB68" s="1674"/>
      <c r="AC68" s="1674"/>
      <c r="AD68" s="1674"/>
    </row>
    <row r="69" spans="1:30" ht="22.5" customHeight="1">
      <c r="A69" s="1669"/>
      <c r="B69" s="1674"/>
      <c r="C69" s="170"/>
      <c r="D69" s="170"/>
      <c r="E69" s="170"/>
      <c r="F69" s="170"/>
      <c r="G69" s="170"/>
      <c r="H69" s="170"/>
      <c r="I69" s="170"/>
      <c r="J69" s="170"/>
      <c r="K69" s="170"/>
      <c r="L69" s="170"/>
      <c r="M69" s="170"/>
      <c r="N69" s="170"/>
      <c r="O69" s="1671"/>
      <c r="P69" s="1671"/>
      <c r="Q69" s="1671"/>
      <c r="R69" s="1671"/>
      <c r="S69" s="1671"/>
      <c r="T69" s="1671"/>
      <c r="U69" s="1674"/>
      <c r="V69" s="1674"/>
      <c r="W69" s="1674"/>
      <c r="X69" s="1674"/>
      <c r="Y69" s="1674"/>
      <c r="Z69" s="1674"/>
      <c r="AA69" s="1674"/>
      <c r="AB69" s="1674"/>
      <c r="AC69" s="1674"/>
      <c r="AD69" s="1674"/>
    </row>
    <row r="70" spans="1:30" ht="22.5" customHeight="1">
      <c r="A70" s="1669"/>
      <c r="B70" s="1674"/>
      <c r="C70" s="170"/>
      <c r="D70" s="170"/>
      <c r="E70" s="170"/>
      <c r="F70" s="170"/>
      <c r="G70" s="170"/>
      <c r="H70" s="170"/>
      <c r="I70" s="170"/>
      <c r="J70" s="170"/>
      <c r="K70" s="170"/>
      <c r="L70" s="170"/>
      <c r="M70" s="170"/>
      <c r="N70" s="170"/>
      <c r="O70" s="1671"/>
      <c r="P70" s="1671"/>
      <c r="Q70" s="1671"/>
      <c r="R70" s="1671"/>
      <c r="S70" s="1671"/>
      <c r="T70" s="1671"/>
      <c r="U70" s="1674"/>
      <c r="V70" s="1674"/>
      <c r="W70" s="1674"/>
      <c r="X70" s="1674"/>
      <c r="Y70" s="1674"/>
      <c r="Z70" s="1674"/>
      <c r="AA70" s="1674"/>
      <c r="AB70" s="1674"/>
      <c r="AC70" s="1674"/>
      <c r="AD70" s="1674"/>
    </row>
    <row r="71" spans="1:30" ht="22.5" customHeight="1">
      <c r="A71" s="1669"/>
      <c r="B71" s="1674"/>
      <c r="C71" s="170"/>
      <c r="D71" s="170"/>
      <c r="E71" s="170"/>
      <c r="F71" s="170"/>
      <c r="G71" s="170"/>
      <c r="H71" s="170"/>
      <c r="I71" s="170"/>
      <c r="J71" s="170"/>
      <c r="K71" s="170"/>
      <c r="L71" s="170"/>
      <c r="M71" s="170"/>
      <c r="N71" s="170"/>
      <c r="O71" s="1671"/>
      <c r="P71" s="1671"/>
      <c r="Q71" s="1671"/>
      <c r="R71" s="1671"/>
      <c r="S71" s="1671"/>
      <c r="T71" s="1671"/>
      <c r="U71" s="1674"/>
      <c r="V71" s="1674"/>
      <c r="W71" s="1674"/>
      <c r="X71" s="1674"/>
      <c r="Y71" s="1674"/>
      <c r="Z71" s="1674"/>
      <c r="AA71" s="1674"/>
      <c r="AB71" s="1674"/>
      <c r="AC71" s="1674"/>
      <c r="AD71" s="1674"/>
    </row>
    <row r="72" spans="1:30" ht="22.5" customHeight="1">
      <c r="A72" s="1669"/>
      <c r="B72" s="1674"/>
      <c r="C72" s="170"/>
      <c r="D72" s="170"/>
      <c r="E72" s="170"/>
      <c r="F72" s="170"/>
      <c r="G72" s="170"/>
      <c r="H72" s="170"/>
      <c r="I72" s="170"/>
      <c r="J72" s="170"/>
      <c r="K72" s="170"/>
      <c r="L72" s="170"/>
      <c r="M72" s="170"/>
      <c r="N72" s="170"/>
      <c r="O72" s="1671"/>
      <c r="P72" s="1671"/>
      <c r="Q72" s="1671"/>
      <c r="R72" s="1671"/>
      <c r="S72" s="1671"/>
      <c r="T72" s="1671"/>
      <c r="U72" s="1674"/>
      <c r="V72" s="1674"/>
      <c r="W72" s="1674"/>
      <c r="X72" s="1674"/>
      <c r="Y72" s="1674"/>
      <c r="Z72" s="1674"/>
      <c r="AA72" s="1674"/>
      <c r="AB72" s="1674"/>
      <c r="AC72" s="1674"/>
      <c r="AD72" s="1674"/>
    </row>
    <row r="73" spans="1:30" ht="22.5" customHeight="1">
      <c r="A73" s="1669"/>
      <c r="B73" s="1674"/>
      <c r="C73" s="170"/>
      <c r="D73" s="170"/>
      <c r="E73" s="170"/>
      <c r="F73" s="170"/>
      <c r="G73" s="170"/>
      <c r="H73" s="170"/>
      <c r="I73" s="170"/>
      <c r="J73" s="170"/>
      <c r="K73" s="170"/>
      <c r="L73" s="170"/>
      <c r="M73" s="170"/>
      <c r="N73" s="170"/>
      <c r="O73" s="1671"/>
      <c r="P73" s="1671"/>
      <c r="Q73" s="1671"/>
      <c r="R73" s="1671"/>
      <c r="S73" s="1671"/>
      <c r="T73" s="1671"/>
      <c r="U73" s="1674"/>
      <c r="V73" s="1674"/>
      <c r="W73" s="1674"/>
      <c r="X73" s="1674"/>
      <c r="Y73" s="1674"/>
      <c r="Z73" s="1674"/>
      <c r="AA73" s="1674"/>
      <c r="AB73" s="1674"/>
      <c r="AC73" s="1674"/>
      <c r="AD73" s="1674"/>
    </row>
    <row r="74" spans="1:30" ht="22.5" customHeight="1">
      <c r="A74" s="1669"/>
      <c r="B74" s="1674"/>
      <c r="C74" s="170"/>
      <c r="D74" s="170"/>
      <c r="E74" s="170"/>
      <c r="F74" s="170"/>
      <c r="G74" s="170"/>
      <c r="H74" s="170"/>
      <c r="I74" s="170"/>
      <c r="J74" s="170"/>
      <c r="K74" s="170"/>
      <c r="L74" s="170"/>
      <c r="M74" s="170"/>
      <c r="N74" s="170"/>
      <c r="O74" s="1671"/>
      <c r="P74" s="1671"/>
      <c r="Q74" s="1671"/>
      <c r="R74" s="1671"/>
      <c r="S74" s="1671"/>
      <c r="T74" s="1671"/>
      <c r="U74" s="1674"/>
      <c r="V74" s="1674"/>
      <c r="W74" s="1674"/>
      <c r="X74" s="1674"/>
      <c r="Y74" s="1674"/>
      <c r="Z74" s="1674"/>
      <c r="AA74" s="1674"/>
      <c r="AB74" s="1674"/>
      <c r="AC74" s="1674"/>
      <c r="AD74" s="1674"/>
    </row>
    <row r="75" spans="1:30" ht="22.5" customHeight="1">
      <c r="A75" s="1669"/>
      <c r="B75" s="1674"/>
      <c r="C75" s="170"/>
      <c r="D75" s="170"/>
      <c r="E75" s="170"/>
      <c r="F75" s="170"/>
      <c r="G75" s="170"/>
      <c r="H75" s="170"/>
      <c r="I75" s="170"/>
      <c r="J75" s="170"/>
      <c r="K75" s="170"/>
      <c r="L75" s="170"/>
      <c r="M75" s="170"/>
      <c r="N75" s="170"/>
      <c r="O75" s="1671"/>
      <c r="P75" s="1671"/>
      <c r="Q75" s="1671"/>
      <c r="R75" s="1671"/>
      <c r="S75" s="1671"/>
      <c r="T75" s="1671"/>
      <c r="U75" s="1674"/>
      <c r="V75" s="1674"/>
      <c r="W75" s="1674"/>
      <c r="X75" s="1674"/>
      <c r="Y75" s="1674"/>
      <c r="Z75" s="1674"/>
      <c r="AA75" s="1674"/>
      <c r="AB75" s="1674"/>
      <c r="AC75" s="1674"/>
      <c r="AD75" s="1674"/>
    </row>
    <row r="76" spans="1:30" ht="22.5" customHeight="1">
      <c r="A76" s="1669"/>
      <c r="B76" s="1674"/>
      <c r="C76" s="170"/>
      <c r="D76" s="170"/>
      <c r="E76" s="170"/>
      <c r="F76" s="170"/>
      <c r="G76" s="170"/>
      <c r="H76" s="170"/>
      <c r="I76" s="170"/>
      <c r="J76" s="170"/>
      <c r="K76" s="170"/>
      <c r="L76" s="170"/>
      <c r="M76" s="170"/>
      <c r="N76" s="170"/>
      <c r="O76" s="1671"/>
      <c r="P76" s="1671"/>
      <c r="Q76" s="1671"/>
      <c r="R76" s="1671"/>
      <c r="S76" s="1671"/>
      <c r="T76" s="1671"/>
      <c r="U76" s="1674"/>
      <c r="V76" s="1674"/>
      <c r="W76" s="1674"/>
      <c r="X76" s="1674"/>
      <c r="Y76" s="1674"/>
      <c r="Z76" s="1674"/>
      <c r="AA76" s="1674"/>
      <c r="AB76" s="1674"/>
      <c r="AC76" s="1674"/>
      <c r="AD76" s="1674"/>
    </row>
    <row r="77" spans="1:30" ht="22.5" customHeight="1">
      <c r="A77" s="1669"/>
      <c r="B77" s="1674"/>
      <c r="C77" s="170"/>
      <c r="D77" s="170"/>
      <c r="E77" s="170"/>
      <c r="F77" s="170"/>
      <c r="G77" s="170"/>
      <c r="H77" s="170"/>
      <c r="I77" s="170"/>
      <c r="J77" s="170"/>
      <c r="K77" s="170"/>
      <c r="L77" s="170"/>
      <c r="M77" s="170"/>
      <c r="N77" s="170"/>
      <c r="O77" s="1671"/>
      <c r="P77" s="1671"/>
      <c r="Q77" s="1671"/>
      <c r="R77" s="1671"/>
      <c r="S77" s="1671"/>
      <c r="T77" s="1671"/>
      <c r="U77" s="1674"/>
      <c r="V77" s="1674"/>
      <c r="W77" s="1674"/>
      <c r="X77" s="1674"/>
      <c r="Y77" s="1674"/>
      <c r="Z77" s="1674"/>
      <c r="AA77" s="1674"/>
      <c r="AB77" s="1674"/>
      <c r="AC77" s="1674"/>
      <c r="AD77" s="1674"/>
    </row>
    <row r="78" spans="1:30" ht="22.5" customHeight="1">
      <c r="A78" s="1669"/>
      <c r="B78" s="1674"/>
      <c r="C78" s="170"/>
      <c r="D78" s="170"/>
      <c r="E78" s="170"/>
      <c r="F78" s="170"/>
      <c r="G78" s="170"/>
      <c r="H78" s="170"/>
      <c r="I78" s="170"/>
      <c r="J78" s="170"/>
      <c r="K78" s="170"/>
      <c r="L78" s="170"/>
      <c r="M78" s="170"/>
      <c r="N78" s="170"/>
      <c r="O78" s="1671"/>
      <c r="P78" s="1671"/>
      <c r="Q78" s="1671"/>
      <c r="R78" s="1671"/>
      <c r="S78" s="1671"/>
      <c r="T78" s="1671"/>
      <c r="U78" s="1674"/>
      <c r="V78" s="1674"/>
      <c r="W78" s="1674"/>
      <c r="X78" s="1674"/>
      <c r="Y78" s="1674"/>
      <c r="Z78" s="1674"/>
      <c r="AA78" s="1674"/>
      <c r="AB78" s="1674"/>
      <c r="AC78" s="1674"/>
      <c r="AD78" s="1674"/>
    </row>
    <row r="79" spans="1:30" ht="22.5" customHeight="1">
      <c r="A79" s="1669"/>
      <c r="B79" s="1674"/>
      <c r="C79" s="170"/>
      <c r="D79" s="170"/>
      <c r="E79" s="170"/>
      <c r="F79" s="170"/>
      <c r="G79" s="170"/>
      <c r="H79" s="170"/>
      <c r="I79" s="170"/>
      <c r="J79" s="170"/>
      <c r="K79" s="170"/>
      <c r="L79" s="170"/>
      <c r="M79" s="170"/>
      <c r="N79" s="170"/>
      <c r="O79" s="1671"/>
      <c r="P79" s="1671"/>
      <c r="Q79" s="1671"/>
      <c r="R79" s="1671"/>
      <c r="S79" s="1671"/>
      <c r="T79" s="1671"/>
      <c r="U79" s="1674"/>
      <c r="V79" s="1674"/>
      <c r="W79" s="1674"/>
      <c r="X79" s="1674"/>
      <c r="Y79" s="1674"/>
      <c r="Z79" s="1674"/>
      <c r="AA79" s="1674"/>
      <c r="AB79" s="1674"/>
      <c r="AC79" s="1674"/>
      <c r="AD79" s="1674"/>
    </row>
    <row r="80" spans="1:30" ht="22.5" customHeight="1">
      <c r="A80" s="1669"/>
      <c r="B80" s="1674"/>
      <c r="C80" s="170"/>
      <c r="D80" s="170"/>
      <c r="E80" s="170"/>
      <c r="F80" s="170"/>
      <c r="G80" s="170"/>
      <c r="H80" s="170"/>
      <c r="I80" s="170"/>
      <c r="J80" s="170"/>
      <c r="K80" s="170"/>
      <c r="L80" s="170"/>
      <c r="M80" s="170"/>
      <c r="N80" s="170"/>
      <c r="O80" s="1671"/>
      <c r="P80" s="1671"/>
      <c r="Q80" s="1671"/>
      <c r="R80" s="1671"/>
      <c r="S80" s="1671"/>
      <c r="T80" s="1671"/>
      <c r="U80" s="1674"/>
      <c r="V80" s="1674"/>
      <c r="W80" s="1674"/>
      <c r="X80" s="1674"/>
      <c r="Y80" s="1674"/>
      <c r="Z80" s="1674"/>
      <c r="AA80" s="1674"/>
      <c r="AB80" s="1674"/>
      <c r="AC80" s="1674"/>
      <c r="AD80" s="1674"/>
    </row>
    <row r="81" spans="1:30" ht="22.5" customHeight="1">
      <c r="A81" s="1669"/>
      <c r="B81" s="1674"/>
      <c r="C81" s="170"/>
      <c r="D81" s="170"/>
      <c r="E81" s="170"/>
      <c r="F81" s="170"/>
      <c r="G81" s="170"/>
      <c r="H81" s="170"/>
      <c r="I81" s="170"/>
      <c r="J81" s="170"/>
      <c r="K81" s="170"/>
      <c r="L81" s="170"/>
      <c r="M81" s="170"/>
      <c r="N81" s="170"/>
      <c r="O81" s="1671"/>
      <c r="P81" s="1671"/>
      <c r="Q81" s="1671"/>
      <c r="R81" s="1671"/>
      <c r="S81" s="1671"/>
      <c r="T81" s="1671"/>
      <c r="U81" s="1674"/>
      <c r="V81" s="1674"/>
      <c r="W81" s="1674"/>
      <c r="X81" s="1674"/>
      <c r="Y81" s="1674"/>
      <c r="Z81" s="1674"/>
      <c r="AA81" s="1674"/>
      <c r="AB81" s="1674"/>
      <c r="AC81" s="1674"/>
      <c r="AD81" s="1674"/>
    </row>
    <row r="82" spans="1:30" ht="22.5" customHeight="1">
      <c r="A82" s="1669"/>
      <c r="B82" s="1674"/>
      <c r="C82" s="170"/>
      <c r="D82" s="170"/>
      <c r="E82" s="170"/>
      <c r="F82" s="170"/>
      <c r="G82" s="170"/>
      <c r="H82" s="170"/>
      <c r="I82" s="170"/>
      <c r="J82" s="170"/>
      <c r="K82" s="170"/>
      <c r="L82" s="170"/>
      <c r="M82" s="170"/>
      <c r="N82" s="170"/>
      <c r="O82" s="1671"/>
      <c r="P82" s="1671"/>
      <c r="Q82" s="1671"/>
      <c r="R82" s="1671"/>
      <c r="S82" s="1671"/>
      <c r="T82" s="1671"/>
      <c r="U82" s="1674"/>
      <c r="V82" s="1674"/>
      <c r="W82" s="1674"/>
      <c r="X82" s="1674"/>
      <c r="Y82" s="1674"/>
      <c r="Z82" s="1674"/>
      <c r="AA82" s="1674"/>
      <c r="AB82" s="1674"/>
      <c r="AC82" s="1674"/>
      <c r="AD82" s="1674"/>
    </row>
    <row r="83" spans="1:30" ht="22.5" customHeight="1">
      <c r="A83" s="1669"/>
      <c r="B83" s="1674"/>
      <c r="C83" s="170"/>
      <c r="D83" s="170"/>
      <c r="E83" s="170"/>
      <c r="F83" s="170"/>
      <c r="G83" s="170"/>
      <c r="H83" s="170"/>
      <c r="I83" s="170"/>
      <c r="J83" s="170"/>
      <c r="K83" s="170"/>
      <c r="L83" s="170"/>
      <c r="M83" s="170"/>
      <c r="N83" s="170"/>
      <c r="O83" s="1671"/>
      <c r="P83" s="1671"/>
      <c r="Q83" s="1671"/>
      <c r="R83" s="1671"/>
      <c r="S83" s="1671"/>
      <c r="T83" s="1671"/>
      <c r="U83" s="1674"/>
      <c r="V83" s="1674"/>
      <c r="W83" s="1674"/>
      <c r="X83" s="1674"/>
      <c r="Y83" s="1674"/>
      <c r="Z83" s="1674"/>
      <c r="AA83" s="1674"/>
      <c r="AB83" s="1674"/>
      <c r="AC83" s="1674"/>
      <c r="AD83" s="1674"/>
    </row>
    <row r="84" spans="1:30" ht="22.5" customHeight="1">
      <c r="A84" s="1669"/>
      <c r="B84" s="1674"/>
      <c r="C84" s="170"/>
      <c r="D84" s="170"/>
      <c r="E84" s="170"/>
      <c r="F84" s="170"/>
      <c r="G84" s="170"/>
      <c r="H84" s="170"/>
      <c r="I84" s="170"/>
      <c r="J84" s="170"/>
      <c r="K84" s="170"/>
      <c r="L84" s="170"/>
      <c r="M84" s="170"/>
      <c r="N84" s="170"/>
      <c r="O84" s="1671"/>
      <c r="P84" s="1671"/>
      <c r="Q84" s="1671"/>
      <c r="R84" s="1671"/>
      <c r="S84" s="1671"/>
      <c r="T84" s="1671"/>
      <c r="U84" s="1674"/>
      <c r="V84" s="1674"/>
      <c r="W84" s="1674"/>
      <c r="X84" s="1674"/>
      <c r="Y84" s="1674"/>
      <c r="Z84" s="1674"/>
      <c r="AA84" s="1674"/>
      <c r="AB84" s="1674"/>
      <c r="AC84" s="1674"/>
      <c r="AD84" s="1674"/>
    </row>
    <row r="85" spans="1:30" ht="22.5" customHeight="1">
      <c r="A85" s="1669"/>
      <c r="B85" s="1674"/>
      <c r="C85" s="170"/>
      <c r="D85" s="170"/>
      <c r="E85" s="170"/>
      <c r="F85" s="170"/>
      <c r="G85" s="170"/>
      <c r="H85" s="170"/>
      <c r="I85" s="170"/>
      <c r="J85" s="170"/>
      <c r="K85" s="170"/>
      <c r="L85" s="170"/>
      <c r="M85" s="170"/>
      <c r="N85" s="170"/>
      <c r="O85" s="1671"/>
      <c r="P85" s="1671"/>
      <c r="Q85" s="1671"/>
      <c r="R85" s="1671"/>
      <c r="S85" s="1671"/>
      <c r="T85" s="1671"/>
      <c r="U85" s="1674"/>
      <c r="V85" s="1674"/>
      <c r="W85" s="1674"/>
      <c r="X85" s="1674"/>
      <c r="Y85" s="1674"/>
      <c r="Z85" s="1674"/>
      <c r="AA85" s="1674"/>
      <c r="AB85" s="1674"/>
      <c r="AC85" s="1674"/>
      <c r="AD85" s="1674"/>
    </row>
    <row r="86" spans="1:30" ht="22.5" customHeight="1">
      <c r="A86" s="1669"/>
      <c r="B86" s="1674"/>
      <c r="C86" s="170"/>
      <c r="D86" s="170"/>
      <c r="E86" s="170"/>
      <c r="F86" s="170"/>
      <c r="G86" s="170"/>
      <c r="H86" s="170"/>
      <c r="I86" s="170"/>
      <c r="J86" s="170"/>
      <c r="K86" s="170"/>
      <c r="L86" s="170"/>
      <c r="M86" s="170"/>
      <c r="N86" s="170"/>
      <c r="O86" s="1671"/>
      <c r="P86" s="1671"/>
      <c r="Q86" s="1671"/>
      <c r="R86" s="1671"/>
      <c r="S86" s="1671"/>
      <c r="T86" s="1671"/>
      <c r="U86" s="1674"/>
      <c r="V86" s="1674"/>
      <c r="W86" s="1674"/>
      <c r="X86" s="1674"/>
      <c r="Y86" s="1674"/>
      <c r="Z86" s="1674"/>
      <c r="AA86" s="1674"/>
      <c r="AB86" s="1674"/>
      <c r="AC86" s="1674"/>
      <c r="AD86" s="1674"/>
    </row>
    <row r="87" spans="1:30" ht="22.5" customHeight="1">
      <c r="A87" s="1669"/>
      <c r="B87" s="1674"/>
      <c r="C87" s="170"/>
      <c r="D87" s="170"/>
      <c r="E87" s="170"/>
      <c r="F87" s="170"/>
      <c r="G87" s="170"/>
      <c r="H87" s="170"/>
      <c r="I87" s="170"/>
      <c r="J87" s="170"/>
      <c r="K87" s="170"/>
      <c r="L87" s="170"/>
      <c r="M87" s="170"/>
      <c r="N87" s="170"/>
      <c r="O87" s="1671"/>
      <c r="P87" s="1671"/>
      <c r="Q87" s="1671"/>
      <c r="R87" s="1671"/>
      <c r="S87" s="1671"/>
      <c r="T87" s="1671"/>
      <c r="U87" s="1674"/>
      <c r="V87" s="1674"/>
      <c r="W87" s="1674"/>
      <c r="X87" s="1674"/>
      <c r="Y87" s="1674"/>
      <c r="Z87" s="1674"/>
      <c r="AA87" s="1674"/>
      <c r="AB87" s="1674"/>
      <c r="AC87" s="1674"/>
      <c r="AD87" s="1674"/>
    </row>
    <row r="88" spans="1:30" ht="22.5" customHeight="1">
      <c r="A88" s="1669"/>
      <c r="B88" s="1674"/>
      <c r="C88" s="170"/>
      <c r="D88" s="170"/>
      <c r="E88" s="170"/>
      <c r="F88" s="170"/>
      <c r="G88" s="170"/>
      <c r="H88" s="170"/>
      <c r="I88" s="170"/>
      <c r="J88" s="170"/>
      <c r="K88" s="170"/>
      <c r="L88" s="170"/>
      <c r="M88" s="170"/>
      <c r="N88" s="170"/>
      <c r="O88" s="1671"/>
      <c r="P88" s="1671"/>
      <c r="Q88" s="1671"/>
      <c r="R88" s="1671"/>
      <c r="S88" s="1671"/>
      <c r="T88" s="1671"/>
      <c r="U88" s="1674"/>
      <c r="V88" s="1674"/>
      <c r="W88" s="1674"/>
      <c r="X88" s="1674"/>
      <c r="Y88" s="1674"/>
      <c r="Z88" s="1674"/>
      <c r="AA88" s="1674"/>
      <c r="AB88" s="1674"/>
      <c r="AC88" s="1674"/>
      <c r="AD88" s="1674"/>
    </row>
    <row r="89" spans="1:30" ht="22.5" customHeight="1">
      <c r="A89" s="1669"/>
      <c r="B89" s="1674"/>
      <c r="C89" s="170"/>
      <c r="D89" s="170"/>
      <c r="E89" s="170"/>
      <c r="F89" s="170"/>
      <c r="G89" s="170"/>
      <c r="H89" s="170"/>
      <c r="I89" s="170"/>
      <c r="J89" s="170"/>
      <c r="K89" s="170"/>
      <c r="L89" s="170"/>
      <c r="M89" s="170"/>
      <c r="N89" s="170"/>
      <c r="O89" s="1671"/>
      <c r="P89" s="1671"/>
      <c r="Q89" s="1671"/>
      <c r="R89" s="1671"/>
      <c r="S89" s="1671"/>
      <c r="T89" s="1671"/>
      <c r="U89" s="1674"/>
      <c r="V89" s="1674"/>
      <c r="W89" s="1674"/>
      <c r="X89" s="1674"/>
      <c r="Y89" s="1674"/>
      <c r="Z89" s="1674"/>
      <c r="AA89" s="1674"/>
      <c r="AB89" s="1674"/>
      <c r="AC89" s="1674"/>
      <c r="AD89" s="1674"/>
    </row>
    <row r="90" spans="1:30" ht="22.5" customHeight="1">
      <c r="A90" s="1669"/>
      <c r="B90" s="1674"/>
      <c r="C90" s="170"/>
      <c r="D90" s="170"/>
      <c r="E90" s="170"/>
      <c r="F90" s="170"/>
      <c r="G90" s="170"/>
      <c r="H90" s="170"/>
      <c r="I90" s="170"/>
      <c r="J90" s="170"/>
      <c r="K90" s="170"/>
      <c r="L90" s="170"/>
      <c r="M90" s="170"/>
      <c r="N90" s="170"/>
      <c r="O90" s="1671"/>
      <c r="P90" s="1671"/>
      <c r="Q90" s="1671"/>
      <c r="R90" s="1671"/>
      <c r="S90" s="1671"/>
      <c r="T90" s="1671"/>
      <c r="U90" s="1674"/>
      <c r="V90" s="1674"/>
      <c r="W90" s="1674"/>
      <c r="X90" s="1674"/>
      <c r="Y90" s="1674"/>
      <c r="Z90" s="1674"/>
      <c r="AA90" s="1674"/>
      <c r="AB90" s="1674"/>
      <c r="AC90" s="1674"/>
      <c r="AD90" s="1674"/>
    </row>
    <row r="91" spans="1:30" ht="22.5" customHeight="1">
      <c r="A91" s="1669"/>
      <c r="B91" s="1674"/>
      <c r="C91" s="170"/>
      <c r="D91" s="170"/>
      <c r="E91" s="170"/>
      <c r="F91" s="170"/>
      <c r="G91" s="170"/>
      <c r="H91" s="170"/>
      <c r="I91" s="170"/>
      <c r="J91" s="170"/>
      <c r="K91" s="170"/>
      <c r="L91" s="170"/>
      <c r="M91" s="170"/>
      <c r="N91" s="170"/>
      <c r="O91" s="1671"/>
      <c r="P91" s="1671"/>
      <c r="Q91" s="1671"/>
      <c r="R91" s="1671"/>
      <c r="S91" s="1671"/>
      <c r="T91" s="1671"/>
      <c r="U91" s="1674"/>
      <c r="V91" s="1674"/>
      <c r="W91" s="1674"/>
      <c r="X91" s="1674"/>
      <c r="Y91" s="1674"/>
      <c r="Z91" s="1674"/>
      <c r="AA91" s="1674"/>
      <c r="AB91" s="1674"/>
      <c r="AC91" s="1674"/>
      <c r="AD91" s="1674"/>
    </row>
    <row r="92" spans="1:30" ht="22.5" customHeight="1">
      <c r="A92" s="1669"/>
      <c r="B92" s="1674"/>
      <c r="C92" s="170"/>
      <c r="D92" s="170"/>
      <c r="E92" s="170"/>
      <c r="F92" s="170"/>
      <c r="G92" s="170"/>
      <c r="H92" s="170"/>
      <c r="I92" s="170"/>
      <c r="J92" s="170"/>
      <c r="K92" s="170"/>
      <c r="L92" s="170"/>
      <c r="M92" s="170"/>
      <c r="N92" s="170"/>
      <c r="O92" s="1671"/>
      <c r="P92" s="1671"/>
      <c r="Q92" s="1671"/>
      <c r="R92" s="1671"/>
      <c r="S92" s="1671"/>
      <c r="T92" s="1671"/>
      <c r="U92" s="1674"/>
      <c r="V92" s="1674"/>
      <c r="W92" s="1674"/>
      <c r="X92" s="1674"/>
      <c r="Y92" s="1674"/>
      <c r="Z92" s="1674"/>
      <c r="AA92" s="1674"/>
      <c r="AB92" s="1674"/>
      <c r="AC92" s="1674"/>
      <c r="AD92" s="1674"/>
    </row>
    <row r="93" spans="1:30" ht="22.5" customHeight="1">
      <c r="A93" s="1669"/>
      <c r="B93" s="1674"/>
      <c r="C93" s="170"/>
      <c r="D93" s="170"/>
      <c r="E93" s="170"/>
      <c r="F93" s="170"/>
      <c r="G93" s="170"/>
      <c r="H93" s="170"/>
      <c r="I93" s="170"/>
      <c r="J93" s="170"/>
      <c r="K93" s="170"/>
      <c r="L93" s="170"/>
      <c r="M93" s="170"/>
      <c r="N93" s="170"/>
      <c r="O93" s="1671"/>
      <c r="P93" s="1671"/>
      <c r="Q93" s="1671"/>
      <c r="R93" s="1671"/>
      <c r="S93" s="1671"/>
      <c r="T93" s="1671"/>
      <c r="U93" s="1674"/>
      <c r="V93" s="1674"/>
      <c r="W93" s="1674"/>
      <c r="X93" s="1674"/>
      <c r="Y93" s="1674"/>
      <c r="Z93" s="1674"/>
      <c r="AA93" s="1674"/>
      <c r="AB93" s="1674"/>
      <c r="AC93" s="1674"/>
      <c r="AD93" s="1674"/>
    </row>
    <row r="94" spans="1:30" ht="22.5" customHeight="1">
      <c r="A94" s="1669"/>
      <c r="B94" s="1674"/>
      <c r="C94" s="170"/>
      <c r="D94" s="170"/>
      <c r="E94" s="170"/>
      <c r="F94" s="170"/>
      <c r="G94" s="170"/>
      <c r="H94" s="170"/>
      <c r="I94" s="170"/>
      <c r="J94" s="170"/>
      <c r="K94" s="170"/>
      <c r="L94" s="170"/>
      <c r="M94" s="170"/>
      <c r="N94" s="170"/>
      <c r="O94" s="1671"/>
      <c r="P94" s="1671"/>
      <c r="Q94" s="1671"/>
      <c r="R94" s="1671"/>
      <c r="S94" s="1671"/>
      <c r="T94" s="1671"/>
      <c r="U94" s="1674"/>
      <c r="V94" s="1674"/>
      <c r="W94" s="1674"/>
      <c r="X94" s="1674"/>
      <c r="Y94" s="1674"/>
      <c r="Z94" s="1674"/>
      <c r="AA94" s="1674"/>
      <c r="AB94" s="1674"/>
      <c r="AC94" s="1674"/>
      <c r="AD94" s="1674"/>
    </row>
    <row r="95" spans="1:30" ht="22.5" customHeight="1">
      <c r="A95" s="1669"/>
      <c r="B95" s="1674"/>
      <c r="C95" s="170"/>
      <c r="D95" s="170"/>
      <c r="E95" s="170"/>
      <c r="F95" s="170"/>
      <c r="G95" s="170"/>
      <c r="H95" s="170"/>
      <c r="I95" s="170"/>
      <c r="J95" s="170"/>
      <c r="K95" s="170"/>
      <c r="L95" s="170"/>
      <c r="M95" s="170"/>
      <c r="N95" s="170"/>
      <c r="O95" s="1671"/>
      <c r="P95" s="1671"/>
      <c r="Q95" s="1671"/>
      <c r="R95" s="1671"/>
      <c r="S95" s="1671"/>
      <c r="T95" s="1671"/>
      <c r="U95" s="1674"/>
      <c r="V95" s="1674"/>
      <c r="W95" s="1674"/>
      <c r="X95" s="1674"/>
      <c r="Y95" s="1674"/>
      <c r="Z95" s="1674"/>
      <c r="AA95" s="1674"/>
      <c r="AB95" s="1674"/>
      <c r="AC95" s="1674"/>
      <c r="AD95" s="1674"/>
    </row>
    <row r="96" spans="1:30" ht="22.5" customHeight="1">
      <c r="A96" s="1669"/>
      <c r="B96" s="1674"/>
      <c r="C96" s="170"/>
      <c r="D96" s="170"/>
      <c r="E96" s="170"/>
      <c r="F96" s="170"/>
      <c r="G96" s="170"/>
      <c r="H96" s="170"/>
      <c r="I96" s="170"/>
      <c r="J96" s="170"/>
      <c r="K96" s="170"/>
      <c r="L96" s="170"/>
      <c r="M96" s="170"/>
      <c r="N96" s="170"/>
      <c r="O96" s="1671"/>
      <c r="P96" s="1671"/>
      <c r="Q96" s="1671"/>
      <c r="R96" s="1671"/>
      <c r="S96" s="1671"/>
      <c r="T96" s="1671"/>
      <c r="U96" s="1674"/>
      <c r="V96" s="1674"/>
      <c r="W96" s="1674"/>
      <c r="X96" s="1674"/>
      <c r="Y96" s="1674"/>
      <c r="Z96" s="1674"/>
      <c r="AA96" s="1674"/>
      <c r="AB96" s="1674"/>
      <c r="AC96" s="1674"/>
      <c r="AD96" s="1674"/>
    </row>
    <row r="97" spans="1:30" ht="22.5" customHeight="1">
      <c r="A97" s="1669"/>
      <c r="B97" s="1674"/>
      <c r="C97" s="170"/>
      <c r="D97" s="170"/>
      <c r="E97" s="170"/>
      <c r="F97" s="170"/>
      <c r="G97" s="170"/>
      <c r="H97" s="170"/>
      <c r="I97" s="170"/>
      <c r="J97" s="170"/>
      <c r="K97" s="170"/>
      <c r="L97" s="170"/>
      <c r="M97" s="170"/>
      <c r="N97" s="170"/>
      <c r="O97" s="1671"/>
      <c r="P97" s="1671"/>
      <c r="Q97" s="1671"/>
      <c r="R97" s="1671"/>
      <c r="S97" s="1671"/>
      <c r="T97" s="1671"/>
      <c r="U97" s="1674"/>
      <c r="V97" s="1674"/>
      <c r="W97" s="1674"/>
      <c r="X97" s="1674"/>
      <c r="Y97" s="1674"/>
      <c r="Z97" s="1674"/>
      <c r="AA97" s="1674"/>
      <c r="AB97" s="1674"/>
      <c r="AC97" s="1674"/>
      <c r="AD97" s="1674"/>
    </row>
    <row r="98" spans="1:30" ht="22.5" customHeight="1">
      <c r="A98" s="1669"/>
      <c r="B98" s="1674"/>
      <c r="C98" s="170"/>
      <c r="D98" s="170"/>
      <c r="E98" s="170"/>
      <c r="F98" s="170"/>
      <c r="G98" s="170"/>
      <c r="H98" s="170"/>
      <c r="I98" s="170"/>
      <c r="J98" s="170"/>
      <c r="K98" s="170"/>
      <c r="L98" s="170"/>
      <c r="M98" s="170"/>
      <c r="N98" s="170"/>
      <c r="O98" s="1671"/>
      <c r="P98" s="1671"/>
      <c r="Q98" s="1671"/>
      <c r="R98" s="1671"/>
      <c r="S98" s="1671"/>
      <c r="T98" s="1671"/>
      <c r="U98" s="1674"/>
      <c r="V98" s="1674"/>
      <c r="W98" s="1674"/>
      <c r="X98" s="1674"/>
      <c r="Y98" s="1674"/>
      <c r="Z98" s="1674"/>
      <c r="AA98" s="1674"/>
      <c r="AB98" s="1674"/>
      <c r="AC98" s="1674"/>
      <c r="AD98" s="1674"/>
    </row>
    <row r="99" spans="1:30" ht="22.5" customHeight="1">
      <c r="A99" s="1669"/>
      <c r="B99" s="1674"/>
      <c r="C99" s="170"/>
      <c r="D99" s="170"/>
      <c r="E99" s="170"/>
      <c r="F99" s="170"/>
      <c r="G99" s="170"/>
      <c r="H99" s="170"/>
      <c r="I99" s="170"/>
      <c r="J99" s="170"/>
      <c r="K99" s="170"/>
      <c r="L99" s="170"/>
      <c r="M99" s="170"/>
      <c r="N99" s="170"/>
      <c r="O99" s="1671"/>
      <c r="P99" s="1671"/>
      <c r="Q99" s="1671"/>
      <c r="R99" s="1671"/>
      <c r="S99" s="1671"/>
      <c r="T99" s="1671"/>
      <c r="U99" s="1674"/>
      <c r="V99" s="1674"/>
      <c r="W99" s="1674"/>
      <c r="X99" s="1674"/>
      <c r="Y99" s="1674"/>
      <c r="Z99" s="1674"/>
      <c r="AA99" s="1674"/>
      <c r="AB99" s="1674"/>
      <c r="AC99" s="1674"/>
      <c r="AD99" s="1674"/>
    </row>
    <row r="100" spans="1:30" ht="22.5" customHeight="1">
      <c r="A100" s="1669"/>
      <c r="B100" s="1674"/>
      <c r="C100" s="170"/>
      <c r="D100" s="170"/>
      <c r="E100" s="170"/>
      <c r="F100" s="170"/>
      <c r="G100" s="170"/>
      <c r="H100" s="170"/>
      <c r="I100" s="170"/>
      <c r="J100" s="170"/>
      <c r="K100" s="170"/>
      <c r="L100" s="170"/>
      <c r="M100" s="170"/>
      <c r="N100" s="170"/>
      <c r="O100" s="1671"/>
      <c r="P100" s="1671"/>
      <c r="Q100" s="1671"/>
      <c r="R100" s="1671"/>
      <c r="S100" s="1671"/>
      <c r="T100" s="1671"/>
      <c r="U100" s="1674"/>
      <c r="V100" s="1674"/>
      <c r="W100" s="1674"/>
      <c r="X100" s="1674"/>
      <c r="Y100" s="1674"/>
      <c r="Z100" s="1674"/>
      <c r="AA100" s="1674"/>
      <c r="AB100" s="1674"/>
      <c r="AC100" s="1674"/>
      <c r="AD100" s="1674"/>
    </row>
    <row r="101" spans="1:30" ht="22.5" customHeight="1">
      <c r="A101" s="1669"/>
      <c r="B101" s="1674"/>
      <c r="C101" s="170"/>
      <c r="D101" s="170"/>
      <c r="E101" s="170"/>
      <c r="F101" s="170"/>
      <c r="G101" s="170"/>
      <c r="H101" s="170"/>
      <c r="I101" s="170"/>
      <c r="J101" s="170"/>
      <c r="K101" s="170"/>
      <c r="L101" s="170"/>
      <c r="M101" s="170"/>
      <c r="N101" s="170"/>
      <c r="O101" s="1671"/>
      <c r="P101" s="1671"/>
      <c r="Q101" s="1671"/>
      <c r="R101" s="1671"/>
      <c r="S101" s="1671"/>
      <c r="T101" s="1671"/>
      <c r="U101" s="1674"/>
      <c r="V101" s="1674"/>
      <c r="W101" s="1674"/>
      <c r="X101" s="1674"/>
      <c r="Y101" s="1674"/>
      <c r="Z101" s="1674"/>
      <c r="AA101" s="1674"/>
      <c r="AB101" s="1674"/>
      <c r="AC101" s="1674"/>
      <c r="AD101" s="1674"/>
    </row>
    <row r="102" spans="1:30" ht="22.5" customHeight="1">
      <c r="A102" s="1669"/>
      <c r="B102" s="1674"/>
      <c r="C102" s="170"/>
      <c r="D102" s="170"/>
      <c r="E102" s="170"/>
      <c r="F102" s="170"/>
      <c r="G102" s="170"/>
      <c r="H102" s="170"/>
      <c r="I102" s="170"/>
      <c r="J102" s="170"/>
      <c r="K102" s="170"/>
      <c r="L102" s="170"/>
      <c r="M102" s="170"/>
      <c r="N102" s="170"/>
      <c r="O102" s="1671"/>
      <c r="P102" s="1671"/>
      <c r="Q102" s="1671"/>
      <c r="R102" s="1671"/>
      <c r="S102" s="1671"/>
      <c r="T102" s="1671"/>
      <c r="U102" s="1674"/>
      <c r="V102" s="1674"/>
      <c r="W102" s="1674"/>
      <c r="X102" s="1674"/>
      <c r="Y102" s="1674"/>
      <c r="Z102" s="1674"/>
      <c r="AA102" s="1674"/>
      <c r="AB102" s="1674"/>
      <c r="AC102" s="1674"/>
      <c r="AD102" s="1674"/>
    </row>
    <row r="103" spans="1:30" ht="22.5" customHeight="1">
      <c r="A103" s="1669"/>
      <c r="B103" s="1674"/>
      <c r="C103" s="170"/>
      <c r="D103" s="170"/>
      <c r="E103" s="170"/>
      <c r="F103" s="170"/>
      <c r="G103" s="170"/>
      <c r="H103" s="170"/>
      <c r="I103" s="170"/>
      <c r="J103" s="170"/>
      <c r="K103" s="170"/>
      <c r="L103" s="170"/>
      <c r="M103" s="170"/>
      <c r="N103" s="170"/>
      <c r="O103" s="1671"/>
      <c r="P103" s="1671"/>
      <c r="Q103" s="1671"/>
      <c r="R103" s="1671"/>
      <c r="S103" s="1671"/>
      <c r="T103" s="1671"/>
      <c r="U103" s="1674"/>
      <c r="V103" s="1674"/>
      <c r="W103" s="1674"/>
      <c r="X103" s="1674"/>
      <c r="Y103" s="1674"/>
      <c r="Z103" s="1674"/>
      <c r="AA103" s="1674"/>
      <c r="AB103" s="1674"/>
      <c r="AC103" s="1674"/>
      <c r="AD103" s="1674"/>
    </row>
    <row r="104" spans="1:30" ht="22.5" customHeight="1">
      <c r="A104" s="1669"/>
      <c r="B104" s="1674"/>
      <c r="C104" s="170"/>
      <c r="D104" s="170"/>
      <c r="E104" s="170"/>
      <c r="F104" s="170"/>
      <c r="G104" s="170"/>
      <c r="H104" s="170"/>
      <c r="I104" s="170"/>
      <c r="J104" s="170"/>
      <c r="K104" s="170"/>
      <c r="L104" s="170"/>
      <c r="M104" s="170"/>
      <c r="N104" s="170"/>
      <c r="O104" s="1671"/>
      <c r="P104" s="1671"/>
      <c r="Q104" s="1671"/>
      <c r="R104" s="1671"/>
      <c r="S104" s="1671"/>
      <c r="T104" s="1671"/>
      <c r="U104" s="1674"/>
      <c r="V104" s="1674"/>
      <c r="W104" s="1674"/>
      <c r="X104" s="1674"/>
      <c r="Y104" s="1674"/>
      <c r="Z104" s="1674"/>
      <c r="AA104" s="1674"/>
      <c r="AB104" s="1674"/>
      <c r="AC104" s="1674"/>
      <c r="AD104" s="1674"/>
    </row>
    <row r="105" spans="1:30" ht="22.5" customHeight="1">
      <c r="A105" s="1669"/>
      <c r="B105" s="1674"/>
      <c r="C105" s="170"/>
      <c r="D105" s="170"/>
      <c r="E105" s="170"/>
      <c r="F105" s="170"/>
      <c r="G105" s="170"/>
      <c r="H105" s="170"/>
      <c r="I105" s="170"/>
      <c r="J105" s="170"/>
      <c r="K105" s="170"/>
      <c r="L105" s="170"/>
      <c r="M105" s="170"/>
      <c r="N105" s="170"/>
      <c r="O105" s="1671"/>
      <c r="P105" s="1671"/>
      <c r="Q105" s="1671"/>
      <c r="R105" s="1671"/>
      <c r="S105" s="1671"/>
      <c r="T105" s="1671"/>
      <c r="U105" s="1674"/>
      <c r="V105" s="1674"/>
      <c r="W105" s="1674"/>
      <c r="X105" s="1674"/>
      <c r="Y105" s="1674"/>
      <c r="Z105" s="1674"/>
      <c r="AA105" s="1674"/>
      <c r="AB105" s="1674"/>
      <c r="AC105" s="1674"/>
      <c r="AD105" s="1674"/>
    </row>
    <row r="106" spans="1:30" ht="22.5" customHeight="1">
      <c r="A106" s="1669"/>
      <c r="B106" s="1674"/>
      <c r="C106" s="170"/>
      <c r="D106" s="170"/>
      <c r="E106" s="170"/>
      <c r="F106" s="170"/>
      <c r="G106" s="170"/>
      <c r="H106" s="170"/>
      <c r="I106" s="170"/>
      <c r="J106" s="170"/>
      <c r="K106" s="170"/>
      <c r="L106" s="170"/>
      <c r="M106" s="170"/>
      <c r="N106" s="170"/>
      <c r="O106" s="1671"/>
      <c r="P106" s="1671"/>
      <c r="Q106" s="1671"/>
      <c r="R106" s="1671"/>
      <c r="S106" s="1671"/>
      <c r="T106" s="1671"/>
      <c r="U106" s="1674"/>
      <c r="V106" s="1674"/>
      <c r="W106" s="1674"/>
      <c r="X106" s="1674"/>
      <c r="Y106" s="1674"/>
      <c r="Z106" s="1674"/>
      <c r="AA106" s="1674"/>
      <c r="AB106" s="1674"/>
      <c r="AC106" s="1674"/>
      <c r="AD106" s="1674"/>
    </row>
    <row r="107" spans="1:30" ht="22.5" customHeight="1">
      <c r="A107" s="1669"/>
      <c r="B107" s="1674"/>
      <c r="C107" s="170"/>
      <c r="D107" s="170"/>
      <c r="E107" s="170"/>
      <c r="F107" s="170"/>
      <c r="G107" s="170"/>
      <c r="H107" s="170"/>
      <c r="I107" s="170"/>
      <c r="J107" s="170"/>
      <c r="K107" s="170"/>
      <c r="L107" s="170"/>
      <c r="M107" s="170"/>
      <c r="N107" s="170"/>
      <c r="O107" s="1671"/>
      <c r="P107" s="1671"/>
      <c r="Q107" s="1671"/>
      <c r="R107" s="1671"/>
      <c r="S107" s="1671"/>
      <c r="T107" s="1671"/>
      <c r="U107" s="1674"/>
      <c r="V107" s="1674"/>
      <c r="W107" s="1674"/>
      <c r="X107" s="1674"/>
      <c r="Y107" s="1674"/>
      <c r="Z107" s="1674"/>
      <c r="AA107" s="1674"/>
      <c r="AB107" s="1674"/>
      <c r="AC107" s="1674"/>
      <c r="AD107" s="1674"/>
    </row>
    <row r="108" spans="1:30" ht="22.5" customHeight="1">
      <c r="A108" s="1669"/>
      <c r="B108" s="1674"/>
      <c r="C108" s="170"/>
      <c r="D108" s="170"/>
      <c r="E108" s="170"/>
      <c r="F108" s="170"/>
      <c r="G108" s="170"/>
      <c r="H108" s="170"/>
      <c r="I108" s="170"/>
      <c r="J108" s="170"/>
      <c r="K108" s="170"/>
      <c r="L108" s="170"/>
      <c r="M108" s="170"/>
      <c r="N108" s="170"/>
      <c r="O108" s="1671"/>
      <c r="P108" s="1671"/>
      <c r="Q108" s="1671"/>
      <c r="R108" s="1671"/>
      <c r="S108" s="1671"/>
      <c r="T108" s="1671"/>
      <c r="U108" s="1674"/>
      <c r="V108" s="1674"/>
      <c r="W108" s="1674"/>
      <c r="X108" s="1674"/>
      <c r="Y108" s="1674"/>
      <c r="Z108" s="1674"/>
      <c r="AA108" s="1674"/>
      <c r="AB108" s="1674"/>
      <c r="AC108" s="1674"/>
      <c r="AD108" s="1674"/>
    </row>
    <row r="109" spans="1:30" ht="22.5" customHeight="1">
      <c r="A109" s="1669"/>
      <c r="B109" s="1674"/>
      <c r="C109" s="170"/>
      <c r="D109" s="170"/>
      <c r="E109" s="170"/>
      <c r="F109" s="170"/>
      <c r="G109" s="170"/>
      <c r="H109" s="170"/>
      <c r="I109" s="170"/>
      <c r="J109" s="170"/>
      <c r="K109" s="170"/>
      <c r="L109" s="170"/>
      <c r="M109" s="170"/>
      <c r="N109" s="170"/>
      <c r="O109" s="1671"/>
      <c r="P109" s="1671"/>
      <c r="Q109" s="1671"/>
      <c r="R109" s="1671"/>
      <c r="S109" s="1671"/>
      <c r="T109" s="1671"/>
      <c r="U109" s="1674"/>
      <c r="V109" s="1674"/>
      <c r="W109" s="1674"/>
      <c r="X109" s="1674"/>
      <c r="Y109" s="1674"/>
      <c r="Z109" s="1674"/>
      <c r="AA109" s="1674"/>
      <c r="AB109" s="1674"/>
      <c r="AC109" s="1674"/>
      <c r="AD109" s="1674"/>
    </row>
    <row r="110" spans="1:30" ht="22.5" customHeight="1">
      <c r="A110" s="1669"/>
      <c r="B110" s="1674"/>
      <c r="C110" s="170"/>
      <c r="D110" s="170"/>
      <c r="E110" s="170"/>
      <c r="F110" s="170"/>
      <c r="G110" s="170"/>
      <c r="H110" s="170"/>
      <c r="I110" s="170"/>
      <c r="J110" s="170"/>
      <c r="K110" s="170"/>
      <c r="L110" s="170"/>
      <c r="M110" s="170"/>
      <c r="N110" s="170"/>
      <c r="O110" s="1671"/>
      <c r="P110" s="1671"/>
      <c r="Q110" s="1671"/>
      <c r="R110" s="1671"/>
      <c r="S110" s="1671"/>
      <c r="T110" s="1671"/>
      <c r="U110" s="1674"/>
      <c r="V110" s="1674"/>
      <c r="W110" s="1674"/>
      <c r="X110" s="1674"/>
      <c r="Y110" s="1674"/>
      <c r="Z110" s="1674"/>
      <c r="AA110" s="1674"/>
      <c r="AB110" s="1674"/>
      <c r="AC110" s="1674"/>
      <c r="AD110" s="1674"/>
    </row>
    <row r="111" spans="1:30" ht="22.5" customHeight="1"/>
    <row r="112" spans="1:30"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05204-78F6-4B6E-9252-C23301DB37A1}">
  <sheetPr>
    <tabColor theme="8" tint="0.59999389629810485"/>
  </sheetPr>
  <dimension ref="A1:R327"/>
  <sheetViews>
    <sheetView showGridLines="0" zoomScale="80" zoomScaleNormal="80" workbookViewId="0">
      <selection activeCell="I31" sqref="I31"/>
    </sheetView>
  </sheetViews>
  <sheetFormatPr baseColWidth="10" defaultColWidth="8.85546875" defaultRowHeight="12.75"/>
  <cols>
    <col min="1" max="1" width="83.7109375" style="628" customWidth="1"/>
    <col min="2" max="4" width="16.28515625" style="874" customWidth="1"/>
    <col min="5" max="5" width="8.85546875" style="874"/>
    <col min="6" max="16" width="12.5703125" style="874" customWidth="1"/>
    <col min="17" max="17" width="21.7109375" style="874" customWidth="1"/>
    <col min="18" max="18" width="24.5703125" style="874" bestFit="1" customWidth="1"/>
    <col min="19" max="16384" width="8.85546875" style="874"/>
  </cols>
  <sheetData>
    <row r="1" spans="1:18" ht="20.25" customHeight="1">
      <c r="A1" s="1238" t="s">
        <v>130</v>
      </c>
      <c r="B1" s="1239"/>
      <c r="C1" s="1239"/>
      <c r="D1" s="1239"/>
      <c r="E1" s="1239"/>
      <c r="F1" s="1239"/>
      <c r="G1" s="1239"/>
      <c r="H1" s="1239"/>
      <c r="I1" s="1239"/>
      <c r="J1" s="1239"/>
      <c r="K1" s="1239"/>
      <c r="L1" s="1239"/>
      <c r="M1" s="1239"/>
      <c r="N1" s="1239"/>
      <c r="O1" s="1239"/>
      <c r="P1" s="1239"/>
      <c r="Q1" s="1239"/>
    </row>
    <row r="2" spans="1:18" ht="19.5" customHeight="1">
      <c r="A2" s="1708"/>
      <c r="B2" s="1708"/>
      <c r="C2" s="1708"/>
      <c r="D2" s="1709"/>
      <c r="E2" s="1708"/>
      <c r="F2" s="1708"/>
      <c r="G2" s="1708"/>
      <c r="H2" s="1708"/>
      <c r="I2" s="1708"/>
      <c r="J2" s="1708"/>
      <c r="K2" s="1708"/>
      <c r="L2" s="1708"/>
      <c r="M2" s="1708"/>
      <c r="N2" s="1708"/>
      <c r="O2" s="1708"/>
      <c r="P2" s="1708"/>
      <c r="Q2" s="1708"/>
      <c r="R2" s="1708"/>
    </row>
    <row r="3" spans="1:18" ht="19.5" customHeight="1">
      <c r="A3" s="1710" t="s">
        <v>125</v>
      </c>
      <c r="B3" s="1711" t="s">
        <v>126</v>
      </c>
      <c r="C3" s="1711" t="s">
        <v>325</v>
      </c>
      <c r="D3" s="1712" t="s">
        <v>131</v>
      </c>
      <c r="E3" s="1708"/>
      <c r="F3" s="1713" t="s">
        <v>338</v>
      </c>
      <c r="G3" s="1713" t="s">
        <v>339</v>
      </c>
      <c r="H3" s="1713" t="s">
        <v>340</v>
      </c>
      <c r="I3" s="1713" t="s">
        <v>342</v>
      </c>
      <c r="J3" s="1713" t="s">
        <v>341</v>
      </c>
      <c r="K3" s="1714" t="s">
        <v>346</v>
      </c>
      <c r="L3" s="1713" t="s">
        <v>347</v>
      </c>
      <c r="M3" s="1713" t="s">
        <v>349</v>
      </c>
      <c r="N3" s="1713" t="s">
        <v>350</v>
      </c>
      <c r="O3" s="1713" t="s">
        <v>351</v>
      </c>
      <c r="P3" s="1713" t="s">
        <v>352</v>
      </c>
      <c r="Q3" s="1715" t="s">
        <v>127</v>
      </c>
      <c r="R3" s="1708"/>
    </row>
    <row r="4" spans="1:18" ht="19.5" customHeight="1">
      <c r="A4" s="1716" t="s">
        <v>128</v>
      </c>
      <c r="B4" s="1717">
        <v>49586.109849999993</v>
      </c>
      <c r="C4" s="1717"/>
      <c r="D4" s="1718">
        <v>49586.109849999993</v>
      </c>
      <c r="E4" s="1708"/>
      <c r="F4" s="1719">
        <v>15361.856</v>
      </c>
      <c r="G4" s="1719">
        <v>2487</v>
      </c>
      <c r="H4" s="1719">
        <v>335</v>
      </c>
      <c r="I4" s="1719">
        <v>18371.579999999998</v>
      </c>
      <c r="J4" s="1719"/>
      <c r="K4" s="1719">
        <v>13030.673849999999</v>
      </c>
      <c r="L4" s="1719"/>
      <c r="M4" s="1720"/>
      <c r="N4" s="1720"/>
      <c r="O4" s="1720"/>
      <c r="P4" s="1720"/>
      <c r="Q4" s="1721">
        <v>49586.109849999993</v>
      </c>
      <c r="R4" s="1708"/>
    </row>
    <row r="5" spans="1:18" ht="19.5" customHeight="1">
      <c r="A5" s="1722" t="s">
        <v>343</v>
      </c>
      <c r="B5" s="1723">
        <v>6398</v>
      </c>
      <c r="C5" s="1723"/>
      <c r="D5" s="1723">
        <v>6398</v>
      </c>
      <c r="E5" s="1708"/>
      <c r="F5" s="1724"/>
      <c r="G5" s="1724">
        <v>2188</v>
      </c>
      <c r="H5" s="1724">
        <v>335</v>
      </c>
      <c r="I5" s="1724">
        <v>3875</v>
      </c>
      <c r="J5" s="1724"/>
      <c r="K5" s="1724"/>
      <c r="L5" s="1724"/>
      <c r="M5" s="1724"/>
      <c r="N5" s="1724"/>
      <c r="O5" s="1724"/>
      <c r="P5" s="1724"/>
      <c r="Q5" s="1723">
        <v>6398</v>
      </c>
      <c r="R5" s="1708"/>
    </row>
    <row r="6" spans="1:18" ht="19.5" customHeight="1">
      <c r="A6" s="1722" t="s">
        <v>129</v>
      </c>
      <c r="B6" s="1723">
        <v>42889.109849999993</v>
      </c>
      <c r="C6" s="1723"/>
      <c r="D6" s="1723">
        <v>42889.109849999993</v>
      </c>
      <c r="E6" s="1708"/>
      <c r="F6" s="1724">
        <v>15361.856</v>
      </c>
      <c r="G6" s="1724"/>
      <c r="H6" s="1724"/>
      <c r="I6" s="1724">
        <v>14496.579999999998</v>
      </c>
      <c r="J6" s="1724"/>
      <c r="K6" s="1724">
        <v>13030.673849999999</v>
      </c>
      <c r="L6" s="1724"/>
      <c r="M6" s="1724"/>
      <c r="N6" s="1724"/>
      <c r="O6" s="1724"/>
      <c r="P6" s="1724"/>
      <c r="Q6" s="1723">
        <v>42889.109849999993</v>
      </c>
      <c r="R6" s="1708"/>
    </row>
    <row r="7" spans="1:18" ht="19.5" customHeight="1">
      <c r="A7" s="1725" t="s">
        <v>384</v>
      </c>
      <c r="B7" s="1723">
        <v>299</v>
      </c>
      <c r="C7" s="1723"/>
      <c r="D7" s="1723">
        <v>299</v>
      </c>
      <c r="E7" s="1708"/>
      <c r="F7" s="1724"/>
      <c r="G7" s="1724">
        <v>299</v>
      </c>
      <c r="H7" s="1724"/>
      <c r="I7" s="1724"/>
      <c r="J7" s="1724"/>
      <c r="K7" s="1724"/>
      <c r="L7" s="1724"/>
      <c r="M7" s="1724"/>
      <c r="N7" s="1724"/>
      <c r="O7" s="1724"/>
      <c r="P7" s="1724"/>
      <c r="Q7" s="1723">
        <v>299</v>
      </c>
      <c r="R7" s="1708"/>
    </row>
    <row r="8" spans="1:18" ht="19.5" customHeight="1">
      <c r="A8" s="1716" t="s">
        <v>396</v>
      </c>
      <c r="B8" s="1717">
        <v>6944.0487126999997</v>
      </c>
      <c r="C8" s="1717">
        <v>22263.608</v>
      </c>
      <c r="D8" s="1717">
        <v>29207.656712700002</v>
      </c>
      <c r="E8" s="1708"/>
      <c r="F8" s="1719"/>
      <c r="G8" s="1719"/>
      <c r="H8" s="1719"/>
      <c r="I8" s="1719">
        <v>2631.4998999999998</v>
      </c>
      <c r="J8" s="1719"/>
      <c r="K8" s="1719">
        <v>4312.5488126999999</v>
      </c>
      <c r="L8" s="1719">
        <v>22263.608</v>
      </c>
      <c r="M8" s="1720"/>
      <c r="N8" s="1720"/>
      <c r="O8" s="1720"/>
      <c r="P8" s="1720"/>
      <c r="Q8" s="1726">
        <v>29207.656712700002</v>
      </c>
      <c r="R8" s="1708"/>
    </row>
    <row r="9" spans="1:18" ht="19.5" customHeight="1">
      <c r="A9" s="1722" t="s">
        <v>446</v>
      </c>
      <c r="B9" s="1723">
        <v>5933.5488126999999</v>
      </c>
      <c r="C9" s="1723">
        <v>22263.608</v>
      </c>
      <c r="D9" s="1723">
        <v>28197.156812699999</v>
      </c>
      <c r="E9" s="1708"/>
      <c r="F9" s="1724"/>
      <c r="G9" s="1724"/>
      <c r="H9" s="1724"/>
      <c r="I9" s="1724">
        <v>1621</v>
      </c>
      <c r="J9" s="1724"/>
      <c r="K9" s="1724">
        <v>4312.5488126999999</v>
      </c>
      <c r="L9" s="1724">
        <v>22263.608</v>
      </c>
      <c r="M9" s="1724"/>
      <c r="N9" s="1724"/>
      <c r="O9" s="1724"/>
      <c r="P9" s="1724"/>
      <c r="Q9" s="1723">
        <v>28197.156812699999</v>
      </c>
      <c r="R9" s="1708"/>
    </row>
    <row r="10" spans="1:18" ht="19.5" customHeight="1">
      <c r="A10" s="1725" t="s">
        <v>384</v>
      </c>
      <c r="B10" s="1723">
        <v>1010.4999</v>
      </c>
      <c r="C10" s="1723"/>
      <c r="D10" s="1723">
        <v>1010.4999</v>
      </c>
      <c r="E10" s="1708"/>
      <c r="F10" s="1724"/>
      <c r="G10" s="1724"/>
      <c r="H10" s="1724"/>
      <c r="I10" s="1724">
        <v>1010.4999</v>
      </c>
      <c r="J10" s="1724"/>
      <c r="K10" s="1724"/>
      <c r="L10" s="1724"/>
      <c r="M10" s="1724"/>
      <c r="N10" s="1724"/>
      <c r="O10" s="1724"/>
      <c r="P10" s="1724"/>
      <c r="Q10" s="1723">
        <v>1010.4999</v>
      </c>
      <c r="R10" s="1708"/>
    </row>
    <row r="11" spans="1:18" ht="19.5" customHeight="1">
      <c r="A11" s="1716" t="s">
        <v>375</v>
      </c>
      <c r="B11" s="1717">
        <v>340</v>
      </c>
      <c r="C11" s="1717"/>
      <c r="D11" s="1717">
        <v>340</v>
      </c>
      <c r="E11" s="1708"/>
      <c r="F11" s="1719">
        <v>340</v>
      </c>
      <c r="G11" s="1719"/>
      <c r="H11" s="1719"/>
      <c r="I11" s="1719"/>
      <c r="J11" s="1719"/>
      <c r="K11" s="1719"/>
      <c r="L11" s="1719"/>
      <c r="M11" s="1719"/>
      <c r="N11" s="1719"/>
      <c r="O11" s="1719"/>
      <c r="P11" s="1719"/>
      <c r="Q11" s="1726">
        <v>340</v>
      </c>
      <c r="R11" s="1708"/>
    </row>
    <row r="12" spans="1:18" ht="19.5" customHeight="1">
      <c r="A12" s="1725" t="s">
        <v>136</v>
      </c>
      <c r="B12" s="1723">
        <v>340</v>
      </c>
      <c r="C12" s="1723"/>
      <c r="D12" s="1723">
        <v>340</v>
      </c>
      <c r="E12" s="1708"/>
      <c r="F12" s="1724">
        <v>340</v>
      </c>
      <c r="G12" s="1724"/>
      <c r="H12" s="1724"/>
      <c r="I12" s="1724"/>
      <c r="J12" s="1724"/>
      <c r="K12" s="1724"/>
      <c r="L12" s="1724"/>
      <c r="M12" s="1724"/>
      <c r="N12" s="1724"/>
      <c r="O12" s="1724"/>
      <c r="P12" s="1724"/>
      <c r="Q12" s="1723">
        <v>340</v>
      </c>
      <c r="R12" s="1708"/>
    </row>
    <row r="13" spans="1:18" ht="19.5" customHeight="1">
      <c r="A13" s="1716" t="s">
        <v>366</v>
      </c>
      <c r="B13" s="1717">
        <v>204510</v>
      </c>
      <c r="C13" s="1717">
        <v>117938.4</v>
      </c>
      <c r="D13" s="1717">
        <v>322448.40000000002</v>
      </c>
      <c r="E13" s="1708"/>
      <c r="F13" s="1719">
        <v>100640</v>
      </c>
      <c r="G13" s="1719">
        <v>3230</v>
      </c>
      <c r="H13" s="1719"/>
      <c r="I13" s="1719"/>
      <c r="J13" s="1719">
        <v>100640</v>
      </c>
      <c r="K13" s="1719"/>
      <c r="L13" s="1719">
        <v>117938.4</v>
      </c>
      <c r="M13" s="1719"/>
      <c r="N13" s="1719"/>
      <c r="O13" s="1719"/>
      <c r="P13" s="1719"/>
      <c r="Q13" s="1726">
        <v>322448.40000000002</v>
      </c>
      <c r="R13" s="1708"/>
    </row>
    <row r="14" spans="1:18" ht="19.5" customHeight="1">
      <c r="A14" s="1725" t="s">
        <v>446</v>
      </c>
      <c r="B14" s="1723"/>
      <c r="C14" s="1723">
        <v>19338.400000000001</v>
      </c>
      <c r="D14" s="1723">
        <v>19338.400000000001</v>
      </c>
      <c r="E14" s="1708"/>
      <c r="F14" s="1724"/>
      <c r="G14" s="1724"/>
      <c r="H14" s="1724"/>
      <c r="I14" s="1724"/>
      <c r="J14" s="1724"/>
      <c r="K14" s="1724"/>
      <c r="L14" s="1724">
        <v>19338.400000000001</v>
      </c>
      <c r="M14" s="1724"/>
      <c r="N14" s="1724"/>
      <c r="O14" s="1724"/>
      <c r="P14" s="1724"/>
      <c r="Q14" s="1723">
        <v>19338.400000000001</v>
      </c>
      <c r="R14" s="1708"/>
    </row>
    <row r="15" spans="1:18" ht="19.5" customHeight="1">
      <c r="A15" s="1725" t="s">
        <v>129</v>
      </c>
      <c r="B15" s="1723">
        <v>3230</v>
      </c>
      <c r="C15" s="1723"/>
      <c r="D15" s="1723">
        <v>3230</v>
      </c>
      <c r="E15" s="1708"/>
      <c r="F15" s="1724"/>
      <c r="G15" s="1724">
        <v>3230</v>
      </c>
      <c r="H15" s="1724"/>
      <c r="I15" s="1724"/>
      <c r="J15" s="1724"/>
      <c r="K15" s="1724"/>
      <c r="L15" s="1724"/>
      <c r="M15" s="1724"/>
      <c r="N15" s="1724"/>
      <c r="O15" s="1724"/>
      <c r="P15" s="1724"/>
      <c r="Q15" s="1723">
        <v>3230</v>
      </c>
      <c r="R15" s="1708"/>
    </row>
    <row r="16" spans="1:18" ht="19.5" customHeight="1">
      <c r="A16" s="1725" t="s">
        <v>136</v>
      </c>
      <c r="B16" s="1723">
        <v>201280</v>
      </c>
      <c r="C16" s="1723">
        <v>98600</v>
      </c>
      <c r="D16" s="1723">
        <v>299880</v>
      </c>
      <c r="E16" s="1708"/>
      <c r="F16" s="1724">
        <v>100640</v>
      </c>
      <c r="G16" s="1724"/>
      <c r="H16" s="1724"/>
      <c r="I16" s="1724"/>
      <c r="J16" s="1724">
        <v>100640</v>
      </c>
      <c r="K16" s="1724"/>
      <c r="L16" s="1724">
        <v>98600</v>
      </c>
      <c r="M16" s="1724"/>
      <c r="N16" s="1724"/>
      <c r="O16" s="1724"/>
      <c r="P16" s="1724"/>
      <c r="Q16" s="1723">
        <v>299880</v>
      </c>
      <c r="R16" s="1708"/>
    </row>
    <row r="17" spans="1:18" ht="19.5" customHeight="1">
      <c r="A17" s="1716" t="s">
        <v>461</v>
      </c>
      <c r="B17" s="1717">
        <v>36186.449999999997</v>
      </c>
      <c r="C17" s="1717">
        <v>4650.0200000000004</v>
      </c>
      <c r="D17" s="1717">
        <v>40836.47</v>
      </c>
      <c r="E17" s="1708"/>
      <c r="F17" s="1719"/>
      <c r="G17" s="1719"/>
      <c r="H17" s="1719"/>
      <c r="I17" s="1719"/>
      <c r="J17" s="1719">
        <v>1459.357</v>
      </c>
      <c r="K17" s="1719">
        <v>34727.092999999993</v>
      </c>
      <c r="L17" s="1719">
        <v>4650.0200000000004</v>
      </c>
      <c r="M17" s="1719"/>
      <c r="N17" s="1719"/>
      <c r="O17" s="1719"/>
      <c r="P17" s="1719"/>
      <c r="Q17" s="1726">
        <v>40836.47</v>
      </c>
      <c r="R17" s="1708"/>
    </row>
    <row r="18" spans="1:18" ht="19.5" customHeight="1">
      <c r="A18" s="1725" t="s">
        <v>446</v>
      </c>
      <c r="B18" s="1723">
        <v>35766.449999999997</v>
      </c>
      <c r="C18" s="1723"/>
      <c r="D18" s="1723">
        <v>35766.449999999997</v>
      </c>
      <c r="E18" s="1708"/>
      <c r="F18" s="1724"/>
      <c r="G18" s="1724"/>
      <c r="H18" s="1724"/>
      <c r="I18" s="1724"/>
      <c r="J18" s="1724">
        <v>1459.357</v>
      </c>
      <c r="K18" s="1724">
        <v>34307.092999999993</v>
      </c>
      <c r="L18" s="1724"/>
      <c r="M18" s="1724"/>
      <c r="N18" s="1724"/>
      <c r="O18" s="1724"/>
      <c r="P18" s="1724"/>
      <c r="Q18" s="1723">
        <v>35766.449999999997</v>
      </c>
      <c r="R18" s="1708"/>
    </row>
    <row r="19" spans="1:18" ht="19.5" customHeight="1">
      <c r="A19" s="1725" t="s">
        <v>129</v>
      </c>
      <c r="B19" s="1723">
        <v>420</v>
      </c>
      <c r="C19" s="1723"/>
      <c r="D19" s="1723">
        <v>420</v>
      </c>
      <c r="E19" s="1708"/>
      <c r="F19" s="1724"/>
      <c r="G19" s="1724"/>
      <c r="H19" s="1724"/>
      <c r="I19" s="1724"/>
      <c r="J19" s="1724"/>
      <c r="K19" s="1724">
        <v>420</v>
      </c>
      <c r="L19" s="1724"/>
      <c r="M19" s="1724"/>
      <c r="N19" s="1724"/>
      <c r="O19" s="1724"/>
      <c r="P19" s="1724"/>
      <c r="Q19" s="1723">
        <v>420</v>
      </c>
      <c r="R19" s="1708"/>
    </row>
    <row r="20" spans="1:18" ht="19.5" customHeight="1">
      <c r="A20" s="1725" t="s">
        <v>384</v>
      </c>
      <c r="B20" s="1723"/>
      <c r="C20" s="1723">
        <v>4650.0200000000004</v>
      </c>
      <c r="D20" s="1723">
        <v>4650.0200000000004</v>
      </c>
      <c r="E20" s="1708"/>
      <c r="F20" s="1724"/>
      <c r="G20" s="1724"/>
      <c r="H20" s="1724"/>
      <c r="I20" s="1724"/>
      <c r="J20" s="1724"/>
      <c r="K20" s="1724"/>
      <c r="L20" s="1724">
        <v>4650.0200000000004</v>
      </c>
      <c r="M20" s="1724"/>
      <c r="N20" s="1724"/>
      <c r="O20" s="1724"/>
      <c r="P20" s="1724"/>
      <c r="Q20" s="1723">
        <v>4650.0200000000004</v>
      </c>
      <c r="R20" s="1708"/>
    </row>
    <row r="21" spans="1:18" ht="19.5" customHeight="1" thickBot="1">
      <c r="A21" s="1727" t="s">
        <v>127</v>
      </c>
      <c r="B21" s="1728">
        <v>297566.60856269998</v>
      </c>
      <c r="C21" s="1728">
        <v>144852.02800000002</v>
      </c>
      <c r="D21" s="1728">
        <v>442418.63656270015</v>
      </c>
      <c r="E21" s="1708"/>
      <c r="F21" s="1729">
        <v>116341.856</v>
      </c>
      <c r="G21" s="1729">
        <v>5717</v>
      </c>
      <c r="H21" s="1729">
        <v>335</v>
      </c>
      <c r="I21" s="1729">
        <v>21003.079899999997</v>
      </c>
      <c r="J21" s="1729">
        <v>102099.357</v>
      </c>
      <c r="K21" s="1729">
        <v>52070.315662699992</v>
      </c>
      <c r="L21" s="1729">
        <v>144852.02800000002</v>
      </c>
      <c r="M21" s="1729"/>
      <c r="N21" s="1729"/>
      <c r="O21" s="1729"/>
      <c r="P21" s="1729"/>
      <c r="Q21" s="1728">
        <v>442418.63656270015</v>
      </c>
      <c r="R21" s="1708"/>
    </row>
    <row r="22" spans="1:18" ht="19.5" customHeight="1">
      <c r="A22" s="1730"/>
      <c r="B22" s="1731"/>
      <c r="C22" s="1731"/>
      <c r="D22" s="1708"/>
      <c r="E22" s="1708"/>
      <c r="F22" s="1708"/>
      <c r="G22" s="1708"/>
      <c r="H22" s="1708"/>
      <c r="I22" s="1708"/>
      <c r="J22" s="1708"/>
      <c r="K22" s="1708"/>
      <c r="L22" s="1708"/>
      <c r="M22" s="1708"/>
      <c r="N22" s="1708"/>
      <c r="O22" s="1708"/>
      <c r="P22" s="1708"/>
      <c r="Q22" s="1708"/>
      <c r="R22" s="1708"/>
    </row>
    <row r="23" spans="1:18" ht="19.5" customHeight="1">
      <c r="A23" s="1730"/>
      <c r="B23" s="1730"/>
      <c r="C23" s="1730"/>
      <c r="D23" s="1730"/>
      <c r="E23" s="1708"/>
      <c r="F23" s="1708"/>
      <c r="G23" s="1708"/>
      <c r="H23" s="1708"/>
      <c r="I23" s="1708"/>
      <c r="J23" s="1708"/>
      <c r="K23" s="1708"/>
      <c r="L23" s="1708"/>
      <c r="M23" s="1708"/>
      <c r="N23" s="1708"/>
      <c r="O23" s="1708"/>
      <c r="P23" s="1708"/>
      <c r="Q23" s="1708"/>
      <c r="R23" s="1708"/>
    </row>
    <row r="24" spans="1:18" s="633" customFormat="1" ht="19.5" customHeight="1">
      <c r="A24" s="171" t="s">
        <v>132</v>
      </c>
      <c r="B24" s="1732" t="s">
        <v>126</v>
      </c>
      <c r="C24" s="1732" t="s">
        <v>325</v>
      </c>
      <c r="D24" s="1733" t="s">
        <v>131</v>
      </c>
      <c r="E24" s="1708"/>
      <c r="F24" s="1708"/>
      <c r="G24" s="1708"/>
      <c r="H24" s="1708"/>
      <c r="I24" s="1708"/>
      <c r="J24" s="1708"/>
      <c r="K24" s="1708"/>
      <c r="L24" s="1708"/>
      <c r="M24" s="1708"/>
      <c r="N24" s="1708"/>
      <c r="O24" s="1708"/>
      <c r="P24" s="1708"/>
      <c r="Q24" s="1708"/>
      <c r="R24" s="1708"/>
    </row>
    <row r="25" spans="1:18" s="633" customFormat="1" ht="19.5" customHeight="1">
      <c r="A25" s="1734" t="s">
        <v>136</v>
      </c>
      <c r="B25" s="1735">
        <v>201620</v>
      </c>
      <c r="C25" s="1735">
        <v>98600</v>
      </c>
      <c r="D25" s="1735">
        <v>300220</v>
      </c>
      <c r="E25" s="1708"/>
      <c r="F25" s="1708"/>
      <c r="G25" s="1708"/>
      <c r="H25" s="1708"/>
      <c r="I25" s="1708"/>
      <c r="J25" s="1708"/>
      <c r="K25" s="1708"/>
      <c r="L25" s="1708"/>
      <c r="M25" s="1708"/>
      <c r="N25" s="1708"/>
      <c r="O25" s="1708"/>
      <c r="P25" s="1708"/>
      <c r="Q25" s="1708"/>
      <c r="R25" s="1708"/>
    </row>
    <row r="26" spans="1:18" s="633" customFormat="1" ht="19.5" customHeight="1">
      <c r="A26" s="1736" t="s">
        <v>367</v>
      </c>
      <c r="B26" s="1737">
        <v>201280</v>
      </c>
      <c r="C26" s="1737">
        <v>98600</v>
      </c>
      <c r="D26" s="1737">
        <v>299880</v>
      </c>
      <c r="E26" s="1738"/>
      <c r="F26" s="1708"/>
      <c r="G26" s="1738"/>
      <c r="H26" s="1738"/>
      <c r="I26" s="1738"/>
      <c r="J26" s="1738"/>
      <c r="K26" s="1738"/>
      <c r="L26" s="1738"/>
      <c r="M26" s="1738"/>
      <c r="N26" s="1738"/>
      <c r="O26" s="1738"/>
      <c r="P26" s="1738"/>
      <c r="Q26" s="1738"/>
      <c r="R26" s="1738"/>
    </row>
    <row r="27" spans="1:18" s="633" customFormat="1" ht="19.5" customHeight="1">
      <c r="A27" s="1736" t="s">
        <v>380</v>
      </c>
      <c r="B27" s="1737">
        <v>340</v>
      </c>
      <c r="C27" s="1737"/>
      <c r="D27" s="1737">
        <v>340</v>
      </c>
      <c r="E27" s="1738"/>
      <c r="F27" s="1738"/>
      <c r="G27" s="1738"/>
      <c r="H27" s="1738"/>
      <c r="I27" s="1738"/>
      <c r="J27" s="1738"/>
      <c r="K27" s="1738"/>
      <c r="L27" s="1738"/>
      <c r="M27" s="1738"/>
      <c r="N27" s="1738"/>
      <c r="O27" s="1738"/>
      <c r="P27" s="1738"/>
      <c r="Q27" s="1738"/>
      <c r="R27" s="1738"/>
    </row>
    <row r="28" spans="1:18" s="633" customFormat="1" ht="19.5" customHeight="1">
      <c r="A28" s="1734" t="s">
        <v>446</v>
      </c>
      <c r="B28" s="1735">
        <v>41699.998812699996</v>
      </c>
      <c r="C28" s="1735">
        <v>41602.008000000002</v>
      </c>
      <c r="D28" s="1735">
        <v>83302.006812700012</v>
      </c>
      <c r="E28" s="1738"/>
      <c r="F28" s="1738"/>
      <c r="G28" s="1738"/>
      <c r="H28" s="1738"/>
      <c r="I28" s="1738"/>
      <c r="J28" s="1738"/>
      <c r="K28" s="1738"/>
      <c r="L28" s="1738"/>
      <c r="M28" s="1738"/>
      <c r="N28" s="1738"/>
      <c r="O28" s="1738"/>
      <c r="P28" s="1738"/>
      <c r="Q28" s="1738"/>
      <c r="R28" s="1738"/>
    </row>
    <row r="29" spans="1:18" s="633" customFormat="1" ht="19.5" customHeight="1">
      <c r="A29" s="1736" t="s">
        <v>510</v>
      </c>
      <c r="B29" s="1737">
        <v>9435.5619999999999</v>
      </c>
      <c r="C29" s="1737"/>
      <c r="D29" s="1737">
        <v>9435.5619999999999</v>
      </c>
      <c r="E29" s="1738"/>
      <c r="F29" s="1738"/>
      <c r="G29" s="1738"/>
      <c r="H29" s="1738"/>
      <c r="I29" s="1738"/>
      <c r="J29" s="1738"/>
      <c r="K29" s="1738"/>
      <c r="L29" s="1738"/>
      <c r="M29" s="1738"/>
      <c r="N29" s="1738"/>
      <c r="O29" s="1738"/>
      <c r="P29" s="1738"/>
      <c r="Q29" s="1738"/>
      <c r="R29" s="1738"/>
    </row>
    <row r="30" spans="1:18" s="633" customFormat="1" ht="19.5" customHeight="1">
      <c r="A30" s="1736" t="s">
        <v>448</v>
      </c>
      <c r="B30" s="1737">
        <v>1621</v>
      </c>
      <c r="C30" s="1737"/>
      <c r="D30" s="1737">
        <v>1621</v>
      </c>
      <c r="E30" s="1738"/>
      <c r="F30" s="1738"/>
      <c r="G30" s="1738"/>
      <c r="H30" s="1738"/>
      <c r="I30" s="1738"/>
      <c r="J30" s="1738"/>
      <c r="K30" s="1738"/>
      <c r="L30" s="1738"/>
      <c r="M30" s="1738"/>
      <c r="N30" s="1738"/>
      <c r="O30" s="1738"/>
      <c r="P30" s="1738"/>
      <c r="Q30" s="1738"/>
      <c r="R30" s="1738"/>
    </row>
    <row r="31" spans="1:18" s="633" customFormat="1" ht="19.5" customHeight="1">
      <c r="A31" s="1736" t="s">
        <v>468</v>
      </c>
      <c r="B31" s="1737">
        <v>5638.5</v>
      </c>
      <c r="C31" s="1737"/>
      <c r="D31" s="1737">
        <v>5638.5</v>
      </c>
      <c r="E31" s="1738"/>
      <c r="F31" s="1738"/>
      <c r="G31" s="1738"/>
      <c r="H31" s="1738"/>
      <c r="I31" s="1738"/>
      <c r="J31" s="1738"/>
      <c r="K31" s="1738"/>
      <c r="L31" s="1738"/>
      <c r="M31" s="1738"/>
      <c r="N31" s="1738"/>
      <c r="O31" s="1738"/>
      <c r="P31" s="1738"/>
      <c r="Q31" s="1738"/>
      <c r="R31" s="1738"/>
    </row>
    <row r="32" spans="1:18" ht="19.5" customHeight="1">
      <c r="A32" s="1736" t="s">
        <v>511</v>
      </c>
      <c r="B32" s="1737"/>
      <c r="C32" s="1737">
        <v>22263.608</v>
      </c>
      <c r="D32" s="1737">
        <v>22263.608</v>
      </c>
      <c r="E32" s="1738"/>
      <c r="F32" s="1738"/>
      <c r="G32" s="1738"/>
      <c r="H32" s="1738"/>
      <c r="I32" s="1738"/>
      <c r="J32" s="1738"/>
      <c r="K32" s="1738"/>
      <c r="L32" s="1738"/>
      <c r="M32" s="1738"/>
      <c r="N32" s="1738"/>
      <c r="O32" s="1738"/>
      <c r="P32" s="1738"/>
      <c r="Q32" s="1738"/>
      <c r="R32" s="1738"/>
    </row>
    <row r="33" spans="1:18" ht="19.5" customHeight="1">
      <c r="A33" s="1736" t="s">
        <v>512</v>
      </c>
      <c r="B33" s="1737">
        <v>4312.5488126999999</v>
      </c>
      <c r="C33" s="1737"/>
      <c r="D33" s="1737">
        <v>4312.5488126999999</v>
      </c>
      <c r="E33" s="1738"/>
      <c r="F33" s="1738"/>
      <c r="G33" s="1738"/>
      <c r="H33" s="1738"/>
      <c r="I33" s="1738"/>
      <c r="J33" s="1738"/>
      <c r="K33" s="1738"/>
      <c r="L33" s="1738"/>
      <c r="M33" s="1738"/>
      <c r="N33" s="1738"/>
      <c r="O33" s="1738"/>
      <c r="P33" s="1738"/>
      <c r="Q33" s="1738"/>
      <c r="R33" s="1738"/>
    </row>
    <row r="34" spans="1:18" ht="19.5" customHeight="1">
      <c r="A34" s="1736" t="s">
        <v>513</v>
      </c>
      <c r="B34" s="1737">
        <v>5001.2</v>
      </c>
      <c r="C34" s="1737"/>
      <c r="D34" s="1737">
        <v>5001.2</v>
      </c>
      <c r="E34" s="1708"/>
      <c r="F34" s="1708"/>
      <c r="G34" s="1708"/>
      <c r="H34" s="1708"/>
      <c r="I34" s="1708"/>
      <c r="J34" s="1708"/>
      <c r="K34" s="1708"/>
      <c r="L34" s="1708"/>
      <c r="M34" s="1708"/>
      <c r="N34" s="1708"/>
      <c r="O34" s="1708"/>
      <c r="P34" s="1708"/>
      <c r="Q34" s="1708"/>
      <c r="R34" s="1708"/>
    </row>
    <row r="35" spans="1:18" ht="19.5" customHeight="1">
      <c r="A35" s="1736" t="s">
        <v>469</v>
      </c>
      <c r="B35" s="1737"/>
      <c r="C35" s="1737">
        <v>19338.400000000001</v>
      </c>
      <c r="D35" s="1737">
        <v>19338.400000000001</v>
      </c>
      <c r="E35" s="1708"/>
      <c r="F35" s="1708"/>
      <c r="G35" s="1708"/>
      <c r="H35" s="1708"/>
      <c r="I35" s="1708"/>
      <c r="J35" s="1708"/>
      <c r="K35" s="1708"/>
      <c r="L35" s="1708"/>
      <c r="M35" s="1708"/>
      <c r="N35" s="1708"/>
      <c r="O35" s="1708"/>
      <c r="P35" s="1708"/>
      <c r="Q35" s="1708"/>
      <c r="R35" s="1708"/>
    </row>
    <row r="36" spans="1:18" ht="19.5" customHeight="1">
      <c r="A36" s="1736" t="s">
        <v>514</v>
      </c>
      <c r="B36" s="1737">
        <v>9731.8310000000001</v>
      </c>
      <c r="C36" s="1737"/>
      <c r="D36" s="1737">
        <v>9731.8310000000001</v>
      </c>
      <c r="E36" s="1708"/>
      <c r="F36" s="1708"/>
      <c r="G36" s="1708"/>
      <c r="H36" s="1708"/>
      <c r="I36" s="1708"/>
      <c r="J36" s="1708"/>
      <c r="K36" s="1708"/>
      <c r="L36" s="1708"/>
      <c r="M36" s="1708"/>
      <c r="N36" s="1708"/>
      <c r="O36" s="1708"/>
      <c r="P36" s="1708"/>
      <c r="Q36" s="1708"/>
      <c r="R36" s="1708"/>
    </row>
    <row r="37" spans="1:18" ht="19.5" customHeight="1">
      <c r="A37" s="1736" t="s">
        <v>515</v>
      </c>
      <c r="B37" s="1737">
        <v>4500</v>
      </c>
      <c r="C37" s="1737"/>
      <c r="D37" s="1737">
        <v>4500</v>
      </c>
      <c r="E37" s="1708"/>
      <c r="F37" s="1708"/>
      <c r="G37" s="1708"/>
      <c r="H37" s="1708"/>
      <c r="I37" s="1708"/>
      <c r="J37" s="1708"/>
      <c r="K37" s="1708"/>
      <c r="L37" s="1708"/>
      <c r="M37" s="1708"/>
      <c r="N37" s="1708"/>
      <c r="O37" s="1708"/>
      <c r="P37" s="1708"/>
      <c r="Q37" s="1708"/>
      <c r="R37" s="1708"/>
    </row>
    <row r="38" spans="1:18" ht="19.5" customHeight="1">
      <c r="A38" s="1736" t="s">
        <v>470</v>
      </c>
      <c r="B38" s="1737">
        <v>1459.357</v>
      </c>
      <c r="C38" s="1737"/>
      <c r="D38" s="1737">
        <v>1459.357</v>
      </c>
      <c r="E38" s="1708"/>
      <c r="F38" s="1708"/>
      <c r="G38" s="1708"/>
      <c r="H38" s="1708"/>
      <c r="I38" s="1708"/>
      <c r="J38" s="1708"/>
      <c r="K38" s="1708"/>
      <c r="L38" s="1708"/>
      <c r="M38" s="1708"/>
      <c r="N38" s="1708"/>
      <c r="O38" s="1708"/>
      <c r="P38" s="1708"/>
      <c r="Q38" s="1708"/>
      <c r="R38" s="1708"/>
    </row>
    <row r="39" spans="1:18" ht="19.5" customHeight="1">
      <c r="A39" s="1734" t="s">
        <v>129</v>
      </c>
      <c r="B39" s="1735">
        <v>46539.109849999993</v>
      </c>
      <c r="C39" s="1735"/>
      <c r="D39" s="1735">
        <v>46539.109849999993</v>
      </c>
      <c r="E39" s="1708"/>
      <c r="F39" s="1708"/>
      <c r="G39" s="1708"/>
      <c r="H39" s="1708"/>
      <c r="I39" s="1708"/>
      <c r="J39" s="1708"/>
      <c r="K39" s="1708"/>
      <c r="L39" s="1708"/>
      <c r="M39" s="1708"/>
      <c r="N39" s="1708"/>
      <c r="O39" s="1708"/>
      <c r="P39" s="1708"/>
      <c r="Q39" s="1708"/>
      <c r="R39" s="1708"/>
    </row>
    <row r="40" spans="1:18" ht="19.5" customHeight="1">
      <c r="A40" s="1736" t="s">
        <v>467</v>
      </c>
      <c r="B40" s="1737">
        <v>420</v>
      </c>
      <c r="C40" s="1737"/>
      <c r="D40" s="1737">
        <v>420</v>
      </c>
      <c r="E40" s="1708"/>
      <c r="F40" s="1708"/>
      <c r="G40" s="1708"/>
      <c r="H40" s="1708"/>
      <c r="I40" s="1708"/>
      <c r="J40" s="1708"/>
      <c r="K40" s="1708"/>
      <c r="L40" s="1708"/>
      <c r="M40" s="1708"/>
      <c r="N40" s="1708"/>
      <c r="O40" s="1708"/>
      <c r="P40" s="1708"/>
      <c r="Q40" s="1708"/>
      <c r="R40" s="1708"/>
    </row>
    <row r="41" spans="1:18" ht="19.5" customHeight="1">
      <c r="A41" s="1736" t="s">
        <v>376</v>
      </c>
      <c r="B41" s="1737">
        <v>3230</v>
      </c>
      <c r="C41" s="1737"/>
      <c r="D41" s="1737">
        <v>3230</v>
      </c>
      <c r="E41" s="1708"/>
      <c r="F41" s="1708"/>
      <c r="G41" s="1708"/>
      <c r="H41" s="1708"/>
      <c r="I41" s="1708"/>
      <c r="J41" s="1708"/>
      <c r="K41" s="1708"/>
      <c r="L41" s="1708"/>
      <c r="M41" s="1708"/>
      <c r="N41" s="1708"/>
      <c r="O41" s="1708"/>
      <c r="P41" s="1708"/>
      <c r="Q41" s="1708"/>
      <c r="R41" s="1708"/>
    </row>
    <row r="42" spans="1:18" ht="19.5" customHeight="1">
      <c r="A42" s="1736" t="s">
        <v>377</v>
      </c>
      <c r="B42" s="1737">
        <v>15001</v>
      </c>
      <c r="C42" s="1737"/>
      <c r="D42" s="1737">
        <v>15001</v>
      </c>
      <c r="E42" s="1708"/>
      <c r="F42" s="1708"/>
      <c r="G42" s="1708"/>
      <c r="H42" s="1708"/>
      <c r="I42" s="1708"/>
      <c r="J42" s="1708"/>
      <c r="K42" s="1708"/>
      <c r="L42" s="1708"/>
      <c r="M42" s="1708"/>
      <c r="N42" s="1708"/>
      <c r="O42" s="1708"/>
      <c r="P42" s="1708"/>
      <c r="Q42" s="1708"/>
      <c r="R42" s="1708"/>
    </row>
    <row r="43" spans="1:18" ht="19.5" customHeight="1">
      <c r="A43" s="1736" t="s">
        <v>381</v>
      </c>
      <c r="B43" s="1737">
        <v>14496.579999999998</v>
      </c>
      <c r="C43" s="1737"/>
      <c r="D43" s="1737">
        <v>14496.579999999998</v>
      </c>
      <c r="E43" s="1708"/>
      <c r="F43" s="1708"/>
      <c r="G43" s="1708"/>
      <c r="H43" s="1708"/>
      <c r="I43" s="1708"/>
      <c r="J43" s="1708"/>
      <c r="K43" s="1708"/>
      <c r="L43" s="1708"/>
      <c r="M43" s="1708"/>
      <c r="N43" s="1708"/>
      <c r="O43" s="1708"/>
      <c r="P43" s="1708"/>
      <c r="Q43" s="1708"/>
      <c r="R43" s="1708"/>
    </row>
    <row r="44" spans="1:18" ht="19.5" customHeight="1">
      <c r="A44" s="1736" t="s">
        <v>378</v>
      </c>
      <c r="B44" s="1737">
        <v>360.85599999999999</v>
      </c>
      <c r="C44" s="1737"/>
      <c r="D44" s="1737">
        <v>360.85599999999999</v>
      </c>
      <c r="E44" s="1708"/>
      <c r="F44" s="1708"/>
      <c r="G44" s="1708"/>
      <c r="H44" s="1708"/>
      <c r="I44" s="1708"/>
      <c r="J44" s="1708"/>
      <c r="K44" s="1708"/>
      <c r="L44" s="1708"/>
      <c r="M44" s="1708"/>
      <c r="N44" s="1708"/>
      <c r="O44" s="1708"/>
      <c r="P44" s="1708"/>
      <c r="Q44" s="1708"/>
      <c r="R44" s="1708"/>
    </row>
    <row r="45" spans="1:18" ht="19.5" customHeight="1">
      <c r="A45" s="1736" t="s">
        <v>462</v>
      </c>
      <c r="B45" s="1737">
        <v>2064.2760000000003</v>
      </c>
      <c r="C45" s="1737"/>
      <c r="D45" s="1737">
        <v>2064.2760000000003</v>
      </c>
      <c r="E45" s="1708"/>
      <c r="F45" s="1708"/>
      <c r="G45" s="1708"/>
      <c r="H45" s="1708"/>
      <c r="I45" s="1708"/>
      <c r="J45" s="1708"/>
      <c r="K45" s="1708"/>
      <c r="L45" s="1708"/>
      <c r="M45" s="1708"/>
      <c r="N45" s="1708"/>
      <c r="O45" s="1708"/>
      <c r="P45" s="1708"/>
      <c r="Q45" s="1708"/>
      <c r="R45" s="1708"/>
    </row>
    <row r="46" spans="1:18" ht="19.5" customHeight="1">
      <c r="A46" s="1736" t="s">
        <v>463</v>
      </c>
      <c r="B46" s="1737">
        <v>194.28480000000002</v>
      </c>
      <c r="C46" s="1737"/>
      <c r="D46" s="1737">
        <v>194.28480000000002</v>
      </c>
      <c r="E46" s="1708"/>
      <c r="F46" s="1708"/>
      <c r="G46" s="1708"/>
      <c r="H46" s="1708"/>
      <c r="I46" s="1708"/>
      <c r="J46" s="1708"/>
      <c r="K46" s="1708"/>
      <c r="L46" s="1708"/>
      <c r="M46" s="1708"/>
      <c r="N46" s="1708"/>
      <c r="O46" s="1708"/>
      <c r="P46" s="1708"/>
      <c r="Q46" s="1708"/>
      <c r="R46" s="1708"/>
    </row>
    <row r="47" spans="1:18" ht="19.5" customHeight="1">
      <c r="A47" s="1736" t="s">
        <v>464</v>
      </c>
      <c r="B47" s="1737">
        <v>5492.0872500000005</v>
      </c>
      <c r="C47" s="1737"/>
      <c r="D47" s="1737">
        <v>5492.0872500000005</v>
      </c>
      <c r="E47" s="1708"/>
      <c r="F47" s="1708"/>
      <c r="G47" s="1708"/>
      <c r="H47" s="1708"/>
      <c r="I47" s="1708"/>
      <c r="J47" s="1708"/>
      <c r="K47" s="1708"/>
      <c r="L47" s="1708"/>
      <c r="M47" s="1708"/>
      <c r="N47" s="1708"/>
      <c r="O47" s="1708"/>
      <c r="P47" s="1708"/>
      <c r="Q47" s="1708"/>
      <c r="R47" s="1708"/>
    </row>
    <row r="48" spans="1:18" ht="19.5" customHeight="1">
      <c r="A48" s="1736" t="s">
        <v>465</v>
      </c>
      <c r="B48" s="1737">
        <v>439.36698000000001</v>
      </c>
      <c r="C48" s="1737"/>
      <c r="D48" s="1737">
        <v>439.36698000000001</v>
      </c>
      <c r="E48" s="1708"/>
      <c r="F48" s="1708"/>
      <c r="G48" s="1708"/>
      <c r="H48" s="1708"/>
      <c r="I48" s="1708"/>
      <c r="J48" s="1708"/>
      <c r="K48" s="1708"/>
      <c r="L48" s="1708"/>
      <c r="M48" s="1708"/>
      <c r="N48" s="1708"/>
      <c r="O48" s="1708"/>
      <c r="P48" s="1708"/>
      <c r="Q48" s="1708"/>
      <c r="R48" s="1708"/>
    </row>
    <row r="49" spans="1:18" ht="19.5" customHeight="1">
      <c r="A49" s="1736" t="s">
        <v>466</v>
      </c>
      <c r="B49" s="1737">
        <v>3954.3028199999999</v>
      </c>
      <c r="C49" s="1737"/>
      <c r="D49" s="1737">
        <v>3954.3028199999999</v>
      </c>
      <c r="E49" s="1708"/>
      <c r="F49" s="1708"/>
      <c r="G49" s="1708"/>
      <c r="H49" s="1708"/>
      <c r="I49" s="1708"/>
      <c r="J49" s="1708"/>
      <c r="K49" s="1708"/>
      <c r="L49" s="1708"/>
      <c r="M49" s="1708"/>
      <c r="N49" s="1708"/>
      <c r="O49" s="1708"/>
      <c r="P49" s="1708"/>
      <c r="Q49" s="1708"/>
      <c r="R49" s="1708"/>
    </row>
    <row r="50" spans="1:18" ht="19.5" customHeight="1">
      <c r="A50" s="1736" t="s">
        <v>516</v>
      </c>
      <c r="B50" s="1737">
        <v>886.35599999999999</v>
      </c>
      <c r="C50" s="1737"/>
      <c r="D50" s="1737">
        <v>886.35599999999999</v>
      </c>
      <c r="E50" s="1708"/>
      <c r="F50" s="1708"/>
      <c r="G50" s="1708"/>
      <c r="H50" s="1708"/>
      <c r="I50" s="1708"/>
      <c r="J50" s="1708"/>
      <c r="K50" s="1708"/>
      <c r="L50" s="1708"/>
      <c r="M50" s="1708"/>
      <c r="N50" s="1708"/>
      <c r="O50" s="1708"/>
      <c r="P50" s="1708"/>
      <c r="Q50" s="1708"/>
      <c r="R50" s="1708"/>
    </row>
    <row r="51" spans="1:18" ht="19.5" customHeight="1">
      <c r="A51" s="1734" t="s">
        <v>343</v>
      </c>
      <c r="B51" s="1735">
        <v>6398</v>
      </c>
      <c r="C51" s="1735"/>
      <c r="D51" s="1735">
        <v>6398</v>
      </c>
      <c r="E51" s="1708"/>
      <c r="F51" s="1708"/>
      <c r="G51" s="1708"/>
      <c r="H51" s="1708"/>
      <c r="I51" s="1708"/>
      <c r="J51" s="1708"/>
      <c r="K51" s="1708"/>
      <c r="L51" s="1708"/>
      <c r="M51" s="1708"/>
      <c r="N51" s="1708"/>
      <c r="O51" s="1708"/>
      <c r="P51" s="1708"/>
      <c r="Q51" s="1708"/>
      <c r="R51" s="1708"/>
    </row>
    <row r="52" spans="1:18" ht="19.5" customHeight="1">
      <c r="A52" s="1736" t="s">
        <v>397</v>
      </c>
      <c r="B52" s="1737">
        <v>1495</v>
      </c>
      <c r="C52" s="1737"/>
      <c r="D52" s="1737">
        <v>1495</v>
      </c>
      <c r="E52" s="1708"/>
      <c r="F52" s="1708"/>
      <c r="G52" s="1708"/>
      <c r="H52" s="1708"/>
      <c r="I52" s="1708"/>
      <c r="J52" s="1708"/>
      <c r="K52" s="1708"/>
      <c r="L52" s="1708"/>
      <c r="M52" s="1708"/>
      <c r="N52" s="1708"/>
      <c r="O52" s="1708"/>
      <c r="P52" s="1708"/>
      <c r="Q52" s="1708"/>
      <c r="R52" s="1708"/>
    </row>
    <row r="53" spans="1:18" ht="19.5" customHeight="1">
      <c r="A53" s="1736" t="s">
        <v>398</v>
      </c>
      <c r="B53" s="1737">
        <v>70</v>
      </c>
      <c r="C53" s="1737"/>
      <c r="D53" s="1737">
        <v>70</v>
      </c>
      <c r="E53" s="1708"/>
      <c r="F53" s="1708"/>
      <c r="G53" s="1708"/>
      <c r="H53" s="1708"/>
      <c r="I53" s="1708"/>
      <c r="J53" s="1708"/>
      <c r="K53" s="1708"/>
      <c r="L53" s="1708"/>
      <c r="M53" s="1708"/>
      <c r="N53" s="1708"/>
      <c r="O53" s="1708"/>
      <c r="P53" s="1708"/>
      <c r="Q53" s="1708"/>
      <c r="R53" s="1708"/>
    </row>
    <row r="54" spans="1:18" ht="19.5" customHeight="1">
      <c r="A54" s="1736" t="s">
        <v>399</v>
      </c>
      <c r="B54" s="1737">
        <v>580</v>
      </c>
      <c r="C54" s="1737"/>
      <c r="D54" s="1737">
        <v>580</v>
      </c>
      <c r="E54" s="1708"/>
      <c r="F54" s="1708"/>
      <c r="G54" s="1708"/>
      <c r="H54" s="1708"/>
      <c r="I54" s="1708"/>
      <c r="J54" s="1708"/>
      <c r="K54" s="1708"/>
      <c r="L54" s="1708"/>
      <c r="M54" s="1708"/>
      <c r="N54" s="1708"/>
      <c r="O54" s="1708"/>
      <c r="P54" s="1708"/>
      <c r="Q54" s="1708"/>
      <c r="R54" s="1708"/>
    </row>
    <row r="55" spans="1:18" ht="19.5" customHeight="1">
      <c r="A55" s="1736" t="s">
        <v>400</v>
      </c>
      <c r="B55" s="1737">
        <v>1610</v>
      </c>
      <c r="C55" s="1737"/>
      <c r="D55" s="1737">
        <v>1610</v>
      </c>
      <c r="E55" s="1708"/>
      <c r="F55" s="1708"/>
      <c r="G55" s="1708"/>
      <c r="H55" s="1708"/>
      <c r="I55" s="1708"/>
      <c r="J55" s="1708"/>
      <c r="K55" s="1708"/>
      <c r="L55" s="1708"/>
      <c r="M55" s="1708"/>
      <c r="N55" s="1708"/>
      <c r="O55" s="1708"/>
      <c r="P55" s="1708"/>
      <c r="Q55" s="1708"/>
      <c r="R55" s="1708"/>
    </row>
    <row r="56" spans="1:18" ht="19.5" customHeight="1">
      <c r="A56" s="1736" t="s">
        <v>385</v>
      </c>
      <c r="B56" s="1737">
        <v>290</v>
      </c>
      <c r="C56" s="1737"/>
      <c r="D56" s="1737">
        <v>290</v>
      </c>
      <c r="E56" s="1708"/>
      <c r="F56" s="1708"/>
      <c r="G56" s="1708"/>
      <c r="H56" s="1708"/>
      <c r="I56" s="1708"/>
      <c r="J56" s="1708"/>
      <c r="K56" s="1708"/>
      <c r="L56" s="1708"/>
      <c r="M56" s="1708"/>
      <c r="N56" s="1708"/>
      <c r="O56" s="1708"/>
      <c r="P56" s="1708"/>
      <c r="Q56" s="1708"/>
      <c r="R56" s="1708"/>
    </row>
    <row r="57" spans="1:18" ht="19.5" customHeight="1">
      <c r="A57" s="1736" t="s">
        <v>379</v>
      </c>
      <c r="B57" s="1737">
        <v>2188</v>
      </c>
      <c r="C57" s="1737"/>
      <c r="D57" s="1737">
        <v>2188</v>
      </c>
      <c r="E57" s="1708"/>
      <c r="F57" s="1708"/>
      <c r="G57" s="1708"/>
      <c r="H57" s="1708"/>
      <c r="I57" s="1708"/>
      <c r="J57" s="1708"/>
      <c r="K57" s="1708"/>
      <c r="L57" s="1708"/>
      <c r="M57" s="1708"/>
      <c r="N57" s="1708"/>
      <c r="O57" s="1708"/>
      <c r="P57" s="1708"/>
      <c r="Q57" s="1708"/>
      <c r="R57" s="1708"/>
    </row>
    <row r="58" spans="1:18" ht="19.5" customHeight="1">
      <c r="A58" s="1736" t="s">
        <v>386</v>
      </c>
      <c r="B58" s="1737">
        <v>45</v>
      </c>
      <c r="C58" s="1737"/>
      <c r="D58" s="1737">
        <v>45</v>
      </c>
      <c r="E58" s="1708"/>
      <c r="F58" s="1708"/>
      <c r="G58" s="1708"/>
      <c r="H58" s="1708"/>
      <c r="I58" s="1708"/>
      <c r="J58" s="1708"/>
      <c r="K58" s="1708"/>
      <c r="L58" s="1708"/>
      <c r="M58" s="1708"/>
      <c r="N58" s="1708"/>
      <c r="O58" s="1708"/>
      <c r="P58" s="1708"/>
      <c r="Q58" s="1708"/>
      <c r="R58" s="1708"/>
    </row>
    <row r="59" spans="1:18" ht="19.5" customHeight="1">
      <c r="A59" s="1736" t="s">
        <v>447</v>
      </c>
      <c r="B59" s="1737">
        <v>120</v>
      </c>
      <c r="C59" s="1737"/>
      <c r="D59" s="1737">
        <v>120</v>
      </c>
      <c r="E59" s="1708"/>
      <c r="F59" s="1708"/>
      <c r="G59" s="1708"/>
      <c r="H59" s="1708"/>
      <c r="I59" s="1708"/>
      <c r="J59" s="1708"/>
      <c r="K59" s="1708"/>
      <c r="L59" s="1708"/>
      <c r="M59" s="1708"/>
      <c r="N59" s="1708"/>
      <c r="O59" s="1708"/>
      <c r="P59" s="1708"/>
      <c r="Q59" s="1708"/>
      <c r="R59" s="1708"/>
    </row>
    <row r="60" spans="1:18" ht="19.5" customHeight="1">
      <c r="A60" s="1734" t="s">
        <v>384</v>
      </c>
      <c r="B60" s="1735">
        <v>1309.4999</v>
      </c>
      <c r="C60" s="1735">
        <v>4650.0200000000004</v>
      </c>
      <c r="D60" s="1735">
        <v>5959.5198999999993</v>
      </c>
      <c r="E60" s="1708"/>
      <c r="F60" s="1708"/>
      <c r="G60" s="1708"/>
      <c r="H60" s="1708"/>
      <c r="I60" s="1708"/>
      <c r="J60" s="1708"/>
      <c r="K60" s="1708"/>
      <c r="L60" s="1708"/>
      <c r="M60" s="1708"/>
      <c r="N60" s="1708"/>
      <c r="O60" s="1708"/>
      <c r="P60" s="1708"/>
      <c r="Q60" s="1708"/>
      <c r="R60" s="1708"/>
    </row>
    <row r="61" spans="1:18" ht="19.5" customHeight="1">
      <c r="A61" s="1736" t="s">
        <v>517</v>
      </c>
      <c r="B61" s="1737"/>
      <c r="C61" s="1737">
        <v>1238.4000000000001</v>
      </c>
      <c r="D61" s="1737">
        <v>1238.4000000000001</v>
      </c>
      <c r="E61" s="1708"/>
      <c r="F61" s="1708"/>
      <c r="G61" s="1708"/>
      <c r="H61" s="1708"/>
      <c r="I61" s="1708"/>
      <c r="J61" s="1708"/>
      <c r="K61" s="1708"/>
      <c r="L61" s="1708"/>
      <c r="M61" s="1708"/>
      <c r="N61" s="1708"/>
      <c r="O61" s="1708"/>
      <c r="P61" s="1708"/>
      <c r="Q61" s="1708"/>
      <c r="R61" s="1708"/>
    </row>
    <row r="62" spans="1:18" ht="19.5" customHeight="1">
      <c r="A62" s="1736" t="s">
        <v>518</v>
      </c>
      <c r="B62" s="1737"/>
      <c r="C62" s="1737">
        <v>1135.2</v>
      </c>
      <c r="D62" s="1737">
        <v>1135.2</v>
      </c>
      <c r="E62" s="1708"/>
      <c r="F62" s="1708"/>
      <c r="G62" s="1708"/>
      <c r="H62" s="1708"/>
      <c r="I62" s="1708"/>
      <c r="J62" s="1708"/>
      <c r="K62" s="1708"/>
      <c r="L62" s="1708"/>
      <c r="M62" s="1708"/>
      <c r="N62" s="1708"/>
      <c r="O62" s="1708"/>
      <c r="P62" s="1708"/>
      <c r="Q62" s="1708"/>
      <c r="R62" s="1708"/>
    </row>
    <row r="63" spans="1:18" ht="19.5" customHeight="1">
      <c r="A63" s="1736" t="s">
        <v>387</v>
      </c>
      <c r="B63" s="1737">
        <v>299</v>
      </c>
      <c r="C63" s="1737"/>
      <c r="D63" s="1737">
        <v>299</v>
      </c>
      <c r="E63" s="1708"/>
      <c r="F63" s="1708"/>
      <c r="G63" s="1708"/>
      <c r="H63" s="1708"/>
      <c r="I63" s="1708"/>
      <c r="J63" s="1708"/>
      <c r="K63" s="1708"/>
      <c r="L63" s="1708"/>
      <c r="M63" s="1708"/>
      <c r="N63" s="1708"/>
      <c r="O63" s="1708"/>
      <c r="P63" s="1708"/>
      <c r="Q63" s="1708"/>
      <c r="R63" s="1708"/>
    </row>
    <row r="64" spans="1:18" ht="19.5" customHeight="1">
      <c r="A64" s="1736" t="s">
        <v>449</v>
      </c>
      <c r="B64" s="1737">
        <v>960</v>
      </c>
      <c r="C64" s="1737"/>
      <c r="D64" s="1737">
        <v>960</v>
      </c>
      <c r="E64" s="1708"/>
      <c r="F64" s="1708"/>
      <c r="G64" s="1708"/>
      <c r="H64" s="1708"/>
      <c r="I64" s="1708"/>
      <c r="J64" s="1708"/>
      <c r="K64" s="1708"/>
      <c r="L64" s="1708"/>
      <c r="M64" s="1708"/>
      <c r="N64" s="1708"/>
      <c r="O64" s="1708"/>
      <c r="P64" s="1708"/>
      <c r="Q64" s="1708"/>
      <c r="R64" s="1708"/>
    </row>
    <row r="65" spans="1:18" ht="19.5" customHeight="1">
      <c r="A65" s="1736" t="s">
        <v>450</v>
      </c>
      <c r="B65" s="1737">
        <v>50.499900000000004</v>
      </c>
      <c r="C65" s="1737"/>
      <c r="D65" s="1737">
        <v>50.499900000000004</v>
      </c>
      <c r="E65" s="1708"/>
      <c r="F65" s="1708"/>
      <c r="G65" s="1708"/>
      <c r="H65" s="1708"/>
      <c r="I65" s="1708"/>
      <c r="J65" s="1708"/>
      <c r="K65" s="1708"/>
      <c r="L65" s="1708"/>
      <c r="M65" s="1708"/>
      <c r="N65" s="1708"/>
      <c r="O65" s="1708"/>
      <c r="P65" s="1708"/>
      <c r="Q65" s="1708"/>
      <c r="R65" s="1708"/>
    </row>
    <row r="66" spans="1:18" ht="19.5" customHeight="1">
      <c r="A66" s="1736" t="s">
        <v>519</v>
      </c>
      <c r="B66" s="1737"/>
      <c r="C66" s="1737">
        <v>256.27999999999997</v>
      </c>
      <c r="D66" s="1737">
        <v>256.27999999999997</v>
      </c>
      <c r="E66" s="1708"/>
      <c r="F66" s="1708"/>
      <c r="G66" s="1708"/>
      <c r="H66" s="1708"/>
      <c r="I66" s="1708"/>
      <c r="J66" s="1708"/>
      <c r="K66" s="1708"/>
      <c r="L66" s="1708"/>
      <c r="M66" s="1708"/>
      <c r="N66" s="1708"/>
      <c r="O66" s="1708"/>
      <c r="P66" s="1708"/>
      <c r="Q66" s="1708"/>
      <c r="R66" s="1708"/>
    </row>
    <row r="67" spans="1:18" ht="19.5" customHeight="1">
      <c r="A67" s="1736" t="s">
        <v>520</v>
      </c>
      <c r="B67" s="1737"/>
      <c r="C67" s="1737">
        <v>128.13999999999999</v>
      </c>
      <c r="D67" s="1737">
        <v>128.13999999999999</v>
      </c>
      <c r="E67" s="1708"/>
      <c r="F67" s="1708"/>
      <c r="G67" s="1708"/>
      <c r="H67" s="1708"/>
      <c r="I67" s="1708"/>
      <c r="J67" s="1708"/>
      <c r="K67" s="1708"/>
      <c r="L67" s="1708"/>
      <c r="M67" s="1708"/>
      <c r="N67" s="1708"/>
      <c r="O67" s="1708"/>
      <c r="P67" s="1708"/>
      <c r="Q67" s="1708"/>
      <c r="R67" s="1708"/>
    </row>
    <row r="68" spans="1:18" ht="19.5" customHeight="1">
      <c r="A68" s="1736" t="s">
        <v>521</v>
      </c>
      <c r="B68" s="1737"/>
      <c r="C68" s="1737">
        <v>1892</v>
      </c>
      <c r="D68" s="1737">
        <v>1892</v>
      </c>
      <c r="E68" s="1708"/>
      <c r="F68" s="1708"/>
      <c r="G68" s="1708"/>
      <c r="H68" s="1708"/>
      <c r="I68" s="1708"/>
      <c r="J68" s="1708"/>
      <c r="K68" s="1708"/>
      <c r="L68" s="1708"/>
      <c r="M68" s="1708"/>
      <c r="N68" s="1708"/>
      <c r="O68" s="1708"/>
      <c r="P68" s="1708"/>
      <c r="Q68" s="1708"/>
      <c r="R68" s="1708"/>
    </row>
    <row r="69" spans="1:18" ht="19.5" customHeight="1" thickBot="1">
      <c r="A69" s="1739" t="s">
        <v>127</v>
      </c>
      <c r="B69" s="1740">
        <v>297566.60856269998</v>
      </c>
      <c r="C69" s="1740">
        <v>144852.02800000002</v>
      </c>
      <c r="D69" s="1740">
        <v>442418.63656270015</v>
      </c>
      <c r="E69" s="1708"/>
      <c r="F69" s="1708"/>
      <c r="G69" s="1708"/>
      <c r="H69" s="1708"/>
      <c r="I69" s="1708"/>
      <c r="J69" s="1708"/>
      <c r="K69" s="1708"/>
      <c r="L69" s="1708"/>
      <c r="M69" s="1708"/>
      <c r="N69" s="1708"/>
      <c r="O69" s="1708"/>
      <c r="P69" s="1708"/>
      <c r="Q69" s="1708"/>
      <c r="R69" s="1708"/>
    </row>
    <row r="70" spans="1:18" ht="19.5" customHeight="1">
      <c r="A70" s="1741"/>
      <c r="B70" s="1708"/>
      <c r="C70" s="1708"/>
      <c r="D70" s="1708"/>
      <c r="E70" s="1708"/>
      <c r="F70" s="1708"/>
      <c r="G70" s="1708"/>
      <c r="H70" s="1708"/>
      <c r="I70" s="1708"/>
      <c r="J70" s="1708"/>
      <c r="K70" s="1708"/>
      <c r="L70" s="1708"/>
      <c r="M70" s="1708"/>
      <c r="N70" s="1708"/>
      <c r="O70" s="1708"/>
      <c r="P70" s="1708"/>
      <c r="Q70" s="1708"/>
      <c r="R70" s="1708"/>
    </row>
    <row r="71" spans="1:18" ht="19.5" customHeight="1">
      <c r="A71" s="1741"/>
      <c r="B71" s="1708"/>
      <c r="C71" s="1708"/>
      <c r="D71" s="1708"/>
      <c r="E71" s="1708"/>
      <c r="F71" s="1708"/>
      <c r="G71" s="1708"/>
      <c r="H71" s="1708"/>
      <c r="I71" s="1708"/>
      <c r="J71" s="1708"/>
      <c r="K71" s="1708"/>
      <c r="L71" s="1708"/>
      <c r="M71" s="1708"/>
      <c r="N71" s="1708"/>
      <c r="O71" s="1708"/>
      <c r="P71" s="1708"/>
      <c r="Q71" s="1708"/>
      <c r="R71" s="1708"/>
    </row>
    <row r="72" spans="1:18" ht="19.5" customHeight="1">
      <c r="A72" s="1741"/>
      <c r="B72" s="1708"/>
      <c r="C72" s="1708"/>
      <c r="D72" s="1708"/>
      <c r="E72" s="1708"/>
      <c r="F72" s="1708"/>
      <c r="G72" s="1708"/>
      <c r="H72" s="1708"/>
      <c r="I72" s="1708"/>
      <c r="J72" s="1708"/>
      <c r="K72" s="1708"/>
      <c r="L72" s="1708"/>
      <c r="M72" s="1708"/>
      <c r="N72" s="1708"/>
      <c r="O72" s="1708"/>
      <c r="P72" s="1708"/>
      <c r="Q72" s="1708"/>
      <c r="R72" s="1708"/>
    </row>
    <row r="73" spans="1:18" ht="19.5" customHeight="1">
      <c r="A73" s="1741"/>
      <c r="B73" s="1708"/>
      <c r="C73" s="1708"/>
      <c r="D73" s="1708"/>
      <c r="E73" s="1708"/>
      <c r="F73" s="1708"/>
      <c r="G73" s="1708"/>
      <c r="H73" s="1708"/>
      <c r="I73" s="1708"/>
      <c r="J73" s="1708"/>
      <c r="K73" s="1708"/>
      <c r="L73" s="1708"/>
      <c r="M73" s="1708"/>
      <c r="N73" s="1708"/>
      <c r="O73" s="1708"/>
      <c r="P73" s="1708"/>
      <c r="Q73" s="1708"/>
      <c r="R73" s="1708"/>
    </row>
    <row r="74" spans="1:18" ht="19.5" customHeight="1">
      <c r="A74" s="1741"/>
      <c r="B74" s="1708"/>
      <c r="C74" s="1708"/>
      <c r="D74" s="1708"/>
      <c r="E74" s="1708"/>
      <c r="F74" s="1708"/>
      <c r="G74" s="1708"/>
      <c r="H74" s="1708"/>
      <c r="I74" s="1708"/>
      <c r="J74" s="1708"/>
      <c r="K74" s="1708"/>
      <c r="L74" s="1708"/>
      <c r="M74" s="1708"/>
      <c r="N74" s="1708"/>
      <c r="O74" s="1708"/>
      <c r="P74" s="1708"/>
      <c r="Q74" s="1708"/>
      <c r="R74" s="1708"/>
    </row>
    <row r="75" spans="1:18" ht="19.5" customHeight="1">
      <c r="A75" s="1741"/>
      <c r="B75" s="1708"/>
      <c r="C75" s="1708"/>
      <c r="D75" s="1708"/>
      <c r="E75" s="1708"/>
      <c r="F75" s="1708"/>
      <c r="G75" s="1708"/>
      <c r="H75" s="1708"/>
      <c r="I75" s="1708"/>
      <c r="J75" s="1708"/>
      <c r="K75" s="1708"/>
      <c r="L75" s="1708"/>
      <c r="M75" s="1708"/>
      <c r="N75" s="1708"/>
      <c r="O75" s="1708"/>
      <c r="P75" s="1708"/>
      <c r="Q75" s="1708"/>
      <c r="R75" s="1708"/>
    </row>
    <row r="76" spans="1:18" ht="19.5" customHeight="1">
      <c r="A76" s="1741"/>
      <c r="B76" s="1708"/>
      <c r="C76" s="1708"/>
      <c r="D76" s="1708"/>
      <c r="E76" s="1708"/>
      <c r="F76" s="1708"/>
      <c r="G76" s="1708"/>
      <c r="H76" s="1708"/>
      <c r="I76" s="1708"/>
      <c r="J76" s="1708"/>
      <c r="K76" s="1708"/>
      <c r="L76" s="1708"/>
      <c r="M76" s="1708"/>
      <c r="N76" s="1708"/>
      <c r="O76" s="1708"/>
      <c r="P76" s="1708"/>
      <c r="Q76" s="1708"/>
      <c r="R76" s="1708"/>
    </row>
    <row r="77" spans="1:18" ht="19.5" customHeight="1">
      <c r="A77" s="1741"/>
      <c r="B77" s="1708"/>
      <c r="C77" s="1708"/>
      <c r="D77" s="1708"/>
      <c r="E77" s="1708"/>
      <c r="F77" s="1708"/>
      <c r="G77" s="1708"/>
      <c r="H77" s="1708"/>
      <c r="I77" s="1708"/>
      <c r="J77" s="1708"/>
      <c r="K77" s="1708"/>
      <c r="L77" s="1708"/>
      <c r="M77" s="1708"/>
      <c r="N77" s="1708"/>
      <c r="O77" s="1708"/>
      <c r="P77" s="1708"/>
      <c r="Q77" s="1708"/>
      <c r="R77" s="1708"/>
    </row>
    <row r="78" spans="1:18" ht="19.5" customHeight="1">
      <c r="A78" s="1741"/>
      <c r="B78" s="1708"/>
      <c r="C78" s="1708"/>
      <c r="D78" s="1708"/>
      <c r="E78" s="1708"/>
      <c r="F78" s="1708"/>
      <c r="G78" s="1708"/>
      <c r="H78" s="1708"/>
      <c r="I78" s="1708"/>
      <c r="J78" s="1708"/>
      <c r="K78" s="1708"/>
      <c r="L78" s="1708"/>
      <c r="M78" s="1708"/>
      <c r="N78" s="1708"/>
      <c r="O78" s="1708"/>
      <c r="P78" s="1708"/>
      <c r="Q78" s="1708"/>
      <c r="R78" s="1708"/>
    </row>
    <row r="79" spans="1:18" ht="19.5" customHeight="1">
      <c r="A79" s="1741"/>
      <c r="B79" s="1708"/>
      <c r="C79" s="1708"/>
      <c r="D79" s="1708"/>
      <c r="E79" s="1708"/>
      <c r="F79" s="1708"/>
      <c r="G79" s="1708"/>
      <c r="H79" s="1708"/>
      <c r="I79" s="1708"/>
      <c r="J79" s="1708"/>
      <c r="K79" s="1708"/>
      <c r="L79" s="1708"/>
      <c r="M79" s="1708"/>
      <c r="N79" s="1708"/>
      <c r="O79" s="1708"/>
      <c r="P79" s="1708"/>
      <c r="Q79" s="1708"/>
      <c r="R79" s="1708"/>
    </row>
    <row r="80" spans="1:18" ht="19.5" customHeight="1">
      <c r="A80" s="1741"/>
      <c r="B80" s="1708"/>
      <c r="C80" s="1708"/>
      <c r="D80" s="1708"/>
      <c r="E80" s="1708"/>
      <c r="F80" s="1708"/>
      <c r="G80" s="1708"/>
      <c r="H80" s="1708"/>
      <c r="I80" s="1708"/>
      <c r="J80" s="1708"/>
      <c r="K80" s="1708"/>
      <c r="L80" s="1708"/>
      <c r="M80" s="1708"/>
      <c r="N80" s="1708"/>
      <c r="O80" s="1708"/>
      <c r="P80" s="1708"/>
      <c r="Q80" s="1708"/>
      <c r="R80" s="1708"/>
    </row>
    <row r="81" spans="1:18" ht="19.5" customHeight="1">
      <c r="A81" s="1741"/>
      <c r="B81" s="1708"/>
      <c r="C81" s="1708"/>
      <c r="D81" s="1708"/>
      <c r="E81" s="1708"/>
      <c r="F81" s="1708"/>
      <c r="G81" s="1708"/>
      <c r="H81" s="1708"/>
      <c r="I81" s="1708"/>
      <c r="J81" s="1708"/>
      <c r="K81" s="1708"/>
      <c r="L81" s="1708"/>
      <c r="M81" s="1708"/>
      <c r="N81" s="1708"/>
      <c r="O81" s="1708"/>
      <c r="P81" s="1708"/>
      <c r="Q81" s="1708"/>
      <c r="R81" s="1708"/>
    </row>
    <row r="82" spans="1:18" ht="19.5" customHeight="1">
      <c r="A82" s="1741"/>
      <c r="B82" s="1708"/>
      <c r="C82" s="1708"/>
      <c r="D82" s="1708"/>
      <c r="E82" s="1708"/>
      <c r="F82" s="1708"/>
      <c r="G82" s="1708"/>
      <c r="H82" s="1708"/>
      <c r="I82" s="1708"/>
      <c r="J82" s="1708"/>
      <c r="K82" s="1708"/>
      <c r="L82" s="1708"/>
      <c r="M82" s="1708"/>
      <c r="N82" s="1708"/>
      <c r="O82" s="1708"/>
      <c r="P82" s="1708"/>
      <c r="Q82" s="1708"/>
      <c r="R82" s="1708"/>
    </row>
    <row r="83" spans="1:18" ht="19.5" customHeight="1">
      <c r="A83" s="1741"/>
      <c r="B83" s="1708"/>
      <c r="C83" s="1708"/>
      <c r="D83" s="1708"/>
      <c r="E83" s="1708"/>
      <c r="F83" s="1708"/>
      <c r="G83" s="1708"/>
      <c r="H83" s="1708"/>
      <c r="I83" s="1708"/>
      <c r="J83" s="1708"/>
      <c r="K83" s="1708"/>
      <c r="L83" s="1708"/>
      <c r="M83" s="1708"/>
      <c r="N83" s="1708"/>
      <c r="O83" s="1708"/>
      <c r="P83" s="1708"/>
      <c r="Q83" s="1708"/>
      <c r="R83" s="1708"/>
    </row>
    <row r="84" spans="1:18" ht="19.5" customHeight="1">
      <c r="A84" s="1741"/>
      <c r="B84" s="1708"/>
      <c r="C84" s="1708"/>
      <c r="D84" s="1708"/>
      <c r="E84" s="1708"/>
      <c r="F84" s="1708"/>
      <c r="G84" s="1708"/>
      <c r="H84" s="1708"/>
      <c r="I84" s="1708"/>
      <c r="J84" s="1708"/>
      <c r="K84" s="1708"/>
      <c r="L84" s="1708"/>
      <c r="M84" s="1708"/>
      <c r="N84" s="1708"/>
      <c r="O84" s="1708"/>
      <c r="P84" s="1708"/>
      <c r="Q84" s="1708"/>
      <c r="R84" s="1708"/>
    </row>
    <row r="85" spans="1:18" ht="19.5" customHeight="1">
      <c r="A85" s="1741"/>
      <c r="B85" s="1708"/>
      <c r="C85" s="1708"/>
      <c r="D85" s="1708"/>
      <c r="E85" s="1708"/>
      <c r="F85" s="1708"/>
      <c r="G85" s="1708"/>
      <c r="H85" s="1708"/>
      <c r="I85" s="1708"/>
      <c r="J85" s="1708"/>
      <c r="K85" s="1708"/>
      <c r="L85" s="1708"/>
      <c r="M85" s="1708"/>
      <c r="N85" s="1708"/>
      <c r="O85" s="1708"/>
      <c r="P85" s="1708"/>
      <c r="Q85" s="1708"/>
      <c r="R85" s="1708"/>
    </row>
    <row r="86" spans="1:18" ht="19.5" customHeight="1">
      <c r="A86" s="1741"/>
      <c r="B86" s="1708"/>
      <c r="C86" s="1708"/>
      <c r="D86" s="1708"/>
      <c r="E86" s="1708"/>
      <c r="F86" s="1708"/>
      <c r="G86" s="1708"/>
      <c r="H86" s="1708"/>
      <c r="I86" s="1708"/>
      <c r="J86" s="1708"/>
      <c r="K86" s="1708"/>
      <c r="L86" s="1708"/>
      <c r="M86" s="1708"/>
      <c r="N86" s="1708"/>
      <c r="O86" s="1708"/>
      <c r="P86" s="1708"/>
      <c r="Q86" s="1708"/>
      <c r="R86" s="1708"/>
    </row>
    <row r="87" spans="1:18" ht="19.5" customHeight="1">
      <c r="A87" s="1741"/>
      <c r="B87" s="1708"/>
      <c r="C87" s="1708"/>
      <c r="D87" s="1708"/>
      <c r="E87" s="1708"/>
      <c r="F87" s="1708"/>
      <c r="G87" s="1708"/>
      <c r="H87" s="1708"/>
      <c r="I87" s="1708"/>
      <c r="J87" s="1708"/>
      <c r="K87" s="1708"/>
      <c r="L87" s="1708"/>
      <c r="M87" s="1708"/>
      <c r="N87" s="1708"/>
      <c r="O87" s="1708"/>
      <c r="P87" s="1708"/>
      <c r="Q87" s="1708"/>
      <c r="R87" s="1708"/>
    </row>
    <row r="88" spans="1:18" ht="19.5" customHeight="1">
      <c r="A88" s="1741"/>
      <c r="B88" s="1708"/>
      <c r="C88" s="1708"/>
      <c r="D88" s="1708"/>
      <c r="E88" s="1708"/>
      <c r="F88" s="1708"/>
      <c r="G88" s="1708"/>
      <c r="H88" s="1708"/>
      <c r="I88" s="1708"/>
      <c r="J88" s="1708"/>
      <c r="K88" s="1708"/>
      <c r="L88" s="1708"/>
      <c r="M88" s="1708"/>
      <c r="N88" s="1708"/>
      <c r="O88" s="1708"/>
      <c r="P88" s="1708"/>
      <c r="Q88" s="1708"/>
      <c r="R88" s="1708"/>
    </row>
    <row r="89" spans="1:18" ht="19.5" customHeight="1">
      <c r="A89" s="1741"/>
      <c r="B89" s="1708"/>
      <c r="C89" s="1708"/>
      <c r="D89" s="1708"/>
      <c r="E89" s="1708"/>
      <c r="F89" s="1708"/>
      <c r="G89" s="1708"/>
      <c r="H89" s="1708"/>
      <c r="I89" s="1708"/>
      <c r="J89" s="1708"/>
      <c r="K89" s="1708"/>
      <c r="L89" s="1708"/>
      <c r="M89" s="1708"/>
      <c r="N89" s="1708"/>
      <c r="O89" s="1708"/>
      <c r="P89" s="1708"/>
      <c r="Q89" s="1708"/>
      <c r="R89" s="1708"/>
    </row>
    <row r="90" spans="1:18" ht="19.5" customHeight="1">
      <c r="A90" s="1741"/>
      <c r="B90" s="1708"/>
      <c r="C90" s="1708"/>
      <c r="D90" s="1708"/>
      <c r="E90" s="1708"/>
      <c r="F90" s="1708"/>
      <c r="G90" s="1708"/>
      <c r="H90" s="1708"/>
      <c r="I90" s="1708"/>
      <c r="J90" s="1708"/>
      <c r="K90" s="1708"/>
      <c r="L90" s="1708"/>
      <c r="M90" s="1708"/>
      <c r="N90" s="1708"/>
      <c r="O90" s="1708"/>
      <c r="P90" s="1708"/>
      <c r="Q90" s="1708"/>
      <c r="R90" s="1708"/>
    </row>
    <row r="91" spans="1:18" ht="19.5" customHeight="1">
      <c r="A91" s="1741"/>
      <c r="B91" s="1708"/>
      <c r="C91" s="1708"/>
      <c r="D91" s="1708"/>
      <c r="E91" s="1708"/>
      <c r="F91" s="1708"/>
      <c r="G91" s="1708"/>
      <c r="H91" s="1708"/>
      <c r="I91" s="1708"/>
      <c r="J91" s="1708"/>
      <c r="K91" s="1708"/>
      <c r="L91" s="1708"/>
      <c r="M91" s="1708"/>
      <c r="N91" s="1708"/>
      <c r="O91" s="1708"/>
      <c r="P91" s="1708"/>
      <c r="Q91" s="1708"/>
      <c r="R91" s="1708"/>
    </row>
    <row r="92" spans="1:18" ht="19.5" customHeight="1">
      <c r="A92" s="1741"/>
      <c r="B92" s="1708"/>
      <c r="C92" s="1708"/>
      <c r="D92" s="1708"/>
      <c r="E92" s="1708"/>
      <c r="F92" s="1708"/>
      <c r="G92" s="1708"/>
      <c r="H92" s="1708"/>
      <c r="I92" s="1708"/>
      <c r="J92" s="1708"/>
      <c r="K92" s="1708"/>
      <c r="L92" s="1708"/>
      <c r="M92" s="1708"/>
      <c r="N92" s="1708"/>
      <c r="O92" s="1708"/>
      <c r="P92" s="1708"/>
      <c r="Q92" s="1708"/>
      <c r="R92" s="1708"/>
    </row>
    <row r="93" spans="1:18" ht="19.5" customHeight="1">
      <c r="A93" s="1741"/>
      <c r="B93" s="1708"/>
      <c r="C93" s="1708"/>
      <c r="D93" s="1708"/>
      <c r="E93" s="1708"/>
      <c r="F93" s="1708"/>
      <c r="G93" s="1708"/>
      <c r="H93" s="1708"/>
      <c r="I93" s="1708"/>
      <c r="J93" s="1708"/>
      <c r="K93" s="1708"/>
      <c r="L93" s="1708"/>
      <c r="M93" s="1708"/>
      <c r="N93" s="1708"/>
      <c r="O93" s="1708"/>
      <c r="P93" s="1708"/>
      <c r="Q93" s="1708"/>
      <c r="R93" s="1708"/>
    </row>
    <row r="94" spans="1:18" ht="19.5" customHeight="1">
      <c r="A94" s="1741"/>
      <c r="B94" s="1708"/>
      <c r="C94" s="1708"/>
      <c r="D94" s="1708"/>
      <c r="E94" s="1708"/>
      <c r="F94" s="1708"/>
      <c r="G94" s="1708"/>
      <c r="H94" s="1708"/>
      <c r="I94" s="1708"/>
      <c r="J94" s="1708"/>
      <c r="K94" s="1708"/>
      <c r="L94" s="1708"/>
      <c r="M94" s="1708"/>
      <c r="N94" s="1708"/>
      <c r="O94" s="1708"/>
      <c r="P94" s="1708"/>
      <c r="Q94" s="1708"/>
      <c r="R94" s="1708"/>
    </row>
    <row r="95" spans="1:18" ht="19.5" customHeight="1">
      <c r="A95" s="1741"/>
      <c r="B95" s="1708"/>
      <c r="C95" s="1708"/>
      <c r="D95" s="1708"/>
      <c r="E95" s="1708"/>
      <c r="F95" s="1708"/>
      <c r="G95" s="1708"/>
      <c r="H95" s="1708"/>
      <c r="I95" s="1708"/>
      <c r="J95" s="1708"/>
      <c r="K95" s="1708"/>
      <c r="L95" s="1708"/>
      <c r="M95" s="1708"/>
      <c r="N95" s="1708"/>
      <c r="O95" s="1708"/>
      <c r="P95" s="1708"/>
      <c r="Q95" s="1708"/>
      <c r="R95" s="1708"/>
    </row>
    <row r="96" spans="1:18" ht="19.5" customHeight="1">
      <c r="A96" s="1741"/>
      <c r="B96" s="1708"/>
      <c r="C96" s="1708"/>
      <c r="D96" s="1708"/>
      <c r="E96" s="1708"/>
      <c r="F96" s="1708"/>
      <c r="G96" s="1708"/>
      <c r="H96" s="1708"/>
      <c r="I96" s="1708"/>
      <c r="J96" s="1708"/>
      <c r="K96" s="1708"/>
      <c r="L96" s="1708"/>
      <c r="M96" s="1708"/>
      <c r="N96" s="1708"/>
      <c r="O96" s="1708"/>
      <c r="P96" s="1708"/>
      <c r="Q96" s="1708"/>
      <c r="R96" s="1708"/>
    </row>
    <row r="97" spans="1:18" ht="19.5" customHeight="1">
      <c r="A97" s="1741"/>
      <c r="B97" s="1708"/>
      <c r="C97" s="1708"/>
      <c r="D97" s="1708"/>
      <c r="E97" s="1708"/>
      <c r="F97" s="1708"/>
      <c r="G97" s="1708"/>
      <c r="H97" s="1708"/>
      <c r="I97" s="1708"/>
      <c r="J97" s="1708"/>
      <c r="K97" s="1708"/>
      <c r="L97" s="1708"/>
      <c r="M97" s="1708"/>
      <c r="N97" s="1708"/>
      <c r="O97" s="1708"/>
      <c r="P97" s="1708"/>
      <c r="Q97" s="1708"/>
      <c r="R97" s="1708"/>
    </row>
    <row r="98" spans="1:18" ht="19.5" customHeight="1">
      <c r="A98" s="1741"/>
      <c r="B98" s="1708"/>
      <c r="C98" s="1708"/>
      <c r="D98" s="1708"/>
      <c r="E98" s="1708"/>
      <c r="F98" s="1708"/>
      <c r="G98" s="1708"/>
      <c r="H98" s="1708"/>
      <c r="I98" s="1708"/>
      <c r="J98" s="1708"/>
      <c r="K98" s="1708"/>
      <c r="L98" s="1708"/>
      <c r="M98" s="1708"/>
      <c r="N98" s="1708"/>
      <c r="O98" s="1708"/>
      <c r="P98" s="1708"/>
      <c r="Q98" s="1708"/>
      <c r="R98" s="1708"/>
    </row>
    <row r="99" spans="1:18" ht="19.5" customHeight="1">
      <c r="A99" s="1741"/>
      <c r="B99" s="1708"/>
      <c r="C99" s="1708"/>
      <c r="D99" s="1708"/>
      <c r="E99" s="1708"/>
      <c r="F99" s="1708"/>
      <c r="G99" s="1708"/>
      <c r="H99" s="1708"/>
      <c r="I99" s="1708"/>
      <c r="J99" s="1708"/>
      <c r="K99" s="1708"/>
      <c r="L99" s="1708"/>
      <c r="M99" s="1708"/>
      <c r="N99" s="1708"/>
      <c r="O99" s="1708"/>
      <c r="P99" s="1708"/>
      <c r="Q99" s="1708"/>
      <c r="R99" s="1708"/>
    </row>
    <row r="100" spans="1:18" ht="19.5" customHeight="1">
      <c r="A100" s="1741"/>
      <c r="B100" s="1708"/>
      <c r="C100" s="1708"/>
      <c r="D100" s="1708"/>
      <c r="E100" s="1708"/>
      <c r="F100" s="1708"/>
      <c r="G100" s="1708"/>
      <c r="H100" s="1708"/>
      <c r="I100" s="1708"/>
      <c r="J100" s="1708"/>
      <c r="K100" s="1708"/>
      <c r="L100" s="1708"/>
      <c r="M100" s="1708"/>
      <c r="N100" s="1708"/>
      <c r="O100" s="1708"/>
      <c r="P100" s="1708"/>
      <c r="Q100" s="1708"/>
      <c r="R100" s="1708"/>
    </row>
    <row r="101" spans="1:18" ht="19.5" customHeight="1">
      <c r="A101" s="1741"/>
      <c r="B101" s="1708"/>
      <c r="C101" s="1708"/>
      <c r="D101" s="1708"/>
      <c r="E101" s="1708"/>
      <c r="F101" s="1708"/>
      <c r="G101" s="1708"/>
      <c r="H101" s="1708"/>
      <c r="I101" s="1708"/>
      <c r="J101" s="1708"/>
      <c r="K101" s="1708"/>
      <c r="L101" s="1708"/>
      <c r="M101" s="1708"/>
      <c r="N101" s="1708"/>
      <c r="O101" s="1708"/>
      <c r="P101" s="1708"/>
      <c r="Q101" s="1708"/>
      <c r="R101" s="1708"/>
    </row>
    <row r="102" spans="1:18" ht="19.5" customHeight="1">
      <c r="A102" s="1741"/>
      <c r="B102" s="1708"/>
      <c r="C102" s="1708"/>
      <c r="D102" s="1708"/>
      <c r="E102" s="1708"/>
      <c r="F102" s="1708"/>
      <c r="G102" s="1708"/>
      <c r="H102" s="1708"/>
      <c r="I102" s="1708"/>
      <c r="J102" s="1708"/>
      <c r="K102" s="1708"/>
      <c r="L102" s="1708"/>
      <c r="M102" s="1708"/>
      <c r="N102" s="1708"/>
      <c r="O102" s="1708"/>
      <c r="P102" s="1708"/>
      <c r="Q102" s="1708"/>
      <c r="R102" s="1708"/>
    </row>
    <row r="103" spans="1:18" ht="19.5" customHeight="1">
      <c r="A103" s="1741"/>
      <c r="B103" s="1708"/>
      <c r="C103" s="1708"/>
      <c r="D103" s="1708"/>
      <c r="E103" s="1708"/>
      <c r="F103" s="1708"/>
      <c r="G103" s="1708"/>
      <c r="H103" s="1708"/>
      <c r="I103" s="1708"/>
      <c r="J103" s="1708"/>
      <c r="K103" s="1708"/>
      <c r="L103" s="1708"/>
      <c r="M103" s="1708"/>
      <c r="N103" s="1708"/>
      <c r="O103" s="1708"/>
      <c r="P103" s="1708"/>
      <c r="Q103" s="1708"/>
      <c r="R103" s="1708"/>
    </row>
    <row r="104" spans="1:18" ht="19.5" customHeight="1">
      <c r="A104" s="1741"/>
      <c r="B104" s="1708"/>
      <c r="C104" s="1708"/>
      <c r="D104" s="1708"/>
      <c r="E104" s="1708"/>
      <c r="F104" s="1708"/>
      <c r="G104" s="1708"/>
      <c r="H104" s="1708"/>
      <c r="I104" s="1708"/>
      <c r="J104" s="1708"/>
      <c r="K104" s="1708"/>
      <c r="L104" s="1708"/>
      <c r="M104" s="1708"/>
      <c r="N104" s="1708"/>
      <c r="O104" s="1708"/>
      <c r="P104" s="1708"/>
      <c r="Q104" s="1708"/>
      <c r="R104" s="1708"/>
    </row>
    <row r="105" spans="1:18" ht="19.5" customHeight="1">
      <c r="A105" s="1741"/>
      <c r="B105" s="1708"/>
      <c r="C105" s="1708"/>
      <c r="D105" s="1708"/>
      <c r="E105" s="1708"/>
      <c r="F105" s="1708"/>
      <c r="G105" s="1708"/>
      <c r="H105" s="1708"/>
      <c r="I105" s="1708"/>
      <c r="J105" s="1708"/>
      <c r="K105" s="1708"/>
      <c r="L105" s="1708"/>
      <c r="M105" s="1708"/>
      <c r="N105" s="1708"/>
      <c r="O105" s="1708"/>
      <c r="P105" s="1708"/>
      <c r="Q105" s="1708"/>
      <c r="R105" s="1708"/>
    </row>
    <row r="106" spans="1:18" ht="19.5" customHeight="1">
      <c r="A106" s="1741"/>
      <c r="B106" s="1708"/>
      <c r="C106" s="1708"/>
      <c r="D106" s="1708"/>
      <c r="E106" s="1708"/>
      <c r="F106" s="1708"/>
      <c r="G106" s="1708"/>
      <c r="H106" s="1708"/>
      <c r="I106" s="1708"/>
      <c r="J106" s="1708"/>
      <c r="K106" s="1708"/>
      <c r="L106" s="1708"/>
      <c r="M106" s="1708"/>
      <c r="N106" s="1708"/>
      <c r="O106" s="1708"/>
      <c r="P106" s="1708"/>
      <c r="Q106" s="1708"/>
      <c r="R106" s="1708"/>
    </row>
    <row r="107" spans="1:18" ht="19.5" customHeight="1">
      <c r="A107" s="1741"/>
      <c r="B107" s="1708"/>
      <c r="C107" s="1708"/>
      <c r="D107" s="1708"/>
      <c r="E107" s="1708"/>
      <c r="F107" s="1708"/>
      <c r="G107" s="1708"/>
      <c r="H107" s="1708"/>
      <c r="I107" s="1708"/>
      <c r="J107" s="1708"/>
      <c r="K107" s="1708"/>
      <c r="L107" s="1708"/>
      <c r="M107" s="1708"/>
      <c r="N107" s="1708"/>
      <c r="O107" s="1708"/>
      <c r="P107" s="1708"/>
      <c r="Q107" s="1708"/>
      <c r="R107" s="1708"/>
    </row>
    <row r="108" spans="1:18" ht="19.5" customHeight="1">
      <c r="A108" s="1741"/>
      <c r="B108" s="1708"/>
      <c r="C108" s="1708"/>
      <c r="D108" s="1708"/>
      <c r="E108" s="1708"/>
      <c r="F108" s="1708"/>
      <c r="G108" s="1708"/>
      <c r="H108" s="1708"/>
      <c r="I108" s="1708"/>
      <c r="J108" s="1708"/>
      <c r="K108" s="1708"/>
      <c r="L108" s="1708"/>
      <c r="M108" s="1708"/>
      <c r="N108" s="1708"/>
      <c r="O108" s="1708"/>
      <c r="P108" s="1708"/>
      <c r="Q108" s="1708"/>
      <c r="R108" s="1708"/>
    </row>
    <row r="109" spans="1:18" ht="19.5" customHeight="1">
      <c r="A109" s="1741"/>
      <c r="B109" s="1708"/>
      <c r="C109" s="1708"/>
      <c r="D109" s="1708"/>
      <c r="E109" s="1708"/>
      <c r="F109" s="1708"/>
      <c r="G109" s="1708"/>
      <c r="H109" s="1708"/>
      <c r="I109" s="1708"/>
      <c r="J109" s="1708"/>
      <c r="K109" s="1708"/>
      <c r="L109" s="1708"/>
      <c r="M109" s="1708"/>
      <c r="N109" s="1708"/>
      <c r="O109" s="1708"/>
      <c r="P109" s="1708"/>
      <c r="Q109" s="1708"/>
      <c r="R109" s="1708"/>
    </row>
    <row r="110" spans="1:18" ht="19.5" customHeight="1">
      <c r="A110" s="1741"/>
      <c r="B110" s="1708"/>
      <c r="C110" s="1708"/>
      <c r="D110" s="1708"/>
      <c r="E110" s="1708"/>
      <c r="F110" s="1708"/>
      <c r="G110" s="1708"/>
      <c r="H110" s="1708"/>
      <c r="I110" s="1708"/>
      <c r="J110" s="1708"/>
      <c r="K110" s="1708"/>
      <c r="L110" s="1708"/>
      <c r="M110" s="1708"/>
      <c r="N110" s="1708"/>
      <c r="O110" s="1708"/>
      <c r="P110" s="1708"/>
      <c r="Q110" s="1708"/>
      <c r="R110" s="1708"/>
    </row>
    <row r="111" spans="1:18" ht="19.5" customHeight="1">
      <c r="A111" s="1741"/>
      <c r="B111" s="1708"/>
      <c r="C111" s="1708"/>
      <c r="D111" s="1708"/>
      <c r="E111" s="1708"/>
      <c r="F111" s="1708"/>
      <c r="G111" s="1708"/>
      <c r="H111" s="1708"/>
      <c r="I111" s="1708"/>
      <c r="J111" s="1708"/>
      <c r="K111" s="1708"/>
      <c r="L111" s="1708"/>
      <c r="M111" s="1708"/>
      <c r="N111" s="1708"/>
      <c r="O111" s="1708"/>
      <c r="P111" s="1708"/>
      <c r="Q111" s="1708"/>
      <c r="R111" s="1708"/>
    </row>
    <row r="112" spans="1:18" ht="19.5" customHeight="1">
      <c r="A112" s="1741"/>
      <c r="B112" s="1708"/>
      <c r="C112" s="1708"/>
      <c r="D112" s="1708"/>
      <c r="E112" s="1708"/>
      <c r="F112" s="1708"/>
      <c r="G112" s="1708"/>
      <c r="H112" s="1708"/>
      <c r="I112" s="1708"/>
      <c r="J112" s="1708"/>
      <c r="K112" s="1708"/>
      <c r="L112" s="1708"/>
      <c r="M112" s="1708"/>
      <c r="N112" s="1708"/>
      <c r="O112" s="1708"/>
      <c r="P112" s="1708"/>
      <c r="Q112" s="1708"/>
      <c r="R112" s="1708"/>
    </row>
    <row r="113" spans="1:18" ht="19.5" customHeight="1">
      <c r="A113" s="1741"/>
      <c r="B113" s="1708"/>
      <c r="C113" s="1708"/>
      <c r="D113" s="1708"/>
      <c r="E113" s="1708"/>
      <c r="F113" s="1708"/>
      <c r="G113" s="1708"/>
      <c r="H113" s="1708"/>
      <c r="I113" s="1708"/>
      <c r="J113" s="1708"/>
      <c r="K113" s="1708"/>
      <c r="L113" s="1708"/>
      <c r="M113" s="1708"/>
      <c r="N113" s="1708"/>
      <c r="O113" s="1708"/>
      <c r="P113" s="1708"/>
      <c r="Q113" s="1708"/>
      <c r="R113" s="1708"/>
    </row>
    <row r="114" spans="1:18" ht="19.5" customHeight="1">
      <c r="A114" s="1741"/>
      <c r="B114" s="1708"/>
      <c r="C114" s="1708"/>
      <c r="D114" s="1708"/>
      <c r="E114" s="1708"/>
      <c r="F114" s="1708"/>
      <c r="G114" s="1708"/>
      <c r="H114" s="1708"/>
      <c r="I114" s="1708"/>
      <c r="J114" s="1708"/>
      <c r="K114" s="1708"/>
      <c r="L114" s="1708"/>
      <c r="M114" s="1708"/>
      <c r="N114" s="1708"/>
      <c r="O114" s="1708"/>
      <c r="P114" s="1708"/>
      <c r="Q114" s="1708"/>
      <c r="R114" s="1708"/>
    </row>
    <row r="115" spans="1:18" ht="19.5" customHeight="1">
      <c r="A115" s="1741"/>
      <c r="B115" s="1708"/>
      <c r="C115" s="1708"/>
      <c r="D115" s="1708"/>
      <c r="E115" s="1708"/>
      <c r="F115" s="1708"/>
      <c r="G115" s="1708"/>
      <c r="H115" s="1708"/>
      <c r="I115" s="1708"/>
      <c r="J115" s="1708"/>
      <c r="K115" s="1708"/>
      <c r="L115" s="1708"/>
      <c r="M115" s="1708"/>
      <c r="N115" s="1708"/>
      <c r="O115" s="1708"/>
      <c r="P115" s="1708"/>
      <c r="Q115" s="1708"/>
      <c r="R115" s="1708"/>
    </row>
    <row r="116" spans="1:18" ht="19.5" customHeight="1">
      <c r="A116" s="1741"/>
      <c r="B116" s="1708"/>
      <c r="C116" s="1708"/>
      <c r="D116" s="1708"/>
      <c r="E116" s="1708"/>
      <c r="F116" s="1708"/>
      <c r="G116" s="1708"/>
      <c r="H116" s="1708"/>
      <c r="I116" s="1708"/>
      <c r="J116" s="1708"/>
      <c r="K116" s="1708"/>
      <c r="L116" s="1708"/>
      <c r="M116" s="1708"/>
      <c r="N116" s="1708"/>
      <c r="O116" s="1708"/>
      <c r="P116" s="1708"/>
      <c r="Q116" s="1708"/>
      <c r="R116" s="1708"/>
    </row>
    <row r="117" spans="1:18" ht="19.5" customHeight="1">
      <c r="A117" s="1741"/>
      <c r="B117" s="1708"/>
      <c r="C117" s="1708"/>
      <c r="D117" s="1708"/>
      <c r="E117" s="1708"/>
      <c r="F117" s="1708"/>
      <c r="G117" s="1708"/>
      <c r="H117" s="1708"/>
      <c r="I117" s="1708"/>
      <c r="J117" s="1708"/>
      <c r="K117" s="1708"/>
      <c r="L117" s="1708"/>
      <c r="M117" s="1708"/>
      <c r="N117" s="1708"/>
      <c r="O117" s="1708"/>
      <c r="P117" s="1708"/>
      <c r="Q117" s="1708"/>
      <c r="R117" s="1708"/>
    </row>
    <row r="118" spans="1:18" ht="19.5" customHeight="1">
      <c r="A118" s="1741"/>
      <c r="B118" s="1708"/>
      <c r="C118" s="1708"/>
      <c r="D118" s="1708"/>
      <c r="E118" s="1708"/>
      <c r="F118" s="1708"/>
      <c r="G118" s="1708"/>
      <c r="H118" s="1708"/>
      <c r="I118" s="1708"/>
      <c r="J118" s="1708"/>
      <c r="K118" s="1708"/>
      <c r="L118" s="1708"/>
      <c r="M118" s="1708"/>
      <c r="N118" s="1708"/>
      <c r="O118" s="1708"/>
      <c r="P118" s="1708"/>
      <c r="Q118" s="1708"/>
      <c r="R118" s="1708"/>
    </row>
    <row r="119" spans="1:18" ht="19.5" customHeight="1">
      <c r="A119" s="1741"/>
      <c r="B119" s="1708"/>
      <c r="C119" s="1708"/>
      <c r="D119" s="1708"/>
      <c r="E119" s="1708"/>
      <c r="F119" s="1708"/>
      <c r="G119" s="1708"/>
      <c r="H119" s="1708"/>
      <c r="I119" s="1708"/>
      <c r="J119" s="1708"/>
      <c r="K119" s="1708"/>
      <c r="L119" s="1708"/>
      <c r="M119" s="1708"/>
      <c r="N119" s="1708"/>
      <c r="O119" s="1708"/>
      <c r="P119" s="1708"/>
      <c r="Q119" s="1708"/>
      <c r="R119" s="1708"/>
    </row>
    <row r="120" spans="1:18" ht="19.5" customHeight="1">
      <c r="A120" s="1741"/>
      <c r="B120" s="1708"/>
      <c r="C120" s="1708"/>
      <c r="D120" s="1708"/>
      <c r="E120" s="1708"/>
      <c r="F120" s="1708"/>
      <c r="G120" s="1708"/>
      <c r="H120" s="1708"/>
      <c r="I120" s="1708"/>
      <c r="J120" s="1708"/>
      <c r="K120" s="1708"/>
      <c r="L120" s="1708"/>
      <c r="M120" s="1708"/>
      <c r="N120" s="1708"/>
      <c r="O120" s="1708"/>
      <c r="P120" s="1708"/>
      <c r="Q120" s="1708"/>
      <c r="R120" s="1708"/>
    </row>
    <row r="121" spans="1:18" ht="19.5" customHeight="1">
      <c r="A121" s="1741"/>
      <c r="B121" s="1708"/>
      <c r="C121" s="1708"/>
      <c r="D121" s="1708"/>
      <c r="E121" s="1708"/>
      <c r="F121" s="1708"/>
      <c r="G121" s="1708"/>
      <c r="H121" s="1708"/>
      <c r="I121" s="1708"/>
      <c r="J121" s="1708"/>
      <c r="K121" s="1708"/>
      <c r="L121" s="1708"/>
      <c r="M121" s="1708"/>
      <c r="N121" s="1708"/>
      <c r="O121" s="1708"/>
      <c r="P121" s="1708"/>
      <c r="Q121" s="1708"/>
      <c r="R121" s="1708"/>
    </row>
    <row r="122" spans="1:18" ht="19.5" customHeight="1">
      <c r="A122" s="1741"/>
      <c r="B122" s="1708"/>
      <c r="C122" s="1708"/>
      <c r="D122" s="1708"/>
      <c r="E122" s="1708"/>
      <c r="F122" s="1708"/>
      <c r="G122" s="1708"/>
      <c r="H122" s="1708"/>
      <c r="I122" s="1708"/>
      <c r="J122" s="1708"/>
      <c r="K122" s="1708"/>
      <c r="L122" s="1708"/>
      <c r="M122" s="1708"/>
      <c r="N122" s="1708"/>
      <c r="O122" s="1708"/>
      <c r="P122" s="1708"/>
      <c r="Q122" s="1708"/>
      <c r="R122" s="1708"/>
    </row>
    <row r="123" spans="1:18" ht="19.5" customHeight="1">
      <c r="A123" s="1741"/>
      <c r="B123" s="1708"/>
      <c r="C123" s="1708"/>
      <c r="D123" s="1708"/>
      <c r="E123" s="1708"/>
      <c r="F123" s="1708"/>
      <c r="G123" s="1708"/>
      <c r="H123" s="1708"/>
      <c r="I123" s="1708"/>
      <c r="J123" s="1708"/>
      <c r="K123" s="1708"/>
      <c r="L123" s="1708"/>
      <c r="M123" s="1708"/>
      <c r="N123" s="1708"/>
      <c r="O123" s="1708"/>
      <c r="P123" s="1708"/>
      <c r="Q123" s="1708"/>
      <c r="R123" s="1708"/>
    </row>
    <row r="124" spans="1:18" ht="19.5" customHeight="1">
      <c r="A124" s="1741"/>
      <c r="B124" s="1708"/>
      <c r="C124" s="1708"/>
      <c r="D124" s="1708"/>
      <c r="E124" s="1708"/>
      <c r="F124" s="1708"/>
      <c r="G124" s="1708"/>
      <c r="H124" s="1708"/>
      <c r="I124" s="1708"/>
      <c r="J124" s="1708"/>
      <c r="K124" s="1708"/>
      <c r="L124" s="1708"/>
      <c r="M124" s="1708"/>
      <c r="N124" s="1708"/>
      <c r="O124" s="1708"/>
      <c r="P124" s="1708"/>
      <c r="Q124" s="1708"/>
      <c r="R124" s="1708"/>
    </row>
    <row r="125" spans="1:18" ht="19.5" customHeight="1">
      <c r="A125" s="1741"/>
      <c r="B125" s="1708"/>
      <c r="C125" s="1708"/>
      <c r="D125" s="1708"/>
      <c r="E125" s="1708"/>
      <c r="F125" s="1708"/>
      <c r="G125" s="1708"/>
      <c r="H125" s="1708"/>
      <c r="I125" s="1708"/>
      <c r="J125" s="1708"/>
      <c r="K125" s="1708"/>
      <c r="L125" s="1708"/>
      <c r="M125" s="1708"/>
      <c r="N125" s="1708"/>
      <c r="O125" s="1708"/>
      <c r="P125" s="1708"/>
      <c r="Q125" s="1708"/>
      <c r="R125" s="1708"/>
    </row>
    <row r="126" spans="1:18" ht="19.5" customHeight="1">
      <c r="A126" s="1741"/>
      <c r="B126" s="1708"/>
      <c r="C126" s="1708"/>
      <c r="D126" s="1708"/>
      <c r="E126" s="1708"/>
      <c r="F126" s="1708"/>
      <c r="G126" s="1708"/>
      <c r="H126" s="1708"/>
      <c r="I126" s="1708"/>
      <c r="J126" s="1708"/>
      <c r="K126" s="1708"/>
      <c r="L126" s="1708"/>
      <c r="M126" s="1708"/>
      <c r="N126" s="1708"/>
      <c r="O126" s="1708"/>
      <c r="P126" s="1708"/>
      <c r="Q126" s="1708"/>
      <c r="R126" s="1708"/>
    </row>
    <row r="127" spans="1:18" ht="19.5" customHeight="1">
      <c r="A127" s="1741"/>
      <c r="B127" s="1708"/>
      <c r="C127" s="1708"/>
      <c r="D127" s="1708"/>
      <c r="E127" s="1708"/>
      <c r="F127" s="1708"/>
      <c r="G127" s="1708"/>
      <c r="H127" s="1708"/>
      <c r="I127" s="1708"/>
      <c r="J127" s="1708"/>
      <c r="K127" s="1708"/>
      <c r="L127" s="1708"/>
      <c r="M127" s="1708"/>
      <c r="N127" s="1708"/>
      <c r="O127" s="1708"/>
      <c r="P127" s="1708"/>
      <c r="Q127" s="1708"/>
      <c r="R127" s="1708"/>
    </row>
    <row r="128" spans="1:18" ht="19.5" customHeight="1">
      <c r="A128" s="1741"/>
      <c r="B128" s="1708"/>
      <c r="C128" s="1708"/>
      <c r="D128" s="1708"/>
      <c r="E128" s="1708"/>
      <c r="F128" s="1708"/>
      <c r="G128" s="1708"/>
      <c r="H128" s="1708"/>
      <c r="I128" s="1708"/>
      <c r="J128" s="1708"/>
      <c r="K128" s="1708"/>
      <c r="L128" s="1708"/>
      <c r="M128" s="1708"/>
      <c r="N128" s="1708"/>
      <c r="O128" s="1708"/>
      <c r="P128" s="1708"/>
      <c r="Q128" s="1708"/>
      <c r="R128" s="1708"/>
    </row>
    <row r="129" spans="1:18" ht="19.5" customHeight="1">
      <c r="A129" s="1741"/>
      <c r="B129" s="1708"/>
      <c r="C129" s="1708"/>
      <c r="D129" s="1708"/>
      <c r="E129" s="1708"/>
      <c r="F129" s="1708"/>
      <c r="G129" s="1708"/>
      <c r="H129" s="1708"/>
      <c r="I129" s="1708"/>
      <c r="J129" s="1708"/>
      <c r="K129" s="1708"/>
      <c r="L129" s="1708"/>
      <c r="M129" s="1708"/>
      <c r="N129" s="1708"/>
      <c r="O129" s="1708"/>
      <c r="P129" s="1708"/>
      <c r="Q129" s="1708"/>
      <c r="R129" s="1708"/>
    </row>
    <row r="130" spans="1:18" ht="19.5" customHeight="1">
      <c r="A130" s="1741"/>
      <c r="B130" s="1708"/>
      <c r="C130" s="1708"/>
      <c r="D130" s="1708"/>
      <c r="E130" s="1708"/>
      <c r="F130" s="1708"/>
      <c r="G130" s="1708"/>
      <c r="H130" s="1708"/>
      <c r="I130" s="1708"/>
      <c r="J130" s="1708"/>
      <c r="K130" s="1708"/>
      <c r="L130" s="1708"/>
      <c r="M130" s="1708"/>
      <c r="N130" s="1708"/>
      <c r="O130" s="1708"/>
      <c r="P130" s="1708"/>
      <c r="Q130" s="1708"/>
      <c r="R130" s="1708"/>
    </row>
    <row r="131" spans="1:18" ht="19.5" customHeight="1">
      <c r="A131" s="1741"/>
      <c r="B131" s="1708"/>
      <c r="C131" s="1708"/>
      <c r="D131" s="1708"/>
      <c r="E131" s="1708"/>
      <c r="F131" s="1708"/>
      <c r="G131" s="1708"/>
      <c r="H131" s="1708"/>
      <c r="I131" s="1708"/>
      <c r="J131" s="1708"/>
      <c r="K131" s="1708"/>
      <c r="L131" s="1708"/>
      <c r="M131" s="1708"/>
      <c r="N131" s="1708"/>
      <c r="O131" s="1708"/>
      <c r="P131" s="1708"/>
      <c r="Q131" s="1708"/>
      <c r="R131" s="1708"/>
    </row>
    <row r="132" spans="1:18" ht="19.5" customHeight="1">
      <c r="A132" s="1741"/>
      <c r="B132" s="1708"/>
      <c r="C132" s="1708"/>
      <c r="D132" s="1708"/>
      <c r="E132" s="1708"/>
      <c r="F132" s="1708"/>
      <c r="G132" s="1708"/>
      <c r="H132" s="1708"/>
      <c r="I132" s="1708"/>
      <c r="J132" s="1708"/>
      <c r="K132" s="1708"/>
      <c r="L132" s="1708"/>
      <c r="M132" s="1708"/>
      <c r="N132" s="1708"/>
      <c r="O132" s="1708"/>
      <c r="P132" s="1708"/>
      <c r="Q132" s="1708"/>
      <c r="R132" s="1708"/>
    </row>
    <row r="133" spans="1:18" ht="19.5" customHeight="1">
      <c r="A133" s="1741"/>
      <c r="B133" s="1708"/>
      <c r="C133" s="1708"/>
      <c r="D133" s="1708"/>
      <c r="E133" s="1708"/>
      <c r="F133" s="1708"/>
      <c r="G133" s="1708"/>
      <c r="H133" s="1708"/>
      <c r="I133" s="1708"/>
      <c r="J133" s="1708"/>
      <c r="K133" s="1708"/>
      <c r="L133" s="1708"/>
      <c r="M133" s="1708"/>
      <c r="N133" s="1708"/>
      <c r="O133" s="1708"/>
      <c r="P133" s="1708"/>
      <c r="Q133" s="1708"/>
      <c r="R133" s="1708"/>
    </row>
    <row r="134" spans="1:18" ht="19.5" customHeight="1">
      <c r="A134" s="1741"/>
      <c r="B134" s="1708"/>
      <c r="C134" s="1708"/>
      <c r="D134" s="1708"/>
      <c r="E134" s="1708"/>
      <c r="F134" s="1708"/>
      <c r="G134" s="1708"/>
      <c r="H134" s="1708"/>
      <c r="I134" s="1708"/>
      <c r="J134" s="1708"/>
      <c r="K134" s="1708"/>
      <c r="L134" s="1708"/>
      <c r="M134" s="1708"/>
      <c r="N134" s="1708"/>
      <c r="O134" s="1708"/>
      <c r="P134" s="1708"/>
      <c r="Q134" s="1708"/>
      <c r="R134" s="1708"/>
    </row>
    <row r="135" spans="1:18" ht="19.5" customHeight="1">
      <c r="A135" s="1741"/>
      <c r="B135" s="1708"/>
      <c r="C135" s="1708"/>
      <c r="D135" s="1708"/>
      <c r="E135" s="1708"/>
      <c r="F135" s="1708"/>
      <c r="G135" s="1708"/>
      <c r="H135" s="1708"/>
      <c r="I135" s="1708"/>
      <c r="J135" s="1708"/>
      <c r="K135" s="1708"/>
      <c r="L135" s="1708"/>
      <c r="M135" s="1708"/>
      <c r="N135" s="1708"/>
      <c r="O135" s="1708"/>
      <c r="P135" s="1708"/>
      <c r="Q135" s="1708"/>
      <c r="R135" s="1708"/>
    </row>
    <row r="136" spans="1:18" ht="19.5" customHeight="1">
      <c r="A136" s="1741"/>
      <c r="B136" s="1708"/>
      <c r="C136" s="1708"/>
      <c r="D136" s="1708"/>
      <c r="E136" s="1708"/>
      <c r="F136" s="1708"/>
      <c r="G136" s="1708"/>
      <c r="H136" s="1708"/>
      <c r="I136" s="1708"/>
      <c r="J136" s="1708"/>
      <c r="K136" s="1708"/>
      <c r="L136" s="1708"/>
      <c r="M136" s="1708"/>
      <c r="N136" s="1708"/>
      <c r="O136" s="1708"/>
      <c r="P136" s="1708"/>
      <c r="Q136" s="1708"/>
      <c r="R136" s="1708"/>
    </row>
    <row r="137" spans="1:18" ht="19.5" customHeight="1">
      <c r="A137" s="1741"/>
      <c r="B137" s="1708"/>
      <c r="C137" s="1708"/>
      <c r="D137" s="1708"/>
      <c r="E137" s="1708"/>
      <c r="F137" s="1708"/>
      <c r="G137" s="1708"/>
      <c r="H137" s="1708"/>
      <c r="I137" s="1708"/>
      <c r="J137" s="1708"/>
      <c r="K137" s="1708"/>
      <c r="L137" s="1708"/>
      <c r="M137" s="1708"/>
      <c r="N137" s="1708"/>
      <c r="O137" s="1708"/>
      <c r="P137" s="1708"/>
      <c r="Q137" s="1708"/>
      <c r="R137" s="1708"/>
    </row>
    <row r="138" spans="1:18" ht="19.5" customHeight="1">
      <c r="A138" s="1741"/>
      <c r="B138" s="1708"/>
      <c r="C138" s="1708"/>
      <c r="D138" s="1708"/>
      <c r="E138" s="1708"/>
      <c r="F138" s="1708"/>
      <c r="G138" s="1708"/>
      <c r="H138" s="1708"/>
      <c r="I138" s="1708"/>
      <c r="J138" s="1708"/>
      <c r="K138" s="1708"/>
      <c r="L138" s="1708"/>
      <c r="M138" s="1708"/>
      <c r="N138" s="1708"/>
      <c r="O138" s="1708"/>
      <c r="P138" s="1708"/>
      <c r="Q138" s="1708"/>
      <c r="R138" s="1708"/>
    </row>
    <row r="139" spans="1:18" ht="19.5" customHeight="1">
      <c r="A139" s="1741"/>
      <c r="B139" s="1708"/>
      <c r="C139" s="1708"/>
      <c r="D139" s="1708"/>
      <c r="E139" s="1708"/>
      <c r="F139" s="1708"/>
      <c r="G139" s="1708"/>
      <c r="H139" s="1708"/>
      <c r="I139" s="1708"/>
      <c r="J139" s="1708"/>
      <c r="K139" s="1708"/>
      <c r="L139" s="1708"/>
      <c r="M139" s="1708"/>
      <c r="N139" s="1708"/>
      <c r="O139" s="1708"/>
      <c r="P139" s="1708"/>
      <c r="Q139" s="1708"/>
      <c r="R139" s="1708"/>
    </row>
    <row r="140" spans="1:18" ht="19.5" customHeight="1">
      <c r="A140" s="1741"/>
      <c r="B140" s="1708"/>
      <c r="C140" s="1708"/>
      <c r="D140" s="1708"/>
      <c r="E140" s="1708"/>
      <c r="F140" s="1708"/>
      <c r="G140" s="1708"/>
      <c r="H140" s="1708"/>
      <c r="I140" s="1708"/>
      <c r="J140" s="1708"/>
      <c r="K140" s="1708"/>
      <c r="L140" s="1708"/>
      <c r="M140" s="1708"/>
      <c r="N140" s="1708"/>
      <c r="O140" s="1708"/>
      <c r="P140" s="1708"/>
      <c r="Q140" s="1708"/>
      <c r="R140" s="1708"/>
    </row>
    <row r="141" spans="1:18" ht="19.5" customHeight="1">
      <c r="A141" s="1741"/>
      <c r="B141" s="1708"/>
      <c r="C141" s="1708"/>
      <c r="D141" s="1708"/>
      <c r="E141" s="1708"/>
      <c r="F141" s="1708"/>
      <c r="G141" s="1708"/>
      <c r="H141" s="1708"/>
      <c r="I141" s="1708"/>
      <c r="J141" s="1708"/>
      <c r="K141" s="1708"/>
      <c r="L141" s="1708"/>
      <c r="M141" s="1708"/>
      <c r="N141" s="1708"/>
      <c r="O141" s="1708"/>
      <c r="P141" s="1708"/>
      <c r="Q141" s="1708"/>
      <c r="R141" s="1708"/>
    </row>
    <row r="142" spans="1:18" ht="19.5" customHeight="1">
      <c r="A142" s="1741"/>
      <c r="B142" s="1708"/>
      <c r="C142" s="1708"/>
      <c r="D142" s="1708"/>
      <c r="E142" s="1708"/>
      <c r="F142" s="1708"/>
      <c r="G142" s="1708"/>
      <c r="H142" s="1708"/>
      <c r="I142" s="1708"/>
      <c r="J142" s="1708"/>
      <c r="K142" s="1708"/>
      <c r="L142" s="1708"/>
      <c r="M142" s="1708"/>
      <c r="N142" s="1708"/>
      <c r="O142" s="1708"/>
      <c r="P142" s="1708"/>
      <c r="Q142" s="1708"/>
      <c r="R142" s="1708"/>
    </row>
    <row r="143" spans="1:18" ht="19.5" customHeight="1">
      <c r="A143" s="1741"/>
      <c r="B143" s="1708"/>
      <c r="C143" s="1708"/>
      <c r="D143" s="1708"/>
      <c r="E143" s="1708"/>
      <c r="F143" s="1708"/>
      <c r="G143" s="1708"/>
      <c r="H143" s="1708"/>
      <c r="I143" s="1708"/>
      <c r="J143" s="1708"/>
      <c r="K143" s="1708"/>
      <c r="L143" s="1708"/>
      <c r="M143" s="1708"/>
      <c r="N143" s="1708"/>
      <c r="O143" s="1708"/>
      <c r="P143" s="1708"/>
      <c r="Q143" s="1708"/>
      <c r="R143" s="1708"/>
    </row>
    <row r="144" spans="1:18" ht="19.5" customHeight="1">
      <c r="A144" s="1741"/>
      <c r="B144" s="1708"/>
      <c r="C144" s="1708"/>
      <c r="D144" s="1708"/>
      <c r="E144" s="1708"/>
      <c r="F144" s="1708"/>
      <c r="G144" s="1708"/>
      <c r="H144" s="1708"/>
      <c r="I144" s="1708"/>
      <c r="J144" s="1708"/>
      <c r="K144" s="1708"/>
      <c r="L144" s="1708"/>
      <c r="M144" s="1708"/>
      <c r="N144" s="1708"/>
      <c r="O144" s="1708"/>
      <c r="P144" s="1708"/>
      <c r="Q144" s="1708"/>
      <c r="R144" s="1708"/>
    </row>
    <row r="145" spans="1:18" ht="19.5" customHeight="1">
      <c r="A145" s="1741"/>
      <c r="B145" s="1708"/>
      <c r="C145" s="1708"/>
      <c r="D145" s="1708"/>
      <c r="E145" s="1708"/>
      <c r="F145" s="1708"/>
      <c r="G145" s="1708"/>
      <c r="H145" s="1708"/>
      <c r="I145" s="1708"/>
      <c r="J145" s="1708"/>
      <c r="K145" s="1708"/>
      <c r="L145" s="1708"/>
      <c r="M145" s="1708"/>
      <c r="N145" s="1708"/>
      <c r="O145" s="1708"/>
      <c r="P145" s="1708"/>
      <c r="Q145" s="1708"/>
      <c r="R145" s="1708"/>
    </row>
    <row r="146" spans="1:18" ht="19.5" customHeight="1">
      <c r="A146" s="1741"/>
      <c r="B146" s="1708"/>
      <c r="C146" s="1708"/>
      <c r="D146" s="1708"/>
      <c r="E146" s="1708"/>
      <c r="F146" s="1708"/>
      <c r="G146" s="1708"/>
      <c r="H146" s="1708"/>
      <c r="I146" s="1708"/>
      <c r="J146" s="1708"/>
      <c r="K146" s="1708"/>
      <c r="L146" s="1708"/>
      <c r="M146" s="1708"/>
      <c r="N146" s="1708"/>
      <c r="O146" s="1708"/>
      <c r="P146" s="1708"/>
      <c r="Q146" s="1708"/>
      <c r="R146" s="1708"/>
    </row>
    <row r="147" spans="1:18" ht="19.5" customHeight="1">
      <c r="A147" s="1741"/>
      <c r="B147" s="1708"/>
      <c r="C147" s="1708"/>
      <c r="D147" s="1708"/>
      <c r="E147" s="1708"/>
      <c r="F147" s="1708"/>
      <c r="G147" s="1708"/>
      <c r="H147" s="1708"/>
      <c r="I147" s="1708"/>
      <c r="J147" s="1708"/>
      <c r="K147" s="1708"/>
      <c r="L147" s="1708"/>
      <c r="M147" s="1708"/>
      <c r="N147" s="1708"/>
      <c r="O147" s="1708"/>
      <c r="P147" s="1708"/>
      <c r="Q147" s="1708"/>
      <c r="R147" s="1708"/>
    </row>
    <row r="148" spans="1:18" ht="19.5" customHeight="1">
      <c r="A148" s="1741"/>
      <c r="B148" s="1708"/>
      <c r="C148" s="1708"/>
      <c r="D148" s="1708"/>
      <c r="E148" s="1708"/>
      <c r="F148" s="1708"/>
      <c r="G148" s="1708"/>
      <c r="H148" s="1708"/>
      <c r="I148" s="1708"/>
      <c r="J148" s="1708"/>
      <c r="K148" s="1708"/>
      <c r="L148" s="1708"/>
      <c r="M148" s="1708"/>
      <c r="N148" s="1708"/>
      <c r="O148" s="1708"/>
      <c r="P148" s="1708"/>
      <c r="Q148" s="1708"/>
      <c r="R148" s="1708"/>
    </row>
    <row r="149" spans="1:18" ht="19.5" customHeight="1">
      <c r="A149" s="1741"/>
      <c r="B149" s="1708"/>
      <c r="C149" s="1708"/>
      <c r="D149" s="1708"/>
      <c r="E149" s="1708"/>
      <c r="F149" s="1708"/>
      <c r="G149" s="1708"/>
      <c r="H149" s="1708"/>
      <c r="I149" s="1708"/>
      <c r="J149" s="1708"/>
      <c r="K149" s="1708"/>
      <c r="L149" s="1708"/>
      <c r="M149" s="1708"/>
      <c r="N149" s="1708"/>
      <c r="O149" s="1708"/>
      <c r="P149" s="1708"/>
      <c r="Q149" s="1708"/>
      <c r="R149" s="1708"/>
    </row>
    <row r="150" spans="1:18" ht="19.5" customHeight="1">
      <c r="A150" s="1741"/>
      <c r="B150" s="1708"/>
      <c r="C150" s="1708"/>
      <c r="D150" s="1708"/>
      <c r="E150" s="1708"/>
      <c r="F150" s="1708"/>
      <c r="G150" s="1708"/>
      <c r="H150" s="1708"/>
      <c r="I150" s="1708"/>
      <c r="J150" s="1708"/>
      <c r="K150" s="1708"/>
      <c r="L150" s="1708"/>
      <c r="M150" s="1708"/>
      <c r="N150" s="1708"/>
      <c r="O150" s="1708"/>
      <c r="P150" s="1708"/>
      <c r="Q150" s="1708"/>
      <c r="R150" s="1708"/>
    </row>
    <row r="151" spans="1:18" ht="19.5" customHeight="1">
      <c r="A151" s="1741"/>
      <c r="B151" s="1708"/>
      <c r="C151" s="1708"/>
      <c r="D151" s="1708"/>
      <c r="E151" s="1708"/>
      <c r="F151" s="1708"/>
      <c r="G151" s="1708"/>
      <c r="H151" s="1708"/>
      <c r="I151" s="1708"/>
      <c r="J151" s="1708"/>
      <c r="K151" s="1708"/>
      <c r="L151" s="1708"/>
      <c r="M151" s="1708"/>
      <c r="N151" s="1708"/>
      <c r="O151" s="1708"/>
      <c r="P151" s="1708"/>
      <c r="Q151" s="1708"/>
      <c r="R151" s="1708"/>
    </row>
    <row r="152" spans="1:18" ht="19.5" customHeight="1">
      <c r="A152" s="1741"/>
      <c r="B152" s="1708"/>
      <c r="C152" s="1708"/>
      <c r="D152" s="1708"/>
      <c r="E152" s="1708"/>
      <c r="F152" s="1708"/>
      <c r="G152" s="1708"/>
      <c r="H152" s="1708"/>
      <c r="I152" s="1708"/>
      <c r="J152" s="1708"/>
      <c r="K152" s="1708"/>
      <c r="L152" s="1708"/>
      <c r="M152" s="1708"/>
      <c r="N152" s="1708"/>
      <c r="O152" s="1708"/>
      <c r="P152" s="1708"/>
      <c r="Q152" s="1708"/>
      <c r="R152" s="1708"/>
    </row>
    <row r="153" spans="1:18" ht="19.5" customHeight="1">
      <c r="A153" s="1741"/>
      <c r="B153" s="1708"/>
      <c r="C153" s="1708"/>
      <c r="D153" s="1708"/>
      <c r="E153" s="1708"/>
      <c r="F153" s="1708"/>
      <c r="G153" s="1708"/>
      <c r="H153" s="1708"/>
      <c r="I153" s="1708"/>
      <c r="J153" s="1708"/>
      <c r="K153" s="1708"/>
      <c r="L153" s="1708"/>
      <c r="M153" s="1708"/>
      <c r="N153" s="1708"/>
      <c r="O153" s="1708"/>
      <c r="P153" s="1708"/>
      <c r="Q153" s="1708"/>
      <c r="R153" s="1708"/>
    </row>
    <row r="154" spans="1:18" ht="19.5" customHeight="1">
      <c r="A154" s="1741"/>
      <c r="B154" s="1708"/>
      <c r="C154" s="1708"/>
      <c r="D154" s="1708"/>
      <c r="E154" s="1708"/>
      <c r="F154" s="1708"/>
      <c r="G154" s="1708"/>
      <c r="H154" s="1708"/>
      <c r="I154" s="1708"/>
      <c r="J154" s="1708"/>
      <c r="K154" s="1708"/>
      <c r="L154" s="1708"/>
      <c r="M154" s="1708"/>
      <c r="N154" s="1708"/>
      <c r="O154" s="1708"/>
      <c r="P154" s="1708"/>
      <c r="Q154" s="1708"/>
      <c r="R154" s="1708"/>
    </row>
    <row r="155" spans="1:18" ht="19.5" customHeight="1">
      <c r="A155" s="1741"/>
      <c r="B155" s="1708"/>
      <c r="C155" s="1708"/>
      <c r="D155" s="1708"/>
      <c r="E155" s="1708"/>
      <c r="F155" s="1708"/>
      <c r="G155" s="1708"/>
      <c r="H155" s="1708"/>
      <c r="I155" s="1708"/>
      <c r="J155" s="1708"/>
      <c r="K155" s="1708"/>
      <c r="L155" s="1708"/>
      <c r="M155" s="1708"/>
      <c r="N155" s="1708"/>
      <c r="O155" s="1708"/>
      <c r="P155" s="1708"/>
      <c r="Q155" s="1708"/>
      <c r="R155" s="1708"/>
    </row>
    <row r="156" spans="1:18" ht="19.5" customHeight="1">
      <c r="A156" s="1741"/>
      <c r="B156" s="1708"/>
      <c r="C156" s="1708"/>
      <c r="D156" s="1708"/>
      <c r="E156" s="1708"/>
      <c r="F156" s="1708"/>
      <c r="G156" s="1708"/>
      <c r="H156" s="1708"/>
      <c r="I156" s="1708"/>
      <c r="J156" s="1708"/>
      <c r="K156" s="1708"/>
      <c r="L156" s="1708"/>
      <c r="M156" s="1708"/>
      <c r="N156" s="1708"/>
      <c r="O156" s="1708"/>
      <c r="P156" s="1708"/>
      <c r="Q156" s="1708"/>
      <c r="R156" s="1708"/>
    </row>
    <row r="157" spans="1:18" ht="19.5" customHeight="1">
      <c r="A157" s="1741"/>
      <c r="B157" s="1708"/>
      <c r="C157" s="1708"/>
      <c r="D157" s="1708"/>
      <c r="E157" s="1708"/>
      <c r="F157" s="1708"/>
      <c r="G157" s="1708"/>
      <c r="H157" s="1708"/>
      <c r="I157" s="1708"/>
      <c r="J157" s="1708"/>
      <c r="K157" s="1708"/>
      <c r="L157" s="1708"/>
      <c r="M157" s="1708"/>
      <c r="N157" s="1708"/>
      <c r="O157" s="1708"/>
      <c r="P157" s="1708"/>
      <c r="Q157" s="1708"/>
      <c r="R157" s="1708"/>
    </row>
    <row r="158" spans="1:18" ht="19.5" customHeight="1">
      <c r="A158" s="1741"/>
      <c r="B158" s="1708"/>
      <c r="C158" s="1708"/>
      <c r="D158" s="1708"/>
      <c r="E158" s="1708"/>
      <c r="F158" s="1708"/>
      <c r="G158" s="1708"/>
      <c r="H158" s="1708"/>
      <c r="I158" s="1708"/>
      <c r="J158" s="1708"/>
      <c r="K158" s="1708"/>
      <c r="L158" s="1708"/>
      <c r="M158" s="1708"/>
      <c r="N158" s="1708"/>
      <c r="O158" s="1708"/>
      <c r="P158" s="1708"/>
      <c r="Q158" s="1708"/>
      <c r="R158" s="1708"/>
    </row>
    <row r="159" spans="1:18" ht="19.5" customHeight="1">
      <c r="A159" s="1741"/>
      <c r="B159" s="1708"/>
      <c r="C159" s="1708"/>
      <c r="D159" s="1708"/>
      <c r="E159" s="1708"/>
      <c r="F159" s="1708"/>
      <c r="G159" s="1708"/>
      <c r="H159" s="1708"/>
      <c r="I159" s="1708"/>
      <c r="J159" s="1708"/>
      <c r="K159" s="1708"/>
      <c r="L159" s="1708"/>
      <c r="M159" s="1708"/>
      <c r="N159" s="1708"/>
      <c r="O159" s="1708"/>
      <c r="P159" s="1708"/>
      <c r="Q159" s="1708"/>
      <c r="R159" s="1708"/>
    </row>
    <row r="160" spans="1:18" ht="19.5" customHeight="1">
      <c r="A160" s="1741"/>
      <c r="B160" s="1708"/>
      <c r="C160" s="1708"/>
      <c r="D160" s="1708"/>
      <c r="E160" s="1708"/>
      <c r="F160" s="1708"/>
      <c r="G160" s="1708"/>
      <c r="H160" s="1708"/>
      <c r="I160" s="1708"/>
      <c r="J160" s="1708"/>
      <c r="K160" s="1708"/>
      <c r="L160" s="1708"/>
      <c r="M160" s="1708"/>
      <c r="N160" s="1708"/>
      <c r="O160" s="1708"/>
      <c r="P160" s="1708"/>
      <c r="Q160" s="1708"/>
      <c r="R160" s="1708"/>
    </row>
    <row r="161" spans="1:18" ht="19.5" customHeight="1">
      <c r="A161" s="1741"/>
      <c r="B161" s="1708"/>
      <c r="C161" s="1708"/>
      <c r="D161" s="1708"/>
      <c r="E161" s="1708"/>
      <c r="F161" s="1708"/>
      <c r="G161" s="1708"/>
      <c r="H161" s="1708"/>
      <c r="I161" s="1708"/>
      <c r="J161" s="1708"/>
      <c r="K161" s="1708"/>
      <c r="L161" s="1708"/>
      <c r="M161" s="1708"/>
      <c r="N161" s="1708"/>
      <c r="O161" s="1708"/>
      <c r="P161" s="1708"/>
      <c r="Q161" s="1708"/>
      <c r="R161" s="1708"/>
    </row>
    <row r="162" spans="1:18" ht="19.5" customHeight="1">
      <c r="A162" s="1741"/>
      <c r="B162" s="1708"/>
      <c r="C162" s="1708"/>
      <c r="D162" s="1708"/>
      <c r="E162" s="1708"/>
      <c r="F162" s="1708"/>
      <c r="G162" s="1708"/>
      <c r="H162" s="1708"/>
      <c r="I162" s="1708"/>
      <c r="J162" s="1708"/>
      <c r="K162" s="1708"/>
      <c r="L162" s="1708"/>
      <c r="M162" s="1708"/>
      <c r="N162" s="1708"/>
      <c r="O162" s="1708"/>
      <c r="P162" s="1708"/>
      <c r="Q162" s="1708"/>
      <c r="R162" s="1708"/>
    </row>
    <row r="163" spans="1:18" ht="19.5" customHeight="1">
      <c r="A163" s="1741"/>
      <c r="B163" s="1708"/>
      <c r="C163" s="1708"/>
      <c r="D163" s="1708"/>
      <c r="E163" s="1708"/>
      <c r="F163" s="1708"/>
      <c r="G163" s="1708"/>
      <c r="H163" s="1708"/>
      <c r="I163" s="1708"/>
      <c r="J163" s="1708"/>
      <c r="K163" s="1708"/>
      <c r="L163" s="1708"/>
      <c r="M163" s="1708"/>
      <c r="N163" s="1708"/>
      <c r="O163" s="1708"/>
      <c r="P163" s="1708"/>
      <c r="Q163" s="1708"/>
      <c r="R163" s="1708"/>
    </row>
    <row r="164" spans="1:18" ht="19.5" customHeight="1">
      <c r="A164" s="1741"/>
      <c r="B164" s="1708"/>
      <c r="C164" s="1708"/>
      <c r="D164" s="1708"/>
      <c r="E164" s="1708"/>
      <c r="F164" s="1708"/>
      <c r="G164" s="1708"/>
      <c r="H164" s="1708"/>
      <c r="I164" s="1708"/>
      <c r="J164" s="1708"/>
      <c r="K164" s="1708"/>
      <c r="L164" s="1708"/>
      <c r="M164" s="1708"/>
      <c r="N164" s="1708"/>
      <c r="O164" s="1708"/>
      <c r="P164" s="1708"/>
      <c r="Q164" s="1708"/>
      <c r="R164" s="1708"/>
    </row>
    <row r="165" spans="1:18" ht="19.5" customHeight="1">
      <c r="A165" s="1741"/>
      <c r="B165" s="1708"/>
      <c r="C165" s="1708"/>
      <c r="D165" s="1708"/>
      <c r="E165" s="1708"/>
      <c r="F165" s="1708"/>
      <c r="G165" s="1708"/>
      <c r="H165" s="1708"/>
      <c r="I165" s="1708"/>
      <c r="J165" s="1708"/>
      <c r="K165" s="1708"/>
      <c r="L165" s="1708"/>
      <c r="M165" s="1708"/>
      <c r="N165" s="1708"/>
      <c r="O165" s="1708"/>
      <c r="P165" s="1708"/>
      <c r="Q165" s="1708"/>
      <c r="R165" s="1708"/>
    </row>
    <row r="166" spans="1:18" ht="19.5" customHeight="1">
      <c r="A166" s="1741"/>
      <c r="B166" s="1708"/>
      <c r="C166" s="1708"/>
      <c r="D166" s="1708"/>
      <c r="E166" s="1708"/>
      <c r="F166" s="1708"/>
      <c r="G166" s="1708"/>
      <c r="H166" s="1708"/>
      <c r="I166" s="1708"/>
      <c r="J166" s="1708"/>
      <c r="K166" s="1708"/>
      <c r="L166" s="1708"/>
      <c r="M166" s="1708"/>
      <c r="N166" s="1708"/>
      <c r="O166" s="1708"/>
      <c r="P166" s="1708"/>
      <c r="Q166" s="1708"/>
      <c r="R166" s="1708"/>
    </row>
    <row r="167" spans="1:18" ht="19.5" customHeight="1">
      <c r="A167" s="1741"/>
      <c r="B167" s="1708"/>
      <c r="C167" s="1708"/>
      <c r="D167" s="1708"/>
      <c r="E167" s="1708"/>
      <c r="F167" s="1708"/>
      <c r="G167" s="1708"/>
      <c r="H167" s="1708"/>
      <c r="I167" s="1708"/>
      <c r="J167" s="1708"/>
      <c r="K167" s="1708"/>
      <c r="L167" s="1708"/>
      <c r="M167" s="1708"/>
      <c r="N167" s="1708"/>
      <c r="O167" s="1708"/>
      <c r="P167" s="1708"/>
      <c r="Q167" s="1708"/>
      <c r="R167" s="1708"/>
    </row>
    <row r="168" spans="1:18" ht="19.5" customHeight="1">
      <c r="A168" s="1741"/>
      <c r="B168" s="1708"/>
      <c r="C168" s="1708"/>
      <c r="D168" s="1708"/>
      <c r="E168" s="1708"/>
      <c r="F168" s="1708"/>
      <c r="G168" s="1708"/>
      <c r="H168" s="1708"/>
      <c r="I168" s="1708"/>
      <c r="J168" s="1708"/>
      <c r="K168" s="1708"/>
      <c r="L168" s="1708"/>
      <c r="M168" s="1708"/>
      <c r="N168" s="1708"/>
      <c r="O168" s="1708"/>
      <c r="P168" s="1708"/>
      <c r="Q168" s="1708"/>
      <c r="R168" s="1708"/>
    </row>
    <row r="169" spans="1:18" ht="19.5" customHeight="1">
      <c r="A169" s="1741"/>
      <c r="B169" s="1708"/>
      <c r="C169" s="1708"/>
      <c r="D169" s="1708"/>
      <c r="E169" s="1708"/>
      <c r="F169" s="1708"/>
      <c r="G169" s="1708"/>
      <c r="H169" s="1708"/>
      <c r="I169" s="1708"/>
      <c r="J169" s="1708"/>
      <c r="K169" s="1708"/>
      <c r="L169" s="1708"/>
      <c r="M169" s="1708"/>
      <c r="N169" s="1708"/>
      <c r="O169" s="1708"/>
      <c r="P169" s="1708"/>
      <c r="Q169" s="1708"/>
      <c r="R169" s="1708"/>
    </row>
    <row r="170" spans="1:18" ht="19.5" customHeight="1">
      <c r="A170" s="1741"/>
      <c r="B170" s="1708"/>
      <c r="C170" s="1708"/>
      <c r="D170" s="1708"/>
      <c r="E170" s="1708"/>
      <c r="F170" s="1708"/>
      <c r="G170" s="1708"/>
      <c r="H170" s="1708"/>
      <c r="I170" s="1708"/>
      <c r="J170" s="1708"/>
      <c r="K170" s="1708"/>
      <c r="L170" s="1708"/>
      <c r="M170" s="1708"/>
      <c r="N170" s="1708"/>
      <c r="O170" s="1708"/>
      <c r="P170" s="1708"/>
      <c r="Q170" s="1708"/>
      <c r="R170" s="1708"/>
    </row>
    <row r="171" spans="1:18" ht="19.5" customHeight="1">
      <c r="A171" s="1741"/>
      <c r="B171" s="1708"/>
      <c r="C171" s="1708"/>
      <c r="D171" s="1708"/>
      <c r="E171" s="1708"/>
      <c r="F171" s="1708"/>
      <c r="G171" s="1708"/>
      <c r="H171" s="1708"/>
      <c r="I171" s="1708"/>
      <c r="J171" s="1708"/>
      <c r="K171" s="1708"/>
      <c r="L171" s="1708"/>
      <c r="M171" s="1708"/>
      <c r="N171" s="1708"/>
      <c r="O171" s="1708"/>
      <c r="P171" s="1708"/>
      <c r="Q171" s="1708"/>
      <c r="R171" s="1708"/>
    </row>
    <row r="172" spans="1:18" ht="19.5" customHeight="1">
      <c r="A172" s="1741"/>
      <c r="B172" s="1708"/>
      <c r="C172" s="1708"/>
      <c r="D172" s="1708"/>
      <c r="E172" s="1708"/>
      <c r="F172" s="1708"/>
      <c r="G172" s="1708"/>
      <c r="H172" s="1708"/>
      <c r="I172" s="1708"/>
      <c r="J172" s="1708"/>
      <c r="K172" s="1708"/>
      <c r="L172" s="1708"/>
      <c r="M172" s="1708"/>
      <c r="N172" s="1708"/>
      <c r="O172" s="1708"/>
      <c r="P172" s="1708"/>
      <c r="Q172" s="1708"/>
      <c r="R172" s="1708"/>
    </row>
    <row r="173" spans="1:18" ht="19.5" customHeight="1">
      <c r="A173" s="1741"/>
      <c r="B173" s="1708"/>
      <c r="C173" s="1708"/>
      <c r="D173" s="1708"/>
      <c r="E173" s="1708"/>
      <c r="F173" s="1708"/>
      <c r="G173" s="1708"/>
      <c r="H173" s="1708"/>
      <c r="I173" s="1708"/>
      <c r="J173" s="1708"/>
      <c r="K173" s="1708"/>
      <c r="L173" s="1708"/>
      <c r="M173" s="1708"/>
      <c r="N173" s="1708"/>
      <c r="O173" s="1708"/>
      <c r="P173" s="1708"/>
      <c r="Q173" s="1708"/>
      <c r="R173" s="1708"/>
    </row>
    <row r="174" spans="1:18" ht="19.5" customHeight="1">
      <c r="A174" s="1741"/>
      <c r="B174" s="1708"/>
      <c r="C174" s="1708"/>
      <c r="D174" s="1708"/>
      <c r="E174" s="1708"/>
      <c r="F174" s="1708"/>
      <c r="G174" s="1708"/>
      <c r="H174" s="1708"/>
      <c r="I174" s="1708"/>
      <c r="J174" s="1708"/>
      <c r="K174" s="1708"/>
      <c r="L174" s="1708"/>
      <c r="M174" s="1708"/>
      <c r="N174" s="1708"/>
      <c r="O174" s="1708"/>
      <c r="P174" s="1708"/>
      <c r="Q174" s="1708"/>
      <c r="R174" s="1708"/>
    </row>
    <row r="175" spans="1:18" ht="19.5" customHeight="1">
      <c r="A175" s="1741"/>
      <c r="B175" s="1708"/>
      <c r="C175" s="1708"/>
      <c r="D175" s="1708"/>
      <c r="E175" s="1708"/>
      <c r="F175" s="1708"/>
      <c r="G175" s="1708"/>
      <c r="H175" s="1708"/>
      <c r="I175" s="1708"/>
      <c r="J175" s="1708"/>
      <c r="K175" s="1708"/>
      <c r="L175" s="1708"/>
      <c r="M175" s="1708"/>
      <c r="N175" s="1708"/>
      <c r="O175" s="1708"/>
      <c r="P175" s="1708"/>
      <c r="Q175" s="1708"/>
      <c r="R175" s="1708"/>
    </row>
    <row r="176" spans="1:18" ht="19.5" customHeight="1">
      <c r="A176" s="1741"/>
      <c r="B176" s="1708"/>
      <c r="C176" s="1708"/>
      <c r="D176" s="1708"/>
      <c r="E176" s="1708"/>
      <c r="F176" s="1708"/>
      <c r="G176" s="1708"/>
      <c r="H176" s="1708"/>
      <c r="I176" s="1708"/>
      <c r="J176" s="1708"/>
      <c r="K176" s="1708"/>
      <c r="L176" s="1708"/>
      <c r="M176" s="1708"/>
      <c r="N176" s="1708"/>
      <c r="O176" s="1708"/>
      <c r="P176" s="1708"/>
      <c r="Q176" s="1708"/>
      <c r="R176" s="1708"/>
    </row>
    <row r="177" spans="1:18" ht="19.5" customHeight="1">
      <c r="A177" s="1741"/>
      <c r="B177" s="1708"/>
      <c r="C177" s="1708"/>
      <c r="D177" s="1708"/>
      <c r="E177" s="1708"/>
      <c r="F177" s="1708"/>
      <c r="G177" s="1708"/>
      <c r="H177" s="1708"/>
      <c r="I177" s="1708"/>
      <c r="J177" s="1708"/>
      <c r="K177" s="1708"/>
      <c r="L177" s="1708"/>
      <c r="M177" s="1708"/>
      <c r="N177" s="1708"/>
      <c r="O177" s="1708"/>
      <c r="P177" s="1708"/>
      <c r="Q177" s="1708"/>
      <c r="R177" s="1708"/>
    </row>
    <row r="178" spans="1:18" ht="19.5" customHeight="1">
      <c r="A178" s="1741"/>
      <c r="B178" s="1708"/>
      <c r="C178" s="1708"/>
      <c r="D178" s="1708"/>
      <c r="E178" s="1708"/>
      <c r="F178" s="1708"/>
      <c r="G178" s="1708"/>
      <c r="H178" s="1708"/>
      <c r="I178" s="1708"/>
      <c r="J178" s="1708"/>
      <c r="K178" s="1708"/>
      <c r="L178" s="1708"/>
      <c r="M178" s="1708"/>
      <c r="N178" s="1708"/>
      <c r="O178" s="1708"/>
      <c r="P178" s="1708"/>
      <c r="Q178" s="1708"/>
      <c r="R178" s="1708"/>
    </row>
    <row r="179" spans="1:18" ht="19.5" customHeight="1">
      <c r="A179" s="1741"/>
      <c r="B179" s="1708"/>
      <c r="C179" s="1708"/>
      <c r="D179" s="1708"/>
      <c r="E179" s="1708"/>
      <c r="F179" s="1708"/>
      <c r="G179" s="1708"/>
      <c r="H179" s="1708"/>
      <c r="I179" s="1708"/>
      <c r="J179" s="1708"/>
      <c r="K179" s="1708"/>
      <c r="L179" s="1708"/>
      <c r="M179" s="1708"/>
      <c r="N179" s="1708"/>
      <c r="O179" s="1708"/>
      <c r="P179" s="1708"/>
      <c r="Q179" s="1708"/>
      <c r="R179" s="1708"/>
    </row>
    <row r="180" spans="1:18" ht="19.5" customHeight="1">
      <c r="A180" s="1741"/>
      <c r="B180" s="1708"/>
      <c r="C180" s="1708"/>
      <c r="D180" s="1708"/>
      <c r="E180" s="1708"/>
      <c r="F180" s="1708"/>
      <c r="G180" s="1708"/>
      <c r="H180" s="1708"/>
      <c r="I180" s="1708"/>
      <c r="J180" s="1708"/>
      <c r="K180" s="1708"/>
      <c r="L180" s="1708"/>
      <c r="M180" s="1708"/>
      <c r="N180" s="1708"/>
      <c r="O180" s="1708"/>
      <c r="P180" s="1708"/>
      <c r="Q180" s="1708"/>
      <c r="R180" s="1708"/>
    </row>
    <row r="181" spans="1:18" ht="19.5" customHeight="1">
      <c r="A181" s="1741"/>
      <c r="B181" s="1708"/>
      <c r="C181" s="1708"/>
      <c r="D181" s="1708"/>
      <c r="E181" s="1708"/>
      <c r="F181" s="1708"/>
      <c r="G181" s="1708"/>
      <c r="H181" s="1708"/>
      <c r="I181" s="1708"/>
      <c r="J181" s="1708"/>
      <c r="K181" s="1708"/>
      <c r="L181" s="1708"/>
      <c r="M181" s="1708"/>
      <c r="N181" s="1708"/>
      <c r="O181" s="1708"/>
      <c r="P181" s="1708"/>
      <c r="Q181" s="1708"/>
      <c r="R181" s="1708"/>
    </row>
    <row r="182" spans="1:18" ht="19.5" customHeight="1">
      <c r="A182" s="1741"/>
      <c r="B182" s="1708"/>
      <c r="C182" s="1708"/>
      <c r="D182" s="1708"/>
      <c r="E182" s="1708"/>
      <c r="F182" s="1708"/>
      <c r="G182" s="1708"/>
      <c r="H182" s="1708"/>
      <c r="I182" s="1708"/>
      <c r="J182" s="1708"/>
      <c r="K182" s="1708"/>
      <c r="L182" s="1708"/>
      <c r="M182" s="1708"/>
      <c r="N182" s="1708"/>
      <c r="O182" s="1708"/>
      <c r="P182" s="1708"/>
      <c r="Q182" s="1708"/>
      <c r="R182" s="1708"/>
    </row>
    <row r="183" spans="1:18" ht="19.5" customHeight="1">
      <c r="A183" s="1741"/>
      <c r="B183" s="1708"/>
      <c r="C183" s="1708"/>
      <c r="D183" s="1708"/>
      <c r="E183" s="1708"/>
      <c r="F183" s="1708"/>
      <c r="G183" s="1708"/>
      <c r="H183" s="1708"/>
      <c r="I183" s="1708"/>
      <c r="J183" s="1708"/>
      <c r="K183" s="1708"/>
      <c r="L183" s="1708"/>
      <c r="M183" s="1708"/>
      <c r="N183" s="1708"/>
      <c r="O183" s="1708"/>
      <c r="P183" s="1708"/>
      <c r="Q183" s="1708"/>
      <c r="R183" s="1708"/>
    </row>
    <row r="184" spans="1:18" ht="19.5" customHeight="1">
      <c r="A184" s="1741"/>
      <c r="B184" s="1708"/>
      <c r="C184" s="1708"/>
      <c r="D184" s="1708"/>
      <c r="E184" s="1708"/>
      <c r="F184" s="1708"/>
      <c r="G184" s="1708"/>
      <c r="H184" s="1708"/>
      <c r="I184" s="1708"/>
      <c r="J184" s="1708"/>
      <c r="K184" s="1708"/>
      <c r="L184" s="1708"/>
      <c r="M184" s="1708"/>
      <c r="N184" s="1708"/>
      <c r="O184" s="1708"/>
      <c r="P184" s="1708"/>
      <c r="Q184" s="1708"/>
      <c r="R184" s="1708"/>
    </row>
    <row r="185" spans="1:18" ht="19.5" customHeight="1">
      <c r="A185" s="1741"/>
      <c r="B185" s="1708"/>
      <c r="C185" s="1708"/>
      <c r="D185" s="1708"/>
      <c r="E185" s="1708"/>
      <c r="F185" s="1708"/>
      <c r="G185" s="1708"/>
      <c r="H185" s="1708"/>
      <c r="I185" s="1708"/>
      <c r="J185" s="1708"/>
      <c r="K185" s="1708"/>
      <c r="L185" s="1708"/>
      <c r="M185" s="1708"/>
      <c r="N185" s="1708"/>
      <c r="O185" s="1708"/>
      <c r="P185" s="1708"/>
      <c r="Q185" s="1708"/>
      <c r="R185" s="1708"/>
    </row>
    <row r="186" spans="1:18" ht="19.5" customHeight="1">
      <c r="A186" s="1741"/>
      <c r="B186" s="1708"/>
      <c r="C186" s="1708"/>
      <c r="D186" s="1708"/>
      <c r="E186" s="1708"/>
      <c r="F186" s="1708"/>
      <c r="G186" s="1708"/>
      <c r="H186" s="1708"/>
      <c r="I186" s="1708"/>
      <c r="J186" s="1708"/>
      <c r="K186" s="1708"/>
      <c r="L186" s="1708"/>
      <c r="M186" s="1708"/>
      <c r="N186" s="1708"/>
      <c r="O186" s="1708"/>
      <c r="P186" s="1708"/>
      <c r="Q186" s="1708"/>
      <c r="R186" s="1708"/>
    </row>
    <row r="187" spans="1:18" ht="19.5" customHeight="1">
      <c r="A187" s="1741"/>
      <c r="B187" s="1708"/>
      <c r="C187" s="1708"/>
      <c r="D187" s="1708"/>
      <c r="E187" s="1708"/>
      <c r="F187" s="1708"/>
      <c r="G187" s="1708"/>
      <c r="H187" s="1708"/>
      <c r="I187" s="1708"/>
      <c r="J187" s="1708"/>
      <c r="K187" s="1708"/>
      <c r="L187" s="1708"/>
      <c r="M187" s="1708"/>
      <c r="N187" s="1708"/>
      <c r="O187" s="1708"/>
      <c r="P187" s="1708"/>
      <c r="Q187" s="1708"/>
      <c r="R187" s="1708"/>
    </row>
    <row r="188" spans="1:18" ht="19.5" customHeight="1">
      <c r="A188" s="1741"/>
      <c r="B188" s="1708"/>
      <c r="C188" s="1708"/>
      <c r="D188" s="1708"/>
      <c r="E188" s="1708"/>
      <c r="F188" s="1708"/>
      <c r="G188" s="1708"/>
      <c r="H188" s="1708"/>
      <c r="I188" s="1708"/>
      <c r="J188" s="1708"/>
      <c r="K188" s="1708"/>
      <c r="L188" s="1708"/>
      <c r="M188" s="1708"/>
      <c r="N188" s="1708"/>
      <c r="O188" s="1708"/>
      <c r="P188" s="1708"/>
      <c r="Q188" s="1708"/>
      <c r="R188" s="1708"/>
    </row>
    <row r="189" spans="1:18" ht="19.5" customHeight="1">
      <c r="A189" s="1741"/>
      <c r="B189" s="1708"/>
      <c r="C189" s="1708"/>
      <c r="D189" s="1708"/>
      <c r="E189" s="1708"/>
      <c r="F189" s="1708"/>
      <c r="G189" s="1708"/>
      <c r="H189" s="1708"/>
      <c r="I189" s="1708"/>
      <c r="J189" s="1708"/>
      <c r="K189" s="1708"/>
      <c r="L189" s="1708"/>
      <c r="M189" s="1708"/>
      <c r="N189" s="1708"/>
      <c r="O189" s="1708"/>
      <c r="P189" s="1708"/>
      <c r="Q189" s="1708"/>
      <c r="R189" s="1708"/>
    </row>
    <row r="190" spans="1:18" ht="19.5" customHeight="1">
      <c r="A190" s="1741"/>
      <c r="B190" s="1708"/>
      <c r="C190" s="1708"/>
      <c r="D190" s="1708"/>
      <c r="E190" s="1708"/>
      <c r="F190" s="1708"/>
      <c r="G190" s="1708"/>
      <c r="H190" s="1708"/>
      <c r="I190" s="1708"/>
      <c r="J190" s="1708"/>
      <c r="K190" s="1708"/>
      <c r="L190" s="1708"/>
      <c r="M190" s="1708"/>
      <c r="N190" s="1708"/>
      <c r="O190" s="1708"/>
      <c r="P190" s="1708"/>
      <c r="Q190" s="1708"/>
      <c r="R190" s="1708"/>
    </row>
    <row r="191" spans="1:18" ht="19.5" customHeight="1">
      <c r="A191" s="1741"/>
      <c r="B191" s="1708"/>
      <c r="C191" s="1708"/>
      <c r="D191" s="1708"/>
      <c r="E191" s="1708"/>
      <c r="F191" s="1708"/>
      <c r="G191" s="1708"/>
      <c r="H191" s="1708"/>
      <c r="I191" s="1708"/>
      <c r="J191" s="1708"/>
      <c r="K191" s="1708"/>
      <c r="L191" s="1708"/>
      <c r="M191" s="1708"/>
      <c r="N191" s="1708"/>
      <c r="O191" s="1708"/>
      <c r="P191" s="1708"/>
      <c r="Q191" s="1708"/>
      <c r="R191" s="1708"/>
    </row>
    <row r="192" spans="1:18" ht="19.5" customHeight="1">
      <c r="A192" s="1741"/>
      <c r="B192" s="1708"/>
      <c r="C192" s="1708"/>
      <c r="D192" s="1708"/>
      <c r="E192" s="1708"/>
      <c r="F192" s="1708"/>
      <c r="G192" s="1708"/>
      <c r="H192" s="1708"/>
      <c r="I192" s="1708"/>
      <c r="J192" s="1708"/>
      <c r="K192" s="1708"/>
      <c r="L192" s="1708"/>
      <c r="M192" s="1708"/>
      <c r="N192" s="1708"/>
      <c r="O192" s="1708"/>
      <c r="P192" s="1708"/>
      <c r="Q192" s="1708"/>
      <c r="R192" s="1708"/>
    </row>
    <row r="193" spans="1:18" ht="19.5" customHeight="1">
      <c r="A193" s="1741"/>
      <c r="B193" s="1708"/>
      <c r="C193" s="1708"/>
      <c r="D193" s="1708"/>
      <c r="E193" s="1708"/>
      <c r="F193" s="1708"/>
      <c r="G193" s="1708"/>
      <c r="H193" s="1708"/>
      <c r="I193" s="1708"/>
      <c r="J193" s="1708"/>
      <c r="K193" s="1708"/>
      <c r="L193" s="1708"/>
      <c r="M193" s="1708"/>
      <c r="N193" s="1708"/>
      <c r="O193" s="1708"/>
      <c r="P193" s="1708"/>
      <c r="Q193" s="1708"/>
      <c r="R193" s="1708"/>
    </row>
    <row r="194" spans="1:18" ht="19.5" customHeight="1">
      <c r="A194" s="1741"/>
      <c r="B194" s="1708"/>
      <c r="C194" s="1708"/>
      <c r="D194" s="1708"/>
      <c r="E194" s="1708"/>
      <c r="F194" s="1708"/>
      <c r="G194" s="1708"/>
      <c r="H194" s="1708"/>
      <c r="I194" s="1708"/>
      <c r="J194" s="1708"/>
      <c r="K194" s="1708"/>
      <c r="L194" s="1708"/>
      <c r="M194" s="1708"/>
      <c r="N194" s="1708"/>
      <c r="O194" s="1708"/>
      <c r="P194" s="1708"/>
      <c r="Q194" s="1708"/>
      <c r="R194" s="1708"/>
    </row>
    <row r="195" spans="1:18" ht="19.5" customHeight="1">
      <c r="A195" s="1741"/>
      <c r="B195" s="1708"/>
      <c r="C195" s="1708"/>
      <c r="D195" s="1708"/>
      <c r="E195" s="1708"/>
      <c r="F195" s="1708"/>
      <c r="G195" s="1708"/>
      <c r="H195" s="1708"/>
      <c r="I195" s="1708"/>
      <c r="J195" s="1708"/>
      <c r="K195" s="1708"/>
      <c r="L195" s="1708"/>
      <c r="M195" s="1708"/>
      <c r="N195" s="1708"/>
      <c r="O195" s="1708"/>
      <c r="P195" s="1708"/>
      <c r="Q195" s="1708"/>
      <c r="R195" s="1708"/>
    </row>
    <row r="196" spans="1:18" ht="19.5" customHeight="1">
      <c r="A196" s="1741"/>
      <c r="B196" s="1708"/>
      <c r="C196" s="1708"/>
      <c r="D196" s="1708"/>
      <c r="E196" s="1708"/>
      <c r="F196" s="1708"/>
      <c r="G196" s="1708"/>
      <c r="H196" s="1708"/>
      <c r="I196" s="1708"/>
      <c r="J196" s="1708"/>
      <c r="K196" s="1708"/>
      <c r="L196" s="1708"/>
      <c r="M196" s="1708"/>
      <c r="N196" s="1708"/>
      <c r="O196" s="1708"/>
      <c r="P196" s="1708"/>
      <c r="Q196" s="1708"/>
      <c r="R196" s="1708"/>
    </row>
    <row r="197" spans="1:18" ht="19.5" customHeight="1">
      <c r="A197" s="1741"/>
      <c r="B197" s="1708"/>
      <c r="C197" s="1708"/>
      <c r="D197" s="1708"/>
      <c r="E197" s="1708"/>
      <c r="F197" s="1708"/>
      <c r="G197" s="1708"/>
      <c r="H197" s="1708"/>
      <c r="I197" s="1708"/>
      <c r="J197" s="1708"/>
      <c r="K197" s="1708"/>
      <c r="L197" s="1708"/>
      <c r="M197" s="1708"/>
      <c r="N197" s="1708"/>
      <c r="O197" s="1708"/>
      <c r="P197" s="1708"/>
      <c r="Q197" s="1708"/>
      <c r="R197" s="1708"/>
    </row>
    <row r="198" spans="1:18" ht="19.5" customHeight="1">
      <c r="A198" s="1741"/>
      <c r="B198" s="1708"/>
      <c r="C198" s="1708"/>
      <c r="D198" s="1708"/>
      <c r="E198" s="1708"/>
      <c r="F198" s="1708"/>
      <c r="G198" s="1708"/>
      <c r="H198" s="1708"/>
      <c r="I198" s="1708"/>
      <c r="J198" s="1708"/>
      <c r="K198" s="1708"/>
      <c r="L198" s="1708"/>
      <c r="M198" s="1708"/>
      <c r="N198" s="1708"/>
      <c r="O198" s="1708"/>
      <c r="P198" s="1708"/>
      <c r="Q198" s="1708"/>
      <c r="R198" s="1708"/>
    </row>
    <row r="199" spans="1:18" ht="19.5" customHeight="1">
      <c r="A199" s="1741"/>
      <c r="B199" s="1708"/>
      <c r="C199" s="1708"/>
      <c r="D199" s="1708"/>
      <c r="E199" s="1708"/>
      <c r="F199" s="1708"/>
      <c r="G199" s="1708"/>
      <c r="H199" s="1708"/>
      <c r="I199" s="1708"/>
      <c r="J199" s="1708"/>
      <c r="K199" s="1708"/>
      <c r="L199" s="1708"/>
      <c r="M199" s="1708"/>
      <c r="N199" s="1708"/>
      <c r="O199" s="1708"/>
      <c r="P199" s="1708"/>
      <c r="Q199" s="1708"/>
      <c r="R199" s="1708"/>
    </row>
    <row r="200" spans="1:18" ht="19.5" customHeight="1">
      <c r="A200" s="1741"/>
      <c r="B200" s="1708"/>
      <c r="C200" s="1708"/>
      <c r="D200" s="1708"/>
      <c r="E200" s="1708"/>
      <c r="F200" s="1708"/>
      <c r="G200" s="1708"/>
      <c r="H200" s="1708"/>
      <c r="I200" s="1708"/>
      <c r="J200" s="1708"/>
      <c r="K200" s="1708"/>
      <c r="L200" s="1708"/>
      <c r="M200" s="1708"/>
      <c r="N200" s="1708"/>
      <c r="O200" s="1708"/>
      <c r="P200" s="1708"/>
      <c r="Q200" s="1708"/>
      <c r="R200" s="1708"/>
    </row>
    <row r="201" spans="1:18" ht="19.5" customHeight="1">
      <c r="A201" s="1741"/>
      <c r="B201" s="1708"/>
      <c r="C201" s="1708"/>
      <c r="D201" s="1708"/>
      <c r="E201" s="1708"/>
      <c r="F201" s="1708"/>
      <c r="G201" s="1708"/>
      <c r="H201" s="1708"/>
      <c r="I201" s="1708"/>
      <c r="J201" s="1708"/>
      <c r="K201" s="1708"/>
      <c r="L201" s="1708"/>
      <c r="M201" s="1708"/>
      <c r="N201" s="1708"/>
      <c r="O201" s="1708"/>
      <c r="P201" s="1708"/>
      <c r="Q201" s="1708"/>
      <c r="R201" s="1708"/>
    </row>
    <row r="202" spans="1:18" ht="19.5" customHeight="1">
      <c r="A202" s="1741"/>
      <c r="B202" s="1708"/>
      <c r="C202" s="1708"/>
      <c r="D202" s="1708"/>
      <c r="E202" s="1708"/>
      <c r="F202" s="1708"/>
      <c r="G202" s="1708"/>
      <c r="H202" s="1708"/>
      <c r="I202" s="1708"/>
      <c r="J202" s="1708"/>
      <c r="K202" s="1708"/>
      <c r="L202" s="1708"/>
      <c r="M202" s="1708"/>
      <c r="N202" s="1708"/>
      <c r="O202" s="1708"/>
      <c r="P202" s="1708"/>
      <c r="Q202" s="1708"/>
      <c r="R202" s="1708"/>
    </row>
    <row r="203" spans="1:18" ht="19.5" customHeight="1">
      <c r="A203" s="1741"/>
      <c r="B203" s="1708"/>
      <c r="C203" s="1708"/>
      <c r="D203" s="1708"/>
      <c r="E203" s="1708"/>
      <c r="F203" s="1708"/>
      <c r="G203" s="1708"/>
      <c r="H203" s="1708"/>
      <c r="I203" s="1708"/>
      <c r="J203" s="1708"/>
      <c r="K203" s="1708"/>
      <c r="L203" s="1708"/>
      <c r="M203" s="1708"/>
      <c r="N203" s="1708"/>
      <c r="O203" s="1708"/>
      <c r="P203" s="1708"/>
      <c r="Q203" s="1708"/>
      <c r="R203" s="1708"/>
    </row>
    <row r="204" spans="1:18" ht="19.5" customHeight="1">
      <c r="A204" s="1741"/>
      <c r="B204" s="1708"/>
      <c r="C204" s="1708"/>
      <c r="D204" s="1708"/>
      <c r="E204" s="1708"/>
      <c r="F204" s="1708"/>
      <c r="G204" s="1708"/>
      <c r="H204" s="1708"/>
      <c r="I204" s="1708"/>
      <c r="J204" s="1708"/>
      <c r="K204" s="1708"/>
      <c r="L204" s="1708"/>
      <c r="M204" s="1708"/>
      <c r="N204" s="1708"/>
      <c r="O204" s="1708"/>
      <c r="P204" s="1708"/>
      <c r="Q204" s="1708"/>
      <c r="R204" s="1708"/>
    </row>
    <row r="205" spans="1:18" ht="19.5" customHeight="1">
      <c r="A205" s="1741"/>
      <c r="B205" s="1708"/>
      <c r="C205" s="1708"/>
      <c r="D205" s="1708"/>
      <c r="E205" s="1708"/>
      <c r="F205" s="1708"/>
      <c r="G205" s="1708"/>
      <c r="H205" s="1708"/>
      <c r="I205" s="1708"/>
      <c r="J205" s="1708"/>
      <c r="K205" s="1708"/>
      <c r="L205" s="1708"/>
      <c r="M205" s="1708"/>
      <c r="N205" s="1708"/>
      <c r="O205" s="1708"/>
      <c r="P205" s="1708"/>
      <c r="Q205" s="1708"/>
      <c r="R205" s="1708"/>
    </row>
    <row r="206" spans="1:18" ht="19.5" customHeight="1">
      <c r="A206" s="1741"/>
      <c r="B206" s="1708"/>
      <c r="C206" s="1708"/>
      <c r="D206" s="1708"/>
      <c r="E206" s="1708"/>
      <c r="F206" s="1708"/>
      <c r="G206" s="1708"/>
      <c r="H206" s="1708"/>
      <c r="I206" s="1708"/>
      <c r="J206" s="1708"/>
      <c r="K206" s="1708"/>
      <c r="L206" s="1708"/>
      <c r="M206" s="1708"/>
      <c r="N206" s="1708"/>
      <c r="O206" s="1708"/>
      <c r="P206" s="1708"/>
      <c r="Q206" s="1708"/>
      <c r="R206" s="1708"/>
    </row>
    <row r="207" spans="1:18" ht="19.5" customHeight="1">
      <c r="A207" s="1741"/>
      <c r="B207" s="1708"/>
      <c r="C207" s="1708"/>
      <c r="D207" s="1708"/>
      <c r="E207" s="1708"/>
      <c r="F207" s="1708"/>
      <c r="G207" s="1708"/>
      <c r="H207" s="1708"/>
      <c r="I207" s="1708"/>
      <c r="J207" s="1708"/>
      <c r="K207" s="1708"/>
      <c r="L207" s="1708"/>
      <c r="M207" s="1708"/>
      <c r="N207" s="1708"/>
      <c r="O207" s="1708"/>
      <c r="P207" s="1708"/>
      <c r="Q207" s="1708"/>
      <c r="R207" s="1708"/>
    </row>
    <row r="208" spans="1:18" ht="19.5" customHeight="1">
      <c r="A208" s="1741"/>
      <c r="B208" s="1708"/>
      <c r="C208" s="1708"/>
      <c r="D208" s="1708"/>
      <c r="E208" s="1708"/>
      <c r="F208" s="1708"/>
      <c r="G208" s="1708"/>
      <c r="H208" s="1708"/>
      <c r="I208" s="1708"/>
      <c r="J208" s="1708"/>
      <c r="K208" s="1708"/>
      <c r="L208" s="1708"/>
      <c r="M208" s="1708"/>
      <c r="N208" s="1708"/>
      <c r="O208" s="1708"/>
      <c r="P208" s="1708"/>
      <c r="Q208" s="1708"/>
      <c r="R208" s="1708"/>
    </row>
    <row r="209" spans="1:18" ht="19.5" customHeight="1">
      <c r="A209" s="1741"/>
      <c r="B209" s="1708"/>
      <c r="C209" s="1708"/>
      <c r="D209" s="1708"/>
      <c r="E209" s="1708"/>
      <c r="F209" s="1708"/>
      <c r="G209" s="1708"/>
      <c r="H209" s="1708"/>
      <c r="I209" s="1708"/>
      <c r="J209" s="1708"/>
      <c r="K209" s="1708"/>
      <c r="L209" s="1708"/>
      <c r="M209" s="1708"/>
      <c r="N209" s="1708"/>
      <c r="O209" s="1708"/>
      <c r="P209" s="1708"/>
      <c r="Q209" s="1708"/>
      <c r="R209" s="1708"/>
    </row>
    <row r="210" spans="1:18" ht="19.5" customHeight="1">
      <c r="A210" s="1741"/>
      <c r="B210" s="1708"/>
      <c r="C210" s="1708"/>
      <c r="D210" s="1708"/>
      <c r="E210" s="1708"/>
      <c r="F210" s="1708"/>
      <c r="G210" s="1708"/>
      <c r="H210" s="1708"/>
      <c r="I210" s="1708"/>
      <c r="J210" s="1708"/>
      <c r="K210" s="1708"/>
      <c r="L210" s="1708"/>
      <c r="M210" s="1708"/>
      <c r="N210" s="1708"/>
      <c r="O210" s="1708"/>
      <c r="P210" s="1708"/>
      <c r="Q210" s="1708"/>
      <c r="R210" s="1708"/>
    </row>
    <row r="211" spans="1:18" ht="19.5" customHeight="1">
      <c r="A211" s="1741"/>
      <c r="B211" s="1708"/>
      <c r="C211" s="1708"/>
      <c r="D211" s="1708"/>
      <c r="E211" s="1708"/>
      <c r="F211" s="1708"/>
      <c r="G211" s="1708"/>
      <c r="H211" s="1708"/>
      <c r="I211" s="1708"/>
      <c r="J211" s="1708"/>
      <c r="K211" s="1708"/>
      <c r="L211" s="1708"/>
      <c r="M211" s="1708"/>
      <c r="N211" s="1708"/>
      <c r="O211" s="1708"/>
      <c r="P211" s="1708"/>
      <c r="Q211" s="1708"/>
      <c r="R211" s="1708"/>
    </row>
    <row r="212" spans="1:18" ht="19.5" customHeight="1">
      <c r="A212" s="1741"/>
      <c r="B212" s="1708"/>
      <c r="C212" s="1708"/>
      <c r="D212" s="1708"/>
      <c r="E212" s="1708"/>
      <c r="F212" s="1708"/>
      <c r="G212" s="1708"/>
      <c r="H212" s="1708"/>
      <c r="I212" s="1708"/>
      <c r="J212" s="1708"/>
      <c r="K212" s="1708"/>
      <c r="L212" s="1708"/>
      <c r="M212" s="1708"/>
      <c r="N212" s="1708"/>
      <c r="O212" s="1708"/>
      <c r="P212" s="1708"/>
      <c r="Q212" s="1708"/>
      <c r="R212" s="1708"/>
    </row>
    <row r="213" spans="1:18" ht="19.5" customHeight="1">
      <c r="A213" s="1741"/>
      <c r="B213" s="1708"/>
      <c r="C213" s="1708"/>
      <c r="D213" s="1708"/>
      <c r="E213" s="1708"/>
      <c r="F213" s="1708"/>
      <c r="G213" s="1708"/>
      <c r="H213" s="1708"/>
      <c r="I213" s="1708"/>
      <c r="J213" s="1708"/>
      <c r="K213" s="1708"/>
      <c r="L213" s="1708"/>
      <c r="M213" s="1708"/>
      <c r="N213" s="1708"/>
      <c r="O213" s="1708"/>
      <c r="P213" s="1708"/>
      <c r="Q213" s="1708"/>
      <c r="R213" s="1708"/>
    </row>
    <row r="214" spans="1:18" ht="19.5" customHeight="1">
      <c r="A214" s="1741"/>
      <c r="B214" s="1708"/>
      <c r="C214" s="1708"/>
      <c r="D214" s="1708"/>
      <c r="E214" s="1708"/>
      <c r="F214" s="1708"/>
      <c r="G214" s="1708"/>
      <c r="H214" s="1708"/>
      <c r="I214" s="1708"/>
      <c r="J214" s="1708"/>
      <c r="K214" s="1708"/>
      <c r="L214" s="1708"/>
      <c r="M214" s="1708"/>
      <c r="N214" s="1708"/>
      <c r="O214" s="1708"/>
      <c r="P214" s="1708"/>
      <c r="Q214" s="1708"/>
      <c r="R214" s="1708"/>
    </row>
    <row r="215" spans="1:18" ht="19.5" customHeight="1">
      <c r="A215" s="1741"/>
      <c r="B215" s="1708"/>
      <c r="C215" s="1708"/>
      <c r="D215" s="1708"/>
      <c r="E215" s="1708"/>
      <c r="F215" s="1708"/>
      <c r="G215" s="1708"/>
      <c r="H215" s="1708"/>
      <c r="I215" s="1708"/>
      <c r="J215" s="1708"/>
      <c r="K215" s="1708"/>
      <c r="L215" s="1708"/>
      <c r="M215" s="1708"/>
      <c r="N215" s="1708"/>
      <c r="O215" s="1708"/>
      <c r="P215" s="1708"/>
      <c r="Q215" s="1708"/>
      <c r="R215" s="1708"/>
    </row>
    <row r="216" spans="1:18" ht="19.5" customHeight="1">
      <c r="A216" s="1741"/>
      <c r="B216" s="1708"/>
      <c r="C216" s="1708"/>
      <c r="D216" s="1708"/>
      <c r="E216" s="1708"/>
      <c r="F216" s="1708"/>
      <c r="G216" s="1708"/>
      <c r="H216" s="1708"/>
      <c r="I216" s="1708"/>
      <c r="J216" s="1708"/>
      <c r="K216" s="1708"/>
      <c r="L216" s="1708"/>
      <c r="M216" s="1708"/>
      <c r="N216" s="1708"/>
      <c r="O216" s="1708"/>
      <c r="P216" s="1708"/>
      <c r="Q216" s="1708"/>
      <c r="R216" s="1708"/>
    </row>
    <row r="217" spans="1:18" ht="19.5" customHeight="1">
      <c r="A217" s="1741"/>
      <c r="B217" s="1708"/>
      <c r="C217" s="1708"/>
      <c r="D217" s="1708"/>
      <c r="E217" s="1708"/>
      <c r="F217" s="1708"/>
      <c r="G217" s="1708"/>
      <c r="H217" s="1708"/>
      <c r="I217" s="1708"/>
      <c r="J217" s="1708"/>
      <c r="K217" s="1708"/>
      <c r="L217" s="1708"/>
      <c r="M217" s="1708"/>
      <c r="N217" s="1708"/>
      <c r="O217" s="1708"/>
      <c r="P217" s="1708"/>
      <c r="Q217" s="1708"/>
      <c r="R217" s="1708"/>
    </row>
    <row r="218" spans="1:18" ht="19.5" customHeight="1">
      <c r="A218" s="1741"/>
      <c r="B218" s="1708"/>
      <c r="C218" s="1708"/>
      <c r="D218" s="1708"/>
      <c r="E218" s="1708"/>
      <c r="F218" s="1708"/>
      <c r="G218" s="1708"/>
      <c r="H218" s="1708"/>
      <c r="I218" s="1708"/>
      <c r="J218" s="1708"/>
      <c r="K218" s="1708"/>
      <c r="L218" s="1708"/>
      <c r="M218" s="1708"/>
      <c r="N218" s="1708"/>
      <c r="O218" s="1708"/>
      <c r="P218" s="1708"/>
      <c r="Q218" s="1708"/>
      <c r="R218" s="1708"/>
    </row>
    <row r="219" spans="1:18" ht="19.5" customHeight="1">
      <c r="A219" s="1741"/>
      <c r="B219" s="1708"/>
      <c r="C219" s="1708"/>
      <c r="D219" s="1708"/>
      <c r="E219" s="1708"/>
      <c r="F219" s="1708"/>
      <c r="G219" s="1708"/>
      <c r="H219" s="1708"/>
      <c r="I219" s="1708"/>
      <c r="J219" s="1708"/>
      <c r="K219" s="1708"/>
      <c r="L219" s="1708"/>
      <c r="M219" s="1708"/>
      <c r="N219" s="1708"/>
      <c r="O219" s="1708"/>
      <c r="P219" s="1708"/>
      <c r="Q219" s="1708"/>
      <c r="R219" s="1708"/>
    </row>
    <row r="220" spans="1:18" ht="19.5" customHeight="1">
      <c r="A220" s="1741"/>
      <c r="B220" s="1708"/>
      <c r="C220" s="1708"/>
      <c r="D220" s="1708"/>
      <c r="E220" s="1708"/>
      <c r="F220" s="1708"/>
      <c r="G220" s="1708"/>
      <c r="H220" s="1708"/>
      <c r="I220" s="1708"/>
      <c r="J220" s="1708"/>
      <c r="K220" s="1708"/>
      <c r="L220" s="1708"/>
      <c r="M220" s="1708"/>
      <c r="N220" s="1708"/>
      <c r="O220" s="1708"/>
      <c r="P220" s="1708"/>
      <c r="Q220" s="1708"/>
      <c r="R220" s="1708"/>
    </row>
    <row r="221" spans="1:18" ht="19.5" customHeight="1">
      <c r="A221" s="1741"/>
      <c r="B221" s="1708"/>
      <c r="C221" s="1708"/>
      <c r="D221" s="1708"/>
      <c r="E221" s="1708"/>
      <c r="F221" s="1708"/>
      <c r="G221" s="1708"/>
      <c r="H221" s="1708"/>
      <c r="I221" s="1708"/>
      <c r="J221" s="1708"/>
      <c r="K221" s="1708"/>
      <c r="L221" s="1708"/>
      <c r="M221" s="1708"/>
      <c r="N221" s="1708"/>
      <c r="O221" s="1708"/>
      <c r="P221" s="1708"/>
      <c r="Q221" s="1708"/>
      <c r="R221" s="1708"/>
    </row>
    <row r="222" spans="1:18" ht="19.5" customHeight="1">
      <c r="A222" s="1741"/>
      <c r="B222" s="1708"/>
      <c r="C222" s="1708"/>
      <c r="D222" s="1708"/>
      <c r="E222" s="1708"/>
      <c r="F222" s="1708"/>
      <c r="G222" s="1708"/>
      <c r="H222" s="1708"/>
      <c r="I222" s="1708"/>
      <c r="J222" s="1708"/>
      <c r="K222" s="1708"/>
      <c r="L222" s="1708"/>
      <c r="M222" s="1708"/>
      <c r="N222" s="1708"/>
      <c r="O222" s="1708"/>
      <c r="P222" s="1708"/>
      <c r="Q222" s="1708"/>
      <c r="R222" s="1708"/>
    </row>
    <row r="223" spans="1:18" ht="19.5" customHeight="1">
      <c r="A223" s="1741"/>
      <c r="B223" s="1708"/>
      <c r="C223" s="1708"/>
      <c r="D223" s="1708"/>
      <c r="E223" s="1708"/>
      <c r="F223" s="1708"/>
      <c r="G223" s="1708"/>
      <c r="H223" s="1708"/>
      <c r="I223" s="1708"/>
      <c r="J223" s="1708"/>
      <c r="K223" s="1708"/>
      <c r="L223" s="1708"/>
      <c r="M223" s="1708"/>
      <c r="N223" s="1708"/>
      <c r="O223" s="1708"/>
      <c r="P223" s="1708"/>
      <c r="Q223" s="1708"/>
      <c r="R223" s="1708"/>
    </row>
    <row r="224" spans="1:18" ht="19.5" customHeight="1">
      <c r="A224" s="1741"/>
      <c r="B224" s="1708"/>
      <c r="C224" s="1708"/>
      <c r="D224" s="1708"/>
      <c r="E224" s="1708"/>
      <c r="F224" s="1708"/>
      <c r="G224" s="1708"/>
      <c r="H224" s="1708"/>
      <c r="I224" s="1708"/>
      <c r="J224" s="1708"/>
      <c r="K224" s="1708"/>
      <c r="L224" s="1708"/>
      <c r="M224" s="1708"/>
      <c r="N224" s="1708"/>
      <c r="O224" s="1708"/>
      <c r="P224" s="1708"/>
      <c r="Q224" s="1708"/>
      <c r="R224" s="1708"/>
    </row>
    <row r="225" spans="1:18" ht="19.5" customHeight="1">
      <c r="A225" s="1741"/>
      <c r="B225" s="1708"/>
      <c r="C225" s="1708"/>
      <c r="D225" s="1708"/>
      <c r="E225" s="1708"/>
      <c r="F225" s="1708"/>
      <c r="G225" s="1708"/>
      <c r="H225" s="1708"/>
      <c r="I225" s="1708"/>
      <c r="J225" s="1708"/>
      <c r="K225" s="1708"/>
      <c r="L225" s="1708"/>
      <c r="M225" s="1708"/>
      <c r="N225" s="1708"/>
      <c r="O225" s="1708"/>
      <c r="P225" s="1708"/>
      <c r="Q225" s="1708"/>
      <c r="R225" s="1708"/>
    </row>
    <row r="226" spans="1:18" ht="19.5" customHeight="1">
      <c r="A226" s="1741"/>
      <c r="B226" s="1708"/>
      <c r="C226" s="1708"/>
      <c r="D226" s="1708"/>
      <c r="E226" s="1708"/>
      <c r="F226" s="1708"/>
      <c r="G226" s="1708"/>
      <c r="H226" s="1708"/>
      <c r="I226" s="1708"/>
      <c r="J226" s="1708"/>
      <c r="K226" s="1708"/>
      <c r="L226" s="1708"/>
      <c r="M226" s="1708"/>
      <c r="N226" s="1708"/>
      <c r="O226" s="1708"/>
      <c r="P226" s="1708"/>
      <c r="Q226" s="1708"/>
      <c r="R226" s="1708"/>
    </row>
    <row r="227" spans="1:18" ht="19.5" customHeight="1">
      <c r="A227" s="1741"/>
      <c r="B227" s="1708"/>
      <c r="C227" s="1708"/>
      <c r="D227" s="1708"/>
      <c r="E227" s="1708"/>
      <c r="F227" s="1708"/>
      <c r="G227" s="1708"/>
      <c r="H227" s="1708"/>
      <c r="I227" s="1708"/>
      <c r="J227" s="1708"/>
      <c r="K227" s="1708"/>
      <c r="L227" s="1708"/>
      <c r="M227" s="1708"/>
      <c r="N227" s="1708"/>
      <c r="O227" s="1708"/>
      <c r="P227" s="1708"/>
      <c r="Q227" s="1708"/>
      <c r="R227" s="1708"/>
    </row>
    <row r="228" spans="1:18" ht="19.5" customHeight="1">
      <c r="A228" s="1741"/>
      <c r="B228" s="1708"/>
      <c r="C228" s="1708"/>
      <c r="D228" s="1708"/>
      <c r="E228" s="1708"/>
      <c r="F228" s="1708"/>
      <c r="G228" s="1708"/>
      <c r="H228" s="1708"/>
      <c r="I228" s="1708"/>
      <c r="J228" s="1708"/>
      <c r="K228" s="1708"/>
      <c r="L228" s="1708"/>
      <c r="M228" s="1708"/>
      <c r="N228" s="1708"/>
      <c r="O228" s="1708"/>
      <c r="P228" s="1708"/>
      <c r="Q228" s="1708"/>
      <c r="R228" s="1708"/>
    </row>
    <row r="229" spans="1:18" ht="19.5" customHeight="1">
      <c r="A229" s="1741"/>
      <c r="B229" s="1708"/>
      <c r="C229" s="1708"/>
      <c r="D229" s="1708"/>
      <c r="E229" s="1708"/>
      <c r="F229" s="1708"/>
      <c r="G229" s="1708"/>
      <c r="H229" s="1708"/>
      <c r="I229" s="1708"/>
      <c r="J229" s="1708"/>
      <c r="K229" s="1708"/>
      <c r="L229" s="1708"/>
      <c r="M229" s="1708"/>
      <c r="N229" s="1708"/>
      <c r="O229" s="1708"/>
      <c r="P229" s="1708"/>
      <c r="Q229" s="1708"/>
      <c r="R229" s="1708"/>
    </row>
    <row r="230" spans="1:18" ht="19.5" customHeight="1">
      <c r="A230" s="1741"/>
      <c r="B230" s="1708"/>
      <c r="C230" s="1708"/>
      <c r="D230" s="1708"/>
      <c r="E230" s="1708"/>
      <c r="F230" s="1708"/>
      <c r="G230" s="1708"/>
      <c r="H230" s="1708"/>
      <c r="I230" s="1708"/>
      <c r="J230" s="1708"/>
      <c r="K230" s="1708"/>
      <c r="L230" s="1708"/>
      <c r="M230" s="1708"/>
      <c r="N230" s="1708"/>
      <c r="O230" s="1708"/>
      <c r="P230" s="1708"/>
      <c r="Q230" s="1708"/>
      <c r="R230" s="1708"/>
    </row>
    <row r="231" spans="1:18" ht="19.5" customHeight="1">
      <c r="A231" s="1741"/>
      <c r="B231" s="1708"/>
      <c r="C231" s="1708"/>
      <c r="D231" s="1708"/>
      <c r="E231" s="1708"/>
      <c r="F231" s="1708"/>
      <c r="G231" s="1708"/>
      <c r="H231" s="1708"/>
      <c r="I231" s="1708"/>
      <c r="J231" s="1708"/>
      <c r="K231" s="1708"/>
      <c r="L231" s="1708"/>
      <c r="M231" s="1708"/>
      <c r="N231" s="1708"/>
      <c r="O231" s="1708"/>
      <c r="P231" s="1708"/>
      <c r="Q231" s="1708"/>
      <c r="R231" s="1708"/>
    </row>
    <row r="232" spans="1:18" ht="19.5" customHeight="1">
      <c r="A232" s="1741"/>
      <c r="B232" s="1708"/>
      <c r="C232" s="1708"/>
      <c r="D232" s="1708"/>
      <c r="E232" s="1708"/>
      <c r="F232" s="1708"/>
      <c r="G232" s="1708"/>
      <c r="H232" s="1708"/>
      <c r="I232" s="1708"/>
      <c r="J232" s="1708"/>
      <c r="K232" s="1708"/>
      <c r="L232" s="1708"/>
      <c r="M232" s="1708"/>
      <c r="N232" s="1708"/>
      <c r="O232" s="1708"/>
      <c r="P232" s="1708"/>
      <c r="Q232" s="1708"/>
      <c r="R232" s="1708"/>
    </row>
    <row r="233" spans="1:18" ht="19.5" customHeight="1">
      <c r="A233" s="1741"/>
      <c r="B233" s="1708"/>
      <c r="C233" s="1708"/>
      <c r="D233" s="1708"/>
      <c r="E233" s="1708"/>
      <c r="F233" s="1708"/>
      <c r="G233" s="1708"/>
      <c r="H233" s="1708"/>
      <c r="I233" s="1708"/>
      <c r="J233" s="1708"/>
      <c r="K233" s="1708"/>
      <c r="L233" s="1708"/>
      <c r="M233" s="1708"/>
      <c r="N233" s="1708"/>
      <c r="O233" s="1708"/>
      <c r="P233" s="1708"/>
      <c r="Q233" s="1708"/>
      <c r="R233" s="1708"/>
    </row>
    <row r="234" spans="1:18" ht="19.5" customHeight="1">
      <c r="A234" s="1741"/>
      <c r="B234" s="1708"/>
      <c r="C234" s="1708"/>
      <c r="D234" s="1708"/>
      <c r="E234" s="1708"/>
      <c r="F234" s="1708"/>
      <c r="G234" s="1708"/>
      <c r="H234" s="1708"/>
      <c r="I234" s="1708"/>
      <c r="J234" s="1708"/>
      <c r="K234" s="1708"/>
      <c r="L234" s="1708"/>
      <c r="M234" s="1708"/>
      <c r="N234" s="1708"/>
      <c r="O234" s="1708"/>
      <c r="P234" s="1708"/>
      <c r="Q234" s="1708"/>
      <c r="R234" s="1708"/>
    </row>
    <row r="235" spans="1:18" ht="19.5" customHeight="1">
      <c r="A235" s="1741"/>
      <c r="B235" s="1708"/>
      <c r="C235" s="1708"/>
      <c r="D235" s="1708"/>
      <c r="E235" s="1708"/>
      <c r="F235" s="1708"/>
      <c r="G235" s="1708"/>
      <c r="H235" s="1708"/>
      <c r="I235" s="1708"/>
      <c r="J235" s="1708"/>
      <c r="K235" s="1708"/>
      <c r="L235" s="1708"/>
      <c r="M235" s="1708"/>
      <c r="N235" s="1708"/>
      <c r="O235" s="1708"/>
      <c r="P235" s="1708"/>
      <c r="Q235" s="1708"/>
      <c r="R235" s="1708"/>
    </row>
    <row r="236" spans="1:18" ht="19.5" customHeight="1">
      <c r="A236" s="1741"/>
      <c r="B236" s="1708"/>
      <c r="C236" s="1708"/>
      <c r="D236" s="1708"/>
      <c r="E236" s="1708"/>
      <c r="F236" s="1708"/>
      <c r="G236" s="1708"/>
      <c r="H236" s="1708"/>
      <c r="I236" s="1708"/>
      <c r="J236" s="1708"/>
      <c r="K236" s="1708"/>
      <c r="L236" s="1708"/>
      <c r="M236" s="1708"/>
      <c r="N236" s="1708"/>
      <c r="O236" s="1708"/>
      <c r="P236" s="1708"/>
      <c r="Q236" s="1708"/>
      <c r="R236" s="1708"/>
    </row>
    <row r="237" spans="1:18" ht="19.5" customHeight="1">
      <c r="A237" s="1741"/>
      <c r="B237" s="1708"/>
      <c r="C237" s="1708"/>
      <c r="D237" s="1708"/>
      <c r="E237" s="1708"/>
      <c r="F237" s="1708"/>
      <c r="G237" s="1708"/>
      <c r="H237" s="1708"/>
      <c r="I237" s="1708"/>
      <c r="J237" s="1708"/>
      <c r="K237" s="1708"/>
      <c r="L237" s="1708"/>
      <c r="M237" s="1708"/>
      <c r="N237" s="1708"/>
      <c r="O237" s="1708"/>
      <c r="P237" s="1708"/>
      <c r="Q237" s="1708"/>
      <c r="R237" s="1708"/>
    </row>
    <row r="238" spans="1:18" ht="19.5" customHeight="1">
      <c r="A238" s="1741"/>
      <c r="B238" s="1708"/>
      <c r="C238" s="1708"/>
      <c r="D238" s="1708"/>
      <c r="E238" s="1708"/>
      <c r="F238" s="1708"/>
      <c r="G238" s="1708"/>
      <c r="H238" s="1708"/>
      <c r="I238" s="1708"/>
      <c r="J238" s="1708"/>
      <c r="K238" s="1708"/>
      <c r="L238" s="1708"/>
      <c r="M238" s="1708"/>
      <c r="N238" s="1708"/>
      <c r="O238" s="1708"/>
      <c r="P238" s="1708"/>
      <c r="Q238" s="1708"/>
      <c r="R238" s="1708"/>
    </row>
    <row r="239" spans="1:18" ht="19.5" customHeight="1">
      <c r="A239" s="1741"/>
      <c r="B239" s="1708"/>
      <c r="C239" s="1708"/>
      <c r="D239" s="1708"/>
      <c r="E239" s="1708"/>
      <c r="F239" s="1708"/>
      <c r="G239" s="1708"/>
      <c r="H239" s="1708"/>
      <c r="I239" s="1708"/>
      <c r="J239" s="1708"/>
      <c r="K239" s="1708"/>
      <c r="L239" s="1708"/>
      <c r="M239" s="1708"/>
      <c r="N239" s="1708"/>
      <c r="O239" s="1708"/>
      <c r="P239" s="1708"/>
      <c r="Q239" s="1708"/>
      <c r="R239" s="1708"/>
    </row>
    <row r="240" spans="1:18" ht="19.5" customHeight="1">
      <c r="A240" s="1741"/>
      <c r="B240" s="1708"/>
      <c r="C240" s="1708"/>
      <c r="D240" s="1708"/>
      <c r="E240" s="1708"/>
      <c r="F240" s="1708"/>
      <c r="G240" s="1708"/>
      <c r="H240" s="1708"/>
      <c r="I240" s="1708"/>
      <c r="J240" s="1708"/>
      <c r="K240" s="1708"/>
      <c r="L240" s="1708"/>
      <c r="M240" s="1708"/>
      <c r="N240" s="1708"/>
      <c r="O240" s="1708"/>
      <c r="P240" s="1708"/>
      <c r="Q240" s="1708"/>
      <c r="R240" s="1708"/>
    </row>
    <row r="241" spans="1:18" ht="19.5" customHeight="1">
      <c r="A241" s="1741"/>
      <c r="B241" s="1708"/>
      <c r="C241" s="1708"/>
      <c r="D241" s="1708"/>
      <c r="E241" s="1708"/>
      <c r="F241" s="1708"/>
      <c r="G241" s="1708"/>
      <c r="H241" s="1708"/>
      <c r="I241" s="1708"/>
      <c r="J241" s="1708"/>
      <c r="K241" s="1708"/>
      <c r="L241" s="1708"/>
      <c r="M241" s="1708"/>
      <c r="N241" s="1708"/>
      <c r="O241" s="1708"/>
      <c r="P241" s="1708"/>
      <c r="Q241" s="1708"/>
      <c r="R241" s="1708"/>
    </row>
    <row r="242" spans="1:18" ht="19.5" customHeight="1">
      <c r="A242" s="1741"/>
      <c r="B242" s="1708"/>
      <c r="C242" s="1708"/>
      <c r="D242" s="1708"/>
      <c r="E242" s="1708"/>
      <c r="F242" s="1708"/>
      <c r="G242" s="1708"/>
      <c r="H242" s="1708"/>
      <c r="I242" s="1708"/>
      <c r="J242" s="1708"/>
      <c r="K242" s="1708"/>
      <c r="L242" s="1708"/>
      <c r="M242" s="1708"/>
      <c r="N242" s="1708"/>
      <c r="O242" s="1708"/>
      <c r="P242" s="1708"/>
      <c r="Q242" s="1708"/>
      <c r="R242" s="1708"/>
    </row>
    <row r="243" spans="1:18" ht="19.5" customHeight="1">
      <c r="A243" s="1741"/>
      <c r="B243" s="1708"/>
      <c r="C243" s="1708"/>
      <c r="D243" s="1708"/>
      <c r="E243" s="1708"/>
      <c r="F243" s="1708"/>
      <c r="G243" s="1708"/>
      <c r="H243" s="1708"/>
      <c r="I243" s="1708"/>
      <c r="J243" s="1708"/>
      <c r="K243" s="1708"/>
      <c r="L243" s="1708"/>
      <c r="M243" s="1708"/>
      <c r="N243" s="1708"/>
      <c r="O243" s="1708"/>
      <c r="P243" s="1708"/>
      <c r="Q243" s="1708"/>
      <c r="R243" s="1708"/>
    </row>
    <row r="244" spans="1:18" ht="19.5" customHeight="1">
      <c r="A244" s="1741"/>
      <c r="B244" s="1708"/>
      <c r="C244" s="1708"/>
      <c r="D244" s="1708"/>
      <c r="E244" s="1708"/>
      <c r="F244" s="1708"/>
      <c r="G244" s="1708"/>
      <c r="H244" s="1708"/>
      <c r="I244" s="1708"/>
      <c r="J244" s="1708"/>
      <c r="K244" s="1708"/>
      <c r="L244" s="1708"/>
      <c r="M244" s="1708"/>
      <c r="N244" s="1708"/>
      <c r="O244" s="1708"/>
      <c r="P244" s="1708"/>
      <c r="Q244" s="1708"/>
      <c r="R244" s="1708"/>
    </row>
    <row r="245" spans="1:18" ht="19.5" customHeight="1">
      <c r="A245" s="1741"/>
      <c r="B245" s="1708"/>
      <c r="C245" s="1708"/>
      <c r="D245" s="1708"/>
      <c r="E245" s="1708"/>
      <c r="F245" s="1708"/>
      <c r="G245" s="1708"/>
      <c r="H245" s="1708"/>
      <c r="I245" s="1708"/>
      <c r="J245" s="1708"/>
      <c r="K245" s="1708"/>
      <c r="L245" s="1708"/>
      <c r="M245" s="1708"/>
      <c r="N245" s="1708"/>
      <c r="O245" s="1708"/>
      <c r="P245" s="1708"/>
      <c r="Q245" s="1708"/>
      <c r="R245" s="1708"/>
    </row>
    <row r="246" spans="1:18" ht="19.5" customHeight="1">
      <c r="A246" s="1741"/>
      <c r="B246" s="1708"/>
      <c r="C246" s="1708"/>
      <c r="D246" s="1708"/>
      <c r="E246" s="1708"/>
      <c r="F246" s="1708"/>
      <c r="G246" s="1708"/>
      <c r="H246" s="1708"/>
      <c r="I246" s="1708"/>
      <c r="J246" s="1708"/>
      <c r="K246" s="1708"/>
      <c r="L246" s="1708"/>
      <c r="M246" s="1708"/>
      <c r="N246" s="1708"/>
      <c r="O246" s="1708"/>
      <c r="P246" s="1708"/>
      <c r="Q246" s="1708"/>
      <c r="R246" s="1708"/>
    </row>
    <row r="247" spans="1:18" ht="19.5" customHeight="1">
      <c r="A247" s="1741"/>
      <c r="B247" s="1708"/>
      <c r="C247" s="1708"/>
      <c r="D247" s="1708"/>
      <c r="E247" s="1708"/>
      <c r="F247" s="1708"/>
      <c r="G247" s="1708"/>
      <c r="H247" s="1708"/>
      <c r="I247" s="1708"/>
      <c r="J247" s="1708"/>
      <c r="K247" s="1708"/>
      <c r="L247" s="1708"/>
      <c r="M247" s="1708"/>
      <c r="N247" s="1708"/>
      <c r="O247" s="1708"/>
      <c r="P247" s="1708"/>
      <c r="Q247" s="1708"/>
      <c r="R247" s="1708"/>
    </row>
    <row r="248" spans="1:18" ht="19.5" customHeight="1">
      <c r="A248" s="1741"/>
      <c r="B248" s="1708"/>
      <c r="C248" s="1708"/>
      <c r="D248" s="1708"/>
      <c r="E248" s="1708"/>
      <c r="F248" s="1708"/>
      <c r="G248" s="1708"/>
      <c r="H248" s="1708"/>
      <c r="I248" s="1708"/>
      <c r="J248" s="1708"/>
      <c r="K248" s="1708"/>
      <c r="L248" s="1708"/>
      <c r="M248" s="1708"/>
      <c r="N248" s="1708"/>
      <c r="O248" s="1708"/>
      <c r="P248" s="1708"/>
      <c r="Q248" s="1708"/>
      <c r="R248" s="1708"/>
    </row>
    <row r="249" spans="1:18" ht="19.5" customHeight="1">
      <c r="A249" s="1741"/>
      <c r="B249" s="1708"/>
      <c r="C249" s="1708"/>
      <c r="D249" s="1708"/>
      <c r="E249" s="1708"/>
      <c r="F249" s="1708"/>
      <c r="G249" s="1708"/>
      <c r="H249" s="1708"/>
      <c r="I249" s="1708"/>
      <c r="J249" s="1708"/>
      <c r="K249" s="1708"/>
      <c r="L249" s="1708"/>
      <c r="M249" s="1708"/>
      <c r="N249" s="1708"/>
      <c r="O249" s="1708"/>
      <c r="P249" s="1708"/>
      <c r="Q249" s="1708"/>
      <c r="R249" s="1708"/>
    </row>
    <row r="250" spans="1:18" ht="19.5" customHeight="1">
      <c r="A250" s="1741"/>
      <c r="B250" s="1708"/>
      <c r="C250" s="1708"/>
      <c r="D250" s="1708"/>
      <c r="E250" s="1708"/>
      <c r="F250" s="1708"/>
      <c r="G250" s="1708"/>
      <c r="H250" s="1708"/>
      <c r="I250" s="1708"/>
      <c r="J250" s="1708"/>
      <c r="K250" s="1708"/>
      <c r="L250" s="1708"/>
      <c r="M250" s="1708"/>
      <c r="N250" s="1708"/>
      <c r="O250" s="1708"/>
      <c r="P250" s="1708"/>
      <c r="Q250" s="1708"/>
      <c r="R250" s="1708"/>
    </row>
    <row r="251" spans="1:18" ht="19.5" customHeight="1">
      <c r="A251" s="1741"/>
      <c r="B251" s="1708"/>
      <c r="C251" s="1708"/>
      <c r="D251" s="1708"/>
      <c r="E251" s="1708"/>
      <c r="F251" s="1708"/>
      <c r="G251" s="1708"/>
      <c r="H251" s="1708"/>
      <c r="I251" s="1708"/>
      <c r="J251" s="1708"/>
      <c r="K251" s="1708"/>
      <c r="L251" s="1708"/>
      <c r="M251" s="1708"/>
      <c r="N251" s="1708"/>
      <c r="O251" s="1708"/>
      <c r="P251" s="1708"/>
      <c r="Q251" s="1708"/>
      <c r="R251" s="1708"/>
    </row>
    <row r="252" spans="1:18" ht="19.5" customHeight="1">
      <c r="A252" s="1741"/>
      <c r="B252" s="1708"/>
      <c r="C252" s="1708"/>
      <c r="D252" s="1708"/>
      <c r="E252" s="1708"/>
      <c r="F252" s="1708"/>
      <c r="G252" s="1708"/>
      <c r="H252" s="1708"/>
      <c r="I252" s="1708"/>
      <c r="J252" s="1708"/>
      <c r="K252" s="1708"/>
      <c r="L252" s="1708"/>
      <c r="M252" s="1708"/>
      <c r="N252" s="1708"/>
      <c r="O252" s="1708"/>
      <c r="P252" s="1708"/>
      <c r="Q252" s="1708"/>
      <c r="R252" s="1708"/>
    </row>
    <row r="253" spans="1:18" ht="19.5" customHeight="1">
      <c r="A253" s="1741"/>
      <c r="B253" s="1708"/>
      <c r="C253" s="1708"/>
      <c r="D253" s="1708"/>
      <c r="E253" s="1708"/>
      <c r="F253" s="1708"/>
      <c r="G253" s="1708"/>
      <c r="H253" s="1708"/>
      <c r="I253" s="1708"/>
      <c r="J253" s="1708"/>
      <c r="K253" s="1708"/>
      <c r="L253" s="1708"/>
      <c r="M253" s="1708"/>
      <c r="N253" s="1708"/>
      <c r="O253" s="1708"/>
      <c r="P253" s="1708"/>
      <c r="Q253" s="1708"/>
      <c r="R253" s="1708"/>
    </row>
    <row r="254" spans="1:18" ht="19.5" customHeight="1">
      <c r="A254" s="1741"/>
      <c r="B254" s="1708"/>
      <c r="C254" s="1708"/>
      <c r="D254" s="1708"/>
      <c r="E254" s="1708"/>
      <c r="F254" s="1708"/>
      <c r="G254" s="1708"/>
      <c r="H254" s="1708"/>
      <c r="I254" s="1708"/>
      <c r="J254" s="1708"/>
      <c r="K254" s="1708"/>
      <c r="L254" s="1708"/>
      <c r="M254" s="1708"/>
      <c r="N254" s="1708"/>
      <c r="O254" s="1708"/>
      <c r="P254" s="1708"/>
      <c r="Q254" s="1708"/>
      <c r="R254" s="1708"/>
    </row>
    <row r="255" spans="1:18" ht="19.5" customHeight="1">
      <c r="A255" s="1741"/>
      <c r="B255" s="1708"/>
      <c r="C255" s="1708"/>
      <c r="D255" s="1708"/>
      <c r="E255" s="1708"/>
      <c r="F255" s="1708"/>
      <c r="G255" s="1708"/>
      <c r="H255" s="1708"/>
      <c r="I255" s="1708"/>
      <c r="J255" s="1708"/>
      <c r="K255" s="1708"/>
      <c r="L255" s="1708"/>
      <c r="M255" s="1708"/>
      <c r="N255" s="1708"/>
      <c r="O255" s="1708"/>
      <c r="P255" s="1708"/>
      <c r="Q255" s="1708"/>
      <c r="R255" s="1708"/>
    </row>
    <row r="256" spans="1:18" ht="19.5" customHeight="1">
      <c r="A256" s="1741"/>
      <c r="B256" s="1708"/>
      <c r="C256" s="1708"/>
      <c r="D256" s="1708"/>
      <c r="E256" s="1708"/>
      <c r="F256" s="1708"/>
      <c r="G256" s="1708"/>
      <c r="H256" s="1708"/>
      <c r="I256" s="1708"/>
      <c r="J256" s="1708"/>
      <c r="K256" s="1708"/>
      <c r="L256" s="1708"/>
      <c r="M256" s="1708"/>
      <c r="N256" s="1708"/>
      <c r="O256" s="1708"/>
      <c r="P256" s="1708"/>
      <c r="Q256" s="1708"/>
      <c r="R256" s="1708"/>
    </row>
    <row r="257" spans="1:18" ht="19.5" customHeight="1">
      <c r="A257" s="1741"/>
      <c r="B257" s="1708"/>
      <c r="C257" s="1708"/>
      <c r="D257" s="1708"/>
      <c r="E257" s="1708"/>
      <c r="F257" s="1708"/>
      <c r="G257" s="1708"/>
      <c r="H257" s="1708"/>
      <c r="I257" s="1708"/>
      <c r="J257" s="1708"/>
      <c r="K257" s="1708"/>
      <c r="L257" s="1708"/>
      <c r="M257" s="1708"/>
      <c r="N257" s="1708"/>
      <c r="O257" s="1708"/>
      <c r="P257" s="1708"/>
      <c r="Q257" s="1708"/>
      <c r="R257" s="1708"/>
    </row>
    <row r="258" spans="1:18" ht="19.5" customHeight="1">
      <c r="A258" s="1741"/>
      <c r="B258" s="1708"/>
      <c r="C258" s="1708"/>
      <c r="D258" s="1708"/>
      <c r="E258" s="1708"/>
      <c r="F258" s="1708"/>
      <c r="G258" s="1708"/>
      <c r="H258" s="1708"/>
      <c r="I258" s="1708"/>
      <c r="J258" s="1708"/>
      <c r="K258" s="1708"/>
      <c r="L258" s="1708"/>
      <c r="M258" s="1708"/>
      <c r="N258" s="1708"/>
      <c r="O258" s="1708"/>
      <c r="P258" s="1708"/>
      <c r="Q258" s="1708"/>
      <c r="R258" s="1708"/>
    </row>
    <row r="259" spans="1:18" ht="19.5" customHeight="1">
      <c r="A259" s="1741"/>
      <c r="B259" s="1708"/>
      <c r="C259" s="1708"/>
      <c r="D259" s="1708"/>
      <c r="E259" s="1708"/>
      <c r="F259" s="1708"/>
      <c r="G259" s="1708"/>
      <c r="H259" s="1708"/>
      <c r="I259" s="1708"/>
      <c r="J259" s="1708"/>
      <c r="K259" s="1708"/>
      <c r="L259" s="1708"/>
      <c r="M259" s="1708"/>
      <c r="N259" s="1708"/>
      <c r="O259" s="1708"/>
      <c r="P259" s="1708"/>
      <c r="Q259" s="1708"/>
      <c r="R259" s="1708"/>
    </row>
    <row r="260" spans="1:18" ht="19.5" customHeight="1">
      <c r="A260" s="1741"/>
      <c r="B260" s="1708"/>
      <c r="C260" s="1708"/>
      <c r="D260" s="1708"/>
      <c r="E260" s="1708"/>
      <c r="F260" s="1708"/>
      <c r="G260" s="1708"/>
      <c r="H260" s="1708"/>
      <c r="I260" s="1708"/>
      <c r="J260" s="1708"/>
      <c r="K260" s="1708"/>
      <c r="L260" s="1708"/>
      <c r="M260" s="1708"/>
      <c r="N260" s="1708"/>
      <c r="O260" s="1708"/>
      <c r="P260" s="1708"/>
      <c r="Q260" s="1708"/>
      <c r="R260" s="1708"/>
    </row>
    <row r="261" spans="1:18" ht="19.5" customHeight="1">
      <c r="A261" s="1741"/>
      <c r="B261" s="1708"/>
      <c r="C261" s="1708"/>
      <c r="D261" s="1708"/>
      <c r="E261" s="1708"/>
      <c r="F261" s="1708"/>
      <c r="G261" s="1708"/>
      <c r="H261" s="1708"/>
      <c r="I261" s="1708"/>
      <c r="J261" s="1708"/>
      <c r="K261" s="1708"/>
      <c r="L261" s="1708"/>
      <c r="M261" s="1708"/>
      <c r="N261" s="1708"/>
      <c r="O261" s="1708"/>
      <c r="P261" s="1708"/>
      <c r="Q261" s="1708"/>
      <c r="R261" s="1708"/>
    </row>
    <row r="262" spans="1:18" ht="19.5" customHeight="1">
      <c r="A262" s="1741"/>
      <c r="B262" s="1708"/>
      <c r="C262" s="1708"/>
      <c r="D262" s="1708"/>
      <c r="E262" s="1708"/>
      <c r="F262" s="1708"/>
      <c r="G262" s="1708"/>
      <c r="H262" s="1708"/>
      <c r="I262" s="1708"/>
      <c r="J262" s="1708"/>
      <c r="K262" s="1708"/>
      <c r="L262" s="1708"/>
      <c r="M262" s="1708"/>
      <c r="N262" s="1708"/>
      <c r="O262" s="1708"/>
      <c r="P262" s="1708"/>
      <c r="Q262" s="1708"/>
      <c r="R262" s="1708"/>
    </row>
    <row r="263" spans="1:18" ht="19.5" customHeight="1">
      <c r="A263" s="1741"/>
      <c r="B263" s="1708"/>
      <c r="C263" s="1708"/>
      <c r="D263" s="1708"/>
      <c r="E263" s="1708"/>
      <c r="F263" s="1708"/>
      <c r="G263" s="1708"/>
      <c r="H263" s="1708"/>
      <c r="I263" s="1708"/>
      <c r="J263" s="1708"/>
      <c r="K263" s="1708"/>
      <c r="L263" s="1708"/>
      <c r="M263" s="1708"/>
      <c r="N263" s="1708"/>
      <c r="O263" s="1708"/>
      <c r="P263" s="1708"/>
      <c r="Q263" s="1708"/>
      <c r="R263" s="1708"/>
    </row>
    <row r="264" spans="1:18" ht="19.5" customHeight="1">
      <c r="A264" s="1741"/>
      <c r="B264" s="1708"/>
      <c r="C264" s="1708"/>
      <c r="D264" s="1708"/>
      <c r="E264" s="1708"/>
      <c r="F264" s="1708"/>
      <c r="G264" s="1708"/>
      <c r="H264" s="1708"/>
      <c r="I264" s="1708"/>
      <c r="J264" s="1708"/>
      <c r="K264" s="1708"/>
      <c r="L264" s="1708"/>
      <c r="M264" s="1708"/>
      <c r="N264" s="1708"/>
      <c r="O264" s="1708"/>
      <c r="P264" s="1708"/>
      <c r="Q264" s="1708"/>
      <c r="R264" s="1708"/>
    </row>
    <row r="265" spans="1:18" ht="19.5" customHeight="1">
      <c r="A265" s="1741"/>
      <c r="B265" s="1708"/>
      <c r="C265" s="1708"/>
      <c r="D265" s="1708"/>
      <c r="E265" s="1708"/>
      <c r="F265" s="1708"/>
      <c r="G265" s="1708"/>
      <c r="H265" s="1708"/>
      <c r="I265" s="1708"/>
      <c r="J265" s="1708"/>
      <c r="K265" s="1708"/>
      <c r="L265" s="1708"/>
      <c r="M265" s="1708"/>
      <c r="N265" s="1708"/>
      <c r="O265" s="1708"/>
      <c r="P265" s="1708"/>
      <c r="Q265" s="1708"/>
      <c r="R265" s="1708"/>
    </row>
    <row r="266" spans="1:18" ht="19.5" customHeight="1">
      <c r="A266" s="1741"/>
      <c r="B266" s="1708"/>
      <c r="C266" s="1708"/>
      <c r="D266" s="1708"/>
      <c r="E266" s="1708"/>
      <c r="F266" s="1708"/>
      <c r="G266" s="1708"/>
      <c r="H266" s="1708"/>
      <c r="I266" s="1708"/>
      <c r="J266" s="1708"/>
      <c r="K266" s="1708"/>
      <c r="L266" s="1708"/>
      <c r="M266" s="1708"/>
      <c r="N266" s="1708"/>
      <c r="O266" s="1708"/>
      <c r="P266" s="1708"/>
      <c r="Q266" s="1708"/>
      <c r="R266" s="1708"/>
    </row>
    <row r="267" spans="1:18" ht="19.5" customHeight="1">
      <c r="A267" s="1741"/>
      <c r="B267" s="1708"/>
      <c r="C267" s="1708"/>
      <c r="D267" s="1708"/>
      <c r="E267" s="1708"/>
      <c r="F267" s="1708"/>
      <c r="G267" s="1708"/>
      <c r="H267" s="1708"/>
      <c r="I267" s="1708"/>
      <c r="J267" s="1708"/>
      <c r="K267" s="1708"/>
      <c r="L267" s="1708"/>
      <c r="M267" s="1708"/>
      <c r="N267" s="1708"/>
      <c r="O267" s="1708"/>
      <c r="P267" s="1708"/>
      <c r="Q267" s="1708"/>
      <c r="R267" s="1708"/>
    </row>
    <row r="268" spans="1:18" ht="19.5" customHeight="1">
      <c r="A268" s="1741"/>
      <c r="B268" s="1708"/>
      <c r="C268" s="1708"/>
      <c r="D268" s="1708"/>
      <c r="E268" s="1708"/>
      <c r="F268" s="1708"/>
      <c r="G268" s="1708"/>
      <c r="H268" s="1708"/>
      <c r="I268" s="1708"/>
      <c r="J268" s="1708"/>
      <c r="K268" s="1708"/>
      <c r="L268" s="1708"/>
      <c r="M268" s="1708"/>
      <c r="N268" s="1708"/>
      <c r="O268" s="1708"/>
      <c r="P268" s="1708"/>
      <c r="Q268" s="1708"/>
      <c r="R268" s="1708"/>
    </row>
    <row r="269" spans="1:18" ht="19.5" customHeight="1">
      <c r="A269" s="1741"/>
      <c r="B269" s="1708"/>
      <c r="C269" s="1708"/>
      <c r="D269" s="1708"/>
      <c r="E269" s="1708"/>
      <c r="F269" s="1708"/>
      <c r="G269" s="1708"/>
      <c r="H269" s="1708"/>
      <c r="I269" s="1708"/>
      <c r="J269" s="1708"/>
      <c r="K269" s="1708"/>
      <c r="L269" s="1708"/>
      <c r="M269" s="1708"/>
      <c r="N269" s="1708"/>
      <c r="O269" s="1708"/>
      <c r="P269" s="1708"/>
      <c r="Q269" s="1708"/>
      <c r="R269" s="1708"/>
    </row>
    <row r="270" spans="1:18" ht="19.5" customHeight="1">
      <c r="A270" s="1741"/>
      <c r="B270" s="1708"/>
      <c r="C270" s="1708"/>
      <c r="D270" s="1708"/>
      <c r="E270" s="1708"/>
      <c r="F270" s="1708"/>
      <c r="G270" s="1708"/>
      <c r="H270" s="1708"/>
      <c r="I270" s="1708"/>
      <c r="J270" s="1708"/>
      <c r="K270" s="1708"/>
      <c r="L270" s="1708"/>
      <c r="M270" s="1708"/>
      <c r="N270" s="1708"/>
      <c r="O270" s="1708"/>
      <c r="P270" s="1708"/>
      <c r="Q270" s="1708"/>
      <c r="R270" s="1708"/>
    </row>
    <row r="271" spans="1:18" ht="19.5" customHeight="1">
      <c r="A271" s="1741"/>
      <c r="B271" s="1708"/>
      <c r="C271" s="1708"/>
      <c r="D271" s="1708"/>
      <c r="E271" s="1708"/>
      <c r="F271" s="1708"/>
      <c r="G271" s="1708"/>
      <c r="H271" s="1708"/>
      <c r="I271" s="1708"/>
      <c r="J271" s="1708"/>
      <c r="K271" s="1708"/>
      <c r="L271" s="1708"/>
      <c r="M271" s="1708"/>
      <c r="N271" s="1708"/>
      <c r="O271" s="1708"/>
      <c r="P271" s="1708"/>
      <c r="Q271" s="1708"/>
      <c r="R271" s="1708"/>
    </row>
    <row r="272" spans="1:18" ht="19.5" customHeight="1">
      <c r="A272" s="1741"/>
      <c r="B272" s="1708"/>
      <c r="C272" s="1708"/>
      <c r="D272" s="1708"/>
      <c r="E272" s="1708"/>
      <c r="F272" s="1708"/>
      <c r="G272" s="1708"/>
      <c r="H272" s="1708"/>
      <c r="I272" s="1708"/>
      <c r="J272" s="1708"/>
      <c r="K272" s="1708"/>
      <c r="L272" s="1708"/>
      <c r="M272" s="1708"/>
      <c r="N272" s="1708"/>
      <c r="O272" s="1708"/>
      <c r="P272" s="1708"/>
      <c r="Q272" s="1708"/>
      <c r="R272" s="1708"/>
    </row>
    <row r="273" spans="1:18" ht="19.5" customHeight="1">
      <c r="A273" s="1741"/>
      <c r="B273" s="1708"/>
      <c r="C273" s="1708"/>
      <c r="D273" s="1708"/>
      <c r="E273" s="1708"/>
      <c r="F273" s="1708"/>
      <c r="G273" s="1708"/>
      <c r="H273" s="1708"/>
      <c r="I273" s="1708"/>
      <c r="J273" s="1708"/>
      <c r="K273" s="1708"/>
      <c r="L273" s="1708"/>
      <c r="M273" s="1708"/>
      <c r="N273" s="1708"/>
      <c r="O273" s="1708"/>
      <c r="P273" s="1708"/>
      <c r="Q273" s="1708"/>
      <c r="R273" s="1708"/>
    </row>
    <row r="274" spans="1:18" ht="19.5" customHeight="1">
      <c r="A274" s="1741"/>
      <c r="B274" s="1708"/>
      <c r="C274" s="1708"/>
      <c r="D274" s="1708"/>
      <c r="E274" s="1708"/>
      <c r="F274" s="1708"/>
      <c r="G274" s="1708"/>
      <c r="H274" s="1708"/>
      <c r="I274" s="1708"/>
      <c r="J274" s="1708"/>
      <c r="K274" s="1708"/>
      <c r="L274" s="1708"/>
      <c r="M274" s="1708"/>
      <c r="N274" s="1708"/>
      <c r="O274" s="1708"/>
      <c r="P274" s="1708"/>
      <c r="Q274" s="1708"/>
      <c r="R274" s="1708"/>
    </row>
    <row r="275" spans="1:18" ht="19.5" customHeight="1">
      <c r="A275" s="1741"/>
      <c r="B275" s="1708"/>
      <c r="C275" s="1708"/>
      <c r="D275" s="1708"/>
      <c r="E275" s="1708"/>
      <c r="F275" s="1708"/>
      <c r="G275" s="1708"/>
      <c r="H275" s="1708"/>
      <c r="I275" s="1708"/>
      <c r="J275" s="1708"/>
      <c r="K275" s="1708"/>
      <c r="L275" s="1708"/>
      <c r="M275" s="1708"/>
      <c r="N275" s="1708"/>
      <c r="O275" s="1708"/>
      <c r="P275" s="1708"/>
      <c r="Q275" s="1708"/>
      <c r="R275" s="1708"/>
    </row>
    <row r="276" spans="1:18" ht="19.5" customHeight="1">
      <c r="A276" s="1741"/>
      <c r="B276" s="1708"/>
      <c r="C276" s="1708"/>
      <c r="D276" s="1708"/>
      <c r="E276" s="1708"/>
      <c r="F276" s="1708"/>
      <c r="G276" s="1708"/>
      <c r="H276" s="1708"/>
      <c r="I276" s="1708"/>
      <c r="J276" s="1708"/>
      <c r="K276" s="1708"/>
      <c r="L276" s="1708"/>
      <c r="M276" s="1708"/>
      <c r="N276" s="1708"/>
      <c r="O276" s="1708"/>
      <c r="P276" s="1708"/>
      <c r="Q276" s="1708"/>
      <c r="R276" s="1708"/>
    </row>
    <row r="277" spans="1:18" ht="19.5" customHeight="1">
      <c r="A277" s="1741"/>
      <c r="B277" s="1708"/>
      <c r="C277" s="1708"/>
      <c r="D277" s="1708"/>
      <c r="E277" s="1708"/>
      <c r="F277" s="1708"/>
      <c r="G277" s="1708"/>
      <c r="H277" s="1708"/>
      <c r="I277" s="1708"/>
      <c r="J277" s="1708"/>
      <c r="K277" s="1708"/>
      <c r="L277" s="1708"/>
      <c r="M277" s="1708"/>
      <c r="N277" s="1708"/>
      <c r="O277" s="1708"/>
      <c r="P277" s="1708"/>
      <c r="Q277" s="1708"/>
      <c r="R277" s="1708"/>
    </row>
    <row r="278" spans="1:18" ht="19.5" customHeight="1">
      <c r="A278" s="1741"/>
      <c r="B278" s="1708"/>
      <c r="C278" s="1708"/>
      <c r="D278" s="1708"/>
      <c r="E278" s="1708"/>
      <c r="F278" s="1708"/>
      <c r="G278" s="1708"/>
      <c r="H278" s="1708"/>
      <c r="I278" s="1708"/>
      <c r="J278" s="1708"/>
      <c r="K278" s="1708"/>
      <c r="L278" s="1708"/>
      <c r="M278" s="1708"/>
      <c r="N278" s="1708"/>
      <c r="O278" s="1708"/>
      <c r="P278" s="1708"/>
      <c r="Q278" s="1708"/>
      <c r="R278" s="1708"/>
    </row>
    <row r="279" spans="1:18" ht="19.5" customHeight="1">
      <c r="A279" s="1741"/>
      <c r="B279" s="1708"/>
      <c r="C279" s="1708"/>
      <c r="D279" s="1708"/>
      <c r="E279" s="1708"/>
      <c r="F279" s="1708"/>
      <c r="G279" s="1708"/>
      <c r="H279" s="1708"/>
      <c r="I279" s="1708"/>
      <c r="J279" s="1708"/>
      <c r="K279" s="1708"/>
      <c r="L279" s="1708"/>
      <c r="M279" s="1708"/>
      <c r="N279" s="1708"/>
      <c r="O279" s="1708"/>
      <c r="P279" s="1708"/>
      <c r="Q279" s="1708"/>
      <c r="R279" s="1708"/>
    </row>
    <row r="280" spans="1:18" ht="19.5" customHeight="1">
      <c r="A280" s="1741"/>
      <c r="B280" s="1708"/>
      <c r="C280" s="1708"/>
      <c r="D280" s="1708"/>
      <c r="E280" s="1708"/>
      <c r="F280" s="1708"/>
      <c r="G280" s="1708"/>
      <c r="H280" s="1708"/>
      <c r="I280" s="1708"/>
      <c r="J280" s="1708"/>
      <c r="K280" s="1708"/>
      <c r="L280" s="1708"/>
      <c r="M280" s="1708"/>
      <c r="N280" s="1708"/>
      <c r="O280" s="1708"/>
      <c r="P280" s="1708"/>
      <c r="Q280" s="1708"/>
      <c r="R280" s="1708"/>
    </row>
    <row r="281" spans="1:18" ht="19.5" customHeight="1">
      <c r="A281" s="1741"/>
      <c r="B281" s="1708"/>
      <c r="C281" s="1708"/>
      <c r="D281" s="1708"/>
      <c r="E281" s="1708"/>
      <c r="F281" s="1708"/>
      <c r="G281" s="1708"/>
      <c r="H281" s="1708"/>
      <c r="I281" s="1708"/>
      <c r="J281" s="1708"/>
      <c r="K281" s="1708"/>
      <c r="L281" s="1708"/>
      <c r="M281" s="1708"/>
      <c r="N281" s="1708"/>
      <c r="O281" s="1708"/>
      <c r="P281" s="1708"/>
      <c r="Q281" s="1708"/>
      <c r="R281" s="1708"/>
    </row>
    <row r="282" spans="1:18" ht="19.5" customHeight="1">
      <c r="A282" s="1741"/>
      <c r="B282" s="1708"/>
      <c r="C282" s="1708"/>
      <c r="D282" s="1708"/>
      <c r="E282" s="1708"/>
      <c r="F282" s="1708"/>
      <c r="G282" s="1708"/>
      <c r="H282" s="1708"/>
      <c r="I282" s="1708"/>
      <c r="J282" s="1708"/>
      <c r="K282" s="1708"/>
      <c r="L282" s="1708"/>
      <c r="M282" s="1708"/>
      <c r="N282" s="1708"/>
      <c r="O282" s="1708"/>
      <c r="P282" s="1708"/>
      <c r="Q282" s="1708"/>
      <c r="R282" s="1708"/>
    </row>
    <row r="283" spans="1:18" ht="19.5" customHeight="1">
      <c r="A283" s="1741"/>
      <c r="B283" s="1708"/>
      <c r="C283" s="1708"/>
      <c r="D283" s="1708"/>
      <c r="E283" s="1708"/>
      <c r="F283" s="1708"/>
      <c r="G283" s="1708"/>
      <c r="H283" s="1708"/>
      <c r="I283" s="1708"/>
      <c r="J283" s="1708"/>
      <c r="K283" s="1708"/>
      <c r="L283" s="1708"/>
      <c r="M283" s="1708"/>
      <c r="N283" s="1708"/>
      <c r="O283" s="1708"/>
      <c r="P283" s="1708"/>
      <c r="Q283" s="1708"/>
      <c r="R283" s="1708"/>
    </row>
    <row r="284" spans="1:18" ht="19.5" customHeight="1">
      <c r="A284" s="1741"/>
      <c r="B284" s="1708"/>
      <c r="C284" s="1708"/>
      <c r="D284" s="1708"/>
      <c r="E284" s="1708"/>
      <c r="F284" s="1708"/>
      <c r="G284" s="1708"/>
      <c r="H284" s="1708"/>
      <c r="I284" s="1708"/>
      <c r="J284" s="1708"/>
      <c r="K284" s="1708"/>
      <c r="L284" s="1708"/>
      <c r="M284" s="1708"/>
      <c r="N284" s="1708"/>
      <c r="O284" s="1708"/>
      <c r="P284" s="1708"/>
      <c r="Q284" s="1708"/>
      <c r="R284" s="1708"/>
    </row>
    <row r="285" spans="1:18" ht="19.5" customHeight="1">
      <c r="A285" s="1741"/>
      <c r="B285" s="1708"/>
      <c r="C285" s="1708"/>
      <c r="D285" s="1708"/>
      <c r="E285" s="1708"/>
      <c r="F285" s="1708"/>
      <c r="G285" s="1708"/>
      <c r="H285" s="1708"/>
      <c r="I285" s="1708"/>
      <c r="J285" s="1708"/>
      <c r="K285" s="1708"/>
      <c r="L285" s="1708"/>
      <c r="M285" s="1708"/>
      <c r="N285" s="1708"/>
      <c r="O285" s="1708"/>
      <c r="P285" s="1708"/>
      <c r="Q285" s="1708"/>
      <c r="R285" s="1708"/>
    </row>
    <row r="286" spans="1:18" ht="19.5" customHeight="1">
      <c r="A286" s="1741"/>
      <c r="B286" s="1708"/>
      <c r="C286" s="1708"/>
      <c r="D286" s="1708"/>
      <c r="E286" s="1708"/>
      <c r="F286" s="1708"/>
      <c r="G286" s="1708"/>
      <c r="H286" s="1708"/>
      <c r="I286" s="1708"/>
      <c r="J286" s="1708"/>
      <c r="K286" s="1708"/>
      <c r="L286" s="1708"/>
      <c r="M286" s="1708"/>
      <c r="N286" s="1708"/>
      <c r="O286" s="1708"/>
      <c r="P286" s="1708"/>
      <c r="Q286" s="1708"/>
      <c r="R286" s="1708"/>
    </row>
    <row r="287" spans="1:18" ht="19.5" customHeight="1">
      <c r="A287" s="1741"/>
      <c r="B287" s="1708"/>
      <c r="C287" s="1708"/>
      <c r="D287" s="1708"/>
      <c r="E287" s="1708"/>
      <c r="F287" s="1708"/>
      <c r="G287" s="1708"/>
      <c r="H287" s="1708"/>
      <c r="I287" s="1708"/>
      <c r="J287" s="1708"/>
      <c r="K287" s="1708"/>
      <c r="L287" s="1708"/>
      <c r="M287" s="1708"/>
      <c r="N287" s="1708"/>
      <c r="O287" s="1708"/>
      <c r="P287" s="1708"/>
      <c r="Q287" s="1708"/>
      <c r="R287" s="1708"/>
    </row>
    <row r="288" spans="1:18" ht="19.5" customHeight="1">
      <c r="A288" s="1741"/>
      <c r="B288" s="1708"/>
      <c r="C288" s="1708"/>
      <c r="D288" s="1708"/>
      <c r="E288" s="1708"/>
      <c r="F288" s="1708"/>
      <c r="G288" s="1708"/>
      <c r="H288" s="1708"/>
      <c r="I288" s="1708"/>
      <c r="J288" s="1708"/>
      <c r="K288" s="1708"/>
      <c r="L288" s="1708"/>
      <c r="M288" s="1708"/>
      <c r="N288" s="1708"/>
      <c r="O288" s="1708"/>
      <c r="P288" s="1708"/>
      <c r="Q288" s="1708"/>
      <c r="R288" s="1708"/>
    </row>
    <row r="289" spans="1:18" ht="19.5" customHeight="1">
      <c r="A289" s="1741"/>
      <c r="B289" s="1708"/>
      <c r="C289" s="1708"/>
      <c r="D289" s="1708"/>
      <c r="E289" s="1708"/>
      <c r="F289" s="1708"/>
      <c r="G289" s="1708"/>
      <c r="H289" s="1708"/>
      <c r="I289" s="1708"/>
      <c r="J289" s="1708"/>
      <c r="K289" s="1708"/>
      <c r="L289" s="1708"/>
      <c r="M289" s="1708"/>
      <c r="N289" s="1708"/>
      <c r="O289" s="1708"/>
      <c r="P289" s="1708"/>
      <c r="Q289" s="1708"/>
      <c r="R289" s="1708"/>
    </row>
    <row r="290" spans="1:18" ht="19.5" customHeight="1">
      <c r="A290" s="1741"/>
      <c r="B290" s="1708"/>
      <c r="C290" s="1708"/>
      <c r="D290" s="1708"/>
      <c r="E290" s="1708"/>
      <c r="F290" s="1708"/>
      <c r="G290" s="1708"/>
      <c r="H290" s="1708"/>
      <c r="I290" s="1708"/>
      <c r="J290" s="1708"/>
      <c r="K290" s="1708"/>
      <c r="L290" s="1708"/>
      <c r="M290" s="1708"/>
      <c r="N290" s="1708"/>
      <c r="O290" s="1708"/>
      <c r="P290" s="1708"/>
      <c r="Q290" s="1708"/>
      <c r="R290" s="1708"/>
    </row>
    <row r="291" spans="1:18" ht="19.5" customHeight="1">
      <c r="A291" s="1741"/>
      <c r="B291" s="1708"/>
      <c r="C291" s="1708"/>
      <c r="D291" s="1708"/>
      <c r="E291" s="1708"/>
      <c r="F291" s="1708"/>
      <c r="G291" s="1708"/>
      <c r="H291" s="1708"/>
      <c r="I291" s="1708"/>
      <c r="J291" s="1708"/>
      <c r="K291" s="1708"/>
      <c r="L291" s="1708"/>
      <c r="M291" s="1708"/>
      <c r="N291" s="1708"/>
      <c r="O291" s="1708"/>
      <c r="P291" s="1708"/>
      <c r="Q291" s="1708"/>
      <c r="R291" s="1708"/>
    </row>
    <row r="292" spans="1:18" ht="19.5" customHeight="1">
      <c r="A292" s="1741"/>
      <c r="B292" s="1708"/>
      <c r="C292" s="1708"/>
      <c r="D292" s="1708"/>
      <c r="E292" s="1708"/>
      <c r="F292" s="1708"/>
      <c r="G292" s="1708"/>
      <c r="H292" s="1708"/>
      <c r="I292" s="1708"/>
      <c r="J292" s="1708"/>
      <c r="K292" s="1708"/>
      <c r="L292" s="1708"/>
      <c r="M292" s="1708"/>
      <c r="N292" s="1708"/>
      <c r="O292" s="1708"/>
      <c r="P292" s="1708"/>
      <c r="Q292" s="1708"/>
      <c r="R292" s="1708"/>
    </row>
    <row r="293" spans="1:18" ht="19.5" customHeight="1">
      <c r="A293" s="1741"/>
      <c r="B293" s="1708"/>
      <c r="C293" s="1708"/>
      <c r="D293" s="1708"/>
      <c r="E293" s="1708"/>
      <c r="F293" s="1708"/>
      <c r="G293" s="1708"/>
      <c r="H293" s="1708"/>
      <c r="I293" s="1708"/>
      <c r="J293" s="1708"/>
      <c r="K293" s="1708"/>
      <c r="L293" s="1708"/>
      <c r="M293" s="1708"/>
      <c r="N293" s="1708"/>
      <c r="O293" s="1708"/>
      <c r="P293" s="1708"/>
      <c r="Q293" s="1708"/>
      <c r="R293" s="1708"/>
    </row>
    <row r="294" spans="1:18" ht="19.5" customHeight="1">
      <c r="A294" s="1741"/>
      <c r="B294" s="1708"/>
      <c r="C294" s="1708"/>
      <c r="D294" s="1708"/>
      <c r="E294" s="1708"/>
      <c r="F294" s="1708"/>
      <c r="G294" s="1708"/>
      <c r="H294" s="1708"/>
      <c r="I294" s="1708"/>
      <c r="J294" s="1708"/>
      <c r="K294" s="1708"/>
      <c r="L294" s="1708"/>
      <c r="M294" s="1708"/>
      <c r="N294" s="1708"/>
      <c r="O294" s="1708"/>
      <c r="P294" s="1708"/>
      <c r="Q294" s="1708"/>
      <c r="R294" s="1708"/>
    </row>
    <row r="295" spans="1:18" ht="19.5" customHeight="1">
      <c r="A295" s="1741"/>
      <c r="B295" s="1708"/>
      <c r="C295" s="1708"/>
      <c r="D295" s="1708"/>
      <c r="E295" s="1708"/>
      <c r="F295" s="1708"/>
      <c r="G295" s="1708"/>
      <c r="H295" s="1708"/>
      <c r="I295" s="1708"/>
      <c r="J295" s="1708"/>
      <c r="K295" s="1708"/>
      <c r="L295" s="1708"/>
      <c r="M295" s="1708"/>
      <c r="N295" s="1708"/>
      <c r="O295" s="1708"/>
      <c r="P295" s="1708"/>
      <c r="Q295" s="1708"/>
      <c r="R295" s="1708"/>
    </row>
    <row r="296" spans="1:18" ht="19.5" customHeight="1">
      <c r="A296" s="1741"/>
      <c r="B296" s="1708"/>
      <c r="C296" s="1708"/>
      <c r="D296" s="1708"/>
      <c r="E296" s="1708"/>
      <c r="F296" s="1708"/>
      <c r="G296" s="1708"/>
      <c r="H296" s="1708"/>
      <c r="I296" s="1708"/>
      <c r="J296" s="1708"/>
      <c r="K296" s="1708"/>
      <c r="L296" s="1708"/>
      <c r="M296" s="1708"/>
      <c r="N296" s="1708"/>
      <c r="O296" s="1708"/>
      <c r="P296" s="1708"/>
      <c r="Q296" s="1708"/>
      <c r="R296" s="1708"/>
    </row>
    <row r="297" spans="1:18" ht="19.5" customHeight="1">
      <c r="A297" s="1741"/>
      <c r="B297" s="1708"/>
      <c r="C297" s="1708"/>
      <c r="D297" s="1708"/>
      <c r="E297" s="1708"/>
      <c r="F297" s="1708"/>
      <c r="G297" s="1708"/>
      <c r="H297" s="1708"/>
      <c r="I297" s="1708"/>
      <c r="J297" s="1708"/>
      <c r="K297" s="1708"/>
      <c r="L297" s="1708"/>
      <c r="M297" s="1708"/>
      <c r="N297" s="1708"/>
      <c r="O297" s="1708"/>
      <c r="P297" s="1708"/>
      <c r="Q297" s="1708"/>
      <c r="R297" s="1708"/>
    </row>
    <row r="298" spans="1:18" ht="19.5" customHeight="1">
      <c r="A298" s="1741"/>
      <c r="B298" s="1708"/>
      <c r="C298" s="1708"/>
      <c r="D298" s="1708"/>
      <c r="E298" s="1708"/>
      <c r="F298" s="1708"/>
      <c r="G298" s="1708"/>
      <c r="H298" s="1708"/>
      <c r="I298" s="1708"/>
      <c r="J298" s="1708"/>
      <c r="K298" s="1708"/>
      <c r="L298" s="1708"/>
      <c r="M298" s="1708"/>
      <c r="N298" s="1708"/>
      <c r="O298" s="1708"/>
      <c r="P298" s="1708"/>
      <c r="Q298" s="1708"/>
      <c r="R298" s="1708"/>
    </row>
    <row r="299" spans="1:18" ht="19.5" customHeight="1">
      <c r="A299" s="1741"/>
      <c r="B299" s="1708"/>
      <c r="C299" s="1708"/>
      <c r="D299" s="1708"/>
      <c r="E299" s="1708"/>
      <c r="F299" s="1708"/>
      <c r="G299" s="1708"/>
      <c r="H299" s="1708"/>
      <c r="I299" s="1708"/>
      <c r="J299" s="1708"/>
      <c r="K299" s="1708"/>
      <c r="L299" s="1708"/>
      <c r="M299" s="1708"/>
      <c r="N299" s="1708"/>
      <c r="O299" s="1708"/>
      <c r="P299" s="1708"/>
      <c r="Q299" s="1708"/>
      <c r="R299" s="1708"/>
    </row>
    <row r="300" spans="1:18" ht="19.5" customHeight="1">
      <c r="A300" s="1741"/>
      <c r="B300" s="1708"/>
      <c r="C300" s="1708"/>
      <c r="D300" s="1708"/>
      <c r="E300" s="1708"/>
      <c r="F300" s="1708"/>
      <c r="G300" s="1708"/>
      <c r="H300" s="1708"/>
      <c r="I300" s="1708"/>
      <c r="J300" s="1708"/>
      <c r="K300" s="1708"/>
      <c r="L300" s="1708"/>
      <c r="M300" s="1708"/>
      <c r="N300" s="1708"/>
      <c r="O300" s="1708"/>
      <c r="P300" s="1708"/>
      <c r="Q300" s="1708"/>
      <c r="R300" s="1708"/>
    </row>
    <row r="301" spans="1:18" ht="19.5" customHeight="1">
      <c r="A301" s="1741"/>
      <c r="B301" s="1708"/>
      <c r="C301" s="1708"/>
      <c r="D301" s="1708"/>
      <c r="E301" s="1708"/>
      <c r="F301" s="1708"/>
      <c r="G301" s="1708"/>
      <c r="H301" s="1708"/>
      <c r="I301" s="1708"/>
      <c r="J301" s="1708"/>
      <c r="K301" s="1708"/>
      <c r="L301" s="1708"/>
      <c r="M301" s="1708"/>
      <c r="N301" s="1708"/>
      <c r="O301" s="1708"/>
      <c r="P301" s="1708"/>
      <c r="Q301" s="1708"/>
      <c r="R301" s="1708"/>
    </row>
    <row r="302" spans="1:18" ht="19.5" customHeight="1">
      <c r="A302" s="1741"/>
      <c r="B302" s="1708"/>
      <c r="C302" s="1708"/>
      <c r="D302" s="1708"/>
      <c r="E302" s="1708"/>
      <c r="F302" s="1708"/>
      <c r="G302" s="1708"/>
      <c r="H302" s="1708"/>
      <c r="I302" s="1708"/>
      <c r="J302" s="1708"/>
      <c r="K302" s="1708"/>
      <c r="L302" s="1708"/>
      <c r="M302" s="1708"/>
      <c r="N302" s="1708"/>
      <c r="O302" s="1708"/>
      <c r="P302" s="1708"/>
      <c r="Q302" s="1708"/>
      <c r="R302" s="1708"/>
    </row>
    <row r="303" spans="1:18" ht="19.5" customHeight="1">
      <c r="A303" s="1741"/>
      <c r="B303" s="1708"/>
      <c r="C303" s="1708"/>
      <c r="D303" s="1708"/>
      <c r="E303" s="1708"/>
      <c r="F303" s="1708"/>
      <c r="G303" s="1708"/>
      <c r="H303" s="1708"/>
      <c r="I303" s="1708"/>
      <c r="J303" s="1708"/>
      <c r="K303" s="1708"/>
      <c r="L303" s="1708"/>
      <c r="M303" s="1708"/>
      <c r="N303" s="1708"/>
      <c r="O303" s="1708"/>
      <c r="P303" s="1708"/>
      <c r="Q303" s="1708"/>
      <c r="R303" s="1708"/>
    </row>
    <row r="304" spans="1:18" ht="19.5" customHeight="1">
      <c r="A304" s="1741"/>
      <c r="B304" s="1708"/>
      <c r="C304" s="1708"/>
      <c r="D304" s="1708"/>
      <c r="E304" s="1708"/>
      <c r="F304" s="1708"/>
      <c r="G304" s="1708"/>
      <c r="H304" s="1708"/>
      <c r="I304" s="1708"/>
      <c r="J304" s="1708"/>
      <c r="K304" s="1708"/>
      <c r="L304" s="1708"/>
      <c r="M304" s="1708"/>
      <c r="N304" s="1708"/>
      <c r="O304" s="1708"/>
      <c r="P304" s="1708"/>
      <c r="Q304" s="1708"/>
      <c r="R304" s="1708"/>
    </row>
    <row r="305" spans="1:18" ht="19.5" customHeight="1">
      <c r="A305" s="1741"/>
      <c r="B305" s="1708"/>
      <c r="C305" s="1708"/>
      <c r="D305" s="1708"/>
      <c r="E305" s="1708"/>
      <c r="F305" s="1708"/>
      <c r="G305" s="1708"/>
      <c r="H305" s="1708"/>
      <c r="I305" s="1708"/>
      <c r="J305" s="1708"/>
      <c r="K305" s="1708"/>
      <c r="L305" s="1708"/>
      <c r="M305" s="1708"/>
      <c r="N305" s="1708"/>
      <c r="O305" s="1708"/>
      <c r="P305" s="1708"/>
      <c r="Q305" s="1708"/>
      <c r="R305" s="1708"/>
    </row>
    <row r="306" spans="1:18" ht="19.5" customHeight="1">
      <c r="A306" s="1741"/>
      <c r="B306" s="1708"/>
      <c r="C306" s="1708"/>
      <c r="D306" s="1708"/>
      <c r="E306" s="1708"/>
      <c r="F306" s="1708"/>
      <c r="G306" s="1708"/>
      <c r="H306" s="1708"/>
      <c r="I306" s="1708"/>
      <c r="J306" s="1708"/>
      <c r="K306" s="1708"/>
      <c r="L306" s="1708"/>
      <c r="M306" s="1708"/>
      <c r="N306" s="1708"/>
      <c r="O306" s="1708"/>
      <c r="P306" s="1708"/>
      <c r="Q306" s="1708"/>
      <c r="R306" s="1708"/>
    </row>
    <row r="307" spans="1:18" ht="19.5" customHeight="1">
      <c r="A307" s="1741"/>
      <c r="B307" s="1708"/>
      <c r="C307" s="1708"/>
      <c r="D307" s="1708"/>
      <c r="E307" s="1708"/>
      <c r="F307" s="1708"/>
      <c r="G307" s="1708"/>
      <c r="H307" s="1708"/>
      <c r="I307" s="1708"/>
      <c r="J307" s="1708"/>
      <c r="K307" s="1708"/>
      <c r="L307" s="1708"/>
      <c r="M307" s="1708"/>
      <c r="N307" s="1708"/>
      <c r="O307" s="1708"/>
      <c r="P307" s="1708"/>
      <c r="Q307" s="1708"/>
      <c r="R307" s="1708"/>
    </row>
    <row r="308" spans="1:18" ht="19.5" customHeight="1">
      <c r="A308" s="1741"/>
      <c r="B308" s="1708"/>
      <c r="C308" s="1708"/>
      <c r="D308" s="1708"/>
      <c r="E308" s="1708"/>
      <c r="F308" s="1708"/>
      <c r="G308" s="1708"/>
      <c r="H308" s="1708"/>
      <c r="I308" s="1708"/>
      <c r="J308" s="1708"/>
      <c r="K308" s="1708"/>
      <c r="L308" s="1708"/>
      <c r="M308" s="1708"/>
      <c r="N308" s="1708"/>
      <c r="O308" s="1708"/>
      <c r="P308" s="1708"/>
      <c r="Q308" s="1708"/>
      <c r="R308" s="1708"/>
    </row>
    <row r="309" spans="1:18" ht="19.5" customHeight="1">
      <c r="A309" s="1741"/>
      <c r="B309" s="1708"/>
      <c r="C309" s="1708"/>
      <c r="D309" s="1708"/>
      <c r="E309" s="1708"/>
      <c r="F309" s="1708"/>
      <c r="G309" s="1708"/>
      <c r="H309" s="1708"/>
      <c r="I309" s="1708"/>
      <c r="J309" s="1708"/>
      <c r="K309" s="1708"/>
      <c r="L309" s="1708"/>
      <c r="M309" s="1708"/>
      <c r="N309" s="1708"/>
      <c r="O309" s="1708"/>
      <c r="P309" s="1708"/>
      <c r="Q309" s="1708"/>
      <c r="R309" s="1708"/>
    </row>
    <row r="310" spans="1:18" ht="19.5" customHeight="1">
      <c r="A310" s="1741"/>
      <c r="B310" s="1708"/>
      <c r="C310" s="1708"/>
      <c r="D310" s="1708"/>
      <c r="E310" s="1708"/>
      <c r="F310" s="1708"/>
      <c r="G310" s="1708"/>
      <c r="H310" s="1708"/>
      <c r="I310" s="1708"/>
      <c r="J310" s="1708"/>
      <c r="K310" s="1708"/>
      <c r="L310" s="1708"/>
      <c r="M310" s="1708"/>
      <c r="N310" s="1708"/>
      <c r="O310" s="1708"/>
      <c r="P310" s="1708"/>
      <c r="Q310" s="1708"/>
      <c r="R310" s="1708"/>
    </row>
    <row r="311" spans="1:18" ht="19.5" customHeight="1">
      <c r="A311" s="1741"/>
      <c r="B311" s="1708"/>
      <c r="C311" s="1708"/>
      <c r="D311" s="1708"/>
      <c r="E311" s="1708"/>
      <c r="F311" s="1708"/>
      <c r="G311" s="1708"/>
      <c r="H311" s="1708"/>
      <c r="I311" s="1708"/>
      <c r="J311" s="1708"/>
      <c r="K311" s="1708"/>
      <c r="L311" s="1708"/>
      <c r="M311" s="1708"/>
      <c r="N311" s="1708"/>
      <c r="O311" s="1708"/>
      <c r="P311" s="1708"/>
      <c r="Q311" s="1708"/>
      <c r="R311" s="1708"/>
    </row>
    <row r="312" spans="1:18" ht="19.5" customHeight="1">
      <c r="A312" s="1741"/>
      <c r="B312" s="1708"/>
      <c r="C312" s="1708"/>
      <c r="D312" s="1708"/>
      <c r="E312" s="1708"/>
      <c r="F312" s="1708"/>
      <c r="G312" s="1708"/>
      <c r="H312" s="1708"/>
      <c r="I312" s="1708"/>
      <c r="J312" s="1708"/>
      <c r="K312" s="1708"/>
      <c r="L312" s="1708"/>
      <c r="M312" s="1708"/>
      <c r="N312" s="1708"/>
      <c r="O312" s="1708"/>
      <c r="P312" s="1708"/>
      <c r="Q312" s="1708"/>
      <c r="R312" s="1708"/>
    </row>
    <row r="313" spans="1:18" ht="19.5" customHeight="1">
      <c r="A313" s="1741"/>
      <c r="B313" s="1708"/>
      <c r="C313" s="1708"/>
      <c r="D313" s="1708"/>
      <c r="E313" s="1708"/>
      <c r="F313" s="1708"/>
      <c r="G313" s="1708"/>
      <c r="H313" s="1708"/>
      <c r="I313" s="1708"/>
      <c r="J313" s="1708"/>
      <c r="K313" s="1708"/>
      <c r="L313" s="1708"/>
      <c r="M313" s="1708"/>
      <c r="N313" s="1708"/>
      <c r="O313" s="1708"/>
      <c r="P313" s="1708"/>
      <c r="Q313" s="1708"/>
      <c r="R313" s="1708"/>
    </row>
    <row r="314" spans="1:18" ht="19.5" customHeight="1">
      <c r="A314" s="1741"/>
      <c r="B314" s="1708"/>
      <c r="C314" s="1708"/>
      <c r="D314" s="1708"/>
      <c r="E314" s="1708"/>
      <c r="F314" s="1708"/>
      <c r="G314" s="1708"/>
      <c r="H314" s="1708"/>
      <c r="I314" s="1708"/>
      <c r="J314" s="1708"/>
      <c r="K314" s="1708"/>
      <c r="L314" s="1708"/>
      <c r="M314" s="1708"/>
      <c r="N314" s="1708"/>
      <c r="O314" s="1708"/>
      <c r="P314" s="1708"/>
      <c r="Q314" s="1708"/>
      <c r="R314" s="1708"/>
    </row>
    <row r="315" spans="1:18">
      <c r="A315" s="1741"/>
      <c r="B315" s="1708"/>
      <c r="C315" s="1708"/>
      <c r="D315" s="1708"/>
      <c r="E315" s="1708"/>
      <c r="F315" s="1708"/>
      <c r="G315" s="1708"/>
      <c r="H315" s="1708"/>
      <c r="I315" s="1708"/>
      <c r="J315" s="1708"/>
      <c r="K315" s="1708"/>
      <c r="L315" s="1708"/>
      <c r="M315" s="1708"/>
      <c r="N315" s="1708"/>
      <c r="O315" s="1708"/>
      <c r="P315" s="1708"/>
      <c r="Q315" s="1708"/>
      <c r="R315" s="1708"/>
    </row>
    <row r="316" spans="1:18">
      <c r="A316" s="1741"/>
      <c r="B316" s="1708"/>
      <c r="C316" s="1708"/>
      <c r="D316" s="1708"/>
      <c r="E316" s="1708"/>
      <c r="F316" s="1708"/>
      <c r="G316" s="1708"/>
      <c r="H316" s="1708"/>
      <c r="I316" s="1708"/>
      <c r="J316" s="1708"/>
      <c r="K316" s="1708"/>
      <c r="L316" s="1708"/>
      <c r="M316" s="1708"/>
      <c r="N316" s="1708"/>
      <c r="O316" s="1708"/>
      <c r="P316" s="1708"/>
      <c r="Q316" s="1708"/>
      <c r="R316" s="1708"/>
    </row>
    <row r="317" spans="1:18">
      <c r="A317" s="1741"/>
      <c r="B317" s="1708"/>
      <c r="C317" s="1708"/>
      <c r="D317" s="1708"/>
      <c r="E317" s="1708"/>
      <c r="F317" s="1708"/>
      <c r="G317" s="1708"/>
      <c r="H317" s="1708"/>
      <c r="I317" s="1708"/>
      <c r="J317" s="1708"/>
      <c r="K317" s="1708"/>
      <c r="L317" s="1708"/>
      <c r="M317" s="1708"/>
      <c r="N317" s="1708"/>
      <c r="O317" s="1708"/>
      <c r="P317" s="1708"/>
      <c r="Q317" s="1708"/>
      <c r="R317" s="1708"/>
    </row>
    <row r="318" spans="1:18">
      <c r="A318" s="1741"/>
      <c r="B318" s="1708"/>
      <c r="C318" s="1708"/>
      <c r="D318" s="1708"/>
      <c r="E318" s="1708"/>
      <c r="F318" s="1708"/>
      <c r="G318" s="1708"/>
      <c r="H318" s="1708"/>
      <c r="I318" s="1708"/>
      <c r="J318" s="1708"/>
      <c r="K318" s="1708"/>
      <c r="L318" s="1708"/>
      <c r="M318" s="1708"/>
      <c r="N318" s="1708"/>
      <c r="O318" s="1708"/>
      <c r="P318" s="1708"/>
      <c r="Q318" s="1708"/>
      <c r="R318" s="1708"/>
    </row>
    <row r="319" spans="1:18">
      <c r="A319" s="1741"/>
      <c r="B319" s="1708"/>
      <c r="C319" s="1708"/>
      <c r="D319" s="1708"/>
      <c r="E319" s="1708"/>
      <c r="F319" s="1708"/>
      <c r="G319" s="1708"/>
      <c r="H319" s="1708"/>
      <c r="I319" s="1708"/>
      <c r="J319" s="1708"/>
      <c r="K319" s="1708"/>
      <c r="L319" s="1708"/>
      <c r="M319" s="1708"/>
      <c r="N319" s="1708"/>
      <c r="O319" s="1708"/>
      <c r="P319" s="1708"/>
      <c r="Q319" s="1708"/>
      <c r="R319" s="1708"/>
    </row>
    <row r="320" spans="1:18">
      <c r="A320" s="1741"/>
      <c r="B320" s="1708"/>
      <c r="C320" s="1708"/>
      <c r="D320" s="1708"/>
      <c r="E320" s="1708"/>
      <c r="F320" s="1708"/>
      <c r="G320" s="1708"/>
      <c r="H320" s="1708"/>
      <c r="I320" s="1708"/>
      <c r="J320" s="1708"/>
      <c r="K320" s="1708"/>
      <c r="L320" s="1708"/>
      <c r="M320" s="1708"/>
      <c r="N320" s="1708"/>
      <c r="O320" s="1708"/>
      <c r="P320" s="1708"/>
      <c r="Q320" s="1708"/>
      <c r="R320" s="1708"/>
    </row>
    <row r="321" spans="1:18">
      <c r="A321" s="1741"/>
      <c r="B321" s="1708"/>
      <c r="C321" s="1708"/>
      <c r="D321" s="1708"/>
      <c r="E321" s="1708"/>
      <c r="F321" s="1708"/>
      <c r="G321" s="1708"/>
      <c r="H321" s="1708"/>
      <c r="I321" s="1708"/>
      <c r="J321" s="1708"/>
      <c r="K321" s="1708"/>
      <c r="L321" s="1708"/>
      <c r="M321" s="1708"/>
      <c r="N321" s="1708"/>
      <c r="O321" s="1708"/>
      <c r="P321" s="1708"/>
      <c r="Q321" s="1708"/>
      <c r="R321" s="1708"/>
    </row>
    <row r="322" spans="1:18">
      <c r="A322" s="1741"/>
      <c r="B322" s="1708"/>
      <c r="C322" s="1708"/>
      <c r="D322" s="1708"/>
      <c r="E322" s="1708"/>
      <c r="F322" s="1708"/>
      <c r="G322" s="1708"/>
      <c r="H322" s="1708"/>
      <c r="I322" s="1708"/>
      <c r="J322" s="1708"/>
      <c r="K322" s="1708"/>
      <c r="L322" s="1708"/>
      <c r="M322" s="1708"/>
      <c r="N322" s="1708"/>
      <c r="O322" s="1708"/>
      <c r="P322" s="1708"/>
      <c r="Q322" s="1708"/>
      <c r="R322" s="1708"/>
    </row>
    <row r="323" spans="1:18">
      <c r="A323" s="1741"/>
      <c r="B323" s="1708"/>
      <c r="C323" s="1708"/>
      <c r="D323" s="1708"/>
      <c r="E323" s="1708"/>
      <c r="F323" s="1708"/>
      <c r="G323" s="1708"/>
      <c r="H323" s="1708"/>
      <c r="I323" s="1708"/>
      <c r="J323" s="1708"/>
      <c r="K323" s="1708"/>
      <c r="L323" s="1708"/>
      <c r="M323" s="1708"/>
      <c r="N323" s="1708"/>
      <c r="O323" s="1708"/>
      <c r="P323" s="1708"/>
      <c r="Q323" s="1708"/>
      <c r="R323" s="1708"/>
    </row>
    <row r="324" spans="1:18">
      <c r="A324" s="1741"/>
      <c r="B324" s="1708"/>
      <c r="C324" s="1708"/>
      <c r="D324" s="1708"/>
      <c r="E324" s="1708"/>
      <c r="F324" s="1708"/>
      <c r="G324" s="1708"/>
      <c r="H324" s="1708"/>
      <c r="I324" s="1708"/>
      <c r="J324" s="1708"/>
      <c r="K324" s="1708"/>
      <c r="L324" s="1708"/>
      <c r="M324" s="1708"/>
      <c r="N324" s="1708"/>
      <c r="O324" s="1708"/>
      <c r="P324" s="1708"/>
      <c r="Q324" s="1708"/>
      <c r="R324" s="1708"/>
    </row>
    <row r="325" spans="1:18">
      <c r="A325" s="1741"/>
      <c r="B325" s="1708"/>
      <c r="C325" s="1708"/>
      <c r="D325" s="1708"/>
      <c r="E325" s="1708"/>
      <c r="F325" s="1708"/>
      <c r="G325" s="1708"/>
      <c r="H325" s="1708"/>
      <c r="I325" s="1708"/>
      <c r="J325" s="1708"/>
      <c r="K325" s="1708"/>
      <c r="L325" s="1708"/>
      <c r="M325" s="1708"/>
      <c r="N325" s="1708"/>
      <c r="O325" s="1708"/>
      <c r="P325" s="1708"/>
      <c r="Q325" s="1708"/>
      <c r="R325" s="1708"/>
    </row>
    <row r="326" spans="1:18">
      <c r="A326" s="1741"/>
      <c r="B326" s="1708"/>
      <c r="C326" s="1708"/>
      <c r="D326" s="1708"/>
      <c r="E326" s="1708"/>
      <c r="F326" s="1708"/>
      <c r="G326" s="1708"/>
      <c r="H326" s="1708"/>
      <c r="I326" s="1708"/>
      <c r="J326" s="1708"/>
      <c r="K326" s="1708"/>
      <c r="L326" s="1708"/>
      <c r="M326" s="1708"/>
      <c r="N326" s="1708"/>
      <c r="O326" s="1708"/>
      <c r="P326" s="1708"/>
      <c r="Q326" s="1708"/>
      <c r="R326" s="1708"/>
    </row>
    <row r="327" spans="1:18">
      <c r="A327" s="1741"/>
      <c r="B327" s="1708"/>
      <c r="C327" s="1708"/>
      <c r="D327" s="1708"/>
      <c r="E327" s="1708"/>
      <c r="F327" s="1708"/>
      <c r="G327" s="1708"/>
      <c r="H327" s="1708"/>
      <c r="I327" s="1708"/>
      <c r="J327" s="1708"/>
      <c r="K327" s="1708"/>
      <c r="L327" s="1708"/>
      <c r="M327" s="1708"/>
      <c r="N327" s="1708"/>
      <c r="O327" s="1708"/>
      <c r="P327" s="1708"/>
      <c r="Q327" s="1708"/>
      <c r="R327" s="170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C4A24-5CE7-4C83-A96A-A8572EE88F49}">
  <dimension ref="A1:M39"/>
  <sheetViews>
    <sheetView zoomScaleNormal="100" workbookViewId="0">
      <selection activeCell="B6" sqref="B6"/>
    </sheetView>
  </sheetViews>
  <sheetFormatPr baseColWidth="10" defaultColWidth="8.85546875" defaultRowHeight="14.25" outlineLevelRow="1"/>
  <cols>
    <col min="1" max="1" width="39.7109375" style="1" customWidth="1"/>
    <col min="2" max="5" width="8.85546875" style="1"/>
    <col min="6" max="6" width="9.7109375" style="1" bestFit="1" customWidth="1"/>
    <col min="7" max="8" width="8.85546875" style="1"/>
    <col min="9" max="9" width="9.42578125" style="1" customWidth="1"/>
    <col min="10" max="11" width="9.7109375" style="1" bestFit="1" customWidth="1"/>
    <col min="12" max="12" width="9" style="1" bestFit="1" customWidth="1"/>
    <col min="13" max="13" width="9.7109375" style="1" bestFit="1" customWidth="1"/>
    <col min="14" max="16384" width="8.85546875" style="1"/>
  </cols>
  <sheetData>
    <row r="1" spans="1:13" ht="26.25">
      <c r="A1" s="156" t="s">
        <v>225</v>
      </c>
    </row>
    <row r="2" spans="1:13" ht="18">
      <c r="A2" s="148" t="s">
        <v>182</v>
      </c>
    </row>
    <row r="3" spans="1:13" outlineLevel="1">
      <c r="A3" s="138" t="s">
        <v>183</v>
      </c>
    </row>
    <row r="4" spans="1:13" ht="15" outlineLevel="1">
      <c r="A4" s="113" t="s">
        <v>0</v>
      </c>
      <c r="B4" s="126" t="s">
        <v>41</v>
      </c>
      <c r="C4" s="126" t="s">
        <v>38</v>
      </c>
      <c r="D4" s="126" t="s">
        <v>42</v>
      </c>
      <c r="E4" s="126" t="s">
        <v>61</v>
      </c>
      <c r="F4" s="134" t="s">
        <v>5</v>
      </c>
      <c r="J4" s="170" t="s">
        <v>41</v>
      </c>
      <c r="K4" s="170" t="s">
        <v>38</v>
      </c>
      <c r="L4" s="170" t="s">
        <v>42</v>
      </c>
      <c r="M4" s="170" t="s">
        <v>61</v>
      </c>
    </row>
    <row r="5" spans="1:13" outlineLevel="1">
      <c r="A5" s="139" t="s">
        <v>205</v>
      </c>
      <c r="B5" s="140">
        <f>J5/60</f>
        <v>11002.928833333333</v>
      </c>
      <c r="C5" s="140">
        <f t="shared" ref="C5:E6" si="0">K5/60</f>
        <v>71380.553166666781</v>
      </c>
      <c r="D5" s="140">
        <f t="shared" si="0"/>
        <v>7314.2108333333335</v>
      </c>
      <c r="E5" s="140">
        <f t="shared" si="0"/>
        <v>29798.761500000001</v>
      </c>
      <c r="F5" s="141">
        <f>SUM(B5:E5)</f>
        <v>119496.45433333344</v>
      </c>
      <c r="G5" s="151" t="s">
        <v>207</v>
      </c>
      <c r="H5" s="152"/>
      <c r="I5" s="152"/>
      <c r="J5" s="172">
        <v>660175.73</v>
      </c>
      <c r="K5" s="172">
        <v>4282833.1900000069</v>
      </c>
      <c r="L5" s="172">
        <v>438852.65</v>
      </c>
      <c r="M5" s="172">
        <v>1787925.69</v>
      </c>
    </row>
    <row r="6" spans="1:13" outlineLevel="1">
      <c r="A6" s="139" t="s">
        <v>195</v>
      </c>
      <c r="B6" s="140">
        <f>J6/60</f>
        <v>19177.476166666667</v>
      </c>
      <c r="C6" s="140">
        <f t="shared" si="0"/>
        <v>88273.745666666669</v>
      </c>
      <c r="D6" s="140">
        <f t="shared" si="0"/>
        <v>13465.973333333332</v>
      </c>
      <c r="E6" s="140">
        <f t="shared" si="0"/>
        <v>37920.755555555559</v>
      </c>
      <c r="F6" s="141">
        <f>SUM(B6:E6)</f>
        <v>158837.95072222222</v>
      </c>
      <c r="G6" s="151" t="s">
        <v>206</v>
      </c>
      <c r="J6" s="172">
        <v>1150648.57</v>
      </c>
      <c r="K6" s="172">
        <v>5296424.74</v>
      </c>
      <c r="L6" s="172">
        <v>807958.39999999991</v>
      </c>
      <c r="M6" s="172">
        <v>2275245.3333333335</v>
      </c>
    </row>
    <row r="7" spans="1:13" ht="15" outlineLevel="1">
      <c r="A7" s="137" t="s">
        <v>182</v>
      </c>
      <c r="B7" s="142">
        <f>+B5/B6</f>
        <v>0.57374227649715848</v>
      </c>
      <c r="C7" s="142">
        <f t="shared" ref="C7:E7" si="1">+C5/C6</f>
        <v>0.80862721557335049</v>
      </c>
      <c r="D7" s="142">
        <f t="shared" si="1"/>
        <v>0.5431624326202934</v>
      </c>
      <c r="E7" s="142">
        <f t="shared" si="1"/>
        <v>0.78581666065022138</v>
      </c>
      <c r="F7" s="142">
        <f t="shared" ref="F7" si="2">+F5/F6</f>
        <v>0.75231677184195311</v>
      </c>
      <c r="G7" s="143"/>
      <c r="H7" s="130">
        <f>+F7-100%</f>
        <v>-0.24768322815804689</v>
      </c>
    </row>
    <row r="8" spans="1:13" outlineLevel="1">
      <c r="A8" s="144" t="s">
        <v>184</v>
      </c>
    </row>
    <row r="9" spans="1:13">
      <c r="A9" s="145"/>
    </row>
    <row r="10" spans="1:13" ht="18">
      <c r="A10" s="148" t="s">
        <v>185</v>
      </c>
    </row>
    <row r="11" spans="1:13" outlineLevel="1">
      <c r="A11" s="138" t="s">
        <v>186</v>
      </c>
    </row>
    <row r="12" spans="1:13" ht="15" outlineLevel="1">
      <c r="A12" s="113" t="s">
        <v>0</v>
      </c>
      <c r="B12" s="126" t="s">
        <v>41</v>
      </c>
      <c r="C12" s="126" t="s">
        <v>38</v>
      </c>
      <c r="D12" s="126" t="s">
        <v>42</v>
      </c>
      <c r="E12" s="126" t="s">
        <v>61</v>
      </c>
      <c r="F12" s="134" t="s">
        <v>5</v>
      </c>
    </row>
    <row r="13" spans="1:13" outlineLevel="1">
      <c r="A13" s="139" t="s">
        <v>196</v>
      </c>
      <c r="B13" s="140">
        <f>J13/60</f>
        <v>4712.5</v>
      </c>
      <c r="C13" s="140">
        <f t="shared" ref="C13:E13" si="3">K13/60</f>
        <v>112299</v>
      </c>
      <c r="D13" s="140">
        <f t="shared" si="3"/>
        <v>9583.5</v>
      </c>
      <c r="E13" s="140">
        <f t="shared" si="3"/>
        <v>35382.5</v>
      </c>
      <c r="F13" s="141">
        <f>SUM(B13:E13)</f>
        <v>161977.5</v>
      </c>
      <c r="G13" s="151" t="s">
        <v>208</v>
      </c>
      <c r="J13" s="172">
        <v>282750</v>
      </c>
      <c r="K13" s="172">
        <v>6737940</v>
      </c>
      <c r="L13" s="172">
        <v>575010</v>
      </c>
      <c r="M13" s="172">
        <v>2122950</v>
      </c>
    </row>
    <row r="14" spans="1:13" outlineLevel="1">
      <c r="A14" s="139" t="s">
        <v>195</v>
      </c>
      <c r="B14" s="146">
        <f>+B6</f>
        <v>19177.476166666667</v>
      </c>
      <c r="C14" s="146">
        <f>+C6</f>
        <v>88273.745666666669</v>
      </c>
      <c r="D14" s="146">
        <f>+D6</f>
        <v>13465.973333333332</v>
      </c>
      <c r="E14" s="146">
        <f>+E6</f>
        <v>37920.755555555559</v>
      </c>
      <c r="F14" s="141">
        <f>SUM(B14:E14)</f>
        <v>158837.95072222222</v>
      </c>
    </row>
    <row r="15" spans="1:13" ht="15" outlineLevel="1">
      <c r="A15" s="137" t="s">
        <v>185</v>
      </c>
      <c r="B15" s="142">
        <f>+B13/B14</f>
        <v>0.24573097935540822</v>
      </c>
      <c r="C15" s="142">
        <f t="shared" ref="C15:E15" si="4">+C13/C14</f>
        <v>1.2721676094277892</v>
      </c>
      <c r="D15" s="142">
        <f t="shared" si="4"/>
        <v>0.71168268069247143</v>
      </c>
      <c r="E15" s="142">
        <f t="shared" si="4"/>
        <v>0.93306421461363276</v>
      </c>
      <c r="F15" s="142">
        <f t="shared" ref="F15" si="5">+F13/F14</f>
        <v>1.0197657377440501</v>
      </c>
      <c r="G15" s="143"/>
      <c r="H15" s="130"/>
    </row>
    <row r="16" spans="1:13" outlineLevel="1">
      <c r="A16" s="138" t="s">
        <v>187</v>
      </c>
    </row>
    <row r="17" spans="1:13">
      <c r="A17" s="138"/>
    </row>
    <row r="18" spans="1:13" ht="18">
      <c r="A18" s="148" t="s">
        <v>188</v>
      </c>
    </row>
    <row r="19" spans="1:13" outlineLevel="1">
      <c r="A19" s="138" t="s">
        <v>189</v>
      </c>
    </row>
    <row r="20" spans="1:13" ht="15" outlineLevel="1">
      <c r="A20" s="113" t="s">
        <v>0</v>
      </c>
      <c r="B20" s="126" t="s">
        <v>41</v>
      </c>
      <c r="C20" s="126" t="s">
        <v>38</v>
      </c>
      <c r="D20" s="126" t="s">
        <v>42</v>
      </c>
      <c r="E20" s="126" t="s">
        <v>61</v>
      </c>
      <c r="F20" s="134" t="s">
        <v>5</v>
      </c>
    </row>
    <row r="21" spans="1:13" outlineLevel="1">
      <c r="A21" s="139" t="s">
        <v>205</v>
      </c>
      <c r="B21" s="157">
        <f>J21/60</f>
        <v>2962.5805000000005</v>
      </c>
      <c r="C21" s="146">
        <f>+C5</f>
        <v>71380.553166666781</v>
      </c>
      <c r="D21" s="146">
        <f>+D5</f>
        <v>7314.2108333333335</v>
      </c>
      <c r="E21" s="146">
        <f>+E5</f>
        <v>29798.761500000001</v>
      </c>
      <c r="F21" s="141">
        <f>SUM(B21:E21)</f>
        <v>111456.10600000012</v>
      </c>
      <c r="G21" s="151" t="s">
        <v>208</v>
      </c>
      <c r="J21" s="172">
        <v>177754.83000000002</v>
      </c>
      <c r="K21" s="172"/>
      <c r="L21" s="172"/>
      <c r="M21" s="172"/>
    </row>
    <row r="22" spans="1:13" outlineLevel="1">
      <c r="A22" s="139" t="s">
        <v>197</v>
      </c>
      <c r="B22" s="146">
        <f>+B13</f>
        <v>4712.5</v>
      </c>
      <c r="C22" s="146">
        <f>+C13</f>
        <v>112299</v>
      </c>
      <c r="D22" s="146">
        <f>+D13</f>
        <v>9583.5</v>
      </c>
      <c r="E22" s="146">
        <f>+E13</f>
        <v>35382.5</v>
      </c>
      <c r="F22" s="141">
        <f>SUM(B22:E22)</f>
        <v>161977.5</v>
      </c>
      <c r="G22" s="151" t="s">
        <v>208</v>
      </c>
    </row>
    <row r="23" spans="1:13" ht="15" outlineLevel="1">
      <c r="A23" s="137" t="s">
        <v>188</v>
      </c>
      <c r="B23" s="142">
        <f>+B21/B22</f>
        <v>0.62866429708222826</v>
      </c>
      <c r="C23" s="142">
        <f t="shared" ref="C23:F23" si="6">+C21/C22</f>
        <v>0.63562946390143082</v>
      </c>
      <c r="D23" s="142">
        <f t="shared" si="6"/>
        <v>0.76320872680475127</v>
      </c>
      <c r="E23" s="142">
        <f t="shared" si="6"/>
        <v>0.84218926022751361</v>
      </c>
      <c r="F23" s="142">
        <f t="shared" si="6"/>
        <v>0.68809622324088293</v>
      </c>
      <c r="G23" s="143"/>
      <c r="H23" s="130">
        <f>+F23-79%</f>
        <v>-0.1019037767591171</v>
      </c>
    </row>
    <row r="24" spans="1:13" outlineLevel="1">
      <c r="A24" s="138" t="s">
        <v>190</v>
      </c>
    </row>
    <row r="25" spans="1:13">
      <c r="A25" s="138"/>
    </row>
    <row r="26" spans="1:13" ht="18">
      <c r="A26" s="148" t="s">
        <v>191</v>
      </c>
    </row>
    <row r="27" spans="1:13">
      <c r="A27" s="1775" t="s">
        <v>307</v>
      </c>
      <c r="B27" s="1775"/>
      <c r="C27" s="1775"/>
      <c r="D27" s="1775"/>
      <c r="E27" s="1775"/>
      <c r="F27" s="1775"/>
      <c r="G27" s="1775"/>
      <c r="H27" s="1775"/>
      <c r="I27" s="1775"/>
      <c r="J27" s="1775"/>
      <c r="K27" s="1775"/>
      <c r="L27" s="1775"/>
    </row>
    <row r="28" spans="1:13" ht="30" customHeight="1">
      <c r="A28" s="1775" t="s">
        <v>308</v>
      </c>
      <c r="B28" s="1775"/>
      <c r="C28" s="1775"/>
      <c r="D28" s="1775"/>
      <c r="E28" s="1775"/>
      <c r="F28" s="1775"/>
      <c r="G28" s="1775"/>
      <c r="H28" s="1775"/>
      <c r="I28" s="1775"/>
      <c r="J28" s="1775"/>
      <c r="K28" s="1775"/>
      <c r="L28" s="1775"/>
    </row>
    <row r="29" spans="1:13">
      <c r="A29" s="150" t="s">
        <v>194</v>
      </c>
      <c r="B29" s="135"/>
      <c r="C29" s="135"/>
      <c r="D29" s="135"/>
      <c r="E29" s="135"/>
      <c r="F29" s="135"/>
      <c r="G29" s="135"/>
      <c r="H29" s="135"/>
      <c r="I29" s="135"/>
      <c r="J29" s="135"/>
      <c r="K29" s="135"/>
      <c r="L29" s="135"/>
    </row>
    <row r="30" spans="1:13" ht="15">
      <c r="A30" s="113" t="s">
        <v>0</v>
      </c>
      <c r="B30" s="126" t="s">
        <v>41</v>
      </c>
      <c r="C30" s="126" t="s">
        <v>38</v>
      </c>
      <c r="D30" s="126" t="s">
        <v>42</v>
      </c>
      <c r="E30" s="126" t="s">
        <v>61</v>
      </c>
      <c r="F30" s="134" t="s">
        <v>5</v>
      </c>
    </row>
    <row r="31" spans="1:13">
      <c r="A31" s="139" t="s">
        <v>185</v>
      </c>
      <c r="B31" s="147">
        <f>+B15</f>
        <v>0.24573097935540822</v>
      </c>
      <c r="C31" s="147">
        <f>+C15</f>
        <v>1.2721676094277892</v>
      </c>
      <c r="D31" s="147">
        <f>+D15</f>
        <v>0.71168268069247143</v>
      </c>
      <c r="E31" s="147">
        <f>+E15</f>
        <v>0.93306421461363276</v>
      </c>
      <c r="F31" s="147">
        <f>+F15</f>
        <v>1.0197657377440501</v>
      </c>
    </row>
    <row r="32" spans="1:13">
      <c r="A32" s="139" t="s">
        <v>188</v>
      </c>
      <c r="B32" s="147">
        <f>+B23</f>
        <v>0.62866429708222826</v>
      </c>
      <c r="C32" s="147">
        <f t="shared" ref="C32:F32" si="7">+C23</f>
        <v>0.63562946390143082</v>
      </c>
      <c r="D32" s="147">
        <f t="shared" si="7"/>
        <v>0.76320872680475127</v>
      </c>
      <c r="E32" s="147">
        <f t="shared" si="7"/>
        <v>0.84218926022751361</v>
      </c>
      <c r="F32" s="147">
        <f t="shared" si="7"/>
        <v>0.68809622324088293</v>
      </c>
    </row>
    <row r="33" spans="1:6" ht="15">
      <c r="A33" s="137" t="s">
        <v>182</v>
      </c>
      <c r="B33" s="161">
        <f t="shared" ref="B33:E33" si="8">+B31*B32*100</f>
        <v>15.448229340779527</v>
      </c>
      <c r="C33" s="161">
        <f t="shared" si="8"/>
        <v>80.86272155733505</v>
      </c>
      <c r="D33" s="161">
        <f t="shared" si="8"/>
        <v>54.316243262029339</v>
      </c>
      <c r="E33" s="161">
        <f t="shared" si="8"/>
        <v>78.581666065022134</v>
      </c>
      <c r="F33" s="161">
        <f>+F31*F32*100</f>
        <v>70.169695273213364</v>
      </c>
    </row>
    <row r="34" spans="1:6">
      <c r="A34" s="139"/>
      <c r="B34" s="162">
        <f>+B33-100</f>
        <v>-84.551770659220466</v>
      </c>
      <c r="C34" s="162">
        <f t="shared" ref="C34:F34" si="9">+C33-100</f>
        <v>-19.13727844266495</v>
      </c>
      <c r="D34" s="162">
        <f t="shared" si="9"/>
        <v>-45.683756737970661</v>
      </c>
      <c r="E34" s="162">
        <f t="shared" si="9"/>
        <v>-21.418333934977866</v>
      </c>
      <c r="F34" s="162">
        <f t="shared" si="9"/>
        <v>-29.830304726786636</v>
      </c>
    </row>
    <row r="35" spans="1:6">
      <c r="B35" s="121"/>
    </row>
    <row r="37" spans="1:6">
      <c r="A37" s="1" t="s">
        <v>199</v>
      </c>
      <c r="C37" s="1" t="s">
        <v>200</v>
      </c>
    </row>
    <row r="38" spans="1:6">
      <c r="A38" s="1" t="s">
        <v>201</v>
      </c>
      <c r="C38" s="1" t="s">
        <v>202</v>
      </c>
    </row>
    <row r="39" spans="1:6">
      <c r="A39" s="1" t="s">
        <v>203</v>
      </c>
      <c r="C39" s="1" t="s">
        <v>204</v>
      </c>
    </row>
  </sheetData>
  <mergeCells count="2">
    <mergeCell ref="A27:L27"/>
    <mergeCell ref="A28:L2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A8D6E-CD1D-4263-86C8-3F91C1458EB6}">
  <dimension ref="A1:S28"/>
  <sheetViews>
    <sheetView showGridLines="0" zoomScale="70" zoomScaleNormal="70" workbookViewId="0">
      <selection activeCell="M27" sqref="M27"/>
    </sheetView>
  </sheetViews>
  <sheetFormatPr baseColWidth="10" defaultColWidth="9.140625" defaultRowHeight="12.75"/>
  <cols>
    <col min="3" max="3" width="27.140625" customWidth="1"/>
    <col min="5" max="5" width="10" bestFit="1" customWidth="1"/>
    <col min="12" max="12" width="39.85546875" customWidth="1"/>
    <col min="13" max="13" width="10" bestFit="1" customWidth="1"/>
  </cols>
  <sheetData>
    <row r="1" spans="1:19" ht="18">
      <c r="A1" s="153" t="s">
        <v>209</v>
      </c>
      <c r="E1">
        <v>12400</v>
      </c>
      <c r="F1">
        <v>0.1</v>
      </c>
      <c r="G1">
        <f>+E1*F1</f>
        <v>1240</v>
      </c>
      <c r="L1" s="148" t="s">
        <v>182</v>
      </c>
      <c r="M1" s="1"/>
      <c r="N1" s="1"/>
      <c r="O1" s="1"/>
      <c r="P1" s="1"/>
      <c r="Q1" s="1"/>
      <c r="R1" s="1"/>
      <c r="S1" s="1"/>
    </row>
    <row r="2" spans="1:19" ht="14.25">
      <c r="A2" s="153" t="s">
        <v>210</v>
      </c>
      <c r="E2">
        <v>10000</v>
      </c>
      <c r="F2">
        <v>0.04</v>
      </c>
      <c r="G2">
        <f t="shared" ref="G2:G3" si="0">+E2*F2</f>
        <v>400</v>
      </c>
      <c r="L2" s="139" t="s">
        <v>205</v>
      </c>
      <c r="M2" s="141">
        <f>+G11</f>
        <v>2614</v>
      </c>
      <c r="N2" s="151"/>
      <c r="O2" s="152"/>
      <c r="P2" s="1"/>
      <c r="Q2" s="1"/>
      <c r="R2" s="1"/>
      <c r="S2" s="1"/>
    </row>
    <row r="3" spans="1:19" ht="14.25">
      <c r="A3" s="153" t="s">
        <v>211</v>
      </c>
      <c r="E3">
        <v>18500</v>
      </c>
      <c r="F3">
        <v>0.05</v>
      </c>
      <c r="G3">
        <f t="shared" si="0"/>
        <v>925</v>
      </c>
      <c r="L3" s="139" t="s">
        <v>195</v>
      </c>
      <c r="M3" s="141">
        <f>+G4</f>
        <v>2565</v>
      </c>
      <c r="N3" s="151"/>
      <c r="O3" s="1"/>
      <c r="P3" s="1"/>
      <c r="Q3" s="1"/>
      <c r="R3" s="1"/>
      <c r="S3" s="1"/>
    </row>
    <row r="4" spans="1:19" ht="15">
      <c r="A4" s="154" t="s">
        <v>212</v>
      </c>
      <c r="B4" s="154" t="s">
        <v>213</v>
      </c>
      <c r="C4" s="154" t="s">
        <v>214</v>
      </c>
      <c r="E4">
        <f>SUM(E1:E3)</f>
        <v>40900</v>
      </c>
      <c r="G4">
        <f>SUM(G1:G3)</f>
        <v>2565</v>
      </c>
      <c r="L4" s="137" t="s">
        <v>182</v>
      </c>
      <c r="M4" s="142">
        <f t="shared" ref="M4" si="1">+M2/M3</f>
        <v>1.019103313840156</v>
      </c>
      <c r="N4" s="143"/>
      <c r="O4" s="130">
        <f>+M4-100%</f>
        <v>1.9103313840155955E-2</v>
      </c>
      <c r="P4" s="152"/>
      <c r="Q4" s="1"/>
      <c r="R4" s="1"/>
      <c r="S4" s="1"/>
    </row>
    <row r="5" spans="1:19" ht="14.25">
      <c r="A5" s="155" t="s">
        <v>215</v>
      </c>
      <c r="B5" s="155" t="s">
        <v>216</v>
      </c>
      <c r="C5" s="155" t="s">
        <v>217</v>
      </c>
      <c r="P5" s="1"/>
      <c r="Q5" s="1"/>
      <c r="R5" s="1"/>
      <c r="S5" s="1"/>
    </row>
    <row r="6" spans="1:19" ht="18">
      <c r="A6" s="154" t="s">
        <v>218</v>
      </c>
      <c r="B6" s="154" t="s">
        <v>219</v>
      </c>
      <c r="C6" s="154" t="s">
        <v>220</v>
      </c>
      <c r="L6" s="148" t="s">
        <v>185</v>
      </c>
      <c r="P6" s="1"/>
      <c r="Q6" s="1"/>
      <c r="R6" s="1"/>
      <c r="S6" s="1"/>
    </row>
    <row r="7" spans="1:19" ht="14.25">
      <c r="L7" s="139" t="s">
        <v>196</v>
      </c>
      <c r="M7" s="141">
        <f>+G12</f>
        <v>2430</v>
      </c>
      <c r="N7" s="1"/>
      <c r="O7" s="1"/>
      <c r="P7" s="1"/>
      <c r="Q7" s="1"/>
      <c r="R7" s="1"/>
      <c r="S7" s="1"/>
    </row>
    <row r="8" spans="1:19" ht="14.25">
      <c r="A8" s="153" t="s">
        <v>221</v>
      </c>
      <c r="E8">
        <v>13300</v>
      </c>
      <c r="F8">
        <v>0.1</v>
      </c>
      <c r="G8">
        <f>+E8*F8</f>
        <v>1330</v>
      </c>
      <c r="L8" s="139" t="s">
        <v>195</v>
      </c>
      <c r="M8" s="141">
        <f>+G4</f>
        <v>2565</v>
      </c>
      <c r="N8" s="1"/>
      <c r="O8" s="1"/>
      <c r="P8" s="1"/>
      <c r="Q8" s="160"/>
      <c r="R8" s="1"/>
      <c r="S8" s="1"/>
    </row>
    <row r="9" spans="1:19" ht="15">
      <c r="A9" s="153" t="s">
        <v>222</v>
      </c>
      <c r="E9">
        <v>9600</v>
      </c>
      <c r="F9">
        <v>0.04</v>
      </c>
      <c r="G9">
        <f t="shared" ref="G9:G10" si="2">+E9*F9</f>
        <v>384</v>
      </c>
      <c r="L9" s="137" t="s">
        <v>185</v>
      </c>
      <c r="M9" s="142">
        <f t="shared" ref="M9" si="3">+M7/M8</f>
        <v>0.94736842105263153</v>
      </c>
      <c r="N9" s="1"/>
      <c r="O9" s="1"/>
      <c r="P9" s="1"/>
      <c r="Q9" s="1"/>
      <c r="R9" s="1"/>
      <c r="S9" s="1"/>
    </row>
    <row r="10" spans="1:19" ht="14.25">
      <c r="A10" s="153" t="s">
        <v>223</v>
      </c>
      <c r="E10">
        <v>18000</v>
      </c>
      <c r="F10">
        <v>0.05</v>
      </c>
      <c r="G10">
        <f t="shared" si="2"/>
        <v>900</v>
      </c>
      <c r="L10" s="138"/>
      <c r="M10" s="1"/>
      <c r="N10" s="1"/>
      <c r="O10" s="1"/>
      <c r="P10" s="1"/>
      <c r="Q10" s="1"/>
      <c r="R10" s="1"/>
      <c r="S10" s="1"/>
    </row>
    <row r="11" spans="1:19" ht="18">
      <c r="E11" s="158">
        <f>SUM(E8:E10)</f>
        <v>40900</v>
      </c>
      <c r="G11">
        <f>SUM(G8:G10)</f>
        <v>2614</v>
      </c>
      <c r="L11" s="148" t="s">
        <v>188</v>
      </c>
      <c r="M11" s="134"/>
      <c r="N11" s="1"/>
      <c r="O11" s="1"/>
      <c r="P11" s="1"/>
      <c r="Q11" s="1"/>
      <c r="R11" s="1"/>
      <c r="S11" s="1"/>
    </row>
    <row r="12" spans="1:19" ht="14.25">
      <c r="A12" s="153" t="s">
        <v>224</v>
      </c>
      <c r="G12">
        <v>2430</v>
      </c>
      <c r="L12" s="139" t="s">
        <v>205</v>
      </c>
      <c r="M12" s="141">
        <f>+G11</f>
        <v>2614</v>
      </c>
      <c r="N12" s="1"/>
      <c r="O12" s="1"/>
      <c r="P12" s="1"/>
      <c r="Q12" s="1"/>
      <c r="R12" s="1"/>
      <c r="S12" s="1"/>
    </row>
    <row r="13" spans="1:19" ht="14.25">
      <c r="L13" s="139" t="s">
        <v>197</v>
      </c>
      <c r="M13" s="141">
        <f>+G12</f>
        <v>2430</v>
      </c>
      <c r="N13" s="151"/>
      <c r="O13" s="1"/>
      <c r="P13" s="1"/>
      <c r="Q13" s="1"/>
      <c r="R13" s="1"/>
      <c r="S13" s="1"/>
    </row>
    <row r="14" spans="1:19" ht="15">
      <c r="L14" s="137" t="s">
        <v>188</v>
      </c>
      <c r="M14" s="142">
        <f t="shared" ref="M14" si="4">+M12/M13</f>
        <v>1.0757201646090535</v>
      </c>
      <c r="N14" s="143"/>
      <c r="O14" s="130">
        <f>+M14-100%</f>
        <v>7.5720164609053509E-2</v>
      </c>
      <c r="P14" s="1"/>
      <c r="Q14" s="1"/>
      <c r="R14" s="1"/>
      <c r="S14" s="1"/>
    </row>
    <row r="15" spans="1:19" ht="14.25">
      <c r="L15" s="138"/>
      <c r="M15" s="1"/>
      <c r="N15" s="1"/>
      <c r="O15" s="1"/>
      <c r="P15" s="1"/>
      <c r="Q15" s="1"/>
      <c r="R15" s="1"/>
      <c r="S15" s="1"/>
    </row>
    <row r="16" spans="1:19" ht="18">
      <c r="L16" s="148" t="s">
        <v>191</v>
      </c>
      <c r="M16" s="1"/>
      <c r="N16" s="1"/>
      <c r="O16" s="1"/>
      <c r="P16" s="1"/>
      <c r="Q16" s="1"/>
      <c r="R16" s="1"/>
      <c r="S16" s="1"/>
    </row>
    <row r="17" spans="12:19" ht="61.9" customHeight="1">
      <c r="L17" s="1775" t="s">
        <v>192</v>
      </c>
      <c r="M17" s="1775"/>
      <c r="N17" s="1775"/>
      <c r="O17" s="1775"/>
      <c r="P17" s="1775"/>
      <c r="Q17" s="1775"/>
      <c r="R17" s="1775"/>
      <c r="S17" s="1775"/>
    </row>
    <row r="18" spans="12:19" ht="44.45" customHeight="1">
      <c r="L18" s="1775" t="s">
        <v>193</v>
      </c>
      <c r="M18" s="1775"/>
      <c r="N18" s="1775"/>
      <c r="O18" s="1775"/>
      <c r="P18" s="1775"/>
      <c r="Q18" s="1775"/>
      <c r="R18" s="1775"/>
      <c r="S18" s="1775"/>
    </row>
    <row r="19" spans="12:19" ht="14.25">
      <c r="L19" s="150" t="s">
        <v>194</v>
      </c>
      <c r="M19" s="135"/>
      <c r="N19" s="135"/>
      <c r="O19" s="135"/>
      <c r="P19" s="135"/>
      <c r="Q19" s="135"/>
      <c r="R19" s="135"/>
      <c r="S19" s="135"/>
    </row>
    <row r="20" spans="12:19" ht="15">
      <c r="L20" s="113" t="s">
        <v>0</v>
      </c>
      <c r="M20" s="134" t="s">
        <v>5</v>
      </c>
      <c r="N20" s="1"/>
      <c r="O20" s="1"/>
      <c r="P20" s="1"/>
      <c r="Q20" s="1"/>
      <c r="R20" s="1"/>
      <c r="S20" s="1"/>
    </row>
    <row r="21" spans="12:19" ht="14.25">
      <c r="L21" s="139" t="s">
        <v>185</v>
      </c>
      <c r="M21" s="147">
        <f>+M9</f>
        <v>0.94736842105263153</v>
      </c>
      <c r="N21" s="1"/>
      <c r="O21" s="1"/>
      <c r="P21" s="1"/>
      <c r="Q21" s="1"/>
      <c r="R21" s="1"/>
      <c r="S21" s="1"/>
    </row>
    <row r="22" spans="12:19" ht="14.25">
      <c r="L22" s="139" t="s">
        <v>188</v>
      </c>
      <c r="M22" s="147">
        <f>+M14</f>
        <v>1.0757201646090535</v>
      </c>
      <c r="N22" s="1"/>
      <c r="O22" s="1"/>
      <c r="P22" s="1"/>
      <c r="Q22" s="1"/>
      <c r="R22" s="1"/>
      <c r="S22" s="1"/>
    </row>
    <row r="23" spans="12:19" ht="15">
      <c r="L23" s="137" t="s">
        <v>198</v>
      </c>
      <c r="M23" s="159">
        <f t="shared" ref="M23" si="5">(M21*M22)/100</f>
        <v>1.019103313840156E-2</v>
      </c>
      <c r="N23" s="1"/>
      <c r="O23" s="1"/>
      <c r="P23" s="1"/>
      <c r="Q23" s="1"/>
      <c r="R23" s="1"/>
      <c r="S23" s="1"/>
    </row>
    <row r="24" spans="12:19" ht="14.25">
      <c r="L24" s="139"/>
      <c r="M24" s="149"/>
      <c r="N24" s="1"/>
      <c r="O24" s="1"/>
      <c r="P24" s="1"/>
      <c r="Q24" s="1"/>
      <c r="R24" s="1"/>
      <c r="S24" s="1"/>
    </row>
    <row r="28" spans="12:19">
      <c r="M28" s="158"/>
    </row>
  </sheetData>
  <mergeCells count="2">
    <mergeCell ref="L17:S17"/>
    <mergeCell ref="L18:S1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A973D5-2D74-4B11-BFBE-D20813364A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14</vt:i4>
      </vt:variant>
    </vt:vector>
  </HeadingPairs>
  <TitlesOfParts>
    <vt:vector size="14" baseType="lpstr">
      <vt:lpstr>Note</vt:lpstr>
      <vt:lpstr>Delivery</vt:lpstr>
      <vt:lpstr>People</vt:lpstr>
      <vt:lpstr>People_2</vt:lpstr>
      <vt:lpstr>Worked Hrs</vt:lpstr>
      <vt:lpstr>Quality</vt:lpstr>
      <vt:lpstr>Ph_QC</vt:lpstr>
      <vt:lpstr>Efficiency</vt:lpstr>
      <vt:lpstr>Costs &amp; Profitability</vt:lpstr>
      <vt:lpstr>Warehouse &amp; Inventory Managemen</vt:lpstr>
      <vt:lpstr>Logistic</vt:lpstr>
      <vt:lpstr>Capex</vt:lpstr>
      <vt:lpstr>Ratio</vt:lpstr>
      <vt:lpstr>Raio_calc-exp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Mina Moussa</dc:creator>
  <cp:lastModifiedBy>QHSE</cp:lastModifiedBy>
  <cp:lastPrinted>2026-01-23T13:42:51Z</cp:lastPrinted>
  <dcterms:created xsi:type="dcterms:W3CDTF">2023-04-14T10:46:19Z</dcterms:created>
  <dcterms:modified xsi:type="dcterms:W3CDTF">2026-07-14T10:41:37Z</dcterms:modified>
</cp:coreProperties>
</file>