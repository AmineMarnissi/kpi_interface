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C:\Users\asus\Desktop\QHSE\001 SMQ\KPI\Quarterly\T3-2026\"/>
    </mc:Choice>
  </mc:AlternateContent>
  <xr:revisionPtr revIDLastSave="0" documentId="13_ncr:1_{CCFBDA75-983D-4345-941C-B82D180F246F}" xr6:coauthVersionLast="36" xr6:coauthVersionMax="47" xr10:uidLastSave="{00000000-0000-0000-0000-000000000000}"/>
  <bookViews>
    <workbookView xWindow="0" yWindow="0" windowWidth="7485" windowHeight="11385" tabRatio="859" activeTab="3" xr2:uid="{00000000-000D-0000-FFFF-FFFF00000000}"/>
  </bookViews>
  <sheets>
    <sheet name="Note" sheetId="43" r:id="rId1"/>
    <sheet name="People" sheetId="34" r:id="rId2"/>
    <sheet name="People_2" sheetId="35" r:id="rId3"/>
    <sheet name="Worked Hrs" sheetId="36" r:id="rId4"/>
    <sheet name="Quality" sheetId="12" r:id="rId5"/>
    <sheet name="Ph_QC" sheetId="38" r:id="rId6"/>
    <sheet name="Efficiency" sheetId="39" r:id="rId7"/>
    <sheet name="Costs &amp; Profitability" sheetId="40" r:id="rId8"/>
    <sheet name="Warehouse &amp; Inventory Manag" sheetId="41" r:id="rId9"/>
    <sheet name="Delivery" sheetId="33" r:id="rId10"/>
    <sheet name="Logistic" sheetId="31" r:id="rId11"/>
    <sheet name="Capex" sheetId="42" r:id="rId12"/>
    <sheet name="Ratio" sheetId="22" state="hidden" r:id="rId13"/>
    <sheet name="Raio_calc-exp" sheetId="23" state="hidden" r:id="rId14"/>
  </sheets>
  <definedNames>
    <definedName name="_Fill" localSheetId="6" hidden="1">#REF!</definedName>
    <definedName name="_Fill" localSheetId="10" hidden="1">#REF!</definedName>
    <definedName name="_Fill" localSheetId="0" hidden="1">#REF!</definedName>
    <definedName name="_Fill" localSheetId="1" hidden="1">#REF!</definedName>
    <definedName name="_Fill" localSheetId="2" hidden="1">#REF!</definedName>
    <definedName name="_Fill" hidden="1">#REF!</definedName>
    <definedName name="_xlnm._FilterDatabase" localSheetId="1" hidden="1">People!$A$85:$C$135</definedName>
    <definedName name="_Key1" localSheetId="6" hidden="1">#REF!</definedName>
    <definedName name="_Key1" localSheetId="10" hidden="1">#REF!</definedName>
    <definedName name="_Key1" localSheetId="0" hidden="1">#REF!</definedName>
    <definedName name="_Key1" localSheetId="1" hidden="1">#REF!</definedName>
    <definedName name="_Key1" localSheetId="2" hidden="1">#REF!</definedName>
    <definedName name="_Key1" hidden="1">#REF!</definedName>
    <definedName name="_Key2" localSheetId="6" hidden="1">#REF!</definedName>
    <definedName name="_Key2" localSheetId="10" hidden="1">#REF!</definedName>
    <definedName name="_Key2" localSheetId="0" hidden="1">#REF!</definedName>
    <definedName name="_Key2" localSheetId="1" hidden="1">#REF!</definedName>
    <definedName name="_Key2" localSheetId="2" hidden="1">#REF!</definedName>
    <definedName name="_Key2" hidden="1">#REF!</definedName>
    <definedName name="_Order1" hidden="1">255</definedName>
    <definedName name="_Order2" hidden="1">255</definedName>
    <definedName name="_SCM01" localSheetId="6">#REF!</definedName>
    <definedName name="_SCM01" localSheetId="10">#REF!</definedName>
    <definedName name="_SCM01" localSheetId="0">#REF!</definedName>
    <definedName name="_SCM01" localSheetId="1">#REF!</definedName>
    <definedName name="_SCM01" localSheetId="2">#REF!</definedName>
    <definedName name="_SCM01">#REF!</definedName>
    <definedName name="_SCM02" localSheetId="6">#REF!</definedName>
    <definedName name="_SCM02" localSheetId="10">#REF!</definedName>
    <definedName name="_SCM02" localSheetId="0">#REF!</definedName>
    <definedName name="_SCM02" localSheetId="1">#REF!</definedName>
    <definedName name="_SCM02" localSheetId="2">#REF!</definedName>
    <definedName name="_SCM02">#REF!</definedName>
    <definedName name="a" localSheetId="6" hidden="1">#REF!</definedName>
    <definedName name="a" localSheetId="10" hidden="1">#REF!</definedName>
    <definedName name="a" localSheetId="0" hidden="1">#REF!</definedName>
    <definedName name="a" localSheetId="1" hidden="1">#REF!</definedName>
    <definedName name="a" localSheetId="2" hidden="1">#REF!</definedName>
    <definedName name="a" hidden="1">#REF!</definedName>
    <definedName name="aadfadfaf" localSheetId="6" hidden="1">{#N/A,#N/A,FALSE,"Amortization Table"}</definedName>
    <definedName name="aadfadfaf" localSheetId="10" hidden="1">{#N/A,#N/A,FALSE,"Amortization Table"}</definedName>
    <definedName name="aadfadfaf" localSheetId="0" hidden="1">{#N/A,#N/A,FALSE,"Amortization Table"}</definedName>
    <definedName name="aadfadfaf" localSheetId="1" hidden="1">{#N/A,#N/A,FALSE,"Amortization Table"}</definedName>
    <definedName name="aadfadfaf" localSheetId="2" hidden="1">{#N/A,#N/A,FALSE,"Amortization Table"}</definedName>
    <definedName name="aadfadfaf" hidden="1">{#N/A,#N/A,FALSE,"Amortization Table"}</definedName>
    <definedName name="ACCR1" localSheetId="6">#REF!</definedName>
    <definedName name="ACCR1" localSheetId="10">#REF!</definedName>
    <definedName name="ACCR1" localSheetId="0">#REF!</definedName>
    <definedName name="ACCR1" localSheetId="1">#REF!</definedName>
    <definedName name="ACCR1" localSheetId="2">#REF!</definedName>
    <definedName name="ACCR1">#REF!</definedName>
    <definedName name="accruals" localSheetId="6">#REF!</definedName>
    <definedName name="accruals" localSheetId="10">#REF!</definedName>
    <definedName name="accruals" localSheetId="0">#REF!</definedName>
    <definedName name="accruals" localSheetId="1">#REF!</definedName>
    <definedName name="accruals" localSheetId="2">#REF!</definedName>
    <definedName name="accruals">#REF!</definedName>
    <definedName name="adi_ars" localSheetId="6">#REF!</definedName>
    <definedName name="adi_ars" localSheetId="10">#REF!</definedName>
    <definedName name="adi_ars" localSheetId="0">#REF!</definedName>
    <definedName name="adi_ars" localSheetId="1">#REF!</definedName>
    <definedName name="adi_ars" localSheetId="2">#REF!</definedName>
    <definedName name="adi_ars">#REF!</definedName>
    <definedName name="ADI_less1m" localSheetId="10">#REF!</definedName>
    <definedName name="ADI_less1m">#REF!</definedName>
    <definedName name="adi_total_type" localSheetId="10">#REF!</definedName>
    <definedName name="adi_total_type">#REF!</definedName>
    <definedName name="adi_type_less1m" localSheetId="10">#REF!</definedName>
    <definedName name="adi_type_less1m">#REF!</definedName>
    <definedName name="adj" localSheetId="10">#REF!</definedName>
    <definedName name="adj">#REF!</definedName>
    <definedName name="AK" localSheetId="10">#REF!</definedName>
    <definedName name="AK">#REF!</definedName>
    <definedName name="AMMORT" localSheetId="6">#REF!:#REF!</definedName>
    <definedName name="AMMORT" localSheetId="10">#REF!:#REF!</definedName>
    <definedName name="AMMORT" localSheetId="0">#REF!:#REF!</definedName>
    <definedName name="AMMORT" localSheetId="1">#REF!:#REF!</definedName>
    <definedName name="AMMORT" localSheetId="2">#REF!:#REF!</definedName>
    <definedName name="AMMORT">#REF!:#REF!</definedName>
    <definedName name="Ammortamenti" localSheetId="6">#REF!:#REF!</definedName>
    <definedName name="Ammortamenti" localSheetId="10">#REF!:#REF!</definedName>
    <definedName name="Ammortamenti" localSheetId="0">#REF!:#REF!</definedName>
    <definedName name="Ammortamenti" localSheetId="1">#REF!:#REF!</definedName>
    <definedName name="Ammortamenti" localSheetId="2">#REF!:#REF!</definedName>
    <definedName name="Ammortamenti">#REF!:#REF!</definedName>
    <definedName name="Anag" localSheetId="6">#REF!</definedName>
    <definedName name="Anag" localSheetId="10">#REF!</definedName>
    <definedName name="Anag" localSheetId="0">#REF!</definedName>
    <definedName name="Anag" localSheetId="1">#REF!</definedName>
    <definedName name="Anag" localSheetId="2">#REF!</definedName>
    <definedName name="Anag">#REF!</definedName>
    <definedName name="anagr" localSheetId="6">#REF!</definedName>
    <definedName name="anagr" localSheetId="10">#REF!</definedName>
    <definedName name="anagr" localSheetId="0">#REF!</definedName>
    <definedName name="anagr" localSheetId="1">#REF!</definedName>
    <definedName name="anagr" localSheetId="2">#REF!</definedName>
    <definedName name="anagr">#REF!</definedName>
    <definedName name="ANAGRAFICA" localSheetId="6">#REF!</definedName>
    <definedName name="ANAGRAFICA" localSheetId="10">#REF!</definedName>
    <definedName name="ANAGRAFICA" localSheetId="0">#REF!</definedName>
    <definedName name="ANAGRAFICA" localSheetId="1">#REF!</definedName>
    <definedName name="ANAGRAFICA" localSheetId="2">#REF!</definedName>
    <definedName name="ANAGRAFICA">#REF!</definedName>
    <definedName name="answer">FALSE</definedName>
    <definedName name="ARS" localSheetId="10">#REF!</definedName>
    <definedName name="ARS">#REF!</definedName>
    <definedName name="ars_change" localSheetId="10">#REF!</definedName>
    <definedName name="ars_change">#REF!</definedName>
    <definedName name="AS2DocOpenMode" hidden="1">"AS2DocumentBrowse"</definedName>
    <definedName name="AT" localSheetId="6">#REF!</definedName>
    <definedName name="AT" localSheetId="10">#REF!</definedName>
    <definedName name="AT" localSheetId="0">#REF!</definedName>
    <definedName name="AT" localSheetId="1">#REF!</definedName>
    <definedName name="AT" localSheetId="2">#REF!</definedName>
    <definedName name="AT">#REF!</definedName>
    <definedName name="AT15JAN" localSheetId="6">#REF!</definedName>
    <definedName name="AT15JAN" localSheetId="10">#REF!</definedName>
    <definedName name="AT15JAN" localSheetId="0">#REF!</definedName>
    <definedName name="AT15JAN" localSheetId="1">#REF!</definedName>
    <definedName name="AT15JAN" localSheetId="2">#REF!</definedName>
    <definedName name="AT15JAN">#REF!</definedName>
    <definedName name="ATAPR15" localSheetId="6">#REF!</definedName>
    <definedName name="ATAPR15" localSheetId="10">#REF!</definedName>
    <definedName name="ATAPR15" localSheetId="0">#REF!</definedName>
    <definedName name="ATAPR15" localSheetId="1">#REF!</definedName>
    <definedName name="ATAPR15" localSheetId="2">#REF!</definedName>
    <definedName name="ATAPR15">#REF!</definedName>
    <definedName name="ATAUG14" localSheetId="10">#REF!</definedName>
    <definedName name="ATAUG14">#REF!</definedName>
    <definedName name="ATAUG15" localSheetId="10">#REF!</definedName>
    <definedName name="ATAUG15">#REF!</definedName>
    <definedName name="ATDEC" localSheetId="10">#REF!</definedName>
    <definedName name="ATDEC">#REF!</definedName>
    <definedName name="ATDEC15" localSheetId="10">#REF!</definedName>
    <definedName name="ATDEC15">#REF!</definedName>
    <definedName name="ATDEC2" localSheetId="10">#REF!</definedName>
    <definedName name="ATDEC2">#REF!</definedName>
    <definedName name="ATDEC3" localSheetId="10">#REF!</definedName>
    <definedName name="ATDEC3">#REF!</definedName>
    <definedName name="ATDEC4" localSheetId="10">#REF!</definedName>
    <definedName name="ATDEC4">#REF!</definedName>
    <definedName name="ATFEB" localSheetId="10">#REF!</definedName>
    <definedName name="ATFEB">#REF!</definedName>
    <definedName name="ATFEB16" localSheetId="10">#REF!</definedName>
    <definedName name="ATFEB16">#REF!</definedName>
    <definedName name="ATfeb16corr" localSheetId="10">#REF!</definedName>
    <definedName name="ATfeb16corr">#REF!</definedName>
    <definedName name="ATJAN" localSheetId="10">#REF!</definedName>
    <definedName name="ATJAN">#REF!</definedName>
    <definedName name="ATJAN15" localSheetId="10">#REF!</definedName>
    <definedName name="ATJAN15">#REF!</definedName>
    <definedName name="atjan16" localSheetId="10">#REF!</definedName>
    <definedName name="atjan16">#REF!</definedName>
    <definedName name="atjan161" localSheetId="10">#REF!</definedName>
    <definedName name="atjan161">#REF!</definedName>
    <definedName name="ATJUL14" localSheetId="10">#REF!</definedName>
    <definedName name="ATJUL14">#REF!</definedName>
    <definedName name="ATJULY13" localSheetId="10">#REF!</definedName>
    <definedName name="ATJULY13">#REF!</definedName>
    <definedName name="ATJULY15" localSheetId="10">#REF!</definedName>
    <definedName name="ATJULY15">#REF!</definedName>
    <definedName name="ATJUNE15" localSheetId="10">#REF!</definedName>
    <definedName name="ATJUNE15">#REF!</definedName>
    <definedName name="ATJUNE152" localSheetId="10">#REF!</definedName>
    <definedName name="ATJUNE152">#REF!</definedName>
    <definedName name="ATJUNE154" localSheetId="10">#REF!</definedName>
    <definedName name="ATJUNE154">#REF!</definedName>
    <definedName name="ATJUNE2" localSheetId="10">#REF!</definedName>
    <definedName name="ATJUNE2">#REF!</definedName>
    <definedName name="ATMAR" localSheetId="10">#REF!</definedName>
    <definedName name="ATMAR">#REF!</definedName>
    <definedName name="atmar152" localSheetId="10">#REF!</definedName>
    <definedName name="atmar152">#REF!</definedName>
    <definedName name="ATMAY15" localSheetId="10">#REF!</definedName>
    <definedName name="ATMAY15">#REF!</definedName>
    <definedName name="ATNOV14" localSheetId="10">#REF!</definedName>
    <definedName name="ATNOV14">#REF!</definedName>
    <definedName name="ATNOV15" localSheetId="10">#REF!</definedName>
    <definedName name="ATNOV15">#REF!</definedName>
    <definedName name="AToct14" localSheetId="10">#REF!</definedName>
    <definedName name="AToct14">#REF!</definedName>
    <definedName name="AToct15" localSheetId="10">#REF!</definedName>
    <definedName name="AToct15">#REF!</definedName>
    <definedName name="ATOCt2" localSheetId="10">#REF!</definedName>
    <definedName name="ATOCt2">#REF!</definedName>
    <definedName name="ATP" localSheetId="10">#REF!</definedName>
    <definedName name="ATP">#REF!</definedName>
    <definedName name="atsept14" localSheetId="10">#REF!</definedName>
    <definedName name="atsept14">#REF!</definedName>
    <definedName name="ATSEPT15" localSheetId="10">#REF!</definedName>
    <definedName name="ATSEPT15">#REF!</definedName>
    <definedName name="ATTEST" localSheetId="10">#REF!</definedName>
    <definedName name="ATTEST">#REF!</definedName>
    <definedName name="BANCA1" localSheetId="10">#REF!</definedName>
    <definedName name="BANCA1">#REF!</definedName>
    <definedName name="BDDEC" localSheetId="10">#REF!</definedName>
    <definedName name="BDDEC">#REF!</definedName>
    <definedName name="bdenom" localSheetId="10">#REF!</definedName>
    <definedName name="bdenom">#REF!</definedName>
    <definedName name="bdenom2" localSheetId="10">#REF!</definedName>
    <definedName name="bdenom2">#REF!</definedName>
    <definedName name="bdenomO" localSheetId="10">#REF!</definedName>
    <definedName name="bdenomO">#REF!</definedName>
    <definedName name="BDJAUG14" localSheetId="10">#REF!</definedName>
    <definedName name="BDJAUG14">#REF!</definedName>
    <definedName name="BDJJULY14" localSheetId="10">#REF!</definedName>
    <definedName name="BDJJULY14">#REF!</definedName>
    <definedName name="BDJNOV14" localSheetId="10">#REF!</definedName>
    <definedName name="BDJNOV14">#REF!</definedName>
    <definedName name="bdjoct" localSheetId="10">#REF!</definedName>
    <definedName name="bdjoct">#REF!</definedName>
    <definedName name="BDJSEPT14" localSheetId="10">#REF!</definedName>
    <definedName name="BDJSEPT14">#REF!</definedName>
    <definedName name="Beg_Bal" localSheetId="10">#REF!</definedName>
    <definedName name="Beg_Bal">#REF!</definedName>
    <definedName name="BKL" localSheetId="10">#REF!</definedName>
    <definedName name="BKL">#REF!</definedName>
    <definedName name="BLPH1" localSheetId="10" hidden="1">#REF!</definedName>
    <definedName name="BLPH1" hidden="1">#REF!</definedName>
    <definedName name="BLPH2" localSheetId="10" hidden="1">#REF!</definedName>
    <definedName name="BLPH2" hidden="1">#REF!</definedName>
    <definedName name="BLPH3" localSheetId="10" hidden="1">#REF!</definedName>
    <definedName name="BLPH3" hidden="1">#REF!</definedName>
    <definedName name="BLPH4" localSheetId="10" hidden="1">#REF!</definedName>
    <definedName name="BLPH4" hidden="1">#REF!</definedName>
    <definedName name="BLPH6" localSheetId="10" hidden="1">#REF!</definedName>
    <definedName name="BLPH6" hidden="1">#REF!</definedName>
    <definedName name="BLPH7" localSheetId="10" hidden="1">#REF!</definedName>
    <definedName name="BLPH7" hidden="1">#REF!</definedName>
    <definedName name="cambio" localSheetId="10">#REF!</definedName>
    <definedName name="cambio">#REF!</definedName>
    <definedName name="cambio_6" localSheetId="10">#REF!</definedName>
    <definedName name="cambio_6">#REF!</definedName>
    <definedName name="CAMBIO_DI_PIANO" localSheetId="10">#REF!</definedName>
    <definedName name="CAMBIO_DI_PIANO">#REF!</definedName>
    <definedName name="CAMBIO_DI_PIANO_6" localSheetId="10">#REF!</definedName>
    <definedName name="CAMBIO_DI_PIANO_6">#REF!</definedName>
    <definedName name="cambiost" localSheetId="10">#REF!</definedName>
    <definedName name="cambiost">#REF!</definedName>
    <definedName name="cambiost_2" localSheetId="10">#REF!</definedName>
    <definedName name="cambiost_2">#REF!</definedName>
    <definedName name="canestr" localSheetId="6">#REF!:#REF!</definedName>
    <definedName name="canestr" localSheetId="10">#REF!:#REF!</definedName>
    <definedName name="canestr" localSheetId="0">#REF!:#REF!</definedName>
    <definedName name="canestr" localSheetId="1">#REF!:#REF!</definedName>
    <definedName name="canestr" localSheetId="2">#REF!:#REF!</definedName>
    <definedName name="canestr">#REF!:#REF!</definedName>
    <definedName name="Case_" localSheetId="6">#REF!</definedName>
    <definedName name="Case_" localSheetId="10">#REF!</definedName>
    <definedName name="Case_" localSheetId="0">#REF!</definedName>
    <definedName name="Case_" localSheetId="1">#REF!</definedName>
    <definedName name="Case_" localSheetId="2">#REF!</definedName>
    <definedName name="Case_">#REF!</definedName>
    <definedName name="ccp" localSheetId="6">#REF!</definedName>
    <definedName name="ccp" localSheetId="10">#REF!</definedName>
    <definedName name="ccp" localSheetId="0">#REF!</definedName>
    <definedName name="ccp" localSheetId="1">#REF!</definedName>
    <definedName name="ccp" localSheetId="2">#REF!</definedName>
    <definedName name="ccp">#REF!</definedName>
    <definedName name="ce" localSheetId="6">#REF!</definedName>
    <definedName name="ce" localSheetId="10">#REF!</definedName>
    <definedName name="ce" localSheetId="0">#REF!</definedName>
    <definedName name="ce" localSheetId="1">#REF!</definedName>
    <definedName name="ce" localSheetId="2">#REF!</definedName>
    <definedName name="ce">#REF!</definedName>
    <definedName name="CE_SINT2" localSheetId="10">#REF!</definedName>
    <definedName name="CE_SINT2">#REF!</definedName>
    <definedName name="CHECK" localSheetId="6">#REF!:#REF!</definedName>
    <definedName name="CHECK" localSheetId="10">#REF!:#REF!</definedName>
    <definedName name="CHECK" localSheetId="0">#REF!:#REF!</definedName>
    <definedName name="CHECK" localSheetId="1">#REF!:#REF!</definedName>
    <definedName name="CHECK" localSheetId="2">#REF!:#REF!</definedName>
    <definedName name="CHECK">#REF!:#REF!</definedName>
    <definedName name="CIQWBGuid" hidden="1">"7c5c7847-0822-4ea7-99eb-2e6a67fea6aa"</definedName>
    <definedName name="COLL" localSheetId="6">#REF!</definedName>
    <definedName name="COLL" localSheetId="10">#REF!</definedName>
    <definedName name="COLL" localSheetId="0">#REF!</definedName>
    <definedName name="COLL" localSheetId="1">#REF!</definedName>
    <definedName name="COLL" localSheetId="2">#REF!</definedName>
    <definedName name="COLL">#REF!</definedName>
    <definedName name="CommessePreviousMonth" localSheetId="6">#REF!</definedName>
    <definedName name="CommessePreviousMonth" localSheetId="10">#REF!</definedName>
    <definedName name="CommessePreviousMonth" localSheetId="0">#REF!</definedName>
    <definedName name="CommessePreviousMonth" localSheetId="1">#REF!</definedName>
    <definedName name="CommessePreviousMonth" localSheetId="2">#REF!</definedName>
    <definedName name="CommessePreviousMonth">#REF!</definedName>
    <definedName name="Comps" localSheetId="6">#REF!</definedName>
    <definedName name="Comps" localSheetId="10">#REF!</definedName>
    <definedName name="Comps" localSheetId="0">#REF!</definedName>
    <definedName name="Comps" localSheetId="1">#REF!</definedName>
    <definedName name="Comps" localSheetId="2">#REF!</definedName>
    <definedName name="Comps">#REF!</definedName>
    <definedName name="CompsYtd" localSheetId="10">#REF!</definedName>
    <definedName name="CompsYtd">#REF!</definedName>
    <definedName name="contagiorni">#N/A</definedName>
    <definedName name="contoeconomico" localSheetId="6">#REF!</definedName>
    <definedName name="contoeconomico" localSheetId="10">#REF!</definedName>
    <definedName name="contoeconomico" localSheetId="0">#REF!</definedName>
    <definedName name="contoeconomico" localSheetId="1">#REF!</definedName>
    <definedName name="contoeconomico" localSheetId="2">#REF!</definedName>
    <definedName name="contoeconomico">#REF!</definedName>
    <definedName name="costi" localSheetId="6">#REF!</definedName>
    <definedName name="costi" localSheetId="10">#REF!</definedName>
    <definedName name="costi" localSheetId="0">#REF!</definedName>
    <definedName name="costi" localSheetId="1">#REF!</definedName>
    <definedName name="costi" localSheetId="2">#REF!</definedName>
    <definedName name="costi">#REF!</definedName>
    <definedName name="cp" localSheetId="6">#REF!</definedName>
    <definedName name="cp" localSheetId="10">#REF!</definedName>
    <definedName name="cp" localSheetId="0">#REF!</definedName>
    <definedName name="cp" localSheetId="1">#REF!</definedName>
    <definedName name="cp" localSheetId="2">#REF!</definedName>
    <definedName name="cp">#REF!</definedName>
    <definedName name="credit" localSheetId="10">#REF!</definedName>
    <definedName name="credit">#REF!</definedName>
    <definedName name="CUIR" localSheetId="10">#REF!</definedName>
    <definedName name="CUIR">#REF!</definedName>
    <definedName name="Cycle_time" localSheetId="10">#REF!</definedName>
    <definedName name="Cycle_time">#REF!</definedName>
    <definedName name="D" localSheetId="10">#REF!</definedName>
    <definedName name="D">#REF!</definedName>
    <definedName name="DAIDIR" localSheetId="10">#REF!</definedName>
    <definedName name="DAIDIR">#REF!</definedName>
    <definedName name="DAIDIR2" localSheetId="10">#REF!</definedName>
    <definedName name="DAIDIR2">#REF!</definedName>
    <definedName name="daily_order" localSheetId="10">#REF!</definedName>
    <definedName name="daily_order">#REF!</definedName>
    <definedName name="Data" localSheetId="10">#REF!</definedName>
    <definedName name="Data">#REF!</definedName>
    <definedName name="days" localSheetId="10">#REF!</definedName>
    <definedName name="days">#REF!</definedName>
    <definedName name="dec00month" localSheetId="10">#REF!</definedName>
    <definedName name="dec00month">#REF!</definedName>
    <definedName name="dec00sixmonth" localSheetId="10">#REF!</definedName>
    <definedName name="dec00sixmonth">#REF!</definedName>
    <definedName name="dec01month" localSheetId="10">#REF!</definedName>
    <definedName name="dec01month">#REF!</definedName>
    <definedName name="decsixmonths" localSheetId="10">#REF!</definedName>
    <definedName name="decsixmonths">#REF!</definedName>
    <definedName name="dedfed" localSheetId="6" hidden="1">{#N/A,#N/A,FALSE,"IncPr";#N/A,#N/A,FALSE,"InCoE"}</definedName>
    <definedName name="dedfed" localSheetId="10" hidden="1">{#N/A,#N/A,FALSE,"IncPr";#N/A,#N/A,FALSE,"InCoE"}</definedName>
    <definedName name="dedfed" localSheetId="0" hidden="1">{#N/A,#N/A,FALSE,"IncPr";#N/A,#N/A,FALSE,"InCoE"}</definedName>
    <definedName name="dedfed" localSheetId="1" hidden="1">{#N/A,#N/A,FALSE,"IncPr";#N/A,#N/A,FALSE,"InCoE"}</definedName>
    <definedName name="dedfed" localSheetId="2" hidden="1">{#N/A,#N/A,FALSE,"IncPr";#N/A,#N/A,FALSE,"InCoE"}</definedName>
    <definedName name="dedfed" hidden="1">{#N/A,#N/A,FALSE,"IncPr";#N/A,#N/A,FALSE,"InCoE"}</definedName>
    <definedName name="Denom" localSheetId="6">#REF!</definedName>
    <definedName name="Denom" localSheetId="10">#REF!</definedName>
    <definedName name="Denom" localSheetId="0">#REF!</definedName>
    <definedName name="Denom" localSheetId="1">#REF!</definedName>
    <definedName name="Denom" localSheetId="2">#REF!</definedName>
    <definedName name="Denom">#REF!</definedName>
    <definedName name="dfdfd" localSheetId="6" hidden="1">{#N/A,#N/A,FALSE,"FRR";#N/A,#N/A,FALSE,"ERR"}</definedName>
    <definedName name="dfdfd" localSheetId="10" hidden="1">{#N/A,#N/A,FALSE,"FRR";#N/A,#N/A,FALSE,"ERR"}</definedName>
    <definedName name="dfdfd" localSheetId="0" hidden="1">{#N/A,#N/A,FALSE,"FRR";#N/A,#N/A,FALSE,"ERR"}</definedName>
    <definedName name="dfdfd" localSheetId="1" hidden="1">{#N/A,#N/A,FALSE,"FRR";#N/A,#N/A,FALSE,"ERR"}</definedName>
    <definedName name="dfdfd" localSheetId="2" hidden="1">{#N/A,#N/A,FALSE,"FRR";#N/A,#N/A,FALSE,"ERR"}</definedName>
    <definedName name="dfdfd" hidden="1">{#N/A,#N/A,FALSE,"FRR";#N/A,#N/A,FALSE,"ERR"}</definedName>
    <definedName name="dfsdsds" localSheetId="6" hidden="1">{#N/A,#N/A,FALSE,"Amortization Table"}</definedName>
    <definedName name="dfsdsds" localSheetId="10" hidden="1">{#N/A,#N/A,FALSE,"Amortization Table"}</definedName>
    <definedName name="dfsdsds" localSheetId="0" hidden="1">{#N/A,#N/A,FALSE,"Amortization Table"}</definedName>
    <definedName name="dfsdsds" localSheetId="1" hidden="1">{#N/A,#N/A,FALSE,"Amortization Table"}</definedName>
    <definedName name="dfsdsds" localSheetId="2" hidden="1">{#N/A,#N/A,FALSE,"Amortization Table"}</definedName>
    <definedName name="dfsdsds" hidden="1">{#N/A,#N/A,FALSE,"Amortization Table"}</definedName>
    <definedName name="DIC_CDG" localSheetId="6">#REF!</definedName>
    <definedName name="DIC_CDG" localSheetId="10">#REF!</definedName>
    <definedName name="DIC_CDG" localSheetId="0">#REF!</definedName>
    <definedName name="DIC_CDG" localSheetId="1">#REF!</definedName>
    <definedName name="DIC_CDG" localSheetId="2">#REF!</definedName>
    <definedName name="DIC_CDG">#REF!</definedName>
    <definedName name="DIC_PAT" localSheetId="6">#REF!</definedName>
    <definedName name="DIC_PAT" localSheetId="10">#REF!</definedName>
    <definedName name="DIC_PAT" localSheetId="0">#REF!</definedName>
    <definedName name="DIC_PAT" localSheetId="1">#REF!</definedName>
    <definedName name="DIC_PAT" localSheetId="2">#REF!</definedName>
    <definedName name="DIC_PAT">#REF!</definedName>
    <definedName name="DICUI" localSheetId="6">#REF!</definedName>
    <definedName name="DICUI" localSheetId="10">#REF!</definedName>
    <definedName name="DICUI" localSheetId="0">#REF!</definedName>
    <definedName name="DICUI" localSheetId="1">#REF!</definedName>
    <definedName name="DICUI" localSheetId="2">#REF!</definedName>
    <definedName name="DICUI">#REF!</definedName>
    <definedName name="DIDI" localSheetId="10">#REF!</definedName>
    <definedName name="DIDI">#REF!</definedName>
    <definedName name="die" localSheetId="10">#REF!</definedName>
    <definedName name="die">#REF!</definedName>
    <definedName name="DIMA" localSheetId="10">#REF!</definedName>
    <definedName name="DIMA">#REF!</definedName>
    <definedName name="dir" localSheetId="10">#REF!</definedName>
    <definedName name="dir">#REF!</definedName>
    <definedName name="dsdsd" localSheetId="6" hidden="1">{#N/A,#N/A,FALSE,"FinPl"}</definedName>
    <definedName name="dsdsd" localSheetId="10" hidden="1">{#N/A,#N/A,FALSE,"FinPl"}</definedName>
    <definedName name="dsdsd" localSheetId="0" hidden="1">{#N/A,#N/A,FALSE,"FinPl"}</definedName>
    <definedName name="dsdsd" localSheetId="1" hidden="1">{#N/A,#N/A,FALSE,"FinPl"}</definedName>
    <definedName name="dsdsd" localSheetId="2" hidden="1">{#N/A,#N/A,FALSE,"FinPl"}</definedName>
    <definedName name="dsdsd" hidden="1">{#N/A,#N/A,FALSE,"FinPl"}</definedName>
    <definedName name="dt" localSheetId="6">#REF!</definedName>
    <definedName name="dt" localSheetId="10">#REF!</definedName>
    <definedName name="dt" localSheetId="0">#REF!</definedName>
    <definedName name="dt" localSheetId="1">#REF!</definedName>
    <definedName name="dt" localSheetId="2">#REF!</definedName>
    <definedName name="dt">#REF!</definedName>
    <definedName name="DTL" localSheetId="6">#REF!</definedName>
    <definedName name="DTL" localSheetId="10">#REF!</definedName>
    <definedName name="DTL" localSheetId="0">#REF!</definedName>
    <definedName name="DTL" localSheetId="1">#REF!</definedName>
    <definedName name="DTL" localSheetId="2">#REF!</definedName>
    <definedName name="DTL">#REF!</definedName>
    <definedName name="duedieci" localSheetId="6">#REF!</definedName>
    <definedName name="duedieci" localSheetId="10">#REF!</definedName>
    <definedName name="duedieci" localSheetId="0">#REF!</definedName>
    <definedName name="duedieci" localSheetId="1">#REF!</definedName>
    <definedName name="duedieci" localSheetId="2">#REF!</definedName>
    <definedName name="duedieci">#REF!</definedName>
    <definedName name="duenove" localSheetId="10">#REF!</definedName>
    <definedName name="duenove">#REF!</definedName>
    <definedName name="dueotto" localSheetId="10">#REF!</definedName>
    <definedName name="dueotto">#REF!</definedName>
    <definedName name="dueundici" localSheetId="10">#REF!</definedName>
    <definedName name="dueundici">#REF!</definedName>
    <definedName name="early" localSheetId="10">#REF!</definedName>
    <definedName name="early">#REF!</definedName>
    <definedName name="ECOSINT" localSheetId="10">#REF!</definedName>
    <definedName name="ECOSINT">#REF!</definedName>
    <definedName name="ECSINTEURO" localSheetId="10">#REF!</definedName>
    <definedName name="ECSINTEURO">#REF!</definedName>
    <definedName name="ee" localSheetId="10">#REF!</definedName>
    <definedName name="ee">#REF!</definedName>
    <definedName name="efdf" localSheetId="6" hidden="1">{#N/A,#N/A,FALSE,"Forex"}</definedName>
    <definedName name="efdf" localSheetId="10" hidden="1">{#N/A,#N/A,FALSE,"Forex"}</definedName>
    <definedName name="efdf" localSheetId="0" hidden="1">{#N/A,#N/A,FALSE,"Forex"}</definedName>
    <definedName name="efdf" localSheetId="1" hidden="1">{#N/A,#N/A,FALSE,"Forex"}</definedName>
    <definedName name="efdf" localSheetId="2" hidden="1">{#N/A,#N/A,FALSE,"Forex"}</definedName>
    <definedName name="efdf" hidden="1">{#N/A,#N/A,FALSE,"Forex"}</definedName>
    <definedName name="End_Bal" localSheetId="6">#REF!</definedName>
    <definedName name="End_Bal" localSheetId="10">#REF!</definedName>
    <definedName name="End_Bal" localSheetId="0">#REF!</definedName>
    <definedName name="End_Bal" localSheetId="1">#REF!</definedName>
    <definedName name="End_Bal" localSheetId="2">#REF!</definedName>
    <definedName name="End_Bal">#REF!</definedName>
    <definedName name="erere" localSheetId="6" hidden="1">{#N/A,#N/A,FALSE,"Ratio"}</definedName>
    <definedName name="erere" localSheetId="10" hidden="1">{#N/A,#N/A,FALSE,"Ratio"}</definedName>
    <definedName name="erere" localSheetId="0" hidden="1">{#N/A,#N/A,FALSE,"Ratio"}</definedName>
    <definedName name="erere" localSheetId="1" hidden="1">{#N/A,#N/A,FALSE,"Ratio"}</definedName>
    <definedName name="erere" localSheetId="2" hidden="1">{#N/A,#N/A,FALSE,"Ratio"}</definedName>
    <definedName name="erere" hidden="1">{#N/A,#N/A,FALSE,"Ratio"}</definedName>
    <definedName name="Excel_BuiltIn__FilterDatabase_4" localSheetId="6">#REF!</definedName>
    <definedName name="Excel_BuiltIn__FilterDatabase_4" localSheetId="10">#REF!</definedName>
    <definedName name="Excel_BuiltIn__FilterDatabase_4" localSheetId="0">#REF!</definedName>
    <definedName name="Excel_BuiltIn__FilterDatabase_4" localSheetId="1">#REF!</definedName>
    <definedName name="Excel_BuiltIn__FilterDatabase_4" localSheetId="2">#REF!</definedName>
    <definedName name="Excel_BuiltIn__FilterDatabase_4">#REF!</definedName>
    <definedName name="Excel_BuiltIn__FilterDatabase_8" localSheetId="6">#REF!</definedName>
    <definedName name="Excel_BuiltIn__FilterDatabase_8" localSheetId="10">#REF!</definedName>
    <definedName name="Excel_BuiltIn__FilterDatabase_8" localSheetId="0">#REF!</definedName>
    <definedName name="Excel_BuiltIn__FilterDatabase_8" localSheetId="1">#REF!</definedName>
    <definedName name="Excel_BuiltIn__FilterDatabase_8" localSheetId="2">#REF!</definedName>
    <definedName name="Excel_BuiltIn__FilterDatabase_8">#REF!</definedName>
    <definedName name="exrate" localSheetId="6">#REF!</definedName>
    <definedName name="exrate" localSheetId="10">#REF!</definedName>
    <definedName name="exrate" localSheetId="0">#REF!</definedName>
    <definedName name="exrate" localSheetId="1">#REF!</definedName>
    <definedName name="exrate" localSheetId="2">#REF!</definedName>
    <definedName name="exrate">#REF!</definedName>
    <definedName name="Extra_Pay" localSheetId="10">#REF!</definedName>
    <definedName name="Extra_Pay">#REF!</definedName>
    <definedName name="f" localSheetId="10">#REF!</definedName>
    <definedName name="f">#REF!</definedName>
    <definedName name="FBMDFO" localSheetId="10">#REF!</definedName>
    <definedName name="FBMDFO">#REF!</definedName>
    <definedName name="fdfd" localSheetId="6" hidden="1">{#N/A,#N/A,FALSE,"DeprTabl Rom"}</definedName>
    <definedName name="fdfd" localSheetId="10" hidden="1">{#N/A,#N/A,FALSE,"DeprTabl Rom"}</definedName>
    <definedName name="fdfd" localSheetId="0" hidden="1">{#N/A,#N/A,FALSE,"DeprTabl Rom"}</definedName>
    <definedName name="fdfd" localSheetId="1" hidden="1">{#N/A,#N/A,FALSE,"DeprTabl Rom"}</definedName>
    <definedName name="fdfd" localSheetId="2" hidden="1">{#N/A,#N/A,FALSE,"DeprTabl Rom"}</definedName>
    <definedName name="fdfd" hidden="1">{#N/A,#N/A,FALSE,"DeprTabl Rom"}</definedName>
    <definedName name="fdfdf" localSheetId="6" hidden="1">{#N/A,#N/A,FALSE,"P&amp;L";#N/A,#N/A,FALSE,"BS";#N/A,#N/A,FALSE,"CF"}</definedName>
    <definedName name="fdfdf" localSheetId="10" hidden="1">{#N/A,#N/A,FALSE,"P&amp;L";#N/A,#N/A,FALSE,"BS";#N/A,#N/A,FALSE,"CF"}</definedName>
    <definedName name="fdfdf" localSheetId="0" hidden="1">{#N/A,#N/A,FALSE,"P&amp;L";#N/A,#N/A,FALSE,"BS";#N/A,#N/A,FALSE,"CF"}</definedName>
    <definedName name="fdfdf" localSheetId="1" hidden="1">{#N/A,#N/A,FALSE,"P&amp;L";#N/A,#N/A,FALSE,"BS";#N/A,#N/A,FALSE,"CF"}</definedName>
    <definedName name="fdfdf" localSheetId="2" hidden="1">{#N/A,#N/A,FALSE,"P&amp;L";#N/A,#N/A,FALSE,"BS";#N/A,#N/A,FALSE,"CF"}</definedName>
    <definedName name="fdfdf" hidden="1">{#N/A,#N/A,FALSE,"P&amp;L";#N/A,#N/A,FALSE,"BS";#N/A,#N/A,FALSE,"CF"}</definedName>
    <definedName name="feb_17" localSheetId="6">#REF!</definedName>
    <definedName name="feb_17" localSheetId="10">#REF!</definedName>
    <definedName name="feb_17" localSheetId="0">#REF!</definedName>
    <definedName name="feb_17" localSheetId="1">#REF!</definedName>
    <definedName name="feb_17" localSheetId="2">#REF!</definedName>
    <definedName name="feb_17">#REF!</definedName>
    <definedName name="feb_18" localSheetId="6">#REF!</definedName>
    <definedName name="feb_18" localSheetId="10">#REF!</definedName>
    <definedName name="feb_18" localSheetId="0">#REF!</definedName>
    <definedName name="feb_18" localSheetId="1">#REF!</definedName>
    <definedName name="feb_18" localSheetId="2">#REF!</definedName>
    <definedName name="feb_18">#REF!</definedName>
    <definedName name="feb_bdg" localSheetId="6">#REF!</definedName>
    <definedName name="feb_bdg" localSheetId="10">#REF!</definedName>
    <definedName name="feb_bdg" localSheetId="0">#REF!</definedName>
    <definedName name="feb_bdg" localSheetId="1">#REF!</definedName>
    <definedName name="feb_bdg" localSheetId="2">#REF!</definedName>
    <definedName name="feb_bdg">#REF!</definedName>
    <definedName name="FLUSSI_FINANZIARI" localSheetId="10">#REF!</definedName>
    <definedName name="FLUSSI_FINANZIARI">#REF!</definedName>
    <definedName name="Fondi_ammortamento" localSheetId="6">#REF!:#REF!</definedName>
    <definedName name="Fondi_ammortamento" localSheetId="10">#REF!:#REF!</definedName>
    <definedName name="Fondi_ammortamento" localSheetId="0">#REF!:#REF!</definedName>
    <definedName name="Fondi_ammortamento" localSheetId="1">#REF!:#REF!</definedName>
    <definedName name="Fondi_ammortamento" localSheetId="2">#REF!:#REF!</definedName>
    <definedName name="Fondi_ammortamento">#REF!:#REF!</definedName>
    <definedName name="FONDO" localSheetId="6">#REF!</definedName>
    <definedName name="FONDO" localSheetId="10">#REF!</definedName>
    <definedName name="FONDO" localSheetId="0">#REF!</definedName>
    <definedName name="FONDO" localSheetId="1">#REF!</definedName>
    <definedName name="FONDO" localSheetId="2">#REF!</definedName>
    <definedName name="FONDO">#REF!</definedName>
    <definedName name="FR15jan" localSheetId="6">#REF!</definedName>
    <definedName name="FR15jan" localSheetId="10">#REF!</definedName>
    <definedName name="FR15jan" localSheetId="0">#REF!</definedName>
    <definedName name="FR15jan" localSheetId="1">#REF!</definedName>
    <definedName name="FR15jan" localSheetId="2">#REF!</definedName>
    <definedName name="FR15jan">#REF!</definedName>
    <definedName name="FRA" localSheetId="6">#REF!</definedName>
    <definedName name="FRA" localSheetId="10">#REF!</definedName>
    <definedName name="FRA" localSheetId="0">#REF!</definedName>
    <definedName name="FRA" localSheetId="1">#REF!</definedName>
    <definedName name="FRA" localSheetId="2">#REF!</definedName>
    <definedName name="FRA">#REF!</definedName>
    <definedName name="FRAJAN" localSheetId="10">#REF!</definedName>
    <definedName name="FRAJAN">#REF!</definedName>
    <definedName name="FRAPR215" localSheetId="10">#REF!</definedName>
    <definedName name="FRAPR215">#REF!</definedName>
    <definedName name="FRApril15" localSheetId="10">#REF!</definedName>
    <definedName name="FRApril15">#REF!</definedName>
    <definedName name="FRAUG14" localSheetId="10">#REF!</definedName>
    <definedName name="FRAUG14">#REF!</definedName>
    <definedName name="FRAUG15" localSheetId="10">#REF!</definedName>
    <definedName name="FRAUG15">#REF!</definedName>
    <definedName name="FRDEC" localSheetId="10">#REF!</definedName>
    <definedName name="FRDEC">#REF!</definedName>
    <definedName name="FRDEC15" localSheetId="10">#REF!</definedName>
    <definedName name="FRDEC15">#REF!</definedName>
    <definedName name="FRFEB" localSheetId="10">#REF!</definedName>
    <definedName name="FRFEB">#REF!</definedName>
    <definedName name="frfeb16" localSheetId="10">#REF!</definedName>
    <definedName name="frfeb16">#REF!</definedName>
    <definedName name="FRJAN15" localSheetId="10">#REF!</definedName>
    <definedName name="FRJAN15">#REF!</definedName>
    <definedName name="FRjan16" localSheetId="10">#REF!</definedName>
    <definedName name="FRjan16">#REF!</definedName>
    <definedName name="FRJuly15" localSheetId="10">#REF!</definedName>
    <definedName name="FRJuly15">#REF!</definedName>
    <definedName name="FRJUNE" localSheetId="10">#REF!</definedName>
    <definedName name="FRJUNE">#REF!</definedName>
    <definedName name="FRJUNE15" localSheetId="10">#REF!</definedName>
    <definedName name="FRJUNE15">#REF!</definedName>
    <definedName name="FRMAR" localSheetId="10">#REF!</definedName>
    <definedName name="FRMAR">#REF!</definedName>
    <definedName name="FRMAR15" localSheetId="10">#REF!</definedName>
    <definedName name="FRMAR15">#REF!</definedName>
    <definedName name="FRmay15" localSheetId="10">#REF!</definedName>
    <definedName name="FRmay15">#REF!</definedName>
    <definedName name="FRNOV14" localSheetId="10">#REF!</definedName>
    <definedName name="FRNOV14">#REF!</definedName>
    <definedName name="FRNOV15" localSheetId="10">#REF!</definedName>
    <definedName name="FRNOV15">#REF!</definedName>
    <definedName name="froct14" localSheetId="10">#REF!</definedName>
    <definedName name="froct14">#REF!</definedName>
    <definedName name="FRoct15" localSheetId="10">#REF!</definedName>
    <definedName name="FRoct15">#REF!</definedName>
    <definedName name="FRsept14" localSheetId="10">#REF!</definedName>
    <definedName name="FRsept14">#REF!</definedName>
    <definedName name="FRSEPT15" localSheetId="10">#REF!</definedName>
    <definedName name="FRSEPT15">#REF!</definedName>
    <definedName name="Full_Print" localSheetId="10">#REF!</definedName>
    <definedName name="Full_Print">#REF!</definedName>
    <definedName name="FX" localSheetId="10">#REF!</definedName>
    <definedName name="FX">#REF!</definedName>
    <definedName name="FX_O" localSheetId="10">#REF!</definedName>
    <definedName name="FX_O">#REF!</definedName>
    <definedName name="FXUS" localSheetId="10">#REF!</definedName>
    <definedName name="FXUS">#REF!</definedName>
    <definedName name="G" localSheetId="10">#REF!</definedName>
    <definedName name="G">#REF!</definedName>
    <definedName name="GBIL" localSheetId="10">#REF!</definedName>
    <definedName name="GBIL">#REF!</definedName>
    <definedName name="GBILNOV" localSheetId="10">#REF!</definedName>
    <definedName name="GBILNOV">#REF!</definedName>
    <definedName name="gbp" localSheetId="10">#REF!</definedName>
    <definedName name="gbp">#REF!</definedName>
    <definedName name="GGG" localSheetId="10">#REF!</definedName>
    <definedName name="GGG">#REF!</definedName>
    <definedName name="grade" localSheetId="10">#REF!</definedName>
    <definedName name="grade">#REF!</definedName>
    <definedName name="Header" localSheetId="10">#REF!</definedName>
    <definedName name="Header">#REF!</definedName>
    <definedName name="Header_Row" localSheetId="10">ROW(#REF!)</definedName>
    <definedName name="Header_Row">ROW(#REF!)</definedName>
    <definedName name="hiyw" localSheetId="10">#REF!</definedName>
    <definedName name="hiyw">#REF!</definedName>
    <definedName name="image" localSheetId="10">#REF!</definedName>
    <definedName name="image">#REF!</definedName>
    <definedName name="Immobilizzazioni" localSheetId="6">#REF!:#REF!</definedName>
    <definedName name="Immobilizzazioni" localSheetId="10">#REF!:#REF!</definedName>
    <definedName name="Immobilizzazioni" localSheetId="0">#REF!:#REF!</definedName>
    <definedName name="Immobilizzazioni" localSheetId="1">#REF!:#REF!</definedName>
    <definedName name="Immobilizzazioni" localSheetId="2">#REF!:#REF!</definedName>
    <definedName name="Immobilizzazioni">#REF!:#REF!</definedName>
    <definedName name="incassi" localSheetId="6">#REF!</definedName>
    <definedName name="incassi" localSheetId="10">#REF!</definedName>
    <definedName name="incassi" localSheetId="0">#REF!</definedName>
    <definedName name="incassi" localSheetId="1">#REF!</definedName>
    <definedName name="incassi" localSheetId="2">#REF!</definedName>
    <definedName name="incassi">#REF!</definedName>
    <definedName name="Int" localSheetId="6">#REF!</definedName>
    <definedName name="Int" localSheetId="10">#REF!</definedName>
    <definedName name="Int" localSheetId="0">#REF!</definedName>
    <definedName name="Int" localSheetId="1">#REF!</definedName>
    <definedName name="Int" localSheetId="2">#REF!</definedName>
    <definedName name="Int">#REF!</definedName>
    <definedName name="Interest_Rate" localSheetId="6">#REF!</definedName>
    <definedName name="Interest_Rate" localSheetId="10">#REF!</definedName>
    <definedName name="Interest_Rate" localSheetId="0">#REF!</definedName>
    <definedName name="Interest_Rate" localSheetId="1">#REF!</definedName>
    <definedName name="Interest_Rate" localSheetId="2">#REF!</definedName>
    <definedName name="Interest_Rate">#REF!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FEATURE" hidden="1">"c2197"</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PREMIUM" hidden="1">"c2195"</definedName>
    <definedName name="IQ_CONV_PRICE" hidden="1">"c2193"</definedName>
    <definedName name="IQ_CONV_RATE"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41526.0742361111</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39153.7791319444</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xRange0" localSheetId="6">#REF!</definedName>
    <definedName name="ixRange0" localSheetId="10">#REF!</definedName>
    <definedName name="ixRange0" localSheetId="0">#REF!</definedName>
    <definedName name="ixRange0" localSheetId="1">#REF!</definedName>
    <definedName name="ixRange0" localSheetId="2">#REF!</definedName>
    <definedName name="ixRange0">#REF!</definedName>
    <definedName name="ixRange1" localSheetId="6">#REF!</definedName>
    <definedName name="ixRange1" localSheetId="10">#REF!</definedName>
    <definedName name="ixRange1" localSheetId="0">#REF!</definedName>
    <definedName name="ixRange1" localSheetId="1">#REF!</definedName>
    <definedName name="ixRange1" localSheetId="2">#REF!</definedName>
    <definedName name="ixRange1">#REF!</definedName>
    <definedName name="ixRange10" localSheetId="6">#REF!</definedName>
    <definedName name="ixRange10" localSheetId="10">#REF!</definedName>
    <definedName name="ixRange10" localSheetId="0">#REF!</definedName>
    <definedName name="ixRange10" localSheetId="1">#REF!</definedName>
    <definedName name="ixRange10" localSheetId="2">#REF!</definedName>
    <definedName name="ixRange10">#REF!</definedName>
    <definedName name="ixRange100" localSheetId="10">#REF!</definedName>
    <definedName name="ixRange100">#REF!</definedName>
    <definedName name="ixRange101" localSheetId="10">#REF!</definedName>
    <definedName name="ixRange101">#REF!</definedName>
    <definedName name="ixRange102" localSheetId="10">#REF!</definedName>
    <definedName name="ixRange102">#REF!</definedName>
    <definedName name="ixRange103" localSheetId="10">#REF!</definedName>
    <definedName name="ixRange103">#REF!</definedName>
    <definedName name="ixRange104" localSheetId="10">#REF!</definedName>
    <definedName name="ixRange104">#REF!</definedName>
    <definedName name="ixRange105" localSheetId="10">#REF!</definedName>
    <definedName name="ixRange105">#REF!</definedName>
    <definedName name="ixRange106" localSheetId="10">#REF!</definedName>
    <definedName name="ixRange106">#REF!</definedName>
    <definedName name="ixRange107" localSheetId="10">#REF!</definedName>
    <definedName name="ixRange107">#REF!</definedName>
    <definedName name="ixRange108" localSheetId="10">#REF!</definedName>
    <definedName name="ixRange108">#REF!</definedName>
    <definedName name="ixRange109" localSheetId="10">#REF!</definedName>
    <definedName name="ixRange109">#REF!</definedName>
    <definedName name="ixRange11" localSheetId="10">#REF!</definedName>
    <definedName name="ixRange11">#REF!</definedName>
    <definedName name="ixRange110" localSheetId="10">#REF!</definedName>
    <definedName name="ixRange110">#REF!</definedName>
    <definedName name="ixRange111" localSheetId="10">#REF!</definedName>
    <definedName name="ixRange111">#REF!</definedName>
    <definedName name="ixRange112" localSheetId="10">#REF!</definedName>
    <definedName name="ixRange112">#REF!</definedName>
    <definedName name="ixRange113" localSheetId="10">#REF!</definedName>
    <definedName name="ixRange113">#REF!</definedName>
    <definedName name="ixRange114" localSheetId="10">#REF!</definedName>
    <definedName name="ixRange114">#REF!</definedName>
    <definedName name="ixRange115" localSheetId="10">#REF!</definedName>
    <definedName name="ixRange115">#REF!</definedName>
    <definedName name="ixRange116" localSheetId="10">#REF!</definedName>
    <definedName name="ixRange116">#REF!</definedName>
    <definedName name="ixRange117" localSheetId="10">#REF!</definedName>
    <definedName name="ixRange117">#REF!</definedName>
    <definedName name="ixRange118" localSheetId="10">#REF!</definedName>
    <definedName name="ixRange118">#REF!</definedName>
    <definedName name="ixRange119" localSheetId="10">#REF!</definedName>
    <definedName name="ixRange119">#REF!</definedName>
    <definedName name="ixRange12" localSheetId="10">#REF!</definedName>
    <definedName name="ixRange12">#REF!</definedName>
    <definedName name="ixRange120" localSheetId="10">#REF!</definedName>
    <definedName name="ixRange120">#REF!</definedName>
    <definedName name="ixRange121" localSheetId="10">#REF!</definedName>
    <definedName name="ixRange121">#REF!</definedName>
    <definedName name="ixRange122" localSheetId="10">#REF!</definedName>
    <definedName name="ixRange122">#REF!</definedName>
    <definedName name="ixRange123" localSheetId="10">#REF!</definedName>
    <definedName name="ixRange123">#REF!</definedName>
    <definedName name="ixRange124" localSheetId="10">#REF!</definedName>
    <definedName name="ixRange124">#REF!</definedName>
    <definedName name="ixRange125" localSheetId="10">#REF!</definedName>
    <definedName name="ixRange125">#REF!</definedName>
    <definedName name="ixRange126" localSheetId="10">#REF!</definedName>
    <definedName name="ixRange126">#REF!</definedName>
    <definedName name="ixRange127" localSheetId="10">#REF!</definedName>
    <definedName name="ixRange127">#REF!</definedName>
    <definedName name="ixRange128" localSheetId="10">#REF!</definedName>
    <definedName name="ixRange128">#REF!</definedName>
    <definedName name="ixRange129" localSheetId="10">#REF!</definedName>
    <definedName name="ixRange129">#REF!</definedName>
    <definedName name="ixRange13" localSheetId="10">#REF!</definedName>
    <definedName name="ixRange13">#REF!</definedName>
    <definedName name="ixRange130" localSheetId="10">#REF!</definedName>
    <definedName name="ixRange130">#REF!</definedName>
    <definedName name="ixRange131" localSheetId="10">#REF!</definedName>
    <definedName name="ixRange131">#REF!</definedName>
    <definedName name="ixRange132" localSheetId="10">#REF!</definedName>
    <definedName name="ixRange132">#REF!</definedName>
    <definedName name="ixRange133" localSheetId="10">#REF!</definedName>
    <definedName name="ixRange133">#REF!</definedName>
    <definedName name="ixRange134" localSheetId="10">#REF!</definedName>
    <definedName name="ixRange134">#REF!</definedName>
    <definedName name="ixRange135" localSheetId="10">#REF!</definedName>
    <definedName name="ixRange135">#REF!</definedName>
    <definedName name="ixRange136" localSheetId="10">#REF!</definedName>
    <definedName name="ixRange136">#REF!</definedName>
    <definedName name="ixRange137" localSheetId="10">#REF!</definedName>
    <definedName name="ixRange137">#REF!</definedName>
    <definedName name="ixRange138" localSheetId="10">#REF!</definedName>
    <definedName name="ixRange138">#REF!</definedName>
    <definedName name="ixRange139" localSheetId="10">#REF!</definedName>
    <definedName name="ixRange139">#REF!</definedName>
    <definedName name="ixRange14" localSheetId="10">#REF!</definedName>
    <definedName name="ixRange14">#REF!</definedName>
    <definedName name="ixRange141" localSheetId="10">#REF!</definedName>
    <definedName name="ixRange141">#REF!</definedName>
    <definedName name="ixRange142" localSheetId="10">#REF!</definedName>
    <definedName name="ixRange142">#REF!</definedName>
    <definedName name="ixRange143" localSheetId="10">#REF!</definedName>
    <definedName name="ixRange143">#REF!</definedName>
    <definedName name="ixRange144" localSheetId="10">#REF!</definedName>
    <definedName name="ixRange144">#REF!</definedName>
    <definedName name="ixRange145" localSheetId="10">#REF!</definedName>
    <definedName name="ixRange145">#REF!</definedName>
    <definedName name="ixRange146" localSheetId="10">#REF!</definedName>
    <definedName name="ixRange146">#REF!</definedName>
    <definedName name="ixRange147" localSheetId="10">#REF!</definedName>
    <definedName name="ixRange147">#REF!</definedName>
    <definedName name="ixRange148" localSheetId="10">#REF!</definedName>
    <definedName name="ixRange148">#REF!</definedName>
    <definedName name="ixRange149" localSheetId="10">#REF!</definedName>
    <definedName name="ixRange149">#REF!</definedName>
    <definedName name="ixRange15" localSheetId="10">#REF!</definedName>
    <definedName name="ixRange15">#REF!</definedName>
    <definedName name="ixRange150" localSheetId="10">#REF!</definedName>
    <definedName name="ixRange150">#REF!</definedName>
    <definedName name="ixRange151" localSheetId="10">#REF!</definedName>
    <definedName name="ixRange151">#REF!</definedName>
    <definedName name="ixRange152" localSheetId="10">#REF!</definedName>
    <definedName name="ixRange152">#REF!</definedName>
    <definedName name="ixRange153" localSheetId="10">#REF!</definedName>
    <definedName name="ixRange153">#REF!</definedName>
    <definedName name="ixRange154" localSheetId="10">#REF!</definedName>
    <definedName name="ixRange154">#REF!</definedName>
    <definedName name="ixRange155" localSheetId="10">#REF!</definedName>
    <definedName name="ixRange155">#REF!</definedName>
    <definedName name="ixRange156" localSheetId="10">#REF!</definedName>
    <definedName name="ixRange156">#REF!</definedName>
    <definedName name="ixRange157" localSheetId="10">#REF!</definedName>
    <definedName name="ixRange157">#REF!</definedName>
    <definedName name="ixRange158" localSheetId="10">#REF!</definedName>
    <definedName name="ixRange158">#REF!</definedName>
    <definedName name="ixRange159" localSheetId="10">#REF!</definedName>
    <definedName name="ixRange159">#REF!</definedName>
    <definedName name="ixRange16" localSheetId="10">#REF!</definedName>
    <definedName name="ixRange16">#REF!</definedName>
    <definedName name="ixRange160" localSheetId="10">#REF!</definedName>
    <definedName name="ixRange160">#REF!</definedName>
    <definedName name="ixRange161" localSheetId="10">#REF!</definedName>
    <definedName name="ixRange161">#REF!</definedName>
    <definedName name="ixRange162" localSheetId="10">#REF!</definedName>
    <definedName name="ixRange162">#REF!</definedName>
    <definedName name="ixRange163" localSheetId="10">#REF!</definedName>
    <definedName name="ixRange163">#REF!</definedName>
    <definedName name="ixRange164" localSheetId="10">#REF!</definedName>
    <definedName name="ixRange164">#REF!</definedName>
    <definedName name="ixRange165" localSheetId="10">#REF!</definedName>
    <definedName name="ixRange165">#REF!</definedName>
    <definedName name="ixRange166" localSheetId="10">#REF!</definedName>
    <definedName name="ixRange166">#REF!</definedName>
    <definedName name="ixRange167" localSheetId="10">#REF!</definedName>
    <definedName name="ixRange167">#REF!</definedName>
    <definedName name="ixRange168" localSheetId="10">#REF!</definedName>
    <definedName name="ixRange168">#REF!</definedName>
    <definedName name="ixRange169" localSheetId="10">#REF!</definedName>
    <definedName name="ixRange169">#REF!</definedName>
    <definedName name="ixRange17" localSheetId="10">#REF!</definedName>
    <definedName name="ixRange17">#REF!</definedName>
    <definedName name="ixRange170" localSheetId="10">#REF!</definedName>
    <definedName name="ixRange170">#REF!</definedName>
    <definedName name="ixRange171" localSheetId="10">#REF!</definedName>
    <definedName name="ixRange171">#REF!</definedName>
    <definedName name="ixRange172" localSheetId="10">#REF!</definedName>
    <definedName name="ixRange172">#REF!</definedName>
    <definedName name="ixRange173" localSheetId="10">#REF!</definedName>
    <definedName name="ixRange173">#REF!</definedName>
    <definedName name="ixRange174" localSheetId="10">#REF!</definedName>
    <definedName name="ixRange174">#REF!</definedName>
    <definedName name="ixRange175" localSheetId="10">#REF!</definedName>
    <definedName name="ixRange175">#REF!</definedName>
    <definedName name="ixRange176" localSheetId="10">#REF!</definedName>
    <definedName name="ixRange176">#REF!</definedName>
    <definedName name="ixRange177" localSheetId="10">#REF!</definedName>
    <definedName name="ixRange177">#REF!</definedName>
    <definedName name="ixRange178" localSheetId="10">#REF!</definedName>
    <definedName name="ixRange178">#REF!</definedName>
    <definedName name="ixRange179" localSheetId="10">#REF!</definedName>
    <definedName name="ixRange179">#REF!</definedName>
    <definedName name="ixRange18" localSheetId="10">#REF!</definedName>
    <definedName name="ixRange18">#REF!</definedName>
    <definedName name="ixRange180" localSheetId="10">#REF!</definedName>
    <definedName name="ixRange180">#REF!</definedName>
    <definedName name="ixRange181" localSheetId="10">#REF!</definedName>
    <definedName name="ixRange181">#REF!</definedName>
    <definedName name="ixRange182" localSheetId="10">#REF!</definedName>
    <definedName name="ixRange182">#REF!</definedName>
    <definedName name="ixRange183" localSheetId="10">#REF!</definedName>
    <definedName name="ixRange183">#REF!</definedName>
    <definedName name="ixRange184" localSheetId="10">#REF!</definedName>
    <definedName name="ixRange184">#REF!</definedName>
    <definedName name="ixRange185" localSheetId="10">#REF!</definedName>
    <definedName name="ixRange185">#REF!</definedName>
    <definedName name="ixRange186" localSheetId="10">#REF!</definedName>
    <definedName name="ixRange186">#REF!</definedName>
    <definedName name="ixRange187" localSheetId="10">#REF!</definedName>
    <definedName name="ixRange187">#REF!</definedName>
    <definedName name="ixRange188" localSheetId="10">#REF!</definedName>
    <definedName name="ixRange188">#REF!</definedName>
    <definedName name="ixRange189" localSheetId="10">#REF!</definedName>
    <definedName name="ixRange189">#REF!</definedName>
    <definedName name="ixRange19" localSheetId="10">#REF!</definedName>
    <definedName name="ixRange19">#REF!</definedName>
    <definedName name="ixRange190" localSheetId="10">#REF!</definedName>
    <definedName name="ixRange190">#REF!</definedName>
    <definedName name="ixRange191" localSheetId="10">#REF!</definedName>
    <definedName name="ixRange191">#REF!</definedName>
    <definedName name="ixRange192" localSheetId="10">#REF!</definedName>
    <definedName name="ixRange192">#REF!</definedName>
    <definedName name="ixRange193" localSheetId="10">#REF!</definedName>
    <definedName name="ixRange193">#REF!</definedName>
    <definedName name="ixRange194" localSheetId="10">#REF!</definedName>
    <definedName name="ixRange194">#REF!</definedName>
    <definedName name="ixRange195" localSheetId="10">#REF!</definedName>
    <definedName name="ixRange195">#REF!</definedName>
    <definedName name="ixRange196" localSheetId="10">#REF!</definedName>
    <definedName name="ixRange196">#REF!</definedName>
    <definedName name="ixRange197" localSheetId="10">#REF!</definedName>
    <definedName name="ixRange197">#REF!</definedName>
    <definedName name="ixRange198" localSheetId="10">#REF!</definedName>
    <definedName name="ixRange198">#REF!</definedName>
    <definedName name="ixRange199" localSheetId="10">#REF!</definedName>
    <definedName name="ixRange199">#REF!</definedName>
    <definedName name="ixRange2" localSheetId="10">#REF!</definedName>
    <definedName name="ixRange2">#REF!</definedName>
    <definedName name="ixRange201" localSheetId="10">#REF!</definedName>
    <definedName name="ixRange201">#REF!</definedName>
    <definedName name="ixRange202" localSheetId="10">#REF!</definedName>
    <definedName name="ixRange202">#REF!</definedName>
    <definedName name="ixRange203" localSheetId="10">#REF!</definedName>
    <definedName name="ixRange203">#REF!</definedName>
    <definedName name="ixRange204" localSheetId="10">#REF!</definedName>
    <definedName name="ixRange204">#REF!</definedName>
    <definedName name="ixRange205" localSheetId="10">#REF!</definedName>
    <definedName name="ixRange205">#REF!</definedName>
    <definedName name="ixRange206" localSheetId="10">#REF!</definedName>
    <definedName name="ixRange206">#REF!</definedName>
    <definedName name="ixRange207" localSheetId="10">#REF!</definedName>
    <definedName name="ixRange207">#REF!</definedName>
    <definedName name="ixRange208" localSheetId="10">#REF!</definedName>
    <definedName name="ixRange208">#REF!</definedName>
    <definedName name="ixRange209" localSheetId="10">#REF!</definedName>
    <definedName name="ixRange209">#REF!</definedName>
    <definedName name="ixRange21" localSheetId="10">#REF!</definedName>
    <definedName name="ixRange21">#REF!</definedName>
    <definedName name="ixRange210" localSheetId="10">#REF!</definedName>
    <definedName name="ixRange210">#REF!</definedName>
    <definedName name="ixRange211" localSheetId="10">#REF!</definedName>
    <definedName name="ixRange211">#REF!</definedName>
    <definedName name="ixRange212" localSheetId="10">#REF!</definedName>
    <definedName name="ixRange212">#REF!</definedName>
    <definedName name="ixRange213" localSheetId="10">#REF!</definedName>
    <definedName name="ixRange213">#REF!</definedName>
    <definedName name="ixRange214" localSheetId="10">#REF!</definedName>
    <definedName name="ixRange214">#REF!</definedName>
    <definedName name="ixRange215" localSheetId="10">#REF!</definedName>
    <definedName name="ixRange215">#REF!</definedName>
    <definedName name="ixRange216" localSheetId="10">#REF!</definedName>
    <definedName name="ixRange216">#REF!</definedName>
    <definedName name="ixRange217" localSheetId="10">#REF!</definedName>
    <definedName name="ixRange217">#REF!</definedName>
    <definedName name="ixRange218" localSheetId="10">#REF!</definedName>
    <definedName name="ixRange218">#REF!</definedName>
    <definedName name="ixRange219" localSheetId="10">#REF!</definedName>
    <definedName name="ixRange219">#REF!</definedName>
    <definedName name="ixRange22" localSheetId="10">#REF!</definedName>
    <definedName name="ixRange22">#REF!</definedName>
    <definedName name="ixRange220" localSheetId="10">#REF!</definedName>
    <definedName name="ixRange220">#REF!</definedName>
    <definedName name="ixRange221" localSheetId="10">#REF!</definedName>
    <definedName name="ixRange221">#REF!</definedName>
    <definedName name="ixRange222" localSheetId="10">#REF!</definedName>
    <definedName name="ixRange222">#REF!</definedName>
    <definedName name="ixRange223" localSheetId="10">#REF!</definedName>
    <definedName name="ixRange223">#REF!</definedName>
    <definedName name="ixRange224" localSheetId="10">#REF!</definedName>
    <definedName name="ixRange224">#REF!</definedName>
    <definedName name="ixRange225" localSheetId="10">#REF!</definedName>
    <definedName name="ixRange225">#REF!</definedName>
    <definedName name="ixRange226" localSheetId="10">#REF!</definedName>
    <definedName name="ixRange226">#REF!</definedName>
    <definedName name="ixRange227" localSheetId="10">#REF!</definedName>
    <definedName name="ixRange227">#REF!</definedName>
    <definedName name="ixRange228" localSheetId="10">#REF!</definedName>
    <definedName name="ixRange228">#REF!</definedName>
    <definedName name="ixRange229" localSheetId="10">#REF!</definedName>
    <definedName name="ixRange229">#REF!</definedName>
    <definedName name="ixRange23" localSheetId="10">#REF!</definedName>
    <definedName name="ixRange23">#REF!</definedName>
    <definedName name="ixRange230" localSheetId="10">#REF!</definedName>
    <definedName name="ixRange230">#REF!</definedName>
    <definedName name="ixRange231" localSheetId="10">#REF!</definedName>
    <definedName name="ixRange231">#REF!</definedName>
    <definedName name="ixRange232" localSheetId="10">#REF!</definedName>
    <definedName name="ixRange232">#REF!</definedName>
    <definedName name="ixRange233" localSheetId="10">#REF!</definedName>
    <definedName name="ixRange233">#REF!</definedName>
    <definedName name="ixRange234" localSheetId="10">#REF!</definedName>
    <definedName name="ixRange234">#REF!</definedName>
    <definedName name="ixRange235" localSheetId="10">#REF!</definedName>
    <definedName name="ixRange235">#REF!</definedName>
    <definedName name="ixRange236" localSheetId="10">#REF!</definedName>
    <definedName name="ixRange236">#REF!</definedName>
    <definedName name="ixRange237" localSheetId="10">#REF!</definedName>
    <definedName name="ixRange237">#REF!</definedName>
    <definedName name="ixRange238" localSheetId="10">#REF!</definedName>
    <definedName name="ixRange238">#REF!</definedName>
    <definedName name="ixRange239" localSheetId="10">#REF!</definedName>
    <definedName name="ixRange239">#REF!</definedName>
    <definedName name="ixRange24" localSheetId="10">#REF!</definedName>
    <definedName name="ixRange24">#REF!</definedName>
    <definedName name="ixRange240" localSheetId="10">#REF!</definedName>
    <definedName name="ixRange240">#REF!</definedName>
    <definedName name="ixRange241" localSheetId="10">#REF!</definedName>
    <definedName name="ixRange241">#REF!</definedName>
    <definedName name="ixRange242" localSheetId="10">#REF!</definedName>
    <definedName name="ixRange242">#REF!</definedName>
    <definedName name="ixRange243" localSheetId="10">#REF!</definedName>
    <definedName name="ixRange243">#REF!</definedName>
    <definedName name="ixRange244" localSheetId="10">#REF!</definedName>
    <definedName name="ixRange244">#REF!</definedName>
    <definedName name="ixRange245" localSheetId="10">#REF!</definedName>
    <definedName name="ixRange245">#REF!</definedName>
    <definedName name="ixRange246" localSheetId="10">#REF!</definedName>
    <definedName name="ixRange246">#REF!</definedName>
    <definedName name="ixRange247" localSheetId="10">#REF!</definedName>
    <definedName name="ixRange247">#REF!</definedName>
    <definedName name="ixRange248" localSheetId="10">#REF!</definedName>
    <definedName name="ixRange248">#REF!</definedName>
    <definedName name="ixRange249" localSheetId="10">#REF!</definedName>
    <definedName name="ixRange249">#REF!</definedName>
    <definedName name="ixRange25" localSheetId="10">#REF!</definedName>
    <definedName name="ixRange25">#REF!</definedName>
    <definedName name="ixRange250" localSheetId="10">#REF!</definedName>
    <definedName name="ixRange250">#REF!</definedName>
    <definedName name="ixRange251" localSheetId="10">#REF!</definedName>
    <definedName name="ixRange251">#REF!</definedName>
    <definedName name="ixRange252" localSheetId="10">#REF!</definedName>
    <definedName name="ixRange252">#REF!</definedName>
    <definedName name="ixRange253" localSheetId="10">#REF!</definedName>
    <definedName name="ixRange253">#REF!</definedName>
    <definedName name="ixRange254" localSheetId="10">#REF!</definedName>
    <definedName name="ixRange254">#REF!</definedName>
    <definedName name="ixRange255" localSheetId="10">#REF!</definedName>
    <definedName name="ixRange255">#REF!</definedName>
    <definedName name="ixRange256" localSheetId="10">#REF!</definedName>
    <definedName name="ixRange256">#REF!</definedName>
    <definedName name="ixRange257" localSheetId="10">#REF!</definedName>
    <definedName name="ixRange257">#REF!</definedName>
    <definedName name="ixRange258" localSheetId="10">#REF!</definedName>
    <definedName name="ixRange258">#REF!</definedName>
    <definedName name="ixRange259" localSheetId="10">#REF!</definedName>
    <definedName name="ixRange259">#REF!</definedName>
    <definedName name="ixRange26" localSheetId="10">#REF!</definedName>
    <definedName name="ixRange26">#REF!</definedName>
    <definedName name="ixRange261" localSheetId="10">#REF!</definedName>
    <definedName name="ixRange261">#REF!</definedName>
    <definedName name="ixRange262" localSheetId="10">#REF!</definedName>
    <definedName name="ixRange262">#REF!</definedName>
    <definedName name="ixRange263" localSheetId="10">#REF!</definedName>
    <definedName name="ixRange263">#REF!</definedName>
    <definedName name="ixRange264" localSheetId="10">#REF!</definedName>
    <definedName name="ixRange264">#REF!</definedName>
    <definedName name="ixRange265" localSheetId="10">#REF!</definedName>
    <definedName name="ixRange265">#REF!</definedName>
    <definedName name="ixRange266" localSheetId="10">#REF!</definedName>
    <definedName name="ixRange266">#REF!</definedName>
    <definedName name="ixRange267" localSheetId="10">#REF!</definedName>
    <definedName name="ixRange267">#REF!</definedName>
    <definedName name="ixRange268" localSheetId="10">#REF!</definedName>
    <definedName name="ixRange268">#REF!</definedName>
    <definedName name="ixRange269" localSheetId="10">#REF!</definedName>
    <definedName name="ixRange269">#REF!</definedName>
    <definedName name="ixRange27" localSheetId="10">#REF!</definedName>
    <definedName name="ixRange27">#REF!</definedName>
    <definedName name="ixRange270" localSheetId="10">#REF!</definedName>
    <definedName name="ixRange270">#REF!</definedName>
    <definedName name="ixRange271" localSheetId="10">#REF!</definedName>
    <definedName name="ixRange271">#REF!</definedName>
    <definedName name="ixRange272" localSheetId="10">#REF!</definedName>
    <definedName name="ixRange272">#REF!</definedName>
    <definedName name="ixRange273" localSheetId="10">#REF!</definedName>
    <definedName name="ixRange273">#REF!</definedName>
    <definedName name="ixRange274" localSheetId="10">#REF!</definedName>
    <definedName name="ixRange274">#REF!</definedName>
    <definedName name="ixRange275" localSheetId="10">#REF!</definedName>
    <definedName name="ixRange275">#REF!</definedName>
    <definedName name="ixRange276" localSheetId="10">#REF!</definedName>
    <definedName name="ixRange276">#REF!</definedName>
    <definedName name="ixRange277" localSheetId="10">#REF!</definedName>
    <definedName name="ixRange277">#REF!</definedName>
    <definedName name="ixRange278" localSheetId="10">#REF!</definedName>
    <definedName name="ixRange278">#REF!</definedName>
    <definedName name="ixRange279" localSheetId="10">#REF!</definedName>
    <definedName name="ixRange279">#REF!</definedName>
    <definedName name="ixRange28" localSheetId="10">#REF!</definedName>
    <definedName name="ixRange28">#REF!</definedName>
    <definedName name="ixRange280" localSheetId="10">#REF!</definedName>
    <definedName name="ixRange280">#REF!</definedName>
    <definedName name="ixRange281" localSheetId="10">#REF!</definedName>
    <definedName name="ixRange281">#REF!</definedName>
    <definedName name="ixRange282" localSheetId="10">#REF!</definedName>
    <definedName name="ixRange282">#REF!</definedName>
    <definedName name="ixRange283" localSheetId="10">#REF!</definedName>
    <definedName name="ixRange283">#REF!</definedName>
    <definedName name="ixRange284" localSheetId="10">#REF!</definedName>
    <definedName name="ixRange284">#REF!</definedName>
    <definedName name="ixRange285" localSheetId="10">#REF!</definedName>
    <definedName name="ixRange285">#REF!</definedName>
    <definedName name="ixRange286" localSheetId="10">#REF!</definedName>
    <definedName name="ixRange286">#REF!</definedName>
    <definedName name="ixRange287" localSheetId="10">#REF!</definedName>
    <definedName name="ixRange287">#REF!</definedName>
    <definedName name="ixRange288" localSheetId="10">#REF!</definedName>
    <definedName name="ixRange288">#REF!</definedName>
    <definedName name="ixRange289" localSheetId="10">#REF!</definedName>
    <definedName name="ixRange289">#REF!</definedName>
    <definedName name="ixRange29" localSheetId="10">#REF!</definedName>
    <definedName name="ixRange29">#REF!</definedName>
    <definedName name="ixRange290" localSheetId="10">#REF!</definedName>
    <definedName name="ixRange290">#REF!</definedName>
    <definedName name="ixRange291" localSheetId="10">#REF!</definedName>
    <definedName name="ixRange291">#REF!</definedName>
    <definedName name="ixRange292" localSheetId="10">#REF!</definedName>
    <definedName name="ixRange292">#REF!</definedName>
    <definedName name="ixRange293" localSheetId="10">#REF!</definedName>
    <definedName name="ixRange293">#REF!</definedName>
    <definedName name="ixRange294" localSheetId="10">#REF!</definedName>
    <definedName name="ixRange294">#REF!</definedName>
    <definedName name="ixRange295" localSheetId="10">#REF!</definedName>
    <definedName name="ixRange295">#REF!</definedName>
    <definedName name="ixRange296" localSheetId="10">#REF!</definedName>
    <definedName name="ixRange296">#REF!</definedName>
    <definedName name="ixRange297" localSheetId="10">#REF!</definedName>
    <definedName name="ixRange297">#REF!</definedName>
    <definedName name="ixRange298" localSheetId="10">#REF!</definedName>
    <definedName name="ixRange298">#REF!</definedName>
    <definedName name="ixRange299" localSheetId="10">#REF!</definedName>
    <definedName name="ixRange299">#REF!</definedName>
    <definedName name="ixRange3" localSheetId="10">#REF!</definedName>
    <definedName name="ixRange3">#REF!</definedName>
    <definedName name="ixRange30" localSheetId="10">#REF!</definedName>
    <definedName name="ixRange30">#REF!</definedName>
    <definedName name="ixRange300" localSheetId="10">#REF!</definedName>
    <definedName name="ixRange300">#REF!</definedName>
    <definedName name="ixRange301" localSheetId="10">#REF!</definedName>
    <definedName name="ixRange301">#REF!</definedName>
    <definedName name="ixRange302" localSheetId="10">#REF!</definedName>
    <definedName name="ixRange302">#REF!</definedName>
    <definedName name="ixRange303" localSheetId="10">#REF!</definedName>
    <definedName name="ixRange303">#REF!</definedName>
    <definedName name="ixRange304" localSheetId="10">#REF!</definedName>
    <definedName name="ixRange304">#REF!</definedName>
    <definedName name="ixRange305" localSheetId="10">#REF!</definedName>
    <definedName name="ixRange305">#REF!</definedName>
    <definedName name="ixRange306" localSheetId="10">#REF!</definedName>
    <definedName name="ixRange306">#REF!</definedName>
    <definedName name="ixRange307" localSheetId="10">#REF!</definedName>
    <definedName name="ixRange307">#REF!</definedName>
    <definedName name="ixRange308" localSheetId="10">#REF!</definedName>
    <definedName name="ixRange308">#REF!</definedName>
    <definedName name="ixRange309" localSheetId="10">#REF!</definedName>
    <definedName name="ixRange309">#REF!</definedName>
    <definedName name="ixRange31" localSheetId="10">#REF!</definedName>
    <definedName name="ixRange31">#REF!</definedName>
    <definedName name="ixRange310" localSheetId="10">#REF!</definedName>
    <definedName name="ixRange310">#REF!</definedName>
    <definedName name="ixRange311" localSheetId="10">#REF!</definedName>
    <definedName name="ixRange311">#REF!</definedName>
    <definedName name="ixRange312" localSheetId="10">#REF!</definedName>
    <definedName name="ixRange312">#REF!</definedName>
    <definedName name="ixRange313" localSheetId="10">#REF!</definedName>
    <definedName name="ixRange313">#REF!</definedName>
    <definedName name="ixRange314" localSheetId="10">#REF!</definedName>
    <definedName name="ixRange314">#REF!</definedName>
    <definedName name="ixRange315" localSheetId="10">#REF!</definedName>
    <definedName name="ixRange315">#REF!</definedName>
    <definedName name="ixRange316" localSheetId="10">#REF!</definedName>
    <definedName name="ixRange316">#REF!</definedName>
    <definedName name="ixRange317" localSheetId="10">#REF!</definedName>
    <definedName name="ixRange317">#REF!</definedName>
    <definedName name="ixRange318" localSheetId="10">#REF!</definedName>
    <definedName name="ixRange318">#REF!</definedName>
    <definedName name="ixRange319" localSheetId="10">#REF!</definedName>
    <definedName name="ixRange319">#REF!</definedName>
    <definedName name="ixRange32" localSheetId="10">#REF!</definedName>
    <definedName name="ixRange32">#REF!</definedName>
    <definedName name="ixRange321" localSheetId="10">#REF!</definedName>
    <definedName name="ixRange321">#REF!</definedName>
    <definedName name="ixRange322" localSheetId="10">#REF!</definedName>
    <definedName name="ixRange322">#REF!</definedName>
    <definedName name="ixRange323" localSheetId="10">#REF!</definedName>
    <definedName name="ixRange323">#REF!</definedName>
    <definedName name="ixRange324" localSheetId="10">#REF!</definedName>
    <definedName name="ixRange324">#REF!</definedName>
    <definedName name="ixRange325" localSheetId="10">#REF!</definedName>
    <definedName name="ixRange325">#REF!</definedName>
    <definedName name="ixRange326" localSheetId="10">#REF!</definedName>
    <definedName name="ixRange326">#REF!</definedName>
    <definedName name="ixRange327" localSheetId="10">#REF!</definedName>
    <definedName name="ixRange327">#REF!</definedName>
    <definedName name="ixRange328" localSheetId="10">#REF!</definedName>
    <definedName name="ixRange328">#REF!</definedName>
    <definedName name="ixRange329" localSheetId="10">#REF!</definedName>
    <definedName name="ixRange329">#REF!</definedName>
    <definedName name="ixRange33" localSheetId="10">#REF!</definedName>
    <definedName name="ixRange33">#REF!</definedName>
    <definedName name="ixRange330" localSheetId="10">#REF!</definedName>
    <definedName name="ixRange330">#REF!</definedName>
    <definedName name="ixRange331" localSheetId="10">#REF!</definedName>
    <definedName name="ixRange331">#REF!</definedName>
    <definedName name="ixRange332" localSheetId="10">#REF!</definedName>
    <definedName name="ixRange332">#REF!</definedName>
    <definedName name="ixRange333" localSheetId="10">#REF!</definedName>
    <definedName name="ixRange333">#REF!</definedName>
    <definedName name="ixRange334" localSheetId="10">#REF!</definedName>
    <definedName name="ixRange334">#REF!</definedName>
    <definedName name="ixRange335" localSheetId="10">#REF!</definedName>
    <definedName name="ixRange335">#REF!</definedName>
    <definedName name="ixRange336" localSheetId="10">#REF!</definedName>
    <definedName name="ixRange336">#REF!</definedName>
    <definedName name="ixRange337" localSheetId="10">#REF!</definedName>
    <definedName name="ixRange337">#REF!</definedName>
    <definedName name="ixRange338" localSheetId="10">#REF!</definedName>
    <definedName name="ixRange338">#REF!</definedName>
    <definedName name="ixRange339" localSheetId="10">#REF!</definedName>
    <definedName name="ixRange339">#REF!</definedName>
    <definedName name="ixRange34" localSheetId="10">#REF!</definedName>
    <definedName name="ixRange34">#REF!</definedName>
    <definedName name="ixRange340" localSheetId="10">#REF!</definedName>
    <definedName name="ixRange340">#REF!</definedName>
    <definedName name="ixRange341" localSheetId="10">#REF!</definedName>
    <definedName name="ixRange341">#REF!</definedName>
    <definedName name="ixRange342" localSheetId="10">#REF!</definedName>
    <definedName name="ixRange342">#REF!</definedName>
    <definedName name="ixRange343" localSheetId="10">#REF!</definedName>
    <definedName name="ixRange343">#REF!</definedName>
    <definedName name="ixRange344" localSheetId="10">#REF!</definedName>
    <definedName name="ixRange344">#REF!</definedName>
    <definedName name="ixRange345" localSheetId="10">#REF!</definedName>
    <definedName name="ixRange345">#REF!</definedName>
    <definedName name="ixRange346" localSheetId="10">#REF!</definedName>
    <definedName name="ixRange346">#REF!</definedName>
    <definedName name="ixRange347" localSheetId="10">#REF!</definedName>
    <definedName name="ixRange347">#REF!</definedName>
    <definedName name="ixRange348" localSheetId="10">#REF!</definedName>
    <definedName name="ixRange348">#REF!</definedName>
    <definedName name="ixRange349" localSheetId="10">#REF!</definedName>
    <definedName name="ixRange349">#REF!</definedName>
    <definedName name="ixRange35" localSheetId="10">#REF!</definedName>
    <definedName name="ixRange35">#REF!</definedName>
    <definedName name="ixRange350" localSheetId="10">#REF!</definedName>
    <definedName name="ixRange350">#REF!</definedName>
    <definedName name="ixRange351" localSheetId="10">#REF!</definedName>
    <definedName name="ixRange351">#REF!</definedName>
    <definedName name="ixRange352" localSheetId="10">#REF!</definedName>
    <definedName name="ixRange352">#REF!</definedName>
    <definedName name="ixRange353" localSheetId="10">#REF!</definedName>
    <definedName name="ixRange353">#REF!</definedName>
    <definedName name="ixRange354" localSheetId="10">#REF!</definedName>
    <definedName name="ixRange354">#REF!</definedName>
    <definedName name="ixRange355" localSheetId="10">#REF!</definedName>
    <definedName name="ixRange355">#REF!</definedName>
    <definedName name="ixRange356" localSheetId="10">#REF!</definedName>
    <definedName name="ixRange356">#REF!</definedName>
    <definedName name="ixRange357" localSheetId="10">#REF!</definedName>
    <definedName name="ixRange357">#REF!</definedName>
    <definedName name="ixRange358" localSheetId="10">#REF!</definedName>
    <definedName name="ixRange358">#REF!</definedName>
    <definedName name="ixRange359" localSheetId="10">#REF!</definedName>
    <definedName name="ixRange359">#REF!</definedName>
    <definedName name="ixRange36" localSheetId="10">#REF!</definedName>
    <definedName name="ixRange36">#REF!</definedName>
    <definedName name="ixRange360" localSheetId="10">#REF!</definedName>
    <definedName name="ixRange360">#REF!</definedName>
    <definedName name="ixRange361" localSheetId="10">#REF!</definedName>
    <definedName name="ixRange361">#REF!</definedName>
    <definedName name="ixRange362" localSheetId="10">#REF!</definedName>
    <definedName name="ixRange362">#REF!</definedName>
    <definedName name="ixRange363" localSheetId="10">#REF!</definedName>
    <definedName name="ixRange363">#REF!</definedName>
    <definedName name="ixRange364" localSheetId="10">#REF!</definedName>
    <definedName name="ixRange364">#REF!</definedName>
    <definedName name="ixRange365" localSheetId="10">#REF!</definedName>
    <definedName name="ixRange365">#REF!</definedName>
    <definedName name="ixRange366" localSheetId="10">#REF!</definedName>
    <definedName name="ixRange366">#REF!</definedName>
    <definedName name="ixRange367" localSheetId="10">#REF!</definedName>
    <definedName name="ixRange367">#REF!</definedName>
    <definedName name="ixRange368" localSheetId="10">#REF!</definedName>
    <definedName name="ixRange368">#REF!</definedName>
    <definedName name="ixRange369" localSheetId="10">#REF!</definedName>
    <definedName name="ixRange369">#REF!</definedName>
    <definedName name="ixRange37" localSheetId="10">#REF!</definedName>
    <definedName name="ixRange37">#REF!</definedName>
    <definedName name="ixRange370" localSheetId="10">#REF!</definedName>
    <definedName name="ixRange370">#REF!</definedName>
    <definedName name="ixRange371" localSheetId="10">#REF!</definedName>
    <definedName name="ixRange371">#REF!</definedName>
    <definedName name="ixRange372" localSheetId="10">#REF!</definedName>
    <definedName name="ixRange372">#REF!</definedName>
    <definedName name="ixRange373" localSheetId="10">#REF!</definedName>
    <definedName name="ixRange373">#REF!</definedName>
    <definedName name="ixRange374" localSheetId="10">#REF!</definedName>
    <definedName name="ixRange374">#REF!</definedName>
    <definedName name="ixRange375" localSheetId="10">#REF!</definedName>
    <definedName name="ixRange375">#REF!</definedName>
    <definedName name="ixRange376" localSheetId="10">#REF!</definedName>
    <definedName name="ixRange376">#REF!</definedName>
    <definedName name="ixRange377" localSheetId="10">#REF!</definedName>
    <definedName name="ixRange377">#REF!</definedName>
    <definedName name="ixRange378" localSheetId="10">#REF!</definedName>
    <definedName name="ixRange378">#REF!</definedName>
    <definedName name="ixRange379" localSheetId="10">#REF!</definedName>
    <definedName name="ixRange379">#REF!</definedName>
    <definedName name="ixRange38" localSheetId="10">#REF!</definedName>
    <definedName name="ixRange38">#REF!</definedName>
    <definedName name="ixRange381" localSheetId="10">#REF!</definedName>
    <definedName name="ixRange381">#REF!</definedName>
    <definedName name="ixRange382" localSheetId="10">#REF!</definedName>
    <definedName name="ixRange382">#REF!</definedName>
    <definedName name="ixRange383" localSheetId="10">#REF!</definedName>
    <definedName name="ixRange383">#REF!</definedName>
    <definedName name="ixRange384" localSheetId="10">#REF!</definedName>
    <definedName name="ixRange384">#REF!</definedName>
    <definedName name="ixRange385" localSheetId="10">#REF!</definedName>
    <definedName name="ixRange385">#REF!</definedName>
    <definedName name="ixRange386" localSheetId="10">#REF!</definedName>
    <definedName name="ixRange386">#REF!</definedName>
    <definedName name="ixRange387" localSheetId="10">#REF!</definedName>
    <definedName name="ixRange387">#REF!</definedName>
    <definedName name="ixRange388" localSheetId="10">#REF!</definedName>
    <definedName name="ixRange388">#REF!</definedName>
    <definedName name="ixRange389" localSheetId="10">#REF!</definedName>
    <definedName name="ixRange389">#REF!</definedName>
    <definedName name="ixRange39" localSheetId="10">#REF!</definedName>
    <definedName name="ixRange39">#REF!</definedName>
    <definedName name="ixRange390" localSheetId="10">#REF!</definedName>
    <definedName name="ixRange390">#REF!</definedName>
    <definedName name="ixRange391" localSheetId="10">#REF!</definedName>
    <definedName name="ixRange391">#REF!</definedName>
    <definedName name="ixRange392" localSheetId="10">#REF!</definedName>
    <definedName name="ixRange392">#REF!</definedName>
    <definedName name="ixRange393" localSheetId="10">#REF!</definedName>
    <definedName name="ixRange393">#REF!</definedName>
    <definedName name="ixRange394" localSheetId="10">#REF!</definedName>
    <definedName name="ixRange394">#REF!</definedName>
    <definedName name="ixRange395" localSheetId="10">#REF!</definedName>
    <definedName name="ixRange395">#REF!</definedName>
    <definedName name="ixRange396" localSheetId="10">#REF!</definedName>
    <definedName name="ixRange396">#REF!</definedName>
    <definedName name="ixRange397" localSheetId="10">#REF!</definedName>
    <definedName name="ixRange397">#REF!</definedName>
    <definedName name="ixRange398" localSheetId="10">#REF!</definedName>
    <definedName name="ixRange398">#REF!</definedName>
    <definedName name="ixRange399" localSheetId="10">#REF!</definedName>
    <definedName name="ixRange399">#REF!</definedName>
    <definedName name="ixRange4" localSheetId="10">#REF!</definedName>
    <definedName name="ixRange4">#REF!</definedName>
    <definedName name="ixRange40" localSheetId="10">#REF!</definedName>
    <definedName name="ixRange40">#REF!</definedName>
    <definedName name="ixRange400" localSheetId="10">#REF!</definedName>
    <definedName name="ixRange400">#REF!</definedName>
    <definedName name="ixRange401" localSheetId="10">#REF!</definedName>
    <definedName name="ixRange401">#REF!</definedName>
    <definedName name="ixRange402" localSheetId="10">#REF!</definedName>
    <definedName name="ixRange402">#REF!</definedName>
    <definedName name="ixRange403" localSheetId="10">#REF!</definedName>
    <definedName name="ixRange403">#REF!</definedName>
    <definedName name="ixRange404" localSheetId="10">#REF!</definedName>
    <definedName name="ixRange404">#REF!</definedName>
    <definedName name="ixRange405" localSheetId="10">#REF!</definedName>
    <definedName name="ixRange405">#REF!</definedName>
    <definedName name="ixRange406" localSheetId="10">#REF!</definedName>
    <definedName name="ixRange406">#REF!</definedName>
    <definedName name="ixRange407" localSheetId="10">#REF!</definedName>
    <definedName name="ixRange407">#REF!</definedName>
    <definedName name="ixRange408" localSheetId="10">#REF!</definedName>
    <definedName name="ixRange408">#REF!</definedName>
    <definedName name="ixRange409" localSheetId="10">#REF!</definedName>
    <definedName name="ixRange409">#REF!</definedName>
    <definedName name="ixRange41" localSheetId="10">#REF!</definedName>
    <definedName name="ixRange41">#REF!</definedName>
    <definedName name="ixRange410" localSheetId="10">#REF!</definedName>
    <definedName name="ixRange410">#REF!</definedName>
    <definedName name="ixRange411" localSheetId="10">#REF!</definedName>
    <definedName name="ixRange411">#REF!</definedName>
    <definedName name="ixRange412" localSheetId="10">#REF!</definedName>
    <definedName name="ixRange412">#REF!</definedName>
    <definedName name="ixRange413" localSheetId="10">#REF!</definedName>
    <definedName name="ixRange413">#REF!</definedName>
    <definedName name="ixRange414" localSheetId="10">#REF!</definedName>
    <definedName name="ixRange414">#REF!</definedName>
    <definedName name="ixRange415" localSheetId="10">#REF!</definedName>
    <definedName name="ixRange415">#REF!</definedName>
    <definedName name="ixRange416" localSheetId="10">#REF!</definedName>
    <definedName name="ixRange416">#REF!</definedName>
    <definedName name="ixRange417" localSheetId="10">#REF!</definedName>
    <definedName name="ixRange417">#REF!</definedName>
    <definedName name="ixRange418" localSheetId="10">#REF!</definedName>
    <definedName name="ixRange418">#REF!</definedName>
    <definedName name="ixRange419" localSheetId="10">#REF!</definedName>
    <definedName name="ixRange419">#REF!</definedName>
    <definedName name="ixRange42" localSheetId="10">#REF!</definedName>
    <definedName name="ixRange42">#REF!</definedName>
    <definedName name="ixRange420" localSheetId="10">#REF!</definedName>
    <definedName name="ixRange420">#REF!</definedName>
    <definedName name="ixRange421" localSheetId="10">#REF!</definedName>
    <definedName name="ixRange421">#REF!</definedName>
    <definedName name="ixRange422" localSheetId="10">#REF!</definedName>
    <definedName name="ixRange422">#REF!</definedName>
    <definedName name="ixRange423" localSheetId="10">#REF!</definedName>
    <definedName name="ixRange423">#REF!</definedName>
    <definedName name="ixRange424" localSheetId="10">#REF!</definedName>
    <definedName name="ixRange424">#REF!</definedName>
    <definedName name="ixRange425" localSheetId="10">#REF!</definedName>
    <definedName name="ixRange425">#REF!</definedName>
    <definedName name="ixRange426" localSheetId="10">#REF!</definedName>
    <definedName name="ixRange426">#REF!</definedName>
    <definedName name="ixRange427" localSheetId="10">#REF!</definedName>
    <definedName name="ixRange427">#REF!</definedName>
    <definedName name="ixRange428" localSheetId="10">#REF!</definedName>
    <definedName name="ixRange428">#REF!</definedName>
    <definedName name="ixRange429" localSheetId="10">#REF!</definedName>
    <definedName name="ixRange429">#REF!</definedName>
    <definedName name="ixRange43" localSheetId="10">#REF!</definedName>
    <definedName name="ixRange43">#REF!</definedName>
    <definedName name="ixRange430" localSheetId="10">#REF!</definedName>
    <definedName name="ixRange430">#REF!</definedName>
    <definedName name="ixRange431" localSheetId="10">#REF!</definedName>
    <definedName name="ixRange431">#REF!</definedName>
    <definedName name="ixRange432" localSheetId="10">#REF!</definedName>
    <definedName name="ixRange432">#REF!</definedName>
    <definedName name="ixRange433" localSheetId="10">#REF!</definedName>
    <definedName name="ixRange433">#REF!</definedName>
    <definedName name="ixRange434" localSheetId="10">#REF!</definedName>
    <definedName name="ixRange434">#REF!</definedName>
    <definedName name="ixRange435" localSheetId="10">#REF!</definedName>
    <definedName name="ixRange435">#REF!</definedName>
    <definedName name="ixRange436" localSheetId="10">#REF!</definedName>
    <definedName name="ixRange436">#REF!</definedName>
    <definedName name="ixRange437" localSheetId="10">#REF!</definedName>
    <definedName name="ixRange437">#REF!</definedName>
    <definedName name="ixRange438" localSheetId="10">#REF!</definedName>
    <definedName name="ixRange438">#REF!</definedName>
    <definedName name="ixRange439" localSheetId="10">#REF!</definedName>
    <definedName name="ixRange439">#REF!</definedName>
    <definedName name="ixRange44" localSheetId="10">#REF!</definedName>
    <definedName name="ixRange44">#REF!</definedName>
    <definedName name="ixRange441" localSheetId="10">#REF!</definedName>
    <definedName name="ixRange441">#REF!</definedName>
    <definedName name="ixRange442" localSheetId="10">#REF!</definedName>
    <definedName name="ixRange442">#REF!</definedName>
    <definedName name="ixRange443" localSheetId="10">#REF!</definedName>
    <definedName name="ixRange443">#REF!</definedName>
    <definedName name="ixRange444" localSheetId="10">#REF!</definedName>
    <definedName name="ixRange444">#REF!</definedName>
    <definedName name="ixRange445" localSheetId="10">#REF!</definedName>
    <definedName name="ixRange445">#REF!</definedName>
    <definedName name="ixRange446" localSheetId="10">#REF!</definedName>
    <definedName name="ixRange446">#REF!</definedName>
    <definedName name="ixRange447" localSheetId="10">#REF!</definedName>
    <definedName name="ixRange447">#REF!</definedName>
    <definedName name="ixRange448" localSheetId="10">#REF!</definedName>
    <definedName name="ixRange448">#REF!</definedName>
    <definedName name="ixRange449" localSheetId="10">#REF!</definedName>
    <definedName name="ixRange449">#REF!</definedName>
    <definedName name="ixRange45" localSheetId="10">#REF!</definedName>
    <definedName name="ixRange45">#REF!</definedName>
    <definedName name="ixRange450" localSheetId="10">#REF!</definedName>
    <definedName name="ixRange450">#REF!</definedName>
    <definedName name="ixRange451" localSheetId="10">#REF!</definedName>
    <definedName name="ixRange451">#REF!</definedName>
    <definedName name="ixRange452" localSheetId="10">#REF!</definedName>
    <definedName name="ixRange452">#REF!</definedName>
    <definedName name="ixRange453" localSheetId="10">#REF!</definedName>
    <definedName name="ixRange453">#REF!</definedName>
    <definedName name="ixRange454" localSheetId="10">#REF!</definedName>
    <definedName name="ixRange454">#REF!</definedName>
    <definedName name="ixRange455" localSheetId="10">#REF!</definedName>
    <definedName name="ixRange455">#REF!</definedName>
    <definedName name="ixRange456" localSheetId="10">#REF!</definedName>
    <definedName name="ixRange456">#REF!</definedName>
    <definedName name="ixRange457" localSheetId="10">#REF!</definedName>
    <definedName name="ixRange457">#REF!</definedName>
    <definedName name="ixRange458" localSheetId="10">#REF!</definedName>
    <definedName name="ixRange458">#REF!</definedName>
    <definedName name="ixRange459" localSheetId="10">#REF!</definedName>
    <definedName name="ixRange459">#REF!</definedName>
    <definedName name="ixRange46" localSheetId="10">#REF!</definedName>
    <definedName name="ixRange46">#REF!</definedName>
    <definedName name="ixRange460" localSheetId="10">#REF!</definedName>
    <definedName name="ixRange460">#REF!</definedName>
    <definedName name="ixRange461" localSheetId="10">#REF!</definedName>
    <definedName name="ixRange461">#REF!</definedName>
    <definedName name="ixRange462" localSheetId="10">#REF!</definedName>
    <definedName name="ixRange462">#REF!</definedName>
    <definedName name="ixRange463" localSheetId="10">#REF!</definedName>
    <definedName name="ixRange463">#REF!</definedName>
    <definedName name="ixRange464" localSheetId="10">#REF!</definedName>
    <definedName name="ixRange464">#REF!</definedName>
    <definedName name="ixRange465" localSheetId="10">#REF!</definedName>
    <definedName name="ixRange465">#REF!</definedName>
    <definedName name="ixRange466" localSheetId="10">#REF!</definedName>
    <definedName name="ixRange466">#REF!</definedName>
    <definedName name="ixRange467" localSheetId="10">#REF!</definedName>
    <definedName name="ixRange467">#REF!</definedName>
    <definedName name="ixRange468" localSheetId="10">#REF!</definedName>
    <definedName name="ixRange468">#REF!</definedName>
    <definedName name="ixRange469" localSheetId="10">#REF!</definedName>
    <definedName name="ixRange469">#REF!</definedName>
    <definedName name="ixRange47" localSheetId="10">#REF!</definedName>
    <definedName name="ixRange47">#REF!</definedName>
    <definedName name="ixRange470" localSheetId="10">#REF!</definedName>
    <definedName name="ixRange470">#REF!</definedName>
    <definedName name="ixRange471" localSheetId="10">#REF!</definedName>
    <definedName name="ixRange471">#REF!</definedName>
    <definedName name="ixRange472" localSheetId="10">#REF!</definedName>
    <definedName name="ixRange472">#REF!</definedName>
    <definedName name="ixRange473" localSheetId="10">#REF!</definedName>
    <definedName name="ixRange473">#REF!</definedName>
    <definedName name="ixRange474" localSheetId="10">#REF!</definedName>
    <definedName name="ixRange474">#REF!</definedName>
    <definedName name="ixRange475" localSheetId="10">#REF!</definedName>
    <definedName name="ixRange475">#REF!</definedName>
    <definedName name="ixRange476" localSheetId="10">#REF!</definedName>
    <definedName name="ixRange476">#REF!</definedName>
    <definedName name="ixRange477" localSheetId="10">#REF!</definedName>
    <definedName name="ixRange477">#REF!</definedName>
    <definedName name="ixRange478" localSheetId="10">#REF!</definedName>
    <definedName name="ixRange478">#REF!</definedName>
    <definedName name="ixRange479" localSheetId="10">#REF!</definedName>
    <definedName name="ixRange479">#REF!</definedName>
    <definedName name="ixRange48" localSheetId="10">#REF!</definedName>
    <definedName name="ixRange48">#REF!</definedName>
    <definedName name="ixRange480" localSheetId="10">#REF!</definedName>
    <definedName name="ixRange480">#REF!</definedName>
    <definedName name="ixRange481" localSheetId="10">#REF!</definedName>
    <definedName name="ixRange481">#REF!</definedName>
    <definedName name="ixRange482" localSheetId="10">#REF!</definedName>
    <definedName name="ixRange482">#REF!</definedName>
    <definedName name="ixRange483" localSheetId="10">#REF!</definedName>
    <definedName name="ixRange483">#REF!</definedName>
    <definedName name="ixRange484" localSheetId="10">#REF!</definedName>
    <definedName name="ixRange484">#REF!</definedName>
    <definedName name="ixRange485" localSheetId="10">#REF!</definedName>
    <definedName name="ixRange485">#REF!</definedName>
    <definedName name="ixRange486" localSheetId="10">#REF!</definedName>
    <definedName name="ixRange486">#REF!</definedName>
    <definedName name="ixRange487" localSheetId="10">#REF!</definedName>
    <definedName name="ixRange487">#REF!</definedName>
    <definedName name="ixRange488" localSheetId="10">#REF!</definedName>
    <definedName name="ixRange488">#REF!</definedName>
    <definedName name="ixRange489" localSheetId="10">#REF!</definedName>
    <definedName name="ixRange489">#REF!</definedName>
    <definedName name="ixRange49" localSheetId="10">#REF!</definedName>
    <definedName name="ixRange49">#REF!</definedName>
    <definedName name="ixRange490" localSheetId="10">#REF!</definedName>
    <definedName name="ixRange490">#REF!</definedName>
    <definedName name="ixRange491" localSheetId="10">#REF!</definedName>
    <definedName name="ixRange491">#REF!</definedName>
    <definedName name="ixRange492" localSheetId="10">#REF!</definedName>
    <definedName name="ixRange492">#REF!</definedName>
    <definedName name="ixRange493" localSheetId="10">#REF!</definedName>
    <definedName name="ixRange493">#REF!</definedName>
    <definedName name="ixRange494" localSheetId="10">#REF!</definedName>
    <definedName name="ixRange494">#REF!</definedName>
    <definedName name="ixRange495" localSheetId="10">#REF!</definedName>
    <definedName name="ixRange495">#REF!</definedName>
    <definedName name="ixRange496" localSheetId="10">#REF!</definedName>
    <definedName name="ixRange496">#REF!</definedName>
    <definedName name="ixRange497" localSheetId="10">#REF!</definedName>
    <definedName name="ixRange497">#REF!</definedName>
    <definedName name="ixRange498" localSheetId="10">#REF!</definedName>
    <definedName name="ixRange498">#REF!</definedName>
    <definedName name="ixRange499" localSheetId="10">#REF!</definedName>
    <definedName name="ixRange499">#REF!</definedName>
    <definedName name="ixRange5" localSheetId="10">#REF!</definedName>
    <definedName name="ixRange5">#REF!</definedName>
    <definedName name="ixRange50" localSheetId="10">#REF!</definedName>
    <definedName name="ixRange50">#REF!</definedName>
    <definedName name="ixRange501" localSheetId="10">#REF!</definedName>
    <definedName name="ixRange501">#REF!</definedName>
    <definedName name="ixRange502" localSheetId="10">#REF!</definedName>
    <definedName name="ixRange502">#REF!</definedName>
    <definedName name="ixRange503" localSheetId="10">#REF!</definedName>
    <definedName name="ixRange503">#REF!</definedName>
    <definedName name="ixRange504" localSheetId="10">#REF!</definedName>
    <definedName name="ixRange504">#REF!</definedName>
    <definedName name="ixRange505" localSheetId="10">#REF!</definedName>
    <definedName name="ixRange505">#REF!</definedName>
    <definedName name="ixRange506" localSheetId="10">#REF!</definedName>
    <definedName name="ixRange506">#REF!</definedName>
    <definedName name="ixRange507" localSheetId="10">#REF!</definedName>
    <definedName name="ixRange507">#REF!</definedName>
    <definedName name="ixRange508" localSheetId="10">#REF!</definedName>
    <definedName name="ixRange508">#REF!</definedName>
    <definedName name="ixRange509" localSheetId="10">#REF!</definedName>
    <definedName name="ixRange509">#REF!</definedName>
    <definedName name="ixRange51" localSheetId="10">#REF!</definedName>
    <definedName name="ixRange51">#REF!</definedName>
    <definedName name="ixRange510" localSheetId="10">#REF!</definedName>
    <definedName name="ixRange510">#REF!</definedName>
    <definedName name="ixRange511" localSheetId="10">#REF!</definedName>
    <definedName name="ixRange511">#REF!</definedName>
    <definedName name="ixRange512" localSheetId="10">#REF!</definedName>
    <definedName name="ixRange512">#REF!</definedName>
    <definedName name="ixRange513" localSheetId="10">#REF!</definedName>
    <definedName name="ixRange513">#REF!</definedName>
    <definedName name="ixRange514" localSheetId="10">#REF!</definedName>
    <definedName name="ixRange514">#REF!</definedName>
    <definedName name="ixRange515" localSheetId="10">#REF!</definedName>
    <definedName name="ixRange515">#REF!</definedName>
    <definedName name="ixRange516" localSheetId="10">#REF!</definedName>
    <definedName name="ixRange516">#REF!</definedName>
    <definedName name="ixRange517" localSheetId="10">#REF!</definedName>
    <definedName name="ixRange517">#REF!</definedName>
    <definedName name="ixRange518" localSheetId="10">#REF!</definedName>
    <definedName name="ixRange518">#REF!</definedName>
    <definedName name="ixRange519" localSheetId="10">#REF!</definedName>
    <definedName name="ixRange519">#REF!</definedName>
    <definedName name="ixRange52" localSheetId="10">#REF!</definedName>
    <definedName name="ixRange52">#REF!</definedName>
    <definedName name="ixRange520" localSheetId="10">#REF!</definedName>
    <definedName name="ixRange520">#REF!</definedName>
    <definedName name="ixRange521" localSheetId="10">#REF!</definedName>
    <definedName name="ixRange521">#REF!</definedName>
    <definedName name="ixRange522" localSheetId="10">#REF!</definedName>
    <definedName name="ixRange522">#REF!</definedName>
    <definedName name="ixRange523" localSheetId="10">#REF!</definedName>
    <definedName name="ixRange523">#REF!</definedName>
    <definedName name="ixRange524" localSheetId="10">#REF!</definedName>
    <definedName name="ixRange524">#REF!</definedName>
    <definedName name="ixRange525" localSheetId="10">#REF!</definedName>
    <definedName name="ixRange525">#REF!</definedName>
    <definedName name="ixRange526" localSheetId="10">#REF!</definedName>
    <definedName name="ixRange526">#REF!</definedName>
    <definedName name="ixRange527" localSheetId="10">#REF!</definedName>
    <definedName name="ixRange527">#REF!</definedName>
    <definedName name="ixRange528" localSheetId="10">#REF!</definedName>
    <definedName name="ixRange528">#REF!</definedName>
    <definedName name="ixRange529" localSheetId="10">#REF!</definedName>
    <definedName name="ixRange529">#REF!</definedName>
    <definedName name="ixRange53" localSheetId="10">#REF!</definedName>
    <definedName name="ixRange53">#REF!</definedName>
    <definedName name="ixRange530" localSheetId="10">#REF!</definedName>
    <definedName name="ixRange530">#REF!</definedName>
    <definedName name="ixRange531" localSheetId="10">#REF!</definedName>
    <definedName name="ixRange531">#REF!</definedName>
    <definedName name="ixRange532" localSheetId="10">#REF!</definedName>
    <definedName name="ixRange532">#REF!</definedName>
    <definedName name="ixRange533" localSheetId="10">#REF!</definedName>
    <definedName name="ixRange533">#REF!</definedName>
    <definedName name="ixRange534" localSheetId="10">#REF!</definedName>
    <definedName name="ixRange534">#REF!</definedName>
    <definedName name="ixRange535" localSheetId="10">#REF!</definedName>
    <definedName name="ixRange535">#REF!</definedName>
    <definedName name="ixRange536" localSheetId="10">#REF!</definedName>
    <definedName name="ixRange536">#REF!</definedName>
    <definedName name="ixRange537" localSheetId="10">#REF!</definedName>
    <definedName name="ixRange537">#REF!</definedName>
    <definedName name="ixRange538" localSheetId="10">#REF!</definedName>
    <definedName name="ixRange538">#REF!</definedName>
    <definedName name="ixRange539" localSheetId="10">#REF!</definedName>
    <definedName name="ixRange539">#REF!</definedName>
    <definedName name="ixRange54" localSheetId="10">#REF!</definedName>
    <definedName name="ixRange54">#REF!</definedName>
    <definedName name="ixRange540" localSheetId="10">#REF!</definedName>
    <definedName name="ixRange540">#REF!</definedName>
    <definedName name="ixRange541" localSheetId="10">#REF!</definedName>
    <definedName name="ixRange541">#REF!</definedName>
    <definedName name="ixRange542" localSheetId="10">#REF!</definedName>
    <definedName name="ixRange542">#REF!</definedName>
    <definedName name="ixRange543" localSheetId="10">#REF!</definedName>
    <definedName name="ixRange543">#REF!</definedName>
    <definedName name="ixRange544" localSheetId="10">#REF!</definedName>
    <definedName name="ixRange544">#REF!</definedName>
    <definedName name="ixRange545" localSheetId="10">#REF!</definedName>
    <definedName name="ixRange545">#REF!</definedName>
    <definedName name="ixRange546" localSheetId="10">#REF!</definedName>
    <definedName name="ixRange546">#REF!</definedName>
    <definedName name="ixRange547" localSheetId="10">#REF!</definedName>
    <definedName name="ixRange547">#REF!</definedName>
    <definedName name="ixRange548" localSheetId="10">#REF!</definedName>
    <definedName name="ixRange548">#REF!</definedName>
    <definedName name="ixRange549" localSheetId="10">#REF!</definedName>
    <definedName name="ixRange549">#REF!</definedName>
    <definedName name="ixRange55" localSheetId="10">#REF!</definedName>
    <definedName name="ixRange55">#REF!</definedName>
    <definedName name="ixRange550" localSheetId="10">#REF!</definedName>
    <definedName name="ixRange550">#REF!</definedName>
    <definedName name="ixRange551" localSheetId="10">#REF!</definedName>
    <definedName name="ixRange551">#REF!</definedName>
    <definedName name="ixRange552" localSheetId="10">#REF!</definedName>
    <definedName name="ixRange552">#REF!</definedName>
    <definedName name="ixRange553" localSheetId="10">#REF!</definedName>
    <definedName name="ixRange553">#REF!</definedName>
    <definedName name="ixRange554" localSheetId="10">#REF!</definedName>
    <definedName name="ixRange554">#REF!</definedName>
    <definedName name="ixRange555" localSheetId="10">#REF!</definedName>
    <definedName name="ixRange555">#REF!</definedName>
    <definedName name="ixRange556" localSheetId="10">#REF!</definedName>
    <definedName name="ixRange556">#REF!</definedName>
    <definedName name="ixRange557" localSheetId="10">#REF!</definedName>
    <definedName name="ixRange557">#REF!</definedName>
    <definedName name="ixRange558" localSheetId="10">#REF!</definedName>
    <definedName name="ixRange558">#REF!</definedName>
    <definedName name="ixRange559" localSheetId="10">#REF!</definedName>
    <definedName name="ixRange559">#REF!</definedName>
    <definedName name="ixRange56" localSheetId="10">#REF!</definedName>
    <definedName name="ixRange56">#REF!</definedName>
    <definedName name="ixRange561" localSheetId="10">#REF!</definedName>
    <definedName name="ixRange561">#REF!</definedName>
    <definedName name="ixRange562" localSheetId="10">#REF!</definedName>
    <definedName name="ixRange562">#REF!</definedName>
    <definedName name="ixRange563" localSheetId="10">#REF!</definedName>
    <definedName name="ixRange563">#REF!</definedName>
    <definedName name="ixRange564" localSheetId="10">#REF!</definedName>
    <definedName name="ixRange564">#REF!</definedName>
    <definedName name="ixRange565" localSheetId="10">#REF!</definedName>
    <definedName name="ixRange565">#REF!</definedName>
    <definedName name="ixRange566" localSheetId="10">#REF!</definedName>
    <definedName name="ixRange566">#REF!</definedName>
    <definedName name="ixRange567" localSheetId="10">#REF!</definedName>
    <definedName name="ixRange567">#REF!</definedName>
    <definedName name="ixRange568" localSheetId="10">#REF!</definedName>
    <definedName name="ixRange568">#REF!</definedName>
    <definedName name="ixRange569" localSheetId="10">#REF!</definedName>
    <definedName name="ixRange569">#REF!</definedName>
    <definedName name="ixRange57" localSheetId="10">#REF!</definedName>
    <definedName name="ixRange57">#REF!</definedName>
    <definedName name="ixRange570" localSheetId="10">#REF!</definedName>
    <definedName name="ixRange570">#REF!</definedName>
    <definedName name="ixRange571" localSheetId="10">#REF!</definedName>
    <definedName name="ixRange571">#REF!</definedName>
    <definedName name="ixRange572" localSheetId="10">#REF!</definedName>
    <definedName name="ixRange572">#REF!</definedName>
    <definedName name="ixRange573" localSheetId="10">#REF!</definedName>
    <definedName name="ixRange573">#REF!</definedName>
    <definedName name="ixRange574" localSheetId="10">#REF!</definedName>
    <definedName name="ixRange574">#REF!</definedName>
    <definedName name="ixRange575" localSheetId="10">#REF!</definedName>
    <definedName name="ixRange575">#REF!</definedName>
    <definedName name="ixRange576" localSheetId="10">#REF!</definedName>
    <definedName name="ixRange576">#REF!</definedName>
    <definedName name="ixRange577" localSheetId="10">#REF!</definedName>
    <definedName name="ixRange577">#REF!</definedName>
    <definedName name="ixRange578" localSheetId="10">#REF!</definedName>
    <definedName name="ixRange578">#REF!</definedName>
    <definedName name="ixRange579" localSheetId="10">#REF!</definedName>
    <definedName name="ixRange579">#REF!</definedName>
    <definedName name="ixRange58" localSheetId="10">#REF!</definedName>
    <definedName name="ixRange58">#REF!</definedName>
    <definedName name="ixRange580" localSheetId="10">#REF!</definedName>
    <definedName name="ixRange580">#REF!</definedName>
    <definedName name="ixRange581" localSheetId="10">#REF!</definedName>
    <definedName name="ixRange581">#REF!</definedName>
    <definedName name="ixRange582" localSheetId="10">#REF!</definedName>
    <definedName name="ixRange582">#REF!</definedName>
    <definedName name="ixRange583" localSheetId="10">#REF!</definedName>
    <definedName name="ixRange583">#REF!</definedName>
    <definedName name="ixRange584" localSheetId="10">#REF!</definedName>
    <definedName name="ixRange584">#REF!</definedName>
    <definedName name="ixRange585" localSheetId="10">#REF!</definedName>
    <definedName name="ixRange585">#REF!</definedName>
    <definedName name="ixRange586" localSheetId="10">#REF!</definedName>
    <definedName name="ixRange586">#REF!</definedName>
    <definedName name="ixRange587" localSheetId="10">#REF!</definedName>
    <definedName name="ixRange587">#REF!</definedName>
    <definedName name="ixRange588" localSheetId="10">#REF!</definedName>
    <definedName name="ixRange588">#REF!</definedName>
    <definedName name="ixRange589" localSheetId="10">#REF!</definedName>
    <definedName name="ixRange589">#REF!</definedName>
    <definedName name="ixRange59" localSheetId="10">#REF!</definedName>
    <definedName name="ixRange59">#REF!</definedName>
    <definedName name="ixRange590" localSheetId="10">#REF!</definedName>
    <definedName name="ixRange590">#REF!</definedName>
    <definedName name="ixRange591" localSheetId="10">#REF!</definedName>
    <definedName name="ixRange591">#REF!</definedName>
    <definedName name="ixRange592" localSheetId="10">#REF!</definedName>
    <definedName name="ixRange592">#REF!</definedName>
    <definedName name="ixRange593" localSheetId="10">#REF!</definedName>
    <definedName name="ixRange593">#REF!</definedName>
    <definedName name="ixRange594" localSheetId="10">#REF!</definedName>
    <definedName name="ixRange594">#REF!</definedName>
    <definedName name="ixRange595" localSheetId="10">#REF!</definedName>
    <definedName name="ixRange595">#REF!</definedName>
    <definedName name="ixRange596" localSheetId="10">#REF!</definedName>
    <definedName name="ixRange596">#REF!</definedName>
    <definedName name="ixRange597" localSheetId="10">#REF!</definedName>
    <definedName name="ixRange597">#REF!</definedName>
    <definedName name="ixRange598" localSheetId="10">#REF!</definedName>
    <definedName name="ixRange598">#REF!</definedName>
    <definedName name="ixRange599" localSheetId="10">#REF!</definedName>
    <definedName name="ixRange599">#REF!</definedName>
    <definedName name="ixRange6" localSheetId="10">#REF!</definedName>
    <definedName name="ixRange6">#REF!</definedName>
    <definedName name="ixRange60" localSheetId="10">#REF!</definedName>
    <definedName name="ixRange60">#REF!</definedName>
    <definedName name="ixRange600" localSheetId="10">#REF!</definedName>
    <definedName name="ixRange600">#REF!</definedName>
    <definedName name="ixRange601" localSheetId="10">#REF!</definedName>
    <definedName name="ixRange601">#REF!</definedName>
    <definedName name="ixRange602" localSheetId="10">#REF!</definedName>
    <definedName name="ixRange602">#REF!</definedName>
    <definedName name="ixRange603" localSheetId="10">#REF!</definedName>
    <definedName name="ixRange603">#REF!</definedName>
    <definedName name="ixRange604" localSheetId="10">#REF!</definedName>
    <definedName name="ixRange604">#REF!</definedName>
    <definedName name="ixRange605" localSheetId="10">#REF!</definedName>
    <definedName name="ixRange605">#REF!</definedName>
    <definedName name="ixRange606" localSheetId="10">#REF!</definedName>
    <definedName name="ixRange606">#REF!</definedName>
    <definedName name="ixRange607" localSheetId="10">#REF!</definedName>
    <definedName name="ixRange607">#REF!</definedName>
    <definedName name="ixRange608" localSheetId="10">#REF!</definedName>
    <definedName name="ixRange608">#REF!</definedName>
    <definedName name="ixRange609" localSheetId="10">#REF!</definedName>
    <definedName name="ixRange609">#REF!</definedName>
    <definedName name="ixRange61" localSheetId="10">#REF!</definedName>
    <definedName name="ixRange61">#REF!</definedName>
    <definedName name="ixRange610" localSheetId="10">#REF!</definedName>
    <definedName name="ixRange610">#REF!</definedName>
    <definedName name="ixRange611" localSheetId="10">#REF!</definedName>
    <definedName name="ixRange611">#REF!</definedName>
    <definedName name="ixRange612" localSheetId="10">#REF!</definedName>
    <definedName name="ixRange612">#REF!</definedName>
    <definedName name="ixRange613" localSheetId="10">#REF!</definedName>
    <definedName name="ixRange613">#REF!</definedName>
    <definedName name="ixRange614" localSheetId="10">#REF!</definedName>
    <definedName name="ixRange614">#REF!</definedName>
    <definedName name="ixRange615" localSheetId="10">#REF!</definedName>
    <definedName name="ixRange615">#REF!</definedName>
    <definedName name="ixRange616" localSheetId="10">#REF!</definedName>
    <definedName name="ixRange616">#REF!</definedName>
    <definedName name="ixRange617" localSheetId="10">#REF!</definedName>
    <definedName name="ixRange617">#REF!</definedName>
    <definedName name="ixRange618" localSheetId="10">#REF!</definedName>
    <definedName name="ixRange618">#REF!</definedName>
    <definedName name="ixRange619" localSheetId="10">#REF!</definedName>
    <definedName name="ixRange619">#REF!</definedName>
    <definedName name="ixRange62" localSheetId="10">#REF!</definedName>
    <definedName name="ixRange62">#REF!</definedName>
    <definedName name="ixRange621" localSheetId="10">#REF!</definedName>
    <definedName name="ixRange621">#REF!</definedName>
    <definedName name="ixRange622" localSheetId="10">#REF!</definedName>
    <definedName name="ixRange622">#REF!</definedName>
    <definedName name="ixRange623" localSheetId="10">#REF!</definedName>
    <definedName name="ixRange623">#REF!</definedName>
    <definedName name="ixRange624" localSheetId="10">#REF!</definedName>
    <definedName name="ixRange624">#REF!</definedName>
    <definedName name="ixRange625" localSheetId="10">#REF!</definedName>
    <definedName name="ixRange625">#REF!</definedName>
    <definedName name="ixRange626" localSheetId="10">#REF!</definedName>
    <definedName name="ixRange626">#REF!</definedName>
    <definedName name="ixRange627" localSheetId="10">#REF!</definedName>
    <definedName name="ixRange627">#REF!</definedName>
    <definedName name="ixRange628" localSheetId="10">#REF!</definedName>
    <definedName name="ixRange628">#REF!</definedName>
    <definedName name="ixRange629" localSheetId="10">#REF!</definedName>
    <definedName name="ixRange629">#REF!</definedName>
    <definedName name="ixRange63" localSheetId="10">#REF!</definedName>
    <definedName name="ixRange63">#REF!</definedName>
    <definedName name="ixRange630" localSheetId="10">#REF!</definedName>
    <definedName name="ixRange630">#REF!</definedName>
    <definedName name="ixRange631" localSheetId="10">#REF!</definedName>
    <definedName name="ixRange631">#REF!</definedName>
    <definedName name="ixRange632" localSheetId="10">#REF!</definedName>
    <definedName name="ixRange632">#REF!</definedName>
    <definedName name="ixRange633" localSheetId="10">#REF!</definedName>
    <definedName name="ixRange633">#REF!</definedName>
    <definedName name="ixRange634" localSheetId="10">#REF!</definedName>
    <definedName name="ixRange634">#REF!</definedName>
    <definedName name="ixRange635" localSheetId="10">#REF!</definedName>
    <definedName name="ixRange635">#REF!</definedName>
    <definedName name="ixRange636" localSheetId="10">#REF!</definedName>
    <definedName name="ixRange636">#REF!</definedName>
    <definedName name="ixRange637" localSheetId="10">#REF!</definedName>
    <definedName name="ixRange637">#REF!</definedName>
    <definedName name="ixRange638" localSheetId="10">#REF!</definedName>
    <definedName name="ixRange638">#REF!</definedName>
    <definedName name="ixRange639" localSheetId="10">#REF!</definedName>
    <definedName name="ixRange639">#REF!</definedName>
    <definedName name="ixRange64" localSheetId="10">#REF!</definedName>
    <definedName name="ixRange64">#REF!</definedName>
    <definedName name="ixRange640" localSheetId="10">#REF!</definedName>
    <definedName name="ixRange640">#REF!</definedName>
    <definedName name="ixRange641" localSheetId="10">#REF!</definedName>
    <definedName name="ixRange641">#REF!</definedName>
    <definedName name="ixRange642" localSheetId="10">#REF!</definedName>
    <definedName name="ixRange642">#REF!</definedName>
    <definedName name="ixRange643" localSheetId="10">#REF!</definedName>
    <definedName name="ixRange643">#REF!</definedName>
    <definedName name="ixRange644" localSheetId="10">#REF!</definedName>
    <definedName name="ixRange644">#REF!</definedName>
    <definedName name="ixRange645" localSheetId="10">#REF!</definedName>
    <definedName name="ixRange645">#REF!</definedName>
    <definedName name="ixRange646" localSheetId="10">#REF!</definedName>
    <definedName name="ixRange646">#REF!</definedName>
    <definedName name="ixRange647" localSheetId="10">#REF!</definedName>
    <definedName name="ixRange647">#REF!</definedName>
    <definedName name="ixRange648" localSheetId="10">#REF!</definedName>
    <definedName name="ixRange648">#REF!</definedName>
    <definedName name="ixRange649" localSheetId="10">#REF!</definedName>
    <definedName name="ixRange649">#REF!</definedName>
    <definedName name="ixRange65" localSheetId="10">#REF!</definedName>
    <definedName name="ixRange65">#REF!</definedName>
    <definedName name="ixRange650" localSheetId="10">#REF!</definedName>
    <definedName name="ixRange650">#REF!</definedName>
    <definedName name="ixRange651" localSheetId="10">#REF!</definedName>
    <definedName name="ixRange651">#REF!</definedName>
    <definedName name="ixRange652" localSheetId="10">#REF!</definedName>
    <definedName name="ixRange652">#REF!</definedName>
    <definedName name="ixRange653" localSheetId="10">#REF!</definedName>
    <definedName name="ixRange653">#REF!</definedName>
    <definedName name="ixRange654" localSheetId="10">#REF!</definedName>
    <definedName name="ixRange654">#REF!</definedName>
    <definedName name="ixRange655" localSheetId="10">#REF!</definedName>
    <definedName name="ixRange655">#REF!</definedName>
    <definedName name="ixRange656" localSheetId="10">#REF!</definedName>
    <definedName name="ixRange656">#REF!</definedName>
    <definedName name="ixRange657" localSheetId="10">#REF!</definedName>
    <definedName name="ixRange657">#REF!</definedName>
    <definedName name="ixRange658" localSheetId="10">#REF!</definedName>
    <definedName name="ixRange658">#REF!</definedName>
    <definedName name="ixRange659" localSheetId="10">#REF!</definedName>
    <definedName name="ixRange659">#REF!</definedName>
    <definedName name="ixRange66" localSheetId="10">#REF!</definedName>
    <definedName name="ixRange66">#REF!</definedName>
    <definedName name="ixRange67" localSheetId="10">#REF!</definedName>
    <definedName name="ixRange67">#REF!</definedName>
    <definedName name="ixRange68" localSheetId="10">#REF!</definedName>
    <definedName name="ixRange68">#REF!</definedName>
    <definedName name="ixRange69" localSheetId="10">#REF!</definedName>
    <definedName name="ixRange69">#REF!</definedName>
    <definedName name="ixRange7" localSheetId="10">#REF!</definedName>
    <definedName name="ixRange7">#REF!</definedName>
    <definedName name="ixRange70" localSheetId="10">#REF!</definedName>
    <definedName name="ixRange70">#REF!</definedName>
    <definedName name="ixRange71" localSheetId="10">#REF!</definedName>
    <definedName name="ixRange71">#REF!</definedName>
    <definedName name="ixRange72" localSheetId="10">#REF!</definedName>
    <definedName name="ixRange72">#REF!</definedName>
    <definedName name="ixRange73" localSheetId="10">#REF!</definedName>
    <definedName name="ixRange73">#REF!</definedName>
    <definedName name="ixRange74" localSheetId="10">#REF!</definedName>
    <definedName name="ixRange74">#REF!</definedName>
    <definedName name="ixRange75" localSheetId="10">#REF!</definedName>
    <definedName name="ixRange75">#REF!</definedName>
    <definedName name="ixRange76" localSheetId="10">#REF!</definedName>
    <definedName name="ixRange76">#REF!</definedName>
    <definedName name="ixRange77" localSheetId="10">#REF!</definedName>
    <definedName name="ixRange77">#REF!</definedName>
    <definedName name="ixRange78" localSheetId="10">#REF!</definedName>
    <definedName name="ixRange78">#REF!</definedName>
    <definedName name="ixRange79" localSheetId="10">#REF!</definedName>
    <definedName name="ixRange79">#REF!</definedName>
    <definedName name="ixRange8" localSheetId="10">#REF!</definedName>
    <definedName name="ixRange8">#REF!</definedName>
    <definedName name="ixRange81" localSheetId="10">#REF!</definedName>
    <definedName name="ixRange81">#REF!</definedName>
    <definedName name="ixRange82" localSheetId="10">#REF!</definedName>
    <definedName name="ixRange82">#REF!</definedName>
    <definedName name="ixRange83" localSheetId="10">#REF!</definedName>
    <definedName name="ixRange83">#REF!</definedName>
    <definedName name="ixRange84" localSheetId="10">#REF!</definedName>
    <definedName name="ixRange84">#REF!</definedName>
    <definedName name="ixRange85" localSheetId="10">#REF!</definedName>
    <definedName name="ixRange85">#REF!</definedName>
    <definedName name="ixRange86" localSheetId="10">#REF!</definedName>
    <definedName name="ixRange86">#REF!</definedName>
    <definedName name="ixRange87" localSheetId="10">#REF!</definedName>
    <definedName name="ixRange87">#REF!</definedName>
    <definedName name="ixRange88" localSheetId="10">#REF!</definedName>
    <definedName name="ixRange88">#REF!</definedName>
    <definedName name="ixRange89" localSheetId="10">#REF!</definedName>
    <definedName name="ixRange89">#REF!</definedName>
    <definedName name="ixRange9" localSheetId="10">#REF!</definedName>
    <definedName name="ixRange9">#REF!</definedName>
    <definedName name="ixRange90" localSheetId="10">#REF!</definedName>
    <definedName name="ixRange90">#REF!</definedName>
    <definedName name="ixRange91" localSheetId="10">#REF!</definedName>
    <definedName name="ixRange91">#REF!</definedName>
    <definedName name="ixRange92" localSheetId="10">#REF!</definedName>
    <definedName name="ixRange92">#REF!</definedName>
    <definedName name="ixRange93" localSheetId="10">#REF!</definedName>
    <definedName name="ixRange93">#REF!</definedName>
    <definedName name="ixRange94" localSheetId="10">#REF!</definedName>
    <definedName name="ixRange94">#REF!</definedName>
    <definedName name="ixRange95" localSheetId="10">#REF!</definedName>
    <definedName name="ixRange95">#REF!</definedName>
    <definedName name="ixRange96" localSheetId="10">#REF!</definedName>
    <definedName name="ixRange96">#REF!</definedName>
    <definedName name="ixRange97" localSheetId="10">#REF!</definedName>
    <definedName name="ixRange97">#REF!</definedName>
    <definedName name="ixRange98" localSheetId="10">#REF!</definedName>
    <definedName name="ixRange98">#REF!</definedName>
    <definedName name="ixRange99" localSheetId="10">#REF!</definedName>
    <definedName name="ixRange99">#REF!</definedName>
    <definedName name="JPFEB" localSheetId="10">#REF!</definedName>
    <definedName name="JPFEB">#REF!</definedName>
    <definedName name="JPJAN" localSheetId="10">#REF!</definedName>
    <definedName name="JPJAN">#REF!</definedName>
    <definedName name="kontoplan" localSheetId="10">#REF!</definedName>
    <definedName name="kontoplan">#REF!</definedName>
    <definedName name="Last_Row" localSheetId="6">IF(Efficiency!Values_Entered,Header_Row+Efficiency!Number_of_Payments,Header_Row)</definedName>
    <definedName name="Last_Row" localSheetId="10">IF(Logistic!Values_Entered,Logistic!Header_Row+Logistic!Number_of_Payments,Logistic!Header_Row)</definedName>
    <definedName name="Last_Row" localSheetId="0">IF(Note!Values_Entered,Header_Row+Note!Number_of_Payments,Header_Row)</definedName>
    <definedName name="Last_Row" localSheetId="1">IF(People!Values_Entered,Header_Row+People!Number_of_Payments,Header_Row)</definedName>
    <definedName name="Last_Row" localSheetId="2">IF(People_2!Values_Entered,Header_Row+People_2!Number_of_Payments,Header_Row)</definedName>
    <definedName name="Last_Row">IF([0]!Values_Entered,Header_Row+[0]!Number_of_Payments,Header_Row)</definedName>
    <definedName name="Less_1M" localSheetId="6">#REF!</definedName>
    <definedName name="Less_1M" localSheetId="10">#REF!</definedName>
    <definedName name="Less_1M" localSheetId="0">#REF!</definedName>
    <definedName name="Less_1M" localSheetId="1">#REF!</definedName>
    <definedName name="Less_1M" localSheetId="2">#REF!</definedName>
    <definedName name="Less_1M">#REF!</definedName>
    <definedName name="liste" localSheetId="6">#REF!</definedName>
    <definedName name="liste" localSheetId="10">#REF!</definedName>
    <definedName name="liste" localSheetId="0">#REF!</definedName>
    <definedName name="liste" localSheetId="1">#REF!</definedName>
    <definedName name="liste" localSheetId="2">#REF!</definedName>
    <definedName name="liste">#REF!</definedName>
    <definedName name="Loan_Amount" localSheetId="6">#REF!</definedName>
    <definedName name="Loan_Amount" localSheetId="10">#REF!</definedName>
    <definedName name="Loan_Amount" localSheetId="0">#REF!</definedName>
    <definedName name="Loan_Amount" localSheetId="1">#REF!</definedName>
    <definedName name="Loan_Amount" localSheetId="2">#REF!</definedName>
    <definedName name="Loan_Amount">#REF!</definedName>
    <definedName name="Loan_Start" localSheetId="10">#REF!</definedName>
    <definedName name="Loan_Start">#REF!</definedName>
    <definedName name="Loan_Years" localSheetId="10">#REF!</definedName>
    <definedName name="Loan_Years">#REF!</definedName>
    <definedName name="Macro1">#N/A</definedName>
    <definedName name="Macro2">#N/A</definedName>
    <definedName name="Macro3">#N/A</definedName>
    <definedName name="Macro4">#N/A</definedName>
    <definedName name="Macro5">#N/A</definedName>
    <definedName name="Macro6">#N/A</definedName>
    <definedName name="Macro8">#N/A</definedName>
    <definedName name="MAVDIR" localSheetId="6">#REF!</definedName>
    <definedName name="MAVDIR" localSheetId="10">#REF!</definedName>
    <definedName name="MAVDIR" localSheetId="0">#REF!</definedName>
    <definedName name="MAVDIR" localSheetId="1">#REF!</definedName>
    <definedName name="MAVDIR" localSheetId="2">#REF!</definedName>
    <definedName name="MAVDIR">#REF!</definedName>
    <definedName name="MP" localSheetId="6">#REF!</definedName>
    <definedName name="MP" localSheetId="10">#REF!</definedName>
    <definedName name="MP" localSheetId="0">#REF!</definedName>
    <definedName name="MP" localSheetId="1">#REF!</definedName>
    <definedName name="MP" localSheetId="2">#REF!</definedName>
    <definedName name="MP">#REF!</definedName>
    <definedName name="MS_S" localSheetId="6">#REF!</definedName>
    <definedName name="MS_S" localSheetId="10">#REF!</definedName>
    <definedName name="MS_S" localSheetId="0">#REF!</definedName>
    <definedName name="MS_S" localSheetId="1">#REF!</definedName>
    <definedName name="MS_S" localSheetId="2">#REF!</definedName>
    <definedName name="MS_S">#REF!</definedName>
    <definedName name="MS_T" localSheetId="10">#REF!</definedName>
    <definedName name="MS_T">#REF!</definedName>
    <definedName name="muscle" localSheetId="10">#REF!</definedName>
    <definedName name="muscle">#REF!</definedName>
    <definedName name="n" localSheetId="10">#REF!</definedName>
    <definedName name="n">#REF!</definedName>
    <definedName name="NAS" localSheetId="10">#REF!</definedName>
    <definedName name="NAS">#REF!</definedName>
    <definedName name="Nbre_de_Paiements" localSheetId="6">MATCH(0.01,Solde_Final,-1)+1</definedName>
    <definedName name="Nbre_de_Paiements" localSheetId="10">MATCH(0.01,Solde_Final,-1)+1</definedName>
    <definedName name="Nbre_de_Paiements" localSheetId="0">MATCH(0.01,Solde_Final,-1)+1</definedName>
    <definedName name="Nbre_de_Paiements" localSheetId="1">MATCH(0.01,Solde_Final,-1)+1</definedName>
    <definedName name="Nbre_de_Paiements" localSheetId="2">MATCH(0.01,Solde_Final,-1)+1</definedName>
    <definedName name="Nbre_de_Paiements">MATCH(0.01,Solde_Final,-1)+1</definedName>
    <definedName name="newco">FALSE</definedName>
    <definedName name="NFG" localSheetId="6">#REF!</definedName>
    <definedName name="NFG" localSheetId="10">#REF!</definedName>
    <definedName name="NFG" localSheetId="0">#REF!</definedName>
    <definedName name="NFG" localSheetId="1">#REF!</definedName>
    <definedName name="NFG" localSheetId="2">#REF!</definedName>
    <definedName name="NFG">#REF!</definedName>
    <definedName name="Niklas">"name"</definedName>
    <definedName name="NonTrad" localSheetId="6">#REF!</definedName>
    <definedName name="NonTrad" localSheetId="10">#REF!</definedName>
    <definedName name="NonTrad" localSheetId="0">#REF!</definedName>
    <definedName name="NonTrad" localSheetId="1">#REF!</definedName>
    <definedName name="NonTrad" localSheetId="2">#REF!</definedName>
    <definedName name="NonTrad">#REF!</definedName>
    <definedName name="nr_mese" localSheetId="6">#REF!</definedName>
    <definedName name="nr_mese" localSheetId="10">#REF!</definedName>
    <definedName name="nr_mese" localSheetId="0">#REF!</definedName>
    <definedName name="nr_mese" localSheetId="1">#REF!</definedName>
    <definedName name="nr_mese" localSheetId="2">#REF!</definedName>
    <definedName name="nr_mese">#REF!</definedName>
    <definedName name="NSMTD05_EUR" localSheetId="6">#REF!</definedName>
    <definedName name="NSMTD05_EUR" localSheetId="10">#REF!</definedName>
    <definedName name="NSMTD05_EUR" localSheetId="0">#REF!</definedName>
    <definedName name="NSMTD05_EUR" localSheetId="1">#REF!</definedName>
    <definedName name="NSMTD05_EUR" localSheetId="2">#REF!</definedName>
    <definedName name="NSMTD05_EUR">#REF!</definedName>
    <definedName name="NSMTD06_EUR" localSheetId="10">#REF!</definedName>
    <definedName name="NSMTD06_EUR">#REF!</definedName>
    <definedName name="Num_Pmt_Per_Year" localSheetId="10">#REF!</definedName>
    <definedName name="Num_Pmt_Per_Year">#REF!</definedName>
    <definedName name="Number_of_Payments" localSheetId="6">MATCH(0.01,Efficiency!End_Bal,-1)+1</definedName>
    <definedName name="Number_of_Payments" localSheetId="10">MATCH(0.01,Logistic!End_Bal,-1)+1</definedName>
    <definedName name="Number_of_Payments" localSheetId="0">MATCH(0.01,Note!End_Bal,-1)+1</definedName>
    <definedName name="Number_of_Payments" localSheetId="1">MATCH(0.01,People!End_Bal,-1)+1</definedName>
    <definedName name="Number_of_Payments" localSheetId="2">MATCH(0.01,People_2!End_Bal,-1)+1</definedName>
    <definedName name="Number_of_Payments">MATCH(0.01,End_Bal,-1)+1</definedName>
    <definedName name="numero_mese" localSheetId="6">#REF!</definedName>
    <definedName name="numero_mese" localSheetId="10">#REF!</definedName>
    <definedName name="numero_mese" localSheetId="0">#REF!</definedName>
    <definedName name="numero_mese" localSheetId="1">#REF!</definedName>
    <definedName name="numero_mese" localSheetId="2">#REF!</definedName>
    <definedName name="numero_mese">#REF!</definedName>
    <definedName name="numeromese" localSheetId="6">#REF!</definedName>
    <definedName name="numeromese" localSheetId="10">#REF!</definedName>
    <definedName name="numeromese" localSheetId="0">#REF!</definedName>
    <definedName name="numeromese" localSheetId="1">#REF!</definedName>
    <definedName name="numeromese" localSheetId="2">#REF!</definedName>
    <definedName name="numeromese">#REF!</definedName>
    <definedName name="order_volumes" localSheetId="6">#REF!</definedName>
    <definedName name="order_volumes" localSheetId="10">#REF!</definedName>
    <definedName name="order_volumes" localSheetId="0">#REF!</definedName>
    <definedName name="order_volumes" localSheetId="1">#REF!</definedName>
    <definedName name="order_volumes" localSheetId="2">#REF!</definedName>
    <definedName name="order_volumes">#REF!</definedName>
    <definedName name="PAG" localSheetId="10">#REF!</definedName>
    <definedName name="PAG">#REF!</definedName>
    <definedName name="Pay_Date" localSheetId="10">#REF!</definedName>
    <definedName name="Pay_Date">#REF!</definedName>
    <definedName name="Pay_Num" localSheetId="10">#REF!</definedName>
    <definedName name="Pay_Num">#REF!</definedName>
    <definedName name="Payment_Date" localSheetId="6">DATE(YEAR(Loan_Start),MONTH(Loan_Start)+Payment_Number,DAY(Loan_Start))</definedName>
    <definedName name="Payment_Date" localSheetId="10">DATE(YEAR(Logistic!Loan_Start),MONTH(Logistic!Loan_Start)+Payment_Number,DAY(Logistic!Loan_Start))</definedName>
    <definedName name="Payment_Date" localSheetId="0">DATE(YEAR(Loan_Start),MONTH(Loan_Start)+Payment_Number,DAY(Loan_Start))</definedName>
    <definedName name="Payment_Date" localSheetId="1">DATE(YEAR(Loan_Start),MONTH(Loan_Start)+Payment_Number,DAY(Loan_Start))</definedName>
    <definedName name="Payment_Date" localSheetId="2">DATE(YEAR(Loan_Start),MONTH(Loan_Start)+Payment_Number,DAY(Loan_Start))</definedName>
    <definedName name="Payment_Date">DATE(YEAR(Loan_Start),MONTH(Loan_Start)+Payment_Number,DAY(Loan_Start))</definedName>
    <definedName name="PC_Chg15" localSheetId="6">#REF!</definedName>
    <definedName name="PC_Chg15" localSheetId="10">#REF!</definedName>
    <definedName name="PC_Chg15" localSheetId="0">#REF!</definedName>
    <definedName name="PC_Chg15" localSheetId="1">#REF!</definedName>
    <definedName name="PC_Chg15" localSheetId="2">#REF!</definedName>
    <definedName name="PC_Chg15">#REF!</definedName>
    <definedName name="PC_Chg16" localSheetId="6">#REF!</definedName>
    <definedName name="PC_Chg16" localSheetId="10">#REF!</definedName>
    <definedName name="PC_Chg16" localSheetId="0">#REF!</definedName>
    <definedName name="PC_Chg16" localSheetId="1">#REF!</definedName>
    <definedName name="PC_Chg16" localSheetId="2">#REF!</definedName>
    <definedName name="PC_Chg16">#REF!</definedName>
    <definedName name="PILOTI" localSheetId="6">#REF!</definedName>
    <definedName name="PILOTI" localSheetId="10">#REF!</definedName>
    <definedName name="PILOTI" localSheetId="0">#REF!</definedName>
    <definedName name="PILOTI" localSheetId="1">#REF!</definedName>
    <definedName name="PILOTI" localSheetId="2">#REF!</definedName>
    <definedName name="PILOTI">#REF!</definedName>
    <definedName name="POC2013GM_POCtab" localSheetId="10">#REF!</definedName>
    <definedName name="POC2013GM_POCtab">#REF!</definedName>
    <definedName name="POCFRJULY14" localSheetId="10">#REF!</definedName>
    <definedName name="POCFRJULY14">#REF!</definedName>
    <definedName name="Princ" localSheetId="10">#REF!</definedName>
    <definedName name="Princ">#REF!</definedName>
    <definedName name="print_ajust" localSheetId="6" hidden="1">{#N/A,#N/A,FALSE,"KCost-DM"}</definedName>
    <definedName name="print_ajust" localSheetId="10" hidden="1">{#N/A,#N/A,FALSE,"KCost-DM"}</definedName>
    <definedName name="print_ajust" localSheetId="0" hidden="1">{#N/A,#N/A,FALSE,"KCost-DM"}</definedName>
    <definedName name="print_ajust" localSheetId="1" hidden="1">{#N/A,#N/A,FALSE,"KCost-DM"}</definedName>
    <definedName name="print_ajust" localSheetId="2" hidden="1">{#N/A,#N/A,FALSE,"KCost-DM"}</definedName>
    <definedName name="print_ajust" hidden="1">{#N/A,#N/A,FALSE,"KCost-DM"}</definedName>
    <definedName name="Print_Area_Reset" localSheetId="6">OFFSET(Full_Print,0,0,Efficiency!Last_Row)</definedName>
    <definedName name="Print_Area_Reset" localSheetId="10">OFFSET(Logistic!Full_Print,0,0,Logistic!Last_Row)</definedName>
    <definedName name="Print_Area_Reset" localSheetId="0">OFFSET(Full_Print,0,0,Note!Last_Row)</definedName>
    <definedName name="Print_Area_Reset" localSheetId="1">OFFSET(Full_Print,0,0,People!Last_Row)</definedName>
    <definedName name="Print_Area_Reset" localSheetId="2">OFFSET(Full_Print,0,0,People_2!Last_Row)</definedName>
    <definedName name="Print_Area_Reset">OFFSET(Full_Print,0,0,Last_Row)</definedName>
    <definedName name="Prix_min_euro" localSheetId="6">#REF!</definedName>
    <definedName name="Prix_min_euro" localSheetId="10">#REF!</definedName>
    <definedName name="Prix_min_euro" localSheetId="0">#REF!</definedName>
    <definedName name="Prix_min_euro" localSheetId="1">#REF!</definedName>
    <definedName name="Prix_min_euro" localSheetId="2">#REF!</definedName>
    <definedName name="Prix_min_euro">#REF!</definedName>
    <definedName name="Prix_min_euro_6" localSheetId="6">#REF!</definedName>
    <definedName name="Prix_min_euro_6" localSheetId="10">#REF!</definedName>
    <definedName name="Prix_min_euro_6" localSheetId="0">#REF!</definedName>
    <definedName name="Prix_min_euro_6" localSheetId="1">#REF!</definedName>
    <definedName name="Prix_min_euro_6" localSheetId="2">#REF!</definedName>
    <definedName name="Prix_min_euro_6">#REF!</definedName>
    <definedName name="Project" localSheetId="6">#REF!</definedName>
    <definedName name="Project" localSheetId="10">#REF!</definedName>
    <definedName name="Project" localSheetId="0">#REF!</definedName>
    <definedName name="Project" localSheetId="1">#REF!</definedName>
    <definedName name="Project" localSheetId="2">#REF!</definedName>
    <definedName name="Project">#REF!</definedName>
    <definedName name="Project_Name" localSheetId="10">#REF!</definedName>
    <definedName name="Project_Name">#REF!</definedName>
    <definedName name="Projects" localSheetId="10">#REF!</definedName>
    <definedName name="Projects">#REF!</definedName>
    <definedName name="Q114DIO" localSheetId="10">#REF!</definedName>
    <definedName name="Q114DIO">#REF!</definedName>
    <definedName name="Q114DSO" localSheetId="10">#REF!</definedName>
    <definedName name="Q114DSO">#REF!</definedName>
    <definedName name="Q214DIO" localSheetId="10">#REF!</definedName>
    <definedName name="Q214DIO">#REF!</definedName>
    <definedName name="Q214DSO" localSheetId="10">#REF!</definedName>
    <definedName name="Q214DSO">#REF!</definedName>
    <definedName name="Q314DIO" localSheetId="10">#REF!</definedName>
    <definedName name="Q314DIO">#REF!</definedName>
    <definedName name="Q314DSO" localSheetId="10">#REF!</definedName>
    <definedName name="Q314DSO">#REF!</definedName>
    <definedName name="Q414DIO" localSheetId="10">#REF!</definedName>
    <definedName name="Q414DIO">#REF!</definedName>
    <definedName name="Q414DSO" localSheetId="10">#REF!</definedName>
    <definedName name="Q414DSO">#REF!</definedName>
    <definedName name="range" localSheetId="10">#REF!</definedName>
    <definedName name="range">#REF!</definedName>
    <definedName name="Réinit_Zone_Impression" localSheetId="6">OFFSET(Impression_Entière,0,0,Dernière_Ligne)</definedName>
    <definedName name="Réinit_Zone_Impression" localSheetId="10">OFFSET(Impression_Entière,0,0,Dernière_Ligne)</definedName>
    <definedName name="Réinit_Zone_Impression" localSheetId="0">OFFSET(Impression_Entière,0,0,Dernière_Ligne)</definedName>
    <definedName name="Réinit_Zone_Impression" localSheetId="1">OFFSET(Impression_Entière,0,0,Dernière_Ligne)</definedName>
    <definedName name="Réinit_Zone_Impression" localSheetId="2">OFFSET(Impression_Entière,0,0,Dernière_Ligne)</definedName>
    <definedName name="Réinit_Zone_Impression">OFFSET(Impression_Entière,0,0,Dernière_Ligne)</definedName>
    <definedName name="reit" localSheetId="6">#REF!</definedName>
    <definedName name="reit" localSheetId="10">#REF!</definedName>
    <definedName name="reit" localSheetId="0">#REF!</definedName>
    <definedName name="reit" localSheetId="1">#REF!</definedName>
    <definedName name="reit" localSheetId="2">#REF!</definedName>
    <definedName name="reit">#REF!</definedName>
    <definedName name="report" localSheetId="6">#REF!</definedName>
    <definedName name="report" localSheetId="10">#REF!</definedName>
    <definedName name="report" localSheetId="0">#REF!</definedName>
    <definedName name="report" localSheetId="1">#REF!</definedName>
    <definedName name="report" localSheetId="2">#REF!</definedName>
    <definedName name="report">#REF!</definedName>
    <definedName name="ReportCreated">TRUE</definedName>
    <definedName name="ricavilordibdg" localSheetId="6">#REF!</definedName>
    <definedName name="ricavilordibdg" localSheetId="10">#REF!</definedName>
    <definedName name="ricavilordibdg" localSheetId="0">#REF!</definedName>
    <definedName name="ricavilordibdg" localSheetId="1">#REF!</definedName>
    <definedName name="ricavilordibdg" localSheetId="2">#REF!</definedName>
    <definedName name="ricavilordibdg">#REF!</definedName>
    <definedName name="RUDY" localSheetId="6">#REF!</definedName>
    <definedName name="RUDY" localSheetId="10">#REF!</definedName>
    <definedName name="RUDY" localSheetId="0">#REF!</definedName>
    <definedName name="RUDY" localSheetId="1">#REF!</definedName>
    <definedName name="RUDY" localSheetId="2">#REF!</definedName>
    <definedName name="RUDY">#REF!</definedName>
    <definedName name="sales_change" localSheetId="10">#REF!</definedName>
    <definedName name="sales_change">#REF!</definedName>
    <definedName name="salto1" localSheetId="10">#REF!</definedName>
    <definedName name="salto1">#REF!</definedName>
    <definedName name="salto2" localSheetId="10">#REF!</definedName>
    <definedName name="salto2">#REF!</definedName>
    <definedName name="Sched_Pay" localSheetId="10">#REF!</definedName>
    <definedName name="Sched_Pay">#REF!</definedName>
    <definedName name="scheda" localSheetId="6">#REF!:#REF!</definedName>
    <definedName name="scheda" localSheetId="10">#REF!:#REF!</definedName>
    <definedName name="scheda" localSheetId="0">#REF!:#REF!</definedName>
    <definedName name="scheda" localSheetId="1">#REF!:#REF!</definedName>
    <definedName name="scheda" localSheetId="2">#REF!:#REF!</definedName>
    <definedName name="scheda">#REF!:#REF!</definedName>
    <definedName name="Scheduled_Extra_Payments" localSheetId="6">#REF!</definedName>
    <definedName name="Scheduled_Extra_Payments" localSheetId="10">#REF!</definedName>
    <definedName name="Scheduled_Extra_Payments" localSheetId="0">#REF!</definedName>
    <definedName name="Scheduled_Extra_Payments" localSheetId="1">#REF!</definedName>
    <definedName name="Scheduled_Extra_Payments" localSheetId="2">#REF!</definedName>
    <definedName name="Scheduled_Extra_Payments">#REF!</definedName>
    <definedName name="Scheduled_Interest_Rate" localSheetId="6">#REF!</definedName>
    <definedName name="Scheduled_Interest_Rate" localSheetId="10">#REF!</definedName>
    <definedName name="Scheduled_Interest_Rate" localSheetId="0">#REF!</definedName>
    <definedName name="Scheduled_Interest_Rate" localSheetId="1">#REF!</definedName>
    <definedName name="Scheduled_Interest_Rate" localSheetId="2">#REF!</definedName>
    <definedName name="Scheduled_Interest_Rate">#REF!</definedName>
    <definedName name="Scheduled_Monthly_Payment" localSheetId="6">#REF!</definedName>
    <definedName name="Scheduled_Monthly_Payment" localSheetId="10">#REF!</definedName>
    <definedName name="Scheduled_Monthly_Payment" localSheetId="0">#REF!</definedName>
    <definedName name="Scheduled_Monthly_Payment" localSheetId="1">#REF!</definedName>
    <definedName name="Scheduled_Monthly_Payment" localSheetId="2">#REF!</definedName>
    <definedName name="Scheduled_Monthly_Payment">#REF!</definedName>
    <definedName name="seaug151" localSheetId="10">#REF!</definedName>
    <definedName name="seaug151">#REF!</definedName>
    <definedName name="SECORRJUL14" localSheetId="10">#REF!</definedName>
    <definedName name="SECORRJUL14">#REF!</definedName>
    <definedName name="SECORRJUNE14" localSheetId="10">#REF!</definedName>
    <definedName name="SECORRJUNE14">#REF!</definedName>
    <definedName name="SECORROCT14" localSheetId="10">#REF!</definedName>
    <definedName name="SECORROCT14">#REF!</definedName>
    <definedName name="SEFEB15" localSheetId="10">#REF!</definedName>
    <definedName name="SEFEB15">#REF!</definedName>
    <definedName name="sefeb16" localSheetId="10">#REF!</definedName>
    <definedName name="sefeb16">#REF!</definedName>
    <definedName name="SEJAN16" localSheetId="10">#REF!</definedName>
    <definedName name="SEJAN16">#REF!</definedName>
    <definedName name="SEJuly15" localSheetId="10">#REF!</definedName>
    <definedName name="SEJuly15">#REF!</definedName>
    <definedName name="SEJULY153" localSheetId="10">#REF!</definedName>
    <definedName name="SEJULY153">#REF!</definedName>
    <definedName name="SEoctcorr" localSheetId="10">#REF!</definedName>
    <definedName name="SEoctcorr">#REF!</definedName>
    <definedName name="SequenzaTemporaleNativa_DATA">#N/A</definedName>
    <definedName name="SL" localSheetId="6">#REF!</definedName>
    <definedName name="SL" localSheetId="10">#REF!</definedName>
    <definedName name="SL" localSheetId="0">#REF!</definedName>
    <definedName name="SL" localSheetId="1">#REF!</definedName>
    <definedName name="SL" localSheetId="2">#REF!</definedName>
    <definedName name="SL">#REF!</definedName>
    <definedName name="Sourcing_" localSheetId="6">#REF!</definedName>
    <definedName name="Sourcing_" localSheetId="10">#REF!</definedName>
    <definedName name="Sourcing_" localSheetId="0">#REF!</definedName>
    <definedName name="Sourcing_" localSheetId="1">#REF!</definedName>
    <definedName name="Sourcing_" localSheetId="2">#REF!</definedName>
    <definedName name="Sourcing_">#REF!</definedName>
    <definedName name="SPAPREC" localSheetId="6">#REF!</definedName>
    <definedName name="SPAPREC" localSheetId="10">#REF!</definedName>
    <definedName name="SPAPREC" localSheetId="0">#REF!</definedName>
    <definedName name="SPAPREC" localSheetId="1">#REF!</definedName>
    <definedName name="SPAPREC" localSheetId="2">#REF!</definedName>
    <definedName name="SPAPREC">#REF!</definedName>
    <definedName name="SPT_FLUSSI" localSheetId="6">(#REF!,#REF!)</definedName>
    <definedName name="SPT_FLUSSI" localSheetId="10">(#REF!,#REF!)</definedName>
    <definedName name="SPT_FLUSSI" localSheetId="0">(#REF!,#REF!)</definedName>
    <definedName name="SPT_FLUSSI" localSheetId="1">(#REF!,#REF!)</definedName>
    <definedName name="SPT_FLUSSI" localSheetId="2">(#REF!,#REF!)</definedName>
    <definedName name="SPT_FLUSSI">(#REF!,#REF!)</definedName>
    <definedName name="SPT_FLUSSI_7" localSheetId="6">(#REF!,#REF!)</definedName>
    <definedName name="SPT_FLUSSI_7" localSheetId="10">(#REF!,#REF!)</definedName>
    <definedName name="SPT_FLUSSI_7" localSheetId="0">(#REF!,#REF!)</definedName>
    <definedName name="SPT_FLUSSI_7" localSheetId="1">(#REF!,#REF!)</definedName>
    <definedName name="SPT_FLUSSI_7" localSheetId="2">(#REF!,#REF!)</definedName>
    <definedName name="SPT_FLUSSI_7">(#REF!,#REF!)</definedName>
    <definedName name="Stato_Patrimoniale" localSheetId="6">#REF!</definedName>
    <definedName name="Stato_Patrimoniale" localSheetId="10">#REF!</definedName>
    <definedName name="Stato_Patrimoniale" localSheetId="0">#REF!</definedName>
    <definedName name="Stato_Patrimoniale" localSheetId="1">#REF!</definedName>
    <definedName name="Stato_Patrimoniale" localSheetId="2">#REF!</definedName>
    <definedName name="Stato_Patrimoniale">#REF!</definedName>
    <definedName name="SWE" localSheetId="6">#REF!</definedName>
    <definedName name="SWE" localSheetId="10">#REF!</definedName>
    <definedName name="SWE" localSheetId="0">#REF!</definedName>
    <definedName name="SWE" localSheetId="1">#REF!</definedName>
    <definedName name="SWE" localSheetId="2">#REF!</definedName>
    <definedName name="SWE">#REF!</definedName>
    <definedName name="swead2" localSheetId="6">#REF!</definedName>
    <definedName name="swead2" localSheetId="10">#REF!</definedName>
    <definedName name="swead2" localSheetId="0">#REF!</definedName>
    <definedName name="swead2" localSheetId="1">#REF!</definedName>
    <definedName name="swead2" localSheetId="2">#REF!</definedName>
    <definedName name="swead2">#REF!</definedName>
    <definedName name="swead3" localSheetId="10">#REF!</definedName>
    <definedName name="swead3">#REF!</definedName>
    <definedName name="swead5" localSheetId="10">#REF!</definedName>
    <definedName name="swead5">#REF!</definedName>
    <definedName name="SWEADMAR" localSheetId="10">#REF!</definedName>
    <definedName name="SWEADMAR">#REF!</definedName>
    <definedName name="SWEAPR15" localSheetId="10">#REF!</definedName>
    <definedName name="SWEAPR15">#REF!</definedName>
    <definedName name="SWEAUG14" localSheetId="10">#REF!</definedName>
    <definedName name="SWEAUG14">#REF!</definedName>
    <definedName name="SWEAUG14ver2" localSheetId="10">#REF!</definedName>
    <definedName name="SWEAUG14ver2">#REF!</definedName>
    <definedName name="SWEDEC" localSheetId="10">#REF!</definedName>
    <definedName name="SWEDEC">#REF!</definedName>
    <definedName name="swedec15" localSheetId="10">#REF!</definedName>
    <definedName name="swedec15">#REF!</definedName>
    <definedName name="SWEFEB" localSheetId="10">#REF!</definedName>
    <definedName name="SWEFEB">#REF!</definedName>
    <definedName name="swejan" localSheetId="10">#REF!</definedName>
    <definedName name="swejan">#REF!</definedName>
    <definedName name="SWEjan15" localSheetId="10">#REF!</definedName>
    <definedName name="SWEjan15">#REF!</definedName>
    <definedName name="swejan152" localSheetId="10">#REF!</definedName>
    <definedName name="swejan152">#REF!</definedName>
    <definedName name="SWEJULY14" localSheetId="10">#REF!</definedName>
    <definedName name="SWEJULY14">#REF!</definedName>
    <definedName name="SWEJUNE15" localSheetId="10">#REF!</definedName>
    <definedName name="SWEJUNE15">#REF!</definedName>
    <definedName name="SWEMAR" localSheetId="10">#REF!</definedName>
    <definedName name="SWEMAR">#REF!</definedName>
    <definedName name="swemar15" localSheetId="10">#REF!</definedName>
    <definedName name="swemar15">#REF!</definedName>
    <definedName name="SWEMAR2" localSheetId="10">#REF!</definedName>
    <definedName name="SWEMAR2">#REF!</definedName>
    <definedName name="SWEMAY15" localSheetId="10">#REF!</definedName>
    <definedName name="SWEMAY15">#REF!</definedName>
    <definedName name="SWENOV14" localSheetId="10">#REF!</definedName>
    <definedName name="SWENOV14">#REF!</definedName>
    <definedName name="SWENOV15" localSheetId="10">#REF!</definedName>
    <definedName name="SWENOV15">#REF!</definedName>
    <definedName name="SWEOCT14" localSheetId="10">#REF!</definedName>
    <definedName name="SWEOCT14">#REF!</definedName>
    <definedName name="SWEOCT142" localSheetId="10">#REF!</definedName>
    <definedName name="SWEOCT142">#REF!</definedName>
    <definedName name="sweoct15" localSheetId="10">#REF!</definedName>
    <definedName name="sweoct15">#REF!</definedName>
    <definedName name="swesept" localSheetId="10">#REF!</definedName>
    <definedName name="swesept">#REF!</definedName>
    <definedName name="swesept14" localSheetId="10">#REF!</definedName>
    <definedName name="swesept14">#REF!</definedName>
    <definedName name="swesept142" localSheetId="10">#REF!</definedName>
    <definedName name="swesept142">#REF!</definedName>
    <definedName name="switch" localSheetId="10">#REF!</definedName>
    <definedName name="switch">#REF!</definedName>
    <definedName name="TA_07" localSheetId="10">#REF!</definedName>
    <definedName name="TA_07">#REF!</definedName>
    <definedName name="TA_08" localSheetId="10">#REF!</definedName>
    <definedName name="TA_08">#REF!</definedName>
    <definedName name="TA_09" localSheetId="10">#REF!</definedName>
    <definedName name="TA_09">#REF!</definedName>
    <definedName name="TA_10" localSheetId="10">#REF!</definedName>
    <definedName name="TA_10">#REF!</definedName>
    <definedName name="TA_11" localSheetId="10">#REF!</definedName>
    <definedName name="TA_11">#REF!</definedName>
    <definedName name="TA_12" localSheetId="10">#REF!</definedName>
    <definedName name="TA_12">#REF!</definedName>
    <definedName name="TA_13" localSheetId="10">#REF!</definedName>
    <definedName name="TA_13">#REF!</definedName>
    <definedName name="TA_14" localSheetId="10">#REF!</definedName>
    <definedName name="TA_14">#REF!</definedName>
    <definedName name="TA_15" localSheetId="10">#REF!</definedName>
    <definedName name="TA_15">#REF!</definedName>
    <definedName name="TA_16" localSheetId="10">#REF!</definedName>
    <definedName name="TA_16">#REF!</definedName>
    <definedName name="tagetikchartofaccount" localSheetId="10">#REF!</definedName>
    <definedName name="tagetikchartofaccount">#REF!</definedName>
    <definedName name="targe">"abc"</definedName>
    <definedName name="target">FALSE</definedName>
    <definedName name="tempo_std_taglio" localSheetId="6">#REF!</definedName>
    <definedName name="tempo_std_taglio" localSheetId="10">#REF!</definedName>
    <definedName name="tempo_std_taglio" localSheetId="0">#REF!</definedName>
    <definedName name="tempo_std_taglio" localSheetId="1">#REF!</definedName>
    <definedName name="tempo_std_taglio" localSheetId="2">#REF!</definedName>
    <definedName name="tempo_std_taglio">#REF!</definedName>
    <definedName name="tewgewgw" localSheetId="6" hidden="1">{#N/A,#N/A,FALSE,"KCost"}</definedName>
    <definedName name="tewgewgw" localSheetId="10" hidden="1">{#N/A,#N/A,FALSE,"KCost"}</definedName>
    <definedName name="tewgewgw" localSheetId="0" hidden="1">{#N/A,#N/A,FALSE,"KCost"}</definedName>
    <definedName name="tewgewgw" localSheetId="1" hidden="1">{#N/A,#N/A,FALSE,"KCost"}</definedName>
    <definedName name="tewgewgw" localSheetId="2" hidden="1">{#N/A,#N/A,FALSE,"KCost"}</definedName>
    <definedName name="tewgewgw" hidden="1">{#N/A,#N/A,FALSE,"KCost"}</definedName>
    <definedName name="TextRefCopyRangeCount" hidden="1">26</definedName>
    <definedName name="Title_Cons" localSheetId="6">#REF!</definedName>
    <definedName name="Title_Cons" localSheetId="10">#REF!</definedName>
    <definedName name="Title_Cons" localSheetId="0">#REF!</definedName>
    <definedName name="Title_Cons" localSheetId="1">#REF!</definedName>
    <definedName name="Title_Cons" localSheetId="2">#REF!</definedName>
    <definedName name="Title_Cons">#REF!</definedName>
    <definedName name="titlestable" localSheetId="6">#REF!</definedName>
    <definedName name="titlestable" localSheetId="10">#REF!</definedName>
    <definedName name="titlestable" localSheetId="0">#REF!</definedName>
    <definedName name="titlestable" localSheetId="1">#REF!</definedName>
    <definedName name="titlestable" localSheetId="2">#REF!</definedName>
    <definedName name="titlestable">#REF!</definedName>
    <definedName name="TND" localSheetId="6">#REF!</definedName>
    <definedName name="TND" localSheetId="10">#REF!</definedName>
    <definedName name="TND" localSheetId="0">#REF!</definedName>
    <definedName name="TND" localSheetId="1">#REF!</definedName>
    <definedName name="TND" localSheetId="2">#REF!</definedName>
    <definedName name="TND">#REF!</definedName>
    <definedName name="TNS_01" localSheetId="10">#REF!</definedName>
    <definedName name="TNS_01" localSheetId="3">#REF!</definedName>
    <definedName name="TNS_01">#REF!</definedName>
    <definedName name="TNS_01_EUR" localSheetId="10">#REF!</definedName>
    <definedName name="TNS_01_EUR">#REF!</definedName>
    <definedName name="tns_01mm" localSheetId="10">#REF!</definedName>
    <definedName name="tns_01mm">#REF!</definedName>
    <definedName name="TNS_02" localSheetId="10">#REF!</definedName>
    <definedName name="TNS_02" localSheetId="3">#REF!</definedName>
    <definedName name="TNS_02">#REF!</definedName>
    <definedName name="TNS_02_EUR" localSheetId="10">#REF!</definedName>
    <definedName name="TNS_02_EUR">#REF!</definedName>
    <definedName name="tns_02_mm" localSheetId="10">#REF!</definedName>
    <definedName name="tns_02_mm">#REF!</definedName>
    <definedName name="TNS_03" localSheetId="10">#REF!</definedName>
    <definedName name="TNS_03" localSheetId="3">#REF!</definedName>
    <definedName name="TNS_03">#REF!</definedName>
    <definedName name="tns_03_mm" localSheetId="10">#REF!</definedName>
    <definedName name="tns_03_mm">#REF!</definedName>
    <definedName name="TNS_04" localSheetId="10">#REF!</definedName>
    <definedName name="TNS_04">#REF!</definedName>
    <definedName name="TNS_05" localSheetId="10">#REF!</definedName>
    <definedName name="TNS_05">#REF!</definedName>
    <definedName name="TNS_06" localSheetId="10">#REF!</definedName>
    <definedName name="TNS_06">#REF!</definedName>
    <definedName name="TNS_07" localSheetId="10">#REF!</definedName>
    <definedName name="TNS_07">#REF!</definedName>
    <definedName name="TNS_08" localSheetId="10">#REF!</definedName>
    <definedName name="TNS_08">#REF!</definedName>
    <definedName name="TNS_09" localSheetId="10">#REF!</definedName>
    <definedName name="TNS_09">#REF!</definedName>
    <definedName name="TNS_09_EUR" localSheetId="10">#REF!</definedName>
    <definedName name="TNS_09_EUR">#REF!</definedName>
    <definedName name="TNS_1" localSheetId="10">#REF!</definedName>
    <definedName name="TNS_1">#REF!</definedName>
    <definedName name="TNS_10" localSheetId="10">#REF!</definedName>
    <definedName name="TNS_10">#REF!</definedName>
    <definedName name="TNS_10_EUR" localSheetId="10">#REF!</definedName>
    <definedName name="TNS_10_EUR">#REF!</definedName>
    <definedName name="TNS_11" localSheetId="10">#REF!</definedName>
    <definedName name="TNS_11">#REF!</definedName>
    <definedName name="TNS_11_EUR" localSheetId="10">#REF!</definedName>
    <definedName name="TNS_11_EUR">#REF!</definedName>
    <definedName name="TNS_110" localSheetId="10">#REF!</definedName>
    <definedName name="TNS_110">#REF!</definedName>
    <definedName name="TNS_111" localSheetId="10">#REF!</definedName>
    <definedName name="TNS_111">#REF!</definedName>
    <definedName name="TNS_112" localSheetId="10">#REF!</definedName>
    <definedName name="TNS_112">#REF!</definedName>
    <definedName name="TNS_113" localSheetId="10">#REF!</definedName>
    <definedName name="TNS_113">#REF!</definedName>
    <definedName name="TNS_114" localSheetId="10">#REF!</definedName>
    <definedName name="TNS_114">#REF!</definedName>
    <definedName name="TNS_115" localSheetId="10">#REF!</definedName>
    <definedName name="TNS_115">#REF!</definedName>
    <definedName name="TNS_116" localSheetId="10">#REF!</definedName>
    <definedName name="TNS_116">#REF!</definedName>
    <definedName name="TNS_117" localSheetId="10">#REF!</definedName>
    <definedName name="TNS_117">#REF!</definedName>
    <definedName name="TNS_12" localSheetId="10">#REF!</definedName>
    <definedName name="TNS_12">#REF!</definedName>
    <definedName name="TNS_12_EUR" localSheetId="10">#REF!</definedName>
    <definedName name="TNS_12_EUR">#REF!</definedName>
    <definedName name="TNS_13" localSheetId="10">#REF!</definedName>
    <definedName name="TNS_13">#REF!</definedName>
    <definedName name="TNS_14" localSheetId="10">#REF!</definedName>
    <definedName name="TNS_14">#REF!</definedName>
    <definedName name="TNS_15" localSheetId="10">#REF!</definedName>
    <definedName name="TNS_15">#REF!</definedName>
    <definedName name="TNS_16" localSheetId="10">#REF!</definedName>
    <definedName name="TNS_16">#REF!</definedName>
    <definedName name="TNS_17" localSheetId="10">#REF!</definedName>
    <definedName name="TNS_17">#REF!</definedName>
    <definedName name="TNS_2" localSheetId="10">#REF!</definedName>
    <definedName name="TNS_2">#REF!</definedName>
    <definedName name="TNS_3" localSheetId="10">#REF!</definedName>
    <definedName name="TNS_3">#REF!</definedName>
    <definedName name="TNS_4" localSheetId="10">#REF!</definedName>
    <definedName name="TNS_4">#REF!</definedName>
    <definedName name="TNS_5" localSheetId="10">#REF!</definedName>
    <definedName name="TNS_5">#REF!</definedName>
    <definedName name="TNS_6" localSheetId="10">#REF!</definedName>
    <definedName name="TNS_6">#REF!</definedName>
    <definedName name="TNS_7" localSheetId="10">#REF!</definedName>
    <definedName name="TNS_7">#REF!</definedName>
    <definedName name="TNS_8" localSheetId="10">#REF!</definedName>
    <definedName name="TNS_8">#REF!</definedName>
    <definedName name="TNS_9" localSheetId="10">#REF!</definedName>
    <definedName name="TNS_9">#REF!</definedName>
    <definedName name="TNSA_01" localSheetId="10">#REF!</definedName>
    <definedName name="TNSA_01">#REF!</definedName>
    <definedName name="TNSA_02" localSheetId="10">#REF!</definedName>
    <definedName name="TNSA_02">#REF!</definedName>
    <definedName name="TNSA_03" localSheetId="10">#REF!</definedName>
    <definedName name="TNSA_03">#REF!</definedName>
    <definedName name="TNSA_04" localSheetId="10">#REF!</definedName>
    <definedName name="TNSA_04">#REF!</definedName>
    <definedName name="TNSA_05" localSheetId="10">#REF!</definedName>
    <definedName name="TNSA_05">#REF!</definedName>
    <definedName name="TNSA_06" localSheetId="10">#REF!</definedName>
    <definedName name="TNSA_06">#REF!</definedName>
    <definedName name="TNSA_07" localSheetId="10">#REF!</definedName>
    <definedName name="TNSA_07">#REF!</definedName>
    <definedName name="TNSA_08" localSheetId="10">#REF!</definedName>
    <definedName name="TNSA_08">#REF!</definedName>
    <definedName name="TNSA_09" localSheetId="10">#REF!</definedName>
    <definedName name="TNSA_09">#REF!</definedName>
    <definedName name="TNSA_10" localSheetId="10">#REF!</definedName>
    <definedName name="TNSA_10">#REF!</definedName>
    <definedName name="TNSA_11" localSheetId="10">#REF!</definedName>
    <definedName name="TNSA_11">#REF!</definedName>
    <definedName name="TNSA_12" localSheetId="10">#REF!</definedName>
    <definedName name="TNSA_12">#REF!</definedName>
    <definedName name="TNSA_13" localSheetId="10">#REF!</definedName>
    <definedName name="TNSA_13">#REF!</definedName>
    <definedName name="TNSA_14" localSheetId="10">#REF!</definedName>
    <definedName name="TNSA_14">#REF!</definedName>
    <definedName name="TNSA_15" localSheetId="10">#REF!</definedName>
    <definedName name="TNSA_15">#REF!</definedName>
    <definedName name="TNSA_16" localSheetId="10">#REF!</definedName>
    <definedName name="TNSA_16">#REF!</definedName>
    <definedName name="TNSA_17" localSheetId="10">#REF!</definedName>
    <definedName name="TNSA_17">#REF!</definedName>
    <definedName name="TNSA_18" localSheetId="10">#REF!</definedName>
    <definedName name="TNSA_18">#REF!</definedName>
    <definedName name="TNSMTD01" localSheetId="10">#REF!</definedName>
    <definedName name="TNSMTD01">#REF!</definedName>
    <definedName name="TNSMTD01_EUR" localSheetId="10">#REF!</definedName>
    <definedName name="TNSMTD01_EUR">#REF!</definedName>
    <definedName name="TNSMTD02" localSheetId="10">#REF!</definedName>
    <definedName name="TNSMTD02">#REF!</definedName>
    <definedName name="TNSMTD02_EUR" localSheetId="10">#REF!</definedName>
    <definedName name="TNSMTD02_EUR">#REF!</definedName>
    <definedName name="TNSMTD03" localSheetId="10">#REF!</definedName>
    <definedName name="TNSMTD03">#REF!</definedName>
    <definedName name="TNSMTD03_EUR" localSheetId="10">#REF!</definedName>
    <definedName name="TNSMTD03_EUR">#REF!</definedName>
    <definedName name="TNSMTD04" localSheetId="10">#REF!</definedName>
    <definedName name="TNSMTD04">#REF!</definedName>
    <definedName name="TNSMTD04_EUR" localSheetId="10">#REF!</definedName>
    <definedName name="TNSMTD04_EUR">#REF!</definedName>
    <definedName name="TNSMTD05" localSheetId="10">#REF!</definedName>
    <definedName name="TNSMTD05">#REF!</definedName>
    <definedName name="TNSMTD06" localSheetId="10">#REF!</definedName>
    <definedName name="TNSMTD06">#REF!</definedName>
    <definedName name="TNSMTD07" localSheetId="10">#REF!</definedName>
    <definedName name="TNSMTD07">#REF!</definedName>
    <definedName name="TNSMTD08" localSheetId="10">#REF!</definedName>
    <definedName name="TNSMTD08">#REF!</definedName>
    <definedName name="TNSMTD09" localSheetId="10">#REF!</definedName>
    <definedName name="TNSMTD09">#REF!</definedName>
    <definedName name="TNSMTD10" localSheetId="10">#REF!</definedName>
    <definedName name="TNSMTD10">#REF!</definedName>
    <definedName name="TNSMTD11" localSheetId="10">#REF!</definedName>
    <definedName name="TNSMTD11">#REF!</definedName>
    <definedName name="TNSMTD12" localSheetId="10">#REF!</definedName>
    <definedName name="TNSMTD12">#REF!</definedName>
    <definedName name="Total_Interest" localSheetId="10">#REF!</definedName>
    <definedName name="Total_Interest">#REF!</definedName>
    <definedName name="Total_Pay" localSheetId="10">#REF!</definedName>
    <definedName name="Total_Pay">#REF!</definedName>
    <definedName name="Total_Payment" localSheetId="6">Scheduled_Payment+Extra_Payment</definedName>
    <definedName name="Total_Payment" localSheetId="10">Scheduled_Payment+Extra_Payment</definedName>
    <definedName name="Total_Payment" localSheetId="0">Scheduled_Payment+Extra_Payment</definedName>
    <definedName name="Total_Payment" localSheetId="1">Scheduled_Payment+Extra_Payment</definedName>
    <definedName name="Total_Payment" localSheetId="2">Scheduled_Payment+Extra_Payment</definedName>
    <definedName name="Total_Payment">Scheduled_Payment+Extra_Payment</definedName>
    <definedName name="Trad" localSheetId="6">#REF!</definedName>
    <definedName name="Trad" localSheetId="10">#REF!</definedName>
    <definedName name="Trad" localSheetId="0">#REF!</definedName>
    <definedName name="Trad" localSheetId="1">#REF!</definedName>
    <definedName name="Trad" localSheetId="2">#REF!</definedName>
    <definedName name="Trad">#REF!</definedName>
    <definedName name="ttt" localSheetId="6">#REF!</definedName>
    <definedName name="ttt" localSheetId="10">#REF!</definedName>
    <definedName name="ttt" localSheetId="0">#REF!</definedName>
    <definedName name="ttt" localSheetId="1">#REF!</definedName>
    <definedName name="ttt" localSheetId="2">#REF!</definedName>
    <definedName name="ttt">#REF!</definedName>
    <definedName name="tttr" localSheetId="6" hidden="1">{#N/A,#N/A,FALSE,"KCost"}</definedName>
    <definedName name="tttr" localSheetId="10" hidden="1">{#N/A,#N/A,FALSE,"KCost"}</definedName>
    <definedName name="tttr" localSheetId="0" hidden="1">{#N/A,#N/A,FALSE,"KCost"}</definedName>
    <definedName name="tttr" localSheetId="1" hidden="1">{#N/A,#N/A,FALSE,"KCost"}</definedName>
    <definedName name="tttr" localSheetId="2" hidden="1">{#N/A,#N/A,FALSE,"KCost"}</definedName>
    <definedName name="tttr" hidden="1">{#N/A,#N/A,FALSE,"KCost"}</definedName>
    <definedName name="ù" localSheetId="6">#REF!</definedName>
    <definedName name="ù" localSheetId="10">#REF!</definedName>
    <definedName name="ù" localSheetId="0">#REF!</definedName>
    <definedName name="ù" localSheetId="1">#REF!</definedName>
    <definedName name="ù" localSheetId="2">#REF!</definedName>
    <definedName name="ù">#REF!</definedName>
    <definedName name="Units" localSheetId="6">#REF!</definedName>
    <definedName name="Units" localSheetId="10">#REF!</definedName>
    <definedName name="Units" localSheetId="0">#REF!</definedName>
    <definedName name="Units" localSheetId="1">#REF!</definedName>
    <definedName name="Units" localSheetId="2">#REF!</definedName>
    <definedName name="Units">#REF!</definedName>
    <definedName name="US" localSheetId="6">#REF!</definedName>
    <definedName name="US" localSheetId="10">#REF!</definedName>
    <definedName name="US" localSheetId="0">#REF!</definedName>
    <definedName name="US" localSheetId="1">#REF!</definedName>
    <definedName name="US" localSheetId="2">#REF!</definedName>
    <definedName name="US">#REF!</definedName>
    <definedName name="US15JAN" localSheetId="10">#REF!</definedName>
    <definedName name="US15JAN">#REF!</definedName>
    <definedName name="USAPR15" localSheetId="10">#REF!</definedName>
    <definedName name="USAPR15">#REF!</definedName>
    <definedName name="USAUG14" localSheetId="10">#REF!</definedName>
    <definedName name="USAUG14">#REF!</definedName>
    <definedName name="usaug15" localSheetId="10">#REF!</definedName>
    <definedName name="usaug15">#REF!</definedName>
    <definedName name="USAUG152" localSheetId="10">#REF!</definedName>
    <definedName name="USAUG152">#REF!</definedName>
    <definedName name="usd" localSheetId="10">#REF!</definedName>
    <definedName name="usd">#REF!</definedName>
    <definedName name="USDEC" localSheetId="10">#REF!</definedName>
    <definedName name="USDEC">#REF!</definedName>
    <definedName name="usdec15" localSheetId="10">#REF!</definedName>
    <definedName name="usdec15">#REF!</definedName>
    <definedName name="USDEC2" localSheetId="10">#REF!</definedName>
    <definedName name="USDEC2">#REF!</definedName>
    <definedName name="usdecjan" localSheetId="10">#REF!</definedName>
    <definedName name="usdecjan">#REF!</definedName>
    <definedName name="USFEB" localSheetId="10">#REF!</definedName>
    <definedName name="USFEB">#REF!</definedName>
    <definedName name="usfeb16" localSheetId="10">#REF!</definedName>
    <definedName name="usfeb16">#REF!</definedName>
    <definedName name="usfeb162" localSheetId="10">#REF!</definedName>
    <definedName name="usfeb162">#REF!</definedName>
    <definedName name="USfeb162I" localSheetId="10">#REF!</definedName>
    <definedName name="USfeb162I">#REF!</definedName>
    <definedName name="USJAN" localSheetId="10">#REF!</definedName>
    <definedName name="USJAN">#REF!</definedName>
    <definedName name="usjan15" localSheetId="10">#REF!</definedName>
    <definedName name="usjan15">#REF!</definedName>
    <definedName name="usjan16b" localSheetId="10">#REF!</definedName>
    <definedName name="usjan16b">#REF!</definedName>
    <definedName name="usjan16I" localSheetId="10">#REF!</definedName>
    <definedName name="usjan16I">#REF!</definedName>
    <definedName name="USJAN5" localSheetId="10">#REF!</definedName>
    <definedName name="USJAN5">#REF!</definedName>
    <definedName name="USJUL14" localSheetId="10">#REF!</definedName>
    <definedName name="USJUL14">#REF!</definedName>
    <definedName name="USJULY15" localSheetId="10">#REF!</definedName>
    <definedName name="USJULY15">#REF!</definedName>
    <definedName name="USJUNE15" localSheetId="10">#REF!</definedName>
    <definedName name="USJUNE15">#REF!</definedName>
    <definedName name="USMAR" localSheetId="10">#REF!</definedName>
    <definedName name="USMAR">#REF!</definedName>
    <definedName name="usmar15" localSheetId="10">#REF!</definedName>
    <definedName name="usmar15">#REF!</definedName>
    <definedName name="usmay15" localSheetId="10">#REF!</definedName>
    <definedName name="usmay15">#REF!</definedName>
    <definedName name="USNOV14" localSheetId="10">#REF!</definedName>
    <definedName name="USNOV14">#REF!</definedName>
    <definedName name="USNOV15" localSheetId="10">#REF!</definedName>
    <definedName name="USNOV15">#REF!</definedName>
    <definedName name="usnovcorr" localSheetId="10">#REF!</definedName>
    <definedName name="usnovcorr">#REF!</definedName>
    <definedName name="USOCT14" localSheetId="10">#REF!</definedName>
    <definedName name="USOCT14">#REF!</definedName>
    <definedName name="usoct15" localSheetId="10">#REF!</definedName>
    <definedName name="usoct15">#REF!</definedName>
    <definedName name="ussept14" localSheetId="10">#REF!</definedName>
    <definedName name="ussept14">#REF!</definedName>
    <definedName name="USSEPT15" localSheetId="10">#REF!</definedName>
    <definedName name="USSEPT15">#REF!</definedName>
    <definedName name="UtileBilver_utileBilCEE" localSheetId="10">#REF!</definedName>
    <definedName name="UtileBilver_utileBilCEE">#REF!</definedName>
    <definedName name="Values_Entered" localSheetId="6">IF(Efficiency!Loan_Amount*Efficiency!Interest_Rate*Loan_Years*Loan_Start&gt;0,1,0)</definedName>
    <definedName name="Values_Entered" localSheetId="10">IF(Logistic!Loan_Amount*Logistic!Interest_Rate*Logistic!Loan_Years*Logistic!Loan_Start&gt;0,1,0)</definedName>
    <definedName name="Values_Entered" localSheetId="0">IF(Note!Loan_Amount*Note!Interest_Rate*Loan_Years*Loan_Start&gt;0,1,0)</definedName>
    <definedName name="Values_Entered" localSheetId="1">IF(People!Loan_Amount*People!Interest_Rate*Loan_Years*Loan_Start&gt;0,1,0)</definedName>
    <definedName name="Values_Entered" localSheetId="2">IF(People_2!Loan_Amount*People_2!Interest_Rate*Loan_Years*Loan_Start&gt;0,1,0)</definedName>
    <definedName name="Values_Entered">IF(Loan_Amount*Interest_Rate*Loan_Years*Loan_Start&gt;0,1,0)</definedName>
    <definedName name="Varianze" localSheetId="6">#REF!</definedName>
    <definedName name="Varianze" localSheetId="10">#REF!</definedName>
    <definedName name="Varianze" localSheetId="0">#REF!</definedName>
    <definedName name="Varianze" localSheetId="1">#REF!</definedName>
    <definedName name="Varianze" localSheetId="2">#REF!</definedName>
    <definedName name="Varianze">#REF!</definedName>
    <definedName name="vdvcvc" localSheetId="6" hidden="1">{#N/A,#N/A,TRUE,"Data";#N/A,#N/A,TRUE,"KCost";#N/A,#N/A,TRUE,"FinPl";#N/A,#N/A,TRUE,"Sale-";#N/A,#N/A,TRUE,"Sale+";#N/A,#N/A,TRUE,"Cost+";#N/A,#N/A,TRUE,"Cost-";#N/A,#N/A,TRUE,"InCoE";#N/A,#N/A,TRUE,"IncPr";#N/A,#N/A,TRUE,"WK";#N/A,#N/A,TRUE,"FRR";#N/A,#N/A,TRUE,"SAnFRR";#N/A,#N/A,TRUE,"ERR";#N/A,#N/A,TRUE,"SAnERR";#N/A,#N/A,TRUE,"P&amp;L";#N/A,#N/A,TRUE,"CF";#N/A,#N/A,TRUE,"BS";#N/A,#N/A,TRUE,"Ratio";#N/A,#N/A,TRUE,"Forex"}</definedName>
    <definedName name="vdvcvc" localSheetId="10" hidden="1">{#N/A,#N/A,TRUE,"Data";#N/A,#N/A,TRUE,"KCost";#N/A,#N/A,TRUE,"FinPl";#N/A,#N/A,TRUE,"Sale-";#N/A,#N/A,TRUE,"Sale+";#N/A,#N/A,TRUE,"Cost+";#N/A,#N/A,TRUE,"Cost-";#N/A,#N/A,TRUE,"InCoE";#N/A,#N/A,TRUE,"IncPr";#N/A,#N/A,TRUE,"WK";#N/A,#N/A,TRUE,"FRR";#N/A,#N/A,TRUE,"SAnFRR";#N/A,#N/A,TRUE,"ERR";#N/A,#N/A,TRUE,"SAnERR";#N/A,#N/A,TRUE,"P&amp;L";#N/A,#N/A,TRUE,"CF";#N/A,#N/A,TRUE,"BS";#N/A,#N/A,TRUE,"Ratio";#N/A,#N/A,TRUE,"Forex"}</definedName>
    <definedName name="vdvcvc" localSheetId="0" hidden="1">{#N/A,#N/A,TRUE,"Data";#N/A,#N/A,TRUE,"KCost";#N/A,#N/A,TRUE,"FinPl";#N/A,#N/A,TRUE,"Sale-";#N/A,#N/A,TRUE,"Sale+";#N/A,#N/A,TRUE,"Cost+";#N/A,#N/A,TRUE,"Cost-";#N/A,#N/A,TRUE,"InCoE";#N/A,#N/A,TRUE,"IncPr";#N/A,#N/A,TRUE,"WK";#N/A,#N/A,TRUE,"FRR";#N/A,#N/A,TRUE,"SAnFRR";#N/A,#N/A,TRUE,"ERR";#N/A,#N/A,TRUE,"SAnERR";#N/A,#N/A,TRUE,"P&amp;L";#N/A,#N/A,TRUE,"CF";#N/A,#N/A,TRUE,"BS";#N/A,#N/A,TRUE,"Ratio";#N/A,#N/A,TRUE,"Forex"}</definedName>
    <definedName name="vdvcvc" localSheetId="1" hidden="1">{#N/A,#N/A,TRUE,"Data";#N/A,#N/A,TRUE,"KCost";#N/A,#N/A,TRUE,"FinPl";#N/A,#N/A,TRUE,"Sale-";#N/A,#N/A,TRUE,"Sale+";#N/A,#N/A,TRUE,"Cost+";#N/A,#N/A,TRUE,"Cost-";#N/A,#N/A,TRUE,"InCoE";#N/A,#N/A,TRUE,"IncPr";#N/A,#N/A,TRUE,"WK";#N/A,#N/A,TRUE,"FRR";#N/A,#N/A,TRUE,"SAnFRR";#N/A,#N/A,TRUE,"ERR";#N/A,#N/A,TRUE,"SAnERR";#N/A,#N/A,TRUE,"P&amp;L";#N/A,#N/A,TRUE,"CF";#N/A,#N/A,TRUE,"BS";#N/A,#N/A,TRUE,"Ratio";#N/A,#N/A,TRUE,"Forex"}</definedName>
    <definedName name="vdvcvc" localSheetId="2" hidden="1">{#N/A,#N/A,TRUE,"Data";#N/A,#N/A,TRUE,"KCost";#N/A,#N/A,TRUE,"FinPl";#N/A,#N/A,TRUE,"Sale-";#N/A,#N/A,TRUE,"Sale+";#N/A,#N/A,TRUE,"Cost+";#N/A,#N/A,TRUE,"Cost-";#N/A,#N/A,TRUE,"InCoE";#N/A,#N/A,TRUE,"IncPr";#N/A,#N/A,TRUE,"WK";#N/A,#N/A,TRUE,"FRR";#N/A,#N/A,TRUE,"SAnFRR";#N/A,#N/A,TRUE,"ERR";#N/A,#N/A,TRUE,"SAnERR";#N/A,#N/A,TRUE,"P&amp;L";#N/A,#N/A,TRUE,"CF";#N/A,#N/A,TRUE,"BS";#N/A,#N/A,TRUE,"Ratio";#N/A,#N/A,TRUE,"Forex"}</definedName>
    <definedName name="vdvcvc" hidden="1">{#N/A,#N/A,TRUE,"Data";#N/A,#N/A,TRUE,"KCost";#N/A,#N/A,TRUE,"FinPl";#N/A,#N/A,TRUE,"Sale-";#N/A,#N/A,TRUE,"Sale+";#N/A,#N/A,TRUE,"Cost+";#N/A,#N/A,TRUE,"Cost-";#N/A,#N/A,TRUE,"InCoE";#N/A,#N/A,TRUE,"IncPr";#N/A,#N/A,TRUE,"WK";#N/A,#N/A,TRUE,"FRR";#N/A,#N/A,TRUE,"SAnFRR";#N/A,#N/A,TRUE,"ERR";#N/A,#N/A,TRUE,"SAnERR";#N/A,#N/A,TRUE,"P&amp;L";#N/A,#N/A,TRUE,"CF";#N/A,#N/A,TRUE,"BS";#N/A,#N/A,TRUE,"Ratio";#N/A,#N/A,TRUE,"Forex"}</definedName>
    <definedName name="vvvc" localSheetId="6" hidden="1">{#N/A,#N/A,FALSE,"1"}</definedName>
    <definedName name="vvvc" localSheetId="10" hidden="1">{#N/A,#N/A,FALSE,"1"}</definedName>
    <definedName name="vvvc" localSheetId="0" hidden="1">{#N/A,#N/A,FALSE,"1"}</definedName>
    <definedName name="vvvc" localSheetId="1" hidden="1">{#N/A,#N/A,FALSE,"1"}</definedName>
    <definedName name="vvvc" localSheetId="2" hidden="1">{#N/A,#N/A,FALSE,"1"}</definedName>
    <definedName name="vvvc" hidden="1">{#N/A,#N/A,FALSE,"1"}</definedName>
    <definedName name="W" localSheetId="6">#REF!</definedName>
    <definedName name="W" localSheetId="10">#REF!</definedName>
    <definedName name="W" localSheetId="0">#REF!</definedName>
    <definedName name="W" localSheetId="1">#REF!</definedName>
    <definedName name="W" localSheetId="2">#REF!</definedName>
    <definedName name="W">#REF!</definedName>
    <definedName name="wrn" localSheetId="6" hidden="1">{"cap_structure",#N/A,FALSE,"Graph-Mkt Cap";"price",#N/A,FALSE,"Graph-Price";"ebit",#N/A,FALSE,"Graph-EBITDA";"ebitda",#N/A,FALSE,"Graph-EBITDA"}</definedName>
    <definedName name="wrn" localSheetId="10" hidden="1">{"cap_structure",#N/A,FALSE,"Graph-Mkt Cap";"price",#N/A,FALSE,"Graph-Price";"ebit",#N/A,FALSE,"Graph-EBITDA";"ebitda",#N/A,FALSE,"Graph-EBITDA"}</definedName>
    <definedName name="wrn" localSheetId="0" hidden="1">{"cap_structure",#N/A,FALSE,"Graph-Mkt Cap";"price",#N/A,FALSE,"Graph-Price";"ebit",#N/A,FALSE,"Graph-EBITDA";"ebitda",#N/A,FALSE,"Graph-EBITDA"}</definedName>
    <definedName name="wrn" localSheetId="1" hidden="1">{"cap_structure",#N/A,FALSE,"Graph-Mkt Cap";"price",#N/A,FALSE,"Graph-Price";"ebit",#N/A,FALSE,"Graph-EBITDA";"ebitda",#N/A,FALSE,"Graph-EBITDA"}</definedName>
    <definedName name="wrn" localSheetId="2" hidden="1">{"cap_structure",#N/A,FALSE,"Graph-Mkt Cap";"price",#N/A,FALSE,"Graph-Price";"ebit",#N/A,FALSE,"Graph-EBITDA";"ebitda",#N/A,FALSE,"Graph-EBITDA"}</definedName>
    <definedName name="wrn" hidden="1">{"cap_structure",#N/A,FALSE,"Graph-Mkt Cap";"price",#N/A,FALSE,"Graph-Price";"ebit",#N/A,FALSE,"Graph-EBITDA";"ebitda",#N/A,FALSE,"Graph-EBITDA"}</definedName>
    <definedName name="wrn.Alex." localSheetId="6" hidden="1">{#N/A,#N/A,FALSE,"TradeSumm";#N/A,#N/A,FALSE,"StatsSumm"}</definedName>
    <definedName name="wrn.Alex." localSheetId="10" hidden="1">{#N/A,#N/A,FALSE,"TradeSumm";#N/A,#N/A,FALSE,"StatsSumm"}</definedName>
    <definedName name="wrn.Alex." localSheetId="0" hidden="1">{#N/A,#N/A,FALSE,"TradeSumm";#N/A,#N/A,FALSE,"StatsSumm"}</definedName>
    <definedName name="wrn.Alex." localSheetId="1" hidden="1">{#N/A,#N/A,FALSE,"TradeSumm";#N/A,#N/A,FALSE,"StatsSumm"}</definedName>
    <definedName name="wrn.Alex." localSheetId="2" hidden="1">{#N/A,#N/A,FALSE,"TradeSumm";#N/A,#N/A,FALSE,"StatsSumm"}</definedName>
    <definedName name="wrn.Alex." hidden="1">{#N/A,#N/A,FALSE,"TradeSumm";#N/A,#N/A,FALSE,"StatsSumm"}</definedName>
    <definedName name="wrn.anexa1." localSheetId="6" hidden="1">{#N/A,#N/A,FALSE,"KCost-DM"}</definedName>
    <definedName name="wrn.anexa1." localSheetId="10" hidden="1">{#N/A,#N/A,FALSE,"KCost-DM"}</definedName>
    <definedName name="wrn.anexa1." localSheetId="0" hidden="1">{#N/A,#N/A,FALSE,"KCost-DM"}</definedName>
    <definedName name="wrn.anexa1." localSheetId="1" hidden="1">{#N/A,#N/A,FALSE,"KCost-DM"}</definedName>
    <definedName name="wrn.anexa1." localSheetId="2" hidden="1">{#N/A,#N/A,FALSE,"KCost-DM"}</definedName>
    <definedName name="wrn.anexa1." hidden="1">{#N/A,#N/A,FALSE,"KCost-DM"}</definedName>
    <definedName name="wrn.anexa14." localSheetId="6" hidden="1">{#N/A,#N/A,FALSE,"Cost-";#N/A,#N/A,FALSE,"Cost+"}</definedName>
    <definedName name="wrn.anexa14." localSheetId="10" hidden="1">{#N/A,#N/A,FALSE,"Cost-";#N/A,#N/A,FALSE,"Cost+"}</definedName>
    <definedName name="wrn.anexa14." localSheetId="0" hidden="1">{#N/A,#N/A,FALSE,"Cost-";#N/A,#N/A,FALSE,"Cost+"}</definedName>
    <definedName name="wrn.anexa14." localSheetId="1" hidden="1">{#N/A,#N/A,FALSE,"Cost-";#N/A,#N/A,FALSE,"Cost+"}</definedName>
    <definedName name="wrn.anexa14." localSheetId="2" hidden="1">{#N/A,#N/A,FALSE,"Cost-";#N/A,#N/A,FALSE,"Cost+"}</definedName>
    <definedName name="wrn.anexa14." hidden="1">{#N/A,#N/A,FALSE,"Cost-";#N/A,#N/A,FALSE,"Cost+"}</definedName>
    <definedName name="wrn.anexa15." localSheetId="6" hidden="1">{#N/A,#N/A,FALSE,"Sale-";#N/A,#N/A,FALSE,"Sale+"}</definedName>
    <definedName name="wrn.anexa15." localSheetId="10" hidden="1">{#N/A,#N/A,FALSE,"Sale-";#N/A,#N/A,FALSE,"Sale+"}</definedName>
    <definedName name="wrn.anexa15." localSheetId="0" hidden="1">{#N/A,#N/A,FALSE,"Sale-";#N/A,#N/A,FALSE,"Sale+"}</definedName>
    <definedName name="wrn.anexa15." localSheetId="1" hidden="1">{#N/A,#N/A,FALSE,"Sale-";#N/A,#N/A,FALSE,"Sale+"}</definedName>
    <definedName name="wrn.anexa15." localSheetId="2" hidden="1">{#N/A,#N/A,FALSE,"Sale-";#N/A,#N/A,FALSE,"Sale+"}</definedName>
    <definedName name="wrn.anexa15." hidden="1">{#N/A,#N/A,FALSE,"Sale-";#N/A,#N/A,FALSE,"Sale+"}</definedName>
    <definedName name="wrn.anexa16." localSheetId="6" hidden="1">{#N/A,#N/A,FALSE,"FinPl"}</definedName>
    <definedName name="wrn.anexa16." localSheetId="10" hidden="1">{#N/A,#N/A,FALSE,"FinPl"}</definedName>
    <definedName name="wrn.anexa16." localSheetId="0" hidden="1">{#N/A,#N/A,FALSE,"FinPl"}</definedName>
    <definedName name="wrn.anexa16." localSheetId="1" hidden="1">{#N/A,#N/A,FALSE,"FinPl"}</definedName>
    <definedName name="wrn.anexa16." localSheetId="2" hidden="1">{#N/A,#N/A,FALSE,"FinPl"}</definedName>
    <definedName name="wrn.anexa16." hidden="1">{#N/A,#N/A,FALSE,"FinPl"}</definedName>
    <definedName name="wrn.anexa17." localSheetId="6" hidden="1">{#N/A,#N/A,FALSE,"Amortization Table"}</definedName>
    <definedName name="wrn.anexa17." localSheetId="10" hidden="1">{#N/A,#N/A,FALSE,"Amortization Table"}</definedName>
    <definedName name="wrn.anexa17." localSheetId="0" hidden="1">{#N/A,#N/A,FALSE,"Amortization Table"}</definedName>
    <definedName name="wrn.anexa17." localSheetId="1" hidden="1">{#N/A,#N/A,FALSE,"Amortization Table"}</definedName>
    <definedName name="wrn.anexa17." localSheetId="2" hidden="1">{#N/A,#N/A,FALSE,"Amortization Table"}</definedName>
    <definedName name="wrn.anexa17." hidden="1">{#N/A,#N/A,FALSE,"Amortization Table"}</definedName>
    <definedName name="wrn.anexa18." localSheetId="6" hidden="1">{#N/A,#N/A,FALSE,"IncPr";#N/A,#N/A,FALSE,"InCoE"}</definedName>
    <definedName name="wrn.anexa18." localSheetId="10" hidden="1">{#N/A,#N/A,FALSE,"IncPr";#N/A,#N/A,FALSE,"InCoE"}</definedName>
    <definedName name="wrn.anexa18." localSheetId="0" hidden="1">{#N/A,#N/A,FALSE,"IncPr";#N/A,#N/A,FALSE,"InCoE"}</definedName>
    <definedName name="wrn.anexa18." localSheetId="1" hidden="1">{#N/A,#N/A,FALSE,"IncPr";#N/A,#N/A,FALSE,"InCoE"}</definedName>
    <definedName name="wrn.anexa18." localSheetId="2" hidden="1">{#N/A,#N/A,FALSE,"IncPr";#N/A,#N/A,FALSE,"InCoE"}</definedName>
    <definedName name="wrn.anexa18." hidden="1">{#N/A,#N/A,FALSE,"IncPr";#N/A,#N/A,FALSE,"InCoE"}</definedName>
    <definedName name="wrn.anexa19." localSheetId="6" hidden="1">{#N/A,#N/A,FALSE,"FRR";#N/A,#N/A,FALSE,"ERR"}</definedName>
    <definedName name="wrn.anexa19." localSheetId="10" hidden="1">{#N/A,#N/A,FALSE,"FRR";#N/A,#N/A,FALSE,"ERR"}</definedName>
    <definedName name="wrn.anexa19." localSheetId="0" hidden="1">{#N/A,#N/A,FALSE,"FRR";#N/A,#N/A,FALSE,"ERR"}</definedName>
    <definedName name="wrn.anexa19." localSheetId="1" hidden="1">{#N/A,#N/A,FALSE,"FRR";#N/A,#N/A,FALSE,"ERR"}</definedName>
    <definedName name="wrn.anexa19." localSheetId="2" hidden="1">{#N/A,#N/A,FALSE,"FRR";#N/A,#N/A,FALSE,"ERR"}</definedName>
    <definedName name="wrn.anexa19." hidden="1">{#N/A,#N/A,FALSE,"FRR";#N/A,#N/A,FALSE,"ERR"}</definedName>
    <definedName name="wrn.anexa2." localSheetId="6" hidden="1">{#N/A,#N/A,FALSE,"DeprTabl Rom"}</definedName>
    <definedName name="wrn.anexa2." localSheetId="10" hidden="1">{#N/A,#N/A,FALSE,"DeprTabl Rom"}</definedName>
    <definedName name="wrn.anexa2." localSheetId="0" hidden="1">{#N/A,#N/A,FALSE,"DeprTabl Rom"}</definedName>
    <definedName name="wrn.anexa2." localSheetId="1" hidden="1">{#N/A,#N/A,FALSE,"DeprTabl Rom"}</definedName>
    <definedName name="wrn.anexa2." localSheetId="2" hidden="1">{#N/A,#N/A,FALSE,"DeprTabl Rom"}</definedName>
    <definedName name="wrn.anexa2." hidden="1">{#N/A,#N/A,FALSE,"DeprTabl Rom"}</definedName>
    <definedName name="wrn.anexa21." localSheetId="6" hidden="1">{#N/A,#N/A,FALSE,"P&amp;L";#N/A,#N/A,FALSE,"BS";#N/A,#N/A,FALSE,"CF"}</definedName>
    <definedName name="wrn.anexa21." localSheetId="10" hidden="1">{#N/A,#N/A,FALSE,"P&amp;L";#N/A,#N/A,FALSE,"BS";#N/A,#N/A,FALSE,"CF"}</definedName>
    <definedName name="wrn.anexa21." localSheetId="0" hidden="1">{#N/A,#N/A,FALSE,"P&amp;L";#N/A,#N/A,FALSE,"BS";#N/A,#N/A,FALSE,"CF"}</definedName>
    <definedName name="wrn.anexa21." localSheetId="1" hidden="1">{#N/A,#N/A,FALSE,"P&amp;L";#N/A,#N/A,FALSE,"BS";#N/A,#N/A,FALSE,"CF"}</definedName>
    <definedName name="wrn.anexa21." localSheetId="2" hidden="1">{#N/A,#N/A,FALSE,"P&amp;L";#N/A,#N/A,FALSE,"BS";#N/A,#N/A,FALSE,"CF"}</definedName>
    <definedName name="wrn.anexa21." hidden="1">{#N/A,#N/A,FALSE,"P&amp;L";#N/A,#N/A,FALSE,"BS";#N/A,#N/A,FALSE,"CF"}</definedName>
    <definedName name="wrn.anexa22." localSheetId="6" hidden="1">{#N/A,#N/A,FALSE,"Ratio"}</definedName>
    <definedName name="wrn.anexa22." localSheetId="10" hidden="1">{#N/A,#N/A,FALSE,"Ratio"}</definedName>
    <definedName name="wrn.anexa22." localSheetId="0" hidden="1">{#N/A,#N/A,FALSE,"Ratio"}</definedName>
    <definedName name="wrn.anexa22." localSheetId="1" hidden="1">{#N/A,#N/A,FALSE,"Ratio"}</definedName>
    <definedName name="wrn.anexa22." localSheetId="2" hidden="1">{#N/A,#N/A,FALSE,"Ratio"}</definedName>
    <definedName name="wrn.anexa22." hidden="1">{#N/A,#N/A,FALSE,"Ratio"}</definedName>
    <definedName name="wrn.anexa23." localSheetId="6" hidden="1">{#N/A,#N/A,FALSE,"Forex"}</definedName>
    <definedName name="wrn.anexa23." localSheetId="10" hidden="1">{#N/A,#N/A,FALSE,"Forex"}</definedName>
    <definedName name="wrn.anexa23." localSheetId="0" hidden="1">{#N/A,#N/A,FALSE,"Forex"}</definedName>
    <definedName name="wrn.anexa23." localSheetId="1" hidden="1">{#N/A,#N/A,FALSE,"Forex"}</definedName>
    <definedName name="wrn.anexa23." localSheetId="2" hidden="1">{#N/A,#N/A,FALSE,"Forex"}</definedName>
    <definedName name="wrn.anexa23." hidden="1">{#N/A,#N/A,FALSE,"Forex"}</definedName>
    <definedName name="wrn.anexa26." localSheetId="6" hidden="1">{#N/A,#N/A,FALSE,"SAnFRR";#N/A,#N/A,FALSE,"SAnERR"}</definedName>
    <definedName name="wrn.anexa26." localSheetId="10" hidden="1">{#N/A,#N/A,FALSE,"SAnFRR";#N/A,#N/A,FALSE,"SAnERR"}</definedName>
    <definedName name="wrn.anexa26." localSheetId="0" hidden="1">{#N/A,#N/A,FALSE,"SAnFRR";#N/A,#N/A,FALSE,"SAnERR"}</definedName>
    <definedName name="wrn.anexa26." localSheetId="1" hidden="1">{#N/A,#N/A,FALSE,"SAnFRR";#N/A,#N/A,FALSE,"SAnERR"}</definedName>
    <definedName name="wrn.anexa26." localSheetId="2" hidden="1">{#N/A,#N/A,FALSE,"SAnFRR";#N/A,#N/A,FALSE,"SAnERR"}</definedName>
    <definedName name="wrn.anexa26." hidden="1">{#N/A,#N/A,FALSE,"SAnFRR";#N/A,#N/A,FALSE,"SAnERR"}</definedName>
    <definedName name="wrn.anexa3." localSheetId="6" hidden="1">{#N/A,#N/A,FALSE,"KCost"}</definedName>
    <definedName name="wrn.anexa3." localSheetId="10" hidden="1">{#N/A,#N/A,FALSE,"KCost"}</definedName>
    <definedName name="wrn.anexa3." localSheetId="0" hidden="1">{#N/A,#N/A,FALSE,"KCost"}</definedName>
    <definedName name="wrn.anexa3." localSheetId="1" hidden="1">{#N/A,#N/A,FALSE,"KCost"}</definedName>
    <definedName name="wrn.anexa3." localSheetId="2" hidden="1">{#N/A,#N/A,FALSE,"KCost"}</definedName>
    <definedName name="wrn.anexa3." hidden="1">{#N/A,#N/A,FALSE,"KCost"}</definedName>
    <definedName name="wrn.demodel." localSheetId="6" hidden="1">{#N/A,#N/A,TRUE,"Data";#N/A,#N/A,TRUE,"KCost";#N/A,#N/A,TRUE,"FinPl";#N/A,#N/A,TRUE,"Sale-";#N/A,#N/A,TRUE,"Sale+";#N/A,#N/A,TRUE,"Cost+";#N/A,#N/A,TRUE,"Cost-";#N/A,#N/A,TRUE,"InCoE";#N/A,#N/A,TRUE,"IncPr";#N/A,#N/A,TRUE,"WK";#N/A,#N/A,TRUE,"FRR";#N/A,#N/A,TRUE,"SAnFRR";#N/A,#N/A,TRUE,"ERR";#N/A,#N/A,TRUE,"SAnERR";#N/A,#N/A,TRUE,"P&amp;L";#N/A,#N/A,TRUE,"CF";#N/A,#N/A,TRUE,"BS";#N/A,#N/A,TRUE,"Ratio";#N/A,#N/A,TRUE,"Forex"}</definedName>
    <definedName name="wrn.demodel." localSheetId="10" hidden="1">{#N/A,#N/A,TRUE,"Data";#N/A,#N/A,TRUE,"KCost";#N/A,#N/A,TRUE,"FinPl";#N/A,#N/A,TRUE,"Sale-";#N/A,#N/A,TRUE,"Sale+";#N/A,#N/A,TRUE,"Cost+";#N/A,#N/A,TRUE,"Cost-";#N/A,#N/A,TRUE,"InCoE";#N/A,#N/A,TRUE,"IncPr";#N/A,#N/A,TRUE,"WK";#N/A,#N/A,TRUE,"FRR";#N/A,#N/A,TRUE,"SAnFRR";#N/A,#N/A,TRUE,"ERR";#N/A,#N/A,TRUE,"SAnERR";#N/A,#N/A,TRUE,"P&amp;L";#N/A,#N/A,TRUE,"CF";#N/A,#N/A,TRUE,"BS";#N/A,#N/A,TRUE,"Ratio";#N/A,#N/A,TRUE,"Forex"}</definedName>
    <definedName name="wrn.demodel." localSheetId="0" hidden="1">{#N/A,#N/A,TRUE,"Data";#N/A,#N/A,TRUE,"KCost";#N/A,#N/A,TRUE,"FinPl";#N/A,#N/A,TRUE,"Sale-";#N/A,#N/A,TRUE,"Sale+";#N/A,#N/A,TRUE,"Cost+";#N/A,#N/A,TRUE,"Cost-";#N/A,#N/A,TRUE,"InCoE";#N/A,#N/A,TRUE,"IncPr";#N/A,#N/A,TRUE,"WK";#N/A,#N/A,TRUE,"FRR";#N/A,#N/A,TRUE,"SAnFRR";#N/A,#N/A,TRUE,"ERR";#N/A,#N/A,TRUE,"SAnERR";#N/A,#N/A,TRUE,"P&amp;L";#N/A,#N/A,TRUE,"CF";#N/A,#N/A,TRUE,"BS";#N/A,#N/A,TRUE,"Ratio";#N/A,#N/A,TRUE,"Forex"}</definedName>
    <definedName name="wrn.demodel." localSheetId="1" hidden="1">{#N/A,#N/A,TRUE,"Data";#N/A,#N/A,TRUE,"KCost";#N/A,#N/A,TRUE,"FinPl";#N/A,#N/A,TRUE,"Sale-";#N/A,#N/A,TRUE,"Sale+";#N/A,#N/A,TRUE,"Cost+";#N/A,#N/A,TRUE,"Cost-";#N/A,#N/A,TRUE,"InCoE";#N/A,#N/A,TRUE,"IncPr";#N/A,#N/A,TRUE,"WK";#N/A,#N/A,TRUE,"FRR";#N/A,#N/A,TRUE,"SAnFRR";#N/A,#N/A,TRUE,"ERR";#N/A,#N/A,TRUE,"SAnERR";#N/A,#N/A,TRUE,"P&amp;L";#N/A,#N/A,TRUE,"CF";#N/A,#N/A,TRUE,"BS";#N/A,#N/A,TRUE,"Ratio";#N/A,#N/A,TRUE,"Forex"}</definedName>
    <definedName name="wrn.demodel." localSheetId="2" hidden="1">{#N/A,#N/A,TRUE,"Data";#N/A,#N/A,TRUE,"KCost";#N/A,#N/A,TRUE,"FinPl";#N/A,#N/A,TRUE,"Sale-";#N/A,#N/A,TRUE,"Sale+";#N/A,#N/A,TRUE,"Cost+";#N/A,#N/A,TRUE,"Cost-";#N/A,#N/A,TRUE,"InCoE";#N/A,#N/A,TRUE,"IncPr";#N/A,#N/A,TRUE,"WK";#N/A,#N/A,TRUE,"FRR";#N/A,#N/A,TRUE,"SAnFRR";#N/A,#N/A,TRUE,"ERR";#N/A,#N/A,TRUE,"SAnERR";#N/A,#N/A,TRUE,"P&amp;L";#N/A,#N/A,TRUE,"CF";#N/A,#N/A,TRUE,"BS";#N/A,#N/A,TRUE,"Ratio";#N/A,#N/A,TRUE,"Forex"}</definedName>
    <definedName name="wrn.demodel." hidden="1">{#N/A,#N/A,TRUE,"Data";#N/A,#N/A,TRUE,"KCost";#N/A,#N/A,TRUE,"FinPl";#N/A,#N/A,TRUE,"Sale-";#N/A,#N/A,TRUE,"Sale+";#N/A,#N/A,TRUE,"Cost+";#N/A,#N/A,TRUE,"Cost-";#N/A,#N/A,TRUE,"InCoE";#N/A,#N/A,TRUE,"IncPr";#N/A,#N/A,TRUE,"WK";#N/A,#N/A,TRUE,"FRR";#N/A,#N/A,TRUE,"SAnFRR";#N/A,#N/A,TRUE,"ERR";#N/A,#N/A,TRUE,"SAnERR";#N/A,#N/A,TRUE,"P&amp;L";#N/A,#N/A,TRUE,"CF";#N/A,#N/A,TRUE,"BS";#N/A,#N/A,TRUE,"Ratio";#N/A,#N/A,TRUE,"Forex"}</definedName>
    <definedName name="wrn.Hyg._.Acq." localSheetId="6" hidden="1">{#N/A,#N/A,FALSE,"main";#N/A,#N/A,FALSE,"100% Cash";#N/A,#N/A,FALSE,"100% Stock"}</definedName>
    <definedName name="wrn.Hyg._.Acq." localSheetId="10" hidden="1">{#N/A,#N/A,FALSE,"main";#N/A,#N/A,FALSE,"100% Cash";#N/A,#N/A,FALSE,"100% Stock"}</definedName>
    <definedName name="wrn.Hyg._.Acq." localSheetId="0" hidden="1">{#N/A,#N/A,FALSE,"main";#N/A,#N/A,FALSE,"100% Cash";#N/A,#N/A,FALSE,"100% Stock"}</definedName>
    <definedName name="wrn.Hyg._.Acq." localSheetId="1" hidden="1">{#N/A,#N/A,FALSE,"main";#N/A,#N/A,FALSE,"100% Cash";#N/A,#N/A,FALSE,"100% Stock"}</definedName>
    <definedName name="wrn.Hyg._.Acq." localSheetId="2" hidden="1">{#N/A,#N/A,FALSE,"main";#N/A,#N/A,FALSE,"100% Cash";#N/A,#N/A,FALSE,"100% Stock"}</definedName>
    <definedName name="wrn.Hyg._.Acq." hidden="1">{#N/A,#N/A,FALSE,"main";#N/A,#N/A,FALSE,"100% Cash";#N/A,#N/A,FALSE,"100% Stock"}</definedName>
    <definedName name="wrn.print._.graphs." localSheetId="6" hidden="1">{"cap_structure",#N/A,FALSE,"Graph-Mkt Cap";"price",#N/A,FALSE,"Graph-Price";"ebit",#N/A,FALSE,"Graph-EBITDA";"ebitda",#N/A,FALSE,"Graph-EBITDA"}</definedName>
    <definedName name="wrn.print._.graphs." localSheetId="10" hidden="1">{"cap_structure",#N/A,FALSE,"Graph-Mkt Cap";"price",#N/A,FALSE,"Graph-Price";"ebit",#N/A,FALSE,"Graph-EBITDA";"ebitda",#N/A,FALSE,"Graph-EBITDA"}</definedName>
    <definedName name="wrn.print._.graphs." localSheetId="0" hidden="1">{"cap_structure",#N/A,FALSE,"Graph-Mkt Cap";"price",#N/A,FALSE,"Graph-Price";"ebit",#N/A,FALSE,"Graph-EBITDA";"ebitda",#N/A,FALSE,"Graph-EBITDA"}</definedName>
    <definedName name="wrn.print._.graphs." localSheetId="1" hidden="1">{"cap_structure",#N/A,FALSE,"Graph-Mkt Cap";"price",#N/A,FALSE,"Graph-Price";"ebit",#N/A,FALSE,"Graph-EBITDA";"ebitda",#N/A,FALSE,"Graph-EBITDA"}</definedName>
    <definedName name="wrn.print._.graphs." localSheetId="2"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6" hidden="1">{"inputs raw data",#N/A,TRUE,"INPUT"}</definedName>
    <definedName name="wrn.print._.raw._.data._.entry." localSheetId="10" hidden="1">{"inputs raw data",#N/A,TRUE,"INPUT"}</definedName>
    <definedName name="wrn.print._.raw._.data._.entry." localSheetId="0" hidden="1">{"inputs raw data",#N/A,TRUE,"INPUT"}</definedName>
    <definedName name="wrn.print._.raw._.data._.entry." localSheetId="1" hidden="1">{"inputs raw data",#N/A,TRUE,"INPUT"}</definedName>
    <definedName name="wrn.print._.raw._.data._.entry." localSheetId="2" hidden="1">{"inputs raw data",#N/A,TRUE,"INPUT"}</definedName>
    <definedName name="wrn.print._.raw._.data._.entry." hidden="1">{"inputs raw data",#N/A,TRUE,"INPUT"}</definedName>
    <definedName name="wrn.print._.summary._.sheets." localSheetId="6" hidden="1">{"summary1",#N/A,TRUE,"Comps";"summary2",#N/A,TRUE,"Comps";"summary3",#N/A,TRUE,"Comps"}</definedName>
    <definedName name="wrn.print._.summary._.sheets." localSheetId="10" hidden="1">{"summary1",#N/A,TRUE,"Comps";"summary2",#N/A,TRUE,"Comps";"summary3",#N/A,TRUE,"Comps"}</definedName>
    <definedName name="wrn.print._.summary._.sheets." localSheetId="0" hidden="1">{"summary1",#N/A,TRUE,"Comps";"summary2",#N/A,TRUE,"Comps";"summary3",#N/A,TRUE,"Comps"}</definedName>
    <definedName name="wrn.print._.summary._.sheets." localSheetId="1" hidden="1">{"summary1",#N/A,TRUE,"Comps";"summary2",#N/A,TRUE,"Comps";"summary3",#N/A,TRUE,"Comps"}</definedName>
    <definedName name="wrn.print._.summary._.sheets." localSheetId="2" hidden="1">{"summary1",#N/A,TRUE,"Comps";"summary2",#N/A,TRUE,"Comps";"summary3",#N/A,TRUE,"Comps"}</definedName>
    <definedName name="wrn.print._.summary._.sheets." hidden="1">{"summary1",#N/A,TRUE,"Comps";"summary2",#N/A,TRUE,"Comps";"summary3",#N/A,TRUE,"Comps"}</definedName>
    <definedName name="wrn.Print_Buyer." localSheetId="6" hidden="1">{#N/A,"DR",FALSE,"increm pf";#N/A,"MAMSI",FALSE,"increm pf";#N/A,"MAXI",FALSE,"increm pf";#N/A,"PCAM",FALSE,"increm pf";#N/A,"PHSV",FALSE,"increm pf";#N/A,"SIE",FALSE,"increm pf"}</definedName>
    <definedName name="wrn.Print_Buyer." localSheetId="10" hidden="1">{#N/A,"DR",FALSE,"increm pf";#N/A,"MAMSI",FALSE,"increm pf";#N/A,"MAXI",FALSE,"increm pf";#N/A,"PCAM",FALSE,"increm pf";#N/A,"PHSV",FALSE,"increm pf";#N/A,"SIE",FALSE,"increm pf"}</definedName>
    <definedName name="wrn.Print_Buyer." localSheetId="0" hidden="1">{#N/A,"DR",FALSE,"increm pf";#N/A,"MAMSI",FALSE,"increm pf";#N/A,"MAXI",FALSE,"increm pf";#N/A,"PCAM",FALSE,"increm pf";#N/A,"PHSV",FALSE,"increm pf";#N/A,"SIE",FALSE,"increm pf"}</definedName>
    <definedName name="wrn.Print_Buyer." localSheetId="1" hidden="1">{#N/A,"DR",FALSE,"increm pf";#N/A,"MAMSI",FALSE,"increm pf";#N/A,"MAXI",FALSE,"increm pf";#N/A,"PCAM",FALSE,"increm pf";#N/A,"PHSV",FALSE,"increm pf";#N/A,"SIE",FALSE,"increm pf"}</definedName>
    <definedName name="wrn.Print_Buyer." localSheetId="2"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Target."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1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raport." localSheetId="6" hidden="1">{#N/A,#N/A,FALSE,"1"}</definedName>
    <definedName name="wrn.raport." localSheetId="10" hidden="1">{#N/A,#N/A,FALSE,"1"}</definedName>
    <definedName name="wrn.raport." localSheetId="0" hidden="1">{#N/A,#N/A,FALSE,"1"}</definedName>
    <definedName name="wrn.raport." localSheetId="1" hidden="1">{#N/A,#N/A,FALSE,"1"}</definedName>
    <definedName name="wrn.raport." localSheetId="2" hidden="1">{#N/A,#N/A,FALSE,"1"}</definedName>
    <definedName name="wrn.raport." hidden="1">{#N/A,#N/A,FALSE,"1"}</definedName>
    <definedName name="wrn.SCA._.Acq.." localSheetId="6" hidden="1">{#N/A,#N/A,FALSE,"main";#N/A,#N/A,FALSE,"Pooling";#N/A,#N/A,FALSE,"Purchase"}</definedName>
    <definedName name="wrn.SCA._.Acq.." localSheetId="10" hidden="1">{#N/A,#N/A,FALSE,"main";#N/A,#N/A,FALSE,"Pooling";#N/A,#N/A,FALSE,"Purchase"}</definedName>
    <definedName name="wrn.SCA._.Acq.." localSheetId="0" hidden="1">{#N/A,#N/A,FALSE,"main";#N/A,#N/A,FALSE,"Pooling";#N/A,#N/A,FALSE,"Purchase"}</definedName>
    <definedName name="wrn.SCA._.Acq.." localSheetId="1" hidden="1">{#N/A,#N/A,FALSE,"main";#N/A,#N/A,FALSE,"Pooling";#N/A,#N/A,FALSE,"Purchase"}</definedName>
    <definedName name="wrn.SCA._.Acq.." localSheetId="2" hidden="1">{#N/A,#N/A,FALSE,"main";#N/A,#N/A,FALSE,"Pooling";#N/A,#N/A,FALSE,"Purchase"}</definedName>
    <definedName name="wrn.SCA._.Acq.." hidden="1">{#N/A,#N/A,FALSE,"main";#N/A,#N/A,FALSE,"Pooling";#N/A,#N/A,FALSE,"Purchase"}</definedName>
    <definedName name="wrn.SCA._.AcqDisv." localSheetId="6" hidden="1">{#N/A,#N/A,FALSE,"main";#N/A,#N/A,FALSE,"Purchase"}</definedName>
    <definedName name="wrn.SCA._.AcqDisv." localSheetId="10" hidden="1">{#N/A,#N/A,FALSE,"main";#N/A,#N/A,FALSE,"Purchase"}</definedName>
    <definedName name="wrn.SCA._.AcqDisv." localSheetId="0" hidden="1">{#N/A,#N/A,FALSE,"main";#N/A,#N/A,FALSE,"Purchase"}</definedName>
    <definedName name="wrn.SCA._.AcqDisv." localSheetId="1" hidden="1">{#N/A,#N/A,FALSE,"main";#N/A,#N/A,FALSE,"Purchase"}</definedName>
    <definedName name="wrn.SCA._.AcqDisv." localSheetId="2" hidden="1">{#N/A,#N/A,FALSE,"main";#N/A,#N/A,FALSE,"Purchase"}</definedName>
    <definedName name="wrn.SCA._.AcqDisv." hidden="1">{#N/A,#N/A,FALSE,"main";#N/A,#N/A,FALSE,"Purchase"}</definedName>
    <definedName name="wvu.inputs._.raw._.data."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x" localSheetId="6">#REF!</definedName>
    <definedName name="x" localSheetId="10">#REF!</definedName>
    <definedName name="x" localSheetId="0">#REF!</definedName>
    <definedName name="x" localSheetId="1">#REF!</definedName>
    <definedName name="x" localSheetId="2">#REF!</definedName>
    <definedName name="x">#REF!</definedName>
    <definedName name="xRng_04db14de15004375a7fad9596fbae4b0" localSheetId="6">#REF!,#REF!</definedName>
    <definedName name="xRng_04db14de15004375a7fad9596fbae4b0" localSheetId="10">#REF!,#REF!</definedName>
    <definedName name="xRng_04db14de15004375a7fad9596fbae4b0" localSheetId="0">#REF!,#REF!</definedName>
    <definedName name="xRng_04db14de15004375a7fad9596fbae4b0" localSheetId="1">#REF!,#REF!</definedName>
    <definedName name="xRng_04db14de15004375a7fad9596fbae4b0" localSheetId="2">#REF!,#REF!</definedName>
    <definedName name="xRng_04db14de15004375a7fad9596fbae4b0">#REF!,#REF!</definedName>
    <definedName name="xRng_053d6d93c3334c68bc3bcf775572d490" localSheetId="6">#REF!</definedName>
    <definedName name="xRng_053d6d93c3334c68bc3bcf775572d490" localSheetId="10">#REF!</definedName>
    <definedName name="xRng_053d6d93c3334c68bc3bcf775572d490" localSheetId="0">#REF!</definedName>
    <definedName name="xRng_053d6d93c3334c68bc3bcf775572d490" localSheetId="1">#REF!</definedName>
    <definedName name="xRng_053d6d93c3334c68bc3bcf775572d490" localSheetId="2">#REF!</definedName>
    <definedName name="xRng_053d6d93c3334c68bc3bcf775572d490">#REF!</definedName>
    <definedName name="xRng_0759c4ebfe334249938f5b612bd5ff3e" localSheetId="6">#REF!</definedName>
    <definedName name="xRng_0759c4ebfe334249938f5b612bd5ff3e" localSheetId="10">#REF!</definedName>
    <definedName name="xRng_0759c4ebfe334249938f5b612bd5ff3e" localSheetId="0">#REF!</definedName>
    <definedName name="xRng_0759c4ebfe334249938f5b612bd5ff3e" localSheetId="1">#REF!</definedName>
    <definedName name="xRng_0759c4ebfe334249938f5b612bd5ff3e" localSheetId="2">#REF!</definedName>
    <definedName name="xRng_0759c4ebfe334249938f5b612bd5ff3e">#REF!</definedName>
    <definedName name="xRng_081af88e4d1147b48909b628a2c84e03" localSheetId="6">#REF!</definedName>
    <definedName name="xRng_081af88e4d1147b48909b628a2c84e03" localSheetId="10">#REF!</definedName>
    <definedName name="xRng_081af88e4d1147b48909b628a2c84e03" localSheetId="0">#REF!</definedName>
    <definedName name="xRng_081af88e4d1147b48909b628a2c84e03" localSheetId="1">#REF!</definedName>
    <definedName name="xRng_081af88e4d1147b48909b628a2c84e03" localSheetId="2">#REF!</definedName>
    <definedName name="xRng_081af88e4d1147b48909b628a2c84e03">#REF!</definedName>
    <definedName name="xRng_1231ebb62a504e8da2a540f17c3011ef" localSheetId="6">#REF!,#REF!,#REF!</definedName>
    <definedName name="xRng_1231ebb62a504e8da2a540f17c3011ef" localSheetId="10">#REF!,#REF!,#REF!</definedName>
    <definedName name="xRng_1231ebb62a504e8da2a540f17c3011ef" localSheetId="0">#REF!,#REF!,#REF!</definedName>
    <definedName name="xRng_1231ebb62a504e8da2a540f17c3011ef" localSheetId="1">#REF!,#REF!,#REF!</definedName>
    <definedName name="xRng_1231ebb62a504e8da2a540f17c3011ef" localSheetId="2">#REF!,#REF!,#REF!</definedName>
    <definedName name="xRng_1231ebb62a504e8da2a540f17c3011ef">#REF!,#REF!,#REF!</definedName>
    <definedName name="xRng_1bdcf5fab4ad42519020b1508bf090d1" localSheetId="6">#REF!,#REF!,#REF!</definedName>
    <definedName name="xRng_1bdcf5fab4ad42519020b1508bf090d1" localSheetId="10">#REF!,#REF!,#REF!</definedName>
    <definedName name="xRng_1bdcf5fab4ad42519020b1508bf090d1" localSheetId="0">#REF!,#REF!,#REF!</definedName>
    <definedName name="xRng_1bdcf5fab4ad42519020b1508bf090d1" localSheetId="1">#REF!,#REF!,#REF!</definedName>
    <definedName name="xRng_1bdcf5fab4ad42519020b1508bf090d1" localSheetId="2">#REF!,#REF!,#REF!</definedName>
    <definedName name="xRng_1bdcf5fab4ad42519020b1508bf090d1">#REF!,#REF!,#REF!</definedName>
    <definedName name="xRng_1f077a33b019445db44bc43adaf7b238" localSheetId="6">#REF!</definedName>
    <definedName name="xRng_1f077a33b019445db44bc43adaf7b238" localSheetId="10">#REF!</definedName>
    <definedName name="xRng_1f077a33b019445db44bc43adaf7b238" localSheetId="0">#REF!</definedName>
    <definedName name="xRng_1f077a33b019445db44bc43adaf7b238" localSheetId="1">#REF!</definedName>
    <definedName name="xRng_1f077a33b019445db44bc43adaf7b238" localSheetId="2">#REF!</definedName>
    <definedName name="xRng_1f077a33b019445db44bc43adaf7b238">#REF!</definedName>
    <definedName name="xRng_24ded082fb5d49e391ae5b80dd9638ac" localSheetId="6">#REF!</definedName>
    <definedName name="xRng_24ded082fb5d49e391ae5b80dd9638ac" localSheetId="10">#REF!</definedName>
    <definedName name="xRng_24ded082fb5d49e391ae5b80dd9638ac" localSheetId="0">#REF!</definedName>
    <definedName name="xRng_24ded082fb5d49e391ae5b80dd9638ac" localSheetId="1">#REF!</definedName>
    <definedName name="xRng_24ded082fb5d49e391ae5b80dd9638ac" localSheetId="2">#REF!</definedName>
    <definedName name="xRng_24ded082fb5d49e391ae5b80dd9638ac">#REF!</definedName>
    <definedName name="xRng_273c7ca141d2474d896218502e2cb33e" localSheetId="6">#REF!</definedName>
    <definedName name="xRng_273c7ca141d2474d896218502e2cb33e" localSheetId="10">#REF!</definedName>
    <definedName name="xRng_273c7ca141d2474d896218502e2cb33e" localSheetId="0">#REF!</definedName>
    <definedName name="xRng_273c7ca141d2474d896218502e2cb33e" localSheetId="1">#REF!</definedName>
    <definedName name="xRng_273c7ca141d2474d896218502e2cb33e" localSheetId="2">#REF!</definedName>
    <definedName name="xRng_273c7ca141d2474d896218502e2cb33e">#REF!</definedName>
    <definedName name="xRng_36b8fa4b0ee94bc092e0d6609e3179d4" localSheetId="10">#REF!</definedName>
    <definedName name="xRng_36b8fa4b0ee94bc092e0d6609e3179d4">#REF!</definedName>
    <definedName name="xRng_4e49cc87a9154d70b2a6bfb25941cc44" localSheetId="10">#REF!</definedName>
    <definedName name="xRng_4e49cc87a9154d70b2a6bfb25941cc44">#REF!</definedName>
    <definedName name="xRng_51b2c7c1168f4f118df649419abd4f04" localSheetId="10">#REF!</definedName>
    <definedName name="xRng_51b2c7c1168f4f118df649419abd4f04">#REF!</definedName>
    <definedName name="xRng_5bb72ae09f354eedb976ddfe2ff3e073" localSheetId="6">#REF!,#REF!,#REF!</definedName>
    <definedName name="xRng_5bb72ae09f354eedb976ddfe2ff3e073" localSheetId="10">#REF!,#REF!,#REF!</definedName>
    <definedName name="xRng_5bb72ae09f354eedb976ddfe2ff3e073" localSheetId="0">#REF!,#REF!,#REF!</definedName>
    <definedName name="xRng_5bb72ae09f354eedb976ddfe2ff3e073" localSheetId="1">#REF!,#REF!,#REF!</definedName>
    <definedName name="xRng_5bb72ae09f354eedb976ddfe2ff3e073" localSheetId="2">#REF!,#REF!,#REF!</definedName>
    <definedName name="xRng_5bb72ae09f354eedb976ddfe2ff3e073">#REF!,#REF!,#REF!</definedName>
    <definedName name="xRng_60320408e72a4272a755447998560403" localSheetId="6">#REF!</definedName>
    <definedName name="xRng_60320408e72a4272a755447998560403" localSheetId="10">#REF!</definedName>
    <definedName name="xRng_60320408e72a4272a755447998560403" localSheetId="0">#REF!</definedName>
    <definedName name="xRng_60320408e72a4272a755447998560403" localSheetId="1">#REF!</definedName>
    <definedName name="xRng_60320408e72a4272a755447998560403" localSheetId="2">#REF!</definedName>
    <definedName name="xRng_60320408e72a4272a755447998560403">#REF!</definedName>
    <definedName name="xRng_64b1afcd4eff4a299329f3c6a466457b" localSheetId="6">#REF!</definedName>
    <definedName name="xRng_64b1afcd4eff4a299329f3c6a466457b" localSheetId="10">#REF!</definedName>
    <definedName name="xRng_64b1afcd4eff4a299329f3c6a466457b" localSheetId="0">#REF!</definedName>
    <definedName name="xRng_64b1afcd4eff4a299329f3c6a466457b" localSheetId="1">#REF!</definedName>
    <definedName name="xRng_64b1afcd4eff4a299329f3c6a466457b" localSheetId="2">#REF!</definedName>
    <definedName name="xRng_64b1afcd4eff4a299329f3c6a466457b">#REF!</definedName>
    <definedName name="xRng_854b93c0830f4b9aae9984cf209539e8" localSheetId="6">#REF!</definedName>
    <definedName name="xRng_854b93c0830f4b9aae9984cf209539e8" localSheetId="10">#REF!</definedName>
    <definedName name="xRng_854b93c0830f4b9aae9984cf209539e8" localSheetId="0">#REF!</definedName>
    <definedName name="xRng_854b93c0830f4b9aae9984cf209539e8" localSheetId="1">#REF!</definedName>
    <definedName name="xRng_854b93c0830f4b9aae9984cf209539e8" localSheetId="2">#REF!</definedName>
    <definedName name="xRng_854b93c0830f4b9aae9984cf209539e8">#REF!</definedName>
    <definedName name="xRng_884bafc299e24f08b0d4123605f1148d" localSheetId="10">#REF!</definedName>
    <definedName name="xRng_884bafc299e24f08b0d4123605f1148d">#REF!</definedName>
    <definedName name="xRng_97c13ee5a91144f49cf8bc409fba9682" localSheetId="10">#REF!</definedName>
    <definedName name="xRng_97c13ee5a91144f49cf8bc409fba9682">#REF!</definedName>
    <definedName name="xRng_a205d2407a204f968e81eb20aad5792c" localSheetId="6">#REF!,#REF!</definedName>
    <definedName name="xRng_a205d2407a204f968e81eb20aad5792c" localSheetId="10">#REF!,#REF!</definedName>
    <definedName name="xRng_a205d2407a204f968e81eb20aad5792c" localSheetId="0">#REF!,#REF!</definedName>
    <definedName name="xRng_a205d2407a204f968e81eb20aad5792c" localSheetId="1">#REF!,#REF!</definedName>
    <definedName name="xRng_a205d2407a204f968e81eb20aad5792c" localSheetId="2">#REF!,#REF!</definedName>
    <definedName name="xRng_a205d2407a204f968e81eb20aad5792c">#REF!,#REF!</definedName>
    <definedName name="xRng_a4a605d298324627b9c40d32fea7d3e2" localSheetId="6">#REF!</definedName>
    <definedName name="xRng_a4a605d298324627b9c40d32fea7d3e2" localSheetId="10">#REF!</definedName>
    <definedName name="xRng_a4a605d298324627b9c40d32fea7d3e2" localSheetId="0">#REF!</definedName>
    <definedName name="xRng_a4a605d298324627b9c40d32fea7d3e2" localSheetId="1">#REF!</definedName>
    <definedName name="xRng_a4a605d298324627b9c40d32fea7d3e2" localSheetId="2">#REF!</definedName>
    <definedName name="xRng_a4a605d298324627b9c40d32fea7d3e2">#REF!</definedName>
    <definedName name="xRng_a9f97aa9ad7243989997be5d09b2a614" localSheetId="6">#REF!,#REF!</definedName>
    <definedName name="xRng_a9f97aa9ad7243989997be5d09b2a614" localSheetId="10">#REF!,#REF!</definedName>
    <definedName name="xRng_a9f97aa9ad7243989997be5d09b2a614" localSheetId="0">#REF!,#REF!</definedName>
    <definedName name="xRng_a9f97aa9ad7243989997be5d09b2a614" localSheetId="1">#REF!,#REF!</definedName>
    <definedName name="xRng_a9f97aa9ad7243989997be5d09b2a614" localSheetId="2">#REF!,#REF!</definedName>
    <definedName name="xRng_a9f97aa9ad7243989997be5d09b2a614">#REF!,#REF!</definedName>
    <definedName name="xRng_b9b7fcc46e5a41b0bb28ca5395c099bd" localSheetId="6">#REF!,#REF!,#REF!</definedName>
    <definedName name="xRng_b9b7fcc46e5a41b0bb28ca5395c099bd" localSheetId="10">#REF!,#REF!,#REF!</definedName>
    <definedName name="xRng_b9b7fcc46e5a41b0bb28ca5395c099bd" localSheetId="0">#REF!,#REF!,#REF!</definedName>
    <definedName name="xRng_b9b7fcc46e5a41b0bb28ca5395c099bd" localSheetId="1">#REF!,#REF!,#REF!</definedName>
    <definedName name="xRng_b9b7fcc46e5a41b0bb28ca5395c099bd" localSheetId="2">#REF!,#REF!,#REF!</definedName>
    <definedName name="xRng_b9b7fcc46e5a41b0bb28ca5395c099bd">#REF!,#REF!,#REF!</definedName>
    <definedName name="xRng_bd228d396c9f426d936f3b193b199a91" localSheetId="6">#REF!</definedName>
    <definedName name="xRng_bd228d396c9f426d936f3b193b199a91" localSheetId="10">#REF!</definedName>
    <definedName name="xRng_bd228d396c9f426d936f3b193b199a91" localSheetId="0">#REF!</definedName>
    <definedName name="xRng_bd228d396c9f426d936f3b193b199a91" localSheetId="1">#REF!</definedName>
    <definedName name="xRng_bd228d396c9f426d936f3b193b199a91" localSheetId="2">#REF!</definedName>
    <definedName name="xRng_bd228d396c9f426d936f3b193b199a91">#REF!</definedName>
    <definedName name="xRng_bd30795447554bfbaf32264a935cc4e3" localSheetId="6">#REF!</definedName>
    <definedName name="xRng_bd30795447554bfbaf32264a935cc4e3" localSheetId="10">#REF!</definedName>
    <definedName name="xRng_bd30795447554bfbaf32264a935cc4e3" localSheetId="0">#REF!</definedName>
    <definedName name="xRng_bd30795447554bfbaf32264a935cc4e3" localSheetId="1">#REF!</definedName>
    <definedName name="xRng_bd30795447554bfbaf32264a935cc4e3" localSheetId="2">#REF!</definedName>
    <definedName name="xRng_bd30795447554bfbaf32264a935cc4e3">#REF!</definedName>
    <definedName name="xRng_c1a234fcce36460582a3ebaa2e21d51e" localSheetId="6">#REF!,#REF!,#REF!</definedName>
    <definedName name="xRng_c1a234fcce36460582a3ebaa2e21d51e" localSheetId="10">#REF!,#REF!,#REF!</definedName>
    <definedName name="xRng_c1a234fcce36460582a3ebaa2e21d51e" localSheetId="0">#REF!,#REF!,#REF!</definedName>
    <definedName name="xRng_c1a234fcce36460582a3ebaa2e21d51e" localSheetId="1">#REF!,#REF!,#REF!</definedName>
    <definedName name="xRng_c1a234fcce36460582a3ebaa2e21d51e" localSheetId="2">#REF!,#REF!,#REF!</definedName>
    <definedName name="xRng_c1a234fcce36460582a3ebaa2e21d51e">#REF!,#REF!,#REF!</definedName>
    <definedName name="xRng_c219fa87d0ba49438b066b3d3706d3b0" localSheetId="6">#REF!,#REF!,#REF!</definedName>
    <definedName name="xRng_c219fa87d0ba49438b066b3d3706d3b0" localSheetId="10">#REF!,#REF!,#REF!</definedName>
    <definedName name="xRng_c219fa87d0ba49438b066b3d3706d3b0" localSheetId="0">#REF!,#REF!,#REF!</definedName>
    <definedName name="xRng_c219fa87d0ba49438b066b3d3706d3b0" localSheetId="1">#REF!,#REF!,#REF!</definedName>
    <definedName name="xRng_c219fa87d0ba49438b066b3d3706d3b0" localSheetId="2">#REF!,#REF!,#REF!</definedName>
    <definedName name="xRng_c219fa87d0ba49438b066b3d3706d3b0">#REF!,#REF!,#REF!</definedName>
    <definedName name="xRng_c81d81c624684dde9f27005a302e93a3" localSheetId="6">#REF!,#REF!,#REF!,#REF!,#REF!,#REF!,#REF!,#REF!,#REF!,#REF!</definedName>
    <definedName name="xRng_c81d81c624684dde9f27005a302e93a3" localSheetId="10">#REF!,#REF!,#REF!,#REF!,#REF!,#REF!,#REF!,#REF!,#REF!,#REF!</definedName>
    <definedName name="xRng_c81d81c624684dde9f27005a302e93a3" localSheetId="0">#REF!,#REF!,#REF!,#REF!,#REF!,#REF!,#REF!,#REF!,#REF!,#REF!</definedName>
    <definedName name="xRng_c81d81c624684dde9f27005a302e93a3" localSheetId="1">#REF!,#REF!,#REF!,#REF!,#REF!,#REF!,#REF!,#REF!,#REF!,#REF!</definedName>
    <definedName name="xRng_c81d81c624684dde9f27005a302e93a3" localSheetId="2">#REF!,#REF!,#REF!,#REF!,#REF!,#REF!,#REF!,#REF!,#REF!,#REF!</definedName>
    <definedName name="xRng_c81d81c624684dde9f27005a302e93a3">#REF!,#REF!,#REF!,#REF!,#REF!,#REF!,#REF!,#REF!,#REF!,#REF!</definedName>
    <definedName name="xRng_c8c2c76b35da43b190120e729804b3f1" localSheetId="6">#REF!,#REF!</definedName>
    <definedName name="xRng_c8c2c76b35da43b190120e729804b3f1" localSheetId="10">#REF!,#REF!</definedName>
    <definedName name="xRng_c8c2c76b35da43b190120e729804b3f1" localSheetId="0">#REF!,#REF!</definedName>
    <definedName name="xRng_c8c2c76b35da43b190120e729804b3f1" localSheetId="1">#REF!,#REF!</definedName>
    <definedName name="xRng_c8c2c76b35da43b190120e729804b3f1" localSheetId="2">#REF!,#REF!</definedName>
    <definedName name="xRng_c8c2c76b35da43b190120e729804b3f1">#REF!,#REF!</definedName>
    <definedName name="xRng_ca6058cdfc604398bdaa0b24cc6b920f" localSheetId="6">#REF!</definedName>
    <definedName name="xRng_ca6058cdfc604398bdaa0b24cc6b920f" localSheetId="10">#REF!</definedName>
    <definedName name="xRng_ca6058cdfc604398bdaa0b24cc6b920f" localSheetId="0">#REF!</definedName>
    <definedName name="xRng_ca6058cdfc604398bdaa0b24cc6b920f" localSheetId="1">#REF!</definedName>
    <definedName name="xRng_ca6058cdfc604398bdaa0b24cc6b920f" localSheetId="2">#REF!</definedName>
    <definedName name="xRng_ca6058cdfc604398bdaa0b24cc6b920f">#REF!</definedName>
    <definedName name="xRng_cd094ec3d0a14d9287c3b8d3d5921d4c" localSheetId="6">#REF!</definedName>
    <definedName name="xRng_cd094ec3d0a14d9287c3b8d3d5921d4c" localSheetId="10">#REF!</definedName>
    <definedName name="xRng_cd094ec3d0a14d9287c3b8d3d5921d4c" localSheetId="0">#REF!</definedName>
    <definedName name="xRng_cd094ec3d0a14d9287c3b8d3d5921d4c" localSheetId="1">#REF!</definedName>
    <definedName name="xRng_cd094ec3d0a14d9287c3b8d3d5921d4c" localSheetId="2">#REF!</definedName>
    <definedName name="xRng_cd094ec3d0a14d9287c3b8d3d5921d4c">#REF!</definedName>
    <definedName name="xRng_dc9e2e821a8f498eaefc4addf1057bf1" localSheetId="6">#REF!,#REF!,#REF!</definedName>
    <definedName name="xRng_dc9e2e821a8f498eaefc4addf1057bf1" localSheetId="10">#REF!,#REF!,#REF!</definedName>
    <definedName name="xRng_dc9e2e821a8f498eaefc4addf1057bf1" localSheetId="0">#REF!,#REF!,#REF!</definedName>
    <definedName name="xRng_dc9e2e821a8f498eaefc4addf1057bf1" localSheetId="1">#REF!,#REF!,#REF!</definedName>
    <definedName name="xRng_dc9e2e821a8f498eaefc4addf1057bf1" localSheetId="2">#REF!,#REF!,#REF!</definedName>
    <definedName name="xRng_dc9e2e821a8f498eaefc4addf1057bf1">#REF!,#REF!,#REF!</definedName>
    <definedName name="xRng_e8efe668eff643559402816d131e8ee8" localSheetId="6">#REF!,#REF!,#REF!,#REF!,#REF!,#REF!,#REF!,#REF!,#REF!,#REF!</definedName>
    <definedName name="xRng_e8efe668eff643559402816d131e8ee8" localSheetId="10">#REF!,#REF!,#REF!,#REF!,#REF!,#REF!,#REF!,#REF!,#REF!,#REF!</definedName>
    <definedName name="xRng_e8efe668eff643559402816d131e8ee8" localSheetId="0">#REF!,#REF!,#REF!,#REF!,#REF!,#REF!,#REF!,#REF!,#REF!,#REF!</definedName>
    <definedName name="xRng_e8efe668eff643559402816d131e8ee8" localSheetId="1">#REF!,#REF!,#REF!,#REF!,#REF!,#REF!,#REF!,#REF!,#REF!,#REF!</definedName>
    <definedName name="xRng_e8efe668eff643559402816d131e8ee8" localSheetId="2">#REF!,#REF!,#REF!,#REF!,#REF!,#REF!,#REF!,#REF!,#REF!,#REF!</definedName>
    <definedName name="xRng_e8efe668eff643559402816d131e8ee8">#REF!,#REF!,#REF!,#REF!,#REF!,#REF!,#REF!,#REF!,#REF!,#REF!</definedName>
    <definedName name="xRng_ed4a341e5bb74e988bc8781a60f2685c" localSheetId="6">#REF!</definedName>
    <definedName name="xRng_ed4a341e5bb74e988bc8781a60f2685c" localSheetId="10">#REF!</definedName>
    <definedName name="xRng_ed4a341e5bb74e988bc8781a60f2685c" localSheetId="0">#REF!</definedName>
    <definedName name="xRng_ed4a341e5bb74e988bc8781a60f2685c" localSheetId="1">#REF!</definedName>
    <definedName name="xRng_ed4a341e5bb74e988bc8781a60f2685c" localSheetId="2">#REF!</definedName>
    <definedName name="xRng_ed4a341e5bb74e988bc8781a60f2685c">#REF!</definedName>
    <definedName name="xRng_fb69350883db495fbc0f3b683fa3661d" localSheetId="6">#REF!,#REF!,#REF!,#REF!,#REF!,#REF!,#REF!,#REF!,#REF!,#REF!</definedName>
    <definedName name="xRng_fb69350883db495fbc0f3b683fa3661d" localSheetId="10">#REF!,#REF!,#REF!,#REF!,#REF!,#REF!,#REF!,#REF!,#REF!,#REF!</definedName>
    <definedName name="xRng_fb69350883db495fbc0f3b683fa3661d" localSheetId="0">#REF!,#REF!,#REF!,#REF!,#REF!,#REF!,#REF!,#REF!,#REF!,#REF!</definedName>
    <definedName name="xRng_fb69350883db495fbc0f3b683fa3661d" localSheetId="1">#REF!,#REF!,#REF!,#REF!,#REF!,#REF!,#REF!,#REF!,#REF!,#REF!</definedName>
    <definedName name="xRng_fb69350883db495fbc0f3b683fa3661d" localSheetId="2">#REF!,#REF!,#REF!,#REF!,#REF!,#REF!,#REF!,#REF!,#REF!,#REF!</definedName>
    <definedName name="xRng_fb69350883db495fbc0f3b683fa3661d">#REF!,#REF!,#REF!,#REF!,#REF!,#REF!,#REF!,#REF!,#REF!,#REF!</definedName>
    <definedName name="xRng_fe85ad98ecb842898de22e7c7e3f385f" localSheetId="6">#REF!</definedName>
    <definedName name="xRng_fe85ad98ecb842898de22e7c7e3f385f" localSheetId="10">#REF!</definedName>
    <definedName name="xRng_fe85ad98ecb842898de22e7c7e3f385f" localSheetId="0">#REF!</definedName>
    <definedName name="xRng_fe85ad98ecb842898de22e7c7e3f385f" localSheetId="1">#REF!</definedName>
    <definedName name="xRng_fe85ad98ecb842898de22e7c7e3f385f" localSheetId="2">#REF!</definedName>
    <definedName name="xRng_fe85ad98ecb842898de22e7c7e3f385f">#REF!</definedName>
    <definedName name="xRng_ff9fec853aca4c498bb5bbb54bc1fa48" localSheetId="6">#REF!</definedName>
    <definedName name="xRng_ff9fec853aca4c498bb5bbb54bc1fa48" localSheetId="10">#REF!</definedName>
    <definedName name="xRng_ff9fec853aca4c498bb5bbb54bc1fa48" localSheetId="0">#REF!</definedName>
    <definedName name="xRng_ff9fec853aca4c498bb5bbb54bc1fa48" localSheetId="1">#REF!</definedName>
    <definedName name="xRng_ff9fec853aca4c498bb5bbb54bc1fa48" localSheetId="2">#REF!</definedName>
    <definedName name="xRng_ff9fec853aca4c498bb5bbb54bc1fa48">#REF!</definedName>
    <definedName name="xx" localSheetId="6">#REF!</definedName>
    <definedName name="xx" localSheetId="10">#REF!</definedName>
    <definedName name="xx" localSheetId="0">#REF!</definedName>
    <definedName name="xx" localSheetId="1">#REF!</definedName>
    <definedName name="xx" localSheetId="2">#REF!</definedName>
    <definedName name="xx">#REF!</definedName>
    <definedName name="XXX" localSheetId="10">#REF!</definedName>
    <definedName name="XXX">#REF!</definedName>
    <definedName name="YEAR" localSheetId="10">#REF!</definedName>
    <definedName name="YEAR">#REF!</definedName>
    <definedName name="ytdbudget" localSheetId="10">#REF!</definedName>
    <definedName name="ytdbudget">#REF!</definedName>
    <definedName name="_xlnm.Print_Area" localSheetId="10">#REF!</definedName>
    <definedName name="_xlnm.Print_Area" localSheetId="1">#REF!</definedName>
    <definedName name="_xlnm.Print_Area" localSheetId="2">#REF!</definedName>
    <definedName name="_xlnm.Print_Are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AC37" i="38" l="1"/>
  <c r="AC38" i="38"/>
  <c r="AB38" i="38"/>
  <c r="AA38" i="38"/>
  <c r="X26" i="38"/>
  <c r="AB37" i="38"/>
  <c r="AB36" i="38"/>
  <c r="AB33" i="38"/>
  <c r="AB32" i="38"/>
  <c r="AB29" i="38"/>
  <c r="AB28" i="38"/>
  <c r="AB25" i="38"/>
  <c r="AB24" i="38"/>
  <c r="AB17" i="38"/>
  <c r="AB16" i="38"/>
  <c r="AB13" i="38"/>
  <c r="AB12" i="38"/>
  <c r="AB9" i="38"/>
  <c r="AB8" i="38"/>
  <c r="AB5" i="38"/>
  <c r="AB4" i="38"/>
  <c r="AA37" i="38"/>
  <c r="AA29" i="38"/>
  <c r="AA28" i="38"/>
  <c r="AA25" i="38"/>
  <c r="AA24" i="38"/>
  <c r="AA9" i="38"/>
  <c r="AA8" i="38"/>
  <c r="AA5" i="38"/>
  <c r="AA4" i="38"/>
  <c r="X37" i="38"/>
  <c r="X33" i="38"/>
  <c r="X29" i="38"/>
  <c r="X28" i="38"/>
  <c r="X25" i="38"/>
  <c r="X24" i="38"/>
  <c r="X9" i="38"/>
  <c r="X8" i="38"/>
  <c r="X5" i="38"/>
  <c r="X4" i="38"/>
  <c r="W38" i="38"/>
  <c r="W30" i="38"/>
  <c r="W26" i="38"/>
  <c r="W18" i="38"/>
  <c r="W10" i="38"/>
  <c r="W6" i="38"/>
  <c r="W36" i="38"/>
  <c r="W17" i="38"/>
  <c r="W16" i="38"/>
  <c r="V30" i="38"/>
  <c r="AA30" i="38" s="1"/>
  <c r="V26" i="38"/>
  <c r="AA26" i="38" s="1"/>
  <c r="V10" i="38"/>
  <c r="AA10" i="38" s="1"/>
  <c r="V6" i="38"/>
  <c r="AA6" i="38" s="1"/>
  <c r="V36" i="38"/>
  <c r="V17" i="38"/>
  <c r="AA17" i="38" s="1"/>
  <c r="V16" i="38"/>
  <c r="U30" i="38"/>
  <c r="U26" i="38"/>
  <c r="U10" i="38"/>
  <c r="U6" i="38"/>
  <c r="U36" i="38"/>
  <c r="U17" i="38"/>
  <c r="X17" i="38" s="1"/>
  <c r="AC17" i="38" s="1"/>
  <c r="U16" i="38"/>
  <c r="T61" i="34"/>
  <c r="S61" i="34"/>
  <c r="R18" i="41"/>
  <c r="R17" i="41"/>
  <c r="R19" i="41" s="1"/>
  <c r="R6" i="41"/>
  <c r="V6" i="41" s="1"/>
  <c r="R7" i="41"/>
  <c r="V7" i="41" s="1"/>
  <c r="R8" i="41"/>
  <c r="R5" i="41"/>
  <c r="Q19" i="41"/>
  <c r="P19" i="41"/>
  <c r="M19" i="41"/>
  <c r="L19" i="41"/>
  <c r="K19" i="41"/>
  <c r="J19" i="41"/>
  <c r="I19" i="41"/>
  <c r="H19" i="41"/>
  <c r="G19" i="41"/>
  <c r="F19" i="41"/>
  <c r="E19" i="41"/>
  <c r="D19" i="41"/>
  <c r="C19" i="41"/>
  <c r="B19" i="41"/>
  <c r="V18" i="41"/>
  <c r="V9" i="41"/>
  <c r="T9" i="41"/>
  <c r="V8" i="41"/>
  <c r="Q25" i="40"/>
  <c r="Q24" i="40"/>
  <c r="Q23" i="40"/>
  <c r="T22" i="40"/>
  <c r="S22" i="40"/>
  <c r="Z21" i="40"/>
  <c r="T21" i="40"/>
  <c r="S21" i="40"/>
  <c r="Z20" i="40"/>
  <c r="T20" i="40"/>
  <c r="S20" i="40"/>
  <c r="Z17" i="40"/>
  <c r="T17" i="40" s="1"/>
  <c r="R17" i="40"/>
  <c r="P17" i="40"/>
  <c r="N17" i="40"/>
  <c r="M17" i="40"/>
  <c r="L17" i="40"/>
  <c r="K17" i="40"/>
  <c r="S17" i="40" s="1"/>
  <c r="J17" i="40"/>
  <c r="I17" i="40"/>
  <c r="H17" i="40"/>
  <c r="G17" i="40"/>
  <c r="F17" i="40"/>
  <c r="E17" i="40"/>
  <c r="D17" i="40"/>
  <c r="C17" i="40"/>
  <c r="Z16" i="40"/>
  <c r="R16" i="40"/>
  <c r="R18" i="40" s="1"/>
  <c r="R25" i="40" s="1"/>
  <c r="P16" i="40"/>
  <c r="P18" i="40" s="1"/>
  <c r="N16" i="40"/>
  <c r="N18" i="40" s="1"/>
  <c r="M16" i="40"/>
  <c r="M18" i="40" s="1"/>
  <c r="L16" i="40"/>
  <c r="L18" i="40" s="1"/>
  <c r="K16" i="40"/>
  <c r="J16" i="40"/>
  <c r="J18" i="40" s="1"/>
  <c r="I16" i="40"/>
  <c r="I18" i="40" s="1"/>
  <c r="H16" i="40"/>
  <c r="H18" i="40" s="1"/>
  <c r="H25" i="40" s="1"/>
  <c r="G16" i="40"/>
  <c r="G18" i="40" s="1"/>
  <c r="F16" i="40"/>
  <c r="F18" i="40" s="1"/>
  <c r="E16" i="40"/>
  <c r="E18" i="40" s="1"/>
  <c r="D16" i="40"/>
  <c r="D18" i="40" s="1"/>
  <c r="C16" i="40"/>
  <c r="C18" i="40" s="1"/>
  <c r="C23" i="40" s="1"/>
  <c r="T15" i="40"/>
  <c r="S15" i="40"/>
  <c r="Y8" i="40"/>
  <c r="R8" i="40"/>
  <c r="N8" i="40"/>
  <c r="M8" i="40"/>
  <c r="L8" i="40"/>
  <c r="K8" i="40"/>
  <c r="J8" i="40"/>
  <c r="I8" i="40"/>
  <c r="H8" i="40"/>
  <c r="G8" i="40"/>
  <c r="F8" i="40"/>
  <c r="E8" i="40"/>
  <c r="D8" i="40"/>
  <c r="C8" i="40"/>
  <c r="T7" i="40"/>
  <c r="S7" i="40"/>
  <c r="T6" i="40"/>
  <c r="U6" i="40" s="1"/>
  <c r="S6" i="40"/>
  <c r="T5" i="40"/>
  <c r="S5" i="40"/>
  <c r="V31" i="39"/>
  <c r="Z31" i="39" s="1"/>
  <c r="U31" i="39"/>
  <c r="T31" i="39"/>
  <c r="S31" i="39"/>
  <c r="R31" i="39"/>
  <c r="Q31" i="39"/>
  <c r="P31" i="39"/>
  <c r="O31" i="39"/>
  <c r="N31" i="39"/>
  <c r="W31" i="39" s="1"/>
  <c r="M31" i="39"/>
  <c r="L31" i="39"/>
  <c r="K31" i="39"/>
  <c r="J31" i="39"/>
  <c r="I31" i="39"/>
  <c r="H31" i="39"/>
  <c r="G31" i="39"/>
  <c r="F31" i="39"/>
  <c r="E31" i="39"/>
  <c r="D31" i="39"/>
  <c r="C31" i="39"/>
  <c r="B31" i="39"/>
  <c r="AA31" i="39" s="1"/>
  <c r="V30" i="39"/>
  <c r="U30" i="39"/>
  <c r="U32" i="39" s="1"/>
  <c r="T30" i="39"/>
  <c r="T32" i="39" s="1"/>
  <c r="S30" i="39"/>
  <c r="S32" i="39" s="1"/>
  <c r="R30" i="39"/>
  <c r="R32" i="39" s="1"/>
  <c r="Q30" i="39"/>
  <c r="Q32" i="39" s="1"/>
  <c r="P30" i="39"/>
  <c r="P32" i="39" s="1"/>
  <c r="O30" i="39"/>
  <c r="O32" i="39" s="1"/>
  <c r="N30" i="39"/>
  <c r="M30" i="39"/>
  <c r="M32" i="39" s="1"/>
  <c r="L30" i="39"/>
  <c r="L32" i="39" s="1"/>
  <c r="K30" i="39"/>
  <c r="K32" i="39" s="1"/>
  <c r="J30" i="39"/>
  <c r="J32" i="39" s="1"/>
  <c r="I30" i="39"/>
  <c r="I32" i="39" s="1"/>
  <c r="H30" i="39"/>
  <c r="H32" i="39" s="1"/>
  <c r="G30" i="39"/>
  <c r="G32" i="39" s="1"/>
  <c r="F30" i="39"/>
  <c r="F32" i="39" s="1"/>
  <c r="E30" i="39"/>
  <c r="E32" i="39" s="1"/>
  <c r="D30" i="39"/>
  <c r="D32" i="39" s="1"/>
  <c r="C30" i="39"/>
  <c r="C32" i="39" s="1"/>
  <c r="B30" i="39"/>
  <c r="AD29" i="39"/>
  <c r="V29" i="39"/>
  <c r="U29" i="39"/>
  <c r="U34" i="39" s="1"/>
  <c r="T29" i="39"/>
  <c r="T34" i="39" s="1"/>
  <c r="S29" i="39"/>
  <c r="S34" i="39" s="1"/>
  <c r="R29" i="39"/>
  <c r="R34" i="39" s="1"/>
  <c r="Q29" i="39"/>
  <c r="Q34" i="39" s="1"/>
  <c r="P29" i="39"/>
  <c r="P34" i="39" s="1"/>
  <c r="O29" i="39"/>
  <c r="O34" i="39" s="1"/>
  <c r="N29" i="39"/>
  <c r="M29" i="39"/>
  <c r="M34" i="39" s="1"/>
  <c r="L29" i="39"/>
  <c r="L34" i="39" s="1"/>
  <c r="K29" i="39"/>
  <c r="K34" i="39" s="1"/>
  <c r="J29" i="39"/>
  <c r="J34" i="39" s="1"/>
  <c r="I29" i="39"/>
  <c r="I34" i="39" s="1"/>
  <c r="H29" i="39"/>
  <c r="H34" i="39" s="1"/>
  <c r="G29" i="39"/>
  <c r="G34" i="39" s="1"/>
  <c r="F29" i="39"/>
  <c r="F34" i="39" s="1"/>
  <c r="E29" i="39"/>
  <c r="E34" i="39" s="1"/>
  <c r="D29" i="39"/>
  <c r="D34" i="39" s="1"/>
  <c r="C29" i="39"/>
  <c r="C34" i="39" s="1"/>
  <c r="B29" i="39"/>
  <c r="V26" i="39"/>
  <c r="Z26" i="39" s="1"/>
  <c r="U26" i="39"/>
  <c r="T26" i="39"/>
  <c r="S26" i="39"/>
  <c r="R26" i="39"/>
  <c r="Q26" i="39"/>
  <c r="P26" i="39"/>
  <c r="O26" i="39"/>
  <c r="N26" i="39"/>
  <c r="M26" i="39"/>
  <c r="L26" i="39"/>
  <c r="K26" i="39"/>
  <c r="J26" i="39"/>
  <c r="I26" i="39"/>
  <c r="H26" i="39"/>
  <c r="G26" i="39"/>
  <c r="F26" i="39"/>
  <c r="E26" i="39"/>
  <c r="D26" i="39"/>
  <c r="C26" i="39"/>
  <c r="B26" i="39"/>
  <c r="V25" i="39"/>
  <c r="Z25" i="39" s="1"/>
  <c r="U25" i="39"/>
  <c r="T25" i="39"/>
  <c r="S25" i="39"/>
  <c r="R25" i="39"/>
  <c r="Q25" i="39"/>
  <c r="P25" i="39"/>
  <c r="O25" i="39"/>
  <c r="N25" i="39"/>
  <c r="M25" i="39"/>
  <c r="L25" i="39"/>
  <c r="K25" i="39"/>
  <c r="J25" i="39"/>
  <c r="I25" i="39"/>
  <c r="H25" i="39"/>
  <c r="G25" i="39"/>
  <c r="F25" i="39"/>
  <c r="E25" i="39"/>
  <c r="D25" i="39"/>
  <c r="C25" i="39"/>
  <c r="B25" i="39"/>
  <c r="V24" i="39"/>
  <c r="Z24" i="39" s="1"/>
  <c r="U24" i="39"/>
  <c r="T24" i="39"/>
  <c r="S24" i="39"/>
  <c r="R24" i="39"/>
  <c r="Q24" i="39"/>
  <c r="P24" i="39"/>
  <c r="O24" i="39"/>
  <c r="N24" i="39"/>
  <c r="M24" i="39"/>
  <c r="L24" i="39"/>
  <c r="K24" i="39"/>
  <c r="J24" i="39"/>
  <c r="I24" i="39"/>
  <c r="H24" i="39"/>
  <c r="G24" i="39"/>
  <c r="F24" i="39"/>
  <c r="E24" i="39"/>
  <c r="D24" i="39"/>
  <c r="C24" i="39"/>
  <c r="B24" i="39"/>
  <c r="AA23" i="39"/>
  <c r="Z23" i="39"/>
  <c r="W23" i="39"/>
  <c r="AB23" i="39" s="1"/>
  <c r="AA22" i="39"/>
  <c r="AA25" i="39" s="1"/>
  <c r="Z22" i="39"/>
  <c r="W22" i="39"/>
  <c r="AA21" i="39"/>
  <c r="AA26" i="39" s="1"/>
  <c r="Z21" i="39"/>
  <c r="W21" i="39"/>
  <c r="V18" i="39"/>
  <c r="Z18" i="39" s="1"/>
  <c r="U18" i="39"/>
  <c r="T18" i="39"/>
  <c r="S18" i="39"/>
  <c r="R18" i="39"/>
  <c r="Q18" i="39"/>
  <c r="P18" i="39"/>
  <c r="O18" i="39"/>
  <c r="N18" i="39"/>
  <c r="M18" i="39"/>
  <c r="L18" i="39"/>
  <c r="K18" i="39"/>
  <c r="J18" i="39"/>
  <c r="I18" i="39"/>
  <c r="H18" i="39"/>
  <c r="G18" i="39"/>
  <c r="F18" i="39"/>
  <c r="E18" i="39"/>
  <c r="D18" i="39"/>
  <c r="C18" i="39"/>
  <c r="B18" i="39"/>
  <c r="V17" i="39"/>
  <c r="Z17" i="39" s="1"/>
  <c r="U17" i="39"/>
  <c r="T17" i="39"/>
  <c r="S17" i="39"/>
  <c r="R17" i="39"/>
  <c r="Q17" i="39"/>
  <c r="P17" i="39"/>
  <c r="O17" i="39"/>
  <c r="N17" i="39"/>
  <c r="M17" i="39"/>
  <c r="L17" i="39"/>
  <c r="K17" i="39"/>
  <c r="J17" i="39"/>
  <c r="I17" i="39"/>
  <c r="H17" i="39"/>
  <c r="G17" i="39"/>
  <c r="F17" i="39"/>
  <c r="E17" i="39"/>
  <c r="D17" i="39"/>
  <c r="C17" i="39"/>
  <c r="B17" i="39"/>
  <c r="V16" i="39"/>
  <c r="Z16" i="39" s="1"/>
  <c r="U16" i="39"/>
  <c r="T16" i="39"/>
  <c r="S16" i="39"/>
  <c r="R16" i="39"/>
  <c r="Q16" i="39"/>
  <c r="P16" i="39"/>
  <c r="O16" i="39"/>
  <c r="N16" i="39"/>
  <c r="M16" i="39"/>
  <c r="L16" i="39"/>
  <c r="K16" i="39"/>
  <c r="J16" i="39"/>
  <c r="I16" i="39"/>
  <c r="H16" i="39"/>
  <c r="G16" i="39"/>
  <c r="F16" i="39"/>
  <c r="E16" i="39"/>
  <c r="D16" i="39"/>
  <c r="C16" i="39"/>
  <c r="B16" i="39"/>
  <c r="AA15" i="39"/>
  <c r="Z15" i="39"/>
  <c r="W15" i="39"/>
  <c r="AB15" i="39" s="1"/>
  <c r="AA14" i="39"/>
  <c r="AA17" i="39" s="1"/>
  <c r="Z14" i="39"/>
  <c r="W14" i="39"/>
  <c r="AA13" i="39"/>
  <c r="AA18" i="39" s="1"/>
  <c r="Z13" i="39"/>
  <c r="W13" i="39"/>
  <c r="V10" i="39"/>
  <c r="Z10" i="39" s="1"/>
  <c r="U10" i="39"/>
  <c r="T10" i="39"/>
  <c r="S10" i="39"/>
  <c r="R10" i="39"/>
  <c r="Q10" i="39"/>
  <c r="P10" i="39"/>
  <c r="O10" i="39"/>
  <c r="N10" i="39"/>
  <c r="M10" i="39"/>
  <c r="L10" i="39"/>
  <c r="K10" i="39"/>
  <c r="J10" i="39"/>
  <c r="I10" i="39"/>
  <c r="H10" i="39"/>
  <c r="G10" i="39"/>
  <c r="F10" i="39"/>
  <c r="E10" i="39"/>
  <c r="D10" i="39"/>
  <c r="C10" i="39"/>
  <c r="B10" i="39"/>
  <c r="V9" i="39"/>
  <c r="Z9" i="39" s="1"/>
  <c r="U9" i="39"/>
  <c r="T9" i="39"/>
  <c r="S9" i="39"/>
  <c r="R9" i="39"/>
  <c r="Q9" i="39"/>
  <c r="P9" i="39"/>
  <c r="O9" i="39"/>
  <c r="N9" i="39"/>
  <c r="M9" i="39"/>
  <c r="L9" i="39"/>
  <c r="K9" i="39"/>
  <c r="J9" i="39"/>
  <c r="I9" i="39"/>
  <c r="H9" i="39"/>
  <c r="G9" i="39"/>
  <c r="F9" i="39"/>
  <c r="E9" i="39"/>
  <c r="D9" i="39"/>
  <c r="C9" i="39"/>
  <c r="B9" i="39"/>
  <c r="V8" i="39"/>
  <c r="Z8" i="39" s="1"/>
  <c r="U8" i="39"/>
  <c r="T8" i="39"/>
  <c r="S8" i="39"/>
  <c r="R8" i="39"/>
  <c r="Q8" i="39"/>
  <c r="P8" i="39"/>
  <c r="O8" i="39"/>
  <c r="N8" i="39"/>
  <c r="M8" i="39"/>
  <c r="L8" i="39"/>
  <c r="K8" i="39"/>
  <c r="J8" i="39"/>
  <c r="I8" i="39"/>
  <c r="H8" i="39"/>
  <c r="G8" i="39"/>
  <c r="F8" i="39"/>
  <c r="E8" i="39"/>
  <c r="D8" i="39"/>
  <c r="C8" i="39"/>
  <c r="B8" i="39"/>
  <c r="AA7" i="39"/>
  <c r="Z7" i="39"/>
  <c r="W7" i="39"/>
  <c r="AB7" i="39" s="1"/>
  <c r="AA6" i="39"/>
  <c r="AA9" i="39" s="1"/>
  <c r="Z6" i="39"/>
  <c r="W6" i="39"/>
  <c r="AA5" i="39"/>
  <c r="AA10" i="39" s="1"/>
  <c r="Z5" i="39"/>
  <c r="W5" i="39"/>
  <c r="AC29" i="38"/>
  <c r="AB30" i="38"/>
  <c r="AB18" i="38"/>
  <c r="AB6" i="38"/>
  <c r="R60" i="36"/>
  <c r="Q60" i="36"/>
  <c r="P60" i="36"/>
  <c r="A58" i="36"/>
  <c r="A57" i="36"/>
  <c r="A56" i="36"/>
  <c r="A55" i="36"/>
  <c r="A54" i="36"/>
  <c r="A53" i="36"/>
  <c r="A52" i="36"/>
  <c r="A51" i="36"/>
  <c r="A50" i="36"/>
  <c r="A49" i="36"/>
  <c r="A48" i="36"/>
  <c r="A47" i="36"/>
  <c r="A46" i="36"/>
  <c r="A45" i="36"/>
  <c r="A44" i="36"/>
  <c r="A43" i="36"/>
  <c r="A42" i="36"/>
  <c r="A41" i="36"/>
  <c r="A40" i="36"/>
  <c r="A39" i="36"/>
  <c r="A38" i="36"/>
  <c r="A32" i="36"/>
  <c r="A33" i="36" s="1"/>
  <c r="A30" i="36"/>
  <c r="A29" i="36"/>
  <c r="A28" i="36"/>
  <c r="A27" i="36"/>
  <c r="A26" i="36"/>
  <c r="A25" i="36"/>
  <c r="A24" i="36"/>
  <c r="A23" i="36"/>
  <c r="A22" i="36"/>
  <c r="A21" i="36"/>
  <c r="A20" i="36"/>
  <c r="R13" i="36"/>
  <c r="R14" i="36" s="1"/>
  <c r="Q13" i="36"/>
  <c r="Q14" i="36" s="1"/>
  <c r="A13" i="36"/>
  <c r="A12" i="36"/>
  <c r="A14" i="36" s="1"/>
  <c r="A11" i="36"/>
  <c r="A10" i="36"/>
  <c r="A9" i="36"/>
  <c r="A8" i="36"/>
  <c r="A7" i="36"/>
  <c r="A6" i="36"/>
  <c r="A5" i="36"/>
  <c r="A4" i="36"/>
  <c r="G2" i="35"/>
  <c r="N165" i="34"/>
  <c r="N164" i="34"/>
  <c r="T135" i="34"/>
  <c r="T138" i="34" s="1"/>
  <c r="Q135" i="34"/>
  <c r="P135" i="34"/>
  <c r="O135" i="34"/>
  <c r="S135" i="34" s="1"/>
  <c r="N135" i="34"/>
  <c r="M135" i="34"/>
  <c r="L135" i="34"/>
  <c r="L138" i="34" s="1"/>
  <c r="K135" i="34"/>
  <c r="K138" i="34" s="1"/>
  <c r="J135" i="34"/>
  <c r="J138" i="34" s="1"/>
  <c r="I135" i="34"/>
  <c r="H135" i="34"/>
  <c r="H138" i="34" s="1"/>
  <c r="G135" i="34"/>
  <c r="F135" i="34"/>
  <c r="E135" i="34"/>
  <c r="D135" i="34"/>
  <c r="D138" i="34" s="1"/>
  <c r="T134" i="34"/>
  <c r="T137" i="34" s="1"/>
  <c r="Q134" i="34"/>
  <c r="Q137" i="34" s="1"/>
  <c r="P134" i="34"/>
  <c r="S134" i="34" s="1"/>
  <c r="O134" i="34"/>
  <c r="N134" i="34"/>
  <c r="M134" i="34"/>
  <c r="M137" i="34" s="1"/>
  <c r="L134" i="34"/>
  <c r="L137" i="34" s="1"/>
  <c r="K134" i="34"/>
  <c r="K137" i="34" s="1"/>
  <c r="J134" i="34"/>
  <c r="I134" i="34"/>
  <c r="I137" i="34" s="1"/>
  <c r="H134" i="34"/>
  <c r="G134" i="34"/>
  <c r="F134" i="34"/>
  <c r="E134" i="34"/>
  <c r="E137" i="34" s="1"/>
  <c r="D134" i="34"/>
  <c r="D137" i="34" s="1"/>
  <c r="S130" i="34"/>
  <c r="R130" i="34"/>
  <c r="S129" i="34"/>
  <c r="R129" i="34"/>
  <c r="S127" i="34"/>
  <c r="R127" i="34"/>
  <c r="S126" i="34"/>
  <c r="R126" i="34"/>
  <c r="T125" i="34"/>
  <c r="Q125" i="34"/>
  <c r="P125" i="34"/>
  <c r="S125" i="34" s="1"/>
  <c r="O125" i="34"/>
  <c r="N125" i="34"/>
  <c r="M125" i="34"/>
  <c r="L125" i="34"/>
  <c r="K125" i="34"/>
  <c r="J125" i="34"/>
  <c r="I125" i="34"/>
  <c r="H125" i="34"/>
  <c r="G125" i="34"/>
  <c r="F125" i="34"/>
  <c r="E125" i="34"/>
  <c r="D125" i="34"/>
  <c r="T124" i="34"/>
  <c r="Q124" i="34"/>
  <c r="P124" i="34"/>
  <c r="O124" i="34"/>
  <c r="N124" i="34"/>
  <c r="M124" i="34"/>
  <c r="L124" i="34"/>
  <c r="K124" i="34"/>
  <c r="J124" i="34"/>
  <c r="I124" i="34"/>
  <c r="H124" i="34"/>
  <c r="G124" i="34"/>
  <c r="F124" i="34"/>
  <c r="E124" i="34"/>
  <c r="D124" i="34"/>
  <c r="S123" i="34"/>
  <c r="R123" i="34"/>
  <c r="S122" i="34"/>
  <c r="R122" i="34"/>
  <c r="T115" i="34"/>
  <c r="Q115" i="34"/>
  <c r="P115" i="34"/>
  <c r="R115" i="34" s="1"/>
  <c r="O115" i="34"/>
  <c r="N115" i="34"/>
  <c r="M115" i="34"/>
  <c r="L115" i="34"/>
  <c r="K115" i="34"/>
  <c r="J115" i="34"/>
  <c r="I115" i="34"/>
  <c r="H115" i="34"/>
  <c r="G115" i="34"/>
  <c r="F115" i="34"/>
  <c r="E115" i="34"/>
  <c r="D115" i="34"/>
  <c r="T114" i="34"/>
  <c r="Q114" i="34"/>
  <c r="P114" i="34"/>
  <c r="O114" i="34"/>
  <c r="N114" i="34"/>
  <c r="M114" i="34"/>
  <c r="L114" i="34"/>
  <c r="K114" i="34"/>
  <c r="J114" i="34"/>
  <c r="I114" i="34"/>
  <c r="H114" i="34"/>
  <c r="G114" i="34"/>
  <c r="F114" i="34"/>
  <c r="E114" i="34"/>
  <c r="D114" i="34"/>
  <c r="S110" i="34"/>
  <c r="R110" i="34"/>
  <c r="S109" i="34"/>
  <c r="R109" i="34"/>
  <c r="T105" i="34"/>
  <c r="Q105" i="34"/>
  <c r="P105" i="34"/>
  <c r="O105" i="34"/>
  <c r="N105" i="34"/>
  <c r="M105" i="34"/>
  <c r="L105" i="34"/>
  <c r="K105" i="34"/>
  <c r="J105" i="34"/>
  <c r="I105" i="34"/>
  <c r="H105" i="34"/>
  <c r="G105" i="34"/>
  <c r="F105" i="34"/>
  <c r="E105" i="34"/>
  <c r="D105" i="34"/>
  <c r="T104" i="34"/>
  <c r="Q104" i="34"/>
  <c r="P104" i="34"/>
  <c r="O104" i="34"/>
  <c r="N104" i="34"/>
  <c r="M104" i="34"/>
  <c r="L104" i="34"/>
  <c r="K104" i="34"/>
  <c r="J104" i="34"/>
  <c r="I104" i="34"/>
  <c r="H104" i="34"/>
  <c r="G104" i="34"/>
  <c r="F104" i="34"/>
  <c r="F137" i="34" s="1"/>
  <c r="E104" i="34"/>
  <c r="D104" i="34"/>
  <c r="S103" i="34"/>
  <c r="R103" i="34"/>
  <c r="S102" i="34"/>
  <c r="R102" i="34"/>
  <c r="S100" i="34"/>
  <c r="R100" i="34"/>
  <c r="S99" i="34"/>
  <c r="R99" i="34"/>
  <c r="S97" i="34"/>
  <c r="R97" i="34"/>
  <c r="S96" i="34"/>
  <c r="R96" i="34"/>
  <c r="T95" i="34"/>
  <c r="Q95" i="34"/>
  <c r="P95" i="34"/>
  <c r="O95" i="34"/>
  <c r="N95" i="34"/>
  <c r="M95" i="34"/>
  <c r="L95" i="34"/>
  <c r="K95" i="34"/>
  <c r="J95" i="34"/>
  <c r="I95" i="34"/>
  <c r="H95" i="34"/>
  <c r="G95" i="34"/>
  <c r="F95" i="34"/>
  <c r="E95" i="34"/>
  <c r="D95" i="34"/>
  <c r="T94" i="34"/>
  <c r="Q94" i="34"/>
  <c r="P94" i="34"/>
  <c r="O94" i="34"/>
  <c r="N94" i="34"/>
  <c r="M94" i="34"/>
  <c r="L94" i="34"/>
  <c r="K94" i="34"/>
  <c r="J94" i="34"/>
  <c r="I94" i="34"/>
  <c r="H94" i="34"/>
  <c r="G94" i="34"/>
  <c r="F94" i="34"/>
  <c r="E94" i="34"/>
  <c r="D94" i="34"/>
  <c r="S93" i="34"/>
  <c r="R93" i="34"/>
  <c r="S92" i="34"/>
  <c r="R92" i="34"/>
  <c r="S90" i="34"/>
  <c r="R90" i="34"/>
  <c r="S89" i="34"/>
  <c r="R89" i="34"/>
  <c r="S87" i="34"/>
  <c r="R87" i="34"/>
  <c r="S86" i="34"/>
  <c r="R86" i="34"/>
  <c r="U78" i="34"/>
  <c r="Q75" i="34"/>
  <c r="P75" i="34"/>
  <c r="O75" i="34"/>
  <c r="N75" i="34"/>
  <c r="M75" i="34"/>
  <c r="L75" i="34"/>
  <c r="K75" i="34"/>
  <c r="J75" i="34"/>
  <c r="I75" i="34"/>
  <c r="H75" i="34"/>
  <c r="G75" i="34"/>
  <c r="F75" i="34"/>
  <c r="E75" i="34"/>
  <c r="D75" i="34"/>
  <c r="R74" i="34"/>
  <c r="Q74" i="34"/>
  <c r="P74" i="34"/>
  <c r="O74" i="34"/>
  <c r="N74" i="34"/>
  <c r="M74" i="34"/>
  <c r="L74" i="34"/>
  <c r="K74" i="34"/>
  <c r="J74" i="34"/>
  <c r="J78" i="34" s="1"/>
  <c r="I74" i="34"/>
  <c r="H74" i="34"/>
  <c r="G74" i="34"/>
  <c r="F74" i="34"/>
  <c r="E74" i="34"/>
  <c r="D74" i="34"/>
  <c r="Q72" i="34"/>
  <c r="P72" i="34"/>
  <c r="O72" i="34"/>
  <c r="N72" i="34"/>
  <c r="M72" i="34"/>
  <c r="L72" i="34"/>
  <c r="K72" i="34"/>
  <c r="J72" i="34"/>
  <c r="I72" i="34"/>
  <c r="H72" i="34"/>
  <c r="G72" i="34"/>
  <c r="F72" i="34"/>
  <c r="E72" i="34"/>
  <c r="D72" i="34"/>
  <c r="V71" i="34"/>
  <c r="T71" i="34"/>
  <c r="S71" i="34"/>
  <c r="R71" i="34"/>
  <c r="T70" i="34"/>
  <c r="S70" i="34"/>
  <c r="R70" i="34"/>
  <c r="Q69" i="34"/>
  <c r="P69" i="34"/>
  <c r="O69" i="34"/>
  <c r="N69" i="34"/>
  <c r="M69" i="34"/>
  <c r="L69" i="34"/>
  <c r="K69" i="34"/>
  <c r="J69" i="34"/>
  <c r="I69" i="34"/>
  <c r="H69" i="34"/>
  <c r="G69" i="34"/>
  <c r="F69" i="34"/>
  <c r="E69" i="34"/>
  <c r="D69" i="34"/>
  <c r="V68" i="34"/>
  <c r="T68" i="34"/>
  <c r="S68" i="34"/>
  <c r="R68" i="34"/>
  <c r="T67" i="34"/>
  <c r="S67" i="34"/>
  <c r="R67" i="34"/>
  <c r="Q66" i="34"/>
  <c r="P66" i="34"/>
  <c r="O66" i="34"/>
  <c r="N66" i="34"/>
  <c r="M66" i="34"/>
  <c r="L66" i="34"/>
  <c r="K66" i="34"/>
  <c r="J66" i="34"/>
  <c r="I66" i="34"/>
  <c r="H66" i="34"/>
  <c r="G66" i="34"/>
  <c r="F66" i="34"/>
  <c r="E66" i="34"/>
  <c r="D66" i="34"/>
  <c r="V65" i="34"/>
  <c r="T65" i="34"/>
  <c r="S65" i="34"/>
  <c r="R65" i="34"/>
  <c r="T64" i="34"/>
  <c r="S64" i="34"/>
  <c r="R64" i="34"/>
  <c r="Q63" i="34"/>
  <c r="P63" i="34"/>
  <c r="O63" i="34"/>
  <c r="N63" i="34"/>
  <c r="M63" i="34"/>
  <c r="L63" i="34"/>
  <c r="K63" i="34"/>
  <c r="J63" i="34"/>
  <c r="I63" i="34"/>
  <c r="H63" i="34"/>
  <c r="G63" i="34"/>
  <c r="F63" i="34"/>
  <c r="E63" i="34"/>
  <c r="D63" i="34"/>
  <c r="V62" i="34"/>
  <c r="T62" i="34"/>
  <c r="S62" i="34"/>
  <c r="R62" i="34"/>
  <c r="R61" i="34"/>
  <c r="AP46" i="34"/>
  <c r="AL46" i="34"/>
  <c r="AK46" i="34"/>
  <c r="AD46" i="34"/>
  <c r="AC46" i="34"/>
  <c r="AE46" i="34" s="1"/>
  <c r="X46" i="34"/>
  <c r="W46" i="34"/>
  <c r="Y46" i="34" s="1"/>
  <c r="Z46" i="34" s="1"/>
  <c r="P46" i="34"/>
  <c r="N46" i="34"/>
  <c r="H46" i="34"/>
  <c r="J46" i="34" s="1"/>
  <c r="F46" i="34"/>
  <c r="AJ45" i="34"/>
  <c r="AK45" i="34" s="1"/>
  <c r="AI45" i="34"/>
  <c r="AH45" i="34"/>
  <c r="O45" i="34"/>
  <c r="M45" i="34"/>
  <c r="L45" i="34"/>
  <c r="G45" i="34"/>
  <c r="E45" i="34"/>
  <c r="D45" i="34"/>
  <c r="AP44" i="34"/>
  <c r="AL44" i="34"/>
  <c r="AK44" i="34"/>
  <c r="AD44" i="34"/>
  <c r="AC44" i="34"/>
  <c r="AE44" i="34" s="1"/>
  <c r="X44" i="34"/>
  <c r="W44" i="34"/>
  <c r="Y44" i="34" s="1"/>
  <c r="Z44" i="34" s="1"/>
  <c r="P44" i="34"/>
  <c r="T44" i="34" s="1"/>
  <c r="N44" i="34"/>
  <c r="H44" i="34"/>
  <c r="J44" i="34" s="1"/>
  <c r="F44" i="34"/>
  <c r="AP43" i="34"/>
  <c r="AL43" i="34"/>
  <c r="AK43" i="34"/>
  <c r="AD43" i="34"/>
  <c r="AC43" i="34"/>
  <c r="AE43" i="34" s="1"/>
  <c r="X43" i="34"/>
  <c r="W43" i="34"/>
  <c r="Y43" i="34" s="1"/>
  <c r="Z43" i="34" s="1"/>
  <c r="P43" i="34"/>
  <c r="N43" i="34"/>
  <c r="H43" i="34"/>
  <c r="J43" i="34" s="1"/>
  <c r="F43" i="34"/>
  <c r="AP42" i="34"/>
  <c r="AL42" i="34"/>
  <c r="AK42" i="34"/>
  <c r="AD42" i="34"/>
  <c r="AC42" i="34"/>
  <c r="AE42" i="34" s="1"/>
  <c r="X42" i="34"/>
  <c r="W42" i="34"/>
  <c r="Y42" i="34" s="1"/>
  <c r="Z42" i="34" s="1"/>
  <c r="P42" i="34"/>
  <c r="N42" i="34"/>
  <c r="H42" i="34"/>
  <c r="J42" i="34" s="1"/>
  <c r="F42" i="34"/>
  <c r="R32" i="34"/>
  <c r="Q32" i="34"/>
  <c r="P32" i="34"/>
  <c r="O32" i="34"/>
  <c r="N32" i="34"/>
  <c r="M32" i="34"/>
  <c r="L32" i="34"/>
  <c r="K32" i="34"/>
  <c r="J32" i="34"/>
  <c r="I32" i="34"/>
  <c r="H32" i="34"/>
  <c r="G32" i="34"/>
  <c r="F32" i="34"/>
  <c r="E32" i="34"/>
  <c r="R31" i="34"/>
  <c r="Q31" i="34"/>
  <c r="P31" i="34"/>
  <c r="O31" i="34"/>
  <c r="N31" i="34"/>
  <c r="M31" i="34"/>
  <c r="L31" i="34"/>
  <c r="K31" i="34"/>
  <c r="J31" i="34"/>
  <c r="I31" i="34"/>
  <c r="H31" i="34"/>
  <c r="G31" i="34"/>
  <c r="F31" i="34"/>
  <c r="E31" i="34"/>
  <c r="R30" i="34"/>
  <c r="Q30" i="34"/>
  <c r="P30" i="34"/>
  <c r="O30" i="34"/>
  <c r="N30" i="34"/>
  <c r="M30" i="34"/>
  <c r="L30" i="34"/>
  <c r="K30" i="34"/>
  <c r="J30" i="34"/>
  <c r="I30" i="34"/>
  <c r="H30" i="34"/>
  <c r="G30" i="34"/>
  <c r="F30" i="34"/>
  <c r="E30" i="34"/>
  <c r="E27" i="34"/>
  <c r="F23" i="34"/>
  <c r="E21" i="34"/>
  <c r="F17" i="34"/>
  <c r="E15" i="34"/>
  <c r="F11" i="34"/>
  <c r="F15" i="34" s="1"/>
  <c r="E9" i="34"/>
  <c r="F5" i="34"/>
  <c r="T68" i="33"/>
  <c r="S68" i="33"/>
  <c r="R68" i="33"/>
  <c r="Q68" i="33"/>
  <c r="P68" i="33"/>
  <c r="O68" i="33"/>
  <c r="N68" i="33"/>
  <c r="M68" i="33"/>
  <c r="L68" i="33"/>
  <c r="K68" i="33"/>
  <c r="J68" i="33"/>
  <c r="I68" i="33"/>
  <c r="H68" i="33"/>
  <c r="G68" i="33"/>
  <c r="F68" i="33"/>
  <c r="E68" i="33"/>
  <c r="D68" i="33"/>
  <c r="C68" i="33"/>
  <c r="T64" i="33"/>
  <c r="S64" i="33"/>
  <c r="R64" i="33"/>
  <c r="Q64" i="33"/>
  <c r="P64" i="33"/>
  <c r="O64" i="33"/>
  <c r="N64" i="33"/>
  <c r="M64" i="33"/>
  <c r="L64" i="33"/>
  <c r="K64" i="33"/>
  <c r="J64" i="33"/>
  <c r="I64" i="33"/>
  <c r="H64" i="33"/>
  <c r="G64" i="33"/>
  <c r="F64" i="33"/>
  <c r="E64" i="33"/>
  <c r="D64" i="33"/>
  <c r="C64" i="33"/>
  <c r="U62" i="33"/>
  <c r="Y62" i="33" s="1"/>
  <c r="U60" i="33"/>
  <c r="T59" i="33"/>
  <c r="T61" i="33" s="1"/>
  <c r="S59" i="33"/>
  <c r="S61" i="33" s="1"/>
  <c r="R59" i="33"/>
  <c r="R61" i="33" s="1"/>
  <c r="Q59" i="33"/>
  <c r="Q61" i="33" s="1"/>
  <c r="P59" i="33"/>
  <c r="P61" i="33" s="1"/>
  <c r="O59" i="33"/>
  <c r="N59" i="33"/>
  <c r="N61" i="33" s="1"/>
  <c r="M59" i="33"/>
  <c r="M61" i="33" s="1"/>
  <c r="L59" i="33"/>
  <c r="L61" i="33" s="1"/>
  <c r="K59" i="33"/>
  <c r="K61" i="33" s="1"/>
  <c r="J59" i="33"/>
  <c r="J61" i="33" s="1"/>
  <c r="I59" i="33"/>
  <c r="I61" i="33" s="1"/>
  <c r="H59" i="33"/>
  <c r="H61" i="33" s="1"/>
  <c r="G59" i="33"/>
  <c r="G61" i="33" s="1"/>
  <c r="F59" i="33"/>
  <c r="F61" i="33" s="1"/>
  <c r="E59" i="33"/>
  <c r="E61" i="33" s="1"/>
  <c r="D59" i="33"/>
  <c r="D61" i="33" s="1"/>
  <c r="C59" i="33"/>
  <c r="C61" i="33" s="1"/>
  <c r="U58" i="33"/>
  <c r="Y58" i="33" s="1"/>
  <c r="U56" i="33"/>
  <c r="T55" i="33"/>
  <c r="T57" i="33" s="1"/>
  <c r="S55" i="33"/>
  <c r="S57" i="33" s="1"/>
  <c r="R55" i="33"/>
  <c r="R57" i="33" s="1"/>
  <c r="Q55" i="33"/>
  <c r="Q57" i="33" s="1"/>
  <c r="P55" i="33"/>
  <c r="P57" i="33" s="1"/>
  <c r="O55" i="33"/>
  <c r="N55" i="33"/>
  <c r="N57" i="33" s="1"/>
  <c r="M55" i="33"/>
  <c r="M57" i="33" s="1"/>
  <c r="L55" i="33"/>
  <c r="L57" i="33" s="1"/>
  <c r="K55" i="33"/>
  <c r="K57" i="33" s="1"/>
  <c r="J55" i="33"/>
  <c r="J57" i="33" s="1"/>
  <c r="I55" i="33"/>
  <c r="I57" i="33" s="1"/>
  <c r="H55" i="33"/>
  <c r="H57" i="33" s="1"/>
  <c r="G55" i="33"/>
  <c r="F55" i="33"/>
  <c r="F57" i="33" s="1"/>
  <c r="E55" i="33"/>
  <c r="E57" i="33" s="1"/>
  <c r="D55" i="33"/>
  <c r="D57" i="33" s="1"/>
  <c r="C55" i="33"/>
  <c r="C57" i="33" s="1"/>
  <c r="U54" i="33"/>
  <c r="U52" i="33"/>
  <c r="T51" i="33"/>
  <c r="S51" i="33"/>
  <c r="R51" i="33"/>
  <c r="R63" i="33" s="1"/>
  <c r="R65" i="33" s="1"/>
  <c r="R66" i="33" s="1"/>
  <c r="Q51" i="33"/>
  <c r="Q53" i="33" s="1"/>
  <c r="P51" i="33"/>
  <c r="P53" i="33" s="1"/>
  <c r="O51" i="33"/>
  <c r="O53" i="33" s="1"/>
  <c r="N51" i="33"/>
  <c r="M51" i="33"/>
  <c r="M53" i="33" s="1"/>
  <c r="L51" i="33"/>
  <c r="K51" i="33"/>
  <c r="K53" i="33" s="1"/>
  <c r="J51" i="33"/>
  <c r="J53" i="33" s="1"/>
  <c r="I51" i="33"/>
  <c r="H51" i="33"/>
  <c r="H53" i="33" s="1"/>
  <c r="G51" i="33"/>
  <c r="G53" i="33" s="1"/>
  <c r="F51" i="33"/>
  <c r="E51" i="33"/>
  <c r="E53" i="33" s="1"/>
  <c r="D51" i="33"/>
  <c r="C51" i="33"/>
  <c r="C53" i="33" s="1"/>
  <c r="AL43" i="33"/>
  <c r="AG43" i="33"/>
  <c r="AF43" i="33"/>
  <c r="V43" i="33"/>
  <c r="T43" i="33"/>
  <c r="S43" i="33"/>
  <c r="R43" i="33"/>
  <c r="Q43" i="33"/>
  <c r="P43" i="33"/>
  <c r="O43" i="33"/>
  <c r="N43" i="33"/>
  <c r="M43" i="33"/>
  <c r="L43" i="33"/>
  <c r="K43" i="33"/>
  <c r="J43" i="33"/>
  <c r="I43" i="33"/>
  <c r="H43" i="33"/>
  <c r="G43" i="33"/>
  <c r="F43" i="33"/>
  <c r="E43" i="33"/>
  <c r="D43" i="33"/>
  <c r="C43" i="33"/>
  <c r="AJ42" i="33"/>
  <c r="AI42" i="33"/>
  <c r="AB42" i="33"/>
  <c r="AA42" i="33"/>
  <c r="U42" i="33"/>
  <c r="AH42" i="33" s="1"/>
  <c r="AJ41" i="33"/>
  <c r="AI41" i="33"/>
  <c r="AB41" i="33"/>
  <c r="AD41" i="33" s="1"/>
  <c r="AA41" i="33"/>
  <c r="U41" i="33"/>
  <c r="AJ40" i="33"/>
  <c r="AI40" i="33"/>
  <c r="AB40" i="33"/>
  <c r="AD40" i="33" s="1"/>
  <c r="AA40" i="33"/>
  <c r="U40" i="33"/>
  <c r="Y32" i="33"/>
  <c r="X32" i="33"/>
  <c r="W32" i="33"/>
  <c r="Y31" i="33"/>
  <c r="X31" i="33"/>
  <c r="W31" i="33"/>
  <c r="Y30" i="33"/>
  <c r="X30" i="33"/>
  <c r="W30" i="33"/>
  <c r="Y29" i="33"/>
  <c r="X29" i="33"/>
  <c r="W29" i="33"/>
  <c r="Y28" i="33"/>
  <c r="X28" i="33"/>
  <c r="W28" i="33"/>
  <c r="Y27" i="33"/>
  <c r="X27" i="33"/>
  <c r="W27" i="33"/>
  <c r="Y26" i="33"/>
  <c r="X26" i="33"/>
  <c r="W26" i="33"/>
  <c r="Y25" i="33"/>
  <c r="X25" i="33"/>
  <c r="W25" i="33"/>
  <c r="Y24" i="33"/>
  <c r="X24" i="33"/>
  <c r="W24" i="33"/>
  <c r="Y23" i="33"/>
  <c r="X23" i="33"/>
  <c r="W23" i="33"/>
  <c r="Y22" i="33"/>
  <c r="X22" i="33"/>
  <c r="W22" i="33"/>
  <c r="Y21" i="33"/>
  <c r="X21" i="33"/>
  <c r="W21" i="33"/>
  <c r="T12" i="33"/>
  <c r="S12" i="33"/>
  <c r="R12" i="33"/>
  <c r="Q12" i="33"/>
  <c r="P12" i="33"/>
  <c r="O12" i="33"/>
  <c r="N12" i="33"/>
  <c r="M12" i="33"/>
  <c r="L12" i="33"/>
  <c r="K12" i="33"/>
  <c r="J12" i="33"/>
  <c r="I12" i="33"/>
  <c r="H12" i="33"/>
  <c r="G12" i="33"/>
  <c r="F12" i="33"/>
  <c r="E12" i="33"/>
  <c r="D12" i="33"/>
  <c r="C12" i="33"/>
  <c r="Z11" i="33"/>
  <c r="X11" i="33"/>
  <c r="W11" i="33"/>
  <c r="U10" i="33"/>
  <c r="Z9" i="33"/>
  <c r="X9" i="33"/>
  <c r="W9" i="33"/>
  <c r="U8" i="33"/>
  <c r="Z7" i="33"/>
  <c r="X7" i="33"/>
  <c r="W7" i="33"/>
  <c r="U6" i="33"/>
  <c r="Z5" i="33"/>
  <c r="X5" i="33"/>
  <c r="W5" i="33"/>
  <c r="X30" i="12"/>
  <c r="Q30" i="12"/>
  <c r="M30" i="12"/>
  <c r="K30" i="12"/>
  <c r="J30" i="12"/>
  <c r="G30" i="12"/>
  <c r="E30" i="12"/>
  <c r="C30" i="12"/>
  <c r="F30" i="12" s="1"/>
  <c r="H30" i="12" s="1"/>
  <c r="B30" i="12"/>
  <c r="AE29" i="12"/>
  <c r="AC29" i="12"/>
  <c r="AG29" i="12" s="1"/>
  <c r="AB29" i="12"/>
  <c r="Z29" i="12"/>
  <c r="Y29" i="12"/>
  <c r="AA29" i="12" s="1"/>
  <c r="N29" i="12"/>
  <c r="U29" i="12" s="1"/>
  <c r="L29" i="12"/>
  <c r="F29" i="12"/>
  <c r="H29" i="12" s="1"/>
  <c r="D29" i="12"/>
  <c r="AE27" i="12"/>
  <c r="AC27" i="12"/>
  <c r="AG27" i="12" s="1"/>
  <c r="AB27" i="12"/>
  <c r="Z27" i="12"/>
  <c r="Y27" i="12"/>
  <c r="AA27" i="12" s="1"/>
  <c r="N27" i="12"/>
  <c r="U27" i="12" s="1"/>
  <c r="L27" i="12"/>
  <c r="F27" i="12"/>
  <c r="H27" i="12" s="1"/>
  <c r="D27" i="12"/>
  <c r="AE26" i="12"/>
  <c r="AC26" i="12"/>
  <c r="AG26" i="12" s="1"/>
  <c r="AB26" i="12"/>
  <c r="Z26" i="12"/>
  <c r="Y26" i="12"/>
  <c r="AA26" i="12" s="1"/>
  <c r="AI30" i="12" s="1"/>
  <c r="N26" i="12"/>
  <c r="U26" i="12" s="1"/>
  <c r="L26" i="12"/>
  <c r="F26" i="12"/>
  <c r="H26" i="12" s="1"/>
  <c r="D26" i="12"/>
  <c r="X10" i="12"/>
  <c r="Z10" i="12" s="1"/>
  <c r="Q10" i="12"/>
  <c r="M10" i="12"/>
  <c r="N10" i="12" s="1"/>
  <c r="O10" i="12" s="1"/>
  <c r="K10" i="12"/>
  <c r="AE10" i="12" s="1"/>
  <c r="J10" i="12"/>
  <c r="L10" i="12" s="1"/>
  <c r="G10" i="12"/>
  <c r="E10" i="12"/>
  <c r="C10" i="12"/>
  <c r="D10" i="12" s="1"/>
  <c r="B10" i="12"/>
  <c r="AE9" i="12"/>
  <c r="AC9" i="12"/>
  <c r="AG9" i="12" s="1"/>
  <c r="AB9" i="12"/>
  <c r="Z9" i="12"/>
  <c r="Y9" i="12"/>
  <c r="AA9" i="12" s="1"/>
  <c r="N9" i="12"/>
  <c r="O9" i="12" s="1"/>
  <c r="L9" i="12"/>
  <c r="F9" i="12"/>
  <c r="H9" i="12" s="1"/>
  <c r="D9" i="12"/>
  <c r="F8" i="12"/>
  <c r="H8" i="12" s="1"/>
  <c r="D8" i="12"/>
  <c r="AE7" i="12"/>
  <c r="AC7" i="12"/>
  <c r="AB7" i="12"/>
  <c r="Z7" i="12"/>
  <c r="Y7" i="12"/>
  <c r="AA7" i="12" s="1"/>
  <c r="N7" i="12"/>
  <c r="L7" i="12"/>
  <c r="F7" i="12"/>
  <c r="H7" i="12" s="1"/>
  <c r="D7" i="12"/>
  <c r="AE6" i="12"/>
  <c r="AC6" i="12"/>
  <c r="AG6" i="12" s="1"/>
  <c r="AB6" i="12"/>
  <c r="Z6" i="12"/>
  <c r="Y6" i="12"/>
  <c r="AA6" i="12" s="1"/>
  <c r="N6" i="12"/>
  <c r="L6" i="12"/>
  <c r="P6" i="12" s="1"/>
  <c r="F6" i="12"/>
  <c r="H6" i="12" s="1"/>
  <c r="D6" i="12"/>
  <c r="AA36" i="38" l="1"/>
  <c r="V38" i="38"/>
  <c r="AA16" i="38"/>
  <c r="V18" i="38"/>
  <c r="AA18" i="38" s="1"/>
  <c r="X36" i="38"/>
  <c r="U38" i="38"/>
  <c r="X16" i="38"/>
  <c r="U18" i="38"/>
  <c r="AB34" i="38"/>
  <c r="AC25" i="38"/>
  <c r="AB26" i="38"/>
  <c r="AB10" i="38"/>
  <c r="AC9" i="38"/>
  <c r="AC5" i="38"/>
  <c r="U5" i="40"/>
  <c r="P137" i="34"/>
  <c r="R137" i="34" s="1"/>
  <c r="I138" i="34"/>
  <c r="N137" i="34"/>
  <c r="G137" i="34"/>
  <c r="Y10" i="12"/>
  <c r="AA10" i="12" s="1"/>
  <c r="A59" i="36"/>
  <c r="A60" i="36"/>
  <c r="Q138" i="34"/>
  <c r="J76" i="34"/>
  <c r="AA43" i="33"/>
  <c r="AB43" i="33"/>
  <c r="U12" i="33"/>
  <c r="Y30" i="12"/>
  <c r="AA30" i="12" s="1"/>
  <c r="AE30" i="12"/>
  <c r="L30" i="12"/>
  <c r="G138" i="34"/>
  <c r="H137" i="34"/>
  <c r="J137" i="34"/>
  <c r="S115" i="34"/>
  <c r="M138" i="34"/>
  <c r="F138" i="34"/>
  <c r="O137" i="34"/>
  <c r="F10" i="12"/>
  <c r="H10" i="12" s="1"/>
  <c r="N138" i="34"/>
  <c r="E138" i="34"/>
  <c r="V5" i="41"/>
  <c r="T5" i="41"/>
  <c r="V22" i="40"/>
  <c r="U22" i="40"/>
  <c r="X22" i="40"/>
  <c r="X21" i="40"/>
  <c r="U21" i="40"/>
  <c r="V21" i="40"/>
  <c r="V20" i="40"/>
  <c r="U20" i="40"/>
  <c r="X20" i="40"/>
  <c r="V17" i="40"/>
  <c r="U17" i="40"/>
  <c r="X17" i="40"/>
  <c r="Z18" i="40"/>
  <c r="T16" i="40"/>
  <c r="T18" i="40" s="1"/>
  <c r="P24" i="40"/>
  <c r="P25" i="40"/>
  <c r="N23" i="40"/>
  <c r="N24" i="40"/>
  <c r="M24" i="40"/>
  <c r="M23" i="40"/>
  <c r="M25" i="40"/>
  <c r="L23" i="40"/>
  <c r="L24" i="40"/>
  <c r="S16" i="40"/>
  <c r="K18" i="40"/>
  <c r="K23" i="40" s="1"/>
  <c r="I24" i="40"/>
  <c r="I25" i="40"/>
  <c r="G24" i="40"/>
  <c r="G25" i="40"/>
  <c r="F23" i="40"/>
  <c r="F24" i="40"/>
  <c r="E23" i="40"/>
  <c r="E24" i="40"/>
  <c r="E25" i="40"/>
  <c r="D23" i="40"/>
  <c r="D24" i="40"/>
  <c r="X15" i="40"/>
  <c r="U15" i="40"/>
  <c r="V15" i="40"/>
  <c r="X7" i="40"/>
  <c r="U7" i="40"/>
  <c r="V7" i="40"/>
  <c r="X6" i="40"/>
  <c r="V6" i="40"/>
  <c r="X5" i="40"/>
  <c r="S8" i="40"/>
  <c r="V32" i="39"/>
  <c r="Z32" i="39" s="1"/>
  <c r="Z30" i="39"/>
  <c r="Q33" i="39"/>
  <c r="N33" i="39"/>
  <c r="P33" i="39"/>
  <c r="T33" i="39"/>
  <c r="U33" i="39"/>
  <c r="R33" i="39"/>
  <c r="O33" i="39"/>
  <c r="V33" i="39"/>
  <c r="Z33" i="39" s="1"/>
  <c r="S33" i="39"/>
  <c r="N32" i="39"/>
  <c r="W30" i="39"/>
  <c r="H33" i="39"/>
  <c r="K33" i="39"/>
  <c r="I33" i="39"/>
  <c r="M33" i="39"/>
  <c r="L33" i="39"/>
  <c r="J33" i="39"/>
  <c r="G33" i="39"/>
  <c r="D33" i="39"/>
  <c r="C33" i="39"/>
  <c r="F33" i="39"/>
  <c r="B33" i="39"/>
  <c r="B32" i="39"/>
  <c r="AA30" i="39"/>
  <c r="AA33" i="39" s="1"/>
  <c r="E33" i="39"/>
  <c r="V34" i="39"/>
  <c r="Z34" i="39" s="1"/>
  <c r="Z29" i="39"/>
  <c r="N34" i="39"/>
  <c r="W29" i="39"/>
  <c r="AA29" i="39"/>
  <c r="AA34" i="39" s="1"/>
  <c r="B34" i="39"/>
  <c r="AB22" i="39"/>
  <c r="W25" i="39"/>
  <c r="AC21" i="39"/>
  <c r="W26" i="39"/>
  <c r="Y26" i="39" s="1"/>
  <c r="AB21" i="39"/>
  <c r="AB14" i="39"/>
  <c r="W17" i="39"/>
  <c r="W18" i="39"/>
  <c r="AC13" i="39"/>
  <c r="AB13" i="39"/>
  <c r="W9" i="39"/>
  <c r="AB6" i="39"/>
  <c r="W10" i="39"/>
  <c r="AB5" i="39"/>
  <c r="AC5" i="39"/>
  <c r="AC36" i="38"/>
  <c r="X38" i="38"/>
  <c r="X30" i="38"/>
  <c r="AC28" i="38"/>
  <c r="AC24" i="38"/>
  <c r="X18" i="38"/>
  <c r="AC16" i="38"/>
  <c r="X10" i="38"/>
  <c r="AC8" i="38"/>
  <c r="AC4" i="38"/>
  <c r="X6" i="38"/>
  <c r="J2" i="35"/>
  <c r="B3" i="35"/>
  <c r="G3" i="35" s="1"/>
  <c r="I2" i="35"/>
  <c r="P138" i="34"/>
  <c r="R135" i="34"/>
  <c r="S124" i="34"/>
  <c r="R124" i="34"/>
  <c r="R114" i="34"/>
  <c r="S114" i="34"/>
  <c r="S105" i="34"/>
  <c r="R105" i="34"/>
  <c r="R104" i="34"/>
  <c r="S104" i="34"/>
  <c r="S95" i="34"/>
  <c r="R95" i="34"/>
  <c r="S94" i="34"/>
  <c r="R94" i="34"/>
  <c r="S75" i="34"/>
  <c r="R75" i="34"/>
  <c r="T75" i="34"/>
  <c r="Q78" i="34"/>
  <c r="Q76" i="34"/>
  <c r="P78" i="34"/>
  <c r="S74" i="34"/>
  <c r="T74" i="34"/>
  <c r="P76" i="34"/>
  <c r="T76" i="34" s="1"/>
  <c r="V75" i="34"/>
  <c r="O76" i="34"/>
  <c r="S76" i="34" s="1"/>
  <c r="O78" i="34"/>
  <c r="N78" i="34"/>
  <c r="N76" i="34"/>
  <c r="M78" i="34"/>
  <c r="M76" i="34"/>
  <c r="L76" i="34"/>
  <c r="L78" i="34"/>
  <c r="K78" i="34"/>
  <c r="K76" i="34"/>
  <c r="I76" i="34"/>
  <c r="I78" i="34"/>
  <c r="H78" i="34"/>
  <c r="H76" i="34"/>
  <c r="G78" i="34"/>
  <c r="G76" i="34"/>
  <c r="F76" i="34"/>
  <c r="F78" i="34"/>
  <c r="E76" i="34"/>
  <c r="E78" i="34"/>
  <c r="D76" i="34"/>
  <c r="D78" i="34"/>
  <c r="S72" i="34"/>
  <c r="T72" i="34"/>
  <c r="R72" i="34"/>
  <c r="T69" i="34"/>
  <c r="R69" i="34"/>
  <c r="S69" i="34"/>
  <c r="T66" i="34"/>
  <c r="S66" i="34"/>
  <c r="R66" i="34"/>
  <c r="R63" i="34"/>
  <c r="T63" i="34"/>
  <c r="S63" i="34"/>
  <c r="AM46" i="34"/>
  <c r="AQ46" i="34" s="1"/>
  <c r="AR46" i="34" s="1"/>
  <c r="AF46" i="34"/>
  <c r="T46" i="34"/>
  <c r="R46" i="34"/>
  <c r="AP45" i="34"/>
  <c r="AP47" i="34" s="1"/>
  <c r="AL45" i="34"/>
  <c r="P45" i="34"/>
  <c r="T45" i="34" s="1"/>
  <c r="O47" i="34"/>
  <c r="AD45" i="34"/>
  <c r="M47" i="34"/>
  <c r="N45" i="34"/>
  <c r="L47" i="34"/>
  <c r="N47" i="34" s="1"/>
  <c r="AC45" i="34"/>
  <c r="AE45" i="34" s="1"/>
  <c r="G47" i="34"/>
  <c r="H45" i="34"/>
  <c r="J45" i="34" s="1"/>
  <c r="F45" i="34"/>
  <c r="X45" i="34"/>
  <c r="E47" i="34"/>
  <c r="F47" i="34" s="1"/>
  <c r="D47" i="34"/>
  <c r="W45" i="34"/>
  <c r="Y45" i="34" s="1"/>
  <c r="Z45" i="34" s="1"/>
  <c r="T43" i="34"/>
  <c r="R43" i="34"/>
  <c r="AM42" i="34"/>
  <c r="AQ42" i="34" s="1"/>
  <c r="AF42" i="34"/>
  <c r="T42" i="34"/>
  <c r="R42" i="34"/>
  <c r="E33" i="34"/>
  <c r="F29" i="34"/>
  <c r="F33" i="34" s="1"/>
  <c r="G23" i="34"/>
  <c r="F27" i="34"/>
  <c r="G17" i="34"/>
  <c r="F21" i="34"/>
  <c r="G5" i="34"/>
  <c r="F9" i="34"/>
  <c r="O61" i="33"/>
  <c r="U59" i="33"/>
  <c r="U61" i="33" s="1"/>
  <c r="N63" i="33"/>
  <c r="N67" i="33" s="1"/>
  <c r="N53" i="33"/>
  <c r="I63" i="33"/>
  <c r="I53" i="33"/>
  <c r="F63" i="33"/>
  <c r="F67" i="33" s="1"/>
  <c r="F53" i="33"/>
  <c r="W41" i="33"/>
  <c r="AM41" i="33" s="1"/>
  <c r="X41" i="33"/>
  <c r="AE41" i="33" s="1"/>
  <c r="U43" i="33"/>
  <c r="AH40" i="33"/>
  <c r="AG7" i="12"/>
  <c r="AD7" i="12"/>
  <c r="R7" i="12"/>
  <c r="U7" i="12"/>
  <c r="P7" i="12"/>
  <c r="U6" i="12"/>
  <c r="O6" i="12"/>
  <c r="R6" i="12"/>
  <c r="AB31" i="39"/>
  <c r="V19" i="41"/>
  <c r="T19" i="41"/>
  <c r="T8" i="41"/>
  <c r="T6" i="41"/>
  <c r="T7" i="41"/>
  <c r="V5" i="40"/>
  <c r="T8" i="40"/>
  <c r="K63" i="33"/>
  <c r="H23" i="34"/>
  <c r="G27" i="34"/>
  <c r="AD42" i="33"/>
  <c r="D53" i="33"/>
  <c r="D63" i="33"/>
  <c r="L53" i="33"/>
  <c r="L63" i="33"/>
  <c r="T53" i="33"/>
  <c r="T63" i="33"/>
  <c r="Q63" i="33"/>
  <c r="Q65" i="33" s="1"/>
  <c r="Q66" i="33" s="1"/>
  <c r="H9" i="34"/>
  <c r="I5" i="34"/>
  <c r="S53" i="33"/>
  <c r="S63" i="33"/>
  <c r="O63" i="33"/>
  <c r="U55" i="33"/>
  <c r="U57" i="33" s="1"/>
  <c r="O57" i="33"/>
  <c r="B4" i="35"/>
  <c r="G4" i="35" s="1"/>
  <c r="J3" i="35"/>
  <c r="I3" i="35"/>
  <c r="W34" i="39"/>
  <c r="AC29" i="39"/>
  <c r="AB29" i="39"/>
  <c r="J23" i="40"/>
  <c r="J24" i="40"/>
  <c r="G63" i="33"/>
  <c r="G65" i="33" s="1"/>
  <c r="G66" i="33" s="1"/>
  <c r="G57" i="33"/>
  <c r="N65" i="33"/>
  <c r="N66" i="33" s="1"/>
  <c r="G11" i="34"/>
  <c r="S137" i="34"/>
  <c r="J25" i="40"/>
  <c r="W43" i="33"/>
  <c r="F65" i="33"/>
  <c r="F66" i="33" s="1"/>
  <c r="R67" i="33"/>
  <c r="AF44" i="34"/>
  <c r="AM44" i="34"/>
  <c r="X40" i="33"/>
  <c r="W40" i="33"/>
  <c r="AM40" i="33" s="1"/>
  <c r="AJ43" i="33"/>
  <c r="AI43" i="33"/>
  <c r="H63" i="33"/>
  <c r="H65" i="33" s="1"/>
  <c r="H66" i="33" s="1"/>
  <c r="P63" i="33"/>
  <c r="P65" i="33" s="1"/>
  <c r="P66" i="33" s="1"/>
  <c r="U68" i="33"/>
  <c r="Y54" i="33"/>
  <c r="C63" i="33"/>
  <c r="AF45" i="34"/>
  <c r="AM45" i="34"/>
  <c r="AF43" i="34"/>
  <c r="AM43" i="34"/>
  <c r="V16" i="40"/>
  <c r="U16" i="40"/>
  <c r="X42" i="33"/>
  <c r="W42" i="33"/>
  <c r="AM42" i="33" s="1"/>
  <c r="Z41" i="33"/>
  <c r="R53" i="33"/>
  <c r="U51" i="33"/>
  <c r="U53" i="33" s="1"/>
  <c r="J63" i="33"/>
  <c r="G67" i="33"/>
  <c r="U64" i="33"/>
  <c r="O67" i="33"/>
  <c r="AS46" i="34"/>
  <c r="AN46" i="34"/>
  <c r="V8" i="40"/>
  <c r="H24" i="40"/>
  <c r="C25" i="40"/>
  <c r="K25" i="40"/>
  <c r="R45" i="34"/>
  <c r="AB26" i="39"/>
  <c r="R24" i="40"/>
  <c r="D25" i="40"/>
  <c r="L25" i="40"/>
  <c r="G29" i="34"/>
  <c r="G23" i="40"/>
  <c r="P23" i="40"/>
  <c r="Z23" i="40"/>
  <c r="E63" i="33"/>
  <c r="M63" i="33"/>
  <c r="R125" i="34"/>
  <c r="H23" i="40"/>
  <c r="C24" i="40"/>
  <c r="K24" i="40"/>
  <c r="F25" i="40"/>
  <c r="N25" i="40"/>
  <c r="R44" i="34"/>
  <c r="R76" i="34"/>
  <c r="R134" i="34"/>
  <c r="O138" i="34"/>
  <c r="S138" i="34" s="1"/>
  <c r="I23" i="40"/>
  <c r="R23" i="40"/>
  <c r="AH41" i="33"/>
  <c r="AI10" i="12"/>
  <c r="P9" i="12"/>
  <c r="AD9" i="12"/>
  <c r="P10" i="12"/>
  <c r="AB10" i="12"/>
  <c r="D30" i="12"/>
  <c r="Z30" i="12"/>
  <c r="R9" i="12"/>
  <c r="AC10" i="12"/>
  <c r="N30" i="12"/>
  <c r="AB30" i="12"/>
  <c r="U9" i="12"/>
  <c r="R10" i="12"/>
  <c r="AD6" i="12"/>
  <c r="O7" i="12"/>
  <c r="U10" i="12"/>
  <c r="O26" i="12"/>
  <c r="AD26" i="12"/>
  <c r="O27" i="12"/>
  <c r="AD27" i="12"/>
  <c r="O29" i="12"/>
  <c r="AD29" i="12"/>
  <c r="AC30" i="12"/>
  <c r="R26" i="12"/>
  <c r="R27" i="12"/>
  <c r="R29" i="12"/>
  <c r="Z38" i="38" l="1"/>
  <c r="AC30" i="38"/>
  <c r="Z30" i="38"/>
  <c r="AC26" i="38"/>
  <c r="Z26" i="38"/>
  <c r="AC6" i="38"/>
  <c r="Z6" i="38"/>
  <c r="Z24" i="40"/>
  <c r="Z25" i="40"/>
  <c r="X16" i="40"/>
  <c r="S18" i="40"/>
  <c r="AB30" i="39"/>
  <c r="W33" i="39"/>
  <c r="Y25" i="39"/>
  <c r="AB25" i="39"/>
  <c r="AB17" i="39"/>
  <c r="Y17" i="39"/>
  <c r="Y18" i="39"/>
  <c r="AB18" i="39"/>
  <c r="AB9" i="39"/>
  <c r="Y9" i="39"/>
  <c r="AC18" i="38"/>
  <c r="Z18" i="38"/>
  <c r="Z10" i="38"/>
  <c r="AC10" i="38"/>
  <c r="H17" i="34"/>
  <c r="G21" i="34"/>
  <c r="G9" i="34"/>
  <c r="H5" i="34"/>
  <c r="H47" i="34"/>
  <c r="J47" i="34" s="1"/>
  <c r="P47" i="34"/>
  <c r="R138" i="34"/>
  <c r="T23" i="40"/>
  <c r="T24" i="40"/>
  <c r="T25" i="40"/>
  <c r="X8" i="40"/>
  <c r="U8" i="40"/>
  <c r="AB10" i="39"/>
  <c r="Y10" i="39"/>
  <c r="AN42" i="34"/>
  <c r="AS42" i="34"/>
  <c r="I65" i="33"/>
  <c r="I66" i="33" s="1"/>
  <c r="I67" i="33"/>
  <c r="AD43" i="33"/>
  <c r="AH43" i="33"/>
  <c r="X43" i="33"/>
  <c r="AS44" i="34"/>
  <c r="AN44" i="34"/>
  <c r="AR42" i="34"/>
  <c r="Z42" i="33"/>
  <c r="AE42" i="33"/>
  <c r="AM43" i="33"/>
  <c r="W44" i="33"/>
  <c r="J4" i="35"/>
  <c r="I4" i="35"/>
  <c r="B5" i="35"/>
  <c r="G5" i="35" s="1"/>
  <c r="S67" i="33"/>
  <c r="S65" i="33"/>
  <c r="S66" i="33" s="1"/>
  <c r="I23" i="34"/>
  <c r="H27" i="34"/>
  <c r="G15" i="34"/>
  <c r="H11" i="34"/>
  <c r="Y57" i="33"/>
  <c r="W57" i="33"/>
  <c r="Y61" i="33"/>
  <c r="W61" i="33"/>
  <c r="O65" i="33"/>
  <c r="O66" i="33" s="1"/>
  <c r="U63" i="33"/>
  <c r="T67" i="33"/>
  <c r="T65" i="33"/>
  <c r="T66" i="33" s="1"/>
  <c r="H29" i="34"/>
  <c r="G33" i="34"/>
  <c r="AS43" i="34"/>
  <c r="AN43" i="34"/>
  <c r="AQ43" i="34" s="1"/>
  <c r="J5" i="34"/>
  <c r="I9" i="34"/>
  <c r="I10" i="34" s="1"/>
  <c r="L67" i="33"/>
  <c r="L65" i="33"/>
  <c r="L66" i="33" s="1"/>
  <c r="P67" i="33"/>
  <c r="W68" i="33"/>
  <c r="Y68" i="33"/>
  <c r="M67" i="33"/>
  <c r="M65" i="33"/>
  <c r="M66" i="33" s="1"/>
  <c r="J65" i="33"/>
  <c r="J66" i="33" s="1"/>
  <c r="J67" i="33"/>
  <c r="AS45" i="34"/>
  <c r="AN45" i="34"/>
  <c r="Y53" i="33"/>
  <c r="W53" i="33"/>
  <c r="H67" i="33"/>
  <c r="E65" i="33"/>
  <c r="E66" i="33" s="1"/>
  <c r="E67" i="33"/>
  <c r="C65" i="33"/>
  <c r="C66" i="33" s="1"/>
  <c r="C67" i="33"/>
  <c r="Z40" i="33"/>
  <c r="AE40" i="33"/>
  <c r="Z43" i="33"/>
  <c r="AE43" i="33"/>
  <c r="Q67" i="33"/>
  <c r="D67" i="33"/>
  <c r="D65" i="33"/>
  <c r="D66" i="33" s="1"/>
  <c r="K65" i="33"/>
  <c r="K66" i="33" s="1"/>
  <c r="K67" i="33"/>
  <c r="AQ44" i="34"/>
  <c r="AR44" i="34" s="1"/>
  <c r="Y34" i="39"/>
  <c r="AB34" i="39"/>
  <c r="U30" i="12"/>
  <c r="R30" i="12"/>
  <c r="O30" i="12"/>
  <c r="AD30" i="12"/>
  <c r="AG30" i="12"/>
  <c r="AG10" i="12"/>
  <c r="AD10" i="12"/>
  <c r="S24" i="40" l="1"/>
  <c r="V18" i="40"/>
  <c r="S23" i="40"/>
  <c r="U18" i="40"/>
  <c r="AA18" i="40"/>
  <c r="X18" i="40"/>
  <c r="S25" i="40"/>
  <c r="Y33" i="39"/>
  <c r="AB33" i="39"/>
  <c r="I17" i="34"/>
  <c r="H21" i="34"/>
  <c r="R47" i="34"/>
  <c r="T47" i="34"/>
  <c r="U65" i="33"/>
  <c r="U67" i="33"/>
  <c r="W67" i="33" s="1"/>
  <c r="U66" i="33"/>
  <c r="W66" i="33" s="1"/>
  <c r="Y65" i="33"/>
  <c r="W65" i="33"/>
  <c r="AR43" i="34"/>
  <c r="AQ45" i="34"/>
  <c r="AR45" i="34" s="1"/>
  <c r="B6" i="35"/>
  <c r="G6" i="35" s="1"/>
  <c r="J5" i="35"/>
  <c r="I5" i="35"/>
  <c r="I27" i="34"/>
  <c r="I28" i="34" s="1"/>
  <c r="J23" i="34"/>
  <c r="I11" i="34"/>
  <c r="H15" i="34"/>
  <c r="I29" i="34"/>
  <c r="H33" i="34"/>
  <c r="K5" i="34"/>
  <c r="J9" i="34"/>
  <c r="J10" i="34" s="1"/>
  <c r="X24" i="40" l="1"/>
  <c r="U24" i="40"/>
  <c r="V24" i="40"/>
  <c r="X23" i="40"/>
  <c r="U23" i="40"/>
  <c r="V23" i="40"/>
  <c r="V25" i="40"/>
  <c r="U25" i="40"/>
  <c r="X25" i="40"/>
  <c r="J17" i="34"/>
  <c r="I21" i="34"/>
  <c r="I22" i="34" s="1"/>
  <c r="J6" i="35"/>
  <c r="I6" i="35"/>
  <c r="B7" i="35"/>
  <c r="G7" i="35" s="1"/>
  <c r="J29" i="34"/>
  <c r="I33" i="34"/>
  <c r="I34" i="34" s="1"/>
  <c r="J11" i="34"/>
  <c r="I15" i="34"/>
  <c r="I16" i="34" s="1"/>
  <c r="J27" i="34"/>
  <c r="J28" i="34" s="1"/>
  <c r="K23" i="34"/>
  <c r="K9" i="34"/>
  <c r="K10" i="34" s="1"/>
  <c r="L5" i="34"/>
  <c r="J21" i="34" l="1"/>
  <c r="J22" i="34" s="1"/>
  <c r="K17" i="34"/>
  <c r="L9" i="34"/>
  <c r="L10" i="34" s="1"/>
  <c r="M5" i="34"/>
  <c r="K29" i="34"/>
  <c r="J33" i="34"/>
  <c r="J34" i="34" s="1"/>
  <c r="K27" i="34"/>
  <c r="K28" i="34" s="1"/>
  <c r="L23" i="34"/>
  <c r="B8" i="35"/>
  <c r="G8" i="35" s="1"/>
  <c r="J7" i="35"/>
  <c r="I7" i="35"/>
  <c r="K11" i="34"/>
  <c r="J15" i="34"/>
  <c r="J16" i="34" s="1"/>
  <c r="L17" i="34" l="1"/>
  <c r="K21" i="34"/>
  <c r="K22" i="34" s="1"/>
  <c r="L11" i="34"/>
  <c r="K15" i="34"/>
  <c r="K16" i="34" s="1"/>
  <c r="J8" i="35"/>
  <c r="I8" i="35"/>
  <c r="B9" i="35"/>
  <c r="G9" i="35" s="1"/>
  <c r="K33" i="34"/>
  <c r="K34" i="34" s="1"/>
  <c r="L29" i="34"/>
  <c r="M23" i="34"/>
  <c r="L27" i="34"/>
  <c r="L28" i="34" s="1"/>
  <c r="M9" i="34"/>
  <c r="M10" i="34" s="1"/>
  <c r="N5" i="34"/>
  <c r="L21" i="34" l="1"/>
  <c r="L22" i="34" s="1"/>
  <c r="M17" i="34"/>
  <c r="N23" i="34"/>
  <c r="M27" i="34"/>
  <c r="M28" i="34" s="1"/>
  <c r="M11" i="34"/>
  <c r="L15" i="34"/>
  <c r="L16" i="34" s="1"/>
  <c r="M29" i="34"/>
  <c r="L33" i="34"/>
  <c r="L34" i="34" s="1"/>
  <c r="B10" i="35"/>
  <c r="G10" i="35" s="1"/>
  <c r="J9" i="35"/>
  <c r="I9" i="35"/>
  <c r="O5" i="34"/>
  <c r="N9" i="34"/>
  <c r="N10" i="34" s="1"/>
  <c r="M21" i="34" l="1"/>
  <c r="M22" i="34" s="1"/>
  <c r="N17" i="34"/>
  <c r="M15" i="34"/>
  <c r="M16" i="34" s="1"/>
  <c r="N11" i="34"/>
  <c r="N29" i="34"/>
  <c r="M33" i="34"/>
  <c r="M34" i="34" s="1"/>
  <c r="P5" i="34"/>
  <c r="O9" i="34"/>
  <c r="O10" i="34" s="1"/>
  <c r="J10" i="35"/>
  <c r="I10" i="35"/>
  <c r="B11" i="35"/>
  <c r="G11" i="35" s="1"/>
  <c r="O23" i="34"/>
  <c r="N27" i="34"/>
  <c r="N28" i="34" s="1"/>
  <c r="O17" i="34" l="1"/>
  <c r="N21" i="34"/>
  <c r="N22" i="34" s="1"/>
  <c r="P23" i="34"/>
  <c r="O27" i="34"/>
  <c r="O28" i="34" s="1"/>
  <c r="N15" i="34"/>
  <c r="N16" i="34" s="1"/>
  <c r="O11" i="34"/>
  <c r="Q5" i="34"/>
  <c r="P9" i="34"/>
  <c r="P10" i="34" s="1"/>
  <c r="B12" i="35"/>
  <c r="G12" i="35" s="1"/>
  <c r="J11" i="35"/>
  <c r="I11" i="35"/>
  <c r="O29" i="34"/>
  <c r="N33" i="34"/>
  <c r="N34" i="34" s="1"/>
  <c r="P17" i="34" l="1"/>
  <c r="O21" i="34"/>
  <c r="O22" i="34" s="1"/>
  <c r="R5" i="34"/>
  <c r="R9" i="34" s="1"/>
  <c r="Q9" i="34"/>
  <c r="Q10" i="34" s="1"/>
  <c r="T10" i="34" s="1"/>
  <c r="J12" i="35"/>
  <c r="I12" i="35"/>
  <c r="B13" i="35"/>
  <c r="G13" i="35" s="1"/>
  <c r="Q23" i="34"/>
  <c r="P27" i="34"/>
  <c r="P28" i="34" s="1"/>
  <c r="O15" i="34"/>
  <c r="O16" i="34" s="1"/>
  <c r="P11" i="34"/>
  <c r="P29" i="34"/>
  <c r="O33" i="34"/>
  <c r="O34" i="34" s="1"/>
  <c r="Q17" i="34" l="1"/>
  <c r="P21" i="34"/>
  <c r="P22" i="34" s="1"/>
  <c r="Q27" i="34"/>
  <c r="Q28" i="34" s="1"/>
  <c r="T28" i="34" s="1"/>
  <c r="R23" i="34"/>
  <c r="R27" i="34" s="1"/>
  <c r="J13" i="35"/>
  <c r="I13" i="35"/>
  <c r="Q29" i="34"/>
  <c r="P33" i="34"/>
  <c r="P34" i="34" s="1"/>
  <c r="Q11" i="34"/>
  <c r="P15" i="34"/>
  <c r="P16" i="34" s="1"/>
  <c r="R10" i="34"/>
  <c r="Q21" i="34" l="1"/>
  <c r="Q22" i="34" s="1"/>
  <c r="T22" i="34" s="1"/>
  <c r="R17" i="34"/>
  <c r="R21" i="34" s="1"/>
  <c r="R22" i="34" s="1"/>
  <c r="R29" i="34"/>
  <c r="R33" i="34" s="1"/>
  <c r="Q33" i="34"/>
  <c r="Q34" i="34" s="1"/>
  <c r="T34" i="34" s="1"/>
  <c r="R11" i="34"/>
  <c r="R15" i="34" s="1"/>
  <c r="R16" i="34" s="1"/>
  <c r="Q15" i="34"/>
  <c r="Q16" i="34" s="1"/>
  <c r="T16" i="34" s="1"/>
  <c r="R28" i="34"/>
  <c r="R34" i="34" l="1"/>
  <c r="U20" i="31" l="1"/>
  <c r="U19" i="31"/>
  <c r="U18" i="31"/>
  <c r="S13" i="31"/>
  <c r="S14" i="31"/>
  <c r="AB21" i="31" l="1"/>
  <c r="X21" i="31"/>
  <c r="S21" i="31"/>
  <c r="P21" i="31"/>
  <c r="O21" i="31"/>
  <c r="N21" i="31"/>
  <c r="M21" i="31"/>
  <c r="L21" i="31"/>
  <c r="K21" i="31"/>
  <c r="J21" i="31"/>
  <c r="I21" i="31"/>
  <c r="H21" i="31"/>
  <c r="G21" i="31"/>
  <c r="F21" i="31"/>
  <c r="E21" i="31"/>
  <c r="D21" i="31"/>
  <c r="C21" i="31"/>
  <c r="T20" i="31"/>
  <c r="Y20" i="31" s="1"/>
  <c r="T19" i="31"/>
  <c r="Y19" i="31" s="1"/>
  <c r="U21" i="31"/>
  <c r="T18" i="31"/>
  <c r="W18" i="31" s="1"/>
  <c r="AB15" i="31"/>
  <c r="AB23" i="31" s="1"/>
  <c r="AB14" i="31"/>
  <c r="U14" i="31" s="1"/>
  <c r="X14" i="31"/>
  <c r="P14" i="31"/>
  <c r="O14" i="31"/>
  <c r="T14" i="31" s="1"/>
  <c r="N14" i="31"/>
  <c r="M14" i="31"/>
  <c r="L14" i="31"/>
  <c r="K14" i="31"/>
  <c r="J14" i="31"/>
  <c r="I14" i="31"/>
  <c r="H14" i="31"/>
  <c r="G14" i="31"/>
  <c r="F14" i="31"/>
  <c r="E14" i="31"/>
  <c r="D14" i="31"/>
  <c r="C14" i="31"/>
  <c r="AB13" i="31"/>
  <c r="U13" i="31" s="1"/>
  <c r="X13" i="31"/>
  <c r="S15" i="31"/>
  <c r="P13" i="31"/>
  <c r="O13" i="31"/>
  <c r="T13" i="31" s="1"/>
  <c r="N13" i="31"/>
  <c r="M13" i="31"/>
  <c r="L13" i="31"/>
  <c r="K13" i="31"/>
  <c r="J13" i="31"/>
  <c r="I13" i="31"/>
  <c r="H13" i="31"/>
  <c r="G13" i="31"/>
  <c r="G15" i="31" s="1"/>
  <c r="G23" i="31" s="1"/>
  <c r="F13" i="31"/>
  <c r="F15" i="31" s="1"/>
  <c r="E13" i="31"/>
  <c r="E15" i="31" s="1"/>
  <c r="E23" i="31" s="1"/>
  <c r="D13" i="31"/>
  <c r="D15" i="31" s="1"/>
  <c r="D23" i="31" s="1"/>
  <c r="C13" i="31"/>
  <c r="Y7" i="31"/>
  <c r="S7" i="31"/>
  <c r="P7" i="31"/>
  <c r="O7" i="31"/>
  <c r="N7" i="31"/>
  <c r="M7" i="31"/>
  <c r="L7" i="31"/>
  <c r="K7" i="31"/>
  <c r="J7" i="31"/>
  <c r="I7" i="31"/>
  <c r="H7" i="31"/>
  <c r="G7" i="31"/>
  <c r="F7" i="31"/>
  <c r="E7" i="31"/>
  <c r="D7" i="31"/>
  <c r="C7" i="31"/>
  <c r="T5" i="31"/>
  <c r="U5" i="31" s="1"/>
  <c r="T4" i="31"/>
  <c r="U4" i="31" s="1"/>
  <c r="V3" i="31"/>
  <c r="T3" i="31"/>
  <c r="U3" i="31" s="1"/>
  <c r="P15" i="31" l="1"/>
  <c r="P23" i="31" s="1"/>
  <c r="U15" i="31"/>
  <c r="H15" i="31"/>
  <c r="C15" i="31"/>
  <c r="C23" i="31" s="1"/>
  <c r="N15" i="31"/>
  <c r="N23" i="31" s="1"/>
  <c r="M15" i="31"/>
  <c r="M23" i="31" s="1"/>
  <c r="L15" i="31"/>
  <c r="L23" i="31" s="1"/>
  <c r="I15" i="31"/>
  <c r="I23" i="31" s="1"/>
  <c r="H23" i="31"/>
  <c r="S23" i="31"/>
  <c r="U23" i="31"/>
  <c r="F23" i="31"/>
  <c r="T7" i="31"/>
  <c r="Y14" i="31"/>
  <c r="V20" i="31"/>
  <c r="T15" i="31"/>
  <c r="J15" i="31"/>
  <c r="J23" i="31" s="1"/>
  <c r="K15" i="31"/>
  <c r="K23" i="31" s="1"/>
  <c r="Y13" i="31"/>
  <c r="O15" i="31"/>
  <c r="O23" i="31" s="1"/>
  <c r="Z3" i="31"/>
  <c r="X3" i="31"/>
  <c r="W3" i="31"/>
  <c r="U7" i="31"/>
  <c r="Z5" i="31"/>
  <c r="V5" i="31"/>
  <c r="X5" i="31" s="1"/>
  <c r="W14" i="31"/>
  <c r="V14" i="31"/>
  <c r="V13" i="31"/>
  <c r="Y18" i="31"/>
  <c r="W13" i="31"/>
  <c r="Z4" i="31"/>
  <c r="T21" i="31"/>
  <c r="V19" i="31"/>
  <c r="V4" i="31"/>
  <c r="W20" i="31"/>
  <c r="V18" i="31"/>
  <c r="W19" i="31"/>
  <c r="X15" i="31"/>
  <c r="X23" i="31" s="1"/>
  <c r="Y15" i="31" l="1"/>
  <c r="W15" i="31"/>
  <c r="V15" i="31"/>
  <c r="V7" i="31"/>
  <c r="X7" i="31" s="1"/>
  <c r="W5" i="31"/>
  <c r="W21" i="31"/>
  <c r="V21" i="31"/>
  <c r="Y21" i="31"/>
  <c r="W4" i="31"/>
  <c r="T23" i="31"/>
  <c r="Z7" i="31"/>
  <c r="X4" i="31"/>
  <c r="W7" i="31" l="1"/>
  <c r="Y23" i="31"/>
  <c r="W23" i="31"/>
  <c r="V23" i="31"/>
  <c r="B21" i="22" l="1"/>
  <c r="C13" i="22"/>
  <c r="D13" i="22"/>
  <c r="E13" i="22"/>
  <c r="B13" i="22"/>
  <c r="C6" i="22"/>
  <c r="D6" i="22"/>
  <c r="E6" i="22"/>
  <c r="B6" i="22"/>
  <c r="C5" i="22" l="1"/>
  <c r="D5" i="22"/>
  <c r="E5" i="22"/>
  <c r="B5" i="22"/>
  <c r="M13" i="23" l="1"/>
  <c r="M7" i="23"/>
  <c r="E4" i="23"/>
  <c r="E11" i="23"/>
  <c r="G10" i="23"/>
  <c r="G9" i="23"/>
  <c r="G8" i="23"/>
  <c r="G2" i="23"/>
  <c r="G3" i="23"/>
  <c r="G1" i="23"/>
  <c r="G4" i="23" s="1"/>
  <c r="M3" i="23" l="1"/>
  <c r="M8" i="23"/>
  <c r="G11" i="23"/>
  <c r="M12" i="23" l="1"/>
  <c r="M14" i="23" s="1"/>
  <c r="M2" i="23"/>
  <c r="M4" i="23" s="1"/>
  <c r="O4" i="23" s="1"/>
  <c r="M9" i="23"/>
  <c r="M21" i="23" s="1"/>
  <c r="O14" i="23" l="1"/>
  <c r="M22" i="23"/>
  <c r="M23" i="23"/>
  <c r="E21" i="22" l="1"/>
  <c r="D21" i="22"/>
  <c r="C21" i="22"/>
  <c r="C14" i="22"/>
  <c r="D14" i="22"/>
  <c r="E22" i="22"/>
  <c r="D22" i="22"/>
  <c r="C22" i="22"/>
  <c r="F6" i="22" l="1"/>
  <c r="D7" i="22"/>
  <c r="E14" i="22"/>
  <c r="E15" i="22" s="1"/>
  <c r="E31" i="22" s="1"/>
  <c r="E7" i="22"/>
  <c r="F21" i="22"/>
  <c r="C23" i="22"/>
  <c r="C32" i="22" s="1"/>
  <c r="C7" i="22"/>
  <c r="F5" i="22"/>
  <c r="B14" i="22"/>
  <c r="B15" i="22" s="1"/>
  <c r="B31" i="22" s="1"/>
  <c r="B7" i="22"/>
  <c r="E23" i="22"/>
  <c r="D23" i="22"/>
  <c r="D15" i="22"/>
  <c r="D31" i="22" s="1"/>
  <c r="C15" i="22"/>
  <c r="C31" i="22" s="1"/>
  <c r="F13" i="22"/>
  <c r="B22" i="22"/>
  <c r="F7" i="22" l="1"/>
  <c r="H7" i="22" s="1"/>
  <c r="C33" i="22"/>
  <c r="C34" i="22" s="1"/>
  <c r="F22" i="22"/>
  <c r="F23" i="22" s="1"/>
  <c r="H23" i="22" s="1"/>
  <c r="B23" i="22"/>
  <c r="F14" i="22"/>
  <c r="F15" i="22" s="1"/>
  <c r="E32" i="22"/>
  <c r="E33" i="22" s="1"/>
  <c r="E34" i="22" s="1"/>
  <c r="D32" i="22"/>
  <c r="D33" i="22" s="1"/>
  <c r="D34" i="22" s="1"/>
  <c r="F32" i="22" l="1"/>
  <c r="F31" i="22"/>
  <c r="B32" i="22"/>
  <c r="B33" i="22" s="1"/>
  <c r="B34" i="22" s="1"/>
  <c r="F33" i="22" l="1"/>
  <c r="F34" i="22" s="1"/>
</calcChain>
</file>

<file path=xl/sharedStrings.xml><?xml version="1.0" encoding="utf-8"?>
<sst xmlns="http://schemas.openxmlformats.org/spreadsheetml/2006/main" count="1102" uniqueCount="505">
  <si>
    <t>BU</t>
  </si>
  <si>
    <t>YTD</t>
  </si>
  <si>
    <t>Safety</t>
  </si>
  <si>
    <t>Leather</t>
  </si>
  <si>
    <t>D|air</t>
  </si>
  <si>
    <t>MEL-T</t>
  </si>
  <si>
    <t>+/- Vs bdg</t>
  </si>
  <si>
    <t>YoY %</t>
  </si>
  <si>
    <t>Operational Efficiency % (O-Eff%)</t>
  </si>
  <si>
    <t>+/- Vs pln</t>
  </si>
  <si>
    <t>+/- Vs trgt</t>
  </si>
  <si>
    <t>PLAN</t>
  </si>
  <si>
    <t>TARGET</t>
  </si>
  <si>
    <t>BDG</t>
  </si>
  <si>
    <t>% Var.</t>
  </si>
  <si>
    <t>SL %</t>
  </si>
  <si>
    <t>SL% Vs plan</t>
  </si>
  <si>
    <t>WIP FG</t>
  </si>
  <si>
    <t>Customer Experience &amp; Responsiveness</t>
  </si>
  <si>
    <t>Productivity &amp; Efficiency</t>
  </si>
  <si>
    <t>€/unit of RM</t>
  </si>
  <si>
    <t>Costs &amp; Profitability</t>
  </si>
  <si>
    <t>Warehouse &amp; Inventory Management</t>
  </si>
  <si>
    <t>YoY%</t>
  </si>
  <si>
    <t>Overall Turnover rate (in %)</t>
  </si>
  <si>
    <t>Employee Retention &amp; Productivity</t>
  </si>
  <si>
    <t>Indirect</t>
  </si>
  <si>
    <t xml:space="preserve"> +/- Vs trgt</t>
  </si>
  <si>
    <t>Absenteeism Rate (in %)</t>
  </si>
  <si>
    <t>Absenteeism Rate</t>
  </si>
  <si>
    <t>MO count</t>
  </si>
  <si>
    <t>OTIF 1st conf</t>
  </si>
  <si>
    <t>OTIF 1st conf total</t>
  </si>
  <si>
    <t>MO count total</t>
  </si>
  <si>
    <t>Lead Time (LT)</t>
  </si>
  <si>
    <t>Customer Claims</t>
  </si>
  <si>
    <t>Customer Claims total</t>
  </si>
  <si>
    <t>LEATHER</t>
  </si>
  <si>
    <t>Efficiency (mth)</t>
  </si>
  <si>
    <t>Efficiency (ytd)</t>
  </si>
  <si>
    <t>SAFETY</t>
  </si>
  <si>
    <t>D|AIR</t>
  </si>
  <si>
    <t>Safety - Direct</t>
  </si>
  <si>
    <t>Safety - Indirect</t>
  </si>
  <si>
    <t>Total Safety</t>
  </si>
  <si>
    <t>Leather - Direct</t>
  </si>
  <si>
    <t>Leather - Indirect</t>
  </si>
  <si>
    <t>Total Leather</t>
  </si>
  <si>
    <t>D|air - Direct</t>
  </si>
  <si>
    <t>D|air - Indirect</t>
  </si>
  <si>
    <t>Total D|air</t>
  </si>
  <si>
    <t>Comune - Indirect</t>
  </si>
  <si>
    <t>Total Direct</t>
  </si>
  <si>
    <t>Total Indirect</t>
  </si>
  <si>
    <t>Total Headcount</t>
  </si>
  <si>
    <t>* It's agreed that all shipments in advance of the requested delivery date are accepted and don't create any negative signal to OTIF</t>
  </si>
  <si>
    <t>** For OTIF only MOs not sent in time for MEL-T reasons are considered</t>
  </si>
  <si>
    <t xml:space="preserve">Source: "OTIF_LT KPIs.xlsx" </t>
  </si>
  <si>
    <t xml:space="preserve">Source: "KPIs.xlsx" </t>
  </si>
  <si>
    <t>Helmet</t>
  </si>
  <si>
    <t>Reliability of deliveries (POM)</t>
  </si>
  <si>
    <t>HELMET</t>
  </si>
  <si>
    <t>MoM%</t>
  </si>
  <si>
    <t>Source: "Qualipro"</t>
  </si>
  <si>
    <t>Year to date refers to the period of time beginning the first day of the current calendar year up to the 			current date</t>
  </si>
  <si>
    <t>Last year refers to the sameperiod of last year</t>
  </si>
  <si>
    <t>Previous year means Last 12 months of the reporting period</t>
  </si>
  <si>
    <t>YoY % Growth</t>
  </si>
  <si>
    <t>Rate of change used to compare the performance of a business over tow consecutive years</t>
  </si>
  <si>
    <t>Terms &amp; Acronym:</t>
  </si>
  <si>
    <t xml:space="preserve">Rolling L12M </t>
  </si>
  <si>
    <t>% Var. Vs PY</t>
  </si>
  <si>
    <t>Qty
prod</t>
  </si>
  <si>
    <t>Check Rate</t>
  </si>
  <si>
    <t>MONTH</t>
  </si>
  <si>
    <t>MoM %</t>
  </si>
  <si>
    <t>ratio direct/indirect</t>
  </si>
  <si>
    <t>1.0 FTE</t>
  </si>
  <si>
    <t>CUTTING</t>
  </si>
  <si>
    <t>Functional-Group</t>
  </si>
  <si>
    <t>HC</t>
  </si>
  <si>
    <t>Dair</t>
  </si>
  <si>
    <t>CUTTING HC</t>
  </si>
  <si>
    <t>CUTTING 1.0 FTE</t>
  </si>
  <si>
    <t>STITCHING</t>
  </si>
  <si>
    <t>STITCHING HC</t>
  </si>
  <si>
    <t>STITCHING 1.0 FTE</t>
  </si>
  <si>
    <t>PREPARATION</t>
  </si>
  <si>
    <t>ASSEMBLING</t>
  </si>
  <si>
    <t>QUALITY</t>
  </si>
  <si>
    <t>HC total</t>
  </si>
  <si>
    <t>1.0 FTE total</t>
  </si>
  <si>
    <t>PREPARATION HC</t>
  </si>
  <si>
    <t>PREPARATION 1.0 FTE</t>
  </si>
  <si>
    <t>ASSEMBLING HC</t>
  </si>
  <si>
    <t>ASSEMBLING 1.0 FTE</t>
  </si>
  <si>
    <t>QUALITY HC</t>
  </si>
  <si>
    <t>QUALITY 1.0 FTE</t>
  </si>
  <si>
    <t>Direct total</t>
  </si>
  <si>
    <t>Available Hrs</t>
  </si>
  <si>
    <t>Absenteeism Hrs</t>
  </si>
  <si>
    <t>Direct</t>
  </si>
  <si>
    <t>Overall absence Hrs</t>
  </si>
  <si>
    <t>Absenteeism
Hrs</t>
  </si>
  <si>
    <t>Overall absence
Hrs</t>
  </si>
  <si>
    <t>Available
Hrs</t>
  </si>
  <si>
    <t>Overal Absene Rate</t>
  </si>
  <si>
    <t xml:space="preserve">** Inventory accuracy is a metric that measures the difference between your records of warehouse stock and your real-life inventory. </t>
  </si>
  <si>
    <t>*** Average inventory accuracy for companies ranges from 75% to 97%. That includes companies that use SKUs and barcode scanning to manage inventory.</t>
  </si>
  <si>
    <t xml:space="preserve">Source: "Inventory_Tracking.xlsx" </t>
  </si>
  <si>
    <t>* The incorrect counted units are considered as varaition negative value and other specific conditions at the time of inventory and registration.</t>
  </si>
  <si>
    <t>Inventory Accuracy Rate</t>
  </si>
  <si>
    <t>Correct Counted Units</t>
  </si>
  <si>
    <t>Units on Record</t>
  </si>
  <si>
    <t>* The percentage of orders that are error-free.</t>
  </si>
  <si>
    <t xml:space="preserve">Source: "POM_Tracking.xlsx" </t>
  </si>
  <si>
    <t>* The lost hours mentioned in the table are the sum of Illegitimate and Unplanned &amp; Legitimate and Unplanned Work Absence</t>
  </si>
  <si>
    <t>Source: "Registre des employés MEL-T.xlsx"</t>
  </si>
  <si>
    <t>Source: « Rolling Turnover rate.xlsx"</t>
  </si>
  <si>
    <t>Employees at Beginning</t>
  </si>
  <si>
    <t>Terminations</t>
  </si>
  <si>
    <t>Hires</t>
  </si>
  <si>
    <t>Spostamenti interni</t>
  </si>
  <si>
    <t>Turnover rate</t>
  </si>
  <si>
    <t>Source: "Payroll.xlsx"</t>
  </si>
  <si>
    <t>Source: "Absence rate.xlsx"</t>
  </si>
  <si>
    <t xml:space="preserve"> Project/Category</t>
  </si>
  <si>
    <t>Done</t>
  </si>
  <si>
    <t>Totale complessivo</t>
  </si>
  <si>
    <t>Developments &amp; Upgrade, Tools durable</t>
  </si>
  <si>
    <t>Industrial equipments</t>
  </si>
  <si>
    <t>CAPEX in TND</t>
  </si>
  <si>
    <t>PYTD</t>
  </si>
  <si>
    <t>LY or PYTD</t>
  </si>
  <si>
    <t>and &gt; PY</t>
  </si>
  <si>
    <t>Machinery</t>
  </si>
  <si>
    <t>Worked minutes</t>
  </si>
  <si>
    <t>* The results of the BU refer to the Finished Goods</t>
  </si>
  <si>
    <t>* The results of the BU D|air refer to the Airbag Sac</t>
  </si>
  <si>
    <t>Hrs par 1.0FTE</t>
  </si>
  <si>
    <t>Absence FTE</t>
  </si>
  <si>
    <t>%</t>
  </si>
  <si>
    <t xml:space="preserve"> +/- Vs bdg</t>
  </si>
  <si>
    <t>Average HC</t>
  </si>
  <si>
    <t>Hire budget realisation</t>
  </si>
  <si>
    <t>To Hire</t>
  </si>
  <si>
    <t>Ratio Abs vs BDG</t>
  </si>
  <si>
    <t>+/- MoM</t>
  </si>
  <si>
    <t>Commun</t>
  </si>
  <si>
    <t>%Var. MoM</t>
  </si>
  <si>
    <t>BU03 - Leather</t>
  </si>
  <si>
    <t>1.00x OT Hrs</t>
  </si>
  <si>
    <t>1.75x OT Hrs</t>
  </si>
  <si>
    <t>2.00x OT Hrs</t>
  </si>
  <si>
    <t>BU02 - Safety</t>
  </si>
  <si>
    <t>BU04 - D|air</t>
  </si>
  <si>
    <t>&lt;6.000</t>
  </si>
  <si>
    <t>PY or FY'23</t>
  </si>
  <si>
    <t>Sum of 12 month for the previous/past year or Full Year 2023</t>
  </si>
  <si>
    <t>LM +/- Vs bdg</t>
  </si>
  <si>
    <t>Worked Hours</t>
  </si>
  <si>
    <t>PLATINUM</t>
  </si>
  <si>
    <t>GOLD</t>
  </si>
  <si>
    <t>SILVER</t>
  </si>
  <si>
    <t>BRONZE</t>
  </si>
  <si>
    <t>Labor cost</t>
  </si>
  <si>
    <t>Parts cost</t>
  </si>
  <si>
    <t>Total cost (TND)</t>
  </si>
  <si>
    <t xml:space="preserve">ENTRETIEN USINE ENFIDHA </t>
  </si>
  <si>
    <t>ENTRETIEN USINE LEATHER</t>
  </si>
  <si>
    <t>ENTRETIEN USINE D-AIR</t>
  </si>
  <si>
    <t xml:space="preserve">ENTRETIEN ET REPARATION MATER </t>
  </si>
  <si>
    <t>ENTRETIEN ET REPARATION MATER. SAFETY</t>
  </si>
  <si>
    <t>ENTRETIEN ET REPARATION MAT.LEATHER</t>
  </si>
  <si>
    <t>ENTRETIEN ET REPARATION MAT.LECTRA</t>
  </si>
  <si>
    <t>ENTRETIEN ET REPARATION MAT.D-AIR</t>
  </si>
  <si>
    <t xml:space="preserve">MAINTENANCE </t>
  </si>
  <si>
    <t>MAINTENANCE LECTRA MATERIEL</t>
  </si>
  <si>
    <t>MAINTENANCE LECTRA MATERIEL LEATHER</t>
  </si>
  <si>
    <t>Hrs running par 1.0FTE</t>
  </si>
  <si>
    <t>Other external labor cost</t>
  </si>
  <si>
    <t>Production volume ratio</t>
  </si>
  <si>
    <t>The production volume ratio measures how the actual production output for a period, measured in standard direct labour hours, compares with the budgeted hours for a production cost centre. It is calculated as:</t>
  </si>
  <si>
    <t>A ratio of &gt; 100% indicates above budget production volume and vice versa.</t>
  </si>
  <si>
    <t>Capacity utilisation ratio</t>
  </si>
  <si>
    <t>The capacity utilisation ratio measures whether the total direct labour hours worked in a production cost centre in a period was greater or less than what was budgeted. It is calculated as:</t>
  </si>
  <si>
    <t>A ratio of &gt; 100% indicates that more direct labour hours were worked than budget and vice versa.</t>
  </si>
  <si>
    <t>Efficiency ratio</t>
  </si>
  <si>
    <t>The efficiency ratio measures whether the production output for a period in a production cost centre took more or less direct labour time than expected. It is calculated as:</t>
  </si>
  <si>
    <t>A ratio of &gt; 100% indicates greater labour efficiency than budgeted and vice versa.</t>
  </si>
  <si>
    <t>Analysis</t>
  </si>
  <si>
    <t>It can be seen, from the above ratios, that the actual output in the production cost centre in the period, measured in standard direct labour hours, was 1.9% higher than budget (it may be noted that the total number of product units manufactured was the same as budget, but the units of one product are not comparable, in terms of production effort, with another).</t>
  </si>
  <si>
    <t>The over-budget production activity occurred despite the fact that utilisation of capacity was only 94.7% of the budgeted utilisation. This was because direct labour efficiency was 7.6% better than expected – ie fewer hours than expected were required to produce the actual output.</t>
  </si>
  <si>
    <t>The relationship between the three ratios can be demonstrated as follows:</t>
  </si>
  <si>
    <t>budgeted direct labour hours</t>
  </si>
  <si>
    <t>Actual direct labour hours worked</t>
  </si>
  <si>
    <t>actual direct labour hours worked</t>
  </si>
  <si>
    <t>Production volume</t>
  </si>
  <si>
    <t>Higher</t>
  </si>
  <si>
    <t>Lower</t>
  </si>
  <si>
    <t>over-budget</t>
  </si>
  <si>
    <t>under-budget</t>
  </si>
  <si>
    <t>better</t>
  </si>
  <si>
    <t>worst</t>
  </si>
  <si>
    <t>Std direct labour hours of actual production</t>
  </si>
  <si>
    <t>Including QC</t>
  </si>
  <si>
    <t>Including QC &amp; Rework &amp; Buy</t>
  </si>
  <si>
    <t>Escluding Buy</t>
  </si>
  <si>
    <t>Product A - 12,400 units</t>
  </si>
  <si>
    <t>Product B - 10,000 units</t>
  </si>
  <si>
    <t>Product C - 18,500 units</t>
  </si>
  <si>
    <t>A</t>
  </si>
  <si>
    <t>10 units</t>
  </si>
  <si>
    <t>0.1 hours or 6 minutes</t>
  </si>
  <si>
    <t>B</t>
  </si>
  <si>
    <t>25 units</t>
  </si>
  <si>
    <t>0.04 hours or 2.4 minutes</t>
  </si>
  <si>
    <t>C</t>
  </si>
  <si>
    <t>20 units</t>
  </si>
  <si>
    <t>0.05 hours or 3 minutes</t>
  </si>
  <si>
    <t>Product A - 13,300 units</t>
  </si>
  <si>
    <t>Product B - 9,600 units</t>
  </si>
  <si>
    <t>Product C - 18,000 units</t>
  </si>
  <si>
    <t>Worked hrs</t>
  </si>
  <si>
    <t>Production volume, Capacity utilisation and Efficiency ratios</t>
  </si>
  <si>
    <t>Production Volume  FG</t>
  </si>
  <si>
    <t>Std minutes produced</t>
  </si>
  <si>
    <t>CRR%</t>
  </si>
  <si>
    <t>CRR% Customer reject rate</t>
  </si>
  <si>
    <t>Total worked hours and Overtime by Month</t>
  </si>
  <si>
    <t>Valori</t>
  </si>
  <si>
    <t>Available Hours</t>
  </si>
  <si>
    <t>Worked Hours (Regular Hrs)</t>
  </si>
  <si>
    <t>Total Worked Hours</t>
  </si>
  <si>
    <t>Total Overtime Hrs</t>
  </si>
  <si>
    <t>Overall Absence Hours</t>
  </si>
  <si>
    <t>Overall Absence Rate</t>
  </si>
  <si>
    <t>1000 - Planned and approved</t>
  </si>
  <si>
    <t>2000 - Planned and unapproved</t>
  </si>
  <si>
    <t>3000 - Unplanned and unapproved</t>
  </si>
  <si>
    <t>4000 - Unplanned and approved</t>
  </si>
  <si>
    <t>Payable Hours</t>
  </si>
  <si>
    <t>AL12 - Jours fériés, chômés et payés</t>
  </si>
  <si>
    <t>AL23 - Congés spéciaux pour raison de famille</t>
  </si>
  <si>
    <t>AT39 - Chômage partiel payés</t>
  </si>
  <si>
    <t>AT39 - Chômage partiel payés (H)</t>
  </si>
  <si>
    <t>AT40 - Participation à la formation</t>
  </si>
  <si>
    <t>AT40 - Participation à la formation (H)</t>
  </si>
  <si>
    <t>1.25x OT Hrs</t>
  </si>
  <si>
    <t>Heures d'allaitement</t>
  </si>
  <si>
    <t>Ore Multa NP</t>
  </si>
  <si>
    <t>Ore Multa di ass</t>
  </si>
  <si>
    <t>Ore Multa di ritardo</t>
  </si>
  <si>
    <t>Ore Multa diverse</t>
  </si>
  <si>
    <t>PTO</t>
  </si>
  <si>
    <t>Grand Total Pay</t>
  </si>
  <si>
    <t>Pay vs Worked</t>
  </si>
  <si>
    <t>% Pay vs Worked</t>
  </si>
  <si>
    <t>Ckeck</t>
  </si>
  <si>
    <t>Grand total</t>
  </si>
  <si>
    <t>Productivity (p/h)</t>
  </si>
  <si>
    <t>% Var. vs trgt</t>
  </si>
  <si>
    <t>OT rate</t>
  </si>
  <si>
    <t>Total direct labour hours worked</t>
  </si>
  <si>
    <t>Overall hours worked</t>
  </si>
  <si>
    <t>Maintenance Cost/h overall</t>
  </si>
  <si>
    <t>Maintenance Cost/h DL</t>
  </si>
  <si>
    <t>% Var. Vs trgt</t>
  </si>
  <si>
    <t>Defective units</t>
  </si>
  <si>
    <t># Defects</t>
  </si>
  <si>
    <t>DPMO</t>
  </si>
  <si>
    <t>DPU</t>
  </si>
  <si>
    <t>DPO</t>
  </si>
  <si>
    <t>DPMU (ppm)</t>
  </si>
  <si>
    <t>DPMU
(ppm)</t>
  </si>
  <si>
    <t>FQC
Rej %</t>
  </si>
  <si>
    <t>Further definitions:</t>
  </si>
  <si>
    <t>Defects and units are fairly straightforward but some folks struggle with the number of opportunities. The number of opportunities is based on how you choose to count defects. Here are some examples:</t>
  </si>
  <si>
    <t>One opportunity: an item is either wrong or right, good or bad.</t>
  </si>
  <si>
    <t>Two opportunities: A package could have the wrong product or the wrong # products in it.</t>
  </si>
  <si>
    <t>Example of three opportunities: a shirt you order could be the wrong: size, style or color.</t>
  </si>
  <si>
    <t># Opportunities</t>
  </si>
  <si>
    <t># Defective units</t>
  </si>
  <si>
    <t># Defective units total</t>
  </si>
  <si>
    <t># Units sold</t>
  </si>
  <si>
    <t># Units sold total</t>
  </si>
  <si>
    <t>Six Sigma Table:</t>
  </si>
  <si>
    <t>Six Sigma Ratings (σ)</t>
  </si>
  <si>
    <t>1 Sigma = 691,462 DPMO, 30.85% defect-free</t>
  </si>
  <si>
    <t>2 Sigma = 308,538 DPMO, 69.146% defect-free</t>
  </si>
  <si>
    <t>3 Sigma = 66,807 DPMO, 93.319% defect-free</t>
  </si>
  <si>
    <t>4 Sigma = 6,210 DPMO, 99.379% defect-free</t>
  </si>
  <si>
    <t>5 Sigma = 233 DPMO, 99.977% defect-free</t>
  </si>
  <si>
    <r>
      <rPr>
        <b/>
        <sz val="12"/>
        <color rgb="FF000000"/>
        <rFont val="Tahoma"/>
        <family val="2"/>
      </rPr>
      <t>6 Sigma</t>
    </r>
    <r>
      <rPr>
        <sz val="12"/>
        <color rgb="FF000000"/>
        <rFont val="Tahoma"/>
        <family val="2"/>
      </rPr>
      <t> = 3.4 DPMO, 99.99966% defect-free.</t>
    </r>
  </si>
  <si>
    <t>Throughput Yield</t>
  </si>
  <si>
    <t>% FPY</t>
  </si>
  <si>
    <t>Rolled-throughput Yield RTY</t>
  </si>
  <si>
    <t>Sample size</t>
  </si>
  <si>
    <t>Process Sigma level</t>
  </si>
  <si>
    <t>OQC
Rej %</t>
  </si>
  <si>
    <t>Throughput Yield
TPY</t>
  </si>
  <si>
    <t>%Var. Vs trgt</t>
  </si>
  <si>
    <t>% Yiled
FQR</t>
  </si>
  <si>
    <t>% Yiled
OQR</t>
  </si>
  <si>
    <t>Productivity (p/h) - FQC</t>
  </si>
  <si>
    <t>Paid Partial or Technical unemployment</t>
  </si>
  <si>
    <r>
      <t xml:space="preserve">The actual output in the production cost centre ytd, measured in standard direct labour hours, was </t>
    </r>
    <r>
      <rPr>
        <b/>
        <sz val="11"/>
        <color theme="1"/>
        <rFont val="Aptos"/>
        <family val="2"/>
      </rPr>
      <t>75.2% lower than budget</t>
    </r>
  </si>
  <si>
    <r>
      <t xml:space="preserve">The under-budget production activity occurred despite the fact that </t>
    </r>
    <r>
      <rPr>
        <b/>
        <sz val="11"/>
        <color theme="1"/>
        <rFont val="Aptos"/>
        <family val="2"/>
      </rPr>
      <t>utilisation of capacity was only 102.0% over of the budgeted utilisation</t>
    </r>
    <r>
      <rPr>
        <sz val="11"/>
        <color theme="4"/>
        <rFont val="Aptos"/>
        <family val="2"/>
      </rPr>
      <t xml:space="preserve">. This was because </t>
    </r>
    <r>
      <rPr>
        <b/>
        <sz val="11"/>
        <color theme="1"/>
        <rFont val="Aptos"/>
        <family val="2"/>
      </rPr>
      <t>direct labour efficiency was 10.2% worst than expected</t>
    </r>
    <r>
      <rPr>
        <sz val="11"/>
        <color theme="4"/>
        <rFont val="Aptos"/>
        <family val="2"/>
      </rPr>
      <t xml:space="preserve"> – ie fewer hours than expected were required to produce the actual output.</t>
    </r>
  </si>
  <si>
    <t>BU_CDC</t>
  </si>
  <si>
    <t>QC_Pcs</t>
  </si>
  <si>
    <t>Worked Hrs</t>
  </si>
  <si>
    <t>Productivity_QC_Ph</t>
  </si>
  <si>
    <t>QC_Pcs totale</t>
  </si>
  <si>
    <t>Worked Hrs totale</t>
  </si>
  <si>
    <t>Run_hrs_YTD</t>
  </si>
  <si>
    <t>Throughput (ph)_QC</t>
  </si>
  <si>
    <t>Class</t>
  </si>
  <si>
    <t>&lt; 6.000</t>
  </si>
  <si>
    <t>&lt; 15.000</t>
  </si>
  <si>
    <t>&lt; 20.000</t>
  </si>
  <si>
    <t>&gt; 20.000</t>
  </si>
  <si>
    <t>Productivity_QC_Ph totale</t>
  </si>
  <si>
    <t>Run_hrs_YTD totale</t>
  </si>
  <si>
    <t>Throughput (ph)_QC totale</t>
  </si>
  <si>
    <t>Approved</t>
  </si>
  <si>
    <t>FY'24</t>
  </si>
  <si>
    <t>% Var. Vs FY'24</t>
  </si>
  <si>
    <t xml:space="preserve"> HC</t>
  </si>
  <si>
    <t>202501</t>
  </si>
  <si>
    <t>Number of Beneficiaries</t>
  </si>
  <si>
    <t>Total Training Hours</t>
  </si>
  <si>
    <t>Cost per training</t>
  </si>
  <si>
    <t>#</t>
  </si>
  <si>
    <t>TND</t>
  </si>
  <si>
    <t>Realization rate</t>
  </si>
  <si>
    <t>Realization Y/N</t>
  </si>
  <si>
    <t>Realization teme</t>
  </si>
  <si>
    <t>202502</t>
  </si>
  <si>
    <t>FY'25</t>
  </si>
  <si>
    <t>Total Training days</t>
  </si>
  <si>
    <t>ACT HC</t>
  </si>
  <si>
    <t>202503</t>
  </si>
  <si>
    <t>gen</t>
  </si>
  <si>
    <t>feb</t>
  </si>
  <si>
    <t>mar</t>
  </si>
  <si>
    <t>mag</t>
  </si>
  <si>
    <t>202504</t>
  </si>
  <si>
    <t>apr</t>
  </si>
  <si>
    <t>202505</t>
  </si>
  <si>
    <r>
      <t xml:space="preserve">Absence hours by Type, Type level, Reasons and Month </t>
    </r>
    <r>
      <rPr>
        <b/>
        <sz val="11"/>
        <color rgb="FFC00000"/>
        <rFont val="Aptos"/>
        <family val="2"/>
      </rPr>
      <t>[ Only DL ]</t>
    </r>
  </si>
  <si>
    <t>IT equipments and software licence</t>
  </si>
  <si>
    <t>days/HC</t>
  </si>
  <si>
    <t>hrs/HC</t>
  </si>
  <si>
    <t>202506</t>
  </si>
  <si>
    <t>giu</t>
  </si>
  <si>
    <t>lug</t>
  </si>
  <si>
    <t>202507</t>
  </si>
  <si>
    <t>* The results of the D|air plant refer to the airbag sac (test sac 100%)
** Leather refer only to the Finished Goods</t>
  </si>
  <si>
    <t>ago</t>
  </si>
  <si>
    <t>202508</t>
  </si>
  <si>
    <t>202509</t>
  </si>
  <si>
    <t>set</t>
  </si>
  <si>
    <t>ott</t>
  </si>
  <si>
    <t>202510</t>
  </si>
  <si>
    <t>202511</t>
  </si>
  <si>
    <t>dic</t>
  </si>
  <si>
    <t>DPR</t>
  </si>
  <si>
    <t>Throughtput (p/h) - FQC</t>
  </si>
  <si>
    <t>Typical FPY Benchmarks (General Guidance)</t>
  </si>
  <si>
    <t>FPY Level</t>
  </si>
  <si>
    <t>Meaning</t>
  </si>
  <si>
    <t>&lt; 85%</t>
  </si>
  <si>
    <t>Poor – urgent improvement needed</t>
  </si>
  <si>
    <t>85–95%</t>
  </si>
  <si>
    <t>Acceptable but improvable</t>
  </si>
  <si>
    <t>&gt; 95%</t>
  </si>
  <si>
    <t>Excellent</t>
  </si>
  <si>
    <t>≥ 99%</t>
  </si>
  <si>
    <t>World‑class</t>
  </si>
  <si>
    <t>202512</t>
  </si>
  <si>
    <t>SMART GO</t>
  </si>
  <si>
    <t>% Var. Vs FY'25</t>
  </si>
  <si>
    <t>YTD'26</t>
  </si>
  <si>
    <t>SL %
FY'25</t>
  </si>
  <si>
    <t>+/-  SL Vs FY'25</t>
  </si>
  <si>
    <t>YTD&lt;-10pts vs PY</t>
  </si>
  <si>
    <t>BDG 2026</t>
  </si>
  <si>
    <t>coda 2025 su 2026</t>
  </si>
  <si>
    <t>PLAN DE FORMATION 2026</t>
  </si>
  <si>
    <t>DAIR SKI</t>
  </si>
  <si>
    <t>Comune - Direct</t>
  </si>
  <si>
    <t>Total Comune</t>
  </si>
  <si>
    <t>202601</t>
  </si>
  <si>
    <t>Shops and Office Furniture and equipments</t>
  </si>
  <si>
    <t>202602</t>
  </si>
  <si>
    <t>nov</t>
  </si>
  <si>
    <t>HIRE</t>
  </si>
  <si>
    <t>LEFT</t>
  </si>
  <si>
    <t>Mth</t>
  </si>
  <si>
    <t>HC
(inizio mese)</t>
  </si>
  <si>
    <t>HC
(fine mese)</t>
  </si>
  <si>
    <t>% Realization</t>
  </si>
  <si>
    <t>+/- Vs BDG</t>
  </si>
  <si>
    <t>Risks assessment_Occupational health and safety</t>
  </si>
  <si>
    <t>DIR → IND</t>
  </si>
  <si>
    <t>202603</t>
  </si>
  <si>
    <t>(Defective Units / Units Inspected) × 100</t>
  </si>
  <si>
    <t>Apparel - OQC Defect Rate Finished goods</t>
  </si>
  <si>
    <t>Apparel - FQC Defect Rate Finished Goods</t>
  </si>
  <si>
    <t>(Terminations during period / Employees at period start) × 100</t>
  </si>
  <si>
    <t>(Unplanned Lost Hours / Available Hours) × 100</t>
  </si>
  <si>
    <t>(Actual HC / Budget HC) × 100</t>
  </si>
  <si>
    <t>* #HC at end of month vs BDG</t>
  </si>
  <si>
    <t>* #HC on payroll of month vs BDG</t>
  </si>
  <si>
    <t>Overtime Rate (%)</t>
  </si>
  <si>
    <t>(Overtime Hours ÷ Total Hours Worked) × 100</t>
  </si>
  <si>
    <t>Total Hours Worked</t>
  </si>
  <si>
    <t>(Completed Trainings / Approved Trainings) × 100</t>
  </si>
  <si>
    <t>Training Completion Rate (%)</t>
  </si>
  <si>
    <t>(Actual Cost / Budget Cost) × 100</t>
  </si>
  <si>
    <t>Training Budget Realization (%)</t>
  </si>
  <si>
    <t>(Orders delivered on time and in full​ / Total orders delivered) × 100</t>
  </si>
  <si>
    <t>*** Shipment date + Transportation Lead Time ≤ Requested delivery date + 5 working days (agreed tolerance)</t>
  </si>
  <si>
    <r>
      <t xml:space="preserve">Hire Budget Realization (%) </t>
    </r>
    <r>
      <rPr>
        <i/>
        <sz val="12"/>
        <color rgb="FF000000"/>
        <rFont val="Aptos"/>
        <family val="2"/>
      </rPr>
      <t>by DIR/IND and BU</t>
    </r>
  </si>
  <si>
    <r>
      <t xml:space="preserve">Hire Budget Realization (%) </t>
    </r>
    <r>
      <rPr>
        <i/>
        <sz val="12"/>
        <color rgb="FF000000"/>
        <rFont val="Aptos"/>
        <family val="2"/>
      </rPr>
      <t>by Funtion-Group and BU</t>
    </r>
  </si>
  <si>
    <t>Service Level (SL) (in %)</t>
  </si>
  <si>
    <t>On Time In Full (OTIF) (in %)</t>
  </si>
  <si>
    <t>(Units sold of finished goods ÷ Budgeted units) × 100</t>
  </si>
  <si>
    <t>CQR% Customer quality rate</t>
  </si>
  <si>
    <t>Total number of external customer claims recorded</t>
  </si>
  <si>
    <t>1 - (Customer defective units / Units sold) × 100</t>
  </si>
  <si>
    <t>Apparel – Customer Quality Rate (CQR) (in %)</t>
  </si>
  <si>
    <t>(Finished goods output / Total worked hours)</t>
  </si>
  <si>
    <t>(Finished goods output / 1.0 FTE worked hours)</t>
  </si>
  <si>
    <t>(Standard minutes produced × Standard cycle time) / Total worked minutes × 100</t>
  </si>
  <si>
    <t>Source: "Production report.xlsx"</t>
  </si>
  <si>
    <t xml:space="preserve">* Standard minutes produced = (Finished goods + Semi‑finished goods) </t>
  </si>
  <si>
    <t xml:space="preserve">** Minutes worked and produced for FQC&amp;PACK, OUTSOURCING are excluded from the calculation </t>
  </si>
  <si>
    <t>*** (minutes x1000)</t>
  </si>
  <si>
    <t>Total euro value of raw materials scrapped during the manufacturing process</t>
  </si>
  <si>
    <r>
      <t xml:space="preserve">Scrap Material Value (€) </t>
    </r>
    <r>
      <rPr>
        <sz val="12"/>
        <color rgb="FF000000"/>
        <rFont val="Aptos"/>
        <family val="2"/>
      </rPr>
      <t>(Material Waste during Manufacturing)</t>
    </r>
  </si>
  <si>
    <t>(Maintenance labor cost + Spare parts cost) / Equipment running hours</t>
  </si>
  <si>
    <t>Maintenance Cost (DT/h)</t>
  </si>
  <si>
    <t>(Error‑free orders / Total orders) × 100</t>
  </si>
  <si>
    <t>Inventory Accuracy Rate (in %)</t>
  </si>
  <si>
    <t>(Correct counted units / Units on record) × 100</t>
  </si>
  <si>
    <t xml:space="preserve">Maîtrise des non-conformités produits et actions correctives et préventives </t>
  </si>
  <si>
    <t xml:space="preserve">Les fondamentaux de l’hygiène, de la santé et de la sécurité au travail </t>
  </si>
  <si>
    <t>Habilitation des Caristes</t>
  </si>
  <si>
    <t>Entretien préventif des  équipements de confection</t>
  </si>
  <si>
    <t xml:space="preserve">Note </t>
  </si>
  <si>
    <t>Bdg / Trgt</t>
  </si>
  <si>
    <t>N° container</t>
  </si>
  <si>
    <t>Media/mese</t>
  </si>
  <si>
    <t>FY'25/mese</t>
  </si>
  <si>
    <t>Logistic Cost</t>
  </si>
  <si>
    <t>Fees cost (TND)</t>
  </si>
  <si>
    <t>Transport Cost (TND)</t>
  </si>
  <si>
    <t>Capi Spediti</t>
  </si>
  <si>
    <t>Tot. Capi Spediti (PZ)</t>
  </si>
  <si>
    <t xml:space="preserve"> Cost Unit (TND)</t>
  </si>
  <si>
    <t>FRAIS SUR ACHAT SAFETY</t>
  </si>
  <si>
    <t>FRAIS SUR ACHAT LEATHER</t>
  </si>
  <si>
    <t>FRAIS SUR ACHAT D-AIR</t>
  </si>
  <si>
    <t>FRAIS SUR VENTE  SAFETY</t>
  </si>
  <si>
    <t>FRAIS SUR VENTE LEATHER</t>
  </si>
  <si>
    <t>FRAIS SUR VENTE D-AIR</t>
  </si>
  <si>
    <t>TRANSPORT SUR ACHATS  SAFETY</t>
  </si>
  <si>
    <t>TRANSPORT SUR ACHAT LEATHER</t>
  </si>
  <si>
    <t>TRANSPORT SUR ACHAT D-AIR</t>
  </si>
  <si>
    <t>TRANSPORT SUR VENTES  SAFETY</t>
  </si>
  <si>
    <t>TRANSPORT SUR VENTE LEATHER</t>
  </si>
  <si>
    <t>TRANSPORT SUR VENTES D-AIR</t>
  </si>
  <si>
    <t>YTD&lt;-10 p.p. vs PY</t>
  </si>
  <si>
    <t>202604</t>
  </si>
  <si>
    <t>Generic plants</t>
  </si>
  <si>
    <t>Risques psychosociaux et troubles musculo-squelettiques </t>
  </si>
  <si>
    <t>Y</t>
  </si>
  <si>
    <t>Leasehold Improvements</t>
  </si>
  <si>
    <t>MEL-T Space&amp;Cost_Optimization_Plan 2026</t>
  </si>
  <si>
    <t>MONTH SEP'26</t>
  </si>
  <si>
    <r>
      <rPr>
        <b/>
        <i/>
        <sz val="12"/>
        <color rgb="FF203864"/>
        <rFont val="Aptos"/>
        <family val="2"/>
      </rPr>
      <t>LT Anticipo</t>
    </r>
    <r>
      <rPr>
        <i/>
        <sz val="12"/>
        <color rgb="FF203864"/>
        <rFont val="Aptos"/>
        <family val="2"/>
      </rPr>
      <t xml:space="preserve"> = Avvio - Partenza materiale // </t>
    </r>
    <r>
      <rPr>
        <b/>
        <i/>
        <sz val="12"/>
        <color rgb="FF203864"/>
        <rFont val="Aptos"/>
        <family val="2"/>
      </rPr>
      <t>LT Produzione</t>
    </r>
    <r>
      <rPr>
        <i/>
        <sz val="12"/>
        <color rgb="FF203864"/>
        <rFont val="Aptos"/>
        <family val="2"/>
      </rPr>
      <t xml:space="preserve"> = Spedizione - Avvio // </t>
    </r>
    <r>
      <rPr>
        <b/>
        <i/>
        <sz val="12"/>
        <color rgb="FF203864"/>
        <rFont val="Aptos"/>
        <family val="2"/>
      </rPr>
      <t>LT Totale End-to-End</t>
    </r>
    <r>
      <rPr>
        <i/>
        <sz val="12"/>
        <color rgb="FF203864"/>
        <rFont val="Aptos"/>
        <family val="2"/>
      </rPr>
      <t xml:space="preserve"> = Consegna - Partenza materiale</t>
    </r>
  </si>
  <si>
    <t>%Var.</t>
  </si>
  <si>
    <t>LT Anticipo</t>
  </si>
  <si>
    <t>LT Produzione</t>
  </si>
  <si>
    <t>LT End-to-End</t>
  </si>
  <si>
    <t>* LT Anticipo Pianificazione (gg): misura quanto stai anticipando quanto margine hai per ottimizzare trasporti</t>
  </si>
  <si>
    <t>** LT Produzione: misura solo la parte interna efficienza fabbrica attese interne organizzazione</t>
  </si>
  <si>
    <t>*** LT End-to-End: è quello che il cliente “vive davvero”</t>
  </si>
  <si>
    <t>JUN Effect</t>
  </si>
  <si>
    <t>MONTH SET'26</t>
  </si>
  <si>
    <t>Les fondamentaux de couture pour les TEAM LEADER</t>
  </si>
  <si>
    <t>Perfectionnement des piqueuses</t>
  </si>
  <si>
    <t>Utilisation,Paramétrage et maintenance  de la machine JACK M9</t>
  </si>
  <si>
    <t>IND →DIR</t>
  </si>
  <si>
    <t>Changement Mat 1712 de taglio Pelle Vers Warehouse</t>
  </si>
  <si>
    <t>Changement Mat 719 de Maintenance Vers TGL Laser + Changement Mat 369 vers Line Leader</t>
  </si>
  <si>
    <t>Changement Mat 1712 de  Warehouse Vers CONF SAFETY3</t>
  </si>
  <si>
    <t>202605</t>
  </si>
  <si>
    <t>202606</t>
  </si>
  <si>
    <t>* Non incluso IPQC-FPLS</t>
  </si>
  <si>
    <t>Total cost (TND) (BCR)</t>
  </si>
  <si>
    <t>Maintenance Cost/h (MCH)</t>
  </si>
  <si>
    <t/>
  </si>
  <si>
    <t>D-AIR RACING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</si>
</sst>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4">
    <numFmt numFmtId="164" formatCode="_-* #,##0.00_-;\-* #,##0.00_-;_-* &quot;-&quot;??_-;_-@_-"/>
    <numFmt numFmtId="165" formatCode="0.0%"/>
    <numFmt numFmtId="166" formatCode="#,##0_ ;[Red]\(#,##0\)\ "/>
    <numFmt numFmtId="167" formatCode="0%;[Red]\(0%\)"/>
    <numFmt numFmtId="168" formatCode="[Red]0%;\(0%\)"/>
    <numFmt numFmtId="169" formatCode="0.0%;[Red]\(0.0%\)"/>
    <numFmt numFmtId="170" formatCode="[Red]0.0%;\(0.0%\)"/>
    <numFmt numFmtId="171" formatCode="[Red]#,##0;\(#,##0\)"/>
    <numFmt numFmtId="172" formatCode="#,##0_ ;[Red]\(#,##0\)"/>
    <numFmt numFmtId="173" formatCode="#,##0.0"/>
    <numFmt numFmtId="174" formatCode="#,##0,"/>
    <numFmt numFmtId="175" formatCode="0.0"/>
    <numFmt numFmtId="176" formatCode="[&gt;9999999]General;#,##0,"/>
    <numFmt numFmtId="177" formatCode="#,##0_ ;\-#,##0\ "/>
    <numFmt numFmtId="178" formatCode="#,##0.0_ ;[Red]\(#,##0.0\)"/>
    <numFmt numFmtId="179" formatCode="0.0_ ;[Red]\-0.0\ "/>
    <numFmt numFmtId="180" formatCode="#,##0.0;[Red]#,##0.0"/>
    <numFmt numFmtId="181" formatCode="#,##0;[Red]\(#,##0\)"/>
    <numFmt numFmtId="182" formatCode="[Red]#,##0;[White]#,##0"/>
    <numFmt numFmtId="183" formatCode="_-* #,##0_-;\-* #,##0_-;_-* &quot;-&quot;??_-;_-@_-"/>
    <numFmt numFmtId="184" formatCode="#,##0.0_ ;[Red]\-#,##0.0\ "/>
    <numFmt numFmtId="185" formatCode="#,##0.0%;\-#,##0.0%;#,##0.0%"/>
    <numFmt numFmtId="186" formatCode="_-* #,##0.0_-;\-* #,##0.0_-;_-* &quot;-&quot;??_-;_-@_-"/>
    <numFmt numFmtId="187" formatCode="#,##0.000"/>
    <numFmt numFmtId="188" formatCode="[Red]#,##0.000;\(#,##0.000\)"/>
    <numFmt numFmtId="189" formatCode="#,##0.0000"/>
    <numFmt numFmtId="190" formatCode="0.000"/>
    <numFmt numFmtId="191" formatCode="[Black]0.0%;[Red]\(0.0%\)"/>
    <numFmt numFmtId="192" formatCode="0.000%"/>
    <numFmt numFmtId="193" formatCode="[&gt;99999999]General;#,##0,"/>
    <numFmt numFmtId="194" formatCode="[Red]#,##0_ ;\(#,##0\)"/>
    <numFmt numFmtId="195" formatCode="[Red]#,##0.0;\(#,##0.0\)"/>
    <numFmt numFmtId="196" formatCode="[Red]#,##0.00;\(#,##0.00\)"/>
    <numFmt numFmtId="197" formatCode="[Red]#,##0;\-#,##0"/>
  </numFmts>
  <fonts count="104">
    <font>
      <sz val="10"/>
      <color theme="1"/>
      <name val="Calibri"/>
      <family val="2"/>
    </font>
    <font>
      <sz val="11"/>
      <color theme="1"/>
      <name val="Calibri"/>
      <family val="2"/>
      <scheme val="minor"/>
    </font>
    <font>
      <sz val="11"/>
      <color theme="1"/>
      <name val="Aptos"/>
      <family val="2"/>
    </font>
    <font>
      <sz val="10"/>
      <color theme="1"/>
      <name val="Calibri"/>
      <family val="2"/>
    </font>
    <font>
      <sz val="11"/>
      <color theme="1"/>
      <name val="Calibri"/>
      <family val="2"/>
      <scheme val="minor"/>
    </font>
    <font>
      <sz val="10"/>
      <name val="Arial"/>
      <family val="2"/>
    </font>
    <font>
      <sz val="8"/>
      <color theme="1"/>
      <name val="Arial"/>
      <family val="2"/>
    </font>
    <font>
      <b/>
      <sz val="11"/>
      <color theme="1"/>
      <name val="Calibri Light"/>
      <family val="2"/>
      <scheme val="major"/>
    </font>
    <font>
      <b/>
      <sz val="16"/>
      <color rgb="FF000000"/>
      <name val="Aptos"/>
      <family val="2"/>
    </font>
    <font>
      <sz val="11"/>
      <color theme="1"/>
      <name val="Aptos"/>
      <family val="2"/>
    </font>
    <font>
      <b/>
      <sz val="11"/>
      <color rgb="FF000000"/>
      <name val="Aptos"/>
      <family val="2"/>
    </font>
    <font>
      <sz val="11"/>
      <color rgb="FF203864"/>
      <name val="Aptos"/>
      <family val="2"/>
    </font>
    <font>
      <sz val="11"/>
      <color rgb="FF000000"/>
      <name val="Aptos"/>
      <family val="2"/>
    </font>
    <font>
      <sz val="11"/>
      <name val="Aptos"/>
      <family val="2"/>
    </font>
    <font>
      <b/>
      <sz val="11"/>
      <name val="Aptos"/>
      <family val="2"/>
    </font>
    <font>
      <b/>
      <sz val="11"/>
      <color theme="1"/>
      <name val="Aptos"/>
      <family val="2"/>
    </font>
    <font>
      <sz val="11"/>
      <color rgb="FFFF0000"/>
      <name val="Aptos"/>
      <family val="2"/>
    </font>
    <font>
      <sz val="10"/>
      <color theme="1"/>
      <name val="Aptos"/>
      <family val="2"/>
    </font>
    <font>
      <b/>
      <sz val="10"/>
      <color theme="1"/>
      <name val="Aptos"/>
      <family val="2"/>
    </font>
    <font>
      <sz val="12"/>
      <color rgb="FF000000"/>
      <name val="Aptos"/>
      <family val="2"/>
    </font>
    <font>
      <b/>
      <sz val="12"/>
      <color rgb="FF000000"/>
      <name val="Aptos"/>
      <family val="2"/>
    </font>
    <font>
      <b/>
      <sz val="11"/>
      <color theme="1" tint="0.499984740745262"/>
      <name val="Aptos"/>
      <family val="2"/>
    </font>
    <font>
      <sz val="11"/>
      <color theme="1" tint="0.499984740745262"/>
      <name val="Aptos"/>
      <family val="2"/>
    </font>
    <font>
      <b/>
      <sz val="14"/>
      <color theme="1"/>
      <name val="Aptos"/>
      <family val="2"/>
    </font>
    <font>
      <sz val="14"/>
      <color theme="1"/>
      <name val="Aptos"/>
      <family val="2"/>
    </font>
    <font>
      <sz val="12"/>
      <color theme="1"/>
      <name val="Aptos"/>
      <family val="2"/>
    </font>
    <font>
      <sz val="12"/>
      <color rgb="FF203864"/>
      <name val="Aptos"/>
      <family val="2"/>
    </font>
    <font>
      <b/>
      <sz val="12"/>
      <color theme="1" tint="0.499984740745262"/>
      <name val="Aptos"/>
      <family val="2"/>
    </font>
    <font>
      <b/>
      <sz val="12"/>
      <name val="Aptos"/>
      <family val="2"/>
    </font>
    <font>
      <b/>
      <sz val="12"/>
      <color theme="2" tint="-0.499984740745262"/>
      <name val="Aptos"/>
      <family val="2"/>
    </font>
    <font>
      <sz val="12"/>
      <color theme="1" tint="0.34998626667073579"/>
      <name val="Aptos"/>
      <family val="2"/>
    </font>
    <font>
      <sz val="12"/>
      <name val="Aptos"/>
      <family val="2"/>
    </font>
    <font>
      <b/>
      <sz val="12"/>
      <color theme="1" tint="0.34998626667073579"/>
      <name val="Aptos"/>
      <family val="2"/>
    </font>
    <font>
      <b/>
      <sz val="12"/>
      <color theme="1"/>
      <name val="Aptos"/>
      <family val="2"/>
    </font>
    <font>
      <sz val="12"/>
      <color theme="1" tint="0.499984740745262"/>
      <name val="Aptos"/>
      <family val="2"/>
    </font>
    <font>
      <b/>
      <sz val="14"/>
      <color rgb="FF000000"/>
      <name val="Aptos"/>
      <family val="2"/>
    </font>
    <font>
      <b/>
      <sz val="16"/>
      <color theme="1"/>
      <name val="Aptos"/>
      <family val="2"/>
    </font>
    <font>
      <sz val="8"/>
      <name val="Calibri"/>
      <family val="2"/>
    </font>
    <font>
      <b/>
      <sz val="12"/>
      <color theme="0"/>
      <name val="Aptos"/>
      <family val="2"/>
    </font>
    <font>
      <sz val="12"/>
      <color theme="0"/>
      <name val="Aptos"/>
      <family val="2"/>
    </font>
    <font>
      <b/>
      <sz val="11"/>
      <color theme="0"/>
      <name val="Aptos"/>
      <family val="2"/>
    </font>
    <font>
      <sz val="11"/>
      <color theme="4"/>
      <name val="Aptos"/>
      <family val="2"/>
    </font>
    <font>
      <sz val="10"/>
      <color rgb="FF595959"/>
      <name val="Arial"/>
      <family val="2"/>
    </font>
    <font>
      <sz val="11"/>
      <color rgb="FF595959"/>
      <name val="Aptos"/>
      <family val="2"/>
    </font>
    <font>
      <b/>
      <sz val="11"/>
      <color rgb="FFFF0000"/>
      <name val="Aptos"/>
      <family val="2"/>
    </font>
    <font>
      <sz val="11"/>
      <color rgb="FF0070C0"/>
      <name val="Aptos"/>
      <family val="2"/>
    </font>
    <font>
      <sz val="9"/>
      <color theme="1" tint="0.499984740745262"/>
      <name val="Aptos"/>
      <family val="2"/>
    </font>
    <font>
      <sz val="11"/>
      <color theme="2" tint="-9.9978637043366805E-2"/>
      <name val="Aptos"/>
      <family val="2"/>
    </font>
    <font>
      <b/>
      <sz val="20"/>
      <color theme="1"/>
      <name val="Aptos"/>
      <family val="2"/>
    </font>
    <font>
      <sz val="11"/>
      <color rgb="FF006600"/>
      <name val="Aptos"/>
      <family val="2"/>
    </font>
    <font>
      <b/>
      <sz val="10"/>
      <color rgb="FF000000"/>
      <name val="Segoe UI"/>
      <family val="2"/>
    </font>
    <font>
      <sz val="8"/>
      <color rgb="FF000000"/>
      <name val="Segoe UI"/>
      <family val="2"/>
    </font>
    <font>
      <b/>
      <sz val="11"/>
      <color indexed="38"/>
      <name val="Arial"/>
      <family val="2"/>
    </font>
    <font>
      <sz val="8"/>
      <name val="Verdana"/>
      <family val="2"/>
    </font>
    <font>
      <b/>
      <sz val="12"/>
      <color theme="0"/>
      <name val="Arial"/>
      <family val="2"/>
    </font>
    <font>
      <sz val="12"/>
      <name val="Arial"/>
      <family val="2"/>
    </font>
    <font>
      <sz val="12"/>
      <color rgb="FF000000"/>
      <name val="Tahoma"/>
      <family val="2"/>
    </font>
    <font>
      <b/>
      <sz val="12"/>
      <color rgb="FF000000"/>
      <name val="Tahoma"/>
      <family val="2"/>
    </font>
    <font>
      <sz val="10"/>
      <color theme="0"/>
      <name val="Aptos"/>
      <family val="2"/>
    </font>
    <font>
      <sz val="10"/>
      <name val="Aptos"/>
      <family val="2"/>
    </font>
    <font>
      <b/>
      <sz val="11"/>
      <color theme="1" tint="0.34998626667073579"/>
      <name val="Aptos"/>
      <family val="2"/>
    </font>
    <font>
      <sz val="11"/>
      <color theme="1" tint="0.34998626667073579"/>
      <name val="Aptos"/>
      <family val="2"/>
    </font>
    <font>
      <sz val="12"/>
      <color rgb="FF000000"/>
      <name val="Avenir Next LT Pro"/>
      <family val="2"/>
    </font>
    <font>
      <b/>
      <sz val="12"/>
      <color rgb="FF000000"/>
      <name val="Avenir Next LT Pro"/>
      <family val="2"/>
    </font>
    <font>
      <sz val="11"/>
      <color rgb="FF9C0006"/>
      <name val="Aptos"/>
      <family val="2"/>
    </font>
    <font>
      <b/>
      <sz val="11"/>
      <color rgb="FFC00000"/>
      <name val="Aptos"/>
      <family val="2"/>
    </font>
    <font>
      <sz val="8"/>
      <color theme="1"/>
      <name val="Segoe UI"/>
      <family val="2"/>
    </font>
    <font>
      <b/>
      <sz val="8"/>
      <color theme="1"/>
      <name val="Segoe UI"/>
      <family val="2"/>
    </font>
    <font>
      <b/>
      <sz val="18"/>
      <color theme="1"/>
      <name val="Segoe UI"/>
      <family val="2"/>
    </font>
    <font>
      <b/>
      <sz val="10"/>
      <color theme="1"/>
      <name val="Segoe UI"/>
      <family val="2"/>
    </font>
    <font>
      <sz val="10"/>
      <color theme="1"/>
      <name val="Segoe UI"/>
      <family val="2"/>
    </font>
    <font>
      <i/>
      <sz val="11"/>
      <color rgb="FF203864"/>
      <name val="Aptos"/>
      <family val="2"/>
    </font>
    <font>
      <i/>
      <sz val="12"/>
      <color rgb="FF203864"/>
      <name val="Aptos"/>
      <family val="2"/>
    </font>
    <font>
      <sz val="12"/>
      <color theme="2" tint="-0.499984740745262"/>
      <name val="Aptos"/>
      <family val="2"/>
    </font>
    <font>
      <sz val="12"/>
      <color theme="2" tint="-0.749992370372631"/>
      <name val="Aptos"/>
      <family val="2"/>
    </font>
    <font>
      <sz val="12"/>
      <color rgb="FFFF0000"/>
      <name val="Aptos"/>
      <family val="2"/>
    </font>
    <font>
      <i/>
      <sz val="12"/>
      <color theme="1"/>
      <name val="Aptos"/>
      <family val="2"/>
    </font>
    <font>
      <b/>
      <i/>
      <sz val="12"/>
      <color rgb="FF000000"/>
      <name val="Aptos"/>
      <family val="2"/>
    </font>
    <font>
      <b/>
      <i/>
      <sz val="12"/>
      <name val="Aptos"/>
      <family val="2"/>
    </font>
    <font>
      <b/>
      <i/>
      <sz val="12"/>
      <color theme="1" tint="0.499984740745262"/>
      <name val="Aptos"/>
      <family val="2"/>
    </font>
    <font>
      <b/>
      <i/>
      <sz val="12"/>
      <color theme="1"/>
      <name val="Aptos"/>
      <family val="2"/>
    </font>
    <font>
      <i/>
      <sz val="12"/>
      <color rgb="FF000000"/>
      <name val="Aptos"/>
      <family val="2"/>
    </font>
    <font>
      <b/>
      <i/>
      <sz val="12"/>
      <color theme="1" tint="0.34998626667073579"/>
      <name val="Aptos"/>
      <family val="2"/>
    </font>
    <font>
      <i/>
      <sz val="12"/>
      <color theme="2" tint="-0.749992370372631"/>
      <name val="Aptos"/>
      <family val="2"/>
    </font>
    <font>
      <b/>
      <sz val="12"/>
      <color theme="2" tint="-0.749992370372631"/>
      <name val="Aptos"/>
      <family val="2"/>
    </font>
    <font>
      <sz val="12"/>
      <color theme="1"/>
      <name val="Calibri"/>
      <family val="2"/>
    </font>
    <font>
      <b/>
      <sz val="12"/>
      <color theme="1"/>
      <name val="Calibri"/>
      <family val="2"/>
    </font>
    <font>
      <b/>
      <sz val="12"/>
      <color rgb="FF0070C0"/>
      <name val="Aptos"/>
      <family val="2"/>
    </font>
    <font>
      <sz val="12"/>
      <color rgb="FF0070C0"/>
      <name val="Aptos"/>
      <family val="2"/>
    </font>
    <font>
      <sz val="12"/>
      <color theme="0" tint="-0.14999847407452621"/>
      <name val="Aptos"/>
      <family val="2"/>
    </font>
    <font>
      <sz val="12"/>
      <color theme="4"/>
      <name val="Aptos"/>
      <family val="2"/>
    </font>
    <font>
      <strike/>
      <sz val="12"/>
      <color theme="1"/>
      <name val="Aptos"/>
      <family val="2"/>
    </font>
    <font>
      <b/>
      <sz val="11"/>
      <color theme="2" tint="-0.499984740745262"/>
      <name val="Aptos"/>
      <family val="2"/>
    </font>
    <font>
      <sz val="11"/>
      <color theme="0" tint="-0.14999847407452621"/>
      <name val="Aptos"/>
      <family val="2"/>
    </font>
    <font>
      <sz val="10"/>
      <color theme="4"/>
      <name val="Aptos"/>
      <family val="2"/>
    </font>
    <font>
      <sz val="10"/>
      <color theme="1" tint="0.499984740745262"/>
      <name val="Aptos"/>
      <family val="2"/>
    </font>
    <font>
      <sz val="10"/>
      <color theme="0" tint="-0.14999847407452621"/>
      <name val="Aptos"/>
      <family val="2"/>
    </font>
    <font>
      <sz val="11"/>
      <color rgb="FF000000"/>
      <name val="Aptos"/>
      <family val="2"/>
    </font>
    <font>
      <b/>
      <sz val="11"/>
      <name val="Aptos"/>
      <family val="2"/>
    </font>
    <font>
      <b/>
      <sz val="11"/>
      <color rgb="FFFF0000"/>
      <name val="Aptos"/>
      <family val="2"/>
    </font>
    <font>
      <b/>
      <sz val="11"/>
      <color theme="1" tint="0.499984740745262"/>
      <name val="Aptos"/>
      <family val="2"/>
    </font>
    <font>
      <b/>
      <sz val="11"/>
      <color rgb="FF000000"/>
      <name val="Aptos"/>
      <family val="2"/>
    </font>
    <font>
      <b/>
      <i/>
      <sz val="12"/>
      <color rgb="FF203864"/>
      <name val="Aptos"/>
      <family val="2"/>
    </font>
    <font>
      <b/>
      <sz val="12"/>
      <color rgb="FFFFFFFF"/>
      <name val="Aptos"/>
      <family val="2"/>
    </font>
  </fonts>
  <fills count="39">
    <fill>
      <patternFill patternType="none"/>
    </fill>
    <fill>
      <patternFill patternType="gray125"/>
    </fill>
    <fill>
      <patternFill patternType="solid">
        <fgColor theme="0" tint="-4.9989318521683403E-2"/>
        <bgColor indexed="64"/>
      </patternFill>
    </fill>
    <fill>
      <patternFill patternType="solid">
        <fgColor theme="4" tint="-0.499984740745262"/>
        <bgColor indexed="64"/>
      </patternFill>
    </fill>
    <fill>
      <patternFill patternType="solid">
        <fgColor theme="0"/>
        <bgColor indexed="64"/>
      </patternFill>
    </fill>
    <fill>
      <patternFill patternType="solid">
        <fgColor theme="2" tint="-9.9978637043366805E-2"/>
        <bgColor indexed="64"/>
      </patternFill>
    </fill>
    <fill>
      <patternFill patternType="lightUp"/>
    </fill>
    <fill>
      <patternFill patternType="lightUp">
        <bgColor theme="7" tint="0.59999389629810485"/>
      </patternFill>
    </fill>
    <fill>
      <patternFill patternType="solid">
        <fgColor theme="0" tint="-0.14999847407452621"/>
        <bgColor indexed="64"/>
      </patternFill>
    </fill>
    <fill>
      <patternFill patternType="solid">
        <fgColor rgb="FFFFCCFF"/>
        <bgColor indexed="64"/>
      </patternFill>
    </fill>
    <fill>
      <patternFill patternType="solid">
        <fgColor theme="1" tint="0.499984740745262"/>
        <bgColor theme="1" tint="0.499984740745262"/>
      </patternFill>
    </fill>
    <fill>
      <patternFill patternType="solid">
        <fgColor theme="2"/>
        <bgColor indexed="64"/>
      </patternFill>
    </fill>
    <fill>
      <patternFill patternType="solid">
        <fgColor rgb="FFFF0000"/>
        <bgColor indexed="64"/>
      </patternFill>
    </fill>
    <fill>
      <patternFill patternType="solid">
        <fgColor rgb="FF00B0F0"/>
        <bgColor indexed="64"/>
      </patternFill>
    </fill>
    <fill>
      <patternFill patternType="solid">
        <fgColor rgb="FF00B050"/>
        <bgColor indexed="64"/>
      </patternFill>
    </fill>
    <fill>
      <patternFill patternType="solid">
        <fgColor rgb="FFFFC000"/>
        <bgColor indexed="64"/>
      </patternFill>
    </fill>
    <fill>
      <patternFill patternType="solid">
        <fgColor rgb="FFFFFFFF"/>
        <bgColor indexed="64"/>
      </patternFill>
    </fill>
    <fill>
      <patternFill patternType="solid">
        <fgColor rgb="FFFAFAFA"/>
        <bgColor indexed="64"/>
      </patternFill>
    </fill>
    <fill>
      <patternFill patternType="solid">
        <fgColor rgb="FFC00000"/>
        <bgColor indexed="64"/>
      </patternFill>
    </fill>
    <fill>
      <patternFill patternType="solid">
        <fgColor rgb="FF0070C0"/>
        <bgColor rgb="FF0070C0"/>
      </patternFill>
    </fill>
    <fill>
      <patternFill patternType="solid">
        <fgColor theme="0"/>
        <bgColor theme="0"/>
      </patternFill>
    </fill>
    <fill>
      <patternFill patternType="solid">
        <fgColor theme="1"/>
        <bgColor theme="1" tint="0.499984740745262"/>
      </patternFill>
    </fill>
    <fill>
      <patternFill patternType="lightUp">
        <bgColor theme="0" tint="-4.9989318521683403E-2"/>
      </patternFill>
    </fill>
    <fill>
      <patternFill patternType="solid">
        <fgColor rgb="FFCCFF33"/>
        <bgColor indexed="64"/>
      </patternFill>
    </fill>
    <fill>
      <patternFill patternType="solid">
        <fgColor rgb="FFF2F2F2"/>
        <bgColor indexed="64"/>
      </patternFill>
    </fill>
    <fill>
      <patternFill patternType="solid">
        <fgColor rgb="FFFFC7CE"/>
      </patternFill>
    </fill>
    <fill>
      <patternFill patternType="solid">
        <fgColor rgb="FFF5F5F5"/>
        <bgColor indexed="64"/>
      </patternFill>
    </fill>
    <fill>
      <patternFill patternType="solid">
        <fgColor theme="0" tint="-0.249977111117893"/>
        <bgColor indexed="64"/>
      </patternFill>
    </fill>
    <fill>
      <patternFill patternType="solid">
        <fgColor rgb="FF00FFCC"/>
        <bgColor indexed="64"/>
      </patternFill>
    </fill>
    <fill>
      <patternFill patternType="solid">
        <fgColor rgb="FFD9D9D9"/>
        <bgColor rgb="FFD9D9D9"/>
      </patternFill>
    </fill>
    <fill>
      <patternFill patternType="solid">
        <fgColor rgb="FFD9D9D9"/>
        <bgColor rgb="FF000000"/>
      </patternFill>
    </fill>
    <fill>
      <patternFill patternType="solid">
        <fgColor rgb="FF99FF33"/>
        <bgColor indexed="64"/>
      </patternFill>
    </fill>
    <fill>
      <patternFill patternType="solid">
        <fgColor rgb="FF808080"/>
        <bgColor rgb="FF808080"/>
      </patternFill>
    </fill>
    <fill>
      <patternFill patternType="solid">
        <fgColor theme="0" tint="-0.14999847407452621"/>
        <bgColor theme="0" tint="-0.14999847407452621"/>
      </patternFill>
    </fill>
    <fill>
      <patternFill patternType="solid">
        <fgColor rgb="FFFFFF00"/>
        <bgColor indexed="64"/>
      </patternFill>
    </fill>
    <fill>
      <patternFill patternType="solid">
        <fgColor theme="5"/>
        <bgColor indexed="64"/>
      </patternFill>
    </fill>
    <fill>
      <patternFill patternType="solid">
        <fgColor rgb="FF66FFFF"/>
        <bgColor indexed="64"/>
      </patternFill>
    </fill>
    <fill>
      <patternFill patternType="solid">
        <fgColor theme="4" tint="0.79998168889431442"/>
        <bgColor indexed="64"/>
      </patternFill>
    </fill>
    <fill>
      <patternFill patternType="solid">
        <fgColor rgb="FF66FF66"/>
        <bgColor indexed="64"/>
      </patternFill>
    </fill>
  </fills>
  <borders count="56">
    <border>
      <left/>
      <right/>
      <top/>
      <bottom/>
      <diagonal/>
    </border>
    <border>
      <left/>
      <right/>
      <top style="thin">
        <color rgb="FFD0CECE"/>
      </top>
      <bottom style="thin">
        <color rgb="FFD0CECE"/>
      </bottom>
      <diagonal/>
    </border>
    <border>
      <left/>
      <right/>
      <top style="thin">
        <color auto="1"/>
      </top>
      <bottom style="thin">
        <color auto="1"/>
      </bottom>
      <diagonal/>
    </border>
    <border>
      <left/>
      <right/>
      <top style="thin">
        <color auto="1"/>
      </top>
      <bottom style="thin">
        <color rgb="FFD0CECE"/>
      </bottom>
      <diagonal/>
    </border>
    <border>
      <left/>
      <right/>
      <top style="thin">
        <color auto="1"/>
      </top>
      <bottom/>
      <diagonal/>
    </border>
    <border>
      <left/>
      <right/>
      <top style="thin">
        <color auto="1"/>
      </top>
      <bottom style="thin">
        <color theme="2" tint="-9.9948118533890809E-2"/>
      </bottom>
      <diagonal/>
    </border>
    <border>
      <left/>
      <right/>
      <top style="thin">
        <color theme="2" tint="-9.9948118533890809E-2"/>
      </top>
      <bottom style="thin">
        <color theme="2" tint="-9.9948118533890809E-2"/>
      </bottom>
      <diagonal/>
    </border>
    <border>
      <left/>
      <right/>
      <top style="thin">
        <color theme="2" tint="-9.9948118533890809E-2"/>
      </top>
      <bottom style="thin">
        <color auto="1"/>
      </bottom>
      <diagonal/>
    </border>
    <border>
      <left/>
      <right/>
      <top/>
      <bottom style="thin">
        <color theme="2" tint="-9.9948118533890809E-2"/>
      </bottom>
      <diagonal/>
    </border>
    <border>
      <left/>
      <right/>
      <top style="thin">
        <color theme="2" tint="-9.9948118533890809E-2"/>
      </top>
      <bottom/>
      <diagonal/>
    </border>
    <border>
      <left/>
      <right/>
      <top/>
      <bottom style="thin">
        <color auto="1"/>
      </bottom>
      <diagonal/>
    </border>
    <border>
      <left/>
      <right/>
      <top/>
      <bottom style="thin">
        <color rgb="FFD0CECE"/>
      </bottom>
      <diagonal/>
    </border>
    <border>
      <left/>
      <right/>
      <top style="thin">
        <color theme="2" tint="-9.9948118533890809E-2"/>
      </top>
      <bottom style="thin">
        <color theme="1"/>
      </bottom>
      <diagonal/>
    </border>
    <border>
      <left/>
      <right/>
      <top style="thin">
        <color theme="2" tint="-9.9948118533890809E-2"/>
      </top>
      <bottom style="thin">
        <color theme="1" tint="0.499984740745262"/>
      </bottom>
      <diagonal/>
    </border>
    <border>
      <left/>
      <right/>
      <top style="thin">
        <color theme="1" tint="0.499984740745262"/>
      </top>
      <bottom style="thin">
        <color theme="2" tint="-9.9948118533890809E-2"/>
      </bottom>
      <diagonal/>
    </border>
    <border>
      <left/>
      <right/>
      <top style="medium">
        <color auto="1"/>
      </top>
      <bottom style="thin">
        <color auto="1"/>
      </bottom>
      <diagonal/>
    </border>
    <border>
      <left/>
      <right/>
      <top style="medium">
        <color auto="1"/>
      </top>
      <bottom style="thin">
        <color theme="2" tint="-9.9948118533890809E-2"/>
      </bottom>
      <diagonal/>
    </border>
    <border>
      <left/>
      <right/>
      <top style="thin">
        <color theme="2" tint="-9.9948118533890809E-2"/>
      </top>
      <bottom style="medium">
        <color auto="1"/>
      </bottom>
      <diagonal/>
    </border>
    <border>
      <left/>
      <right/>
      <top/>
      <bottom style="medium">
        <color auto="1"/>
      </bottom>
      <diagonal/>
    </border>
    <border>
      <left/>
      <right/>
      <top style="thick">
        <color auto="1"/>
      </top>
      <bottom style="thin">
        <color theme="2" tint="-9.9948118533890809E-2"/>
      </bottom>
      <diagonal/>
    </border>
    <border>
      <left/>
      <right/>
      <top style="thin">
        <color theme="2" tint="-9.9917600024414813E-2"/>
      </top>
      <bottom style="thin">
        <color theme="2" tint="-9.9917600024414813E-2"/>
      </bottom>
      <diagonal/>
    </border>
    <border>
      <left/>
      <right/>
      <top style="medium">
        <color auto="1"/>
      </top>
      <bottom/>
      <diagonal/>
    </border>
    <border>
      <left/>
      <right/>
      <top style="medium">
        <color theme="1"/>
      </top>
      <bottom style="thin">
        <color theme="2" tint="-9.9948118533890809E-2"/>
      </bottom>
      <diagonal/>
    </border>
    <border>
      <left/>
      <right/>
      <top style="thin">
        <color theme="1"/>
      </top>
      <bottom style="medium">
        <color theme="1" tint="0.499984740745262"/>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medium">
        <color theme="1" tint="0.499984740745262"/>
      </top>
      <bottom/>
      <diagonal/>
    </border>
    <border>
      <left style="thin">
        <color theme="0" tint="-0.14996795556505021"/>
      </left>
      <right style="thin">
        <color theme="0" tint="-0.14996795556505021"/>
      </right>
      <top style="thin">
        <color theme="0" tint="-0.14999847407452621"/>
      </top>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right/>
      <top style="thin">
        <color theme="1"/>
      </top>
      <bottom/>
      <diagonal/>
    </border>
    <border>
      <left/>
      <right/>
      <top/>
      <bottom style="medium">
        <color theme="1" tint="0.499984740745262"/>
      </bottom>
      <diagonal/>
    </border>
    <border>
      <left/>
      <right/>
      <top style="thin">
        <color auto="1"/>
      </top>
      <bottom style="medium">
        <color theme="1" tint="0.499984740745262"/>
      </bottom>
      <diagonal/>
    </border>
    <border>
      <left/>
      <right/>
      <top style="thin">
        <color theme="4" tint="-0.249977111117893"/>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medium">
        <color rgb="FFE6E6E6"/>
      </left>
      <right style="medium">
        <color rgb="FFE6E6E6"/>
      </right>
      <top style="medium">
        <color rgb="FFE6E6E6"/>
      </top>
      <bottom style="medium">
        <color rgb="FFE6E6E6"/>
      </bottom>
      <diagonal/>
    </border>
    <border>
      <left/>
      <right/>
      <top style="thin">
        <color rgb="FF000000"/>
      </top>
      <bottom style="medium">
        <color rgb="FF808080"/>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s>
  <cellStyleXfs count="16">
    <xf numFmtId="0" fontId="0" fillId="0" borderId="0"/>
    <xf numFmtId="164" fontId="3" fillId="0" borderId="0" applyFont="0" applyFill="0" applyBorder="0" applyAlignment="0" applyProtection="0"/>
    <xf numFmtId="9" fontId="3" fillId="0" borderId="0" applyFont="0" applyFill="0" applyBorder="0" applyAlignment="0" applyProtection="0"/>
    <xf numFmtId="0" fontId="5" fillId="0" borderId="0"/>
    <xf numFmtId="4" fontId="4" fillId="0" borderId="10" applyNumberFormat="0" applyFont="0" applyFill="0" applyAlignment="0"/>
    <xf numFmtId="4" fontId="6" fillId="3" borderId="10" applyNumberFormat="0" applyFill="0" applyBorder="0" applyAlignment="0" applyProtection="0"/>
    <xf numFmtId="3" fontId="4" fillId="3" borderId="10" applyFont="0" applyFill="0" applyBorder="0" applyAlignment="0" applyProtection="0"/>
    <xf numFmtId="9" fontId="5" fillId="0" borderId="0" applyFont="0" applyFill="0" applyBorder="0" applyAlignment="0" applyProtection="0"/>
    <xf numFmtId="174" fontId="7" fillId="4" borderId="0"/>
    <xf numFmtId="0" fontId="4" fillId="0" borderId="0"/>
    <xf numFmtId="0" fontId="4" fillId="0" borderId="0"/>
    <xf numFmtId="0" fontId="3" fillId="0" borderId="0"/>
    <xf numFmtId="9" fontId="3" fillId="0" borderId="0" applyFont="0" applyFill="0" applyBorder="0" applyAlignment="0" applyProtection="0"/>
    <xf numFmtId="9" fontId="4" fillId="0" borderId="0" applyFont="0" applyFill="0" applyBorder="0" applyAlignment="0" applyProtection="0"/>
    <xf numFmtId="0" fontId="64" fillId="25" borderId="0" applyNumberFormat="0" applyBorder="0" applyAlignment="0" applyProtection="0"/>
    <xf numFmtId="0" fontId="1" fillId="0" borderId="0"/>
  </cellStyleXfs>
  <cellXfs count="1288">
    <xf numFmtId="0" fontId="0" fillId="0" borderId="0" xfId="0"/>
    <xf numFmtId="0" fontId="8" fillId="0" borderId="0" xfId="0" applyFont="1"/>
    <xf numFmtId="0" fontId="9" fillId="0" borderId="0" xfId="0" applyFont="1"/>
    <xf numFmtId="0" fontId="11" fillId="0" borderId="0" xfId="0" applyFont="1" applyAlignment="1">
      <alignment vertical="center" readingOrder="1"/>
    </xf>
    <xf numFmtId="0" fontId="10" fillId="0" borderId="0" xfId="0" applyFont="1" applyAlignment="1">
      <alignment horizontal="left" vertical="center" wrapText="1" readingOrder="1"/>
    </xf>
    <xf numFmtId="0" fontId="10" fillId="0" borderId="0" xfId="0" applyFont="1" applyAlignment="1">
      <alignment horizontal="center" vertical="top" wrapText="1" readingOrder="1"/>
    </xf>
    <xf numFmtId="0" fontId="12" fillId="0" borderId="5" xfId="0" applyFont="1" applyBorder="1" applyAlignment="1">
      <alignment horizontal="left" vertical="center" readingOrder="1"/>
    </xf>
    <xf numFmtId="0" fontId="12" fillId="0" borderId="6" xfId="0" applyFont="1" applyBorder="1" applyAlignment="1">
      <alignment horizontal="left" vertical="center" readingOrder="1"/>
    </xf>
    <xf numFmtId="165" fontId="13" fillId="2" borderId="5" xfId="0" applyNumberFormat="1" applyFont="1" applyFill="1" applyBorder="1" applyAlignment="1">
      <alignment horizontal="right" vertical="center" readingOrder="1"/>
    </xf>
    <xf numFmtId="168" fontId="13" fillId="0" borderId="4" xfId="0" applyNumberFormat="1" applyFont="1" applyBorder="1" applyAlignment="1">
      <alignment horizontal="right" vertical="center" wrapText="1" readingOrder="1"/>
    </xf>
    <xf numFmtId="0" fontId="10" fillId="0" borderId="0" xfId="0" applyFont="1" applyAlignment="1">
      <alignment vertical="center" readingOrder="1"/>
    </xf>
    <xf numFmtId="0" fontId="10" fillId="0" borderId="10" xfId="0" applyFont="1" applyBorder="1" applyAlignment="1">
      <alignment horizontal="left" vertical="top" wrapText="1" readingOrder="1"/>
    </xf>
    <xf numFmtId="0" fontId="14" fillId="0" borderId="10" xfId="0" applyFont="1" applyBorder="1" applyAlignment="1">
      <alignment horizontal="center" vertical="top" wrapText="1" readingOrder="1"/>
    </xf>
    <xf numFmtId="0" fontId="10" fillId="0" borderId="10" xfId="0" applyFont="1" applyBorder="1" applyAlignment="1">
      <alignment horizontal="center" vertical="top" wrapText="1" readingOrder="1"/>
    </xf>
    <xf numFmtId="0" fontId="12" fillId="0" borderId="8" xfId="0" applyFont="1" applyBorder="1" applyAlignment="1">
      <alignment horizontal="left" vertical="center" readingOrder="1"/>
    </xf>
    <xf numFmtId="0" fontId="17" fillId="0" borderId="0" xfId="0" applyFont="1"/>
    <xf numFmtId="17" fontId="10" fillId="0" borderId="0" xfId="0" applyNumberFormat="1" applyFont="1" applyAlignment="1">
      <alignment horizontal="center" vertical="top" wrapText="1" readingOrder="1"/>
    </xf>
    <xf numFmtId="165" fontId="13" fillId="2" borderId="6" xfId="0" applyNumberFormat="1" applyFont="1" applyFill="1" applyBorder="1" applyAlignment="1">
      <alignment horizontal="right" vertical="center" readingOrder="1"/>
    </xf>
    <xf numFmtId="17" fontId="10" fillId="5" borderId="0" xfId="0" applyNumberFormat="1" applyFont="1" applyFill="1" applyAlignment="1">
      <alignment horizontal="center" vertical="top" wrapText="1" readingOrder="1"/>
    </xf>
    <xf numFmtId="0" fontId="25" fillId="0" borderId="0" xfId="0" applyFont="1"/>
    <xf numFmtId="0" fontId="20" fillId="0" borderId="0" xfId="0" applyFont="1" applyAlignment="1">
      <alignment vertical="center" wrapText="1" readingOrder="1"/>
    </xf>
    <xf numFmtId="0" fontId="26" fillId="0" borderId="0" xfId="0" applyFont="1" applyAlignment="1">
      <alignment vertical="center" readingOrder="1"/>
    </xf>
    <xf numFmtId="0" fontId="26" fillId="0" borderId="0" xfId="0" applyFont="1" applyAlignment="1">
      <alignment horizontal="left" vertical="center" readingOrder="1"/>
    </xf>
    <xf numFmtId="0" fontId="20" fillId="0" borderId="0" xfId="0" applyFont="1" applyAlignment="1">
      <alignment horizontal="left" vertical="top" wrapText="1" readingOrder="1"/>
    </xf>
    <xf numFmtId="17" fontId="20" fillId="0" borderId="0" xfId="0" applyNumberFormat="1" applyFont="1" applyAlignment="1">
      <alignment horizontal="center" vertical="top" wrapText="1" readingOrder="1"/>
    </xf>
    <xf numFmtId="0" fontId="28" fillId="5" borderId="0" xfId="0" applyFont="1" applyFill="1" applyAlignment="1">
      <alignment horizontal="center" vertical="top" wrapText="1" readingOrder="1"/>
    </xf>
    <xf numFmtId="0" fontId="20" fillId="5" borderId="0" xfId="0" applyFont="1" applyFill="1" applyAlignment="1">
      <alignment horizontal="center" vertical="top" wrapText="1" readingOrder="1"/>
    </xf>
    <xf numFmtId="0" fontId="20" fillId="0" borderId="0" xfId="0" applyFont="1" applyAlignment="1">
      <alignment horizontal="center" vertical="top" wrapText="1" readingOrder="1"/>
    </xf>
    <xf numFmtId="1" fontId="29" fillId="0" borderId="0" xfId="0" applyNumberFormat="1" applyFont="1" applyAlignment="1">
      <alignment horizontal="right" vertical="center" wrapText="1" readingOrder="1"/>
    </xf>
    <xf numFmtId="0" fontId="19" fillId="0" borderId="3" xfId="0" applyFont="1" applyBorder="1" applyAlignment="1">
      <alignment horizontal="left" vertical="center" wrapText="1" readingOrder="1"/>
    </xf>
    <xf numFmtId="9" fontId="30" fillId="0" borderId="4" xfId="0" applyNumberFormat="1" applyFont="1" applyBorder="1" applyAlignment="1">
      <alignment horizontal="right" vertical="center" wrapText="1" readingOrder="1"/>
    </xf>
    <xf numFmtId="9" fontId="30" fillId="2" borderId="4" xfId="0" applyNumberFormat="1" applyFont="1" applyFill="1" applyBorder="1" applyAlignment="1">
      <alignment horizontal="right" vertical="center" wrapText="1" readingOrder="1"/>
    </xf>
    <xf numFmtId="9" fontId="19" fillId="0" borderId="4" xfId="0" applyNumberFormat="1" applyFont="1" applyBorder="1" applyAlignment="1">
      <alignment horizontal="right" vertical="center" wrapText="1" readingOrder="1"/>
    </xf>
    <xf numFmtId="167" fontId="31" fillId="0" borderId="4" xfId="2" applyNumberFormat="1" applyFont="1" applyBorder="1" applyAlignment="1">
      <alignment horizontal="right" vertical="center" wrapText="1" readingOrder="1"/>
    </xf>
    <xf numFmtId="0" fontId="19" fillId="0" borderId="11" xfId="0" applyFont="1" applyBorder="1" applyAlignment="1">
      <alignment horizontal="left" vertical="center" wrapText="1" readingOrder="1"/>
    </xf>
    <xf numFmtId="1" fontId="30" fillId="0" borderId="6" xfId="0" applyNumberFormat="1" applyFont="1" applyBorder="1" applyAlignment="1">
      <alignment horizontal="right" vertical="center" wrapText="1" readingOrder="1"/>
    </xf>
    <xf numFmtId="9" fontId="19" fillId="0" borderId="6" xfId="0" applyNumberFormat="1" applyFont="1" applyBorder="1" applyAlignment="1">
      <alignment horizontal="right" vertical="center" wrapText="1" readingOrder="1"/>
    </xf>
    <xf numFmtId="167" fontId="31" fillId="0" borderId="6" xfId="2" applyNumberFormat="1" applyFont="1" applyBorder="1" applyAlignment="1">
      <alignment horizontal="right" vertical="center" wrapText="1" readingOrder="1"/>
    </xf>
    <xf numFmtId="1" fontId="30" fillId="0" borderId="9" xfId="0" applyNumberFormat="1" applyFont="1" applyBorder="1" applyAlignment="1">
      <alignment horizontal="right" vertical="center" wrapText="1" readingOrder="1"/>
    </xf>
    <xf numFmtId="171" fontId="31" fillId="0" borderId="9" xfId="0" applyNumberFormat="1" applyFont="1" applyBorder="1" applyAlignment="1">
      <alignment horizontal="right" vertical="center" readingOrder="1"/>
    </xf>
    <xf numFmtId="9" fontId="30" fillId="0" borderId="5" xfId="0" applyNumberFormat="1" applyFont="1" applyBorder="1" applyAlignment="1">
      <alignment horizontal="right" vertical="center" wrapText="1" readingOrder="1"/>
    </xf>
    <xf numFmtId="9" fontId="30" fillId="2" borderId="5" xfId="0" applyNumberFormat="1" applyFont="1" applyFill="1" applyBorder="1" applyAlignment="1">
      <alignment horizontal="right" vertical="center" wrapText="1" readingOrder="1"/>
    </xf>
    <xf numFmtId="9" fontId="19" fillId="0" borderId="5" xfId="0" applyNumberFormat="1" applyFont="1" applyBorder="1" applyAlignment="1">
      <alignment horizontal="right" vertical="center" wrapText="1" readingOrder="1"/>
    </xf>
    <xf numFmtId="167" fontId="31" fillId="0" borderId="5" xfId="2" applyNumberFormat="1" applyFont="1" applyBorder="1" applyAlignment="1">
      <alignment horizontal="right" vertical="center" wrapText="1" readingOrder="1"/>
    </xf>
    <xf numFmtId="1" fontId="30" fillId="0" borderId="7" xfId="0" applyNumberFormat="1" applyFont="1" applyBorder="1" applyAlignment="1">
      <alignment horizontal="right" vertical="center" wrapText="1" readingOrder="1"/>
    </xf>
    <xf numFmtId="9" fontId="30" fillId="0" borderId="8" xfId="0" applyNumberFormat="1" applyFont="1" applyBorder="1" applyAlignment="1">
      <alignment horizontal="right" vertical="center" wrapText="1" readingOrder="1"/>
    </xf>
    <xf numFmtId="9" fontId="30" fillId="2" borderId="8" xfId="0" applyNumberFormat="1" applyFont="1" applyFill="1" applyBorder="1" applyAlignment="1">
      <alignment horizontal="right" vertical="center" wrapText="1" readingOrder="1"/>
    </xf>
    <xf numFmtId="167" fontId="31" fillId="0" borderId="8" xfId="2" applyNumberFormat="1" applyFont="1" applyBorder="1" applyAlignment="1">
      <alignment horizontal="right" vertical="center" wrapText="1" readingOrder="1"/>
    </xf>
    <xf numFmtId="0" fontId="20" fillId="0" borderId="6" xfId="0" applyFont="1" applyBorder="1" applyAlignment="1">
      <alignment vertical="center" wrapText="1" readingOrder="1"/>
    </xf>
    <xf numFmtId="0" fontId="20" fillId="0" borderId="6" xfId="0" applyFont="1" applyBorder="1" applyAlignment="1">
      <alignment horizontal="left" vertical="center" wrapText="1" readingOrder="1"/>
    </xf>
    <xf numFmtId="167" fontId="28" fillId="0" borderId="6" xfId="2" applyNumberFormat="1" applyFont="1" applyBorder="1" applyAlignment="1">
      <alignment horizontal="right" vertical="center" wrapText="1" readingOrder="1"/>
    </xf>
    <xf numFmtId="0" fontId="33" fillId="0" borderId="0" xfId="0" applyFont="1"/>
    <xf numFmtId="3" fontId="20" fillId="0" borderId="0" xfId="0" applyNumberFormat="1" applyFont="1" applyAlignment="1">
      <alignment horizontal="right" vertical="center" wrapText="1" readingOrder="1"/>
    </xf>
    <xf numFmtId="0" fontId="31" fillId="0" borderId="0" xfId="0" applyFont="1" applyAlignment="1">
      <alignment horizontal="right" vertical="center" wrapText="1"/>
    </xf>
    <xf numFmtId="3" fontId="19" fillId="0" borderId="0" xfId="0" applyNumberFormat="1" applyFont="1" applyAlignment="1">
      <alignment horizontal="right" vertical="center" wrapText="1" readingOrder="1"/>
    </xf>
    <xf numFmtId="171" fontId="31" fillId="0" borderId="0" xfId="0" applyNumberFormat="1" applyFont="1" applyAlignment="1">
      <alignment horizontal="right" vertical="center" readingOrder="1"/>
    </xf>
    <xf numFmtId="0" fontId="20" fillId="0" borderId="0" xfId="0" applyFont="1" applyAlignment="1">
      <alignment horizontal="left" vertical="center" wrapText="1" readingOrder="1"/>
    </xf>
    <xf numFmtId="0" fontId="31" fillId="0" borderId="0" xfId="0" applyFont="1" applyAlignment="1">
      <alignment vertical="top" wrapText="1"/>
    </xf>
    <xf numFmtId="0" fontId="26" fillId="0" borderId="0" xfId="0" applyFont="1" applyAlignment="1">
      <alignment horizontal="left" vertical="center" wrapText="1" readingOrder="1"/>
    </xf>
    <xf numFmtId="0" fontId="31" fillId="0" borderId="0" xfId="0" applyFont="1" applyAlignment="1">
      <alignment horizontal="center" vertical="top" readingOrder="1"/>
    </xf>
    <xf numFmtId="3" fontId="19" fillId="0" borderId="3" xfId="0" applyNumberFormat="1" applyFont="1" applyBorder="1" applyAlignment="1">
      <alignment horizontal="right" vertical="center" wrapText="1" readingOrder="1"/>
    </xf>
    <xf numFmtId="3" fontId="19" fillId="2" borderId="3" xfId="0" applyNumberFormat="1" applyFont="1" applyFill="1" applyBorder="1" applyAlignment="1">
      <alignment horizontal="right" vertical="center" wrapText="1" readingOrder="1"/>
    </xf>
    <xf numFmtId="3" fontId="31" fillId="0" borderId="3" xfId="0" applyNumberFormat="1" applyFont="1" applyBorder="1" applyAlignment="1">
      <alignment horizontal="right" vertical="center" wrapText="1" readingOrder="1"/>
    </xf>
    <xf numFmtId="172" fontId="31" fillId="0" borderId="3" xfId="1" applyNumberFormat="1" applyFont="1" applyBorder="1" applyAlignment="1">
      <alignment horizontal="right" vertical="center" wrapText="1" readingOrder="1"/>
    </xf>
    <xf numFmtId="167" fontId="31" fillId="0" borderId="3" xfId="2" applyNumberFormat="1" applyFont="1" applyBorder="1" applyAlignment="1">
      <alignment horizontal="right" vertical="center" wrapText="1" readingOrder="1"/>
    </xf>
    <xf numFmtId="167" fontId="31" fillId="0" borderId="3" xfId="0" applyNumberFormat="1" applyFont="1" applyBorder="1" applyAlignment="1">
      <alignment horizontal="right" vertical="center" wrapText="1" readingOrder="1"/>
    </xf>
    <xf numFmtId="0" fontId="19" fillId="0" borderId="1" xfId="0" applyFont="1" applyBorder="1" applyAlignment="1">
      <alignment horizontal="left" vertical="center" wrapText="1" readingOrder="1"/>
    </xf>
    <xf numFmtId="3" fontId="19" fillId="0" borderId="1" xfId="0" applyNumberFormat="1" applyFont="1" applyBorder="1" applyAlignment="1">
      <alignment horizontal="right" vertical="center" wrapText="1" readingOrder="1"/>
    </xf>
    <xf numFmtId="3" fontId="19" fillId="2" borderId="1" xfId="0" applyNumberFormat="1" applyFont="1" applyFill="1" applyBorder="1" applyAlignment="1">
      <alignment horizontal="right" vertical="center" wrapText="1" readingOrder="1"/>
    </xf>
    <xf numFmtId="3" fontId="31" fillId="0" borderId="1" xfId="0" applyNumberFormat="1" applyFont="1" applyBorder="1" applyAlignment="1">
      <alignment horizontal="right" vertical="center" wrapText="1" readingOrder="1"/>
    </xf>
    <xf numFmtId="172" fontId="31" fillId="0" borderId="1" xfId="1" applyNumberFormat="1" applyFont="1" applyBorder="1" applyAlignment="1">
      <alignment horizontal="right" vertical="center" wrapText="1" readingOrder="1"/>
    </xf>
    <xf numFmtId="167" fontId="31" fillId="0" borderId="1" xfId="2" applyNumberFormat="1" applyFont="1" applyBorder="1" applyAlignment="1">
      <alignment horizontal="right" vertical="center" wrapText="1" readingOrder="1"/>
    </xf>
    <xf numFmtId="167" fontId="31" fillId="0" borderId="1" xfId="0" applyNumberFormat="1" applyFont="1" applyBorder="1" applyAlignment="1">
      <alignment horizontal="right" vertical="center" wrapText="1" readingOrder="1"/>
    </xf>
    <xf numFmtId="3" fontId="29" fillId="0" borderId="0" xfId="0" applyNumberFormat="1" applyFont="1" applyAlignment="1">
      <alignment horizontal="right" vertical="center" wrapText="1" readingOrder="1"/>
    </xf>
    <xf numFmtId="0" fontId="28" fillId="0" borderId="0" xfId="0" applyFont="1" applyAlignment="1">
      <alignment horizontal="right" vertical="center" wrapText="1"/>
    </xf>
    <xf numFmtId="3" fontId="31" fillId="0" borderId="0" xfId="0" applyNumberFormat="1" applyFont="1" applyAlignment="1">
      <alignment horizontal="right" vertical="center" wrapText="1" readingOrder="1"/>
    </xf>
    <xf numFmtId="172" fontId="28" fillId="0" borderId="0" xfId="1" applyNumberFormat="1" applyFont="1" applyFill="1" applyBorder="1" applyAlignment="1">
      <alignment horizontal="right" vertical="center" wrapText="1" readingOrder="1"/>
    </xf>
    <xf numFmtId="9" fontId="20" fillId="0" borderId="0" xfId="0" applyNumberFormat="1" applyFont="1" applyAlignment="1">
      <alignment horizontal="right" vertical="center" wrapText="1" readingOrder="1"/>
    </xf>
    <xf numFmtId="0" fontId="25" fillId="0" borderId="5" xfId="0" applyFont="1" applyBorder="1"/>
    <xf numFmtId="165" fontId="31" fillId="0" borderId="5" xfId="0" applyNumberFormat="1" applyFont="1" applyBorder="1" applyAlignment="1">
      <alignment horizontal="right" vertical="center" wrapText="1" readingOrder="1"/>
    </xf>
    <xf numFmtId="170" fontId="31" fillId="0" borderId="5" xfId="2" applyNumberFormat="1" applyFont="1" applyBorder="1" applyAlignment="1">
      <alignment horizontal="right" vertical="center" wrapText="1" readingOrder="1"/>
    </xf>
    <xf numFmtId="168" fontId="31" fillId="0" borderId="5" xfId="0" applyNumberFormat="1" applyFont="1" applyBorder="1" applyAlignment="1">
      <alignment horizontal="right" vertical="center" wrapText="1" readingOrder="1"/>
    </xf>
    <xf numFmtId="0" fontId="25" fillId="0" borderId="6" xfId="0" applyFont="1" applyBorder="1"/>
    <xf numFmtId="165" fontId="31" fillId="0" borderId="6" xfId="0" applyNumberFormat="1" applyFont="1" applyBorder="1" applyAlignment="1">
      <alignment horizontal="right" vertical="center" wrapText="1" readingOrder="1"/>
    </xf>
    <xf numFmtId="170" fontId="31" fillId="0" borderId="6" xfId="2" applyNumberFormat="1" applyFont="1" applyBorder="1" applyAlignment="1">
      <alignment horizontal="right" vertical="center" wrapText="1" readingOrder="1"/>
    </xf>
    <xf numFmtId="168" fontId="31" fillId="0" borderId="6" xfId="0" applyNumberFormat="1" applyFont="1" applyBorder="1" applyAlignment="1">
      <alignment horizontal="right" vertical="center" wrapText="1" readingOrder="1"/>
    </xf>
    <xf numFmtId="0" fontId="33" fillId="0" borderId="6" xfId="0" applyFont="1" applyBorder="1"/>
    <xf numFmtId="0" fontId="33" fillId="0" borderId="7" xfId="0" applyFont="1" applyBorder="1"/>
    <xf numFmtId="165" fontId="31" fillId="0" borderId="7" xfId="0" applyNumberFormat="1" applyFont="1" applyBorder="1" applyAlignment="1">
      <alignment horizontal="right" vertical="center" wrapText="1" readingOrder="1"/>
    </xf>
    <xf numFmtId="170" fontId="28" fillId="0" borderId="7" xfId="2" applyNumberFormat="1" applyFont="1" applyBorder="1" applyAlignment="1">
      <alignment horizontal="right" vertical="center" wrapText="1" readingOrder="1"/>
    </xf>
    <xf numFmtId="0" fontId="25" fillId="0" borderId="8" xfId="0" applyFont="1" applyBorder="1"/>
    <xf numFmtId="170" fontId="31" fillId="0" borderId="8" xfId="2" applyNumberFormat="1" applyFont="1" applyBorder="1" applyAlignment="1">
      <alignment horizontal="right" vertical="center" wrapText="1" readingOrder="1"/>
    </xf>
    <xf numFmtId="0" fontId="33" fillId="0" borderId="9" xfId="0" applyFont="1" applyBorder="1"/>
    <xf numFmtId="170" fontId="31" fillId="0" borderId="9" xfId="2" applyNumberFormat="1" applyFont="1" applyBorder="1" applyAlignment="1">
      <alignment horizontal="right" vertical="center" wrapText="1" readingOrder="1"/>
    </xf>
    <xf numFmtId="0" fontId="25" fillId="0" borderId="9" xfId="0" applyFont="1" applyBorder="1"/>
    <xf numFmtId="170" fontId="31" fillId="0" borderId="7" xfId="2" applyNumberFormat="1" applyFont="1" applyBorder="1" applyAlignment="1">
      <alignment horizontal="right" vertical="center" wrapText="1" readingOrder="1"/>
    </xf>
    <xf numFmtId="0" fontId="25" fillId="0" borderId="7" xfId="0" applyFont="1" applyBorder="1"/>
    <xf numFmtId="170" fontId="31" fillId="0" borderId="6" xfId="0" applyNumberFormat="1" applyFont="1" applyBorder="1" applyAlignment="1">
      <alignment horizontal="right" vertical="center" readingOrder="1"/>
    </xf>
    <xf numFmtId="3" fontId="34" fillId="0" borderId="1" xfId="0" applyNumberFormat="1" applyFont="1" applyBorder="1" applyAlignment="1">
      <alignment horizontal="right" vertical="center" wrapText="1" readingOrder="1"/>
    </xf>
    <xf numFmtId="9" fontId="34" fillId="2" borderId="3" xfId="2" applyFont="1" applyFill="1" applyBorder="1" applyAlignment="1">
      <alignment horizontal="right" vertical="center" wrapText="1" readingOrder="1"/>
    </xf>
    <xf numFmtId="9" fontId="34" fillId="2" borderId="1" xfId="2" applyFont="1" applyFill="1" applyBorder="1" applyAlignment="1">
      <alignment horizontal="right" vertical="center" wrapText="1" readingOrder="1"/>
    </xf>
    <xf numFmtId="0" fontId="20" fillId="0" borderId="0" xfId="0" quotePrefix="1" applyFont="1" applyAlignment="1">
      <alignment horizontal="center" vertical="top" wrapText="1" readingOrder="1"/>
    </xf>
    <xf numFmtId="0" fontId="11" fillId="0" borderId="0" xfId="0" applyFont="1" applyAlignment="1">
      <alignment horizontal="left" vertical="center" wrapText="1" readingOrder="1"/>
    </xf>
    <xf numFmtId="3" fontId="34" fillId="0" borderId="5" xfId="0" applyNumberFormat="1" applyFont="1" applyBorder="1" applyAlignment="1">
      <alignment horizontal="right" vertical="center" wrapText="1" readingOrder="1"/>
    </xf>
    <xf numFmtId="3" fontId="34" fillId="0" borderId="6" xfId="0" applyNumberFormat="1" applyFont="1" applyBorder="1" applyAlignment="1">
      <alignment horizontal="right" vertical="center" wrapText="1" readingOrder="1"/>
    </xf>
    <xf numFmtId="3" fontId="34" fillId="0" borderId="7" xfId="0" applyNumberFormat="1" applyFont="1" applyBorder="1" applyAlignment="1">
      <alignment horizontal="right" vertical="center" wrapText="1" readingOrder="1"/>
    </xf>
    <xf numFmtId="3" fontId="34" fillId="0" borderId="8" xfId="0" applyNumberFormat="1" applyFont="1" applyBorder="1" applyAlignment="1">
      <alignment horizontal="right" vertical="center" wrapText="1" readingOrder="1"/>
    </xf>
    <xf numFmtId="3" fontId="34" fillId="0" borderId="9" xfId="0" applyNumberFormat="1" applyFont="1" applyBorder="1" applyAlignment="1">
      <alignment horizontal="right" vertical="center" wrapText="1" readingOrder="1"/>
    </xf>
    <xf numFmtId="3" fontId="27" fillId="0" borderId="6" xfId="0" applyNumberFormat="1" applyFont="1" applyBorder="1" applyAlignment="1">
      <alignment horizontal="right" vertical="center" wrapText="1" readingOrder="1"/>
    </xf>
    <xf numFmtId="165" fontId="27" fillId="0" borderId="6" xfId="2" applyNumberFormat="1" applyFont="1" applyFill="1" applyBorder="1" applyAlignment="1">
      <alignment horizontal="right" vertical="center" wrapText="1" readingOrder="1"/>
    </xf>
    <xf numFmtId="3" fontId="27" fillId="0" borderId="7" xfId="0" applyNumberFormat="1" applyFont="1" applyBorder="1" applyAlignment="1">
      <alignment horizontal="right" vertical="center" wrapText="1" readingOrder="1"/>
    </xf>
    <xf numFmtId="3" fontId="31" fillId="2" borderId="5" xfId="0" applyNumberFormat="1" applyFont="1" applyFill="1" applyBorder="1" applyAlignment="1">
      <alignment horizontal="right" vertical="center" wrapText="1" readingOrder="1"/>
    </xf>
    <xf numFmtId="3" fontId="31" fillId="2" borderId="6" xfId="0" applyNumberFormat="1" applyFont="1" applyFill="1" applyBorder="1" applyAlignment="1">
      <alignment horizontal="right" vertical="center" wrapText="1" readingOrder="1"/>
    </xf>
    <xf numFmtId="165" fontId="31" fillId="2" borderId="6" xfId="2" applyNumberFormat="1" applyFont="1" applyFill="1" applyBorder="1" applyAlignment="1">
      <alignment horizontal="right" vertical="center" wrapText="1" readingOrder="1"/>
    </xf>
    <xf numFmtId="3" fontId="31" fillId="2" borderId="7" xfId="0" applyNumberFormat="1" applyFont="1" applyFill="1" applyBorder="1" applyAlignment="1">
      <alignment horizontal="right" vertical="center" wrapText="1" readingOrder="1"/>
    </xf>
    <xf numFmtId="3" fontId="31" fillId="2" borderId="8" xfId="0" applyNumberFormat="1" applyFont="1" applyFill="1" applyBorder="1" applyAlignment="1">
      <alignment horizontal="right" vertical="center" wrapText="1" readingOrder="1"/>
    </xf>
    <xf numFmtId="3" fontId="31" fillId="2" borderId="9" xfId="0" applyNumberFormat="1" applyFont="1" applyFill="1" applyBorder="1" applyAlignment="1">
      <alignment horizontal="right" vertical="center" wrapText="1" readingOrder="1"/>
    </xf>
    <xf numFmtId="1" fontId="31" fillId="2" borderId="6" xfId="0" applyNumberFormat="1" applyFont="1" applyFill="1" applyBorder="1" applyAlignment="1">
      <alignment horizontal="right" vertical="center" wrapText="1" readingOrder="1"/>
    </xf>
    <xf numFmtId="1" fontId="31" fillId="2" borderId="9" xfId="0" applyNumberFormat="1" applyFont="1" applyFill="1" applyBorder="1" applyAlignment="1">
      <alignment horizontal="right" vertical="center" wrapText="1" readingOrder="1"/>
    </xf>
    <xf numFmtId="1" fontId="30" fillId="2" borderId="6" xfId="0" applyNumberFormat="1" applyFont="1" applyFill="1" applyBorder="1" applyAlignment="1">
      <alignment horizontal="right" vertical="center" wrapText="1" readingOrder="1"/>
    </xf>
    <xf numFmtId="1" fontId="30" fillId="2" borderId="9" xfId="0" applyNumberFormat="1" applyFont="1" applyFill="1" applyBorder="1" applyAlignment="1">
      <alignment horizontal="right" vertical="center" wrapText="1" readingOrder="1"/>
    </xf>
    <xf numFmtId="1" fontId="30" fillId="2" borderId="7" xfId="0" applyNumberFormat="1" applyFont="1" applyFill="1" applyBorder="1" applyAlignment="1">
      <alignment horizontal="right" vertical="center" wrapText="1" readingOrder="1"/>
    </xf>
    <xf numFmtId="0" fontId="12" fillId="0" borderId="9" xfId="0" applyFont="1" applyBorder="1" applyAlignment="1">
      <alignment horizontal="left" vertical="center" readingOrder="1"/>
    </xf>
    <xf numFmtId="170" fontId="12" fillId="0" borderId="9" xfId="0" applyNumberFormat="1" applyFont="1" applyBorder="1" applyAlignment="1">
      <alignment horizontal="right" vertical="center" readingOrder="1"/>
    </xf>
    <xf numFmtId="0" fontId="10" fillId="0" borderId="15" xfId="0" applyFont="1" applyBorder="1" applyAlignment="1">
      <alignment horizontal="left" vertical="center" readingOrder="1"/>
    </xf>
    <xf numFmtId="3" fontId="14" fillId="0" borderId="15" xfId="0" applyNumberFormat="1" applyFont="1" applyBorder="1" applyAlignment="1">
      <alignment horizontal="right" vertical="center" wrapText="1" readingOrder="1"/>
    </xf>
    <xf numFmtId="3" fontId="14" fillId="0" borderId="15" xfId="0" applyNumberFormat="1" applyFont="1" applyBorder="1" applyAlignment="1">
      <alignment horizontal="right" vertical="center"/>
    </xf>
    <xf numFmtId="165" fontId="10" fillId="0" borderId="15" xfId="0" applyNumberFormat="1" applyFont="1" applyBorder="1" applyAlignment="1">
      <alignment horizontal="right" vertical="center" readingOrder="1"/>
    </xf>
    <xf numFmtId="170" fontId="10" fillId="0" borderId="15" xfId="0" applyNumberFormat="1" applyFont="1" applyBorder="1" applyAlignment="1">
      <alignment horizontal="right" vertical="center" readingOrder="1"/>
    </xf>
    <xf numFmtId="3" fontId="13" fillId="0" borderId="8" xfId="0" applyNumberFormat="1" applyFont="1" applyBorder="1" applyAlignment="1">
      <alignment horizontal="right" vertical="center"/>
    </xf>
    <xf numFmtId="165" fontId="12" fillId="0" borderId="8" xfId="0" applyNumberFormat="1" applyFont="1" applyBorder="1" applyAlignment="1">
      <alignment horizontal="right" vertical="center" readingOrder="1"/>
    </xf>
    <xf numFmtId="0" fontId="10" fillId="5" borderId="10" xfId="0" applyFont="1" applyFill="1" applyBorder="1" applyAlignment="1">
      <alignment horizontal="center" vertical="top" wrapText="1" readingOrder="1"/>
    </xf>
    <xf numFmtId="0" fontId="14" fillId="5" borderId="10" xfId="0" applyFont="1" applyFill="1" applyBorder="1" applyAlignment="1">
      <alignment horizontal="center" vertical="top" wrapText="1" readingOrder="1"/>
    </xf>
    <xf numFmtId="0" fontId="12" fillId="0" borderId="10" xfId="0" applyFont="1" applyBorder="1" applyAlignment="1">
      <alignment horizontal="center" vertical="top" wrapText="1" readingOrder="1"/>
    </xf>
    <xf numFmtId="165" fontId="13" fillId="2" borderId="8" xfId="0" applyNumberFormat="1" applyFont="1" applyFill="1" applyBorder="1" applyAlignment="1">
      <alignment horizontal="right" vertical="center" readingOrder="1"/>
    </xf>
    <xf numFmtId="165" fontId="13" fillId="2" borderId="9" xfId="0" applyNumberFormat="1" applyFont="1" applyFill="1" applyBorder="1" applyAlignment="1">
      <alignment horizontal="right" vertical="center" readingOrder="1"/>
    </xf>
    <xf numFmtId="165" fontId="22" fillId="2" borderId="8" xfId="0" applyNumberFormat="1" applyFont="1" applyFill="1" applyBorder="1" applyAlignment="1">
      <alignment horizontal="right" vertical="center" readingOrder="1"/>
    </xf>
    <xf numFmtId="168" fontId="14" fillId="0" borderId="15" xfId="0" applyNumberFormat="1" applyFont="1" applyBorder="1" applyAlignment="1">
      <alignment horizontal="right" vertical="center" wrapText="1" readingOrder="1"/>
    </xf>
    <xf numFmtId="0" fontId="31" fillId="6" borderId="0" xfId="0" applyFont="1" applyFill="1" applyAlignment="1">
      <alignment horizontal="center" vertical="top" wrapText="1" readingOrder="1"/>
    </xf>
    <xf numFmtId="0" fontId="20" fillId="7" borderId="0" xfId="0" applyFont="1" applyFill="1" applyAlignment="1">
      <alignment horizontal="center" vertical="top" wrapText="1" readingOrder="1"/>
    </xf>
    <xf numFmtId="0" fontId="20" fillId="6" borderId="0" xfId="0" applyFont="1" applyFill="1" applyAlignment="1">
      <alignment horizontal="center" vertical="top" wrapText="1" readingOrder="1"/>
    </xf>
    <xf numFmtId="3" fontId="31" fillId="6" borderId="3" xfId="0" applyNumberFormat="1" applyFont="1" applyFill="1" applyBorder="1" applyAlignment="1">
      <alignment horizontal="right" vertical="center" wrapText="1" readingOrder="1"/>
    </xf>
    <xf numFmtId="166" fontId="31" fillId="6" borderId="3" xfId="1" applyNumberFormat="1" applyFont="1" applyFill="1" applyBorder="1" applyAlignment="1">
      <alignment horizontal="right" vertical="center" wrapText="1" readingOrder="1"/>
    </xf>
    <xf numFmtId="9" fontId="31" fillId="6" borderId="3" xfId="2" applyFont="1" applyFill="1" applyBorder="1" applyAlignment="1">
      <alignment horizontal="right" vertical="center" wrapText="1" readingOrder="1"/>
    </xf>
    <xf numFmtId="167" fontId="31" fillId="6" borderId="3" xfId="2" applyNumberFormat="1" applyFont="1" applyFill="1" applyBorder="1" applyAlignment="1">
      <alignment horizontal="right" vertical="center" wrapText="1" readingOrder="1"/>
    </xf>
    <xf numFmtId="3" fontId="31" fillId="6" borderId="1" xfId="0" applyNumberFormat="1" applyFont="1" applyFill="1" applyBorder="1" applyAlignment="1">
      <alignment horizontal="right" vertical="center" wrapText="1" readingOrder="1"/>
    </xf>
    <xf numFmtId="166" fontId="31" fillId="6" borderId="1" xfId="1" applyNumberFormat="1" applyFont="1" applyFill="1" applyBorder="1" applyAlignment="1">
      <alignment horizontal="right" vertical="center" wrapText="1" readingOrder="1"/>
    </xf>
    <xf numFmtId="9" fontId="31" fillId="6" borderId="1" xfId="2" applyFont="1" applyFill="1" applyBorder="1" applyAlignment="1">
      <alignment horizontal="right" vertical="center" wrapText="1" readingOrder="1"/>
    </xf>
    <xf numFmtId="167" fontId="31" fillId="6" borderId="1" xfId="2" applyNumberFormat="1" applyFont="1" applyFill="1" applyBorder="1" applyAlignment="1">
      <alignment horizontal="right" vertical="center" wrapText="1" readingOrder="1"/>
    </xf>
    <xf numFmtId="0" fontId="12" fillId="0" borderId="0" xfId="0" applyFont="1" applyAlignment="1">
      <alignment horizontal="left" vertical="center" readingOrder="1"/>
    </xf>
    <xf numFmtId="170" fontId="13" fillId="0" borderId="0" xfId="2" applyNumberFormat="1" applyFont="1" applyBorder="1" applyAlignment="1">
      <alignment horizontal="right" vertical="center" wrapText="1" readingOrder="1"/>
    </xf>
    <xf numFmtId="0" fontId="10" fillId="2" borderId="10" xfId="0" applyFont="1" applyFill="1" applyBorder="1" applyAlignment="1">
      <alignment horizontal="center" vertical="top" wrapText="1" readingOrder="1"/>
    </xf>
    <xf numFmtId="167" fontId="28" fillId="0" borderId="21" xfId="2" applyNumberFormat="1" applyFont="1" applyBorder="1" applyAlignment="1">
      <alignment horizontal="right" vertical="center" wrapText="1" readingOrder="1"/>
    </xf>
    <xf numFmtId="0" fontId="20" fillId="0" borderId="15" xfId="0" applyFont="1" applyBorder="1" applyAlignment="1">
      <alignment horizontal="left" vertical="center" wrapText="1" readingOrder="1"/>
    </xf>
    <xf numFmtId="3" fontId="20" fillId="0" borderId="15" xfId="0" applyNumberFormat="1" applyFont="1" applyBorder="1" applyAlignment="1">
      <alignment horizontal="right" vertical="center" wrapText="1" readingOrder="1"/>
    </xf>
    <xf numFmtId="3" fontId="27" fillId="0" borderId="15" xfId="0" applyNumberFormat="1" applyFont="1" applyBorder="1" applyAlignment="1">
      <alignment horizontal="right" vertical="center" wrapText="1" readingOrder="1"/>
    </xf>
    <xf numFmtId="3" fontId="31" fillId="0" borderId="15" xfId="0" applyNumberFormat="1" applyFont="1" applyBorder="1" applyAlignment="1">
      <alignment horizontal="right" vertical="center" wrapText="1" readingOrder="1"/>
    </xf>
    <xf numFmtId="172" fontId="28" fillId="0" borderId="15" xfId="1" applyNumberFormat="1" applyFont="1" applyBorder="1" applyAlignment="1">
      <alignment horizontal="right" vertical="center" wrapText="1" readingOrder="1"/>
    </xf>
    <xf numFmtId="167" fontId="28" fillId="0" borderId="15" xfId="2" applyNumberFormat="1" applyFont="1" applyBorder="1" applyAlignment="1">
      <alignment horizontal="right" vertical="center" wrapText="1" readingOrder="1"/>
    </xf>
    <xf numFmtId="167" fontId="28" fillId="0" borderId="15" xfId="0" applyNumberFormat="1" applyFont="1" applyBorder="1" applyAlignment="1">
      <alignment horizontal="right" vertical="center" wrapText="1" readingOrder="1"/>
    </xf>
    <xf numFmtId="3" fontId="31" fillId="6" borderId="15" xfId="0" applyNumberFormat="1" applyFont="1" applyFill="1" applyBorder="1" applyAlignment="1">
      <alignment horizontal="right" vertical="center" wrapText="1" readingOrder="1"/>
    </xf>
    <xf numFmtId="166" fontId="28" fillId="6" borderId="15" xfId="1" applyNumberFormat="1" applyFont="1" applyFill="1" applyBorder="1" applyAlignment="1">
      <alignment horizontal="right" vertical="center" wrapText="1" readingOrder="1"/>
    </xf>
    <xf numFmtId="9" fontId="28" fillId="6" borderId="15" xfId="2" applyFont="1" applyFill="1" applyBorder="1" applyAlignment="1">
      <alignment horizontal="right" vertical="center" wrapText="1" readingOrder="1"/>
    </xf>
    <xf numFmtId="167" fontId="28" fillId="6" borderId="15" xfId="2" applyNumberFormat="1" applyFont="1" applyFill="1" applyBorder="1" applyAlignment="1">
      <alignment horizontal="right" vertical="center" wrapText="1" readingOrder="1"/>
    </xf>
    <xf numFmtId="0" fontId="33" fillId="0" borderId="22" xfId="0" applyFont="1" applyBorder="1"/>
    <xf numFmtId="3" fontId="27" fillId="0" borderId="22" xfId="0" applyNumberFormat="1" applyFont="1" applyBorder="1" applyAlignment="1">
      <alignment horizontal="right" vertical="center" wrapText="1" readingOrder="1"/>
    </xf>
    <xf numFmtId="170" fontId="31" fillId="0" borderId="22" xfId="0" applyNumberFormat="1" applyFont="1" applyBorder="1" applyAlignment="1">
      <alignment horizontal="right" vertical="center" readingOrder="1"/>
    </xf>
    <xf numFmtId="0" fontId="25" fillId="0" borderId="22" xfId="0" applyFont="1" applyBorder="1"/>
    <xf numFmtId="0" fontId="20" fillId="0" borderId="0" xfId="0" applyFont="1" applyAlignment="1">
      <alignment vertical="center" readingOrder="1"/>
    </xf>
    <xf numFmtId="0" fontId="17" fillId="0" borderId="0" xfId="0" applyFont="1" applyAlignment="1">
      <alignment wrapText="1"/>
    </xf>
    <xf numFmtId="165" fontId="34" fillId="0" borderId="6" xfId="2" applyNumberFormat="1" applyFont="1" applyFill="1" applyBorder="1" applyAlignment="1">
      <alignment horizontal="right" vertical="center" wrapText="1" readingOrder="1"/>
    </xf>
    <xf numFmtId="3" fontId="28" fillId="0" borderId="22" xfId="0" applyNumberFormat="1" applyFont="1" applyBorder="1" applyAlignment="1">
      <alignment horizontal="right" vertical="center" wrapText="1" readingOrder="1"/>
    </xf>
    <xf numFmtId="3" fontId="28" fillId="0" borderId="6" xfId="0" applyNumberFormat="1" applyFont="1" applyBorder="1" applyAlignment="1">
      <alignment horizontal="right" vertical="center" wrapText="1" readingOrder="1"/>
    </xf>
    <xf numFmtId="165" fontId="28" fillId="0" borderId="6" xfId="2" applyNumberFormat="1" applyFont="1" applyFill="1" applyBorder="1" applyAlignment="1">
      <alignment horizontal="right" vertical="center" wrapText="1" readingOrder="1"/>
    </xf>
    <xf numFmtId="3" fontId="28" fillId="0" borderId="7" xfId="0" applyNumberFormat="1" applyFont="1" applyBorder="1" applyAlignment="1">
      <alignment horizontal="right" vertical="center" wrapText="1" readingOrder="1"/>
    </xf>
    <xf numFmtId="3" fontId="20" fillId="0" borderId="6" xfId="0" applyNumberFormat="1" applyFont="1" applyBorder="1" applyAlignment="1">
      <alignment horizontal="right" vertical="center" wrapText="1" readingOrder="1"/>
    </xf>
    <xf numFmtId="3" fontId="34" fillId="0" borderId="3" xfId="0" applyNumberFormat="1" applyFont="1" applyBorder="1" applyAlignment="1">
      <alignment horizontal="right" vertical="center" wrapText="1" readingOrder="1"/>
    </xf>
    <xf numFmtId="0" fontId="9" fillId="0" borderId="0" xfId="0" applyFont="1" applyAlignment="1">
      <alignment horizontal="right"/>
    </xf>
    <xf numFmtId="0" fontId="31" fillId="0" borderId="0" xfId="0" applyFont="1" applyAlignment="1">
      <alignment horizontal="left" vertical="center" readingOrder="1"/>
    </xf>
    <xf numFmtId="165" fontId="14" fillId="5" borderId="15" xfId="0" applyNumberFormat="1" applyFont="1" applyFill="1" applyBorder="1" applyAlignment="1">
      <alignment horizontal="right" vertical="center" readingOrder="1"/>
    </xf>
    <xf numFmtId="165" fontId="10" fillId="5" borderId="15" xfId="0" applyNumberFormat="1" applyFont="1" applyFill="1" applyBorder="1" applyAlignment="1">
      <alignment horizontal="right" vertical="center" readingOrder="1"/>
    </xf>
    <xf numFmtId="165" fontId="14" fillId="2" borderId="15" xfId="0" applyNumberFormat="1" applyFont="1" applyFill="1" applyBorder="1" applyAlignment="1">
      <alignment horizontal="right" vertical="center"/>
    </xf>
    <xf numFmtId="165" fontId="15" fillId="5" borderId="15" xfId="2" applyNumberFormat="1" applyFont="1" applyFill="1" applyBorder="1"/>
    <xf numFmtId="165" fontId="13" fillId="2" borderId="8" xfId="0" applyNumberFormat="1" applyFont="1" applyFill="1" applyBorder="1" applyAlignment="1">
      <alignment horizontal="right" vertical="center"/>
    </xf>
    <xf numFmtId="17" fontId="20" fillId="5" borderId="0" xfId="0" applyNumberFormat="1" applyFont="1" applyFill="1" applyAlignment="1">
      <alignment horizontal="center" vertical="top" wrapText="1" readingOrder="1"/>
    </xf>
    <xf numFmtId="0" fontId="28" fillId="0" borderId="0" xfId="0" applyFont="1" applyAlignment="1">
      <alignment horizontal="center" vertical="top" wrapText="1" readingOrder="1"/>
    </xf>
    <xf numFmtId="3" fontId="20" fillId="5" borderId="15" xfId="0" applyNumberFormat="1" applyFont="1" applyFill="1" applyBorder="1" applyAlignment="1">
      <alignment horizontal="right" vertical="center" wrapText="1" readingOrder="1"/>
    </xf>
    <xf numFmtId="0" fontId="31" fillId="0" borderId="0" xfId="0" applyFont="1" applyAlignment="1">
      <alignment horizontal="center" vertical="top" wrapText="1" readingOrder="1"/>
    </xf>
    <xf numFmtId="9" fontId="20" fillId="5" borderId="15" xfId="0" applyNumberFormat="1" applyFont="1" applyFill="1" applyBorder="1" applyAlignment="1">
      <alignment horizontal="right" vertical="center" wrapText="1" readingOrder="1"/>
    </xf>
    <xf numFmtId="9" fontId="19" fillId="2" borderId="3" xfId="0" applyNumberFormat="1" applyFont="1" applyFill="1" applyBorder="1" applyAlignment="1">
      <alignment horizontal="right" vertical="center" wrapText="1" readingOrder="1"/>
    </xf>
    <xf numFmtId="9" fontId="19" fillId="2" borderId="1" xfId="0" applyNumberFormat="1" applyFont="1" applyFill="1" applyBorder="1" applyAlignment="1">
      <alignment horizontal="right" vertical="center" wrapText="1" readingOrder="1"/>
    </xf>
    <xf numFmtId="9" fontId="27" fillId="5" borderId="15" xfId="2" applyFont="1" applyFill="1" applyBorder="1" applyAlignment="1">
      <alignment horizontal="right" vertical="center" wrapText="1" readingOrder="1"/>
    </xf>
    <xf numFmtId="9" fontId="28" fillId="5" borderId="21" xfId="0" applyNumberFormat="1" applyFont="1" applyFill="1" applyBorder="1" applyAlignment="1">
      <alignment horizontal="right" vertical="center" wrapText="1" readingOrder="1"/>
    </xf>
    <xf numFmtId="3" fontId="28" fillId="5" borderId="22" xfId="0" applyNumberFormat="1" applyFont="1" applyFill="1" applyBorder="1" applyAlignment="1">
      <alignment horizontal="right" vertical="center" wrapText="1" readingOrder="1"/>
    </xf>
    <xf numFmtId="3" fontId="28" fillId="5" borderId="6" xfId="0" applyNumberFormat="1" applyFont="1" applyFill="1" applyBorder="1" applyAlignment="1">
      <alignment horizontal="right" vertical="center" wrapText="1" readingOrder="1"/>
    </xf>
    <xf numFmtId="165" fontId="28" fillId="5" borderId="6" xfId="2" applyNumberFormat="1" applyFont="1" applyFill="1" applyBorder="1" applyAlignment="1">
      <alignment horizontal="right" vertical="center" wrapText="1" readingOrder="1"/>
    </xf>
    <xf numFmtId="3" fontId="28" fillId="5" borderId="7" xfId="0" applyNumberFormat="1" applyFont="1" applyFill="1" applyBorder="1" applyAlignment="1">
      <alignment horizontal="right" vertical="center" wrapText="1" readingOrder="1"/>
    </xf>
    <xf numFmtId="9" fontId="9" fillId="0" borderId="0" xfId="2" applyFont="1"/>
    <xf numFmtId="3" fontId="30" fillId="0" borderId="6" xfId="0" applyNumberFormat="1" applyFont="1" applyBorder="1" applyAlignment="1">
      <alignment horizontal="right" vertical="center" wrapText="1" readingOrder="1"/>
    </xf>
    <xf numFmtId="3" fontId="30" fillId="0" borderId="9" xfId="0" applyNumberFormat="1" applyFont="1" applyBorder="1" applyAlignment="1">
      <alignment horizontal="right" vertical="center" wrapText="1" readingOrder="1"/>
    </xf>
    <xf numFmtId="3" fontId="30" fillId="0" borderId="7" xfId="0" applyNumberFormat="1" applyFont="1" applyBorder="1" applyAlignment="1">
      <alignment horizontal="right" vertical="center" wrapText="1" readingOrder="1"/>
    </xf>
    <xf numFmtId="3" fontId="32" fillId="0" borderId="6" xfId="0" applyNumberFormat="1" applyFont="1" applyBorder="1" applyAlignment="1">
      <alignment horizontal="right" vertical="center" wrapText="1" readingOrder="1"/>
    </xf>
    <xf numFmtId="0" fontId="35" fillId="0" borderId="0" xfId="0" applyFont="1" applyAlignment="1">
      <alignment horizontal="left" wrapText="1" readingOrder="1"/>
    </xf>
    <xf numFmtId="0" fontId="9" fillId="0" borderId="0" xfId="0" applyFont="1" applyAlignment="1">
      <alignment horizontal="center"/>
    </xf>
    <xf numFmtId="173" fontId="15" fillId="0" borderId="0" xfId="0" applyNumberFormat="1" applyFont="1"/>
    <xf numFmtId="3" fontId="35" fillId="0" borderId="0" xfId="0" applyNumberFormat="1" applyFont="1" applyAlignment="1">
      <alignment horizontal="right" wrapText="1" readingOrder="1"/>
    </xf>
    <xf numFmtId="166" fontId="25" fillId="0" borderId="0" xfId="0" applyNumberFormat="1" applyFont="1"/>
    <xf numFmtId="165" fontId="31" fillId="0" borderId="4" xfId="0" applyNumberFormat="1" applyFont="1" applyBorder="1" applyAlignment="1">
      <alignment horizontal="center" vertical="center" wrapText="1" readingOrder="1"/>
    </xf>
    <xf numFmtId="0" fontId="38" fillId="13" borderId="9" xfId="0" applyFont="1" applyFill="1" applyBorder="1"/>
    <xf numFmtId="173" fontId="38" fillId="13" borderId="9" xfId="2" applyNumberFormat="1" applyFont="1" applyFill="1" applyBorder="1" applyAlignment="1">
      <alignment horizontal="right" vertical="center" wrapText="1" readingOrder="1"/>
    </xf>
    <xf numFmtId="165" fontId="39" fillId="13" borderId="9" xfId="0" applyNumberFormat="1" applyFont="1" applyFill="1" applyBorder="1" applyAlignment="1">
      <alignment horizontal="right" vertical="center" wrapText="1" readingOrder="1"/>
    </xf>
    <xf numFmtId="0" fontId="40" fillId="13" borderId="10" xfId="0" applyFont="1" applyFill="1" applyBorder="1" applyAlignment="1">
      <alignment horizontal="center" vertical="top" wrapText="1" readingOrder="1"/>
    </xf>
    <xf numFmtId="3" fontId="14" fillId="0" borderId="15" xfId="0" applyNumberFormat="1" applyFont="1" applyBorder="1" applyAlignment="1">
      <alignment horizontal="center" vertical="center"/>
    </xf>
    <xf numFmtId="165" fontId="9" fillId="0" borderId="0" xfId="2" applyNumberFormat="1" applyFont="1"/>
    <xf numFmtId="9" fontId="29" fillId="0" borderId="0" xfId="2" applyFont="1" applyAlignment="1">
      <alignment horizontal="right" vertical="center" wrapText="1" readingOrder="1"/>
    </xf>
    <xf numFmtId="9" fontId="20" fillId="0" borderId="0" xfId="2" applyFont="1" applyAlignment="1">
      <alignment horizontal="right" vertical="center" wrapText="1" readingOrder="1"/>
    </xf>
    <xf numFmtId="168" fontId="13" fillId="0" borderId="0" xfId="0" applyNumberFormat="1" applyFont="1" applyAlignment="1">
      <alignment horizontal="right" vertical="center" wrapText="1" readingOrder="1"/>
    </xf>
    <xf numFmtId="0" fontId="15" fillId="0" borderId="0" xfId="0" applyFont="1" applyAlignment="1">
      <alignment horizontal="center"/>
    </xf>
    <xf numFmtId="0" fontId="41" fillId="0" borderId="0" xfId="0" applyFont="1"/>
    <xf numFmtId="173" fontId="15" fillId="0" borderId="18" xfId="0" applyNumberFormat="1" applyFont="1" applyBorder="1"/>
    <xf numFmtId="182" fontId="39" fillId="13" borderId="9" xfId="2" applyNumberFormat="1" applyFont="1" applyFill="1" applyBorder="1" applyAlignment="1">
      <alignment horizontal="right" vertical="center" wrapText="1" readingOrder="1"/>
    </xf>
    <xf numFmtId="0" fontId="14" fillId="0" borderId="0" xfId="0" applyFont="1" applyAlignment="1">
      <alignment vertical="center"/>
    </xf>
    <xf numFmtId="0" fontId="43" fillId="0" borderId="0" xfId="0" applyFont="1" applyAlignment="1">
      <alignment vertical="center"/>
    </xf>
    <xf numFmtId="0" fontId="13" fillId="0" borderId="0" xfId="0" applyFont="1" applyAlignment="1">
      <alignment vertical="center"/>
    </xf>
    <xf numFmtId="3" fontId="13" fillId="0" borderId="0" xfId="0" applyNumberFormat="1" applyFont="1"/>
    <xf numFmtId="3" fontId="9" fillId="5" borderId="0" xfId="0" applyNumberFormat="1" applyFont="1" applyFill="1"/>
    <xf numFmtId="165" fontId="14" fillId="0" borderId="0" xfId="2" applyNumberFormat="1" applyFont="1"/>
    <xf numFmtId="165" fontId="44" fillId="0" borderId="0" xfId="2" applyNumberFormat="1" applyFont="1"/>
    <xf numFmtId="0" fontId="43" fillId="0" borderId="0" xfId="0" applyFont="1"/>
    <xf numFmtId="0" fontId="43" fillId="0" borderId="0" xfId="0" applyFont="1" applyAlignment="1">
      <alignment horizontal="left" vertical="center"/>
    </xf>
    <xf numFmtId="3" fontId="13" fillId="5" borderId="0" xfId="0" applyNumberFormat="1" applyFont="1" applyFill="1"/>
    <xf numFmtId="165" fontId="13" fillId="5" borderId="0" xfId="2" applyNumberFormat="1" applyFont="1" applyFill="1"/>
    <xf numFmtId="0" fontId="35" fillId="0" borderId="0" xfId="0" applyFont="1" applyAlignment="1">
      <alignment vertical="center"/>
    </xf>
    <xf numFmtId="9" fontId="45" fillId="0" borderId="0" xfId="2" applyFont="1"/>
    <xf numFmtId="0" fontId="9" fillId="0" borderId="0" xfId="0" applyFont="1" applyAlignment="1">
      <alignment vertical="center"/>
    </xf>
    <xf numFmtId="0" fontId="46" fillId="0" borderId="0" xfId="0" applyFont="1"/>
    <xf numFmtId="3" fontId="47" fillId="0" borderId="0" xfId="0" applyNumberFormat="1" applyFont="1"/>
    <xf numFmtId="0" fontId="42" fillId="0" borderId="0" xfId="0" applyFont="1" applyAlignment="1">
      <alignment horizontal="left" vertical="center" indent="1"/>
    </xf>
    <xf numFmtId="0" fontId="42" fillId="16" borderId="34" xfId="0" applyFont="1" applyFill="1" applyBorder="1" applyAlignment="1">
      <alignment horizontal="center" vertical="center" wrapText="1"/>
    </xf>
    <xf numFmtId="0" fontId="42" fillId="17" borderId="34" xfId="0" applyFont="1" applyFill="1" applyBorder="1" applyAlignment="1">
      <alignment horizontal="center" vertical="center" wrapText="1"/>
    </xf>
    <xf numFmtId="0" fontId="48" fillId="0" borderId="0" xfId="0" applyFont="1" applyAlignment="1">
      <alignment vertical="top"/>
    </xf>
    <xf numFmtId="3" fontId="13" fillId="9" borderId="0" xfId="0" applyNumberFormat="1" applyFont="1" applyFill="1"/>
    <xf numFmtId="183" fontId="0" fillId="0" borderId="0" xfId="1" applyNumberFormat="1" applyFont="1"/>
    <xf numFmtId="10" fontId="14" fillId="0" borderId="0" xfId="2" applyNumberFormat="1" applyFont="1"/>
    <xf numFmtId="10" fontId="9" fillId="0" borderId="0" xfId="2" applyNumberFormat="1" applyFont="1"/>
    <xf numFmtId="173" fontId="14" fillId="0" borderId="0" xfId="2" applyNumberFormat="1" applyFont="1"/>
    <xf numFmtId="173" fontId="45" fillId="0" borderId="0" xfId="2" applyNumberFormat="1" applyFont="1"/>
    <xf numFmtId="0" fontId="15" fillId="0" borderId="0" xfId="11" applyFont="1"/>
    <xf numFmtId="0" fontId="3" fillId="0" borderId="0" xfId="11"/>
    <xf numFmtId="0" fontId="40" fillId="10" borderId="35" xfId="11" applyFont="1" applyFill="1" applyBorder="1"/>
    <xf numFmtId="0" fontId="40" fillId="10" borderId="0" xfId="11" applyFont="1" applyFill="1"/>
    <xf numFmtId="0" fontId="40" fillId="10" borderId="0" xfId="11" applyFont="1" applyFill="1" applyAlignment="1">
      <alignment horizontal="center"/>
    </xf>
    <xf numFmtId="0" fontId="15" fillId="0" borderId="0" xfId="11" applyFont="1" applyAlignment="1">
      <alignment horizontal="left" indent="1"/>
    </xf>
    <xf numFmtId="0" fontId="15" fillId="0" borderId="18" xfId="11" applyFont="1" applyBorder="1" applyAlignment="1">
      <alignment horizontal="right" indent="1"/>
    </xf>
    <xf numFmtId="0" fontId="15" fillId="0" borderId="15" xfId="11" applyFont="1" applyBorder="1" applyAlignment="1">
      <alignment horizontal="left" indent="1"/>
    </xf>
    <xf numFmtId="0" fontId="16" fillId="0" borderId="0" xfId="11" applyFont="1" applyAlignment="1">
      <alignment horizontal="right" indent="1"/>
    </xf>
    <xf numFmtId="173" fontId="15" fillId="0" borderId="0" xfId="11" applyNumberFormat="1" applyFont="1" applyAlignment="1">
      <alignment horizontal="right" indent="1"/>
    </xf>
    <xf numFmtId="165" fontId="16" fillId="0" borderId="0" xfId="12" applyNumberFormat="1" applyFont="1" applyAlignment="1">
      <alignment horizontal="right" indent="1"/>
    </xf>
    <xf numFmtId="165" fontId="16" fillId="0" borderId="0" xfId="12" applyNumberFormat="1" applyFont="1"/>
    <xf numFmtId="0" fontId="15" fillId="0" borderId="0" xfId="0" applyFont="1" applyAlignment="1">
      <alignment horizontal="left" indent="1"/>
    </xf>
    <xf numFmtId="173" fontId="16" fillId="0" borderId="0" xfId="0" applyNumberFormat="1" applyFont="1"/>
    <xf numFmtId="0" fontId="16" fillId="0" borderId="0" xfId="0" applyFont="1" applyAlignment="1">
      <alignment horizontal="left" indent="2"/>
    </xf>
    <xf numFmtId="0" fontId="15" fillId="0" borderId="15" xfId="0" applyFont="1" applyBorder="1" applyAlignment="1">
      <alignment horizontal="left" indent="1"/>
    </xf>
    <xf numFmtId="173" fontId="13" fillId="0" borderId="0" xfId="0" applyNumberFormat="1" applyFont="1"/>
    <xf numFmtId="0" fontId="40" fillId="18" borderId="36" xfId="0" applyFont="1" applyFill="1" applyBorder="1" applyAlignment="1">
      <alignment horizontal="center"/>
    </xf>
    <xf numFmtId="165" fontId="16" fillId="0" borderId="0" xfId="2" applyNumberFormat="1" applyFont="1"/>
    <xf numFmtId="3" fontId="13" fillId="0" borderId="0" xfId="0" applyNumberFormat="1" applyFont="1" applyAlignment="1">
      <alignment horizontal="right" vertical="center" wrapText="1" readingOrder="1"/>
    </xf>
    <xf numFmtId="168" fontId="14" fillId="0" borderId="0" xfId="0" applyNumberFormat="1" applyFont="1" applyAlignment="1">
      <alignment horizontal="right" vertical="center" wrapText="1" readingOrder="1"/>
    </xf>
    <xf numFmtId="3" fontId="13" fillId="0" borderId="0" xfId="0" applyNumberFormat="1" applyFont="1" applyAlignment="1">
      <alignment horizontal="right" vertical="center"/>
    </xf>
    <xf numFmtId="189" fontId="13" fillId="0" borderId="0" xfId="0" applyNumberFormat="1" applyFont="1" applyAlignment="1">
      <alignment horizontal="right" vertical="center"/>
    </xf>
    <xf numFmtId="189" fontId="14" fillId="0" borderId="15" xfId="0" applyNumberFormat="1" applyFont="1" applyBorder="1" applyAlignment="1">
      <alignment horizontal="right" vertical="center"/>
    </xf>
    <xf numFmtId="3" fontId="13" fillId="0" borderId="18" xfId="0" applyNumberFormat="1" applyFont="1" applyBorder="1" applyAlignment="1">
      <alignment horizontal="right" vertical="center"/>
    </xf>
    <xf numFmtId="165" fontId="13" fillId="2" borderId="0" xfId="0" applyNumberFormat="1" applyFont="1" applyFill="1" applyAlignment="1">
      <alignment horizontal="right" vertical="center" readingOrder="1"/>
    </xf>
    <xf numFmtId="165" fontId="12" fillId="0" borderId="0" xfId="0" applyNumberFormat="1" applyFont="1" applyAlignment="1">
      <alignment horizontal="right" vertical="center" readingOrder="1"/>
    </xf>
    <xf numFmtId="165" fontId="22" fillId="2" borderId="0" xfId="0" applyNumberFormat="1" applyFont="1" applyFill="1" applyAlignment="1">
      <alignment horizontal="right" vertical="center" readingOrder="1"/>
    </xf>
    <xf numFmtId="165" fontId="13" fillId="2" borderId="0" xfId="0" applyNumberFormat="1" applyFont="1" applyFill="1" applyAlignment="1">
      <alignment horizontal="right" vertical="center"/>
    </xf>
    <xf numFmtId="170" fontId="12" fillId="0" borderId="0" xfId="0" applyNumberFormat="1" applyFont="1" applyAlignment="1">
      <alignment horizontal="right" vertical="center" readingOrder="1"/>
    </xf>
    <xf numFmtId="170" fontId="12" fillId="0" borderId="8" xfId="0" applyNumberFormat="1" applyFont="1" applyBorder="1" applyAlignment="1">
      <alignment horizontal="right" vertical="center" readingOrder="1"/>
    </xf>
    <xf numFmtId="168" fontId="13" fillId="0" borderId="8" xfId="0" applyNumberFormat="1" applyFont="1" applyBorder="1" applyAlignment="1">
      <alignment horizontal="right" vertical="center" wrapText="1" readingOrder="1"/>
    </xf>
    <xf numFmtId="0" fontId="50" fillId="0" borderId="0" xfId="0" applyFont="1" applyAlignment="1">
      <alignment horizontal="left" vertical="center"/>
    </xf>
    <xf numFmtId="0" fontId="51" fillId="0" borderId="0" xfId="0" applyFont="1" applyAlignment="1">
      <alignment horizontal="left" vertical="center"/>
    </xf>
    <xf numFmtId="0" fontId="51" fillId="0" borderId="0" xfId="0" applyFont="1" applyAlignment="1">
      <alignment horizontal="left" vertical="center" indent="1"/>
    </xf>
    <xf numFmtId="0" fontId="52" fillId="0" borderId="0" xfId="0" applyFont="1"/>
    <xf numFmtId="0" fontId="53" fillId="0" borderId="33" xfId="0" applyFont="1" applyBorder="1" applyAlignment="1">
      <alignment vertical="top" wrapText="1"/>
    </xf>
    <xf numFmtId="3" fontId="53" fillId="0" borderId="31" xfId="0" applyNumberFormat="1" applyFont="1" applyBorder="1" applyAlignment="1">
      <alignment vertical="top" wrapText="1"/>
    </xf>
    <xf numFmtId="0" fontId="53" fillId="0" borderId="32" xfId="0" applyFont="1" applyBorder="1" applyAlignment="1">
      <alignment vertical="top" wrapText="1"/>
    </xf>
    <xf numFmtId="3" fontId="53" fillId="0" borderId="27" xfId="0" applyNumberFormat="1" applyFont="1" applyBorder="1" applyAlignment="1">
      <alignment vertical="top" wrapText="1"/>
    </xf>
    <xf numFmtId="0" fontId="53" fillId="0" borderId="27" xfId="0" applyFont="1" applyBorder="1" applyAlignment="1">
      <alignment vertical="top" wrapText="1"/>
    </xf>
    <xf numFmtId="0" fontId="56" fillId="0" borderId="40" xfId="0" applyFont="1" applyBorder="1"/>
    <xf numFmtId="0" fontId="0" fillId="20" borderId="41" xfId="0" applyFill="1" applyBorder="1"/>
    <xf numFmtId="0" fontId="0" fillId="20" borderId="42" xfId="0" applyFill="1" applyBorder="1"/>
    <xf numFmtId="0" fontId="56" fillId="0" borderId="43" xfId="0" applyFont="1" applyBorder="1"/>
    <xf numFmtId="0" fontId="0" fillId="20" borderId="0" xfId="0" applyFill="1"/>
    <xf numFmtId="0" fontId="0" fillId="20" borderId="44" xfId="0" applyFill="1" applyBorder="1"/>
    <xf numFmtId="0" fontId="57" fillId="0" borderId="45" xfId="0" applyFont="1" applyBorder="1"/>
    <xf numFmtId="0" fontId="0" fillId="20" borderId="46" xfId="0" applyFill="1" applyBorder="1"/>
    <xf numFmtId="0" fontId="0" fillId="20" borderId="47" xfId="0" applyFill="1" applyBorder="1"/>
    <xf numFmtId="9" fontId="14" fillId="0" borderId="15" xfId="2" applyFont="1" applyBorder="1" applyAlignment="1">
      <alignment horizontal="right" vertical="center"/>
    </xf>
    <xf numFmtId="173" fontId="14" fillId="0" borderId="15" xfId="0" applyNumberFormat="1" applyFont="1" applyBorder="1" applyAlignment="1">
      <alignment horizontal="center" vertical="center"/>
    </xf>
    <xf numFmtId="0" fontId="0" fillId="0" borderId="0" xfId="0" applyAlignment="1">
      <alignment horizontal="center"/>
    </xf>
    <xf numFmtId="165" fontId="15" fillId="0" borderId="15" xfId="2" applyNumberFormat="1" applyFont="1" applyBorder="1"/>
    <xf numFmtId="10" fontId="14" fillId="0" borderId="15" xfId="2" applyNumberFormat="1" applyFont="1" applyBorder="1" applyAlignment="1">
      <alignment horizontal="right" vertical="center"/>
    </xf>
    <xf numFmtId="165" fontId="28" fillId="5" borderId="9" xfId="2" applyNumberFormat="1" applyFont="1" applyFill="1" applyBorder="1" applyAlignment="1">
      <alignment horizontal="right" vertical="center" wrapText="1" readingOrder="1"/>
    </xf>
    <xf numFmtId="165" fontId="28" fillId="0" borderId="9" xfId="2" applyNumberFormat="1" applyFont="1" applyFill="1" applyBorder="1" applyAlignment="1">
      <alignment horizontal="right" vertical="center" wrapText="1" readingOrder="1"/>
    </xf>
    <xf numFmtId="165" fontId="31" fillId="0" borderId="9" xfId="2" applyNumberFormat="1" applyFont="1" applyFill="1" applyBorder="1" applyAlignment="1">
      <alignment horizontal="right" vertical="center" wrapText="1" readingOrder="1"/>
    </xf>
    <xf numFmtId="191" fontId="31" fillId="0" borderId="6" xfId="2" applyNumberFormat="1" applyFont="1" applyBorder="1" applyAlignment="1">
      <alignment horizontal="right" vertical="center" wrapText="1" readingOrder="1"/>
    </xf>
    <xf numFmtId="165" fontId="25" fillId="0" borderId="0" xfId="2" applyNumberFormat="1" applyFont="1"/>
    <xf numFmtId="192" fontId="29" fillId="0" borderId="0" xfId="2" applyNumberFormat="1" applyFont="1" applyAlignment="1">
      <alignment horizontal="right" vertical="center" wrapText="1" readingOrder="1"/>
    </xf>
    <xf numFmtId="173" fontId="22" fillId="0" borderId="0" xfId="11" applyNumberFormat="1" applyFont="1"/>
    <xf numFmtId="173" fontId="21" fillId="0" borderId="0" xfId="11" applyNumberFormat="1" applyFont="1"/>
    <xf numFmtId="3" fontId="22" fillId="0" borderId="0" xfId="11" applyNumberFormat="1" applyFont="1"/>
    <xf numFmtId="173" fontId="21" fillId="0" borderId="18" xfId="11" applyNumberFormat="1" applyFont="1" applyBorder="1"/>
    <xf numFmtId="173" fontId="22" fillId="0" borderId="4" xfId="11" applyNumberFormat="1" applyFont="1" applyBorder="1"/>
    <xf numFmtId="173" fontId="21" fillId="0" borderId="15" xfId="11" applyNumberFormat="1" applyFont="1" applyBorder="1"/>
    <xf numFmtId="165" fontId="22" fillId="0" borderId="0" xfId="12" applyNumberFormat="1" applyFont="1"/>
    <xf numFmtId="173" fontId="21" fillId="0" borderId="0" xfId="0" applyNumberFormat="1" applyFont="1"/>
    <xf numFmtId="173" fontId="22" fillId="0" borderId="0" xfId="0" applyNumberFormat="1" applyFont="1"/>
    <xf numFmtId="173" fontId="22" fillId="0" borderId="4" xfId="0" applyNumberFormat="1" applyFont="1" applyBorder="1"/>
    <xf numFmtId="0" fontId="22" fillId="0" borderId="0" xfId="0" applyFont="1"/>
    <xf numFmtId="173" fontId="21" fillId="0" borderId="15" xfId="0" applyNumberFormat="1" applyFont="1" applyBorder="1"/>
    <xf numFmtId="184" fontId="22" fillId="0" borderId="0" xfId="11" applyNumberFormat="1" applyFont="1"/>
    <xf numFmtId="185" fontId="22" fillId="0" borderId="0" xfId="11" applyNumberFormat="1" applyFont="1"/>
    <xf numFmtId="0" fontId="22" fillId="0" borderId="0" xfId="11" applyFont="1"/>
    <xf numFmtId="3" fontId="22" fillId="0" borderId="0" xfId="0" applyNumberFormat="1" applyFont="1"/>
    <xf numFmtId="9" fontId="17" fillId="0" borderId="0" xfId="2" applyFont="1"/>
    <xf numFmtId="0" fontId="17" fillId="0" borderId="0" xfId="0" applyFont="1" applyAlignment="1">
      <alignment horizontal="center"/>
    </xf>
    <xf numFmtId="0" fontId="58" fillId="14" borderId="0" xfId="0" applyFont="1" applyFill="1" applyAlignment="1">
      <alignment horizontal="center" vertical="top"/>
    </xf>
    <xf numFmtId="3" fontId="59" fillId="0" borderId="0" xfId="0" applyNumberFormat="1" applyFont="1" applyAlignment="1">
      <alignment horizontal="right"/>
    </xf>
    <xf numFmtId="0" fontId="17" fillId="15" borderId="0" xfId="0" applyFont="1" applyFill="1" applyAlignment="1">
      <alignment horizontal="center" vertical="top"/>
    </xf>
    <xf numFmtId="0" fontId="58" fillId="12" borderId="0" xfId="0" applyFont="1" applyFill="1" applyAlignment="1">
      <alignment horizontal="center" vertical="top"/>
    </xf>
    <xf numFmtId="0" fontId="17" fillId="8" borderId="0" xfId="0" applyFont="1" applyFill="1" applyAlignment="1">
      <alignment horizontal="center" vertical="top"/>
    </xf>
    <xf numFmtId="0" fontId="18" fillId="0" borderId="0" xfId="0" applyFont="1" applyAlignment="1">
      <alignment horizontal="center" vertical="top"/>
    </xf>
    <xf numFmtId="0" fontId="17" fillId="0" borderId="0" xfId="0" applyFont="1" applyAlignment="1">
      <alignment horizontal="center" vertical="top"/>
    </xf>
    <xf numFmtId="3" fontId="25" fillId="0" borderId="0" xfId="0" applyNumberFormat="1" applyFont="1"/>
    <xf numFmtId="9" fontId="20" fillId="0" borderId="4" xfId="0" applyNumberFormat="1" applyFont="1" applyBorder="1" applyAlignment="1">
      <alignment horizontal="right" vertical="center" wrapText="1" readingOrder="1"/>
    </xf>
    <xf numFmtId="3" fontId="20" fillId="0" borderId="9" xfId="0" applyNumberFormat="1" applyFont="1" applyBorder="1" applyAlignment="1">
      <alignment horizontal="right" vertical="center" wrapText="1" readingOrder="1"/>
    </xf>
    <xf numFmtId="3" fontId="32" fillId="5" borderId="15" xfId="0" applyNumberFormat="1" applyFont="1" applyFill="1" applyBorder="1" applyAlignment="1">
      <alignment horizontal="right" vertical="center" wrapText="1" readingOrder="1"/>
    </xf>
    <xf numFmtId="3" fontId="32" fillId="0" borderId="15" xfId="0" applyNumberFormat="1" applyFont="1" applyBorder="1" applyAlignment="1">
      <alignment horizontal="right" vertical="center" wrapText="1" readingOrder="1"/>
    </xf>
    <xf numFmtId="3" fontId="32" fillId="5" borderId="22" xfId="0" applyNumberFormat="1" applyFont="1" applyFill="1" applyBorder="1" applyAlignment="1">
      <alignment horizontal="right" vertical="center" wrapText="1" readingOrder="1"/>
    </xf>
    <xf numFmtId="3" fontId="32" fillId="0" borderId="22" xfId="0" applyNumberFormat="1" applyFont="1" applyBorder="1" applyAlignment="1">
      <alignment horizontal="right" vertical="center" wrapText="1" readingOrder="1"/>
    </xf>
    <xf numFmtId="3" fontId="32" fillId="5" borderId="6" xfId="0" applyNumberFormat="1" applyFont="1" applyFill="1" applyBorder="1" applyAlignment="1">
      <alignment horizontal="right" vertical="center" wrapText="1" readingOrder="1"/>
    </xf>
    <xf numFmtId="165" fontId="32" fillId="5" borderId="6" xfId="2" applyNumberFormat="1" applyFont="1" applyFill="1" applyBorder="1" applyAlignment="1">
      <alignment horizontal="right" vertical="center" wrapText="1" readingOrder="1"/>
    </xf>
    <xf numFmtId="165" fontId="32" fillId="0" borderId="6" xfId="2" applyNumberFormat="1" applyFont="1" applyFill="1" applyBorder="1" applyAlignment="1">
      <alignment horizontal="right" vertical="center" wrapText="1" readingOrder="1"/>
    </xf>
    <xf numFmtId="165" fontId="32" fillId="5" borderId="9" xfId="2" applyNumberFormat="1" applyFont="1" applyFill="1" applyBorder="1" applyAlignment="1">
      <alignment horizontal="right" vertical="center" wrapText="1" readingOrder="1"/>
    </xf>
    <xf numFmtId="165" fontId="32" fillId="0" borderId="9" xfId="2" applyNumberFormat="1" applyFont="1" applyFill="1" applyBorder="1" applyAlignment="1">
      <alignment horizontal="right" vertical="center" wrapText="1" readingOrder="1"/>
    </xf>
    <xf numFmtId="3" fontId="32" fillId="5" borderId="7" xfId="0" applyNumberFormat="1" applyFont="1" applyFill="1" applyBorder="1" applyAlignment="1">
      <alignment horizontal="right" vertical="center" wrapText="1" readingOrder="1"/>
    </xf>
    <xf numFmtId="3" fontId="32" fillId="0" borderId="7" xfId="0" applyNumberFormat="1" applyFont="1" applyBorder="1" applyAlignment="1">
      <alignment horizontal="right" vertical="center" wrapText="1" readingOrder="1"/>
    </xf>
    <xf numFmtId="3" fontId="13" fillId="6" borderId="0" xfId="0" applyNumberFormat="1" applyFont="1" applyFill="1" applyAlignment="1">
      <alignment horizontal="right" vertical="center" wrapText="1" readingOrder="1"/>
    </xf>
    <xf numFmtId="3" fontId="13" fillId="6" borderId="0" xfId="0" applyNumberFormat="1" applyFont="1" applyFill="1" applyAlignment="1">
      <alignment horizontal="right" vertical="center"/>
    </xf>
    <xf numFmtId="165" fontId="13" fillId="22" borderId="0" xfId="0" applyNumberFormat="1" applyFont="1" applyFill="1" applyAlignment="1">
      <alignment horizontal="right" vertical="center"/>
    </xf>
    <xf numFmtId="165" fontId="13" fillId="22" borderId="0" xfId="0" applyNumberFormat="1" applyFont="1" applyFill="1" applyAlignment="1">
      <alignment horizontal="right" vertical="center" readingOrder="1"/>
    </xf>
    <xf numFmtId="165" fontId="12" fillId="6" borderId="0" xfId="0" applyNumberFormat="1" applyFont="1" applyFill="1" applyAlignment="1">
      <alignment horizontal="right" vertical="center" readingOrder="1"/>
    </xf>
    <xf numFmtId="170" fontId="12" fillId="6" borderId="0" xfId="0" applyNumberFormat="1" applyFont="1" applyFill="1" applyAlignment="1">
      <alignment horizontal="right" vertical="center" readingOrder="1"/>
    </xf>
    <xf numFmtId="165" fontId="13" fillId="22" borderId="6" xfId="0" applyNumberFormat="1" applyFont="1" applyFill="1" applyBorder="1" applyAlignment="1">
      <alignment horizontal="right" vertical="center" readingOrder="1"/>
    </xf>
    <xf numFmtId="189" fontId="13" fillId="6" borderId="0" xfId="0" applyNumberFormat="1" applyFont="1" applyFill="1" applyAlignment="1">
      <alignment horizontal="right" vertical="center"/>
    </xf>
    <xf numFmtId="0" fontId="17" fillId="6" borderId="0" xfId="0" applyFont="1" applyFill="1" applyAlignment="1">
      <alignment horizontal="center"/>
    </xf>
    <xf numFmtId="168" fontId="13" fillId="6" borderId="0" xfId="0" applyNumberFormat="1" applyFont="1" applyFill="1" applyAlignment="1">
      <alignment horizontal="right" vertical="center" wrapText="1" readingOrder="1"/>
    </xf>
    <xf numFmtId="17" fontId="14" fillId="0" borderId="0" xfId="0" applyNumberFormat="1" applyFont="1" applyAlignment="1">
      <alignment horizontal="center" vertical="top" wrapText="1" readingOrder="1"/>
    </xf>
    <xf numFmtId="0" fontId="13" fillId="0" borderId="0" xfId="0" applyFont="1"/>
    <xf numFmtId="3" fontId="20" fillId="0" borderId="3" xfId="0" applyNumberFormat="1" applyFont="1" applyBorder="1" applyAlignment="1">
      <alignment horizontal="right" vertical="center" wrapText="1" readingOrder="1"/>
    </xf>
    <xf numFmtId="3" fontId="20" fillId="0" borderId="1" xfId="0" applyNumberFormat="1" applyFont="1" applyBorder="1" applyAlignment="1">
      <alignment horizontal="right" vertical="center" wrapText="1" readingOrder="1"/>
    </xf>
    <xf numFmtId="3" fontId="28" fillId="0" borderId="5" xfId="0" applyNumberFormat="1" applyFont="1" applyBorder="1" applyAlignment="1">
      <alignment horizontal="right" vertical="center" wrapText="1" readingOrder="1"/>
    </xf>
    <xf numFmtId="168" fontId="28" fillId="0" borderId="6" xfId="0" applyNumberFormat="1" applyFont="1" applyBorder="1" applyAlignment="1">
      <alignment horizontal="right" vertical="center" wrapText="1" readingOrder="1"/>
    </xf>
    <xf numFmtId="168" fontId="38" fillId="13" borderId="6" xfId="0" applyNumberFormat="1" applyFont="1" applyFill="1" applyBorder="1" applyAlignment="1">
      <alignment horizontal="right" vertical="center" wrapText="1" readingOrder="1"/>
    </xf>
    <xf numFmtId="3" fontId="19" fillId="0" borderId="9" xfId="0" applyNumberFormat="1" applyFont="1" applyBorder="1" applyAlignment="1">
      <alignment horizontal="right" vertical="center" wrapText="1" readingOrder="1"/>
    </xf>
    <xf numFmtId="3" fontId="19" fillId="0" borderId="7" xfId="0" applyNumberFormat="1" applyFont="1" applyBorder="1" applyAlignment="1">
      <alignment horizontal="right" vertical="center" wrapText="1" readingOrder="1"/>
    </xf>
    <xf numFmtId="9" fontId="19" fillId="0" borderId="3" xfId="0" applyNumberFormat="1" applyFont="1" applyBorder="1" applyAlignment="1">
      <alignment horizontal="right" vertical="center" wrapText="1" readingOrder="1"/>
    </xf>
    <xf numFmtId="9" fontId="19" fillId="0" borderId="1" xfId="0" applyNumberFormat="1" applyFont="1" applyBorder="1" applyAlignment="1">
      <alignment horizontal="right" vertical="center" wrapText="1" readingOrder="1"/>
    </xf>
    <xf numFmtId="9" fontId="19" fillId="0" borderId="15" xfId="0" applyNumberFormat="1" applyFont="1" applyBorder="1" applyAlignment="1">
      <alignment horizontal="right" vertical="center" wrapText="1" readingOrder="1"/>
    </xf>
    <xf numFmtId="9" fontId="31" fillId="2" borderId="5" xfId="2" applyFont="1" applyFill="1" applyBorder="1" applyAlignment="1">
      <alignment horizontal="right" vertical="center" wrapText="1" readingOrder="1"/>
    </xf>
    <xf numFmtId="9" fontId="31" fillId="2" borderId="4" xfId="0" applyNumberFormat="1" applyFont="1" applyFill="1" applyBorder="1" applyAlignment="1">
      <alignment horizontal="right" vertical="center" wrapText="1" readingOrder="1"/>
    </xf>
    <xf numFmtId="3" fontId="31" fillId="0" borderId="7" xfId="0" applyNumberFormat="1" applyFont="1" applyBorder="1" applyAlignment="1">
      <alignment horizontal="right" vertical="center" wrapText="1" readingOrder="1"/>
    </xf>
    <xf numFmtId="165" fontId="61" fillId="2" borderId="5" xfId="0" applyNumberFormat="1" applyFont="1" applyFill="1" applyBorder="1" applyAlignment="1">
      <alignment horizontal="right" vertical="center" readingOrder="1"/>
    </xf>
    <xf numFmtId="165" fontId="61" fillId="2" borderId="6" xfId="0" applyNumberFormat="1" applyFont="1" applyFill="1" applyBorder="1" applyAlignment="1">
      <alignment horizontal="right" vertical="center" readingOrder="1"/>
    </xf>
    <xf numFmtId="165" fontId="61" fillId="2" borderId="9" xfId="0" applyNumberFormat="1" applyFont="1" applyFill="1" applyBorder="1" applyAlignment="1">
      <alignment horizontal="right" vertical="center" readingOrder="1"/>
    </xf>
    <xf numFmtId="165" fontId="60" fillId="5" borderId="15" xfId="2" applyNumberFormat="1" applyFont="1" applyFill="1" applyBorder="1"/>
    <xf numFmtId="3" fontId="30" fillId="2" borderId="5" xfId="0" applyNumberFormat="1" applyFont="1" applyFill="1" applyBorder="1" applyAlignment="1">
      <alignment horizontal="right" vertical="center" wrapText="1" readingOrder="1"/>
    </xf>
    <xf numFmtId="3" fontId="30" fillId="2" borderId="6" xfId="0" applyNumberFormat="1" applyFont="1" applyFill="1" applyBorder="1" applyAlignment="1">
      <alignment horizontal="right" vertical="center" wrapText="1" readingOrder="1"/>
    </xf>
    <xf numFmtId="165" fontId="30" fillId="2" borderId="6" xfId="2" applyNumberFormat="1" applyFont="1" applyFill="1" applyBorder="1" applyAlignment="1">
      <alignment horizontal="right" vertical="center" wrapText="1" readingOrder="1"/>
    </xf>
    <xf numFmtId="3" fontId="30" fillId="2" borderId="7" xfId="0" applyNumberFormat="1" applyFont="1" applyFill="1" applyBorder="1" applyAlignment="1">
      <alignment horizontal="right" vertical="center" wrapText="1" readingOrder="1"/>
    </xf>
    <xf numFmtId="3" fontId="30" fillId="2" borderId="8" xfId="0" applyNumberFormat="1" applyFont="1" applyFill="1" applyBorder="1" applyAlignment="1">
      <alignment horizontal="right" vertical="center" wrapText="1" readingOrder="1"/>
    </xf>
    <xf numFmtId="3" fontId="30" fillId="2" borderId="9" xfId="0" applyNumberFormat="1" applyFont="1" applyFill="1" applyBorder="1" applyAlignment="1">
      <alignment horizontal="right" vertical="center" wrapText="1" readingOrder="1"/>
    </xf>
    <xf numFmtId="177" fontId="30" fillId="2" borderId="3" xfId="0" applyNumberFormat="1" applyFont="1" applyFill="1" applyBorder="1"/>
    <xf numFmtId="3" fontId="30" fillId="2" borderId="1" xfId="0" applyNumberFormat="1" applyFont="1" applyFill="1" applyBorder="1" applyAlignment="1">
      <alignment horizontal="right" vertical="center" wrapText="1" readingOrder="1"/>
    </xf>
    <xf numFmtId="177" fontId="30" fillId="2" borderId="0" xfId="0" applyNumberFormat="1" applyFont="1" applyFill="1"/>
    <xf numFmtId="173" fontId="14" fillId="0" borderId="0" xfId="11" applyNumberFormat="1" applyFont="1"/>
    <xf numFmtId="173" fontId="13" fillId="0" borderId="4" xfId="11" applyNumberFormat="1" applyFont="1" applyBorder="1"/>
    <xf numFmtId="173" fontId="13" fillId="0" borderId="0" xfId="11" applyNumberFormat="1" applyFont="1"/>
    <xf numFmtId="173" fontId="14" fillId="0" borderId="15" xfId="11" applyNumberFormat="1" applyFont="1" applyBorder="1"/>
    <xf numFmtId="167" fontId="31" fillId="0" borderId="0" xfId="2" applyNumberFormat="1" applyFont="1" applyBorder="1" applyAlignment="1">
      <alignment horizontal="right" vertical="center" wrapText="1" readingOrder="1"/>
    </xf>
    <xf numFmtId="3" fontId="13" fillId="0" borderId="8" xfId="0" applyNumberFormat="1" applyFont="1" applyBorder="1" applyAlignment="1">
      <alignment horizontal="right" vertical="center" wrapText="1" readingOrder="1"/>
    </xf>
    <xf numFmtId="173" fontId="13" fillId="0" borderId="0" xfId="0" applyNumberFormat="1" applyFont="1" applyAlignment="1">
      <alignment horizontal="right" vertical="center"/>
    </xf>
    <xf numFmtId="173" fontId="13" fillId="6" borderId="0" xfId="0" applyNumberFormat="1" applyFont="1" applyFill="1" applyAlignment="1">
      <alignment horizontal="right" vertical="center"/>
    </xf>
    <xf numFmtId="173" fontId="14" fillId="0" borderId="15" xfId="0" applyNumberFormat="1" applyFont="1" applyBorder="1" applyAlignment="1">
      <alignment horizontal="right" vertical="center"/>
    </xf>
    <xf numFmtId="0" fontId="67" fillId="0" borderId="0" xfId="0" applyFont="1" applyAlignment="1">
      <alignment vertical="center"/>
    </xf>
    <xf numFmtId="0" fontId="67" fillId="0" borderId="0" xfId="0" applyFont="1" applyAlignment="1">
      <alignment horizontal="left" vertical="center" indent="1"/>
    </xf>
    <xf numFmtId="0" fontId="66" fillId="0" borderId="0" xfId="0" applyFont="1" applyAlignment="1">
      <alignment horizontal="left" vertical="center" indent="1"/>
    </xf>
    <xf numFmtId="0" fontId="68" fillId="0" borderId="0" xfId="0" applyFont="1" applyAlignment="1">
      <alignment vertical="center"/>
    </xf>
    <xf numFmtId="0" fontId="66" fillId="0" borderId="0" xfId="0" applyFont="1" applyAlignment="1">
      <alignment vertical="center"/>
    </xf>
    <xf numFmtId="0" fontId="69" fillId="26" borderId="53" xfId="0" applyFont="1" applyFill="1" applyBorder="1" applyAlignment="1">
      <alignment horizontal="center" vertical="center"/>
    </xf>
    <xf numFmtId="0" fontId="70" fillId="0" borderId="53" xfId="0" applyFont="1" applyBorder="1" applyAlignment="1">
      <alignment vertical="center"/>
    </xf>
    <xf numFmtId="194" fontId="25" fillId="0" borderId="7" xfId="0" applyNumberFormat="1" applyFont="1" applyBorder="1"/>
    <xf numFmtId="3" fontId="30" fillId="0" borderId="3" xfId="0" applyNumberFormat="1" applyFont="1" applyBorder="1" applyAlignment="1">
      <alignment horizontal="right" vertical="center" wrapText="1" readingOrder="1"/>
    </xf>
    <xf numFmtId="3" fontId="30" fillId="0" borderId="1" xfId="0" applyNumberFormat="1" applyFont="1" applyBorder="1" applyAlignment="1">
      <alignment horizontal="right" vertical="center" wrapText="1" readingOrder="1"/>
    </xf>
    <xf numFmtId="9" fontId="30" fillId="0" borderId="5" xfId="2" applyFont="1" applyFill="1" applyBorder="1" applyAlignment="1">
      <alignment horizontal="right" vertical="center" wrapText="1" readingOrder="1"/>
    </xf>
    <xf numFmtId="9" fontId="30" fillId="9" borderId="4" xfId="0" applyNumberFormat="1" applyFont="1" applyFill="1" applyBorder="1" applyAlignment="1">
      <alignment horizontal="right" vertical="center" wrapText="1" readingOrder="1"/>
    </xf>
    <xf numFmtId="9" fontId="30" fillId="6" borderId="4" xfId="0" applyNumberFormat="1" applyFont="1" applyFill="1" applyBorder="1" applyAlignment="1">
      <alignment horizontal="right" vertical="center" wrapText="1" readingOrder="1"/>
    </xf>
    <xf numFmtId="9" fontId="32" fillId="0" borderId="21" xfId="0" applyNumberFormat="1" applyFont="1" applyBorder="1" applyAlignment="1">
      <alignment horizontal="right" vertical="center" wrapText="1" readingOrder="1"/>
    </xf>
    <xf numFmtId="3" fontId="30" fillId="0" borderId="5" xfId="0" applyNumberFormat="1" applyFont="1" applyBorder="1" applyAlignment="1">
      <alignment horizontal="right" vertical="center" wrapText="1" readingOrder="1"/>
    </xf>
    <xf numFmtId="165" fontId="30" fillId="0" borderId="6" xfId="2" applyNumberFormat="1" applyFont="1" applyFill="1" applyBorder="1" applyAlignment="1">
      <alignment horizontal="right" vertical="center" wrapText="1" readingOrder="1"/>
    </xf>
    <xf numFmtId="3" fontId="30" fillId="0" borderId="8" xfId="0" applyNumberFormat="1" applyFont="1" applyBorder="1" applyAlignment="1">
      <alignment horizontal="right" vertical="center" wrapText="1" readingOrder="1"/>
    </xf>
    <xf numFmtId="3" fontId="33" fillId="0" borderId="7" xfId="0" applyNumberFormat="1" applyFont="1" applyBorder="1"/>
    <xf numFmtId="165" fontId="22" fillId="22" borderId="0" xfId="0" applyNumberFormat="1" applyFont="1" applyFill="1" applyAlignment="1">
      <alignment horizontal="right" vertical="center" readingOrder="1"/>
    </xf>
    <xf numFmtId="165" fontId="61" fillId="0" borderId="5" xfId="0" applyNumberFormat="1" applyFont="1" applyBorder="1" applyAlignment="1">
      <alignment horizontal="right" vertical="center" readingOrder="1"/>
    </xf>
    <xf numFmtId="165" fontId="61" fillId="0" borderId="6" xfId="0" applyNumberFormat="1" applyFont="1" applyBorder="1" applyAlignment="1">
      <alignment horizontal="right" vertical="center" readingOrder="1"/>
    </xf>
    <xf numFmtId="165" fontId="61" fillId="6" borderId="6" xfId="0" applyNumberFormat="1" applyFont="1" applyFill="1" applyBorder="1" applyAlignment="1">
      <alignment horizontal="right" vertical="center" readingOrder="1"/>
    </xf>
    <xf numFmtId="165" fontId="61" fillId="0" borderId="9" xfId="0" applyNumberFormat="1" applyFont="1" applyBorder="1" applyAlignment="1">
      <alignment horizontal="right" vertical="center" readingOrder="1"/>
    </xf>
    <xf numFmtId="165" fontId="60" fillId="0" borderId="15" xfId="2" applyNumberFormat="1" applyFont="1" applyFill="1" applyBorder="1"/>
    <xf numFmtId="0" fontId="14" fillId="10" borderId="35" xfId="11" applyFont="1" applyFill="1" applyBorder="1"/>
    <xf numFmtId="3" fontId="13" fillId="0" borderId="0" xfId="11" applyNumberFormat="1" applyFont="1"/>
    <xf numFmtId="173" fontId="14" fillId="0" borderId="18" xfId="11" applyNumberFormat="1" applyFont="1" applyBorder="1"/>
    <xf numFmtId="165" fontId="13" fillId="0" borderId="0" xfId="12" applyNumberFormat="1" applyFont="1"/>
    <xf numFmtId="184" fontId="13" fillId="0" borderId="0" xfId="11" applyNumberFormat="1" applyFont="1"/>
    <xf numFmtId="185" fontId="13" fillId="0" borderId="0" xfId="11" applyNumberFormat="1" applyFont="1"/>
    <xf numFmtId="0" fontId="13" fillId="0" borderId="0" xfId="11" applyFont="1"/>
    <xf numFmtId="3" fontId="28" fillId="0" borderId="15" xfId="0" applyNumberFormat="1" applyFont="1" applyBorder="1" applyAlignment="1">
      <alignment horizontal="right" vertical="center" wrapText="1" readingOrder="1"/>
    </xf>
    <xf numFmtId="17" fontId="28" fillId="0" borderId="0" xfId="0" applyNumberFormat="1" applyFont="1" applyAlignment="1">
      <alignment horizontal="center" vertical="top" wrapText="1" readingOrder="1"/>
    </xf>
    <xf numFmtId="3" fontId="31" fillId="0" borderId="5" xfId="0" applyNumberFormat="1" applyFont="1" applyBorder="1" applyAlignment="1">
      <alignment horizontal="right" vertical="center" wrapText="1" readingOrder="1"/>
    </xf>
    <xf numFmtId="3" fontId="31" fillId="0" borderId="6" xfId="0" applyNumberFormat="1" applyFont="1" applyBorder="1" applyAlignment="1">
      <alignment horizontal="right" vertical="center" wrapText="1" readingOrder="1"/>
    </xf>
    <xf numFmtId="165" fontId="31" fillId="0" borderId="6" xfId="2" applyNumberFormat="1" applyFont="1" applyFill="1" applyBorder="1" applyAlignment="1">
      <alignment horizontal="right" vertical="center" wrapText="1" readingOrder="1"/>
    </xf>
    <xf numFmtId="3" fontId="31" fillId="0" borderId="8" xfId="0" applyNumberFormat="1" applyFont="1" applyBorder="1" applyAlignment="1">
      <alignment horizontal="right" vertical="center" wrapText="1" readingOrder="1"/>
    </xf>
    <xf numFmtId="3" fontId="31" fillId="0" borderId="9" xfId="0" applyNumberFormat="1" applyFont="1" applyBorder="1" applyAlignment="1">
      <alignment horizontal="right" vertical="center" wrapText="1" readingOrder="1"/>
    </xf>
    <xf numFmtId="9" fontId="31" fillId="0" borderId="5" xfId="2" applyFont="1" applyFill="1" applyBorder="1" applyAlignment="1">
      <alignment horizontal="right" vertical="center" wrapText="1" readingOrder="1"/>
    </xf>
    <xf numFmtId="1" fontId="31" fillId="0" borderId="6" xfId="0" applyNumberFormat="1" applyFont="1" applyBorder="1" applyAlignment="1">
      <alignment horizontal="right" vertical="center" wrapText="1" readingOrder="1"/>
    </xf>
    <xf numFmtId="1" fontId="31" fillId="0" borderId="9" xfId="0" applyNumberFormat="1" applyFont="1" applyBorder="1" applyAlignment="1">
      <alignment horizontal="right" vertical="center" wrapText="1" readingOrder="1"/>
    </xf>
    <xf numFmtId="9" fontId="31" fillId="0" borderId="4" xfId="0" applyNumberFormat="1" applyFont="1" applyBorder="1" applyAlignment="1">
      <alignment horizontal="right" vertical="center" wrapText="1" readingOrder="1"/>
    </xf>
    <xf numFmtId="9" fontId="28" fillId="0" borderId="21" xfId="0" applyNumberFormat="1" applyFont="1" applyBorder="1" applyAlignment="1">
      <alignment horizontal="right" vertical="center" wrapText="1" readingOrder="1"/>
    </xf>
    <xf numFmtId="9" fontId="32" fillId="5" borderId="21" xfId="0" applyNumberFormat="1" applyFont="1" applyFill="1" applyBorder="1" applyAlignment="1">
      <alignment horizontal="right" vertical="center" wrapText="1" readingOrder="1"/>
    </xf>
    <xf numFmtId="0" fontId="20" fillId="0" borderId="21" xfId="0" applyFont="1" applyBorder="1" applyAlignment="1">
      <alignment vertical="center" wrapText="1" readingOrder="1"/>
    </xf>
    <xf numFmtId="0" fontId="19" fillId="0" borderId="21" xfId="0" applyFont="1" applyBorder="1" applyAlignment="1">
      <alignment horizontal="left" vertical="center" wrapText="1" readingOrder="1"/>
    </xf>
    <xf numFmtId="9" fontId="20" fillId="0" borderId="21" xfId="0" applyNumberFormat="1" applyFont="1" applyBorder="1" applyAlignment="1">
      <alignment horizontal="right" vertical="center" wrapText="1" readingOrder="1"/>
    </xf>
    <xf numFmtId="0" fontId="20" fillId="0" borderId="10" xfId="0" applyFont="1" applyBorder="1" applyAlignment="1">
      <alignment vertical="center" wrapText="1" readingOrder="1"/>
    </xf>
    <xf numFmtId="1" fontId="32" fillId="0" borderId="10" xfId="0" applyNumberFormat="1" applyFont="1" applyBorder="1" applyAlignment="1">
      <alignment horizontal="right" vertical="center" wrapText="1" readingOrder="1"/>
    </xf>
    <xf numFmtId="1" fontId="32" fillId="5" borderId="10" xfId="0" applyNumberFormat="1" applyFont="1" applyFill="1" applyBorder="1" applyAlignment="1">
      <alignment horizontal="right" vertical="center" wrapText="1" readingOrder="1"/>
    </xf>
    <xf numFmtId="3" fontId="20" fillId="0" borderId="10" xfId="0" applyNumberFormat="1" applyFont="1" applyBorder="1" applyAlignment="1">
      <alignment horizontal="right" vertical="center" wrapText="1" readingOrder="1"/>
    </xf>
    <xf numFmtId="3" fontId="32" fillId="0" borderId="10" xfId="0" applyNumberFormat="1" applyFont="1" applyBorder="1" applyAlignment="1">
      <alignment horizontal="right" vertical="center" wrapText="1" readingOrder="1"/>
    </xf>
    <xf numFmtId="165" fontId="13" fillId="0" borderId="5" xfId="0" applyNumberFormat="1" applyFont="1" applyBorder="1" applyAlignment="1">
      <alignment horizontal="right" vertical="center" readingOrder="1"/>
    </xf>
    <xf numFmtId="165" fontId="13" fillId="0" borderId="6" xfId="0" applyNumberFormat="1" applyFont="1" applyBorder="1" applyAlignment="1">
      <alignment horizontal="right" vertical="center" readingOrder="1"/>
    </xf>
    <xf numFmtId="165" fontId="13" fillId="6" borderId="6" xfId="0" applyNumberFormat="1" applyFont="1" applyFill="1" applyBorder="1" applyAlignment="1">
      <alignment horizontal="right" vertical="center" readingOrder="1"/>
    </xf>
    <xf numFmtId="165" fontId="13" fillId="0" borderId="9" xfId="0" applyNumberFormat="1" applyFont="1" applyBorder="1" applyAlignment="1">
      <alignment horizontal="right" vertical="center" readingOrder="1"/>
    </xf>
    <xf numFmtId="165" fontId="14" fillId="0" borderId="15" xfId="2" applyNumberFormat="1" applyFont="1" applyFill="1" applyBorder="1"/>
    <xf numFmtId="0" fontId="40" fillId="10" borderId="35" xfId="0" applyFont="1" applyFill="1" applyBorder="1"/>
    <xf numFmtId="0" fontId="40" fillId="10" borderId="0" xfId="0" applyFont="1" applyFill="1" applyAlignment="1">
      <alignment horizontal="center"/>
    </xf>
    <xf numFmtId="173" fontId="14" fillId="0" borderId="0" xfId="0" applyNumberFormat="1" applyFont="1"/>
    <xf numFmtId="173" fontId="13" fillId="0" borderId="4" xfId="0" applyNumberFormat="1" applyFont="1" applyBorder="1"/>
    <xf numFmtId="173" fontId="14" fillId="0" borderId="15" xfId="0" applyNumberFormat="1" applyFont="1" applyBorder="1"/>
    <xf numFmtId="0" fontId="71" fillId="0" borderId="0" xfId="0" applyFont="1" applyAlignment="1">
      <alignment vertical="center" readingOrder="1"/>
    </xf>
    <xf numFmtId="0" fontId="72" fillId="0" borderId="0" xfId="0" applyFont="1" applyAlignment="1">
      <alignment vertical="center" readingOrder="1"/>
    </xf>
    <xf numFmtId="0" fontId="20" fillId="0" borderId="0" xfId="0" applyFont="1" applyAlignment="1">
      <alignment horizontal="left" vertical="center" readingOrder="1"/>
    </xf>
    <xf numFmtId="14" fontId="29" fillId="0" borderId="0" xfId="0" applyNumberFormat="1" applyFont="1" applyAlignment="1">
      <alignment horizontal="center" vertical="top" wrapText="1" readingOrder="1"/>
    </xf>
    <xf numFmtId="17" fontId="19" fillId="0" borderId="0" xfId="0" applyNumberFormat="1" applyFont="1" applyAlignment="1">
      <alignment horizontal="center" vertical="top" wrapText="1" readingOrder="1"/>
    </xf>
    <xf numFmtId="3" fontId="73" fillId="0" borderId="5" xfId="2" applyNumberFormat="1" applyFont="1" applyBorder="1" applyAlignment="1">
      <alignment horizontal="right" vertical="center" wrapText="1" readingOrder="1"/>
    </xf>
    <xf numFmtId="0" fontId="30" fillId="2" borderId="5" xfId="2" applyNumberFormat="1" applyFont="1" applyFill="1" applyBorder="1" applyAlignment="1">
      <alignment horizontal="right" vertical="center" readingOrder="1"/>
    </xf>
    <xf numFmtId="0" fontId="30" fillId="0" borderId="5" xfId="2" applyNumberFormat="1" applyFont="1" applyFill="1" applyBorder="1" applyAlignment="1">
      <alignment horizontal="right" vertical="center" readingOrder="1"/>
    </xf>
    <xf numFmtId="0" fontId="31" fillId="0" borderId="5" xfId="2" applyNumberFormat="1" applyFont="1" applyFill="1" applyBorder="1" applyAlignment="1">
      <alignment horizontal="right" vertical="center" readingOrder="1"/>
    </xf>
    <xf numFmtId="0" fontId="31" fillId="2" borderId="5" xfId="2" applyNumberFormat="1" applyFont="1" applyFill="1" applyBorder="1" applyAlignment="1">
      <alignment horizontal="right" vertical="center" readingOrder="1"/>
    </xf>
    <xf numFmtId="0" fontId="74" fillId="0" borderId="5" xfId="2" applyNumberFormat="1" applyFont="1" applyFill="1" applyBorder="1" applyAlignment="1">
      <alignment horizontal="center" vertical="center" readingOrder="1"/>
    </xf>
    <xf numFmtId="0" fontId="74" fillId="2" borderId="5" xfId="2" applyNumberFormat="1" applyFont="1" applyFill="1" applyBorder="1" applyAlignment="1">
      <alignment horizontal="right" vertical="center" readingOrder="1"/>
    </xf>
    <xf numFmtId="0" fontId="75" fillId="0" borderId="6" xfId="0" applyFont="1" applyBorder="1" applyAlignment="1">
      <alignment horizontal="left" vertical="center" readingOrder="1"/>
    </xf>
    <xf numFmtId="165" fontId="73" fillId="0" borderId="6" xfId="2" applyNumberFormat="1" applyFont="1" applyBorder="1" applyAlignment="1">
      <alignment horizontal="right" vertical="center" wrapText="1" readingOrder="1"/>
    </xf>
    <xf numFmtId="0" fontId="75" fillId="2" borderId="6" xfId="2" applyNumberFormat="1" applyFont="1" applyFill="1" applyBorder="1" applyAlignment="1">
      <alignment horizontal="right" vertical="center" readingOrder="1"/>
    </xf>
    <xf numFmtId="0" fontId="75" fillId="0" borderId="6" xfId="2" applyNumberFormat="1" applyFont="1" applyFill="1" applyBorder="1" applyAlignment="1">
      <alignment horizontal="right" vertical="center" readingOrder="1"/>
    </xf>
    <xf numFmtId="0" fontId="75" fillId="0" borderId="6" xfId="2" applyNumberFormat="1" applyFont="1" applyFill="1" applyBorder="1" applyAlignment="1">
      <alignment horizontal="center" vertical="center" readingOrder="1"/>
    </xf>
    <xf numFmtId="3" fontId="73" fillId="0" borderId="6" xfId="2" applyNumberFormat="1" applyFont="1" applyBorder="1" applyAlignment="1">
      <alignment horizontal="right" vertical="center" wrapText="1" readingOrder="1"/>
    </xf>
    <xf numFmtId="0" fontId="30" fillId="2" borderId="6" xfId="2" applyNumberFormat="1" applyFont="1" applyFill="1" applyBorder="1" applyAlignment="1">
      <alignment horizontal="right" vertical="center" readingOrder="1"/>
    </xf>
    <xf numFmtId="0" fontId="30" fillId="0" borderId="6" xfId="2" applyNumberFormat="1" applyFont="1" applyFill="1" applyBorder="1" applyAlignment="1">
      <alignment horizontal="right" vertical="center" readingOrder="1"/>
    </xf>
    <xf numFmtId="0" fontId="74" fillId="0" borderId="6" xfId="2" applyNumberFormat="1" applyFont="1" applyFill="1" applyBorder="1" applyAlignment="1">
      <alignment horizontal="right" vertical="center" readingOrder="1"/>
    </xf>
    <xf numFmtId="0" fontId="74" fillId="2" borderId="6" xfId="2" applyNumberFormat="1" applyFont="1" applyFill="1" applyBorder="1" applyAlignment="1">
      <alignment horizontal="right" vertical="center" readingOrder="1"/>
    </xf>
    <xf numFmtId="0" fontId="74" fillId="0" borderId="6" xfId="2" applyNumberFormat="1" applyFont="1" applyFill="1" applyBorder="1" applyAlignment="1">
      <alignment horizontal="center" vertical="center" readingOrder="1"/>
    </xf>
    <xf numFmtId="0" fontId="20" fillId="0" borderId="6" xfId="0" applyFont="1" applyBorder="1" applyAlignment="1">
      <alignment horizontal="left" vertical="center" readingOrder="1"/>
    </xf>
    <xf numFmtId="0" fontId="20" fillId="0" borderId="6" xfId="0" applyFont="1" applyBorder="1" applyAlignment="1">
      <alignment horizontal="right" vertical="center" readingOrder="1"/>
    </xf>
    <xf numFmtId="165" fontId="32" fillId="2" borderId="6" xfId="2" applyNumberFormat="1" applyFont="1" applyFill="1" applyBorder="1" applyAlignment="1">
      <alignment horizontal="right" vertical="center" readingOrder="1"/>
    </xf>
    <xf numFmtId="165" fontId="32" fillId="0" borderId="6" xfId="2" applyNumberFormat="1" applyFont="1" applyFill="1" applyBorder="1" applyAlignment="1">
      <alignment horizontal="right" vertical="center" readingOrder="1"/>
    </xf>
    <xf numFmtId="165" fontId="28" fillId="0" borderId="6" xfId="2" applyNumberFormat="1" applyFont="1" applyFill="1" applyBorder="1" applyAlignment="1">
      <alignment horizontal="right" vertical="center" readingOrder="1"/>
    </xf>
    <xf numFmtId="165" fontId="28" fillId="2" borderId="6" xfId="2" applyNumberFormat="1" applyFont="1" applyFill="1" applyBorder="1" applyAlignment="1">
      <alignment horizontal="right" vertical="center" readingOrder="1"/>
    </xf>
    <xf numFmtId="165" fontId="28" fillId="0" borderId="6" xfId="2" applyNumberFormat="1" applyFont="1" applyFill="1" applyBorder="1" applyAlignment="1">
      <alignment horizontal="center" vertical="center" readingOrder="1"/>
    </xf>
    <xf numFmtId="170" fontId="31" fillId="2" borderId="6" xfId="2" applyNumberFormat="1" applyFont="1" applyFill="1" applyBorder="1" applyAlignment="1">
      <alignment horizontal="right" vertical="center" wrapText="1" readingOrder="1"/>
    </xf>
    <xf numFmtId="0" fontId="74" fillId="0" borderId="5" xfId="2" applyNumberFormat="1" applyFont="1" applyFill="1" applyBorder="1" applyAlignment="1">
      <alignment horizontal="right" vertical="center" readingOrder="1"/>
    </xf>
    <xf numFmtId="0" fontId="31" fillId="0" borderId="6" xfId="2" applyNumberFormat="1" applyFont="1" applyFill="1" applyBorder="1" applyAlignment="1">
      <alignment horizontal="right" vertical="center" readingOrder="1"/>
    </xf>
    <xf numFmtId="0" fontId="31" fillId="2" borderId="6" xfId="2" applyNumberFormat="1" applyFont="1" applyFill="1" applyBorder="1" applyAlignment="1">
      <alignment horizontal="right" vertical="center" readingOrder="1"/>
    </xf>
    <xf numFmtId="0" fontId="75" fillId="0" borderId="6" xfId="0" applyFont="1" applyBorder="1" applyAlignment="1">
      <alignment vertical="center" readingOrder="1"/>
    </xf>
    <xf numFmtId="0" fontId="19" fillId="0" borderId="6" xfId="0" applyFont="1" applyBorder="1" applyAlignment="1">
      <alignment vertical="center" readingOrder="1"/>
    </xf>
    <xf numFmtId="0" fontId="20" fillId="0" borderId="9" xfId="0" applyFont="1" applyBorder="1" applyAlignment="1">
      <alignment horizontal="left" vertical="center" readingOrder="1"/>
    </xf>
    <xf numFmtId="0" fontId="20" fillId="0" borderId="9" xfId="0" applyFont="1" applyBorder="1" applyAlignment="1">
      <alignment horizontal="right" vertical="center" readingOrder="1"/>
    </xf>
    <xf numFmtId="165" fontId="32" fillId="2" borderId="9" xfId="2" applyNumberFormat="1" applyFont="1" applyFill="1" applyBorder="1" applyAlignment="1">
      <alignment horizontal="right" vertical="center" readingOrder="1"/>
    </xf>
    <xf numFmtId="165" fontId="32" fillId="0" borderId="9" xfId="2" applyNumberFormat="1" applyFont="1" applyFill="1" applyBorder="1" applyAlignment="1">
      <alignment horizontal="right" vertical="center" readingOrder="1"/>
    </xf>
    <xf numFmtId="165" fontId="28" fillId="0" borderId="9" xfId="2" applyNumberFormat="1" applyFont="1" applyFill="1" applyBorder="1" applyAlignment="1">
      <alignment horizontal="right" vertical="center" readingOrder="1"/>
    </xf>
    <xf numFmtId="165" fontId="28" fillId="2" borderId="9" xfId="2" applyNumberFormat="1" applyFont="1" applyFill="1" applyBorder="1" applyAlignment="1">
      <alignment horizontal="right" vertical="center" readingOrder="1"/>
    </xf>
    <xf numFmtId="165" fontId="28" fillId="0" borderId="9" xfId="2" applyNumberFormat="1" applyFont="1" applyFill="1" applyBorder="1" applyAlignment="1">
      <alignment horizontal="center" vertical="center" readingOrder="1"/>
    </xf>
    <xf numFmtId="170" fontId="31" fillId="2" borderId="9" xfId="2" applyNumberFormat="1" applyFont="1" applyFill="1" applyBorder="1" applyAlignment="1">
      <alignment horizontal="right" vertical="center" wrapText="1" readingOrder="1"/>
    </xf>
    <xf numFmtId="0" fontId="19" fillId="0" borderId="19" xfId="0" applyFont="1" applyBorder="1" applyAlignment="1">
      <alignment horizontal="left" vertical="center" readingOrder="1"/>
    </xf>
    <xf numFmtId="3" fontId="73" fillId="0" borderId="19" xfId="2" applyNumberFormat="1" applyFont="1" applyBorder="1" applyAlignment="1">
      <alignment horizontal="right" vertical="center" wrapText="1" readingOrder="1"/>
    </xf>
    <xf numFmtId="0" fontId="30" fillId="5" borderId="19" xfId="2" applyNumberFormat="1" applyFont="1" applyFill="1" applyBorder="1" applyAlignment="1">
      <alignment horizontal="right" vertical="center" readingOrder="1"/>
    </xf>
    <xf numFmtId="0" fontId="30" fillId="0" borderId="19" xfId="2" applyNumberFormat="1" applyFont="1" applyFill="1" applyBorder="1" applyAlignment="1">
      <alignment horizontal="right" vertical="center" readingOrder="1"/>
    </xf>
    <xf numFmtId="0" fontId="74" fillId="0" borderId="19" xfId="2" applyNumberFormat="1" applyFont="1" applyFill="1" applyBorder="1" applyAlignment="1">
      <alignment horizontal="right" vertical="center" readingOrder="1"/>
    </xf>
    <xf numFmtId="0" fontId="74" fillId="5" borderId="19" xfId="2" applyNumberFormat="1" applyFont="1" applyFill="1" applyBorder="1" applyAlignment="1">
      <alignment horizontal="right" vertical="center" readingOrder="1"/>
    </xf>
    <xf numFmtId="0" fontId="74" fillId="0" borderId="19" xfId="2" applyNumberFormat="1" applyFont="1" applyFill="1" applyBorder="1" applyAlignment="1">
      <alignment horizontal="center" vertical="center" readingOrder="1"/>
    </xf>
    <xf numFmtId="0" fontId="74" fillId="2" borderId="19" xfId="2" applyNumberFormat="1" applyFont="1" applyFill="1" applyBorder="1" applyAlignment="1">
      <alignment horizontal="right" vertical="center" readingOrder="1"/>
    </xf>
    <xf numFmtId="0" fontId="75" fillId="5" borderId="6" xfId="2" applyNumberFormat="1" applyFont="1" applyFill="1" applyBorder="1" applyAlignment="1">
      <alignment horizontal="right" vertical="center" readingOrder="1"/>
    </xf>
    <xf numFmtId="0" fontId="30" fillId="5" borderId="6" xfId="2" applyNumberFormat="1" applyFont="1" applyFill="1" applyBorder="1" applyAlignment="1">
      <alignment horizontal="right" vertical="center" readingOrder="1"/>
    </xf>
    <xf numFmtId="0" fontId="31" fillId="5" borderId="6" xfId="2" applyNumberFormat="1" applyFont="1" applyFill="1" applyBorder="1" applyAlignment="1">
      <alignment horizontal="right" vertical="center" readingOrder="1"/>
    </xf>
    <xf numFmtId="165" fontId="32" fillId="5" borderId="6" xfId="2" applyNumberFormat="1" applyFont="1" applyFill="1" applyBorder="1" applyAlignment="1">
      <alignment horizontal="right" vertical="center" readingOrder="1"/>
    </xf>
    <xf numFmtId="165" fontId="28" fillId="5" borderId="6" xfId="2" applyNumberFormat="1" applyFont="1" applyFill="1" applyBorder="1" applyAlignment="1">
      <alignment horizontal="right" vertical="center" readingOrder="1"/>
    </xf>
    <xf numFmtId="0" fontId="20" fillId="0" borderId="7" xfId="0" applyFont="1" applyBorder="1" applyAlignment="1">
      <alignment horizontal="left" vertical="center" readingOrder="1"/>
    </xf>
    <xf numFmtId="0" fontId="20" fillId="0" borderId="7" xfId="0" applyFont="1" applyBorder="1" applyAlignment="1">
      <alignment horizontal="right" vertical="center" readingOrder="1"/>
    </xf>
    <xf numFmtId="165" fontId="32" fillId="5" borderId="7" xfId="2" applyNumberFormat="1" applyFont="1" applyFill="1" applyBorder="1" applyAlignment="1">
      <alignment horizontal="right" vertical="center" readingOrder="1"/>
    </xf>
    <xf numFmtId="165" fontId="32" fillId="0" borderId="7" xfId="2" applyNumberFormat="1" applyFont="1" applyFill="1" applyBorder="1" applyAlignment="1">
      <alignment horizontal="right" vertical="center" readingOrder="1"/>
    </xf>
    <xf numFmtId="165" fontId="28" fillId="0" borderId="7" xfId="2" applyNumberFormat="1" applyFont="1" applyFill="1" applyBorder="1" applyAlignment="1">
      <alignment horizontal="right" vertical="center" readingOrder="1"/>
    </xf>
    <xf numFmtId="165" fontId="28" fillId="5" borderId="7" xfId="2" applyNumberFormat="1" applyFont="1" applyFill="1" applyBorder="1" applyAlignment="1">
      <alignment horizontal="right" vertical="center" readingOrder="1"/>
    </xf>
    <xf numFmtId="165" fontId="28" fillId="0" borderId="7" xfId="2" applyNumberFormat="1" applyFont="1" applyFill="1" applyBorder="1" applyAlignment="1">
      <alignment horizontal="center" vertical="center" readingOrder="1"/>
    </xf>
    <xf numFmtId="170" fontId="31" fillId="2" borderId="7" xfId="2" applyNumberFormat="1" applyFont="1" applyFill="1" applyBorder="1" applyAlignment="1">
      <alignment horizontal="right" vertical="center" wrapText="1" readingOrder="1"/>
    </xf>
    <xf numFmtId="9" fontId="25" fillId="0" borderId="0" xfId="2" applyFont="1"/>
    <xf numFmtId="9" fontId="25" fillId="0" borderId="0" xfId="0" applyNumberFormat="1" applyFont="1"/>
    <xf numFmtId="0" fontId="20" fillId="0" borderId="10" xfId="0" applyFont="1" applyBorder="1" applyAlignment="1">
      <alignment horizontal="left" vertical="top" wrapText="1" readingOrder="1"/>
    </xf>
    <xf numFmtId="0" fontId="28" fillId="0" borderId="10" xfId="0" applyFont="1" applyBorder="1" applyAlignment="1">
      <alignment horizontal="center" vertical="top" wrapText="1" readingOrder="1"/>
    </xf>
    <xf numFmtId="0" fontId="20" fillId="2" borderId="10" xfId="0" applyFont="1" applyFill="1" applyBorder="1" applyAlignment="1">
      <alignment horizontal="center" vertical="top" wrapText="1" readingOrder="1"/>
    </xf>
    <xf numFmtId="0" fontId="20" fillId="5" borderId="10" xfId="0" applyFont="1" applyFill="1" applyBorder="1" applyAlignment="1">
      <alignment horizontal="center" vertical="top" wrapText="1" readingOrder="1"/>
    </xf>
    <xf numFmtId="0" fontId="74" fillId="0" borderId="10" xfId="0" applyFont="1" applyBorder="1" applyAlignment="1">
      <alignment horizontal="center" vertical="top" wrapText="1" readingOrder="1"/>
    </xf>
    <xf numFmtId="0" fontId="20" fillId="0" borderId="10" xfId="0" applyFont="1" applyBorder="1" applyAlignment="1">
      <alignment horizontal="center" vertical="top" wrapText="1" readingOrder="1"/>
    </xf>
    <xf numFmtId="0" fontId="25" fillId="0" borderId="10" xfId="0" applyFont="1" applyBorder="1" applyAlignment="1">
      <alignment vertical="top" wrapText="1"/>
    </xf>
    <xf numFmtId="0" fontId="25" fillId="2" borderId="10" xfId="0" applyFont="1" applyFill="1" applyBorder="1" applyAlignment="1">
      <alignment vertical="top"/>
    </xf>
    <xf numFmtId="0" fontId="33" fillId="0" borderId="10" xfId="0" applyFont="1" applyBorder="1" applyAlignment="1">
      <alignment vertical="top" wrapText="1"/>
    </xf>
    <xf numFmtId="0" fontId="33" fillId="5" borderId="10" xfId="0" applyFont="1" applyFill="1" applyBorder="1" applyAlignment="1">
      <alignment vertical="top"/>
    </xf>
    <xf numFmtId="0" fontId="25" fillId="5" borderId="10" xfId="0" applyFont="1" applyFill="1" applyBorder="1" applyAlignment="1">
      <alignment vertical="top" wrapText="1"/>
    </xf>
    <xf numFmtId="0" fontId="25" fillId="0" borderId="26" xfId="0" applyFont="1" applyBorder="1" applyAlignment="1">
      <alignment vertical="top"/>
    </xf>
    <xf numFmtId="0" fontId="25" fillId="0" borderId="27" xfId="0" applyFont="1" applyBorder="1" applyAlignment="1">
      <alignment vertical="top" wrapText="1"/>
    </xf>
    <xf numFmtId="3" fontId="31" fillId="0" borderId="5" xfId="2" applyNumberFormat="1" applyFont="1" applyFill="1" applyBorder="1" applyAlignment="1">
      <alignment horizontal="right" vertical="center" readingOrder="1"/>
    </xf>
    <xf numFmtId="165" fontId="31" fillId="0" borderId="5" xfId="2" applyNumberFormat="1" applyFont="1" applyFill="1" applyBorder="1" applyAlignment="1">
      <alignment horizontal="right" vertical="center" readingOrder="1"/>
    </xf>
    <xf numFmtId="165" fontId="31" fillId="2" borderId="5" xfId="2" applyNumberFormat="1" applyFont="1" applyFill="1" applyBorder="1" applyAlignment="1">
      <alignment horizontal="right" vertical="center" readingOrder="1"/>
    </xf>
    <xf numFmtId="3" fontId="26" fillId="0" borderId="0" xfId="0" applyNumberFormat="1" applyFont="1" applyAlignment="1">
      <alignment vertical="center" readingOrder="1"/>
    </xf>
    <xf numFmtId="165" fontId="34" fillId="0" borderId="5" xfId="2" applyNumberFormat="1" applyFont="1" applyBorder="1" applyAlignment="1">
      <alignment horizontal="right" vertical="center" readingOrder="1"/>
    </xf>
    <xf numFmtId="175" fontId="76" fillId="0" borderId="0" xfId="0" applyNumberFormat="1" applyFont="1"/>
    <xf numFmtId="175" fontId="25" fillId="0" borderId="0" xfId="0" applyNumberFormat="1" applyFont="1"/>
    <xf numFmtId="175" fontId="25" fillId="2" borderId="0" xfId="0" applyNumberFormat="1" applyFont="1" applyFill="1"/>
    <xf numFmtId="175" fontId="25" fillId="0" borderId="28" xfId="0" applyNumberFormat="1" applyFont="1" applyBorder="1"/>
    <xf numFmtId="9" fontId="25" fillId="0" borderId="29" xfId="2" applyFont="1" applyBorder="1"/>
    <xf numFmtId="179" fontId="25" fillId="0" borderId="0" xfId="0" applyNumberFormat="1" applyFont="1"/>
    <xf numFmtId="168" fontId="31" fillId="0" borderId="4" xfId="2" applyNumberFormat="1" applyFont="1" applyBorder="1" applyAlignment="1">
      <alignment horizontal="right" vertical="center" wrapText="1" readingOrder="1"/>
    </xf>
    <xf numFmtId="179" fontId="31" fillId="0" borderId="0" xfId="0" applyNumberFormat="1" applyFont="1"/>
    <xf numFmtId="180" fontId="31" fillId="0" borderId="4" xfId="2" applyNumberFormat="1" applyFont="1" applyBorder="1" applyAlignment="1">
      <alignment horizontal="right" vertical="center" wrapText="1" readingOrder="1"/>
    </xf>
    <xf numFmtId="3" fontId="31" fillId="0" borderId="6" xfId="2" applyNumberFormat="1" applyFont="1" applyFill="1" applyBorder="1" applyAlignment="1">
      <alignment horizontal="right" vertical="center" readingOrder="1"/>
    </xf>
    <xf numFmtId="165" fontId="31" fillId="0" borderId="6" xfId="2" applyNumberFormat="1" applyFont="1" applyFill="1" applyBorder="1" applyAlignment="1">
      <alignment horizontal="right" vertical="center" readingOrder="1"/>
    </xf>
    <xf numFmtId="165" fontId="31" fillId="2" borderId="6" xfId="2" applyNumberFormat="1" applyFont="1" applyFill="1" applyBorder="1" applyAlignment="1">
      <alignment horizontal="right" vertical="center" readingOrder="1"/>
    </xf>
    <xf numFmtId="165" fontId="34" fillId="0" borderId="6" xfId="2" applyNumberFormat="1" applyFont="1" applyBorder="1" applyAlignment="1">
      <alignment horizontal="right" vertical="center" readingOrder="1"/>
    </xf>
    <xf numFmtId="168" fontId="31" fillId="0" borderId="0" xfId="2" applyNumberFormat="1" applyFont="1" applyBorder="1" applyAlignment="1">
      <alignment horizontal="right" vertical="center" wrapText="1" readingOrder="1"/>
    </xf>
    <xf numFmtId="180" fontId="31" fillId="0" borderId="0" xfId="2" applyNumberFormat="1" applyFont="1" applyBorder="1" applyAlignment="1">
      <alignment horizontal="right" vertical="center" wrapText="1" readingOrder="1"/>
    </xf>
    <xf numFmtId="0" fontId="19" fillId="0" borderId="0" xfId="0" applyFont="1" applyAlignment="1">
      <alignment horizontal="left" vertical="center" readingOrder="1"/>
    </xf>
    <xf numFmtId="3" fontId="31" fillId="0" borderId="0" xfId="2" applyNumberFormat="1" applyFont="1" applyFill="1" applyBorder="1" applyAlignment="1">
      <alignment horizontal="right" vertical="center" readingOrder="1"/>
    </xf>
    <xf numFmtId="165" fontId="31" fillId="0" borderId="0" xfId="2" applyNumberFormat="1" applyFont="1" applyFill="1" applyBorder="1" applyAlignment="1">
      <alignment horizontal="right" vertical="center" readingOrder="1"/>
    </xf>
    <xf numFmtId="165" fontId="31" fillId="2" borderId="0" xfId="2" applyNumberFormat="1" applyFont="1" applyFill="1" applyBorder="1" applyAlignment="1">
      <alignment horizontal="right" vertical="center" readingOrder="1"/>
    </xf>
    <xf numFmtId="170" fontId="31" fillId="0" borderId="0" xfId="2" applyNumberFormat="1" applyFont="1" applyBorder="1" applyAlignment="1">
      <alignment horizontal="right" vertical="center" wrapText="1" readingOrder="1"/>
    </xf>
    <xf numFmtId="165" fontId="34" fillId="0" borderId="0" xfId="2" applyNumberFormat="1" applyFont="1" applyBorder="1" applyAlignment="1">
      <alignment horizontal="right" vertical="center" readingOrder="1"/>
    </xf>
    <xf numFmtId="175" fontId="80" fillId="0" borderId="2" xfId="0" applyNumberFormat="1" applyFont="1" applyBorder="1"/>
    <xf numFmtId="9" fontId="80" fillId="0" borderId="2" xfId="2" applyFont="1" applyFill="1" applyBorder="1"/>
    <xf numFmtId="175" fontId="80" fillId="0" borderId="30" xfId="0" applyNumberFormat="1" applyFont="1" applyBorder="1"/>
    <xf numFmtId="9" fontId="80" fillId="0" borderId="31" xfId="2" applyFont="1" applyFill="1" applyBorder="1"/>
    <xf numFmtId="179" fontId="80" fillId="0" borderId="2" xfId="0" applyNumberFormat="1" applyFont="1" applyBorder="1"/>
    <xf numFmtId="168" fontId="78" fillId="0" borderId="2" xfId="2" applyNumberFormat="1" applyFont="1" applyFill="1" applyBorder="1" applyAlignment="1">
      <alignment horizontal="right" vertical="center" wrapText="1" readingOrder="1"/>
    </xf>
    <xf numFmtId="167" fontId="31" fillId="0" borderId="2" xfId="2" applyNumberFormat="1" applyFont="1" applyFill="1" applyBorder="1" applyAlignment="1">
      <alignment horizontal="right" vertical="center" wrapText="1" readingOrder="1"/>
    </xf>
    <xf numFmtId="179" fontId="78" fillId="0" borderId="2" xfId="0" applyNumberFormat="1" applyFont="1" applyBorder="1"/>
    <xf numFmtId="180" fontId="78" fillId="0" borderId="2" xfId="2" applyNumberFormat="1" applyFont="1" applyFill="1" applyBorder="1" applyAlignment="1">
      <alignment horizontal="right" vertical="center" wrapText="1" readingOrder="1"/>
    </xf>
    <xf numFmtId="0" fontId="20" fillId="0" borderId="15" xfId="0" applyFont="1" applyBorder="1" applyAlignment="1">
      <alignment horizontal="left" vertical="center" readingOrder="1"/>
    </xf>
    <xf numFmtId="3" fontId="28" fillId="0" borderId="15" xfId="2" applyNumberFormat="1" applyFont="1" applyFill="1" applyBorder="1" applyAlignment="1">
      <alignment horizontal="right" vertical="center" readingOrder="1"/>
    </xf>
    <xf numFmtId="165" fontId="28" fillId="2" borderId="15" xfId="2" applyNumberFormat="1" applyFont="1" applyFill="1" applyBorder="1" applyAlignment="1">
      <alignment horizontal="right" vertical="center" readingOrder="1"/>
    </xf>
    <xf numFmtId="165" fontId="28" fillId="5" borderId="15" xfId="2" applyNumberFormat="1" applyFont="1" applyFill="1" applyBorder="1" applyAlignment="1">
      <alignment horizontal="right" vertical="center" readingOrder="1"/>
    </xf>
    <xf numFmtId="165" fontId="31" fillId="0" borderId="15" xfId="2" applyNumberFormat="1" applyFont="1" applyFill="1" applyBorder="1" applyAlignment="1">
      <alignment horizontal="right" vertical="center" readingOrder="1"/>
    </xf>
    <xf numFmtId="170" fontId="28" fillId="0" borderId="15" xfId="2" applyNumberFormat="1" applyFont="1" applyBorder="1" applyAlignment="1">
      <alignment horizontal="right" vertical="center" wrapText="1" readingOrder="1"/>
    </xf>
    <xf numFmtId="165" fontId="34" fillId="0" borderId="15" xfId="2" applyNumberFormat="1" applyFont="1" applyBorder="1" applyAlignment="1">
      <alignment horizontal="right" vertical="center" readingOrder="1"/>
    </xf>
    <xf numFmtId="167" fontId="25" fillId="0" borderId="0" xfId="0" applyNumberFormat="1" applyFont="1"/>
    <xf numFmtId="165" fontId="30" fillId="0" borderId="5" xfId="2" applyNumberFormat="1" applyFont="1" applyFill="1" applyBorder="1" applyAlignment="1">
      <alignment horizontal="right" vertical="center" readingOrder="1"/>
    </xf>
    <xf numFmtId="1" fontId="25" fillId="0" borderId="0" xfId="0" applyNumberFormat="1" applyFont="1"/>
    <xf numFmtId="165" fontId="30" fillId="0" borderId="6" xfId="2" applyNumberFormat="1" applyFont="1" applyFill="1" applyBorder="1" applyAlignment="1">
      <alignment horizontal="right" vertical="center" readingOrder="1"/>
    </xf>
    <xf numFmtId="165" fontId="32" fillId="0" borderId="15" xfId="2" applyNumberFormat="1" applyFont="1" applyFill="1" applyBorder="1" applyAlignment="1">
      <alignment horizontal="right" vertical="center" readingOrder="1"/>
    </xf>
    <xf numFmtId="165" fontId="28" fillId="0" borderId="15" xfId="2" applyNumberFormat="1" applyFont="1" applyFill="1" applyBorder="1" applyAlignment="1">
      <alignment horizontal="right" vertical="center" readingOrder="1"/>
    </xf>
    <xf numFmtId="0" fontId="25" fillId="0" borderId="0" xfId="0" applyFont="1" applyAlignment="1">
      <alignment vertical="top" wrapText="1"/>
    </xf>
    <xf numFmtId="0" fontId="19" fillId="0" borderId="5" xfId="0" applyFont="1" applyBorder="1" applyAlignment="1">
      <alignment horizontal="left" vertical="center" wrapText="1" readingOrder="1"/>
    </xf>
    <xf numFmtId="3" fontId="30" fillId="0" borderId="5" xfId="2" applyNumberFormat="1" applyFont="1" applyFill="1" applyBorder="1" applyAlignment="1">
      <alignment horizontal="right" vertical="center" readingOrder="1"/>
    </xf>
    <xf numFmtId="3" fontId="31" fillId="2" borderId="5" xfId="2" applyNumberFormat="1" applyFont="1" applyFill="1" applyBorder="1" applyAlignment="1">
      <alignment horizontal="right" vertical="center" readingOrder="1"/>
    </xf>
    <xf numFmtId="3" fontId="74" fillId="0" borderId="5" xfId="2" applyNumberFormat="1" applyFont="1" applyBorder="1" applyAlignment="1">
      <alignment horizontal="right" vertical="center" readingOrder="1"/>
    </xf>
    <xf numFmtId="172" fontId="31" fillId="0" borderId="5" xfId="1" applyNumberFormat="1" applyFont="1" applyBorder="1" applyAlignment="1">
      <alignment horizontal="right" vertical="center" wrapText="1" readingOrder="1"/>
    </xf>
    <xf numFmtId="0" fontId="19" fillId="0" borderId="6" xfId="0" applyFont="1" applyBorder="1" applyAlignment="1">
      <alignment horizontal="left" vertical="center" wrapText="1" readingOrder="1"/>
    </xf>
    <xf numFmtId="3" fontId="30" fillId="0" borderId="6" xfId="2" applyNumberFormat="1" applyFont="1" applyFill="1" applyBorder="1" applyAlignment="1">
      <alignment horizontal="right" vertical="center" readingOrder="1"/>
    </xf>
    <xf numFmtId="3" fontId="31" fillId="2" borderId="6" xfId="2" applyNumberFormat="1" applyFont="1" applyFill="1" applyBorder="1" applyAlignment="1">
      <alignment horizontal="right" vertical="center" readingOrder="1"/>
    </xf>
    <xf numFmtId="3" fontId="74" fillId="0" borderId="6" xfId="2" applyNumberFormat="1" applyFont="1" applyBorder="1" applyAlignment="1">
      <alignment horizontal="right" vertical="center" readingOrder="1"/>
    </xf>
    <xf numFmtId="172" fontId="31" fillId="0" borderId="6" xfId="1" applyNumberFormat="1" applyFont="1" applyBorder="1" applyAlignment="1">
      <alignment horizontal="right" vertical="center" wrapText="1" readingOrder="1"/>
    </xf>
    <xf numFmtId="2" fontId="25" fillId="0" borderId="0" xfId="0" applyNumberFormat="1" applyFont="1"/>
    <xf numFmtId="0" fontId="20" fillId="0" borderId="13" xfId="0" applyFont="1" applyBorder="1" applyAlignment="1">
      <alignment horizontal="right" vertical="center" wrapText="1" readingOrder="1"/>
    </xf>
    <xf numFmtId="3" fontId="82" fillId="0" borderId="13" xfId="2" applyNumberFormat="1" applyFont="1" applyFill="1" applyBorder="1" applyAlignment="1">
      <alignment horizontal="right" vertical="center" readingOrder="1"/>
    </xf>
    <xf numFmtId="3" fontId="78" fillId="0" borderId="13" xfId="2" applyNumberFormat="1" applyFont="1" applyFill="1" applyBorder="1" applyAlignment="1">
      <alignment horizontal="right" vertical="center" readingOrder="1"/>
    </xf>
    <xf numFmtId="3" fontId="78" fillId="2" borderId="13" xfId="2" applyNumberFormat="1" applyFont="1" applyFill="1" applyBorder="1" applyAlignment="1">
      <alignment horizontal="right" vertical="center" readingOrder="1"/>
    </xf>
    <xf numFmtId="3" fontId="83" fillId="0" borderId="13" xfId="2" applyNumberFormat="1" applyFont="1" applyBorder="1" applyAlignment="1">
      <alignment horizontal="right" vertical="center" readingOrder="1"/>
    </xf>
    <xf numFmtId="172" fontId="28" fillId="0" borderId="13" xfId="1" applyNumberFormat="1" applyFont="1" applyBorder="1" applyAlignment="1">
      <alignment horizontal="right" vertical="center" wrapText="1" readingOrder="1"/>
    </xf>
    <xf numFmtId="167" fontId="78" fillId="0" borderId="13" xfId="2" applyNumberFormat="1" applyFont="1" applyBorder="1" applyAlignment="1">
      <alignment horizontal="right" vertical="center" wrapText="1" readingOrder="1"/>
    </xf>
    <xf numFmtId="0" fontId="19" fillId="0" borderId="8" xfId="0" applyFont="1" applyBorder="1" applyAlignment="1">
      <alignment horizontal="left" vertical="center" wrapText="1" readingOrder="1"/>
    </xf>
    <xf numFmtId="3" fontId="30" fillId="0" borderId="8" xfId="2" applyNumberFormat="1" applyFont="1" applyFill="1" applyBorder="1" applyAlignment="1">
      <alignment horizontal="right" vertical="center" readingOrder="1"/>
    </xf>
    <xf numFmtId="3" fontId="31" fillId="0" borderId="8" xfId="2" applyNumberFormat="1" applyFont="1" applyFill="1" applyBorder="1" applyAlignment="1">
      <alignment horizontal="right" vertical="center" readingOrder="1"/>
    </xf>
    <xf numFmtId="3" fontId="31" fillId="2" borderId="8" xfId="2" applyNumberFormat="1" applyFont="1" applyFill="1" applyBorder="1" applyAlignment="1">
      <alignment horizontal="right" vertical="center" readingOrder="1"/>
    </xf>
    <xf numFmtId="3" fontId="74" fillId="0" borderId="8" xfId="2" applyNumberFormat="1" applyFont="1" applyBorder="1" applyAlignment="1">
      <alignment horizontal="right" vertical="center" readingOrder="1"/>
    </xf>
    <xf numFmtId="172" fontId="31" fillId="0" borderId="8" xfId="1" applyNumberFormat="1" applyFont="1" applyBorder="1" applyAlignment="1">
      <alignment horizontal="right" vertical="center" wrapText="1" readingOrder="1"/>
    </xf>
    <xf numFmtId="0" fontId="77" fillId="0" borderId="9" xfId="0" applyFont="1" applyBorder="1" applyAlignment="1">
      <alignment horizontal="right" vertical="center" wrapText="1" readingOrder="1"/>
    </xf>
    <xf numFmtId="3" fontId="82" fillId="0" borderId="9" xfId="2" applyNumberFormat="1" applyFont="1" applyFill="1" applyBorder="1" applyAlignment="1">
      <alignment horizontal="right" vertical="center" readingOrder="1"/>
    </xf>
    <xf numFmtId="3" fontId="78" fillId="0" borderId="9" xfId="2" applyNumberFormat="1" applyFont="1" applyFill="1" applyBorder="1" applyAlignment="1">
      <alignment horizontal="right" vertical="center" readingOrder="1"/>
    </xf>
    <xf numFmtId="3" fontId="78" fillId="2" borderId="9" xfId="2" applyNumberFormat="1" applyFont="1" applyFill="1" applyBorder="1" applyAlignment="1">
      <alignment horizontal="right" vertical="center" readingOrder="1"/>
    </xf>
    <xf numFmtId="3" fontId="83" fillId="0" borderId="9" xfId="2" applyNumberFormat="1" applyFont="1" applyBorder="1" applyAlignment="1">
      <alignment horizontal="right" vertical="center" readingOrder="1"/>
    </xf>
    <xf numFmtId="172" fontId="28" fillId="0" borderId="9" xfId="1" applyNumberFormat="1" applyFont="1" applyBorder="1" applyAlignment="1">
      <alignment horizontal="right" vertical="center" wrapText="1" readingOrder="1"/>
    </xf>
    <xf numFmtId="167" fontId="78" fillId="0" borderId="9" xfId="2" applyNumberFormat="1" applyFont="1" applyBorder="1" applyAlignment="1">
      <alignment horizontal="right" vertical="center" wrapText="1" readingOrder="1"/>
    </xf>
    <xf numFmtId="0" fontId="19" fillId="0" borderId="14" xfId="0" applyFont="1" applyBorder="1" applyAlignment="1">
      <alignment horizontal="left" vertical="center" wrapText="1" readingOrder="1"/>
    </xf>
    <xf numFmtId="3" fontId="30" fillId="0" borderId="14" xfId="2" applyNumberFormat="1" applyFont="1" applyFill="1" applyBorder="1" applyAlignment="1">
      <alignment horizontal="right" vertical="center" readingOrder="1"/>
    </xf>
    <xf numFmtId="3" fontId="31" fillId="0" borderId="14" xfId="2" applyNumberFormat="1" applyFont="1" applyFill="1" applyBorder="1" applyAlignment="1">
      <alignment horizontal="right" vertical="center" readingOrder="1"/>
    </xf>
    <xf numFmtId="3" fontId="31" fillId="2" borderId="14" xfId="2" applyNumberFormat="1" applyFont="1" applyFill="1" applyBorder="1" applyAlignment="1">
      <alignment horizontal="right" vertical="center" readingOrder="1"/>
    </xf>
    <xf numFmtId="3" fontId="74" fillId="0" borderId="14" xfId="2" applyNumberFormat="1" applyFont="1" applyBorder="1" applyAlignment="1">
      <alignment horizontal="right" vertical="center" readingOrder="1"/>
    </xf>
    <xf numFmtId="172" fontId="31" fillId="0" borderId="14" xfId="1" applyNumberFormat="1" applyFont="1" applyBorder="1" applyAlignment="1">
      <alignment horizontal="right" vertical="center" wrapText="1" readingOrder="1"/>
    </xf>
    <xf numFmtId="167" fontId="31" fillId="0" borderId="14" xfId="2" applyNumberFormat="1" applyFont="1" applyBorder="1" applyAlignment="1">
      <alignment horizontal="right" vertical="center" wrapText="1" readingOrder="1"/>
    </xf>
    <xf numFmtId="0" fontId="77" fillId="0" borderId="13" xfId="0" applyFont="1" applyBorder="1" applyAlignment="1">
      <alignment horizontal="right" vertical="center" wrapText="1" readingOrder="1"/>
    </xf>
    <xf numFmtId="3" fontId="32" fillId="0" borderId="0" xfId="2" applyNumberFormat="1" applyFont="1" applyFill="1" applyBorder="1" applyAlignment="1">
      <alignment horizontal="right" vertical="center" readingOrder="1"/>
    </xf>
    <xf numFmtId="3" fontId="28" fillId="0" borderId="0" xfId="2" applyNumberFormat="1" applyFont="1" applyFill="1" applyBorder="1" applyAlignment="1">
      <alignment horizontal="right" vertical="center" readingOrder="1"/>
    </xf>
    <xf numFmtId="3" fontId="28" fillId="2" borderId="0" xfId="2" applyNumberFormat="1" applyFont="1" applyFill="1" applyBorder="1" applyAlignment="1">
      <alignment horizontal="right" vertical="center" readingOrder="1"/>
    </xf>
    <xf numFmtId="3" fontId="74" fillId="0" borderId="0" xfId="2" applyNumberFormat="1" applyFont="1" applyBorder="1" applyAlignment="1">
      <alignment horizontal="right" vertical="center" readingOrder="1"/>
    </xf>
    <xf numFmtId="172" fontId="28" fillId="0" borderId="0" xfId="1" applyNumberFormat="1" applyFont="1" applyBorder="1" applyAlignment="1">
      <alignment horizontal="right" vertical="center" wrapText="1" readingOrder="1"/>
    </xf>
    <xf numFmtId="167" fontId="28" fillId="0" borderId="0" xfId="2" applyNumberFormat="1" applyFont="1" applyBorder="1" applyAlignment="1">
      <alignment horizontal="right" vertical="center" wrapText="1" readingOrder="1"/>
    </xf>
    <xf numFmtId="0" fontId="20" fillId="0" borderId="22" xfId="0" applyFont="1" applyBorder="1" applyAlignment="1">
      <alignment horizontal="left" vertical="center" wrapText="1" readingOrder="1"/>
    </xf>
    <xf numFmtId="3" fontId="32" fillId="0" borderId="22" xfId="2" applyNumberFormat="1" applyFont="1" applyFill="1" applyBorder="1" applyAlignment="1">
      <alignment horizontal="right" vertical="center" readingOrder="1"/>
    </xf>
    <xf numFmtId="3" fontId="28" fillId="0" borderId="22" xfId="2" applyNumberFormat="1" applyFont="1" applyFill="1" applyBorder="1" applyAlignment="1">
      <alignment horizontal="right" vertical="center" readingOrder="1"/>
    </xf>
    <xf numFmtId="3" fontId="28" fillId="5" borderId="22" xfId="2" applyNumberFormat="1" applyFont="1" applyFill="1" applyBorder="1" applyAlignment="1">
      <alignment horizontal="right" vertical="center" readingOrder="1"/>
    </xf>
    <xf numFmtId="3" fontId="74" fillId="0" borderId="22" xfId="2" applyNumberFormat="1" applyFont="1" applyBorder="1" applyAlignment="1">
      <alignment horizontal="right" vertical="center" readingOrder="1"/>
    </xf>
    <xf numFmtId="172" fontId="28" fillId="0" borderId="22" xfId="1" applyNumberFormat="1" applyFont="1" applyBorder="1" applyAlignment="1">
      <alignment horizontal="right" vertical="center" wrapText="1" readingOrder="1"/>
    </xf>
    <xf numFmtId="167" fontId="28" fillId="0" borderId="22" xfId="2" applyNumberFormat="1" applyFont="1" applyBorder="1" applyAlignment="1">
      <alignment horizontal="right" vertical="center" wrapText="1" readingOrder="1"/>
    </xf>
    <xf numFmtId="3" fontId="32" fillId="0" borderId="6" xfId="2" applyNumberFormat="1" applyFont="1" applyFill="1" applyBorder="1" applyAlignment="1">
      <alignment horizontal="right" vertical="center" readingOrder="1"/>
    </xf>
    <xf numFmtId="3" fontId="28" fillId="0" borderId="6" xfId="2" applyNumberFormat="1" applyFont="1" applyFill="1" applyBorder="1" applyAlignment="1">
      <alignment horizontal="right" vertical="center" readingOrder="1"/>
    </xf>
    <xf numFmtId="3" fontId="28" fillId="5" borderId="6" xfId="2" applyNumberFormat="1" applyFont="1" applyFill="1" applyBorder="1" applyAlignment="1">
      <alignment horizontal="right" vertical="center" readingOrder="1"/>
    </xf>
    <xf numFmtId="172" fontId="28" fillId="0" borderId="6" xfId="1" applyNumberFormat="1" applyFont="1" applyBorder="1" applyAlignment="1">
      <alignment horizontal="right" vertical="center" wrapText="1" readingOrder="1"/>
    </xf>
    <xf numFmtId="0" fontId="20" fillId="0" borderId="12" xfId="0" applyFont="1" applyBorder="1" applyAlignment="1">
      <alignment horizontal="right" vertical="center" wrapText="1" readingOrder="1"/>
    </xf>
    <xf numFmtId="3" fontId="32" fillId="0" borderId="12" xfId="2" applyNumberFormat="1" applyFont="1" applyFill="1" applyBorder="1" applyAlignment="1">
      <alignment horizontal="right" vertical="center" readingOrder="1"/>
    </xf>
    <xf numFmtId="3" fontId="28" fillId="0" borderId="12" xfId="2" applyNumberFormat="1" applyFont="1" applyFill="1" applyBorder="1" applyAlignment="1">
      <alignment horizontal="right" vertical="center" readingOrder="1"/>
    </xf>
    <xf numFmtId="3" fontId="28" fillId="5" borderId="12" xfId="2" applyNumberFormat="1" applyFont="1" applyFill="1" applyBorder="1" applyAlignment="1">
      <alignment horizontal="right" vertical="center" readingOrder="1"/>
    </xf>
    <xf numFmtId="3" fontId="74" fillId="0" borderId="12" xfId="2" applyNumberFormat="1" applyFont="1" applyBorder="1" applyAlignment="1">
      <alignment horizontal="right" vertical="center" readingOrder="1"/>
    </xf>
    <xf numFmtId="172" fontId="28" fillId="0" borderId="12" xfId="1" applyNumberFormat="1" applyFont="1" applyBorder="1" applyAlignment="1">
      <alignment horizontal="right" vertical="center" wrapText="1" readingOrder="1"/>
    </xf>
    <xf numFmtId="167" fontId="28" fillId="0" borderId="12" xfId="2" applyNumberFormat="1" applyFont="1" applyBorder="1" applyAlignment="1">
      <alignment horizontal="right" vertical="center" wrapText="1" readingOrder="1"/>
    </xf>
    <xf numFmtId="0" fontId="30" fillId="0" borderId="0" xfId="0" applyFont="1"/>
    <xf numFmtId="0" fontId="25" fillId="0" borderId="0" xfId="0" applyFont="1" applyAlignment="1">
      <alignment horizontal="right"/>
    </xf>
    <xf numFmtId="0" fontId="31" fillId="0" borderId="5" xfId="0" applyFont="1" applyBorder="1" applyAlignment="1">
      <alignment horizontal="left" vertical="center" wrapText="1" readingOrder="1"/>
    </xf>
    <xf numFmtId="0" fontId="19" fillId="0" borderId="5" xfId="0" applyFont="1" applyBorder="1" applyAlignment="1">
      <alignment horizontal="right" vertical="center" wrapText="1" readingOrder="1"/>
    </xf>
    <xf numFmtId="175" fontId="30" fillId="2" borderId="5" xfId="2" applyNumberFormat="1" applyFont="1" applyFill="1" applyBorder="1" applyAlignment="1">
      <alignment horizontal="right" vertical="center" readingOrder="1"/>
    </xf>
    <xf numFmtId="175" fontId="31" fillId="0" borderId="5" xfId="2" applyNumberFormat="1" applyFont="1" applyFill="1" applyBorder="1" applyAlignment="1">
      <alignment horizontal="right" vertical="center" readingOrder="1"/>
    </xf>
    <xf numFmtId="175" fontId="31" fillId="2" borderId="5" xfId="2" applyNumberFormat="1" applyFont="1" applyFill="1" applyBorder="1" applyAlignment="1">
      <alignment horizontal="right" vertical="center" readingOrder="1"/>
    </xf>
    <xf numFmtId="175" fontId="74" fillId="0" borderId="5" xfId="2" applyNumberFormat="1" applyFont="1" applyBorder="1" applyAlignment="1">
      <alignment horizontal="right" vertical="center" readingOrder="1"/>
    </xf>
    <xf numFmtId="4" fontId="25" fillId="0" borderId="0" xfId="0" applyNumberFormat="1" applyFont="1"/>
    <xf numFmtId="0" fontId="31" fillId="0" borderId="8" xfId="0" applyFont="1" applyBorder="1" applyAlignment="1">
      <alignment horizontal="left" vertical="center" wrapText="1" readingOrder="1"/>
    </xf>
    <xf numFmtId="0" fontId="19" fillId="0" borderId="8" xfId="0" applyFont="1" applyBorder="1" applyAlignment="1">
      <alignment horizontal="right" vertical="center" wrapText="1" readingOrder="1"/>
    </xf>
    <xf numFmtId="175" fontId="30" fillId="2" borderId="8" xfId="2" applyNumberFormat="1" applyFont="1" applyFill="1" applyBorder="1" applyAlignment="1">
      <alignment horizontal="right" vertical="center" readingOrder="1"/>
    </xf>
    <xf numFmtId="175" fontId="31" fillId="0" borderId="8" xfId="2" applyNumberFormat="1" applyFont="1" applyFill="1" applyBorder="1" applyAlignment="1">
      <alignment horizontal="right" vertical="center" readingOrder="1"/>
    </xf>
    <xf numFmtId="175" fontId="31" fillId="2" borderId="8" xfId="2" applyNumberFormat="1" applyFont="1" applyFill="1" applyBorder="1" applyAlignment="1">
      <alignment horizontal="right" vertical="center" readingOrder="1"/>
    </xf>
    <xf numFmtId="175" fontId="74" fillId="0" borderId="8" xfId="2" applyNumberFormat="1" applyFont="1" applyBorder="1" applyAlignment="1">
      <alignment horizontal="right" vertical="center" readingOrder="1"/>
    </xf>
    <xf numFmtId="178" fontId="31" fillId="0" borderId="8" xfId="1" applyNumberFormat="1" applyFont="1" applyBorder="1" applyAlignment="1">
      <alignment horizontal="right" vertical="center" wrapText="1" readingOrder="1"/>
    </xf>
    <xf numFmtId="0" fontId="31" fillId="0" borderId="0" xfId="0" applyFont="1" applyAlignment="1">
      <alignment horizontal="left" vertical="center" wrapText="1" readingOrder="1"/>
    </xf>
    <xf numFmtId="0" fontId="19" fillId="0" borderId="0" xfId="0" applyFont="1" applyAlignment="1">
      <alignment horizontal="right" vertical="center" wrapText="1" readingOrder="1"/>
    </xf>
    <xf numFmtId="175" fontId="30" fillId="2" borderId="0" xfId="2" applyNumberFormat="1" applyFont="1" applyFill="1" applyBorder="1" applyAlignment="1">
      <alignment horizontal="right" vertical="center" readingOrder="1"/>
    </xf>
    <xf numFmtId="175" fontId="31" fillId="0" borderId="0" xfId="2" applyNumberFormat="1" applyFont="1" applyFill="1" applyBorder="1" applyAlignment="1">
      <alignment horizontal="right" vertical="center" readingOrder="1"/>
    </xf>
    <xf numFmtId="175" fontId="31" fillId="2" borderId="0" xfId="2" applyNumberFormat="1" applyFont="1" applyFill="1" applyBorder="1" applyAlignment="1">
      <alignment horizontal="right" vertical="center" readingOrder="1"/>
    </xf>
    <xf numFmtId="175" fontId="74" fillId="0" borderId="0" xfId="2" applyNumberFormat="1" applyFont="1" applyBorder="1" applyAlignment="1">
      <alignment horizontal="right" vertical="center" readingOrder="1"/>
    </xf>
    <xf numFmtId="172" fontId="31" fillId="0" borderId="0" xfId="1" applyNumberFormat="1" applyFont="1" applyBorder="1" applyAlignment="1">
      <alignment horizontal="right" vertical="center" wrapText="1" readingOrder="1"/>
    </xf>
    <xf numFmtId="0" fontId="31" fillId="0" borderId="10" xfId="0" applyFont="1" applyBorder="1" applyAlignment="1">
      <alignment horizontal="left" vertical="center" wrapText="1" readingOrder="1"/>
    </xf>
    <xf numFmtId="0" fontId="19" fillId="0" borderId="10" xfId="0" applyFont="1" applyBorder="1" applyAlignment="1">
      <alignment horizontal="right" vertical="center" wrapText="1" readingOrder="1"/>
    </xf>
    <xf numFmtId="175" fontId="30" fillId="2" borderId="10" xfId="2" applyNumberFormat="1" applyFont="1" applyFill="1" applyBorder="1" applyAlignment="1">
      <alignment horizontal="right" vertical="center" readingOrder="1"/>
    </xf>
    <xf numFmtId="175" fontId="31" fillId="0" borderId="10" xfId="2" applyNumberFormat="1" applyFont="1" applyFill="1" applyBorder="1" applyAlignment="1">
      <alignment horizontal="right" vertical="center" readingOrder="1"/>
    </xf>
    <xf numFmtId="175" fontId="31" fillId="2" borderId="10" xfId="2" applyNumberFormat="1" applyFont="1" applyFill="1" applyBorder="1" applyAlignment="1">
      <alignment horizontal="right" vertical="center" readingOrder="1"/>
    </xf>
    <xf numFmtId="175" fontId="74" fillId="0" borderId="10" xfId="2" applyNumberFormat="1" applyFont="1" applyBorder="1" applyAlignment="1">
      <alignment horizontal="right" vertical="center" readingOrder="1"/>
    </xf>
    <xf numFmtId="178" fontId="31" fillId="0" borderId="10" xfId="1" applyNumberFormat="1" applyFont="1" applyBorder="1" applyAlignment="1">
      <alignment horizontal="right" vertical="center" wrapText="1" readingOrder="1"/>
    </xf>
    <xf numFmtId="167" fontId="31" fillId="0" borderId="10" xfId="2" applyNumberFormat="1" applyFont="1" applyBorder="1" applyAlignment="1">
      <alignment horizontal="right" vertical="center" wrapText="1" readingOrder="1"/>
    </xf>
    <xf numFmtId="0" fontId="28" fillId="2" borderId="16" xfId="0" applyFont="1" applyFill="1" applyBorder="1" applyAlignment="1">
      <alignment horizontal="left" vertical="center" wrapText="1" readingOrder="1"/>
    </xf>
    <xf numFmtId="0" fontId="20" fillId="2" borderId="16" xfId="0" applyFont="1" applyFill="1" applyBorder="1" applyAlignment="1">
      <alignment horizontal="left" vertical="center" wrapText="1" readingOrder="1"/>
    </xf>
    <xf numFmtId="0" fontId="20" fillId="2" borderId="16" xfId="0" applyFont="1" applyFill="1" applyBorder="1" applyAlignment="1">
      <alignment horizontal="right" vertical="center" readingOrder="1"/>
    </xf>
    <xf numFmtId="175" fontId="32" fillId="5" borderId="16" xfId="2" applyNumberFormat="1" applyFont="1" applyFill="1" applyBorder="1" applyAlignment="1">
      <alignment horizontal="right" vertical="center" readingOrder="1"/>
    </xf>
    <xf numFmtId="175" fontId="28" fillId="0" borderId="16" xfId="2" applyNumberFormat="1" applyFont="1" applyFill="1" applyBorder="1" applyAlignment="1">
      <alignment horizontal="right" vertical="center" readingOrder="1"/>
    </xf>
    <xf numFmtId="175" fontId="28" fillId="5" borderId="16" xfId="2" applyNumberFormat="1" applyFont="1" applyFill="1" applyBorder="1" applyAlignment="1">
      <alignment horizontal="right" vertical="center" readingOrder="1"/>
    </xf>
    <xf numFmtId="175" fontId="84" fillId="2" borderId="16" xfId="2" applyNumberFormat="1" applyFont="1" applyFill="1" applyBorder="1" applyAlignment="1">
      <alignment horizontal="right" vertical="center" readingOrder="1"/>
    </xf>
    <xf numFmtId="172" fontId="28" fillId="2" borderId="16" xfId="1" applyNumberFormat="1" applyFont="1" applyFill="1" applyBorder="1" applyAlignment="1">
      <alignment horizontal="right" vertical="center" wrapText="1" readingOrder="1"/>
    </xf>
    <xf numFmtId="167" fontId="28" fillId="2" borderId="16" xfId="2" applyNumberFormat="1" applyFont="1" applyFill="1" applyBorder="1" applyAlignment="1">
      <alignment horizontal="right" vertical="center" wrapText="1" readingOrder="1"/>
    </xf>
    <xf numFmtId="0" fontId="28" fillId="2" borderId="17" xfId="0" applyFont="1" applyFill="1" applyBorder="1" applyAlignment="1">
      <alignment horizontal="left" vertical="center" wrapText="1" readingOrder="1"/>
    </xf>
    <xf numFmtId="0" fontId="20" fillId="2" borderId="17" xfId="0" applyFont="1" applyFill="1" applyBorder="1" applyAlignment="1">
      <alignment horizontal="left" vertical="center" wrapText="1" readingOrder="1"/>
    </xf>
    <xf numFmtId="0" fontId="20" fillId="2" borderId="17" xfId="0" applyFont="1" applyFill="1" applyBorder="1" applyAlignment="1">
      <alignment horizontal="right" vertical="center" readingOrder="1"/>
    </xf>
    <xf numFmtId="175" fontId="32" fillId="5" borderId="17" xfId="2" applyNumberFormat="1" applyFont="1" applyFill="1" applyBorder="1" applyAlignment="1">
      <alignment horizontal="right" vertical="center" readingOrder="1"/>
    </xf>
    <xf numFmtId="175" fontId="28" fillId="0" borderId="17" xfId="2" applyNumberFormat="1" applyFont="1" applyFill="1" applyBorder="1" applyAlignment="1">
      <alignment horizontal="right" vertical="center" readingOrder="1"/>
    </xf>
    <xf numFmtId="175" fontId="28" fillId="5" borderId="17" xfId="2" applyNumberFormat="1" applyFont="1" applyFill="1" applyBorder="1" applyAlignment="1">
      <alignment horizontal="right" vertical="center" readingOrder="1"/>
    </xf>
    <xf numFmtId="175" fontId="84" fillId="2" borderId="17" xfId="2" applyNumberFormat="1" applyFont="1" applyFill="1" applyBorder="1" applyAlignment="1">
      <alignment horizontal="right" vertical="center" readingOrder="1"/>
    </xf>
    <xf numFmtId="178" fontId="28" fillId="2" borderId="17" xfId="1" applyNumberFormat="1" applyFont="1" applyFill="1" applyBorder="1" applyAlignment="1">
      <alignment horizontal="right" vertical="center" wrapText="1" readingOrder="1"/>
    </xf>
    <xf numFmtId="167" fontId="28" fillId="2" borderId="17" xfId="2" applyNumberFormat="1" applyFont="1" applyFill="1" applyBorder="1" applyAlignment="1">
      <alignment horizontal="right" vertical="center" wrapText="1" readingOrder="1"/>
    </xf>
    <xf numFmtId="175" fontId="74" fillId="0" borderId="5" xfId="2" applyNumberFormat="1" applyFont="1" applyFill="1" applyBorder="1" applyAlignment="1">
      <alignment horizontal="right" vertical="center" readingOrder="1"/>
    </xf>
    <xf numFmtId="172" fontId="31" fillId="0" borderId="10" xfId="1" applyNumberFormat="1" applyFont="1" applyBorder="1" applyAlignment="1">
      <alignment horizontal="right" vertical="center" wrapText="1" readingOrder="1"/>
    </xf>
    <xf numFmtId="0" fontId="28" fillId="0" borderId="0" xfId="0" applyFont="1" applyAlignment="1">
      <alignment horizontal="left" vertical="center" wrapText="1" readingOrder="1"/>
    </xf>
    <xf numFmtId="0" fontId="20" fillId="0" borderId="19" xfId="0" applyFont="1" applyBorder="1" applyAlignment="1">
      <alignment horizontal="left" vertical="center" wrapText="1" readingOrder="1"/>
    </xf>
    <xf numFmtId="0" fontId="20" fillId="0" borderId="19" xfId="0" applyFont="1" applyBorder="1" applyAlignment="1">
      <alignment horizontal="right" vertical="center" readingOrder="1"/>
    </xf>
    <xf numFmtId="175" fontId="30" fillId="5" borderId="19" xfId="2" applyNumberFormat="1" applyFont="1" applyFill="1" applyBorder="1" applyAlignment="1">
      <alignment horizontal="right" vertical="center" readingOrder="1"/>
    </xf>
    <xf numFmtId="175" fontId="28" fillId="0" borderId="19" xfId="2" applyNumberFormat="1" applyFont="1" applyFill="1" applyBorder="1" applyAlignment="1">
      <alignment horizontal="right" vertical="center" readingOrder="1"/>
    </xf>
    <xf numFmtId="175" fontId="28" fillId="5" borderId="19" xfId="2" applyNumberFormat="1" applyFont="1" applyFill="1" applyBorder="1" applyAlignment="1">
      <alignment horizontal="right" vertical="center" readingOrder="1"/>
    </xf>
    <xf numFmtId="175" fontId="84" fillId="0" borderId="19" xfId="2" applyNumberFormat="1" applyFont="1" applyBorder="1" applyAlignment="1">
      <alignment horizontal="right" vertical="center" readingOrder="1"/>
    </xf>
    <xf numFmtId="172" fontId="28" fillId="0" borderId="19" xfId="1" applyNumberFormat="1" applyFont="1" applyBorder="1" applyAlignment="1">
      <alignment horizontal="right" vertical="center" wrapText="1" readingOrder="1"/>
    </xf>
    <xf numFmtId="167" fontId="28" fillId="0" borderId="19" xfId="2" applyNumberFormat="1" applyFont="1" applyBorder="1" applyAlignment="1">
      <alignment horizontal="right" vertical="center" wrapText="1" readingOrder="1"/>
    </xf>
    <xf numFmtId="0" fontId="20" fillId="0" borderId="17" xfId="0" applyFont="1" applyBorder="1" applyAlignment="1">
      <alignment horizontal="left" vertical="center" wrapText="1" readingOrder="1"/>
    </xf>
    <xf numFmtId="0" fontId="20" fillId="0" borderId="17" xfId="0" applyFont="1" applyBorder="1" applyAlignment="1">
      <alignment horizontal="right" vertical="center" readingOrder="1"/>
    </xf>
    <xf numFmtId="175" fontId="30" fillId="5" borderId="18" xfId="2" applyNumberFormat="1" applyFont="1" applyFill="1" applyBorder="1" applyAlignment="1">
      <alignment horizontal="right" vertical="center" readingOrder="1"/>
    </xf>
    <xf numFmtId="175" fontId="84" fillId="0" borderId="17" xfId="2" applyNumberFormat="1" applyFont="1" applyBorder="1" applyAlignment="1">
      <alignment horizontal="right" vertical="center" readingOrder="1"/>
    </xf>
    <xf numFmtId="178" fontId="28" fillId="0" borderId="17" xfId="1" applyNumberFormat="1" applyFont="1" applyBorder="1" applyAlignment="1">
      <alignment horizontal="right" vertical="center" wrapText="1" readingOrder="1"/>
    </xf>
    <xf numFmtId="167" fontId="28" fillId="0" borderId="17" xfId="2" applyNumberFormat="1" applyFont="1" applyBorder="1" applyAlignment="1">
      <alignment horizontal="right" vertical="center" wrapText="1" readingOrder="1"/>
    </xf>
    <xf numFmtId="0" fontId="38" fillId="10" borderId="0" xfId="11" applyFont="1" applyFill="1"/>
    <xf numFmtId="0" fontId="38" fillId="21" borderId="0" xfId="11" applyFont="1" applyFill="1" applyAlignment="1">
      <alignment horizontal="center"/>
    </xf>
    <xf numFmtId="0" fontId="38" fillId="10" borderId="0" xfId="11" applyFont="1" applyFill="1" applyAlignment="1">
      <alignment horizontal="center"/>
    </xf>
    <xf numFmtId="0" fontId="33" fillId="0" borderId="0" xfId="11" applyFont="1" applyAlignment="1">
      <alignment horizontal="left" indent="1"/>
    </xf>
    <xf numFmtId="173" fontId="32" fillId="0" borderId="0" xfId="11" applyNumberFormat="1" applyFont="1"/>
    <xf numFmtId="173" fontId="28" fillId="0" borderId="0" xfId="11" applyNumberFormat="1" applyFont="1"/>
    <xf numFmtId="173" fontId="28" fillId="11" borderId="0" xfId="11" applyNumberFormat="1" applyFont="1" applyFill="1"/>
    <xf numFmtId="0" fontId="25" fillId="0" borderId="4" xfId="11" applyFont="1" applyBorder="1" applyAlignment="1">
      <alignment horizontal="left" indent="1"/>
    </xf>
    <xf numFmtId="173" fontId="30" fillId="0" borderId="4" xfId="11" applyNumberFormat="1" applyFont="1" applyBorder="1"/>
    <xf numFmtId="173" fontId="31" fillId="0" borderId="4" xfId="11" applyNumberFormat="1" applyFont="1" applyBorder="1"/>
    <xf numFmtId="173" fontId="31" fillId="11" borderId="4" xfId="11" applyNumberFormat="1" applyFont="1" applyFill="1" applyBorder="1"/>
    <xf numFmtId="0" fontId="25" fillId="0" borderId="0" xfId="11" applyFont="1" applyAlignment="1">
      <alignment horizontal="left" indent="1"/>
    </xf>
    <xf numFmtId="173" fontId="30" fillId="0" borderId="0" xfId="11" applyNumberFormat="1" applyFont="1"/>
    <xf numFmtId="173" fontId="31" fillId="0" borderId="0" xfId="11" applyNumberFormat="1" applyFont="1"/>
    <xf numFmtId="173" fontId="31" fillId="11" borderId="0" xfId="11" applyNumberFormat="1" applyFont="1" applyFill="1"/>
    <xf numFmtId="0" fontId="33" fillId="0" borderId="15" xfId="11" applyFont="1" applyBorder="1" applyAlignment="1">
      <alignment horizontal="left" indent="1"/>
    </xf>
    <xf numFmtId="173" fontId="32" fillId="0" borderId="15" xfId="11" applyNumberFormat="1" applyFont="1" applyBorder="1"/>
    <xf numFmtId="173" fontId="28" fillId="0" borderId="15" xfId="11" applyNumberFormat="1" applyFont="1" applyBorder="1"/>
    <xf numFmtId="173" fontId="28" fillId="11" borderId="15" xfId="11" applyNumberFormat="1" applyFont="1" applyFill="1" applyBorder="1"/>
    <xf numFmtId="0" fontId="25" fillId="0" borderId="0" xfId="11" applyFont="1" applyAlignment="1">
      <alignment horizontal="right" indent="1"/>
    </xf>
    <xf numFmtId="165" fontId="30" fillId="0" borderId="0" xfId="12" applyNumberFormat="1" applyFont="1" applyFill="1"/>
    <xf numFmtId="165" fontId="31" fillId="0" borderId="0" xfId="12" applyNumberFormat="1" applyFont="1" applyFill="1"/>
    <xf numFmtId="165" fontId="31" fillId="11" borderId="0" xfId="12" applyNumberFormat="1" applyFont="1" applyFill="1"/>
    <xf numFmtId="0" fontId="25" fillId="0" borderId="4" xfId="0" applyFont="1" applyBorder="1"/>
    <xf numFmtId="0" fontId="34" fillId="0" borderId="4" xfId="0" applyFont="1" applyBorder="1" applyAlignment="1">
      <alignment horizontal="right"/>
    </xf>
    <xf numFmtId="0" fontId="25" fillId="0" borderId="4" xfId="0" applyFont="1" applyBorder="1" applyAlignment="1">
      <alignment horizontal="right"/>
    </xf>
    <xf numFmtId="0" fontId="28" fillId="0" borderId="0" xfId="0" applyFont="1" applyAlignment="1">
      <alignment vertical="center" readingOrder="1"/>
    </xf>
    <xf numFmtId="0" fontId="33" fillId="0" borderId="0" xfId="0" applyFont="1" applyAlignment="1">
      <alignment horizontal="right"/>
    </xf>
    <xf numFmtId="168" fontId="31" fillId="0" borderId="7" xfId="0" applyNumberFormat="1" applyFont="1" applyBorder="1" applyAlignment="1">
      <alignment horizontal="right" vertical="center" wrapText="1" readingOrder="1"/>
    </xf>
    <xf numFmtId="168" fontId="28" fillId="0" borderId="10" xfId="0" applyNumberFormat="1" applyFont="1" applyBorder="1" applyAlignment="1">
      <alignment horizontal="right" vertical="center" wrapText="1" readingOrder="1"/>
    </xf>
    <xf numFmtId="0" fontId="28" fillId="0" borderId="0" xfId="0" applyFont="1" applyAlignment="1">
      <alignment vertical="top" readingOrder="1"/>
    </xf>
    <xf numFmtId="0" fontId="72" fillId="0" borderId="0" xfId="0" applyFont="1" applyAlignment="1">
      <alignment vertical="top" readingOrder="1"/>
    </xf>
    <xf numFmtId="0" fontId="85" fillId="0" borderId="0" xfId="0" applyFont="1"/>
    <xf numFmtId="0" fontId="28" fillId="0" borderId="0" xfId="0" applyFont="1" applyAlignment="1">
      <alignment vertical="top"/>
    </xf>
    <xf numFmtId="0" fontId="28" fillId="0" borderId="0" xfId="0" applyFont="1" applyAlignment="1">
      <alignment horizontal="center" vertical="top"/>
    </xf>
    <xf numFmtId="0" fontId="28" fillId="0" borderId="4" xfId="0" applyFont="1" applyBorder="1"/>
    <xf numFmtId="3" fontId="30" fillId="0" borderId="4" xfId="0" applyNumberFormat="1" applyFont="1" applyBorder="1"/>
    <xf numFmtId="3" fontId="30" fillId="2" borderId="4" xfId="0" applyNumberFormat="1" applyFont="1" applyFill="1" applyBorder="1"/>
    <xf numFmtId="3" fontId="31" fillId="0" borderId="4" xfId="0" applyNumberFormat="1" applyFont="1" applyBorder="1"/>
    <xf numFmtId="3" fontId="28" fillId="0" borderId="4" xfId="0" applyNumberFormat="1" applyFont="1" applyBorder="1"/>
    <xf numFmtId="0" fontId="28" fillId="0" borderId="0" xfId="0" applyFont="1"/>
    <xf numFmtId="0" fontId="25" fillId="0" borderId="0" xfId="0" applyFont="1" applyAlignment="1">
      <alignment horizontal="left"/>
    </xf>
    <xf numFmtId="173" fontId="30" fillId="0" borderId="0" xfId="0" applyNumberFormat="1" applyFont="1" applyAlignment="1">
      <alignment horizontal="right"/>
    </xf>
    <xf numFmtId="173" fontId="31" fillId="0" borderId="0" xfId="0" applyNumberFormat="1" applyFont="1" applyAlignment="1">
      <alignment horizontal="right"/>
    </xf>
    <xf numFmtId="173" fontId="28" fillId="0" borderId="0" xfId="0" applyNumberFormat="1" applyFont="1" applyAlignment="1">
      <alignment horizontal="right"/>
    </xf>
    <xf numFmtId="167" fontId="31" fillId="0" borderId="0" xfId="2" applyNumberFormat="1" applyFont="1" applyFill="1" applyAlignment="1">
      <alignment horizontal="right"/>
    </xf>
    <xf numFmtId="0" fontId="33" fillId="0" borderId="4" xfId="0" applyFont="1" applyBorder="1"/>
    <xf numFmtId="4" fontId="32" fillId="0" borderId="4" xfId="0" applyNumberFormat="1" applyFont="1" applyBorder="1"/>
    <xf numFmtId="4" fontId="28" fillId="0" borderId="4" xfId="0" applyNumberFormat="1" applyFont="1" applyBorder="1"/>
    <xf numFmtId="4" fontId="31" fillId="0" borderId="4" xfId="0" applyNumberFormat="1" applyFont="1" applyBorder="1"/>
    <xf numFmtId="167" fontId="31" fillId="0" borderId="4" xfId="2" applyNumberFormat="1" applyFont="1" applyFill="1" applyBorder="1"/>
    <xf numFmtId="0" fontId="31" fillId="0" borderId="0" xfId="0" applyFont="1"/>
    <xf numFmtId="3" fontId="30" fillId="0" borderId="0" xfId="0" applyNumberFormat="1" applyFont="1"/>
    <xf numFmtId="3" fontId="31" fillId="0" borderId="0" xfId="0" applyNumberFormat="1" applyFont="1"/>
    <xf numFmtId="3" fontId="28" fillId="0" borderId="0" xfId="0" applyNumberFormat="1" applyFont="1"/>
    <xf numFmtId="167" fontId="31" fillId="0" borderId="0" xfId="2" applyNumberFormat="1" applyFont="1" applyFill="1"/>
    <xf numFmtId="167" fontId="28" fillId="0" borderId="4" xfId="2" applyNumberFormat="1" applyFont="1" applyFill="1" applyBorder="1"/>
    <xf numFmtId="4" fontId="30" fillId="0" borderId="4" xfId="0" applyNumberFormat="1" applyFont="1" applyBorder="1"/>
    <xf numFmtId="0" fontId="28" fillId="0" borderId="48" xfId="0" applyFont="1" applyBorder="1"/>
    <xf numFmtId="3" fontId="32" fillId="0" borderId="48" xfId="0" applyNumberFormat="1" applyFont="1" applyBorder="1"/>
    <xf numFmtId="3" fontId="28" fillId="0" borderId="48" xfId="0" applyNumberFormat="1" applyFont="1" applyBorder="1"/>
    <xf numFmtId="3" fontId="31" fillId="0" borderId="48" xfId="0" applyNumberFormat="1" applyFont="1" applyBorder="1"/>
    <xf numFmtId="167" fontId="31" fillId="0" borderId="48" xfId="2" applyNumberFormat="1" applyFont="1" applyFill="1" applyBorder="1"/>
    <xf numFmtId="167" fontId="28" fillId="0" borderId="48" xfId="2" applyNumberFormat="1" applyFont="1" applyFill="1" applyBorder="1"/>
    <xf numFmtId="173" fontId="32" fillId="0" borderId="0" xfId="0" applyNumberFormat="1" applyFont="1" applyAlignment="1">
      <alignment horizontal="right"/>
    </xf>
    <xf numFmtId="167" fontId="28" fillId="0" borderId="0" xfId="2" applyNumberFormat="1" applyFont="1" applyFill="1" applyAlignment="1">
      <alignment horizontal="right"/>
    </xf>
    <xf numFmtId="0" fontId="28" fillId="0" borderId="49" xfId="0" applyFont="1" applyBorder="1"/>
    <xf numFmtId="4" fontId="32" fillId="0" borderId="50" xfId="0" applyNumberFormat="1" applyFont="1" applyBorder="1"/>
    <xf numFmtId="4" fontId="28" fillId="0" borderId="50" xfId="0" applyNumberFormat="1" applyFont="1" applyBorder="1"/>
    <xf numFmtId="4" fontId="31" fillId="0" borderId="50" xfId="0" applyNumberFormat="1" applyFont="1" applyBorder="1"/>
    <xf numFmtId="167" fontId="31" fillId="0" borderId="50" xfId="2" applyNumberFormat="1" applyFont="1" applyFill="1" applyBorder="1"/>
    <xf numFmtId="167" fontId="28" fillId="0" borderId="50" xfId="2" applyNumberFormat="1" applyFont="1" applyFill="1" applyBorder="1"/>
    <xf numFmtId="0" fontId="86" fillId="0" borderId="0" xfId="0" applyFont="1"/>
    <xf numFmtId="0" fontId="31" fillId="0" borderId="4" xfId="0" applyFont="1" applyBorder="1"/>
    <xf numFmtId="0" fontId="28" fillId="0" borderId="4" xfId="0" applyFont="1" applyBorder="1" applyAlignment="1">
      <alignment horizontal="right"/>
    </xf>
    <xf numFmtId="0" fontId="28" fillId="0" borderId="51" xfId="0" applyFont="1" applyBorder="1"/>
    <xf numFmtId="173" fontId="32" fillId="0" borderId="50" xfId="0" applyNumberFormat="1" applyFont="1" applyBorder="1"/>
    <xf numFmtId="3" fontId="25" fillId="0" borderId="0" xfId="2" applyNumberFormat="1" applyFont="1"/>
    <xf numFmtId="17" fontId="20" fillId="2" borderId="0" xfId="0" applyNumberFormat="1" applyFont="1" applyFill="1" applyAlignment="1">
      <alignment horizontal="center" vertical="top" wrapText="1" readingOrder="1"/>
    </xf>
    <xf numFmtId="0" fontId="19" fillId="0" borderId="4" xfId="0" applyFont="1" applyBorder="1" applyAlignment="1">
      <alignment horizontal="left" vertical="center" readingOrder="1"/>
    </xf>
    <xf numFmtId="3" fontId="25" fillId="0" borderId="4" xfId="0" applyNumberFormat="1" applyFont="1" applyBorder="1"/>
    <xf numFmtId="3" fontId="25" fillId="2" borderId="4" xfId="0" applyNumberFormat="1" applyFont="1" applyFill="1" applyBorder="1"/>
    <xf numFmtId="169" fontId="19" fillId="0" borderId="4" xfId="0" applyNumberFormat="1" applyFont="1" applyBorder="1" applyAlignment="1">
      <alignment horizontal="right" vertical="center" wrapText="1" readingOrder="1"/>
    </xf>
    <xf numFmtId="3" fontId="34" fillId="0" borderId="4" xfId="0" applyNumberFormat="1" applyFont="1" applyBorder="1"/>
    <xf numFmtId="167" fontId="31" fillId="0" borderId="4" xfId="0" applyNumberFormat="1" applyFont="1" applyBorder="1" applyAlignment="1">
      <alignment horizontal="right" vertical="center" wrapText="1" readingOrder="1"/>
    </xf>
    <xf numFmtId="166" fontId="31" fillId="0" borderId="4" xfId="1" applyNumberFormat="1" applyFont="1" applyFill="1" applyBorder="1" applyAlignment="1">
      <alignment horizontal="right" vertical="center" wrapText="1" readingOrder="1"/>
    </xf>
    <xf numFmtId="3" fontId="31" fillId="0" borderId="4" xfId="0" applyNumberFormat="1" applyFont="1" applyBorder="1" applyAlignment="1">
      <alignment horizontal="right" vertical="center" wrapText="1" readingOrder="1"/>
    </xf>
    <xf numFmtId="176" fontId="30" fillId="0" borderId="0" xfId="0" applyNumberFormat="1" applyFont="1"/>
    <xf numFmtId="176" fontId="30" fillId="2" borderId="0" xfId="0" applyNumberFormat="1" applyFont="1" applyFill="1"/>
    <xf numFmtId="176" fontId="25" fillId="0" borderId="0" xfId="0" applyNumberFormat="1" applyFont="1"/>
    <xf numFmtId="176" fontId="25" fillId="2" borderId="0" xfId="0" applyNumberFormat="1" applyFont="1" applyFill="1"/>
    <xf numFmtId="193" fontId="25" fillId="0" borderId="0" xfId="0" applyNumberFormat="1" applyFont="1"/>
    <xf numFmtId="169" fontId="19" fillId="0" borderId="0" xfId="0" applyNumberFormat="1" applyFont="1" applyAlignment="1">
      <alignment horizontal="right" vertical="center" wrapText="1" readingOrder="1"/>
    </xf>
    <xf numFmtId="193" fontId="34" fillId="0" borderId="0" xfId="0" applyNumberFormat="1" applyFont="1"/>
    <xf numFmtId="167" fontId="31" fillId="0" borderId="0" xfId="0" applyNumberFormat="1" applyFont="1" applyAlignment="1">
      <alignment horizontal="right" vertical="center" wrapText="1" readingOrder="1"/>
    </xf>
    <xf numFmtId="166" fontId="31" fillId="0" borderId="0" xfId="1" applyNumberFormat="1" applyFont="1" applyBorder="1" applyAlignment="1">
      <alignment horizontal="right" vertical="center" wrapText="1" readingOrder="1"/>
    </xf>
    <xf numFmtId="0" fontId="19" fillId="0" borderId="18" xfId="0" applyFont="1" applyBorder="1" applyAlignment="1">
      <alignment horizontal="left" vertical="center" readingOrder="1"/>
    </xf>
    <xf numFmtId="176" fontId="30" fillId="0" borderId="18" xfId="0" applyNumberFormat="1" applyFont="1" applyBorder="1"/>
    <xf numFmtId="176" fontId="30" fillId="2" borderId="18" xfId="0" applyNumberFormat="1" applyFont="1" applyFill="1" applyBorder="1"/>
    <xf numFmtId="176" fontId="25" fillId="0" borderId="18" xfId="0" applyNumberFormat="1" applyFont="1" applyBorder="1"/>
    <xf numFmtId="176" fontId="25" fillId="2" borderId="18" xfId="0" applyNumberFormat="1" applyFont="1" applyFill="1" applyBorder="1"/>
    <xf numFmtId="193" fontId="25" fillId="0" borderId="18" xfId="0" applyNumberFormat="1" applyFont="1" applyBorder="1"/>
    <xf numFmtId="3" fontId="19" fillId="0" borderId="18" xfId="0" applyNumberFormat="1" applyFont="1" applyBorder="1" applyAlignment="1">
      <alignment horizontal="right" vertical="center" wrapText="1" readingOrder="1"/>
    </xf>
    <xf numFmtId="169" fontId="19" fillId="0" borderId="18" xfId="0" applyNumberFormat="1" applyFont="1" applyBorder="1" applyAlignment="1">
      <alignment horizontal="right" vertical="center" wrapText="1" readingOrder="1"/>
    </xf>
    <xf numFmtId="193" fontId="34" fillId="0" borderId="18" xfId="0" applyNumberFormat="1" applyFont="1" applyBorder="1"/>
    <xf numFmtId="167" fontId="31" fillId="0" borderId="18" xfId="0" applyNumberFormat="1" applyFont="1" applyBorder="1" applyAlignment="1">
      <alignment horizontal="right" vertical="center" wrapText="1" readingOrder="1"/>
    </xf>
    <xf numFmtId="166" fontId="31" fillId="0" borderId="18" xfId="1" applyNumberFormat="1" applyFont="1" applyBorder="1" applyAlignment="1">
      <alignment horizontal="right" vertical="center" wrapText="1" readingOrder="1"/>
    </xf>
    <xf numFmtId="3" fontId="31" fillId="0" borderId="18" xfId="0" applyNumberFormat="1" applyFont="1" applyBorder="1" applyAlignment="1">
      <alignment horizontal="right" vertical="center" wrapText="1" readingOrder="1"/>
    </xf>
    <xf numFmtId="0" fontId="20" fillId="0" borderId="21" xfId="0" applyFont="1" applyBorder="1" applyAlignment="1">
      <alignment horizontal="left" vertical="center" readingOrder="1"/>
    </xf>
    <xf numFmtId="165" fontId="32" fillId="0" borderId="21" xfId="2" applyNumberFormat="1" applyFont="1" applyFill="1" applyBorder="1" applyAlignment="1">
      <alignment horizontal="right" vertical="center" wrapText="1" readingOrder="1"/>
    </xf>
    <xf numFmtId="165" fontId="32" fillId="5" borderId="21" xfId="2" applyNumberFormat="1" applyFont="1" applyFill="1" applyBorder="1" applyAlignment="1">
      <alignment horizontal="right" vertical="center" wrapText="1" readingOrder="1"/>
    </xf>
    <xf numFmtId="165" fontId="20" fillId="0" borderId="21" xfId="2" applyNumberFormat="1" applyFont="1" applyFill="1" applyBorder="1" applyAlignment="1">
      <alignment horizontal="right" vertical="center" wrapText="1" readingOrder="1"/>
    </xf>
    <xf numFmtId="165" fontId="20" fillId="5" borderId="21" xfId="2" applyNumberFormat="1" applyFont="1" applyFill="1" applyBorder="1" applyAlignment="1">
      <alignment horizontal="right" vertical="center" wrapText="1" readingOrder="1"/>
    </xf>
    <xf numFmtId="165" fontId="19" fillId="0" borderId="21" xfId="2" applyNumberFormat="1" applyFont="1" applyFill="1" applyBorder="1" applyAlignment="1">
      <alignment horizontal="right" vertical="center" wrapText="1" readingOrder="1"/>
    </xf>
    <xf numFmtId="169" fontId="31" fillId="0" borderId="21" xfId="0" applyNumberFormat="1" applyFont="1" applyBorder="1" applyAlignment="1">
      <alignment horizontal="right" vertical="center" wrapText="1" readingOrder="1"/>
    </xf>
    <xf numFmtId="165" fontId="27" fillId="0" borderId="21" xfId="2" applyNumberFormat="1" applyFont="1" applyFill="1" applyBorder="1" applyAlignment="1">
      <alignment horizontal="right" vertical="center" wrapText="1" readingOrder="1"/>
    </xf>
    <xf numFmtId="167" fontId="31" fillId="0" borderId="21" xfId="0" applyNumberFormat="1" applyFont="1" applyBorder="1" applyAlignment="1">
      <alignment horizontal="right" vertical="center" wrapText="1" readingOrder="1"/>
    </xf>
    <xf numFmtId="0" fontId="25" fillId="0" borderId="21" xfId="0" applyFont="1" applyBorder="1"/>
    <xf numFmtId="0" fontId="20" fillId="0" borderId="10" xfId="0" applyFont="1" applyBorder="1" applyAlignment="1">
      <alignment horizontal="left" vertical="center" readingOrder="1"/>
    </xf>
    <xf numFmtId="165" fontId="32" fillId="0" borderId="10" xfId="2" applyNumberFormat="1" applyFont="1" applyFill="1" applyBorder="1" applyAlignment="1">
      <alignment horizontal="right" vertical="center" wrapText="1" readingOrder="1"/>
    </xf>
    <xf numFmtId="165" fontId="32" fillId="5" borderId="10" xfId="2" applyNumberFormat="1" applyFont="1" applyFill="1" applyBorder="1" applyAlignment="1">
      <alignment horizontal="right" vertical="center" wrapText="1" readingOrder="1"/>
    </xf>
    <xf numFmtId="165" fontId="20" fillId="0" borderId="10" xfId="2" applyNumberFormat="1" applyFont="1" applyFill="1" applyBorder="1" applyAlignment="1">
      <alignment horizontal="right" vertical="center" wrapText="1" readingOrder="1"/>
    </xf>
    <xf numFmtId="165" fontId="20" fillId="5" borderId="10" xfId="2" applyNumberFormat="1" applyFont="1" applyFill="1" applyBorder="1" applyAlignment="1">
      <alignment horizontal="right" vertical="center" wrapText="1" readingOrder="1"/>
    </xf>
    <xf numFmtId="165" fontId="19" fillId="0" borderId="10" xfId="2" applyNumberFormat="1" applyFont="1" applyFill="1" applyBorder="1" applyAlignment="1">
      <alignment horizontal="right" vertical="center" wrapText="1" readingOrder="1"/>
    </xf>
    <xf numFmtId="169" fontId="31" fillId="0" borderId="10" xfId="0" applyNumberFormat="1" applyFont="1" applyBorder="1" applyAlignment="1">
      <alignment horizontal="right" vertical="center" wrapText="1" readingOrder="1"/>
    </xf>
    <xf numFmtId="165" fontId="27" fillId="0" borderId="10" xfId="2" applyNumberFormat="1" applyFont="1" applyFill="1" applyBorder="1" applyAlignment="1">
      <alignment horizontal="right" vertical="center" wrapText="1" readingOrder="1"/>
    </xf>
    <xf numFmtId="167" fontId="31" fillId="0" borderId="10" xfId="0" applyNumberFormat="1" applyFont="1" applyBorder="1" applyAlignment="1">
      <alignment horizontal="right" vertical="center" wrapText="1" readingOrder="1"/>
    </xf>
    <xf numFmtId="0" fontId="25" fillId="0" borderId="10" xfId="0" applyFont="1" applyBorder="1"/>
    <xf numFmtId="0" fontId="87" fillId="0" borderId="4" xfId="0" applyFont="1" applyBorder="1" applyAlignment="1">
      <alignment horizontal="left" vertical="center" readingOrder="1"/>
    </xf>
    <xf numFmtId="4" fontId="88" fillId="0" borderId="4" xfId="2" applyNumberFormat="1" applyFont="1" applyFill="1" applyBorder="1" applyAlignment="1">
      <alignment horizontal="right" vertical="center" wrapText="1" readingOrder="1"/>
    </xf>
    <xf numFmtId="4" fontId="88" fillId="5" borderId="4" xfId="2" applyNumberFormat="1" applyFont="1" applyFill="1" applyBorder="1" applyAlignment="1">
      <alignment horizontal="right" vertical="center" wrapText="1" readingOrder="1"/>
    </xf>
    <xf numFmtId="4" fontId="87" fillId="0" borderId="4" xfId="2" applyNumberFormat="1" applyFont="1" applyFill="1" applyBorder="1" applyAlignment="1">
      <alignment horizontal="right" vertical="center" wrapText="1" readingOrder="1"/>
    </xf>
    <xf numFmtId="4" fontId="87" fillId="5" borderId="4" xfId="2" applyNumberFormat="1" applyFont="1" applyFill="1" applyBorder="1" applyAlignment="1">
      <alignment horizontal="right" vertical="center" wrapText="1" readingOrder="1"/>
    </xf>
    <xf numFmtId="169" fontId="31" fillId="0" borderId="4" xfId="0" applyNumberFormat="1" applyFont="1" applyBorder="1" applyAlignment="1">
      <alignment horizontal="right" vertical="center" wrapText="1" readingOrder="1"/>
    </xf>
    <xf numFmtId="166" fontId="31" fillId="0" borderId="4" xfId="1" applyNumberFormat="1" applyFont="1" applyBorder="1" applyAlignment="1">
      <alignment horizontal="right" vertical="center" wrapText="1" readingOrder="1"/>
    </xf>
    <xf numFmtId="165" fontId="27" fillId="5" borderId="21" xfId="2" applyNumberFormat="1" applyFont="1" applyFill="1" applyBorder="1" applyAlignment="1">
      <alignment horizontal="right" vertical="center" wrapText="1" readingOrder="1"/>
    </xf>
    <xf numFmtId="165" fontId="27" fillId="5" borderId="10" xfId="2" applyNumberFormat="1" applyFont="1" applyFill="1" applyBorder="1" applyAlignment="1">
      <alignment horizontal="right" vertical="center" wrapText="1" readingOrder="1"/>
    </xf>
    <xf numFmtId="0" fontId="88" fillId="0" borderId="0" xfId="0" applyFont="1"/>
    <xf numFmtId="2" fontId="88" fillId="0" borderId="0" xfId="0" applyNumberFormat="1" applyFont="1"/>
    <xf numFmtId="166" fontId="31" fillId="0" borderId="0" xfId="1" applyNumberFormat="1" applyFont="1" applyFill="1" applyBorder="1" applyAlignment="1">
      <alignment horizontal="right" vertical="center" wrapText="1" readingOrder="1"/>
    </xf>
    <xf numFmtId="166" fontId="31" fillId="0" borderId="18" xfId="1" applyNumberFormat="1" applyFont="1" applyFill="1" applyBorder="1" applyAlignment="1">
      <alignment horizontal="right" vertical="center" wrapText="1" readingOrder="1"/>
    </xf>
    <xf numFmtId="0" fontId="20" fillId="0" borderId="4" xfId="0" applyFont="1" applyBorder="1" applyAlignment="1">
      <alignment horizontal="left" vertical="center" readingOrder="1"/>
    </xf>
    <xf numFmtId="173" fontId="31" fillId="0" borderId="0" xfId="0" applyNumberFormat="1" applyFont="1" applyAlignment="1">
      <alignment horizontal="right" vertical="center" readingOrder="1"/>
    </xf>
    <xf numFmtId="3" fontId="33" fillId="0" borderId="0" xfId="0" applyNumberFormat="1" applyFont="1"/>
    <xf numFmtId="173" fontId="25" fillId="0" borderId="0" xfId="0" applyNumberFormat="1" applyFont="1"/>
    <xf numFmtId="17" fontId="20" fillId="0" borderId="10" xfId="0" applyNumberFormat="1" applyFont="1" applyBorder="1" applyAlignment="1">
      <alignment horizontal="center" vertical="top" wrapText="1" readingOrder="1"/>
    </xf>
    <xf numFmtId="17" fontId="20" fillId="5" borderId="10" xfId="0" applyNumberFormat="1" applyFont="1" applyFill="1" applyBorder="1" applyAlignment="1">
      <alignment horizontal="center" vertical="top" wrapText="1" readingOrder="1"/>
    </xf>
    <xf numFmtId="0" fontId="31" fillId="9" borderId="0" xfId="0" applyFont="1" applyFill="1" applyAlignment="1">
      <alignment vertical="top"/>
    </xf>
    <xf numFmtId="3" fontId="30" fillId="2" borderId="4" xfId="0" applyNumberFormat="1" applyFont="1" applyFill="1" applyBorder="1" applyAlignment="1">
      <alignment horizontal="right" vertical="center" wrapText="1" readingOrder="1"/>
    </xf>
    <xf numFmtId="1" fontId="30" fillId="0" borderId="0" xfId="0" applyNumberFormat="1" applyFont="1" applyAlignment="1">
      <alignment horizontal="right" vertical="center"/>
    </xf>
    <xf numFmtId="3" fontId="31" fillId="0" borderId="4" xfId="0" applyNumberFormat="1" applyFont="1" applyBorder="1" applyAlignment="1">
      <alignment horizontal="right" vertical="center" readingOrder="1"/>
    </xf>
    <xf numFmtId="3" fontId="19" fillId="0" borderId="4" xfId="0" applyNumberFormat="1" applyFont="1" applyBorder="1" applyAlignment="1">
      <alignment horizontal="right" vertical="center" readingOrder="1"/>
    </xf>
    <xf numFmtId="171" fontId="31" fillId="0" borderId="4" xfId="2" applyNumberFormat="1" applyFont="1" applyBorder="1" applyAlignment="1">
      <alignment horizontal="right" vertical="center" wrapText="1" readingOrder="1"/>
    </xf>
    <xf numFmtId="168" fontId="31" fillId="0" borderId="4" xfId="0" applyNumberFormat="1" applyFont="1" applyBorder="1" applyAlignment="1">
      <alignment horizontal="right" vertical="center" wrapText="1" readingOrder="1"/>
    </xf>
    <xf numFmtId="3" fontId="29" fillId="0" borderId="4" xfId="0" applyNumberFormat="1" applyFont="1" applyBorder="1" applyAlignment="1">
      <alignment horizontal="right" vertical="center" wrapText="1" readingOrder="1"/>
    </xf>
    <xf numFmtId="3" fontId="30" fillId="2" borderId="0" xfId="0" applyNumberFormat="1" applyFont="1" applyFill="1" applyAlignment="1">
      <alignment horizontal="right" vertical="center" wrapText="1" readingOrder="1"/>
    </xf>
    <xf numFmtId="3" fontId="31" fillId="0" borderId="0" xfId="0" applyNumberFormat="1" applyFont="1" applyAlignment="1">
      <alignment horizontal="right" vertical="center" readingOrder="1"/>
    </xf>
    <xf numFmtId="3" fontId="19" fillId="0" borderId="0" xfId="0" applyNumberFormat="1" applyFont="1" applyAlignment="1">
      <alignment horizontal="right" vertical="center" readingOrder="1"/>
    </xf>
    <xf numFmtId="168" fontId="31" fillId="0" borderId="0" xfId="0" applyNumberFormat="1" applyFont="1" applyAlignment="1">
      <alignment horizontal="right" vertical="center" wrapText="1" readingOrder="1"/>
    </xf>
    <xf numFmtId="2" fontId="31" fillId="0" borderId="0" xfId="0" applyNumberFormat="1" applyFont="1"/>
    <xf numFmtId="3" fontId="32" fillId="0" borderId="15" xfId="0" applyNumberFormat="1" applyFont="1" applyBorder="1" applyAlignment="1">
      <alignment horizontal="right" vertical="center" readingOrder="1"/>
    </xf>
    <xf numFmtId="3" fontId="28" fillId="0" borderId="15" xfId="0" applyNumberFormat="1" applyFont="1" applyBorder="1" applyAlignment="1">
      <alignment horizontal="right" vertical="center" readingOrder="1"/>
    </xf>
    <xf numFmtId="3" fontId="28" fillId="5" borderId="15" xfId="0" applyNumberFormat="1" applyFont="1" applyFill="1" applyBorder="1" applyAlignment="1">
      <alignment horizontal="right" vertical="center" readingOrder="1"/>
    </xf>
    <xf numFmtId="3" fontId="20" fillId="0" borderId="15" xfId="0" applyNumberFormat="1" applyFont="1" applyBorder="1" applyAlignment="1">
      <alignment horizontal="right" vertical="center" readingOrder="1"/>
    </xf>
    <xf numFmtId="171" fontId="28" fillId="0" borderId="15" xfId="0" applyNumberFormat="1" applyFont="1" applyBorder="1" applyAlignment="1">
      <alignment horizontal="right" vertical="center" readingOrder="1"/>
    </xf>
    <xf numFmtId="168" fontId="28" fillId="0" borderId="15" xfId="0" applyNumberFormat="1" applyFont="1" applyBorder="1" applyAlignment="1">
      <alignment horizontal="right" vertical="center" wrapText="1" readingOrder="1"/>
    </xf>
    <xf numFmtId="3" fontId="29" fillId="0" borderId="15" xfId="0" applyNumberFormat="1" applyFont="1" applyBorder="1" applyAlignment="1">
      <alignment horizontal="right" vertical="center" wrapText="1" readingOrder="1"/>
    </xf>
    <xf numFmtId="4" fontId="28" fillId="0" borderId="15" xfId="0" applyNumberFormat="1" applyFont="1" applyBorder="1" applyAlignment="1">
      <alignment horizontal="right" vertical="center" wrapText="1" readingOrder="1"/>
    </xf>
    <xf numFmtId="3" fontId="31" fillId="2" borderId="4" xfId="0" applyNumberFormat="1" applyFont="1" applyFill="1" applyBorder="1" applyAlignment="1">
      <alignment horizontal="right" vertical="center" readingOrder="1"/>
    </xf>
    <xf numFmtId="3" fontId="34" fillId="0" borderId="4" xfId="0" applyNumberFormat="1" applyFont="1" applyBorder="1" applyAlignment="1">
      <alignment horizontal="right" vertical="center" readingOrder="1"/>
    </xf>
    <xf numFmtId="3" fontId="31" fillId="2" borderId="0" xfId="0" applyNumberFormat="1" applyFont="1" applyFill="1" applyAlignment="1">
      <alignment horizontal="right" vertical="center" readingOrder="1"/>
    </xf>
    <xf numFmtId="3" fontId="34" fillId="0" borderId="0" xfId="0" applyNumberFormat="1" applyFont="1" applyAlignment="1">
      <alignment horizontal="right" vertical="center" readingOrder="1"/>
    </xf>
    <xf numFmtId="0" fontId="19" fillId="0" borderId="10" xfId="0" applyFont="1" applyBorder="1" applyAlignment="1">
      <alignment horizontal="left" vertical="center" readingOrder="1"/>
    </xf>
    <xf numFmtId="3" fontId="31" fillId="0" borderId="10" xfId="0" applyNumberFormat="1" applyFont="1" applyBorder="1" applyAlignment="1">
      <alignment horizontal="right" vertical="center" readingOrder="1"/>
    </xf>
    <xf numFmtId="3" fontId="31" fillId="2" borderId="10" xfId="0" applyNumberFormat="1" applyFont="1" applyFill="1" applyBorder="1" applyAlignment="1">
      <alignment horizontal="right" vertical="center" readingOrder="1"/>
    </xf>
    <xf numFmtId="3" fontId="19" fillId="0" borderId="10" xfId="0" applyNumberFormat="1" applyFont="1" applyBorder="1" applyAlignment="1">
      <alignment horizontal="right" vertical="center" readingOrder="1"/>
    </xf>
    <xf numFmtId="171" fontId="31" fillId="0" borderId="10" xfId="0" applyNumberFormat="1" applyFont="1" applyBorder="1" applyAlignment="1">
      <alignment horizontal="right" vertical="center" readingOrder="1"/>
    </xf>
    <xf numFmtId="168" fontId="31" fillId="0" borderId="10" xfId="0" applyNumberFormat="1" applyFont="1" applyBorder="1" applyAlignment="1">
      <alignment horizontal="right" vertical="center" wrapText="1" readingOrder="1"/>
    </xf>
    <xf numFmtId="3" fontId="34" fillId="0" borderId="10" xfId="0" applyNumberFormat="1" applyFont="1" applyBorder="1" applyAlignment="1">
      <alignment horizontal="right" vertical="center" readingOrder="1"/>
    </xf>
    <xf numFmtId="0" fontId="20" fillId="0" borderId="2" xfId="0" applyFont="1" applyBorder="1" applyAlignment="1">
      <alignment horizontal="left" vertical="center" readingOrder="1"/>
    </xf>
    <xf numFmtId="3" fontId="28" fillId="0" borderId="2" xfId="0" applyNumberFormat="1" applyFont="1" applyBorder="1" applyAlignment="1">
      <alignment horizontal="right" vertical="center" readingOrder="1"/>
    </xf>
    <xf numFmtId="3" fontId="28" fillId="2" borderId="2" xfId="0" applyNumberFormat="1" applyFont="1" applyFill="1" applyBorder="1" applyAlignment="1">
      <alignment horizontal="right" vertical="center" readingOrder="1"/>
    </xf>
    <xf numFmtId="3" fontId="20" fillId="0" borderId="2" xfId="0" applyNumberFormat="1" applyFont="1" applyBorder="1" applyAlignment="1">
      <alignment horizontal="right" vertical="center" readingOrder="1"/>
    </xf>
    <xf numFmtId="171" fontId="28" fillId="0" borderId="4" xfId="0" applyNumberFormat="1" applyFont="1" applyBorder="1" applyAlignment="1">
      <alignment horizontal="right" vertical="center" readingOrder="1"/>
    </xf>
    <xf numFmtId="168" fontId="28" fillId="0" borderId="4" xfId="0" applyNumberFormat="1" applyFont="1" applyBorder="1" applyAlignment="1">
      <alignment horizontal="right" vertical="center" wrapText="1" readingOrder="1"/>
    </xf>
    <xf numFmtId="3" fontId="27" fillId="0" borderId="2" xfId="0" applyNumberFormat="1" applyFont="1" applyBorder="1" applyAlignment="1">
      <alignment horizontal="right" vertical="center" readingOrder="1"/>
    </xf>
    <xf numFmtId="0" fontId="20" fillId="2" borderId="0" xfId="0" applyFont="1" applyFill="1" applyAlignment="1">
      <alignment horizontal="left" vertical="center" readingOrder="1"/>
    </xf>
    <xf numFmtId="0" fontId="27" fillId="0" borderId="4" xfId="0" applyFont="1" applyBorder="1" applyAlignment="1">
      <alignment horizontal="left" vertical="center" readingOrder="1"/>
    </xf>
    <xf numFmtId="181" fontId="31" fillId="0" borderId="0" xfId="0" applyNumberFormat="1" applyFont="1" applyAlignment="1">
      <alignment horizontal="right" vertical="center" readingOrder="1"/>
    </xf>
    <xf numFmtId="3" fontId="27" fillId="0" borderId="0" xfId="0" applyNumberFormat="1" applyFont="1" applyAlignment="1">
      <alignment horizontal="right" vertical="center" wrapText="1" readingOrder="1"/>
    </xf>
    <xf numFmtId="173" fontId="33" fillId="0" borderId="0" xfId="0" applyNumberFormat="1" applyFont="1"/>
    <xf numFmtId="181" fontId="28" fillId="0" borderId="18" xfId="0" applyNumberFormat="1" applyFont="1" applyBorder="1" applyAlignment="1">
      <alignment horizontal="right" vertical="center" readingOrder="1"/>
    </xf>
    <xf numFmtId="167" fontId="28" fillId="0" borderId="18" xfId="0" applyNumberFormat="1" applyFont="1" applyBorder="1" applyAlignment="1">
      <alignment horizontal="right" vertical="center" wrapText="1" readingOrder="1"/>
    </xf>
    <xf numFmtId="3" fontId="27" fillId="0" borderId="18" xfId="0" applyNumberFormat="1" applyFont="1" applyBorder="1" applyAlignment="1">
      <alignment horizontal="right" vertical="center" wrapText="1" readingOrder="1"/>
    </xf>
    <xf numFmtId="168" fontId="28" fillId="0" borderId="18" xfId="0" applyNumberFormat="1" applyFont="1" applyBorder="1" applyAlignment="1">
      <alignment horizontal="right" vertical="center" wrapText="1" readingOrder="1"/>
    </xf>
    <xf numFmtId="0" fontId="19" fillId="0" borderId="21" xfId="0" applyFont="1" applyBorder="1" applyAlignment="1">
      <alignment horizontal="left" vertical="center" readingOrder="1"/>
    </xf>
    <xf numFmtId="187" fontId="31" fillId="0" borderId="21" xfId="0" applyNumberFormat="1" applyFont="1" applyBorder="1" applyAlignment="1">
      <alignment horizontal="right" vertical="center" readingOrder="1"/>
    </xf>
    <xf numFmtId="187" fontId="31" fillId="5" borderId="21" xfId="0" applyNumberFormat="1" applyFont="1" applyFill="1" applyBorder="1" applyAlignment="1">
      <alignment horizontal="right" vertical="center" readingOrder="1"/>
    </xf>
    <xf numFmtId="188" fontId="31" fillId="0" borderId="21" xfId="0" applyNumberFormat="1" applyFont="1" applyBorder="1" applyAlignment="1">
      <alignment horizontal="right" vertical="center" readingOrder="1"/>
    </xf>
    <xf numFmtId="168" fontId="31" fillId="0" borderId="21" xfId="0" applyNumberFormat="1" applyFont="1" applyBorder="1" applyAlignment="1">
      <alignment horizontal="right" vertical="center" wrapText="1" readingOrder="1"/>
    </xf>
    <xf numFmtId="187" fontId="34" fillId="0" borderId="21" xfId="0" applyNumberFormat="1" applyFont="1" applyBorder="1" applyAlignment="1">
      <alignment horizontal="right" vertical="center" wrapText="1" readingOrder="1"/>
    </xf>
    <xf numFmtId="187" fontId="25" fillId="0" borderId="0" xfId="0" applyNumberFormat="1" applyFont="1"/>
    <xf numFmtId="187" fontId="25" fillId="5" borderId="0" xfId="0" applyNumberFormat="1" applyFont="1" applyFill="1"/>
    <xf numFmtId="188" fontId="25" fillId="0" borderId="0" xfId="0" applyNumberFormat="1" applyFont="1"/>
    <xf numFmtId="187" fontId="34" fillId="0" borderId="0" xfId="0" applyNumberFormat="1" applyFont="1"/>
    <xf numFmtId="0" fontId="33" fillId="0" borderId="18" xfId="0" applyFont="1" applyBorder="1" applyAlignment="1">
      <alignment horizontal="left"/>
    </xf>
    <xf numFmtId="187" fontId="33" fillId="0" borderId="18" xfId="0" applyNumberFormat="1" applyFont="1" applyBorder="1"/>
    <xf numFmtId="187" fontId="33" fillId="5" borderId="18" xfId="0" applyNumberFormat="1" applyFont="1" applyFill="1" applyBorder="1"/>
    <xf numFmtId="188" fontId="33" fillId="0" borderId="18" xfId="0" applyNumberFormat="1" applyFont="1" applyBorder="1"/>
    <xf numFmtId="187" fontId="27" fillId="0" borderId="18" xfId="0" applyNumberFormat="1" applyFont="1" applyBorder="1"/>
    <xf numFmtId="0" fontId="89" fillId="0" borderId="0" xfId="0" applyFont="1"/>
    <xf numFmtId="0" fontId="90" fillId="0" borderId="0" xfId="0" applyFont="1" applyAlignment="1">
      <alignment horizontal="left"/>
    </xf>
    <xf numFmtId="0" fontId="90" fillId="0" borderId="0" xfId="0" applyFont="1"/>
    <xf numFmtId="3" fontId="34" fillId="0" borderId="0" xfId="0" applyNumberFormat="1" applyFont="1"/>
    <xf numFmtId="3" fontId="89" fillId="0" borderId="0" xfId="0" applyNumberFormat="1" applyFont="1"/>
    <xf numFmtId="9" fontId="30" fillId="2" borderId="6" xfId="2" applyFont="1" applyFill="1" applyBorder="1" applyAlignment="1">
      <alignment horizontal="right" vertical="center" readingOrder="1"/>
    </xf>
    <xf numFmtId="9" fontId="30" fillId="0" borderId="6" xfId="2" applyFont="1" applyFill="1" applyBorder="1" applyAlignment="1">
      <alignment horizontal="right" vertical="center" readingOrder="1"/>
    </xf>
    <xf numFmtId="9" fontId="31" fillId="0" borderId="6" xfId="2" applyFont="1" applyFill="1" applyBorder="1" applyAlignment="1">
      <alignment horizontal="right" vertical="center" readingOrder="1"/>
    </xf>
    <xf numFmtId="9" fontId="19" fillId="0" borderId="6" xfId="2" applyFont="1" applyBorder="1" applyAlignment="1">
      <alignment horizontal="right" vertical="center" readingOrder="1"/>
    </xf>
    <xf numFmtId="167" fontId="31" fillId="0" borderId="20" xfId="2" applyNumberFormat="1" applyFont="1" applyBorder="1" applyAlignment="1">
      <alignment horizontal="right" vertical="center" wrapText="1" readingOrder="1"/>
    </xf>
    <xf numFmtId="9" fontId="31" fillId="0" borderId="6" xfId="2" applyFont="1" applyFill="1" applyBorder="1" applyAlignment="1">
      <alignment horizontal="right" vertical="center" wrapText="1" readingOrder="1"/>
    </xf>
    <xf numFmtId="9" fontId="32" fillId="5" borderId="15" xfId="2" applyFont="1" applyFill="1" applyBorder="1" applyAlignment="1">
      <alignment horizontal="right" vertical="center" readingOrder="1"/>
    </xf>
    <xf numFmtId="9" fontId="32" fillId="0" borderId="15" xfId="2" applyFont="1" applyFill="1" applyBorder="1" applyAlignment="1">
      <alignment horizontal="right" vertical="center" readingOrder="1"/>
    </xf>
    <xf numFmtId="9" fontId="28" fillId="0" borderId="15" xfId="2" applyFont="1" applyFill="1" applyBorder="1" applyAlignment="1">
      <alignment horizontal="right" vertical="center" readingOrder="1"/>
    </xf>
    <xf numFmtId="9" fontId="28" fillId="5" borderId="15" xfId="2" applyFont="1" applyFill="1" applyBorder="1" applyAlignment="1">
      <alignment horizontal="right" vertical="center" readingOrder="1"/>
    </xf>
    <xf numFmtId="9" fontId="20" fillId="0" borderId="15" xfId="2" applyFont="1" applyBorder="1" applyAlignment="1">
      <alignment horizontal="right" vertical="center" readingOrder="1"/>
    </xf>
    <xf numFmtId="167" fontId="31" fillId="0" borderId="15" xfId="2" applyNumberFormat="1" applyFont="1" applyBorder="1" applyAlignment="1">
      <alignment horizontal="right" vertical="center" wrapText="1" readingOrder="1"/>
    </xf>
    <xf numFmtId="9" fontId="28" fillId="0" borderId="15" xfId="2" applyFont="1" applyFill="1" applyBorder="1" applyAlignment="1">
      <alignment horizontal="right" vertical="center" wrapText="1" readingOrder="1"/>
    </xf>
    <xf numFmtId="3" fontId="30" fillId="0" borderId="5" xfId="0" applyNumberFormat="1" applyFont="1" applyBorder="1" applyAlignment="1">
      <alignment horizontal="right" vertical="center" readingOrder="1"/>
    </xf>
    <xf numFmtId="3" fontId="31" fillId="0" borderId="5" xfId="0" applyNumberFormat="1" applyFont="1" applyBorder="1" applyAlignment="1">
      <alignment horizontal="right" vertical="center" readingOrder="1"/>
    </xf>
    <xf numFmtId="3" fontId="31" fillId="2" borderId="5" xfId="0" applyNumberFormat="1" applyFont="1" applyFill="1" applyBorder="1" applyAlignment="1">
      <alignment horizontal="right" vertical="center" readingOrder="1"/>
    </xf>
    <xf numFmtId="3" fontId="19" fillId="0" borderId="5" xfId="0" applyNumberFormat="1" applyFont="1" applyBorder="1" applyAlignment="1">
      <alignment horizontal="right" vertical="center" readingOrder="1"/>
    </xf>
    <xf numFmtId="171" fontId="31" fillId="0" borderId="5" xfId="2" applyNumberFormat="1" applyFont="1" applyBorder="1" applyAlignment="1">
      <alignment horizontal="right" vertical="center" wrapText="1" readingOrder="1"/>
    </xf>
    <xf numFmtId="3" fontId="29" fillId="0" borderId="5" xfId="0" applyNumberFormat="1" applyFont="1" applyBorder="1" applyAlignment="1">
      <alignment horizontal="right" vertical="center" wrapText="1" readingOrder="1"/>
    </xf>
    <xf numFmtId="3" fontId="30" fillId="0" borderId="9" xfId="0" applyNumberFormat="1" applyFont="1" applyBorder="1" applyAlignment="1">
      <alignment horizontal="right" vertical="center" readingOrder="1"/>
    </xf>
    <xf numFmtId="3" fontId="31" fillId="0" borderId="9" xfId="0" applyNumberFormat="1" applyFont="1" applyBorder="1" applyAlignment="1">
      <alignment horizontal="right" vertical="center" readingOrder="1"/>
    </xf>
    <xf numFmtId="3" fontId="31" fillId="2" borderId="9" xfId="0" applyNumberFormat="1" applyFont="1" applyFill="1" applyBorder="1" applyAlignment="1">
      <alignment horizontal="right" vertical="center" readingOrder="1"/>
    </xf>
    <xf numFmtId="3" fontId="19" fillId="0" borderId="9" xfId="0" applyNumberFormat="1" applyFont="1" applyBorder="1" applyAlignment="1">
      <alignment horizontal="right" vertical="center" readingOrder="1"/>
    </xf>
    <xf numFmtId="3" fontId="29" fillId="0" borderId="9" xfId="0" applyNumberFormat="1" applyFont="1" applyBorder="1" applyAlignment="1">
      <alignment horizontal="right" vertical="center" wrapText="1" readingOrder="1"/>
    </xf>
    <xf numFmtId="9" fontId="32" fillId="5" borderId="15" xfId="2" applyFont="1" applyFill="1" applyBorder="1" applyAlignment="1">
      <alignment horizontal="right" vertical="center" wrapText="1" readingOrder="1"/>
    </xf>
    <xf numFmtId="165" fontId="20" fillId="0" borderId="15" xfId="2" applyNumberFormat="1" applyFont="1" applyBorder="1" applyAlignment="1">
      <alignment horizontal="right" vertical="center" readingOrder="1"/>
    </xf>
    <xf numFmtId="9" fontId="29" fillId="0" borderId="15" xfId="2" applyFont="1" applyFill="1" applyBorder="1" applyAlignment="1">
      <alignment horizontal="right" vertical="center" wrapText="1" readingOrder="1"/>
    </xf>
    <xf numFmtId="0" fontId="91" fillId="0" borderId="0" xfId="0" applyFont="1"/>
    <xf numFmtId="3" fontId="34" fillId="2" borderId="4" xfId="0" applyNumberFormat="1" applyFont="1" applyFill="1" applyBorder="1" applyAlignment="1">
      <alignment horizontal="right" vertical="center" wrapText="1" readingOrder="1"/>
    </xf>
    <xf numFmtId="3" fontId="34" fillId="2" borderId="0" xfId="0" applyNumberFormat="1" applyFont="1" applyFill="1" applyAlignment="1">
      <alignment horizontal="right" vertical="center" wrapText="1" readingOrder="1"/>
    </xf>
    <xf numFmtId="3" fontId="34" fillId="2" borderId="10" xfId="0" applyNumberFormat="1" applyFont="1" applyFill="1" applyBorder="1" applyAlignment="1">
      <alignment horizontal="right" vertical="center" wrapText="1" readingOrder="1"/>
    </xf>
    <xf numFmtId="3" fontId="27" fillId="2" borderId="2" xfId="0" applyNumberFormat="1" applyFont="1" applyFill="1" applyBorder="1" applyAlignment="1">
      <alignment horizontal="right" vertical="center" wrapText="1" readingOrder="1"/>
    </xf>
    <xf numFmtId="0" fontId="27" fillId="2" borderId="0" xfId="0" applyFont="1" applyFill="1" applyAlignment="1">
      <alignment horizontal="left" vertical="center" readingOrder="1"/>
    </xf>
    <xf numFmtId="0" fontId="27" fillId="0" borderId="0" xfId="0" applyFont="1" applyAlignment="1">
      <alignment horizontal="left" vertical="center" readingOrder="1"/>
    </xf>
    <xf numFmtId="3" fontId="27" fillId="2" borderId="0" xfId="0" applyNumberFormat="1" applyFont="1" applyFill="1" applyAlignment="1">
      <alignment horizontal="right" vertical="center" wrapText="1" readingOrder="1"/>
    </xf>
    <xf numFmtId="173" fontId="27" fillId="0" borderId="0" xfId="0" applyNumberFormat="1" applyFont="1"/>
    <xf numFmtId="3" fontId="34" fillId="5" borderId="21" xfId="0" applyNumberFormat="1" applyFont="1" applyFill="1" applyBorder="1" applyAlignment="1">
      <alignment horizontal="right" vertical="center" wrapText="1" readingOrder="1"/>
    </xf>
    <xf numFmtId="187" fontId="34" fillId="0" borderId="21" xfId="0" applyNumberFormat="1" applyFont="1" applyBorder="1" applyAlignment="1">
      <alignment horizontal="right" vertical="center" readingOrder="1"/>
    </xf>
    <xf numFmtId="190" fontId="34" fillId="5" borderId="0" xfId="0" applyNumberFormat="1" applyFont="1" applyFill="1"/>
    <xf numFmtId="0" fontId="27" fillId="5" borderId="18" xfId="0" applyFont="1" applyFill="1" applyBorder="1"/>
    <xf numFmtId="17" fontId="20" fillId="0" borderId="15" xfId="0" applyNumberFormat="1" applyFont="1" applyBorder="1" applyAlignment="1">
      <alignment horizontal="center" vertical="top" wrapText="1" readingOrder="1"/>
    </xf>
    <xf numFmtId="17" fontId="20" fillId="5" borderId="15" xfId="0" applyNumberFormat="1" applyFont="1" applyFill="1" applyBorder="1" applyAlignment="1">
      <alignment horizontal="center" vertical="top" wrapText="1" readingOrder="1"/>
    </xf>
    <xf numFmtId="0" fontId="19" fillId="0" borderId="15" xfId="0" applyFont="1" applyBorder="1" applyAlignment="1">
      <alignment horizontal="center" vertical="top" wrapText="1" readingOrder="1"/>
    </xf>
    <xf numFmtId="0" fontId="20" fillId="0" borderId="15" xfId="0" applyFont="1" applyBorder="1" applyAlignment="1">
      <alignment horizontal="center" vertical="top" wrapText="1" readingOrder="1"/>
    </xf>
    <xf numFmtId="17" fontId="20" fillId="2" borderId="15" xfId="0" applyNumberFormat="1" applyFont="1" applyFill="1" applyBorder="1" applyAlignment="1">
      <alignment horizontal="center" vertical="top" wrapText="1" readingOrder="1"/>
    </xf>
    <xf numFmtId="0" fontId="31" fillId="0" borderId="15" xfId="0" applyFont="1" applyBorder="1" applyAlignment="1">
      <alignment horizontal="center" vertical="top" wrapText="1" readingOrder="1"/>
    </xf>
    <xf numFmtId="0" fontId="10" fillId="0" borderId="0" xfId="0" applyFont="1" applyAlignment="1">
      <alignment horizontal="left" vertical="top" wrapText="1" readingOrder="1"/>
    </xf>
    <xf numFmtId="0" fontId="14" fillId="0" borderId="0" xfId="0" applyFont="1" applyAlignment="1">
      <alignment horizontal="center" vertical="top" wrapText="1" readingOrder="1"/>
    </xf>
    <xf numFmtId="0" fontId="12" fillId="0" borderId="0" xfId="0" applyFont="1" applyAlignment="1">
      <alignment horizontal="center" vertical="top" wrapText="1" readingOrder="1"/>
    </xf>
    <xf numFmtId="0" fontId="12" fillId="0" borderId="4" xfId="0" applyFont="1" applyBorder="1" applyAlignment="1">
      <alignment horizontal="left" vertical="center" readingOrder="1"/>
    </xf>
    <xf numFmtId="173" fontId="13" fillId="24" borderId="0" xfId="0" applyNumberFormat="1" applyFont="1" applyFill="1" applyAlignment="1">
      <alignment horizontal="right" vertical="center" wrapText="1"/>
    </xf>
    <xf numFmtId="173" fontId="13" fillId="0" borderId="4" xfId="0" applyNumberFormat="1" applyFont="1" applyBorder="1" applyAlignment="1">
      <alignment horizontal="right" vertical="center" readingOrder="1"/>
    </xf>
    <xf numFmtId="173" fontId="12" fillId="0" borderId="4" xfId="0" applyNumberFormat="1" applyFont="1" applyBorder="1" applyAlignment="1">
      <alignment horizontal="right" vertical="center" readingOrder="1"/>
    </xf>
    <xf numFmtId="195" fontId="13" fillId="0" borderId="4" xfId="2" applyNumberFormat="1" applyFont="1" applyBorder="1" applyAlignment="1">
      <alignment horizontal="right" vertical="center" wrapText="1" readingOrder="1"/>
    </xf>
    <xf numFmtId="173" fontId="92" fillId="0" borderId="4" xfId="0" applyNumberFormat="1" applyFont="1" applyBorder="1" applyAlignment="1">
      <alignment horizontal="right" vertical="center" wrapText="1" readingOrder="1"/>
    </xf>
    <xf numFmtId="173" fontId="13" fillId="0" borderId="0" xfId="0" applyNumberFormat="1" applyFont="1" applyAlignment="1">
      <alignment horizontal="right" vertical="center" readingOrder="1"/>
    </xf>
    <xf numFmtId="173" fontId="12" fillId="0" borderId="0" xfId="0" applyNumberFormat="1" applyFont="1" applyAlignment="1">
      <alignment horizontal="right" vertical="center" readingOrder="1"/>
    </xf>
    <xf numFmtId="195" fontId="13" fillId="0" borderId="0" xfId="0" applyNumberFormat="1" applyFont="1" applyAlignment="1">
      <alignment horizontal="right" vertical="center" readingOrder="1"/>
    </xf>
    <xf numFmtId="173" fontId="92" fillId="0" borderId="0" xfId="0" applyNumberFormat="1" applyFont="1" applyAlignment="1">
      <alignment horizontal="right" vertical="center" wrapText="1" readingOrder="1"/>
    </xf>
    <xf numFmtId="0" fontId="12" fillId="0" borderId="18" xfId="0" applyFont="1" applyBorder="1" applyAlignment="1">
      <alignment horizontal="left" vertical="center" readingOrder="1"/>
    </xf>
    <xf numFmtId="0" fontId="13" fillId="22" borderId="18" xfId="0" applyFont="1" applyFill="1" applyBorder="1" applyAlignment="1">
      <alignment horizontal="right" vertical="center"/>
    </xf>
    <xf numFmtId="3" fontId="13" fillId="6" borderId="18" xfId="0" applyNumberFormat="1" applyFont="1" applyFill="1" applyBorder="1" applyAlignment="1">
      <alignment horizontal="right" vertical="center" readingOrder="1"/>
    </xf>
    <xf numFmtId="3" fontId="12" fillId="6" borderId="18" xfId="0" applyNumberFormat="1" applyFont="1" applyFill="1" applyBorder="1" applyAlignment="1">
      <alignment horizontal="right" vertical="center" readingOrder="1"/>
    </xf>
    <xf numFmtId="195" fontId="13" fillId="6" borderId="18" xfId="0" applyNumberFormat="1" applyFont="1" applyFill="1" applyBorder="1" applyAlignment="1">
      <alignment horizontal="right" vertical="center" readingOrder="1"/>
    </xf>
    <xf numFmtId="168" fontId="13" fillId="6" borderId="18" xfId="0" applyNumberFormat="1" applyFont="1" applyFill="1" applyBorder="1" applyAlignment="1">
      <alignment horizontal="right" vertical="center" wrapText="1" readingOrder="1"/>
    </xf>
    <xf numFmtId="173" fontId="14" fillId="5" borderId="15" xfId="0" applyNumberFormat="1" applyFont="1" applyFill="1" applyBorder="1" applyAlignment="1">
      <alignment horizontal="right" vertical="center" readingOrder="1"/>
    </xf>
    <xf numFmtId="173" fontId="14" fillId="0" borderId="15" xfId="0" applyNumberFormat="1" applyFont="1" applyBorder="1" applyAlignment="1">
      <alignment horizontal="right" vertical="center" readingOrder="1"/>
    </xf>
    <xf numFmtId="173" fontId="10" fillId="0" borderId="15" xfId="0" applyNumberFormat="1" applyFont="1" applyBorder="1" applyAlignment="1">
      <alignment horizontal="right" vertical="center" readingOrder="1"/>
    </xf>
    <xf numFmtId="195" fontId="14" fillId="0" borderId="15" xfId="0" applyNumberFormat="1" applyFont="1" applyBorder="1" applyAlignment="1">
      <alignment horizontal="right" vertical="center" readingOrder="1"/>
    </xf>
    <xf numFmtId="173" fontId="92" fillId="0" borderId="15" xfId="0" applyNumberFormat="1" applyFont="1" applyBorder="1" applyAlignment="1">
      <alignment horizontal="right" vertical="center" wrapText="1" readingOrder="1"/>
    </xf>
    <xf numFmtId="0" fontId="10" fillId="0" borderId="0" xfId="0" quotePrefix="1" applyFont="1" applyAlignment="1">
      <alignment horizontal="center" vertical="top" wrapText="1" readingOrder="1"/>
    </xf>
    <xf numFmtId="0" fontId="10" fillId="0" borderId="2" xfId="0" applyFont="1" applyBorder="1" applyAlignment="1">
      <alignment horizontal="left" vertical="center" readingOrder="1"/>
    </xf>
    <xf numFmtId="3" fontId="14" fillId="0" borderId="2" xfId="0" applyNumberFormat="1" applyFont="1" applyBorder="1" applyAlignment="1">
      <alignment horizontal="right" vertical="center" readingOrder="1"/>
    </xf>
    <xf numFmtId="3" fontId="14" fillId="2" borderId="2" xfId="0" applyNumberFormat="1" applyFont="1" applyFill="1" applyBorder="1" applyAlignment="1">
      <alignment horizontal="right" vertical="center" readingOrder="1"/>
    </xf>
    <xf numFmtId="3" fontId="10" fillId="0" borderId="2" xfId="0" applyNumberFormat="1" applyFont="1" applyBorder="1" applyAlignment="1">
      <alignment horizontal="right" vertical="center" readingOrder="1"/>
    </xf>
    <xf numFmtId="171" fontId="13" fillId="0" borderId="2" xfId="0" applyNumberFormat="1" applyFont="1" applyBorder="1" applyAlignment="1">
      <alignment horizontal="right" vertical="center" readingOrder="1"/>
    </xf>
    <xf numFmtId="168" fontId="14" fillId="0" borderId="4" xfId="0" applyNumberFormat="1" applyFont="1" applyBorder="1" applyAlignment="1">
      <alignment horizontal="right" vertical="center" wrapText="1" readingOrder="1"/>
    </xf>
    <xf numFmtId="3" fontId="21" fillId="0" borderId="2" xfId="0" applyNumberFormat="1" applyFont="1" applyBorder="1" applyAlignment="1">
      <alignment horizontal="right" vertical="center" readingOrder="1"/>
    </xf>
    <xf numFmtId="0" fontId="10" fillId="0" borderId="0" xfId="0" applyFont="1" applyAlignment="1">
      <alignment horizontal="left" vertical="center" readingOrder="1"/>
    </xf>
    <xf numFmtId="3" fontId="10" fillId="0" borderId="0" xfId="0" applyNumberFormat="1" applyFont="1" applyAlignment="1">
      <alignment horizontal="right" vertical="center" readingOrder="1"/>
    </xf>
    <xf numFmtId="171" fontId="13" fillId="0" borderId="0" xfId="0" applyNumberFormat="1" applyFont="1" applyAlignment="1">
      <alignment horizontal="right" vertical="center" readingOrder="1"/>
    </xf>
    <xf numFmtId="3" fontId="21" fillId="0" borderId="0" xfId="0" applyNumberFormat="1" applyFont="1" applyAlignment="1">
      <alignment horizontal="right" vertical="center" readingOrder="1"/>
    </xf>
    <xf numFmtId="0" fontId="21" fillId="0" borderId="0" xfId="0" applyFont="1" applyAlignment="1">
      <alignment horizontal="left" vertical="center" readingOrder="1"/>
    </xf>
    <xf numFmtId="3" fontId="13" fillId="0" borderId="0" xfId="0" applyNumberFormat="1" applyFont="1" applyAlignment="1">
      <alignment horizontal="right" vertical="center" readingOrder="1"/>
    </xf>
    <xf numFmtId="3" fontId="13" fillId="2" borderId="0" xfId="0" applyNumberFormat="1" applyFont="1" applyFill="1" applyAlignment="1">
      <alignment horizontal="right" vertical="center" readingOrder="1"/>
    </xf>
    <xf numFmtId="171" fontId="16" fillId="0" borderId="0" xfId="0" applyNumberFormat="1" applyFont="1" applyAlignment="1">
      <alignment horizontal="right" vertical="center" readingOrder="1"/>
    </xf>
    <xf numFmtId="3" fontId="12" fillId="0" borderId="0" xfId="0" applyNumberFormat="1" applyFont="1" applyAlignment="1">
      <alignment horizontal="right" vertical="center" readingOrder="1"/>
    </xf>
    <xf numFmtId="3" fontId="14" fillId="5" borderId="2" xfId="0" applyNumberFormat="1" applyFont="1" applyFill="1" applyBorder="1" applyAlignment="1">
      <alignment horizontal="right" vertical="center" readingOrder="1"/>
    </xf>
    <xf numFmtId="171" fontId="16" fillId="0" borderId="2" xfId="0" applyNumberFormat="1" applyFont="1" applyBorder="1" applyAlignment="1">
      <alignment horizontal="right" vertical="center" readingOrder="1"/>
    </xf>
    <xf numFmtId="168" fontId="14" fillId="0" borderId="2" xfId="0" applyNumberFormat="1" applyFont="1" applyBorder="1" applyAlignment="1">
      <alignment horizontal="right" vertical="center" wrapText="1" readingOrder="1"/>
    </xf>
    <xf numFmtId="3" fontId="14" fillId="0" borderId="0" xfId="0" applyNumberFormat="1" applyFont="1" applyAlignment="1">
      <alignment horizontal="right" vertical="center" readingOrder="1"/>
    </xf>
    <xf numFmtId="3" fontId="14" fillId="0" borderId="0" xfId="2" applyNumberFormat="1" applyFont="1" applyBorder="1" applyAlignment="1">
      <alignment horizontal="right" vertical="center" readingOrder="1"/>
    </xf>
    <xf numFmtId="0" fontId="15" fillId="0" borderId="18" xfId="0" applyFont="1" applyBorder="1" applyAlignment="1">
      <alignment horizontal="left"/>
    </xf>
    <xf numFmtId="4" fontId="15" fillId="0" borderId="18" xfId="0" applyNumberFormat="1" applyFont="1" applyBorder="1"/>
    <xf numFmtId="196" fontId="16" fillId="0" borderId="18" xfId="0" applyNumberFormat="1" applyFont="1" applyBorder="1" applyAlignment="1">
      <alignment horizontal="right" vertical="center" readingOrder="1"/>
    </xf>
    <xf numFmtId="168" fontId="14" fillId="0" borderId="18" xfId="0" applyNumberFormat="1" applyFont="1" applyBorder="1" applyAlignment="1">
      <alignment horizontal="right" vertical="center" wrapText="1" readingOrder="1"/>
    </xf>
    <xf numFmtId="4" fontId="21" fillId="0" borderId="18" xfId="0" applyNumberFormat="1" applyFont="1" applyBorder="1"/>
    <xf numFmtId="0" fontId="93" fillId="0" borderId="0" xfId="0" applyFont="1"/>
    <xf numFmtId="0" fontId="94" fillId="0" borderId="0" xfId="0" applyFont="1" applyAlignment="1">
      <alignment horizontal="left"/>
    </xf>
    <xf numFmtId="0" fontId="94" fillId="0" borderId="0" xfId="0" applyFont="1"/>
    <xf numFmtId="3" fontId="17" fillId="0" borderId="0" xfId="0" applyNumberFormat="1" applyFont="1"/>
    <xf numFmtId="3" fontId="17" fillId="27" borderId="0" xfId="0" applyNumberFormat="1" applyFont="1" applyFill="1"/>
    <xf numFmtId="3" fontId="95" fillId="0" borderId="0" xfId="0" applyNumberFormat="1" applyFont="1"/>
    <xf numFmtId="3" fontId="96" fillId="0" borderId="0" xfId="0" applyNumberFormat="1" applyFont="1"/>
    <xf numFmtId="0" fontId="20" fillId="28" borderId="0" xfId="0" applyFont="1" applyFill="1" applyAlignment="1">
      <alignment vertical="center" readingOrder="1"/>
    </xf>
    <xf numFmtId="0" fontId="25" fillId="28" borderId="0" xfId="0" applyFont="1" applyFill="1"/>
    <xf numFmtId="0" fontId="2" fillId="0" borderId="0" xfId="0" applyFont="1" applyAlignment="1">
      <alignment horizontal="left"/>
    </xf>
    <xf numFmtId="0" fontId="2" fillId="0" borderId="0" xfId="0" applyFont="1"/>
    <xf numFmtId="3" fontId="97" fillId="0" borderId="2" xfId="0" applyNumberFormat="1" applyFont="1" applyBorder="1" applyAlignment="1">
      <alignment horizontal="right" vertical="center" readingOrder="1"/>
    </xf>
    <xf numFmtId="3" fontId="98" fillId="0" borderId="0" xfId="0" applyNumberFormat="1" applyFont="1" applyAlignment="1">
      <alignment horizontal="right" vertical="center" readingOrder="1"/>
    </xf>
    <xf numFmtId="168" fontId="99" fillId="0" borderId="0" xfId="0" applyNumberFormat="1" applyFont="1" applyAlignment="1">
      <alignment horizontal="right" vertical="center" wrapText="1" readingOrder="1"/>
    </xf>
    <xf numFmtId="3" fontId="100" fillId="0" borderId="0" xfId="0" applyNumberFormat="1" applyFont="1" applyAlignment="1">
      <alignment horizontal="right" vertical="center" wrapText="1" readingOrder="1"/>
    </xf>
    <xf numFmtId="168" fontId="98" fillId="0" borderId="0" xfId="0" applyNumberFormat="1" applyFont="1" applyAlignment="1">
      <alignment horizontal="right" vertical="center" wrapText="1" readingOrder="1"/>
    </xf>
    <xf numFmtId="9" fontId="2" fillId="0" borderId="0" xfId="2" applyFont="1"/>
    <xf numFmtId="168" fontId="99" fillId="0" borderId="2" xfId="0" applyNumberFormat="1" applyFont="1" applyBorder="1" applyAlignment="1">
      <alignment horizontal="right" vertical="center" wrapText="1" readingOrder="1"/>
    </xf>
    <xf numFmtId="3" fontId="101" fillId="0" borderId="2" xfId="0" applyNumberFormat="1" applyFont="1" applyBorder="1" applyAlignment="1">
      <alignment horizontal="right" vertical="center" readingOrder="1"/>
    </xf>
    <xf numFmtId="3" fontId="2" fillId="0" borderId="0" xfId="0" applyNumberFormat="1" applyFont="1"/>
    <xf numFmtId="0" fontId="26" fillId="28" borderId="0" xfId="0" applyFont="1" applyFill="1" applyAlignment="1">
      <alignment vertical="center" readingOrder="1"/>
    </xf>
    <xf numFmtId="17" fontId="14" fillId="0" borderId="10" xfId="0" applyNumberFormat="1" applyFont="1" applyBorder="1" applyAlignment="1">
      <alignment horizontal="center" vertical="top" wrapText="1" readingOrder="1"/>
    </xf>
    <xf numFmtId="17" fontId="14" fillId="5" borderId="10" xfId="0" applyNumberFormat="1" applyFont="1" applyFill="1" applyBorder="1" applyAlignment="1">
      <alignment horizontal="center" vertical="top" wrapText="1" readingOrder="1"/>
    </xf>
    <xf numFmtId="3" fontId="14" fillId="5" borderId="0" xfId="0" applyNumberFormat="1" applyFont="1" applyFill="1" applyAlignment="1">
      <alignment horizontal="right" vertical="center" readingOrder="1"/>
    </xf>
    <xf numFmtId="0" fontId="14" fillId="0" borderId="0" xfId="0" applyFont="1" applyAlignment="1">
      <alignment horizontal="left" vertical="center" readingOrder="1"/>
    </xf>
    <xf numFmtId="4" fontId="14" fillId="0" borderId="18" xfId="0" applyNumberFormat="1" applyFont="1" applyBorder="1"/>
    <xf numFmtId="4" fontId="14" fillId="5" borderId="18" xfId="0" applyNumberFormat="1" applyFont="1" applyFill="1" applyBorder="1"/>
    <xf numFmtId="3" fontId="59" fillId="0" borderId="0" xfId="0" applyNumberFormat="1" applyFont="1"/>
    <xf numFmtId="0" fontId="13" fillId="28" borderId="0" xfId="0" applyFont="1" applyFill="1"/>
    <xf numFmtId="0" fontId="2" fillId="28" borderId="0" xfId="0" applyFont="1" applyFill="1"/>
    <xf numFmtId="17" fontId="21" fillId="0" borderId="10" xfId="0" applyNumberFormat="1" applyFont="1" applyBorder="1" applyAlignment="1">
      <alignment horizontal="center" vertical="top" wrapText="1" readingOrder="1"/>
    </xf>
    <xf numFmtId="17" fontId="21" fillId="5" borderId="0" xfId="0" applyNumberFormat="1" applyFont="1" applyFill="1" applyAlignment="1">
      <alignment horizontal="center" vertical="top" wrapText="1" readingOrder="1"/>
    </xf>
    <xf numFmtId="175" fontId="22" fillId="0" borderId="0" xfId="0" applyNumberFormat="1" applyFont="1" applyAlignment="1">
      <alignment horizontal="right" vertical="center"/>
    </xf>
    <xf numFmtId="173" fontId="22" fillId="2" borderId="4" xfId="0" applyNumberFormat="1" applyFont="1" applyFill="1" applyBorder="1" applyAlignment="1">
      <alignment horizontal="right" vertical="center" wrapText="1" readingOrder="1"/>
    </xf>
    <xf numFmtId="173" fontId="22" fillId="0" borderId="0" xfId="0" applyNumberFormat="1" applyFont="1" applyAlignment="1">
      <alignment horizontal="right" vertical="center"/>
    </xf>
    <xf numFmtId="173" fontId="22" fillId="2" borderId="0" xfId="0" applyNumberFormat="1" applyFont="1" applyFill="1" applyAlignment="1">
      <alignment horizontal="right" vertical="center" wrapText="1" readingOrder="1"/>
    </xf>
    <xf numFmtId="0" fontId="22" fillId="22" borderId="18" xfId="0" applyFont="1" applyFill="1" applyBorder="1" applyAlignment="1">
      <alignment horizontal="right" vertical="center"/>
    </xf>
    <xf numFmtId="3" fontId="22" fillId="22" borderId="18" xfId="0" applyNumberFormat="1" applyFont="1" applyFill="1" applyBorder="1" applyAlignment="1">
      <alignment horizontal="right" vertical="center" wrapText="1" readingOrder="1"/>
    </xf>
    <xf numFmtId="173" fontId="21" fillId="0" borderId="15" xfId="0" applyNumberFormat="1" applyFont="1" applyBorder="1" applyAlignment="1">
      <alignment horizontal="right" vertical="center" readingOrder="1"/>
    </xf>
    <xf numFmtId="173" fontId="21" fillId="5" borderId="15" xfId="0" applyNumberFormat="1" applyFont="1" applyFill="1" applyBorder="1" applyAlignment="1">
      <alignment horizontal="right" vertical="center" wrapText="1" readingOrder="1"/>
    </xf>
    <xf numFmtId="3" fontId="21" fillId="2" borderId="2" xfId="0" applyNumberFormat="1" applyFont="1" applyFill="1" applyBorder="1" applyAlignment="1">
      <alignment horizontal="right" vertical="center" wrapText="1" readingOrder="1"/>
    </xf>
    <xf numFmtId="3" fontId="21" fillId="5" borderId="0" xfId="0" applyNumberFormat="1" applyFont="1" applyFill="1" applyAlignment="1">
      <alignment horizontal="right" vertical="center" readingOrder="1"/>
    </xf>
    <xf numFmtId="3" fontId="22" fillId="0" borderId="0" xfId="0" applyNumberFormat="1" applyFont="1" applyAlignment="1">
      <alignment horizontal="right" vertical="center" readingOrder="1"/>
    </xf>
    <xf numFmtId="3" fontId="22" fillId="2" borderId="0" xfId="0" applyNumberFormat="1" applyFont="1" applyFill="1" applyAlignment="1">
      <alignment horizontal="right" vertical="center" readingOrder="1"/>
    </xf>
    <xf numFmtId="3" fontId="21" fillId="5" borderId="2" xfId="0" applyNumberFormat="1" applyFont="1" applyFill="1" applyBorder="1" applyAlignment="1">
      <alignment horizontal="right" vertical="center" readingOrder="1"/>
    </xf>
    <xf numFmtId="4" fontId="21" fillId="5" borderId="18" xfId="0" applyNumberFormat="1" applyFont="1" applyFill="1" applyBorder="1"/>
    <xf numFmtId="9" fontId="33" fillId="28" borderId="0" xfId="0" applyNumberFormat="1" applyFont="1" applyFill="1"/>
    <xf numFmtId="3" fontId="19" fillId="0" borderId="0" xfId="0" applyNumberFormat="1" applyFont="1" applyAlignment="1">
      <alignment horizontal="right" vertical="top" wrapText="1" readingOrder="1"/>
    </xf>
    <xf numFmtId="3" fontId="19" fillId="0" borderId="0" xfId="0" applyNumberFormat="1" applyFont="1" applyAlignment="1">
      <alignment horizontal="center" vertical="top" wrapText="1" readingOrder="1"/>
    </xf>
    <xf numFmtId="0" fontId="19" fillId="0" borderId="0" xfId="0" applyFont="1" applyAlignment="1">
      <alignment horizontal="left" vertical="center" wrapText="1" readingOrder="1"/>
    </xf>
    <xf numFmtId="0" fontId="19" fillId="0" borderId="5" xfId="0" applyFont="1" applyBorder="1" applyAlignment="1">
      <alignment horizontal="left" vertical="center" readingOrder="1"/>
    </xf>
    <xf numFmtId="0" fontId="19" fillId="0" borderId="6" xfId="0" applyFont="1" applyBorder="1" applyAlignment="1">
      <alignment horizontal="left" vertical="center" readingOrder="1"/>
    </xf>
    <xf numFmtId="0" fontId="19" fillId="0" borderId="9" xfId="0" applyFont="1" applyBorder="1" applyAlignment="1">
      <alignment horizontal="left" vertical="center" readingOrder="1"/>
    </xf>
    <xf numFmtId="0" fontId="19" fillId="0" borderId="10" xfId="0" applyFont="1" applyBorder="1" applyAlignment="1">
      <alignment horizontal="left" vertical="center" wrapText="1" readingOrder="1"/>
    </xf>
    <xf numFmtId="0" fontId="19" fillId="0" borderId="0" xfId="0" applyFont="1" applyAlignment="1">
      <alignment horizontal="center" vertical="top" wrapText="1" readingOrder="1"/>
    </xf>
    <xf numFmtId="0" fontId="14" fillId="28" borderId="0" xfId="0" applyFont="1" applyFill="1" applyAlignment="1">
      <alignment horizontal="center" vertical="center" wrapText="1" readingOrder="1"/>
    </xf>
    <xf numFmtId="0" fontId="11" fillId="0" borderId="4" xfId="0" applyFont="1" applyBorder="1" applyAlignment="1">
      <alignment horizontal="left" vertical="top" wrapText="1" readingOrder="1"/>
    </xf>
    <xf numFmtId="0" fontId="15" fillId="28" borderId="0" xfId="0" applyFont="1" applyFill="1" applyAlignment="1">
      <alignment horizontal="center"/>
    </xf>
    <xf numFmtId="0" fontId="54" fillId="19" borderId="37" xfId="0" applyFont="1" applyFill="1" applyBorder="1" applyAlignment="1">
      <alignment horizontal="center"/>
    </xf>
    <xf numFmtId="0" fontId="55" fillId="0" borderId="38" xfId="0" applyFont="1" applyBorder="1"/>
    <xf numFmtId="0" fontId="55" fillId="0" borderId="39" xfId="0" applyFont="1" applyBorder="1"/>
    <xf numFmtId="0" fontId="2" fillId="0" borderId="0" xfId="0" applyFont="1" applyAlignment="1">
      <alignment horizontal="center"/>
    </xf>
    <xf numFmtId="165" fontId="2" fillId="0" borderId="0" xfId="2" applyNumberFormat="1" applyFont="1"/>
    <xf numFmtId="3" fontId="2" fillId="0" borderId="0" xfId="0" applyNumberFormat="1" applyFont="1" applyAlignment="1">
      <alignment horizontal="center"/>
    </xf>
    <xf numFmtId="10" fontId="2" fillId="0" borderId="0" xfId="2" applyNumberFormat="1" applyFont="1"/>
    <xf numFmtId="173" fontId="2" fillId="0" borderId="0" xfId="0" applyNumberFormat="1" applyFont="1" applyAlignment="1">
      <alignment horizontal="center"/>
    </xf>
    <xf numFmtId="165" fontId="2" fillId="0" borderId="0" xfId="2" applyNumberFormat="1" applyFont="1" applyBorder="1"/>
    <xf numFmtId="4" fontId="2" fillId="0" borderId="0" xfId="2" applyNumberFormat="1" applyFont="1"/>
    <xf numFmtId="165" fontId="2" fillId="6" borderId="0" xfId="2" applyNumberFormat="1" applyFont="1" applyFill="1" applyBorder="1"/>
    <xf numFmtId="3" fontId="2" fillId="6" borderId="0" xfId="0" applyNumberFormat="1" applyFont="1" applyFill="1" applyAlignment="1">
      <alignment horizontal="center"/>
    </xf>
    <xf numFmtId="10" fontId="2" fillId="6" borderId="0" xfId="2" applyNumberFormat="1" applyFont="1" applyFill="1"/>
    <xf numFmtId="3" fontId="2" fillId="6" borderId="0" xfId="0" applyNumberFormat="1" applyFont="1" applyFill="1"/>
    <xf numFmtId="173" fontId="2" fillId="6" borderId="0" xfId="0" applyNumberFormat="1" applyFont="1" applyFill="1" applyAlignment="1">
      <alignment horizontal="center"/>
    </xf>
    <xf numFmtId="0" fontId="2" fillId="6" borderId="0" xfId="0" applyFont="1" applyFill="1"/>
    <xf numFmtId="173" fontId="2" fillId="0" borderId="0" xfId="0" applyNumberFormat="1" applyFont="1"/>
    <xf numFmtId="9" fontId="2" fillId="0" borderId="0" xfId="2" applyFont="1" applyAlignment="1">
      <alignment horizontal="center"/>
    </xf>
    <xf numFmtId="0" fontId="2" fillId="0" borderId="0" xfId="0" applyFont="1" applyAlignment="1">
      <alignment vertical="top"/>
    </xf>
    <xf numFmtId="9" fontId="19" fillId="0" borderId="9" xfId="0" applyNumberFormat="1" applyFont="1" applyBorder="1" applyAlignment="1">
      <alignment horizontal="right" vertical="center" wrapText="1" readingOrder="1"/>
    </xf>
    <xf numFmtId="167" fontId="31" fillId="0" borderId="9" xfId="2" applyNumberFormat="1" applyFont="1" applyBorder="1" applyAlignment="1">
      <alignment horizontal="right" vertical="center" wrapText="1" readingOrder="1"/>
    </xf>
    <xf numFmtId="9" fontId="31" fillId="0" borderId="5" xfId="0" applyNumberFormat="1" applyFont="1" applyBorder="1" applyAlignment="1">
      <alignment horizontal="right" vertical="center" wrapText="1" readingOrder="1"/>
    </xf>
    <xf numFmtId="9" fontId="31" fillId="2" borderId="5" xfId="0" applyNumberFormat="1" applyFont="1" applyFill="1" applyBorder="1" applyAlignment="1">
      <alignment horizontal="right" vertical="center" wrapText="1" readingOrder="1"/>
    </xf>
    <xf numFmtId="0" fontId="19" fillId="0" borderId="18" xfId="0" applyFont="1" applyBorder="1" applyAlignment="1">
      <alignment horizontal="left" vertical="center" wrapText="1" readingOrder="1"/>
    </xf>
    <xf numFmtId="1" fontId="30" fillId="0" borderId="17" xfId="0" applyNumberFormat="1" applyFont="1" applyBorder="1" applyAlignment="1">
      <alignment horizontal="right" vertical="center" wrapText="1" readingOrder="1"/>
    </xf>
    <xf numFmtId="1" fontId="30" fillId="2" borderId="17" xfId="0" applyNumberFormat="1" applyFont="1" applyFill="1" applyBorder="1" applyAlignment="1">
      <alignment horizontal="right" vertical="center" wrapText="1" readingOrder="1"/>
    </xf>
    <xf numFmtId="1" fontId="31" fillId="0" borderId="17" xfId="0" applyNumberFormat="1" applyFont="1" applyBorder="1" applyAlignment="1">
      <alignment horizontal="right" vertical="center" wrapText="1" readingOrder="1"/>
    </xf>
    <xf numFmtId="1" fontId="31" fillId="2" borderId="17" xfId="0" applyNumberFormat="1" applyFont="1" applyFill="1" applyBorder="1" applyAlignment="1">
      <alignment horizontal="right" vertical="center" wrapText="1" readingOrder="1"/>
    </xf>
    <xf numFmtId="3" fontId="20" fillId="0" borderId="17" xfId="0" applyNumberFormat="1" applyFont="1" applyBorder="1" applyAlignment="1">
      <alignment horizontal="right" vertical="center" wrapText="1" readingOrder="1"/>
    </xf>
    <xf numFmtId="9" fontId="19" fillId="0" borderId="17" xfId="0" applyNumberFormat="1" applyFont="1" applyBorder="1" applyAlignment="1">
      <alignment horizontal="right" vertical="center" wrapText="1" readingOrder="1"/>
    </xf>
    <xf numFmtId="167" fontId="31" fillId="0" borderId="17" xfId="2" applyNumberFormat="1" applyFont="1" applyBorder="1" applyAlignment="1">
      <alignment horizontal="right" vertical="center" wrapText="1" readingOrder="1"/>
    </xf>
    <xf numFmtId="3" fontId="30" fillId="0" borderId="17" xfId="0" applyNumberFormat="1" applyFont="1" applyBorder="1" applyAlignment="1">
      <alignment horizontal="right" vertical="center" wrapText="1" readingOrder="1"/>
    </xf>
    <xf numFmtId="0" fontId="20" fillId="0" borderId="7" xfId="0" applyFont="1" applyBorder="1" applyAlignment="1">
      <alignment vertical="center" wrapText="1" readingOrder="1"/>
    </xf>
    <xf numFmtId="0" fontId="20" fillId="0" borderId="7" xfId="0" applyFont="1" applyBorder="1" applyAlignment="1">
      <alignment horizontal="left" vertical="center" wrapText="1" readingOrder="1"/>
    </xf>
    <xf numFmtId="3" fontId="20" fillId="0" borderId="7" xfId="0" applyNumberFormat="1" applyFont="1" applyBorder="1" applyAlignment="1">
      <alignment horizontal="right" vertical="center" wrapText="1" readingOrder="1"/>
    </xf>
    <xf numFmtId="9" fontId="20" fillId="0" borderId="7" xfId="0" applyNumberFormat="1" applyFont="1" applyBorder="1" applyAlignment="1">
      <alignment horizontal="right" vertical="center" wrapText="1" readingOrder="1"/>
    </xf>
    <xf numFmtId="167" fontId="28" fillId="0" borderId="7" xfId="2" applyNumberFormat="1" applyFont="1" applyBorder="1" applyAlignment="1">
      <alignment horizontal="right" vertical="center" wrapText="1" readingOrder="1"/>
    </xf>
    <xf numFmtId="3" fontId="31" fillId="0" borderId="5" xfId="2" applyNumberFormat="1" applyFont="1" applyFill="1" applyBorder="1" applyAlignment="1">
      <alignment horizontal="right" vertical="center" wrapText="1" readingOrder="1"/>
    </xf>
    <xf numFmtId="3" fontId="31" fillId="2" borderId="5" xfId="2" applyNumberFormat="1" applyFont="1" applyFill="1" applyBorder="1" applyAlignment="1">
      <alignment horizontal="right" vertical="center" wrapText="1" readingOrder="1"/>
    </xf>
    <xf numFmtId="3" fontId="20" fillId="0" borderId="4" xfId="0" applyNumberFormat="1" applyFont="1" applyBorder="1" applyAlignment="1">
      <alignment horizontal="right" vertical="center" wrapText="1" readingOrder="1"/>
    </xf>
    <xf numFmtId="3" fontId="19" fillId="0" borderId="4" xfId="0" applyNumberFormat="1" applyFont="1" applyBorder="1" applyAlignment="1">
      <alignment horizontal="right" vertical="center" wrapText="1" readingOrder="1"/>
    </xf>
    <xf numFmtId="197" fontId="31" fillId="0" borderId="4" xfId="2" applyNumberFormat="1" applyFont="1" applyBorder="1" applyAlignment="1">
      <alignment horizontal="right" vertical="center" wrapText="1" readingOrder="1"/>
    </xf>
    <xf numFmtId="9" fontId="31" fillId="0" borderId="4" xfId="2" applyFont="1" applyBorder="1" applyAlignment="1">
      <alignment horizontal="right" vertical="center" wrapText="1" readingOrder="1"/>
    </xf>
    <xf numFmtId="3" fontId="19" fillId="0" borderId="6" xfId="0" applyNumberFormat="1" applyFont="1" applyBorder="1" applyAlignment="1">
      <alignment horizontal="right" vertical="center" wrapText="1" readingOrder="1"/>
    </xf>
    <xf numFmtId="197" fontId="31" fillId="0" borderId="6" xfId="2" applyNumberFormat="1" applyFont="1" applyBorder="1" applyAlignment="1">
      <alignment horizontal="right" vertical="center" wrapText="1" readingOrder="1"/>
    </xf>
    <xf numFmtId="9" fontId="31" fillId="0" borderId="6" xfId="2" applyFont="1" applyBorder="1" applyAlignment="1">
      <alignment horizontal="right" vertical="center" wrapText="1" readingOrder="1"/>
    </xf>
    <xf numFmtId="197" fontId="31" fillId="0" borderId="9" xfId="0" applyNumberFormat="1" applyFont="1" applyBorder="1" applyAlignment="1">
      <alignment horizontal="right" vertical="center" readingOrder="1"/>
    </xf>
    <xf numFmtId="9" fontId="31" fillId="0" borderId="9" xfId="2" applyFont="1" applyBorder="1" applyAlignment="1">
      <alignment horizontal="right" vertical="center" readingOrder="1"/>
    </xf>
    <xf numFmtId="3" fontId="31" fillId="2" borderId="4" xfId="0" applyNumberFormat="1" applyFont="1" applyFill="1" applyBorder="1" applyAlignment="1">
      <alignment horizontal="right" vertical="center" wrapText="1" readingOrder="1"/>
    </xf>
    <xf numFmtId="3" fontId="19" fillId="0" borderId="5" xfId="0" applyNumberFormat="1" applyFont="1" applyBorder="1" applyAlignment="1">
      <alignment horizontal="right" vertical="center" wrapText="1" readingOrder="1"/>
    </xf>
    <xf numFmtId="3" fontId="19" fillId="0" borderId="8" xfId="0" applyNumberFormat="1" applyFont="1" applyBorder="1" applyAlignment="1">
      <alignment horizontal="right" vertical="center" wrapText="1" readingOrder="1"/>
    </xf>
    <xf numFmtId="3" fontId="28" fillId="0" borderId="21" xfId="0" applyNumberFormat="1" applyFont="1" applyBorder="1" applyAlignment="1">
      <alignment horizontal="right" vertical="center" wrapText="1" readingOrder="1"/>
    </xf>
    <xf numFmtId="3" fontId="28" fillId="5" borderId="21" xfId="0" applyNumberFormat="1" applyFont="1" applyFill="1" applyBorder="1" applyAlignment="1">
      <alignment horizontal="right" vertical="center" wrapText="1" readingOrder="1"/>
    </xf>
    <xf numFmtId="3" fontId="20" fillId="0" borderId="21" xfId="0" applyNumberFormat="1" applyFont="1" applyBorder="1" applyAlignment="1">
      <alignment horizontal="right" vertical="center" wrapText="1" readingOrder="1"/>
    </xf>
    <xf numFmtId="197" fontId="28" fillId="0" borderId="21" xfId="2" applyNumberFormat="1" applyFont="1" applyBorder="1" applyAlignment="1">
      <alignment horizontal="right" vertical="center" wrapText="1" readingOrder="1"/>
    </xf>
    <xf numFmtId="9" fontId="28" fillId="0" borderId="21" xfId="2" applyFont="1" applyBorder="1" applyAlignment="1">
      <alignment horizontal="right" vertical="center" wrapText="1" readingOrder="1"/>
    </xf>
    <xf numFmtId="197" fontId="28" fillId="0" borderId="6" xfId="2" applyNumberFormat="1" applyFont="1" applyBorder="1" applyAlignment="1">
      <alignment horizontal="right" vertical="center" wrapText="1" readingOrder="1"/>
    </xf>
    <xf numFmtId="9" fontId="28" fillId="0" borderId="6" xfId="2" applyFont="1" applyBorder="1" applyAlignment="1">
      <alignment horizontal="right" vertical="center" wrapText="1" readingOrder="1"/>
    </xf>
    <xf numFmtId="3" fontId="28" fillId="0" borderId="10" xfId="0" applyNumberFormat="1" applyFont="1" applyBorder="1" applyAlignment="1">
      <alignment horizontal="right" vertical="center" wrapText="1" readingOrder="1"/>
    </xf>
    <xf numFmtId="3" fontId="28" fillId="5" borderId="10" xfId="0" applyNumberFormat="1" applyFont="1" applyFill="1" applyBorder="1" applyAlignment="1">
      <alignment horizontal="right" vertical="center" wrapText="1" readingOrder="1"/>
    </xf>
    <xf numFmtId="197" fontId="28" fillId="0" borderId="10" xfId="0" applyNumberFormat="1" applyFont="1" applyBorder="1" applyAlignment="1">
      <alignment horizontal="right" vertical="center" readingOrder="1"/>
    </xf>
    <xf numFmtId="9" fontId="28" fillId="0" borderId="10" xfId="2" applyFont="1" applyBorder="1" applyAlignment="1">
      <alignment horizontal="right" vertical="center" readingOrder="1"/>
    </xf>
    <xf numFmtId="0" fontId="20" fillId="0" borderId="0" xfId="15" applyFont="1" applyAlignment="1">
      <alignment horizontal="left" vertical="center" readingOrder="1"/>
    </xf>
    <xf numFmtId="2" fontId="32" fillId="0" borderId="0" xfId="15" applyNumberFormat="1" applyFont="1" applyAlignment="1">
      <alignment horizontal="right" vertical="center" readingOrder="1"/>
    </xf>
    <xf numFmtId="2" fontId="28" fillId="0" borderId="0" xfId="15" applyNumberFormat="1" applyFont="1" applyAlignment="1">
      <alignment horizontal="right" vertical="center" readingOrder="1"/>
    </xf>
    <xf numFmtId="2" fontId="20" fillId="0" borderId="0" xfId="15" applyNumberFormat="1" applyFont="1" applyAlignment="1">
      <alignment horizontal="right" vertical="center" readingOrder="1"/>
    </xf>
    <xf numFmtId="0" fontId="2" fillId="0" borderId="0" xfId="11" applyFont="1"/>
    <xf numFmtId="0" fontId="2" fillId="0" borderId="0" xfId="11" applyFont="1" applyAlignment="1">
      <alignment horizontal="left" indent="1"/>
    </xf>
    <xf numFmtId="0" fontId="2" fillId="0" borderId="0" xfId="11" applyFont="1" applyAlignment="1">
      <alignment horizontal="right" indent="1"/>
    </xf>
    <xf numFmtId="0" fontId="2" fillId="0" borderId="4" xfId="11" applyFont="1" applyBorder="1" applyAlignment="1">
      <alignment horizontal="left" indent="1"/>
    </xf>
    <xf numFmtId="175" fontId="2" fillId="0" borderId="0" xfId="0" applyNumberFormat="1" applyFont="1"/>
    <xf numFmtId="186" fontId="2" fillId="0" borderId="0" xfId="1" applyNumberFormat="1" applyFont="1"/>
    <xf numFmtId="184" fontId="2" fillId="0" borderId="0" xfId="0" applyNumberFormat="1" applyFont="1"/>
    <xf numFmtId="165" fontId="2" fillId="0" borderId="0" xfId="2" applyNumberFormat="1" applyFont="1" applyFill="1" applyBorder="1"/>
    <xf numFmtId="185" fontId="2" fillId="0" borderId="0" xfId="0" applyNumberFormat="1" applyFont="1"/>
    <xf numFmtId="0" fontId="2" fillId="0" borderId="0" xfId="0" applyFont="1" applyAlignment="1">
      <alignment horizontal="left" indent="1"/>
    </xf>
    <xf numFmtId="0" fontId="2" fillId="0" borderId="4" xfId="0" applyFont="1" applyBorder="1" applyAlignment="1">
      <alignment horizontal="left" indent="2"/>
    </xf>
    <xf numFmtId="0" fontId="2" fillId="0" borderId="0" xfId="0" applyFont="1" applyAlignment="1">
      <alignment horizontal="right" indent="1"/>
    </xf>
    <xf numFmtId="0" fontId="11" fillId="0" borderId="0" xfId="0" applyFont="1" applyAlignment="1">
      <alignment vertical="top" readingOrder="1"/>
    </xf>
    <xf numFmtId="1" fontId="31" fillId="0" borderId="0" xfId="0" applyNumberFormat="1" applyFont="1" applyAlignment="1">
      <alignment horizontal="right" vertical="center" wrapText="1"/>
    </xf>
    <xf numFmtId="3" fontId="31" fillId="24" borderId="0" xfId="0" applyNumberFormat="1" applyFont="1" applyFill="1" applyAlignment="1">
      <alignment horizontal="right" vertical="center" wrapText="1"/>
    </xf>
    <xf numFmtId="0" fontId="25" fillId="31" borderId="0" xfId="0" applyFont="1" applyFill="1"/>
    <xf numFmtId="173" fontId="33" fillId="2" borderId="0" xfId="0" applyNumberFormat="1" applyFont="1" applyFill="1"/>
    <xf numFmtId="9" fontId="31" fillId="5" borderId="6" xfId="2" applyFont="1" applyFill="1" applyBorder="1" applyAlignment="1">
      <alignment horizontal="right" vertical="center" readingOrder="1"/>
    </xf>
    <xf numFmtId="0" fontId="17" fillId="31" borderId="0" xfId="0" applyFont="1" applyFill="1"/>
    <xf numFmtId="0" fontId="103" fillId="32" borderId="0" xfId="0" applyFont="1" applyFill="1" applyAlignment="1">
      <alignment horizontal="left" vertical="top" wrapText="1" readingOrder="1"/>
    </xf>
    <xf numFmtId="0" fontId="103" fillId="32" borderId="0" xfId="0" applyFont="1" applyFill="1" applyAlignment="1">
      <alignment horizontal="right" vertical="top"/>
    </xf>
    <xf numFmtId="0" fontId="103" fillId="32" borderId="0" xfId="0" applyFont="1" applyFill="1" applyAlignment="1">
      <alignment vertical="top"/>
    </xf>
    <xf numFmtId="0" fontId="38" fillId="10" borderId="0" xfId="0" applyFont="1" applyFill="1" applyAlignment="1">
      <alignment horizontal="center" vertical="top"/>
    </xf>
    <xf numFmtId="0" fontId="38" fillId="10" borderId="0" xfId="0" applyFont="1" applyFill="1" applyAlignment="1">
      <alignment vertical="top"/>
    </xf>
    <xf numFmtId="0" fontId="20" fillId="29" borderId="0" xfId="0" applyFont="1" applyFill="1" applyAlignment="1">
      <alignment horizontal="left" vertical="top" wrapText="1" readingOrder="1"/>
    </xf>
    <xf numFmtId="3" fontId="20" fillId="29" borderId="0" xfId="0" applyNumberFormat="1" applyFont="1" applyFill="1" applyAlignment="1">
      <alignment horizontal="right" vertical="top" wrapText="1" readingOrder="1"/>
    </xf>
    <xf numFmtId="3" fontId="20" fillId="30" borderId="0" xfId="0" applyNumberFormat="1" applyFont="1" applyFill="1" applyAlignment="1">
      <alignment horizontal="right" vertical="top" wrapText="1" readingOrder="1"/>
    </xf>
    <xf numFmtId="3" fontId="20" fillId="33" borderId="0" xfId="0" applyNumberFormat="1" applyFont="1" applyFill="1" applyAlignment="1">
      <alignment horizontal="center" vertical="top" wrapText="1" readingOrder="1"/>
    </xf>
    <xf numFmtId="3" fontId="20" fillId="8" borderId="0" xfId="0" applyNumberFormat="1" applyFont="1" applyFill="1" applyAlignment="1">
      <alignment horizontal="right" vertical="top" wrapText="1" readingOrder="1"/>
    </xf>
    <xf numFmtId="0" fontId="19" fillId="0" borderId="0" xfId="0" applyFont="1" applyAlignment="1">
      <alignment horizontal="left" vertical="top" wrapText="1" readingOrder="1"/>
    </xf>
    <xf numFmtId="0" fontId="19" fillId="0" borderId="0" xfId="0" applyFont="1" applyAlignment="1">
      <alignment horizontal="left" vertical="top"/>
    </xf>
    <xf numFmtId="3" fontId="20" fillId="33" borderId="0" xfId="0" applyNumberFormat="1" applyFont="1" applyFill="1" applyAlignment="1">
      <alignment horizontal="right" vertical="top" wrapText="1" readingOrder="1"/>
    </xf>
    <xf numFmtId="0" fontId="20" fillId="0" borderId="54" xfId="0" applyFont="1" applyBorder="1" applyAlignment="1">
      <alignment horizontal="left" vertical="top" wrapText="1" readingOrder="1"/>
    </xf>
    <xf numFmtId="3" fontId="20" fillId="0" borderId="54" xfId="0" applyNumberFormat="1" applyFont="1" applyBorder="1" applyAlignment="1">
      <alignment horizontal="right" vertical="top" wrapText="1" readingOrder="1"/>
    </xf>
    <xf numFmtId="3" fontId="20" fillId="0" borderId="23" xfId="0" applyNumberFormat="1" applyFont="1" applyBorder="1" applyAlignment="1">
      <alignment horizontal="center" vertical="top" wrapText="1" readingOrder="1"/>
    </xf>
    <xf numFmtId="3" fontId="20" fillId="0" borderId="23" xfId="0" applyNumberFormat="1" applyFont="1" applyBorder="1" applyAlignment="1">
      <alignment horizontal="right" vertical="top" wrapText="1" readingOrder="1"/>
    </xf>
    <xf numFmtId="0" fontId="8" fillId="35" borderId="0" xfId="0" applyFont="1" applyFill="1"/>
    <xf numFmtId="0" fontId="25" fillId="35" borderId="0" xfId="0" applyFont="1" applyFill="1"/>
    <xf numFmtId="0" fontId="36" fillId="35" borderId="0" xfId="0" applyFont="1" applyFill="1" applyAlignment="1">
      <alignment wrapText="1"/>
    </xf>
    <xf numFmtId="0" fontId="8" fillId="36" borderId="0" xfId="0" applyFont="1" applyFill="1"/>
    <xf numFmtId="9" fontId="25" fillId="36" borderId="0" xfId="0" applyNumberFormat="1" applyFont="1" applyFill="1"/>
    <xf numFmtId="0" fontId="28" fillId="36" borderId="0" xfId="0" applyFont="1" applyFill="1" applyAlignment="1">
      <alignment vertical="top" readingOrder="1"/>
    </xf>
    <xf numFmtId="0" fontId="25" fillId="36" borderId="0" xfId="0" applyFont="1" applyFill="1"/>
    <xf numFmtId="0" fontId="10" fillId="36" borderId="0" xfId="0" applyFont="1" applyFill="1" applyAlignment="1">
      <alignment vertical="center" readingOrder="1"/>
    </xf>
    <xf numFmtId="0" fontId="15" fillId="23" borderId="0" xfId="11" applyFont="1" applyFill="1"/>
    <xf numFmtId="0" fontId="2" fillId="23" borderId="0" xfId="11" applyFont="1" applyFill="1"/>
    <xf numFmtId="0" fontId="15" fillId="23" borderId="0" xfId="0" applyFont="1" applyFill="1"/>
    <xf numFmtId="0" fontId="2" fillId="23" borderId="0" xfId="0" applyFont="1" applyFill="1"/>
    <xf numFmtId="0" fontId="18" fillId="5" borderId="55" xfId="0" applyFont="1" applyFill="1" applyBorder="1" applyAlignment="1">
      <alignment horizontal="center" vertical="center" wrapText="1"/>
    </xf>
    <xf numFmtId="0" fontId="18" fillId="5" borderId="55" xfId="0" quotePrefix="1" applyFont="1" applyFill="1" applyBorder="1" applyAlignment="1">
      <alignment horizontal="center" vertical="center" wrapText="1"/>
    </xf>
    <xf numFmtId="0" fontId="17" fillId="0" borderId="55" xfId="0" applyFont="1" applyBorder="1" applyAlignment="1">
      <alignment horizontal="center" vertical="center"/>
    </xf>
    <xf numFmtId="0" fontId="17" fillId="0" borderId="0" xfId="0" applyFont="1" applyAlignment="1">
      <alignment horizontal="center" vertical="center"/>
    </xf>
    <xf numFmtId="9" fontId="17" fillId="0" borderId="55" xfId="2" applyFont="1" applyFill="1" applyBorder="1" applyAlignment="1">
      <alignment horizontal="center" vertical="center"/>
    </xf>
    <xf numFmtId="9" fontId="17" fillId="0" borderId="0" xfId="2" applyFont="1" applyAlignment="1">
      <alignment horizontal="center" vertical="center"/>
    </xf>
    <xf numFmtId="0" fontId="17" fillId="0" borderId="55" xfId="0" applyFont="1" applyBorder="1" applyAlignment="1">
      <alignment horizontal="left" vertical="center"/>
    </xf>
    <xf numFmtId="0" fontId="17" fillId="37" borderId="55" xfId="0" applyFont="1" applyFill="1" applyBorder="1" applyAlignment="1">
      <alignment horizontal="center" vertical="center"/>
    </xf>
    <xf numFmtId="0" fontId="8" fillId="23" borderId="0" xfId="0" applyFont="1" applyFill="1"/>
    <xf numFmtId="0" fontId="20" fillId="23" borderId="0" xfId="0" applyFont="1" applyFill="1"/>
    <xf numFmtId="0" fontId="25" fillId="23" borderId="0" xfId="0" applyFont="1" applyFill="1"/>
    <xf numFmtId="0" fontId="20" fillId="38" borderId="0" xfId="0" applyFont="1" applyFill="1" applyAlignment="1">
      <alignment vertical="center" wrapText="1" readingOrder="1"/>
    </xf>
    <xf numFmtId="0" fontId="20" fillId="38" borderId="0" xfId="0" applyFont="1" applyFill="1" applyAlignment="1">
      <alignment vertical="center" readingOrder="1"/>
    </xf>
    <xf numFmtId="0" fontId="25" fillId="38" borderId="0" xfId="0" applyFont="1" applyFill="1"/>
    <xf numFmtId="0" fontId="25" fillId="0" borderId="55" xfId="0" applyFont="1" applyBorder="1"/>
    <xf numFmtId="175" fontId="34" fillId="0" borderId="55" xfId="0" applyNumberFormat="1" applyFont="1" applyBorder="1" applyAlignment="1">
      <alignment horizontal="right"/>
    </xf>
    <xf numFmtId="175" fontId="25" fillId="0" borderId="55" xfId="0" applyNumberFormat="1" applyFont="1" applyBorder="1" applyAlignment="1">
      <alignment horizontal="right"/>
    </xf>
    <xf numFmtId="3" fontId="27" fillId="0" borderId="55" xfId="0" applyNumberFormat="1" applyFont="1" applyBorder="1" applyAlignment="1">
      <alignment horizontal="right"/>
    </xf>
    <xf numFmtId="3" fontId="33" fillId="0" borderId="55" xfId="0" applyNumberFormat="1" applyFont="1" applyBorder="1" applyAlignment="1">
      <alignment horizontal="right"/>
    </xf>
    <xf numFmtId="0" fontId="33" fillId="0" borderId="55" xfId="0" applyFont="1" applyBorder="1"/>
    <xf numFmtId="0" fontId="25" fillId="0" borderId="55" xfId="0" applyFont="1" applyBorder="1" applyAlignment="1">
      <alignment horizontal="center"/>
    </xf>
    <xf numFmtId="0" fontId="63" fillId="0" borderId="55" xfId="0" applyFont="1" applyBorder="1" applyAlignment="1">
      <alignment horizontal="center" vertical="center" wrapText="1" readingOrder="1"/>
    </xf>
    <xf numFmtId="0" fontId="62" fillId="0" borderId="55" xfId="0" applyFont="1" applyBorder="1" applyAlignment="1">
      <alignment horizontal="left" vertical="center" readingOrder="1"/>
    </xf>
    <xf numFmtId="0" fontId="62" fillId="24" borderId="55" xfId="0" applyFont="1" applyFill="1" applyBorder="1" applyAlignment="1">
      <alignment horizontal="center" vertical="center" wrapText="1" readingOrder="1"/>
    </xf>
    <xf numFmtId="0" fontId="25" fillId="0" borderId="52" xfId="0" applyFont="1" applyBorder="1" applyAlignment="1">
      <alignment horizontal="left" vertical="center"/>
    </xf>
    <xf numFmtId="0" fontId="33" fillId="0" borderId="0" xfId="0" applyFont="1" applyAlignment="1">
      <alignment horizontal="center" vertical="center"/>
    </xf>
    <xf numFmtId="0" fontId="25" fillId="0" borderId="0" xfId="0" applyFont="1" applyAlignment="1">
      <alignment horizontal="center" vertical="center"/>
    </xf>
    <xf numFmtId="0" fontId="33" fillId="0" borderId="52" xfId="0" applyFont="1" applyBorder="1" applyAlignment="1">
      <alignment horizontal="center" vertical="center"/>
    </xf>
    <xf numFmtId="0" fontId="23" fillId="0" borderId="0" xfId="0" applyFont="1" applyAlignment="1">
      <alignment horizontal="center" vertical="center"/>
    </xf>
    <xf numFmtId="0" fontId="24" fillId="0" borderId="0" xfId="0" applyFont="1" applyAlignment="1">
      <alignment horizontal="center" vertical="center"/>
    </xf>
    <xf numFmtId="0" fontId="77" fillId="34" borderId="2" xfId="0" applyFont="1" applyFill="1" applyBorder="1" applyAlignment="1">
      <alignment horizontal="left" vertical="center" readingOrder="1"/>
    </xf>
    <xf numFmtId="3" fontId="78" fillId="34" borderId="2" xfId="2" applyNumberFormat="1" applyFont="1" applyFill="1" applyBorder="1" applyAlignment="1">
      <alignment horizontal="right" vertical="center" readingOrder="1"/>
    </xf>
    <xf numFmtId="165" fontId="78" fillId="34" borderId="2" xfId="2" applyNumberFormat="1" applyFont="1" applyFill="1" applyBorder="1" applyAlignment="1">
      <alignment horizontal="right" vertical="center" readingOrder="1"/>
    </xf>
    <xf numFmtId="170" fontId="78" fillId="34" borderId="2" xfId="2" applyNumberFormat="1" applyFont="1" applyFill="1" applyBorder="1" applyAlignment="1">
      <alignment horizontal="right" vertical="center" wrapText="1" readingOrder="1"/>
    </xf>
    <xf numFmtId="165" fontId="79" fillId="34" borderId="2" xfId="2" applyNumberFormat="1" applyFont="1" applyFill="1" applyBorder="1" applyAlignment="1">
      <alignment horizontal="right" vertical="center" readingOrder="1"/>
    </xf>
    <xf numFmtId="175" fontId="80" fillId="34" borderId="2" xfId="0" applyNumberFormat="1" applyFont="1" applyFill="1" applyBorder="1"/>
    <xf numFmtId="9" fontId="80" fillId="34" borderId="2" xfId="2" applyFont="1" applyFill="1" applyBorder="1"/>
    <xf numFmtId="167" fontId="31" fillId="34" borderId="2" xfId="2" applyNumberFormat="1" applyFont="1" applyFill="1" applyBorder="1" applyAlignment="1">
      <alignment horizontal="right" vertical="center" wrapText="1" readingOrder="1"/>
    </xf>
    <xf numFmtId="179" fontId="78" fillId="34" borderId="2" xfId="0" applyNumberFormat="1" applyFont="1" applyFill="1" applyBorder="1"/>
    <xf numFmtId="180" fontId="78" fillId="34" borderId="2" xfId="2" applyNumberFormat="1" applyFont="1" applyFill="1" applyBorder="1" applyAlignment="1">
      <alignment horizontal="right" vertical="center" wrapText="1" readingOrder="1"/>
    </xf>
    <xf numFmtId="175" fontId="80" fillId="34" borderId="30" xfId="0" applyNumberFormat="1" applyFont="1" applyFill="1" applyBorder="1"/>
    <xf numFmtId="9" fontId="80" fillId="34" borderId="31" xfId="2" applyFont="1" applyFill="1" applyBorder="1"/>
    <xf numFmtId="179" fontId="80" fillId="34" borderId="2" xfId="0" applyNumberFormat="1" applyFont="1" applyFill="1" applyBorder="1"/>
    <xf numFmtId="168" fontId="78" fillId="34" borderId="2" xfId="2" applyNumberFormat="1" applyFont="1" applyFill="1" applyBorder="1" applyAlignment="1">
      <alignment horizontal="right" vertical="center" wrapText="1" readingOrder="1"/>
    </xf>
    <xf numFmtId="173" fontId="2" fillId="0" borderId="55" xfId="0" applyNumberFormat="1" applyFont="1" applyBorder="1"/>
    <xf numFmtId="0" fontId="2" fillId="0" borderId="55" xfId="0" applyFont="1" applyBorder="1" applyAlignment="1">
      <alignment horizontal="left" indent="2"/>
    </xf>
    <xf numFmtId="0" fontId="22" fillId="0" borderId="55" xfId="0" applyFont="1" applyBorder="1"/>
    <xf numFmtId="0" fontId="13" fillId="0" borderId="55" xfId="0" applyFont="1" applyBorder="1"/>
    <xf numFmtId="173" fontId="22" fillId="0" borderId="55" xfId="0" applyNumberFormat="1" applyFont="1" applyBorder="1"/>
    <xf numFmtId="173" fontId="13" fillId="0" borderId="55" xfId="0" applyNumberFormat="1" applyFont="1" applyBorder="1"/>
    <xf numFmtId="173" fontId="49" fillId="0" borderId="55" xfId="0" applyNumberFormat="1" applyFont="1" applyBorder="1"/>
    <xf numFmtId="0" fontId="49" fillId="0" borderId="55" xfId="0" applyFont="1" applyBorder="1" applyAlignment="1">
      <alignment horizontal="right" indent="1"/>
    </xf>
    <xf numFmtId="173" fontId="16" fillId="0" borderId="55" xfId="0" applyNumberFormat="1" applyFont="1" applyBorder="1"/>
    <xf numFmtId="0" fontId="16" fillId="0" borderId="55" xfId="0" applyFont="1" applyBorder="1" applyAlignment="1">
      <alignment horizontal="left" indent="2"/>
    </xf>
    <xf numFmtId="185" fontId="2" fillId="0" borderId="55" xfId="0" applyNumberFormat="1" applyFont="1" applyBorder="1"/>
    <xf numFmtId="0" fontId="2" fillId="0" borderId="55" xfId="0" applyFont="1" applyBorder="1" applyAlignment="1">
      <alignment horizontal="right" indent="1"/>
    </xf>
    <xf numFmtId="185" fontId="22" fillId="0" borderId="55" xfId="0" applyNumberFormat="1" applyFont="1" applyBorder="1"/>
    <xf numFmtId="185" fontId="13" fillId="0" borderId="55" xfId="0" applyNumberFormat="1" applyFont="1" applyBorder="1"/>
    <xf numFmtId="3" fontId="2" fillId="0" borderId="55" xfId="0" applyNumberFormat="1" applyFont="1" applyBorder="1" applyAlignment="1">
      <alignment horizontal="center"/>
    </xf>
    <xf numFmtId="3" fontId="13" fillId="0" borderId="55" xfId="0" applyNumberFormat="1" applyFont="1" applyBorder="1" applyAlignment="1">
      <alignment horizontal="right" vertical="center"/>
    </xf>
    <xf numFmtId="189" fontId="13" fillId="0" borderId="55" xfId="0" applyNumberFormat="1" applyFont="1" applyBorder="1" applyAlignment="1">
      <alignment horizontal="right" vertical="center"/>
    </xf>
    <xf numFmtId="173" fontId="13" fillId="0" borderId="55" xfId="0" applyNumberFormat="1" applyFont="1" applyBorder="1" applyAlignment="1">
      <alignment horizontal="right" vertical="center"/>
    </xf>
    <xf numFmtId="10" fontId="2" fillId="0" borderId="55" xfId="2" applyNumberFormat="1" applyFont="1" applyBorder="1"/>
    <xf numFmtId="3" fontId="2" fillId="0" borderId="55" xfId="0" applyNumberFormat="1" applyFont="1" applyBorder="1"/>
    <xf numFmtId="173" fontId="2" fillId="0" borderId="55" xfId="0" applyNumberFormat="1" applyFont="1" applyBorder="1" applyAlignment="1">
      <alignment horizontal="center"/>
    </xf>
    <xf numFmtId="17" fontId="28" fillId="24" borderId="0" xfId="0" applyNumberFormat="1" applyFont="1" applyFill="1" applyAlignment="1">
      <alignment horizontal="center" vertical="top" wrapText="1" readingOrder="1"/>
    </xf>
    <xf numFmtId="3" fontId="31" fillId="24" borderId="4" xfId="0" applyNumberFormat="1" applyFont="1" applyFill="1" applyBorder="1"/>
    <xf numFmtId="173" fontId="31" fillId="24" borderId="0" xfId="0" applyNumberFormat="1" applyFont="1" applyFill="1" applyAlignment="1">
      <alignment horizontal="right"/>
    </xf>
    <xf numFmtId="4" fontId="28" fillId="24" borderId="4" xfId="0" applyNumberFormat="1" applyFont="1" applyFill="1" applyBorder="1"/>
    <xf numFmtId="3" fontId="31" fillId="24" borderId="0" xfId="0" applyNumberFormat="1" applyFont="1" applyFill="1"/>
    <xf numFmtId="3" fontId="28" fillId="24" borderId="48" xfId="0" applyNumberFormat="1" applyFont="1" applyFill="1" applyBorder="1"/>
    <xf numFmtId="173" fontId="28" fillId="24" borderId="0" xfId="0" applyNumberFormat="1" applyFont="1" applyFill="1" applyAlignment="1">
      <alignment horizontal="right"/>
    </xf>
    <xf numFmtId="4" fontId="28" fillId="24" borderId="50" xfId="0" applyNumberFormat="1" applyFont="1" applyFill="1" applyBorder="1"/>
    <xf numFmtId="0" fontId="19" fillId="0" borderId="0" xfId="0" applyFont="1" applyAlignment="1">
      <alignment horizontal="center" vertical="top" wrapText="1" readingOrder="1"/>
    </xf>
    <xf numFmtId="0" fontId="28" fillId="28" borderId="0" xfId="0" applyFont="1" applyFill="1" applyAlignment="1">
      <alignment horizontal="center" vertical="center" readingOrder="1"/>
    </xf>
    <xf numFmtId="0" fontId="25" fillId="28" borderId="0" xfId="0" applyFont="1" applyFill="1" applyAlignment="1">
      <alignment horizontal="center"/>
    </xf>
    <xf numFmtId="0" fontId="33" fillId="28" borderId="0" xfId="0" applyFont="1" applyFill="1" applyAlignment="1">
      <alignment horizontal="center"/>
    </xf>
    <xf numFmtId="0" fontId="25" fillId="0" borderId="24" xfId="0" applyFont="1" applyBorder="1" applyAlignment="1">
      <alignment horizontal="center" vertical="top" wrapText="1"/>
    </xf>
    <xf numFmtId="0" fontId="25" fillId="0" borderId="4" xfId="0" applyFont="1" applyBorder="1" applyAlignment="1">
      <alignment horizontal="center" vertical="top" wrapText="1"/>
    </xf>
    <xf numFmtId="0" fontId="25" fillId="0" borderId="25" xfId="0" applyFont="1" applyBorder="1" applyAlignment="1">
      <alignment horizontal="center" vertical="top" wrapText="1"/>
    </xf>
    <xf numFmtId="0" fontId="19" fillId="0" borderId="5" xfId="0" applyFont="1" applyBorder="1" applyAlignment="1">
      <alignment horizontal="left" vertical="center" readingOrder="1"/>
    </xf>
    <xf numFmtId="0" fontId="19" fillId="0" borderId="6" xfId="0" applyFont="1" applyBorder="1" applyAlignment="1">
      <alignment horizontal="left" vertical="center" readingOrder="1"/>
    </xf>
    <xf numFmtId="0" fontId="19" fillId="0" borderId="7" xfId="0" applyFont="1" applyBorder="1" applyAlignment="1">
      <alignment horizontal="left" vertical="center" readingOrder="1"/>
    </xf>
    <xf numFmtId="0" fontId="19" fillId="0" borderId="8" xfId="0" applyFont="1" applyBorder="1" applyAlignment="1">
      <alignment horizontal="left" vertical="center" readingOrder="1"/>
    </xf>
    <xf numFmtId="0" fontId="19" fillId="0" borderId="9" xfId="0" applyFont="1" applyBorder="1" applyAlignment="1">
      <alignment horizontal="left" vertical="center" readingOrder="1"/>
    </xf>
    <xf numFmtId="0" fontId="19" fillId="0" borderId="4" xfId="0" applyFont="1" applyBorder="1" applyAlignment="1">
      <alignment horizontal="left" vertical="center" wrapText="1" readingOrder="1"/>
    </xf>
    <xf numFmtId="0" fontId="19" fillId="0" borderId="0" xfId="0" applyFont="1" applyAlignment="1">
      <alignment horizontal="left" vertical="center" wrapText="1" readingOrder="1"/>
    </xf>
    <xf numFmtId="0" fontId="19" fillId="0" borderId="18" xfId="0" applyFont="1" applyBorder="1" applyAlignment="1">
      <alignment horizontal="left" vertical="center" wrapText="1" readingOrder="1"/>
    </xf>
    <xf numFmtId="0" fontId="19" fillId="0" borderId="10" xfId="0" applyFont="1" applyBorder="1" applyAlignment="1">
      <alignment horizontal="left" vertical="center" wrapText="1" readingOrder="1"/>
    </xf>
    <xf numFmtId="0" fontId="41" fillId="0" borderId="0" xfId="0" applyFont="1" applyAlignment="1">
      <alignment horizontal="left" vertical="center" wrapText="1"/>
    </xf>
  </cellXfs>
  <cellStyles count="16">
    <cellStyle name="Border_Black_Thin_Bottom" xfId="4" xr:uid="{00000000-0005-0000-0000-000000000000}"/>
    <cellStyle name="Grassetto 11" xfId="8" xr:uid="{00000000-0005-0000-0000-000001000000}"/>
    <cellStyle name="Insatisfaisant" xfId="14" builtinId="27" customBuiltin="1"/>
    <cellStyle name="Milliers" xfId="1" builtinId="3"/>
    <cellStyle name="Normal" xfId="0" builtinId="0"/>
    <cellStyle name="Normal 2" xfId="9" xr:uid="{00000000-0005-0000-0000-000005000000}"/>
    <cellStyle name="Normale 2" xfId="10" xr:uid="{00000000-0005-0000-0000-000006000000}"/>
    <cellStyle name="Normale 2 2" xfId="11" xr:uid="{00000000-0005-0000-0000-000007000000}"/>
    <cellStyle name="Normale 2 3" xfId="15" xr:uid="{C157D4FB-B1EE-4DB7-A49A-CB42E193C689}"/>
    <cellStyle name="Normale 2 8" xfId="3" xr:uid="{00000000-0005-0000-0000-000008000000}"/>
    <cellStyle name="Number_No_Decimals" xfId="6" xr:uid="{00000000-0005-0000-0000-000009000000}"/>
    <cellStyle name="Percentuale 2" xfId="12" xr:uid="{00000000-0005-0000-0000-00000A000000}"/>
    <cellStyle name="Percentuale 3" xfId="7" xr:uid="{00000000-0005-0000-0000-00000B000000}"/>
    <cellStyle name="Percentuale 4" xfId="13" xr:uid="{00000000-0005-0000-0000-00000C000000}"/>
    <cellStyle name="Pourcentage" xfId="2" builtinId="5"/>
    <cellStyle name="Text_Black_Arial_8" xfId="5" xr:uid="{00000000-0005-0000-0000-00000E000000}"/>
  </cellStyles>
  <dxfs count="8">
    <dxf>
      <fill>
        <patternFill>
          <bgColor theme="2" tint="-9.9948118533890809E-2"/>
        </patternFill>
      </fill>
    </dxf>
    <dxf>
      <font>
        <color theme="0"/>
      </font>
      <fill>
        <patternFill>
          <bgColor rgb="FFFF0000"/>
        </patternFill>
      </fill>
    </dxf>
    <dxf>
      <font>
        <color theme="0"/>
      </font>
      <fill>
        <patternFill>
          <bgColor rgb="FF00B050"/>
        </patternFill>
      </fill>
    </dxf>
    <dxf>
      <fill>
        <patternFill>
          <bgColor rgb="FFFFC000"/>
        </patternFill>
      </fill>
    </dxf>
    <dxf>
      <fill>
        <patternFill>
          <bgColor theme="2" tint="-9.9948118533890809E-2"/>
        </patternFill>
      </fill>
    </dxf>
    <dxf>
      <font>
        <color theme="0"/>
      </font>
      <fill>
        <patternFill>
          <bgColor rgb="FFFF0000"/>
        </patternFill>
      </fill>
    </dxf>
    <dxf>
      <font>
        <color theme="0"/>
      </font>
      <fill>
        <patternFill>
          <bgColor rgb="FF00B050"/>
        </patternFill>
      </fill>
    </dxf>
    <dxf>
      <fill>
        <patternFill>
          <bgColor rgb="FFFFC000"/>
        </patternFill>
      </fill>
    </dxf>
  </dxfs>
  <tableStyles count="1" defaultTableStyle="TableStyleMedium2" defaultPivotStyle="PivotStyleLight16">
    <tableStyle name="Invisible" pivot="0" table="0" count="0" xr9:uid="{00000000-0011-0000-FFFF-FFFF00000000}"/>
  </tableStyles>
  <colors>
    <mruColors>
      <color rgb="FF66FF66"/>
      <color rgb="FFCCFF33"/>
      <color rgb="FF66FFFF"/>
      <color rgb="FF99FF33"/>
      <color rgb="FF00FFCC"/>
      <color rgb="FF203864"/>
      <color rgb="FFFFCCFF"/>
      <color rgb="FF00FF99"/>
      <color rgb="FF00FFFF"/>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134470</xdr:colOff>
      <xdr:row>44</xdr:row>
      <xdr:rowOff>163286</xdr:rowOff>
    </xdr:from>
    <xdr:ext cx="6957252" cy="2695258"/>
    <xdr:pic>
      <xdr:nvPicPr>
        <xdr:cNvPr id="2" name="Immagine 1">
          <a:extLst>
            <a:ext uri="{FF2B5EF4-FFF2-40B4-BE49-F238E27FC236}">
              <a16:creationId xmlns:a16="http://schemas.microsoft.com/office/drawing/2014/main" id="{BFF5BE77-8011-11E6-CB47-3D701D3C36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4470" y="8751474"/>
          <a:ext cx="7145510" cy="26952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2232660</xdr:colOff>
      <xdr:row>8</xdr:row>
      <xdr:rowOff>22860</xdr:rowOff>
    </xdr:from>
    <xdr:to>
      <xdr:col>11</xdr:col>
      <xdr:colOff>281940</xdr:colOff>
      <xdr:row>23</xdr:row>
      <xdr:rowOff>0</xdr:rowOff>
    </xdr:to>
    <xdr:sp macro="" textlink="">
      <xdr:nvSpPr>
        <xdr:cNvPr id="2" name="CasellaDiTesto 1">
          <a:extLst>
            <a:ext uri="{FF2B5EF4-FFF2-40B4-BE49-F238E27FC236}">
              <a16:creationId xmlns:a16="http://schemas.microsoft.com/office/drawing/2014/main" id="{6CF43530-CE90-A91F-1586-3F46559E2492}"/>
            </a:ext>
          </a:extLst>
        </xdr:cNvPr>
        <xdr:cNvSpPr txBox="1"/>
      </xdr:nvSpPr>
      <xdr:spPr>
        <a:xfrm>
          <a:off x="2232660" y="1676400"/>
          <a:ext cx="7063740" cy="2811780"/>
        </a:xfrm>
        <a:prstGeom prst="rect">
          <a:avLst/>
        </a:prstGeom>
        <a:solidFill>
          <a:srgbClr val="CCFF9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2400" b="1"/>
            <a:t>LAST UPDATE AUG24</a:t>
          </a: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DA1541A-5036-4022-BF95-7725A5B0DF1B}">
  <we:reference id="wa200010847" version="1.0.0.0" store="en-US" storeType="OMEX"/>
  <we:alternateReferences>
    <we:reference id="WA200010847" version="1.0.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59AF4-8D0D-4D5A-AFD1-A5AFC97E3EE7}">
  <sheetPr>
    <tabColor theme="1"/>
  </sheetPr>
  <dimension ref="A1:D6"/>
  <sheetViews>
    <sheetView showGridLines="0" workbookViewId="0">
      <selection activeCell="B10" sqref="B10:B11"/>
    </sheetView>
  </sheetViews>
  <sheetFormatPr baseColWidth="10" defaultColWidth="8.85546875" defaultRowHeight="12.75"/>
  <cols>
    <col min="1" max="1" width="21.85546875" style="15" customWidth="1"/>
    <col min="2" max="2" width="136.140625" style="15" customWidth="1"/>
    <col min="3" max="16384" width="8.85546875" style="15"/>
  </cols>
  <sheetData>
    <row r="1" spans="1:4" s="1201" customFormat="1" ht="42" customHeight="1">
      <c r="A1" s="1223" t="s">
        <v>69</v>
      </c>
      <c r="B1" s="1224"/>
    </row>
    <row r="2" spans="1:4" s="1201" customFormat="1" ht="42" customHeight="1">
      <c r="A2" s="1225" t="s">
        <v>1</v>
      </c>
      <c r="B2" s="1222" t="s">
        <v>64</v>
      </c>
      <c r="C2" s="1226"/>
      <c r="D2" s="1227"/>
    </row>
    <row r="3" spans="1:4" s="1201" customFormat="1" ht="42" customHeight="1">
      <c r="A3" s="1225" t="s">
        <v>133</v>
      </c>
      <c r="B3" s="1222" t="s">
        <v>65</v>
      </c>
      <c r="C3" s="1226"/>
      <c r="D3" s="1227"/>
    </row>
    <row r="4" spans="1:4" s="1201" customFormat="1" ht="42" customHeight="1">
      <c r="A4" s="1225" t="s">
        <v>157</v>
      </c>
      <c r="B4" s="1222" t="s">
        <v>158</v>
      </c>
      <c r="C4" s="1226"/>
      <c r="D4" s="1227"/>
    </row>
    <row r="5" spans="1:4" s="1201" customFormat="1" ht="42" customHeight="1">
      <c r="A5" s="1225" t="s">
        <v>70</v>
      </c>
      <c r="B5" s="1222" t="s">
        <v>66</v>
      </c>
      <c r="C5" s="1226"/>
      <c r="D5" s="1227"/>
    </row>
    <row r="6" spans="1:4" s="1201" customFormat="1" ht="42" customHeight="1">
      <c r="A6" s="1225" t="s">
        <v>67</v>
      </c>
      <c r="B6" s="1222" t="s">
        <v>68</v>
      </c>
      <c r="C6" s="1226"/>
      <c r="D6" s="1227"/>
    </row>
  </sheetData>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E01E2-45E3-421F-AC6E-9398E3241FC5}">
  <sheetPr>
    <tabColor rgb="FF99FF33"/>
  </sheetPr>
  <dimension ref="A1:AS182"/>
  <sheetViews>
    <sheetView showGridLines="0" zoomScale="70" zoomScaleNormal="70" zoomScaleSheetLayoutView="80" workbookViewId="0">
      <pane xSplit="1" topLeftCell="I1" activePane="topRight" state="frozen"/>
      <selection activeCell="A4" sqref="A4"/>
      <selection pane="topRight" activeCell="AB36" sqref="AB36"/>
    </sheetView>
  </sheetViews>
  <sheetFormatPr baseColWidth="10" defaultColWidth="8.85546875" defaultRowHeight="15" outlineLevelRow="2"/>
  <cols>
    <col min="1" max="1" width="21.42578125" style="19" customWidth="1"/>
    <col min="2" max="2" width="22.85546875" style="19" bestFit="1" customWidth="1"/>
    <col min="3" max="3" width="9.140625" style="19" customWidth="1"/>
    <col min="4" max="9" width="10" style="19" customWidth="1"/>
    <col min="10" max="11" width="10.85546875" style="19" customWidth="1"/>
    <col min="12" max="12" width="10.42578125" style="19" customWidth="1"/>
    <col min="13" max="13" width="11.42578125" style="19" customWidth="1"/>
    <col min="14" max="15" width="10.5703125" style="19" customWidth="1"/>
    <col min="16" max="16" width="11" style="19" customWidth="1"/>
    <col min="17" max="17" width="10.42578125" style="19" customWidth="1"/>
    <col min="18" max="18" width="10.140625" style="19" customWidth="1"/>
    <col min="19" max="19" width="11.42578125" style="19" customWidth="1"/>
    <col min="20" max="20" width="10.140625" style="19" customWidth="1"/>
    <col min="21" max="21" width="14" style="19" bestFit="1" customWidth="1"/>
    <col min="22" max="22" width="8.42578125" style="19" customWidth="1"/>
    <col min="23" max="23" width="9.7109375" style="19" customWidth="1"/>
    <col min="24" max="25" width="9" style="19" bestFit="1" customWidth="1"/>
    <col min="26" max="26" width="6.85546875" style="19" customWidth="1"/>
    <col min="27" max="27" width="8.85546875" style="19"/>
    <col min="28" max="28" width="9" style="19" bestFit="1" customWidth="1"/>
    <col min="29" max="29" width="10.28515625" style="19" customWidth="1"/>
    <col min="30" max="31" width="9" style="19" bestFit="1" customWidth="1"/>
    <col min="32" max="32" width="7.42578125" style="19" bestFit="1" customWidth="1"/>
    <col min="33" max="33" width="6.85546875" style="19" customWidth="1"/>
    <col min="34" max="34" width="7.85546875" style="19" bestFit="1" customWidth="1"/>
    <col min="35" max="35" width="7.7109375" style="19" bestFit="1" customWidth="1"/>
    <col min="36" max="36" width="7.85546875" style="19" bestFit="1" customWidth="1"/>
    <col min="37" max="37" width="7.42578125" style="19" bestFit="1" customWidth="1"/>
    <col min="38" max="38" width="9.7109375" style="19" customWidth="1"/>
    <col min="39" max="39" width="7.7109375" style="19" customWidth="1"/>
    <col min="40" max="40" width="7.140625" style="19" customWidth="1"/>
    <col min="41" max="41" width="8.85546875" style="19"/>
    <col min="42" max="42" width="11.140625" style="19" bestFit="1" customWidth="1"/>
    <col min="43" max="43" width="9" style="19" bestFit="1" customWidth="1"/>
    <col min="44" max="44" width="7.85546875" style="19" customWidth="1"/>
    <col min="45" max="45" width="9" style="19" bestFit="1" customWidth="1"/>
    <col min="46" max="16384" width="8.85546875" style="19"/>
  </cols>
  <sheetData>
    <row r="1" spans="1:21" ht="20.25">
      <c r="A1" s="1206" t="s">
        <v>25</v>
      </c>
      <c r="B1" s="1207"/>
      <c r="C1" s="1207"/>
      <c r="D1" s="1208"/>
      <c r="U1" s="458"/>
    </row>
    <row r="2" spans="1:21" ht="14.45" customHeight="1">
      <c r="A2" s="1209" t="s">
        <v>24</v>
      </c>
      <c r="B2" s="20"/>
      <c r="C2" s="20"/>
      <c r="D2" s="20"/>
      <c r="E2" s="20"/>
      <c r="F2" s="20"/>
      <c r="G2" s="20"/>
      <c r="H2" s="20"/>
      <c r="I2" s="20"/>
      <c r="J2" s="20"/>
      <c r="K2" s="20"/>
      <c r="L2" s="20"/>
    </row>
    <row r="3" spans="1:21" outlineLevel="1">
      <c r="A3" s="457" t="s">
        <v>409</v>
      </c>
      <c r="B3" s="21"/>
      <c r="C3" s="21"/>
      <c r="D3" s="21"/>
      <c r="E3" s="21"/>
      <c r="F3" s="21"/>
      <c r="G3" s="21"/>
      <c r="H3" s="21"/>
      <c r="I3" s="21"/>
      <c r="J3" s="21"/>
      <c r="K3" s="21"/>
      <c r="L3" s="21"/>
      <c r="Q3" s="1034"/>
    </row>
    <row r="4" spans="1:21" ht="15.75" outlineLevel="1">
      <c r="A4" s="23" t="s">
        <v>0</v>
      </c>
      <c r="B4" s="23"/>
      <c r="C4" s="23"/>
      <c r="D4" s="459"/>
      <c r="E4" s="184">
        <v>45930</v>
      </c>
      <c r="F4" s="24">
        <v>45961</v>
      </c>
      <c r="G4" s="24">
        <v>45991</v>
      </c>
      <c r="H4" s="24">
        <v>46022</v>
      </c>
      <c r="I4" s="24">
        <v>46053</v>
      </c>
      <c r="J4" s="24">
        <v>46081</v>
      </c>
      <c r="K4" s="24">
        <v>46112</v>
      </c>
      <c r="L4" s="24">
        <v>46142</v>
      </c>
      <c r="M4" s="24">
        <v>46173</v>
      </c>
      <c r="N4" s="24">
        <v>46203</v>
      </c>
      <c r="O4" s="24">
        <v>46234</v>
      </c>
      <c r="P4" s="24">
        <v>46265</v>
      </c>
      <c r="Q4" s="184">
        <v>46295</v>
      </c>
      <c r="R4" s="24">
        <v>46326</v>
      </c>
      <c r="S4" s="460" t="s">
        <v>12</v>
      </c>
      <c r="T4" s="184" t="s">
        <v>23</v>
      </c>
    </row>
    <row r="5" spans="1:21" outlineLevel="2">
      <c r="A5" s="1076" t="s">
        <v>2</v>
      </c>
      <c r="B5" s="1076" t="s">
        <v>119</v>
      </c>
      <c r="C5" s="1076"/>
      <c r="D5" s="461"/>
      <c r="E5" s="462">
        <v>34</v>
      </c>
      <c r="F5" s="463">
        <f t="shared" ref="F5:K5" si="0">+E5+E7+E8-E6</f>
        <v>34</v>
      </c>
      <c r="G5" s="463">
        <f t="shared" si="0"/>
        <v>33</v>
      </c>
      <c r="H5" s="463">
        <f t="shared" si="0"/>
        <v>36</v>
      </c>
      <c r="I5" s="463">
        <f t="shared" si="0"/>
        <v>34</v>
      </c>
      <c r="J5" s="463">
        <f t="shared" si="0"/>
        <v>27</v>
      </c>
      <c r="K5" s="463">
        <f t="shared" si="0"/>
        <v>30</v>
      </c>
      <c r="L5" s="463">
        <f>+K5+K7+K8-K6</f>
        <v>27</v>
      </c>
      <c r="M5" s="463">
        <f>+L5+L7+L8-L6</f>
        <v>29</v>
      </c>
      <c r="N5" s="464">
        <f>+M5+M7+M8-M6</f>
        <v>28</v>
      </c>
      <c r="O5" s="464">
        <f t="shared" ref="O5" si="1">+N5+N7+N8-N6</f>
        <v>32</v>
      </c>
      <c r="P5" s="464">
        <f>+O5+O7+O8-O6</f>
        <v>41</v>
      </c>
      <c r="Q5" s="465">
        <f>+P5+P7+P8-P6</f>
        <v>43</v>
      </c>
      <c r="R5" s="464">
        <f>+Q5+Q7+Q8-Q6</f>
        <v>42</v>
      </c>
      <c r="S5" s="466"/>
      <c r="T5" s="467"/>
    </row>
    <row r="6" spans="1:21" outlineLevel="2">
      <c r="A6" s="1077" t="s">
        <v>2</v>
      </c>
      <c r="B6" s="468" t="s">
        <v>120</v>
      </c>
      <c r="C6" s="1077"/>
      <c r="D6" s="469"/>
      <c r="E6" s="470">
        <v>2</v>
      </c>
      <c r="F6" s="471">
        <v>2</v>
      </c>
      <c r="G6" s="471">
        <v>2</v>
      </c>
      <c r="H6" s="471">
        <v>2</v>
      </c>
      <c r="I6" s="471">
        <v>8</v>
      </c>
      <c r="J6" s="471">
        <v>2</v>
      </c>
      <c r="K6" s="471">
        <v>3</v>
      </c>
      <c r="L6" s="471">
        <v>1</v>
      </c>
      <c r="M6" s="471">
        <v>1</v>
      </c>
      <c r="N6" s="471">
        <v>0</v>
      </c>
      <c r="O6" s="471">
        <v>1</v>
      </c>
      <c r="P6" s="471">
        <v>1</v>
      </c>
      <c r="Q6" s="470">
        <v>3</v>
      </c>
      <c r="R6" s="471"/>
      <c r="S6" s="472"/>
      <c r="T6" s="470"/>
    </row>
    <row r="7" spans="1:21" outlineLevel="2">
      <c r="A7" s="1077" t="s">
        <v>2</v>
      </c>
      <c r="B7" s="1077" t="s">
        <v>121</v>
      </c>
      <c r="C7" s="1077"/>
      <c r="D7" s="473"/>
      <c r="E7" s="474">
        <v>2</v>
      </c>
      <c r="F7" s="475">
        <v>2</v>
      </c>
      <c r="G7" s="475">
        <v>2</v>
      </c>
      <c r="H7" s="475">
        <v>0</v>
      </c>
      <c r="I7" s="475">
        <v>2</v>
      </c>
      <c r="J7" s="475">
        <v>4</v>
      </c>
      <c r="K7" s="475">
        <v>0</v>
      </c>
      <c r="L7" s="475">
        <v>3</v>
      </c>
      <c r="M7" s="475">
        <v>0</v>
      </c>
      <c r="N7" s="476">
        <v>4</v>
      </c>
      <c r="O7" s="476">
        <v>7</v>
      </c>
      <c r="P7" s="476">
        <v>1</v>
      </c>
      <c r="Q7" s="477">
        <v>2</v>
      </c>
      <c r="R7" s="476"/>
      <c r="S7" s="478"/>
      <c r="T7" s="477"/>
    </row>
    <row r="8" spans="1:21" outlineLevel="2">
      <c r="A8" s="1077" t="s">
        <v>2</v>
      </c>
      <c r="B8" s="1077" t="s">
        <v>122</v>
      </c>
      <c r="C8" s="1077"/>
      <c r="D8" s="473"/>
      <c r="E8" s="474">
        <v>0</v>
      </c>
      <c r="F8" s="475">
        <v>-1</v>
      </c>
      <c r="G8" s="475">
        <v>3</v>
      </c>
      <c r="H8" s="475">
        <v>0</v>
      </c>
      <c r="I8" s="475">
        <v>-1</v>
      </c>
      <c r="J8" s="475">
        <v>1</v>
      </c>
      <c r="K8" s="475">
        <v>0</v>
      </c>
      <c r="L8" s="475">
        <v>0</v>
      </c>
      <c r="M8" s="475">
        <v>0</v>
      </c>
      <c r="N8" s="476">
        <v>0</v>
      </c>
      <c r="O8" s="476">
        <v>3</v>
      </c>
      <c r="P8" s="476">
        <v>2</v>
      </c>
      <c r="Q8" s="477">
        <v>0</v>
      </c>
      <c r="R8" s="476"/>
      <c r="S8" s="478"/>
      <c r="T8" s="477"/>
    </row>
    <row r="9" spans="1:21" ht="15.75" outlineLevel="2">
      <c r="A9" s="479" t="s">
        <v>2</v>
      </c>
      <c r="B9" s="479"/>
      <c r="C9" s="480"/>
      <c r="D9" s="480" t="s">
        <v>123</v>
      </c>
      <c r="E9" s="481">
        <f t="shared" ref="E9:R9" si="2">+E6/E5</f>
        <v>5.8823529411764705E-2</v>
      </c>
      <c r="F9" s="482">
        <f t="shared" si="2"/>
        <v>5.8823529411764705E-2</v>
      </c>
      <c r="G9" s="482">
        <f t="shared" si="2"/>
        <v>6.0606060606060608E-2</v>
      </c>
      <c r="H9" s="482">
        <f t="shared" si="2"/>
        <v>5.5555555555555552E-2</v>
      </c>
      <c r="I9" s="482">
        <f t="shared" si="2"/>
        <v>0.23529411764705882</v>
      </c>
      <c r="J9" s="482">
        <f t="shared" si="2"/>
        <v>7.407407407407407E-2</v>
      </c>
      <c r="K9" s="482">
        <f t="shared" si="2"/>
        <v>0.1</v>
      </c>
      <c r="L9" s="482">
        <f t="shared" si="2"/>
        <v>3.7037037037037035E-2</v>
      </c>
      <c r="M9" s="482">
        <f t="shared" si="2"/>
        <v>3.4482758620689655E-2</v>
      </c>
      <c r="N9" s="483">
        <f t="shared" si="2"/>
        <v>0</v>
      </c>
      <c r="O9" s="483">
        <f t="shared" si="2"/>
        <v>3.125E-2</v>
      </c>
      <c r="P9" s="483">
        <f t="shared" si="2"/>
        <v>2.4390243902439025E-2</v>
      </c>
      <c r="Q9" s="484">
        <f t="shared" si="2"/>
        <v>6.9767441860465115E-2</v>
      </c>
      <c r="R9" s="483">
        <f t="shared" si="2"/>
        <v>0</v>
      </c>
      <c r="S9" s="485"/>
      <c r="T9" s="486"/>
    </row>
    <row r="10" spans="1:21" ht="15.75" outlineLevel="2">
      <c r="A10" s="479" t="s">
        <v>2</v>
      </c>
      <c r="B10" s="479"/>
      <c r="C10" s="480"/>
      <c r="D10" s="480" t="s">
        <v>1</v>
      </c>
      <c r="E10" s="481">
        <v>0.44377540732569892</v>
      </c>
      <c r="F10" s="482">
        <v>0.50259893673746359</v>
      </c>
      <c r="G10" s="482">
        <v>0.56320499734352425</v>
      </c>
      <c r="H10" s="482">
        <v>0.61876055289907983</v>
      </c>
      <c r="I10" s="482">
        <f>+I9</f>
        <v>0.23529411764705882</v>
      </c>
      <c r="J10" s="482">
        <f>+J9+I10</f>
        <v>0.30936819172113289</v>
      </c>
      <c r="K10" s="482">
        <f>+K9+J10</f>
        <v>0.40936819172113292</v>
      </c>
      <c r="L10" s="482">
        <f>+L9+K10</f>
        <v>0.44640522875816996</v>
      </c>
      <c r="M10" s="482">
        <f>+M9+L10</f>
        <v>0.48088798737885963</v>
      </c>
      <c r="N10" s="483">
        <f>+N9+M10</f>
        <v>0.48088798737885963</v>
      </c>
      <c r="O10" s="483">
        <f t="shared" ref="O10:R10" si="3">+O9+N10</f>
        <v>0.51213798737885963</v>
      </c>
      <c r="P10" s="483">
        <f t="shared" si="3"/>
        <v>0.53652823128129867</v>
      </c>
      <c r="Q10" s="484">
        <f>+Q9+P10</f>
        <v>0.6062956731417638</v>
      </c>
      <c r="R10" s="483">
        <f t="shared" si="3"/>
        <v>0.6062956731417638</v>
      </c>
      <c r="S10" s="485" t="s">
        <v>385</v>
      </c>
      <c r="T10" s="486">
        <f>IFERROR(Q10/E10-1,100%)</f>
        <v>0.36622188416310064</v>
      </c>
    </row>
    <row r="11" spans="1:21" outlineLevel="2">
      <c r="A11" s="1076" t="s">
        <v>3</v>
      </c>
      <c r="B11" s="1076" t="s">
        <v>119</v>
      </c>
      <c r="C11" s="1076"/>
      <c r="D11" s="461"/>
      <c r="E11" s="462">
        <v>98</v>
      </c>
      <c r="F11" s="463">
        <f t="shared" ref="F11:R11" si="4">+E11+E13+E14-E12</f>
        <v>102</v>
      </c>
      <c r="G11" s="463">
        <f t="shared" si="4"/>
        <v>103</v>
      </c>
      <c r="H11" s="463">
        <f t="shared" si="4"/>
        <v>101</v>
      </c>
      <c r="I11" s="463">
        <f t="shared" si="4"/>
        <v>100</v>
      </c>
      <c r="J11" s="463">
        <f t="shared" si="4"/>
        <v>94</v>
      </c>
      <c r="K11" s="463">
        <f t="shared" si="4"/>
        <v>94</v>
      </c>
      <c r="L11" s="463">
        <f t="shared" si="4"/>
        <v>92</v>
      </c>
      <c r="M11" s="463">
        <f t="shared" si="4"/>
        <v>92</v>
      </c>
      <c r="N11" s="464">
        <f t="shared" si="4"/>
        <v>94</v>
      </c>
      <c r="O11" s="464">
        <f t="shared" si="4"/>
        <v>96</v>
      </c>
      <c r="P11" s="464">
        <f t="shared" si="4"/>
        <v>93</v>
      </c>
      <c r="Q11" s="465">
        <f t="shared" si="4"/>
        <v>90</v>
      </c>
      <c r="R11" s="487">
        <f t="shared" si="4"/>
        <v>90</v>
      </c>
      <c r="S11" s="466"/>
      <c r="T11" s="467"/>
    </row>
    <row r="12" spans="1:21" outlineLevel="2">
      <c r="A12" s="1077" t="s">
        <v>3</v>
      </c>
      <c r="B12" s="468" t="s">
        <v>120</v>
      </c>
      <c r="C12" s="1077"/>
      <c r="D12" s="469"/>
      <c r="E12" s="470">
        <v>3</v>
      </c>
      <c r="F12" s="471">
        <v>1</v>
      </c>
      <c r="G12" s="471">
        <v>3</v>
      </c>
      <c r="H12" s="471">
        <v>1</v>
      </c>
      <c r="I12" s="471">
        <v>4</v>
      </c>
      <c r="J12" s="471">
        <v>1</v>
      </c>
      <c r="K12" s="471">
        <v>2</v>
      </c>
      <c r="L12" s="471">
        <v>2</v>
      </c>
      <c r="M12" s="471">
        <v>0</v>
      </c>
      <c r="N12" s="471">
        <v>1</v>
      </c>
      <c r="O12" s="471">
        <v>0</v>
      </c>
      <c r="P12" s="471">
        <v>4</v>
      </c>
      <c r="Q12" s="470">
        <v>2</v>
      </c>
      <c r="R12" s="471"/>
      <c r="S12" s="472"/>
      <c r="T12" s="470"/>
    </row>
    <row r="13" spans="1:21" outlineLevel="2">
      <c r="A13" s="1077" t="s">
        <v>3</v>
      </c>
      <c r="B13" s="1077" t="s">
        <v>121</v>
      </c>
      <c r="C13" s="1077"/>
      <c r="D13" s="473"/>
      <c r="E13" s="474">
        <v>6</v>
      </c>
      <c r="F13" s="475">
        <v>2</v>
      </c>
      <c r="G13" s="475">
        <v>3</v>
      </c>
      <c r="H13" s="475">
        <v>0</v>
      </c>
      <c r="I13" s="475">
        <v>1</v>
      </c>
      <c r="J13" s="475">
        <v>1</v>
      </c>
      <c r="K13" s="475">
        <v>0</v>
      </c>
      <c r="L13" s="475">
        <v>2</v>
      </c>
      <c r="M13" s="475">
        <v>1</v>
      </c>
      <c r="N13" s="476">
        <v>3</v>
      </c>
      <c r="O13" s="476">
        <v>2</v>
      </c>
      <c r="P13" s="476">
        <v>1</v>
      </c>
      <c r="Q13" s="477">
        <v>2</v>
      </c>
      <c r="R13" s="476"/>
      <c r="S13" s="478"/>
      <c r="T13" s="477"/>
    </row>
    <row r="14" spans="1:21" outlineLevel="2">
      <c r="A14" s="1077" t="s">
        <v>3</v>
      </c>
      <c r="B14" s="1077" t="s">
        <v>122</v>
      </c>
      <c r="C14" s="1077"/>
      <c r="D14" s="473"/>
      <c r="E14" s="474">
        <v>1</v>
      </c>
      <c r="F14" s="475">
        <v>0</v>
      </c>
      <c r="G14" s="475">
        <v>-2</v>
      </c>
      <c r="H14" s="475">
        <v>0</v>
      </c>
      <c r="I14" s="475">
        <v>-3</v>
      </c>
      <c r="J14" s="475">
        <v>0</v>
      </c>
      <c r="K14" s="475">
        <v>0</v>
      </c>
      <c r="L14" s="475">
        <v>0</v>
      </c>
      <c r="M14" s="475">
        <v>1</v>
      </c>
      <c r="N14" s="476">
        <v>0</v>
      </c>
      <c r="O14" s="476">
        <v>-5</v>
      </c>
      <c r="P14" s="476">
        <v>0</v>
      </c>
      <c r="Q14" s="477">
        <v>0</v>
      </c>
      <c r="R14" s="476"/>
      <c r="S14" s="478"/>
      <c r="T14" s="477"/>
    </row>
    <row r="15" spans="1:21" ht="15.75" outlineLevel="2">
      <c r="A15" s="479" t="s">
        <v>3</v>
      </c>
      <c r="B15" s="479"/>
      <c r="C15" s="480"/>
      <c r="D15" s="480" t="s">
        <v>123</v>
      </c>
      <c r="E15" s="481">
        <f t="shared" ref="E15:R15" si="5">+E12/E11</f>
        <v>3.0612244897959183E-2</v>
      </c>
      <c r="F15" s="482">
        <f t="shared" si="5"/>
        <v>9.8039215686274508E-3</v>
      </c>
      <c r="G15" s="482">
        <f t="shared" si="5"/>
        <v>2.9126213592233011E-2</v>
      </c>
      <c r="H15" s="482">
        <f t="shared" si="5"/>
        <v>9.9009900990099011E-3</v>
      </c>
      <c r="I15" s="482">
        <f t="shared" si="5"/>
        <v>0.04</v>
      </c>
      <c r="J15" s="482">
        <f t="shared" si="5"/>
        <v>1.0638297872340425E-2</v>
      </c>
      <c r="K15" s="482">
        <f t="shared" si="5"/>
        <v>2.1276595744680851E-2</v>
      </c>
      <c r="L15" s="482">
        <f t="shared" si="5"/>
        <v>2.1739130434782608E-2</v>
      </c>
      <c r="M15" s="482">
        <f t="shared" si="5"/>
        <v>0</v>
      </c>
      <c r="N15" s="483">
        <f t="shared" si="5"/>
        <v>1.0638297872340425E-2</v>
      </c>
      <c r="O15" s="483">
        <f t="shared" si="5"/>
        <v>0</v>
      </c>
      <c r="P15" s="483">
        <f t="shared" si="5"/>
        <v>4.3010752688172046E-2</v>
      </c>
      <c r="Q15" s="484">
        <f t="shared" si="5"/>
        <v>2.2222222222222223E-2</v>
      </c>
      <c r="R15" s="483">
        <f t="shared" si="5"/>
        <v>0</v>
      </c>
      <c r="S15" s="485"/>
      <c r="T15" s="486"/>
    </row>
    <row r="16" spans="1:21" ht="15.75" outlineLevel="2">
      <c r="A16" s="479" t="s">
        <v>3</v>
      </c>
      <c r="B16" s="479"/>
      <c r="C16" s="480"/>
      <c r="D16" s="480" t="s">
        <v>1</v>
      </c>
      <c r="E16" s="481">
        <v>0.16035555011083341</v>
      </c>
      <c r="F16" s="482">
        <v>0.17015947167946086</v>
      </c>
      <c r="G16" s="482">
        <v>0.19928568527169388</v>
      </c>
      <c r="H16" s="482">
        <v>0.20918667537070379</v>
      </c>
      <c r="I16" s="482">
        <f>+I15</f>
        <v>0.04</v>
      </c>
      <c r="J16" s="482">
        <f>+J15+I16</f>
        <v>5.0638297872340428E-2</v>
      </c>
      <c r="K16" s="482">
        <f>+K15+J16</f>
        <v>7.1914893617021275E-2</v>
      </c>
      <c r="L16" s="482">
        <f>+L15+K16</f>
        <v>9.3654024051803883E-2</v>
      </c>
      <c r="M16" s="482">
        <f>+M15+L16</f>
        <v>9.3654024051803883E-2</v>
      </c>
      <c r="N16" s="483">
        <f>+N15+M16</f>
        <v>0.10429232192414431</v>
      </c>
      <c r="O16" s="483">
        <f t="shared" ref="O16:R16" si="6">+O15+N16</f>
        <v>0.10429232192414431</v>
      </c>
      <c r="P16" s="483">
        <f t="shared" si="6"/>
        <v>0.14730307461231634</v>
      </c>
      <c r="Q16" s="484">
        <f t="shared" si="6"/>
        <v>0.16952529683453857</v>
      </c>
      <c r="R16" s="483">
        <f t="shared" si="6"/>
        <v>0.16952529683453857</v>
      </c>
      <c r="S16" s="485" t="s">
        <v>385</v>
      </c>
      <c r="T16" s="486">
        <f>IFERROR(Q16/E16-1,100%)</f>
        <v>5.7183843760738373E-2</v>
      </c>
    </row>
    <row r="17" spans="1:20" s="51" customFormat="1" ht="15.75" outlineLevel="2">
      <c r="A17" s="1076" t="s">
        <v>81</v>
      </c>
      <c r="B17" s="1076" t="s">
        <v>119</v>
      </c>
      <c r="C17" s="1076"/>
      <c r="D17" s="461"/>
      <c r="E17" s="462">
        <v>13</v>
      </c>
      <c r="F17" s="463">
        <f t="shared" ref="F17:P17" si="7">+E17+E19+E20-E18</f>
        <v>11</v>
      </c>
      <c r="G17" s="463">
        <f t="shared" si="7"/>
        <v>12</v>
      </c>
      <c r="H17" s="463">
        <f t="shared" si="7"/>
        <v>11</v>
      </c>
      <c r="I17" s="463">
        <f t="shared" si="7"/>
        <v>11</v>
      </c>
      <c r="J17" s="463">
        <f t="shared" si="7"/>
        <v>9</v>
      </c>
      <c r="K17" s="463">
        <f t="shared" si="7"/>
        <v>9</v>
      </c>
      <c r="L17" s="463">
        <f t="shared" si="7"/>
        <v>9</v>
      </c>
      <c r="M17" s="463">
        <f t="shared" si="7"/>
        <v>9</v>
      </c>
      <c r="N17" s="464">
        <f t="shared" si="7"/>
        <v>8</v>
      </c>
      <c r="O17" s="464">
        <f t="shared" si="7"/>
        <v>8</v>
      </c>
      <c r="P17" s="464">
        <f t="shared" si="7"/>
        <v>8</v>
      </c>
      <c r="Q17" s="465">
        <f>+P17+P19+P20-P18</f>
        <v>6</v>
      </c>
      <c r="R17" s="487">
        <f t="shared" ref="R17" si="8">+Q17+Q19+Q20-Q18</f>
        <v>5</v>
      </c>
      <c r="S17" s="466"/>
      <c r="T17" s="467"/>
    </row>
    <row r="18" spans="1:20" s="51" customFormat="1" ht="15.75" outlineLevel="2">
      <c r="A18" s="1077" t="s">
        <v>81</v>
      </c>
      <c r="B18" s="468" t="s">
        <v>120</v>
      </c>
      <c r="C18" s="1077"/>
      <c r="D18" s="469"/>
      <c r="E18" s="470">
        <v>1</v>
      </c>
      <c r="F18" s="471">
        <v>1</v>
      </c>
      <c r="G18" s="471">
        <v>0</v>
      </c>
      <c r="H18" s="471">
        <v>0</v>
      </c>
      <c r="I18" s="471">
        <v>1</v>
      </c>
      <c r="J18" s="471">
        <v>0</v>
      </c>
      <c r="K18" s="471">
        <v>0</v>
      </c>
      <c r="L18" s="471">
        <v>0</v>
      </c>
      <c r="M18" s="471">
        <v>0</v>
      </c>
      <c r="N18" s="471">
        <v>0</v>
      </c>
      <c r="O18" s="471">
        <v>0</v>
      </c>
      <c r="P18" s="471">
        <v>0</v>
      </c>
      <c r="Q18" s="470">
        <v>1</v>
      </c>
      <c r="R18" s="471"/>
      <c r="S18" s="472"/>
      <c r="T18" s="470"/>
    </row>
    <row r="19" spans="1:20" outlineLevel="2">
      <c r="A19" s="1077" t="s">
        <v>81</v>
      </c>
      <c r="B19" s="1077" t="s">
        <v>121</v>
      </c>
      <c r="C19" s="1077"/>
      <c r="D19" s="473"/>
      <c r="E19" s="474">
        <v>0</v>
      </c>
      <c r="F19" s="475">
        <v>1</v>
      </c>
      <c r="G19" s="475">
        <v>0</v>
      </c>
      <c r="H19" s="475">
        <v>0</v>
      </c>
      <c r="I19" s="475">
        <v>0</v>
      </c>
      <c r="J19" s="475">
        <v>0</v>
      </c>
      <c r="K19" s="475">
        <v>0</v>
      </c>
      <c r="L19" s="475">
        <v>0</v>
      </c>
      <c r="M19" s="475">
        <v>0</v>
      </c>
      <c r="N19" s="488">
        <v>0</v>
      </c>
      <c r="O19" s="488">
        <v>0</v>
      </c>
      <c r="P19" s="488">
        <v>0</v>
      </c>
      <c r="Q19" s="489">
        <v>2</v>
      </c>
      <c r="R19" s="488"/>
      <c r="S19" s="478"/>
      <c r="T19" s="477"/>
    </row>
    <row r="20" spans="1:20" outlineLevel="2">
      <c r="A20" s="1077" t="s">
        <v>81</v>
      </c>
      <c r="B20" s="1077" t="s">
        <v>122</v>
      </c>
      <c r="C20" s="1077"/>
      <c r="D20" s="473"/>
      <c r="E20" s="474">
        <v>-1</v>
      </c>
      <c r="F20" s="475">
        <v>1</v>
      </c>
      <c r="G20" s="475">
        <v>-1</v>
      </c>
      <c r="H20" s="475">
        <v>0</v>
      </c>
      <c r="I20" s="475">
        <v>-1</v>
      </c>
      <c r="J20" s="475">
        <v>0</v>
      </c>
      <c r="K20" s="475">
        <v>0</v>
      </c>
      <c r="L20" s="475">
        <v>0</v>
      </c>
      <c r="M20" s="475">
        <v>-1</v>
      </c>
      <c r="N20" s="488">
        <v>0</v>
      </c>
      <c r="O20" s="488">
        <v>0</v>
      </c>
      <c r="P20" s="488">
        <v>-2</v>
      </c>
      <c r="Q20" s="489">
        <v>-2</v>
      </c>
      <c r="R20" s="488"/>
      <c r="S20" s="478"/>
      <c r="T20" s="477"/>
    </row>
    <row r="21" spans="1:20" ht="15.75" outlineLevel="2">
      <c r="A21" s="479" t="s">
        <v>81</v>
      </c>
      <c r="B21" s="479"/>
      <c r="C21" s="480"/>
      <c r="D21" s="480" t="s">
        <v>123</v>
      </c>
      <c r="E21" s="481">
        <f t="shared" ref="E21:R21" si="9">+E18/E17</f>
        <v>7.6923076923076927E-2</v>
      </c>
      <c r="F21" s="482">
        <f t="shared" si="9"/>
        <v>9.0909090909090912E-2</v>
      </c>
      <c r="G21" s="482">
        <f t="shared" si="9"/>
        <v>0</v>
      </c>
      <c r="H21" s="482">
        <f t="shared" si="9"/>
        <v>0</v>
      </c>
      <c r="I21" s="482">
        <f t="shared" si="9"/>
        <v>9.0909090909090912E-2</v>
      </c>
      <c r="J21" s="482">
        <f t="shared" si="9"/>
        <v>0</v>
      </c>
      <c r="K21" s="482">
        <f t="shared" si="9"/>
        <v>0</v>
      </c>
      <c r="L21" s="482">
        <f t="shared" si="9"/>
        <v>0</v>
      </c>
      <c r="M21" s="482">
        <f t="shared" si="9"/>
        <v>0</v>
      </c>
      <c r="N21" s="483">
        <f t="shared" si="9"/>
        <v>0</v>
      </c>
      <c r="O21" s="483">
        <f t="shared" si="9"/>
        <v>0</v>
      </c>
      <c r="P21" s="483">
        <f t="shared" si="9"/>
        <v>0</v>
      </c>
      <c r="Q21" s="484">
        <f t="shared" si="9"/>
        <v>0.16666666666666666</v>
      </c>
      <c r="R21" s="483">
        <f t="shared" si="9"/>
        <v>0</v>
      </c>
      <c r="S21" s="485"/>
      <c r="T21" s="486"/>
    </row>
    <row r="22" spans="1:20" ht="15.75" outlineLevel="2">
      <c r="A22" s="479" t="s">
        <v>81</v>
      </c>
      <c r="B22" s="479"/>
      <c r="C22" s="480"/>
      <c r="D22" s="480" t="s">
        <v>1</v>
      </c>
      <c r="E22" s="481">
        <v>0.48336565395388925</v>
      </c>
      <c r="F22" s="482">
        <v>0.57427474486298014</v>
      </c>
      <c r="G22" s="482">
        <v>0.57427474486298014</v>
      </c>
      <c r="H22" s="482">
        <v>0.57427474486298014</v>
      </c>
      <c r="I22" s="482">
        <f>+I21</f>
        <v>9.0909090909090912E-2</v>
      </c>
      <c r="J22" s="482">
        <f>+J21+I22</f>
        <v>9.0909090909090912E-2</v>
      </c>
      <c r="K22" s="482">
        <f>+K21+J22</f>
        <v>9.0909090909090912E-2</v>
      </c>
      <c r="L22" s="482">
        <f>+L21+K22</f>
        <v>9.0909090909090912E-2</v>
      </c>
      <c r="M22" s="482">
        <f>+M21+L22</f>
        <v>9.0909090909090912E-2</v>
      </c>
      <c r="N22" s="483">
        <f>+N21+M22</f>
        <v>9.0909090909090912E-2</v>
      </c>
      <c r="O22" s="483">
        <f t="shared" ref="O22:R22" si="10">+O21+N22</f>
        <v>9.0909090909090912E-2</v>
      </c>
      <c r="P22" s="483">
        <f t="shared" si="10"/>
        <v>9.0909090909090912E-2</v>
      </c>
      <c r="Q22" s="484">
        <f t="shared" si="10"/>
        <v>0.25757575757575757</v>
      </c>
      <c r="R22" s="483">
        <f t="shared" si="10"/>
        <v>0.25757575757575757</v>
      </c>
      <c r="S22" s="485" t="s">
        <v>385</v>
      </c>
      <c r="T22" s="486">
        <f>IFERROR(Q22/E22-1,100%)</f>
        <v>-0.46712027329867123</v>
      </c>
    </row>
    <row r="23" spans="1:20" outlineLevel="2">
      <c r="A23" s="1076" t="s">
        <v>148</v>
      </c>
      <c r="B23" s="1076" t="s">
        <v>119</v>
      </c>
      <c r="C23" s="1076"/>
      <c r="D23" s="461"/>
      <c r="E23" s="462">
        <v>17</v>
      </c>
      <c r="F23" s="463">
        <f t="shared" ref="F23:R23" si="11">+E23+E25+E26-E24</f>
        <v>17</v>
      </c>
      <c r="G23" s="463">
        <f t="shared" si="11"/>
        <v>16</v>
      </c>
      <c r="H23" s="463">
        <f t="shared" si="11"/>
        <v>14</v>
      </c>
      <c r="I23" s="463">
        <f t="shared" si="11"/>
        <v>14</v>
      </c>
      <c r="J23" s="463">
        <f t="shared" si="11"/>
        <v>20</v>
      </c>
      <c r="K23" s="463">
        <f t="shared" si="11"/>
        <v>19</v>
      </c>
      <c r="L23" s="463">
        <f t="shared" si="11"/>
        <v>19</v>
      </c>
      <c r="M23" s="463">
        <f t="shared" si="11"/>
        <v>18</v>
      </c>
      <c r="N23" s="464">
        <f t="shared" si="11"/>
        <v>18</v>
      </c>
      <c r="O23" s="464">
        <f t="shared" si="11"/>
        <v>19</v>
      </c>
      <c r="P23" s="464">
        <f t="shared" si="11"/>
        <v>22</v>
      </c>
      <c r="Q23" s="465">
        <f t="shared" si="11"/>
        <v>21</v>
      </c>
      <c r="R23" s="464">
        <f t="shared" si="11"/>
        <v>23</v>
      </c>
      <c r="S23" s="466"/>
      <c r="T23" s="467"/>
    </row>
    <row r="24" spans="1:20" outlineLevel="2">
      <c r="A24" s="1077" t="s">
        <v>148</v>
      </c>
      <c r="B24" s="490" t="s">
        <v>120</v>
      </c>
      <c r="C24" s="1077"/>
      <c r="D24" s="469"/>
      <c r="E24" s="470">
        <v>0</v>
      </c>
      <c r="F24" s="471">
        <v>2</v>
      </c>
      <c r="G24" s="471">
        <v>2</v>
      </c>
      <c r="H24" s="471">
        <v>0</v>
      </c>
      <c r="I24" s="471">
        <v>0</v>
      </c>
      <c r="J24" s="471">
        <v>1</v>
      </c>
      <c r="K24" s="471">
        <v>0</v>
      </c>
      <c r="L24" s="471">
        <v>1</v>
      </c>
      <c r="M24" s="471">
        <v>0</v>
      </c>
      <c r="N24" s="471">
        <v>1</v>
      </c>
      <c r="O24" s="471">
        <v>0</v>
      </c>
      <c r="P24" s="471">
        <v>1</v>
      </c>
      <c r="Q24" s="470">
        <v>0</v>
      </c>
      <c r="R24" s="471"/>
      <c r="S24" s="472"/>
      <c r="T24" s="470"/>
    </row>
    <row r="25" spans="1:20" outlineLevel="2">
      <c r="A25" s="1077" t="s">
        <v>148</v>
      </c>
      <c r="B25" s="491" t="s">
        <v>121</v>
      </c>
      <c r="C25" s="1077"/>
      <c r="D25" s="473"/>
      <c r="E25" s="474">
        <v>0</v>
      </c>
      <c r="F25" s="475">
        <v>1</v>
      </c>
      <c r="G25" s="475">
        <v>0</v>
      </c>
      <c r="H25" s="475">
        <v>0</v>
      </c>
      <c r="I25" s="475">
        <v>1</v>
      </c>
      <c r="J25" s="475">
        <v>1</v>
      </c>
      <c r="K25" s="475">
        <v>0</v>
      </c>
      <c r="L25" s="475">
        <v>0</v>
      </c>
      <c r="M25" s="475">
        <v>0</v>
      </c>
      <c r="N25" s="488">
        <v>2</v>
      </c>
      <c r="O25" s="488">
        <v>1</v>
      </c>
      <c r="P25" s="488">
        <v>0</v>
      </c>
      <c r="Q25" s="489">
        <v>0</v>
      </c>
      <c r="R25" s="488"/>
      <c r="S25" s="478"/>
      <c r="T25" s="477"/>
    </row>
    <row r="26" spans="1:20" outlineLevel="2">
      <c r="A26" s="1077" t="s">
        <v>148</v>
      </c>
      <c r="B26" s="1077" t="s">
        <v>122</v>
      </c>
      <c r="C26" s="1077"/>
      <c r="D26" s="473"/>
      <c r="E26" s="474">
        <v>0</v>
      </c>
      <c r="F26" s="475">
        <v>0</v>
      </c>
      <c r="G26" s="475">
        <v>0</v>
      </c>
      <c r="H26" s="475">
        <v>0</v>
      </c>
      <c r="I26" s="475">
        <v>5</v>
      </c>
      <c r="J26" s="475">
        <v>-1</v>
      </c>
      <c r="K26" s="475">
        <v>0</v>
      </c>
      <c r="L26" s="475">
        <v>0</v>
      </c>
      <c r="M26" s="475">
        <v>0</v>
      </c>
      <c r="N26" s="488">
        <v>0</v>
      </c>
      <c r="O26" s="488">
        <v>2</v>
      </c>
      <c r="P26" s="488">
        <v>0</v>
      </c>
      <c r="Q26" s="489">
        <v>2</v>
      </c>
      <c r="R26" s="488"/>
      <c r="S26" s="478"/>
      <c r="T26" s="477"/>
    </row>
    <row r="27" spans="1:20" ht="15.75" outlineLevel="2">
      <c r="A27" s="479" t="s">
        <v>148</v>
      </c>
      <c r="B27" s="479"/>
      <c r="C27" s="480"/>
      <c r="D27" s="480" t="s">
        <v>123</v>
      </c>
      <c r="E27" s="481">
        <f t="shared" ref="E27:R27" si="12">+E24/E23</f>
        <v>0</v>
      </c>
      <c r="F27" s="482">
        <f t="shared" si="12"/>
        <v>0.11764705882352941</v>
      </c>
      <c r="G27" s="482">
        <f t="shared" si="12"/>
        <v>0.125</v>
      </c>
      <c r="H27" s="482">
        <f t="shared" si="12"/>
        <v>0</v>
      </c>
      <c r="I27" s="482">
        <f t="shared" si="12"/>
        <v>0</v>
      </c>
      <c r="J27" s="482">
        <f t="shared" si="12"/>
        <v>0.05</v>
      </c>
      <c r="K27" s="482">
        <f t="shared" si="12"/>
        <v>0</v>
      </c>
      <c r="L27" s="482">
        <f t="shared" si="12"/>
        <v>5.2631578947368418E-2</v>
      </c>
      <c r="M27" s="482">
        <f t="shared" si="12"/>
        <v>0</v>
      </c>
      <c r="N27" s="483">
        <f t="shared" si="12"/>
        <v>5.5555555555555552E-2</v>
      </c>
      <c r="O27" s="483">
        <f t="shared" si="12"/>
        <v>0</v>
      </c>
      <c r="P27" s="483">
        <f t="shared" si="12"/>
        <v>4.5454545454545456E-2</v>
      </c>
      <c r="Q27" s="484">
        <f t="shared" si="12"/>
        <v>0</v>
      </c>
      <c r="R27" s="483">
        <f t="shared" si="12"/>
        <v>0</v>
      </c>
      <c r="S27" s="485"/>
      <c r="T27" s="486"/>
    </row>
    <row r="28" spans="1:20" ht="16.5" outlineLevel="2" thickBot="1">
      <c r="A28" s="492" t="s">
        <v>148</v>
      </c>
      <c r="B28" s="492"/>
      <c r="C28" s="493"/>
      <c r="D28" s="493" t="s">
        <v>1</v>
      </c>
      <c r="E28" s="494">
        <v>5.8823529411764705E-2</v>
      </c>
      <c r="F28" s="495">
        <v>0.1764705882352941</v>
      </c>
      <c r="G28" s="495">
        <v>0.3014705882352941</v>
      </c>
      <c r="H28" s="495">
        <v>0.3014705882352941</v>
      </c>
      <c r="I28" s="495">
        <f>+I27</f>
        <v>0</v>
      </c>
      <c r="J28" s="495">
        <f>+J27+I28</f>
        <v>0.05</v>
      </c>
      <c r="K28" s="495">
        <f>+K27+J28</f>
        <v>0.05</v>
      </c>
      <c r="L28" s="495">
        <f>+L27+K28</f>
        <v>0.10263157894736842</v>
      </c>
      <c r="M28" s="495">
        <f>+M27+L28</f>
        <v>0.10263157894736842</v>
      </c>
      <c r="N28" s="496">
        <f>+N27+M28</f>
        <v>0.15818713450292399</v>
      </c>
      <c r="O28" s="496">
        <f t="shared" ref="O28:R28" si="13">+O27+N28</f>
        <v>0.15818713450292399</v>
      </c>
      <c r="P28" s="496">
        <f t="shared" si="13"/>
        <v>0.20364167995746946</v>
      </c>
      <c r="Q28" s="497">
        <f t="shared" si="13"/>
        <v>0.20364167995746946</v>
      </c>
      <c r="R28" s="496">
        <f t="shared" si="13"/>
        <v>0.20364167995746946</v>
      </c>
      <c r="S28" s="498" t="s">
        <v>385</v>
      </c>
      <c r="T28" s="499">
        <f>IFERROR(Q28/E28-1,100%)</f>
        <v>2.4619085592769809</v>
      </c>
    </row>
    <row r="29" spans="1:20" ht="15.75" outlineLevel="1" thickTop="1">
      <c r="A29" s="500" t="s">
        <v>5</v>
      </c>
      <c r="B29" s="500" t="s">
        <v>119</v>
      </c>
      <c r="C29" s="500"/>
      <c r="D29" s="501"/>
      <c r="E29" s="502">
        <v>162</v>
      </c>
      <c r="F29" s="503">
        <f t="shared" ref="F29:R29" si="14">+E29+E31+E32-E30</f>
        <v>164</v>
      </c>
      <c r="G29" s="503">
        <f t="shared" si="14"/>
        <v>164</v>
      </c>
      <c r="H29" s="503">
        <f t="shared" si="14"/>
        <v>162</v>
      </c>
      <c r="I29" s="503">
        <f t="shared" si="14"/>
        <v>159</v>
      </c>
      <c r="J29" s="503">
        <f t="shared" si="14"/>
        <v>150</v>
      </c>
      <c r="K29" s="503">
        <f t="shared" si="14"/>
        <v>152</v>
      </c>
      <c r="L29" s="503">
        <f t="shared" si="14"/>
        <v>147</v>
      </c>
      <c r="M29" s="503">
        <f t="shared" si="14"/>
        <v>148</v>
      </c>
      <c r="N29" s="504">
        <f t="shared" si="14"/>
        <v>148</v>
      </c>
      <c r="O29" s="504">
        <f t="shared" si="14"/>
        <v>155</v>
      </c>
      <c r="P29" s="504">
        <f t="shared" si="14"/>
        <v>164</v>
      </c>
      <c r="Q29" s="505">
        <f t="shared" si="14"/>
        <v>160</v>
      </c>
      <c r="R29" s="504">
        <f t="shared" si="14"/>
        <v>160</v>
      </c>
      <c r="S29" s="506"/>
      <c r="T29" s="507"/>
    </row>
    <row r="30" spans="1:20" outlineLevel="1">
      <c r="A30" s="1077" t="s">
        <v>5</v>
      </c>
      <c r="B30" s="468" t="s">
        <v>120</v>
      </c>
      <c r="C30" s="1077"/>
      <c r="D30" s="469"/>
      <c r="E30" s="508">
        <f t="shared" ref="E30:R32" si="15">SUM(E24,E18,E12,E6)</f>
        <v>6</v>
      </c>
      <c r="F30" s="471">
        <f t="shared" si="15"/>
        <v>6</v>
      </c>
      <c r="G30" s="471">
        <f t="shared" si="15"/>
        <v>7</v>
      </c>
      <c r="H30" s="471">
        <f t="shared" si="15"/>
        <v>3</v>
      </c>
      <c r="I30" s="471">
        <f t="shared" si="15"/>
        <v>13</v>
      </c>
      <c r="J30" s="471">
        <f t="shared" si="15"/>
        <v>4</v>
      </c>
      <c r="K30" s="471">
        <f t="shared" si="15"/>
        <v>5</v>
      </c>
      <c r="L30" s="471">
        <f t="shared" si="15"/>
        <v>4</v>
      </c>
      <c r="M30" s="471">
        <f t="shared" si="15"/>
        <v>1</v>
      </c>
      <c r="N30" s="471">
        <f t="shared" si="15"/>
        <v>2</v>
      </c>
      <c r="O30" s="471">
        <f t="shared" si="15"/>
        <v>1</v>
      </c>
      <c r="P30" s="471">
        <f t="shared" si="15"/>
        <v>6</v>
      </c>
      <c r="Q30" s="508">
        <f t="shared" si="15"/>
        <v>6</v>
      </c>
      <c r="R30" s="471">
        <f t="shared" si="15"/>
        <v>0</v>
      </c>
      <c r="S30" s="472"/>
      <c r="T30" s="470"/>
    </row>
    <row r="31" spans="1:20" outlineLevel="1">
      <c r="A31" s="1077" t="s">
        <v>5</v>
      </c>
      <c r="B31" s="1077" t="s">
        <v>121</v>
      </c>
      <c r="C31" s="1077"/>
      <c r="D31" s="473"/>
      <c r="E31" s="509">
        <f t="shared" si="15"/>
        <v>8</v>
      </c>
      <c r="F31" s="475">
        <f t="shared" si="15"/>
        <v>6</v>
      </c>
      <c r="G31" s="475">
        <f t="shared" si="15"/>
        <v>5</v>
      </c>
      <c r="H31" s="475">
        <f t="shared" si="15"/>
        <v>0</v>
      </c>
      <c r="I31" s="475">
        <f t="shared" si="15"/>
        <v>4</v>
      </c>
      <c r="J31" s="475">
        <f t="shared" si="15"/>
        <v>6</v>
      </c>
      <c r="K31" s="475">
        <f t="shared" si="15"/>
        <v>0</v>
      </c>
      <c r="L31" s="475">
        <f t="shared" si="15"/>
        <v>5</v>
      </c>
      <c r="M31" s="475">
        <f t="shared" si="15"/>
        <v>1</v>
      </c>
      <c r="N31" s="488">
        <f t="shared" si="15"/>
        <v>9</v>
      </c>
      <c r="O31" s="488">
        <f t="shared" si="15"/>
        <v>10</v>
      </c>
      <c r="P31" s="488">
        <f t="shared" si="15"/>
        <v>2</v>
      </c>
      <c r="Q31" s="510">
        <f t="shared" si="15"/>
        <v>6</v>
      </c>
      <c r="R31" s="488">
        <f t="shared" si="15"/>
        <v>0</v>
      </c>
      <c r="S31" s="478"/>
      <c r="T31" s="477"/>
    </row>
    <row r="32" spans="1:20" outlineLevel="1">
      <c r="A32" s="1077" t="s">
        <v>5</v>
      </c>
      <c r="B32" s="1077" t="s">
        <v>122</v>
      </c>
      <c r="C32" s="1077"/>
      <c r="D32" s="473"/>
      <c r="E32" s="509">
        <f t="shared" si="15"/>
        <v>0</v>
      </c>
      <c r="F32" s="475">
        <f t="shared" si="15"/>
        <v>0</v>
      </c>
      <c r="G32" s="475">
        <f t="shared" si="15"/>
        <v>0</v>
      </c>
      <c r="H32" s="475">
        <f t="shared" si="15"/>
        <v>0</v>
      </c>
      <c r="I32" s="475">
        <f t="shared" si="15"/>
        <v>0</v>
      </c>
      <c r="J32" s="475">
        <f t="shared" si="15"/>
        <v>0</v>
      </c>
      <c r="K32" s="475">
        <f t="shared" si="15"/>
        <v>0</v>
      </c>
      <c r="L32" s="475">
        <f t="shared" si="15"/>
        <v>0</v>
      </c>
      <c r="M32" s="475">
        <f t="shared" si="15"/>
        <v>0</v>
      </c>
      <c r="N32" s="488">
        <f t="shared" si="15"/>
        <v>0</v>
      </c>
      <c r="O32" s="488">
        <f t="shared" si="15"/>
        <v>0</v>
      </c>
      <c r="P32" s="488">
        <f t="shared" si="15"/>
        <v>0</v>
      </c>
      <c r="Q32" s="510">
        <f t="shared" si="15"/>
        <v>0</v>
      </c>
      <c r="R32" s="488">
        <f t="shared" si="15"/>
        <v>0</v>
      </c>
      <c r="S32" s="478"/>
      <c r="T32" s="477"/>
    </row>
    <row r="33" spans="1:45" ht="15.75" outlineLevel="1">
      <c r="A33" s="479" t="s">
        <v>5</v>
      </c>
      <c r="B33" s="479"/>
      <c r="C33" s="480"/>
      <c r="D33" s="480" t="s">
        <v>123</v>
      </c>
      <c r="E33" s="511">
        <f t="shared" ref="E33:R33" si="16">+E30/E29</f>
        <v>3.7037037037037035E-2</v>
      </c>
      <c r="F33" s="482">
        <f t="shared" si="16"/>
        <v>3.6585365853658534E-2</v>
      </c>
      <c r="G33" s="482">
        <f t="shared" si="16"/>
        <v>4.2682926829268296E-2</v>
      </c>
      <c r="H33" s="482">
        <f t="shared" si="16"/>
        <v>1.8518518518518517E-2</v>
      </c>
      <c r="I33" s="482">
        <f t="shared" si="16"/>
        <v>8.1761006289308172E-2</v>
      </c>
      <c r="J33" s="482">
        <f t="shared" si="16"/>
        <v>2.6666666666666668E-2</v>
      </c>
      <c r="K33" s="482">
        <f t="shared" si="16"/>
        <v>3.2894736842105261E-2</v>
      </c>
      <c r="L33" s="482">
        <f t="shared" si="16"/>
        <v>2.7210884353741496E-2</v>
      </c>
      <c r="M33" s="482">
        <f t="shared" si="16"/>
        <v>6.7567567567567571E-3</v>
      </c>
      <c r="N33" s="483">
        <f t="shared" si="16"/>
        <v>1.3513513513513514E-2</v>
      </c>
      <c r="O33" s="483">
        <f t="shared" si="16"/>
        <v>6.4516129032258064E-3</v>
      </c>
      <c r="P33" s="483">
        <f t="shared" si="16"/>
        <v>3.6585365853658534E-2</v>
      </c>
      <c r="Q33" s="512">
        <f t="shared" si="16"/>
        <v>3.7499999999999999E-2</v>
      </c>
      <c r="R33" s="483">
        <f t="shared" si="16"/>
        <v>0</v>
      </c>
      <c r="S33" s="485"/>
      <c r="T33" s="486"/>
    </row>
    <row r="34" spans="1:45" ht="15.75" outlineLevel="1">
      <c r="A34" s="513" t="s">
        <v>5</v>
      </c>
      <c r="B34" s="513"/>
      <c r="C34" s="514"/>
      <c r="D34" s="514" t="s">
        <v>1</v>
      </c>
      <c r="E34" s="515">
        <v>0.24365071394149948</v>
      </c>
      <c r="F34" s="516">
        <v>0.28023607979515802</v>
      </c>
      <c r="G34" s="516">
        <v>0.3229190066244263</v>
      </c>
      <c r="H34" s="516">
        <v>0.34143752514294479</v>
      </c>
      <c r="I34" s="516">
        <f>+I33</f>
        <v>8.1761006289308172E-2</v>
      </c>
      <c r="J34" s="516">
        <f>+J33+I34</f>
        <v>0.10842767295597484</v>
      </c>
      <c r="K34" s="516">
        <f>+K33+J34</f>
        <v>0.14132240979808011</v>
      </c>
      <c r="L34" s="516">
        <f>+L33+K34</f>
        <v>0.16853329415182161</v>
      </c>
      <c r="M34" s="516">
        <f>+M33+L34</f>
        <v>0.17529005090857835</v>
      </c>
      <c r="N34" s="517">
        <f>+N33+M34</f>
        <v>0.18880356442209187</v>
      </c>
      <c r="O34" s="517">
        <f t="shared" ref="O34:R34" si="17">+O33+N34</f>
        <v>0.19525517732531766</v>
      </c>
      <c r="P34" s="517">
        <f t="shared" si="17"/>
        <v>0.23184054317897621</v>
      </c>
      <c r="Q34" s="518">
        <f t="shared" si="17"/>
        <v>0.26934054317897621</v>
      </c>
      <c r="R34" s="517">
        <f t="shared" si="17"/>
        <v>0.26934054317897621</v>
      </c>
      <c r="S34" s="519" t="s">
        <v>473</v>
      </c>
      <c r="T34" s="520">
        <f>IFERROR(Q34/E34-1,100%)</f>
        <v>0.10543711866013594</v>
      </c>
    </row>
    <row r="35" spans="1:45" outlineLevel="1">
      <c r="A35" s="21" t="s">
        <v>118</v>
      </c>
    </row>
    <row r="36" spans="1:45">
      <c r="R36" s="521"/>
    </row>
    <row r="37" spans="1:45">
      <c r="R37" s="521"/>
    </row>
    <row r="38" spans="1:45" ht="14.45" customHeight="1">
      <c r="A38" s="1210" t="s">
        <v>28</v>
      </c>
      <c r="B38" s="1210"/>
      <c r="C38" s="1210"/>
      <c r="D38" s="20"/>
      <c r="E38" s="20"/>
      <c r="F38" s="20"/>
      <c r="G38" s="20"/>
      <c r="H38" s="20"/>
      <c r="I38" s="20"/>
      <c r="J38" s="20"/>
      <c r="K38" s="20"/>
      <c r="L38" s="20"/>
      <c r="R38" s="521"/>
    </row>
    <row r="39" spans="1:45" outlineLevel="1">
      <c r="A39" s="457" t="s">
        <v>410</v>
      </c>
      <c r="B39" s="21"/>
      <c r="C39" s="21"/>
      <c r="D39" s="21"/>
      <c r="E39" s="21"/>
      <c r="F39" s="21"/>
      <c r="G39" s="21"/>
      <c r="H39" s="21"/>
      <c r="I39" s="21"/>
      <c r="J39" s="21"/>
      <c r="K39" s="21"/>
      <c r="L39" s="21"/>
      <c r="AJ39" s="522"/>
    </row>
    <row r="40" spans="1:45" ht="14.45" customHeight="1" outlineLevel="1">
      <c r="A40" s="21"/>
      <c r="B40" s="21"/>
      <c r="C40" s="21"/>
      <c r="D40" s="1272" t="s">
        <v>490</v>
      </c>
      <c r="E40" s="1272"/>
      <c r="F40" s="1272"/>
      <c r="G40" s="1272"/>
      <c r="H40" s="1272"/>
      <c r="I40" s="21"/>
      <c r="L40" s="1272" t="s">
        <v>382</v>
      </c>
      <c r="M40" s="1272"/>
      <c r="N40" s="1272"/>
      <c r="O40" s="1272"/>
      <c r="P40" s="1272"/>
      <c r="V40" s="1273" t="s">
        <v>74</v>
      </c>
      <c r="W40" s="1273"/>
      <c r="X40" s="1273"/>
      <c r="Y40" s="1273"/>
      <c r="AB40" s="1274" t="s">
        <v>1</v>
      </c>
      <c r="AC40" s="1274"/>
      <c r="AD40" s="1274"/>
      <c r="AE40" s="1274"/>
      <c r="AH40" s="1034"/>
      <c r="AI40" s="1275" t="s">
        <v>13</v>
      </c>
      <c r="AJ40" s="1276"/>
      <c r="AK40" s="1277"/>
      <c r="AL40" s="1271" t="s">
        <v>142</v>
      </c>
      <c r="AM40" s="1271"/>
      <c r="AN40" s="1271"/>
    </row>
    <row r="41" spans="1:45" ht="63" outlineLevel="1">
      <c r="A41" s="523" t="s">
        <v>0</v>
      </c>
      <c r="B41" s="523"/>
      <c r="C41" s="523"/>
      <c r="D41" s="524" t="s">
        <v>105</v>
      </c>
      <c r="E41" s="524" t="s">
        <v>104</v>
      </c>
      <c r="F41" s="525" t="s">
        <v>106</v>
      </c>
      <c r="G41" s="524" t="s">
        <v>103</v>
      </c>
      <c r="H41" s="526" t="s">
        <v>29</v>
      </c>
      <c r="I41" s="527" t="s">
        <v>12</v>
      </c>
      <c r="J41" s="528" t="s">
        <v>27</v>
      </c>
      <c r="K41" s="21"/>
      <c r="L41" s="524" t="s">
        <v>99</v>
      </c>
      <c r="M41" s="524" t="s">
        <v>102</v>
      </c>
      <c r="N41" s="525" t="s">
        <v>106</v>
      </c>
      <c r="O41" s="524" t="s">
        <v>100</v>
      </c>
      <c r="P41" s="526" t="s">
        <v>29</v>
      </c>
      <c r="Q41" s="527" t="s">
        <v>12</v>
      </c>
      <c r="R41" s="528" t="s">
        <v>27</v>
      </c>
      <c r="S41" s="527" t="s">
        <v>338</v>
      </c>
      <c r="T41" s="27" t="s">
        <v>381</v>
      </c>
      <c r="V41" s="529" t="s">
        <v>139</v>
      </c>
      <c r="W41" s="529" t="s">
        <v>143</v>
      </c>
      <c r="X41" s="529" t="s">
        <v>140</v>
      </c>
      <c r="Y41" s="530" t="s">
        <v>77</v>
      </c>
      <c r="Z41" s="529" t="s">
        <v>141</v>
      </c>
      <c r="AB41" s="531" t="s">
        <v>139</v>
      </c>
      <c r="AC41" s="531" t="s">
        <v>143</v>
      </c>
      <c r="AD41" s="531" t="s">
        <v>140</v>
      </c>
      <c r="AE41" s="532" t="s">
        <v>77</v>
      </c>
      <c r="AF41" s="529" t="s">
        <v>141</v>
      </c>
      <c r="AH41" s="533" t="s">
        <v>340</v>
      </c>
      <c r="AI41" s="534" t="s">
        <v>80</v>
      </c>
      <c r="AJ41" s="529" t="s">
        <v>77</v>
      </c>
      <c r="AK41" s="535" t="s">
        <v>141</v>
      </c>
      <c r="AL41" s="529" t="s">
        <v>327</v>
      </c>
      <c r="AM41" s="529" t="s">
        <v>77</v>
      </c>
      <c r="AN41" s="529" t="s">
        <v>141</v>
      </c>
      <c r="AP41" s="529" t="s">
        <v>144</v>
      </c>
      <c r="AQ41" s="529" t="s">
        <v>145</v>
      </c>
      <c r="AR41" s="529" t="s">
        <v>141</v>
      </c>
      <c r="AS41" s="529" t="s">
        <v>146</v>
      </c>
    </row>
    <row r="42" spans="1:45" ht="13.9" customHeight="1" outlineLevel="1">
      <c r="A42" s="1076" t="s">
        <v>2</v>
      </c>
      <c r="B42" s="1076"/>
      <c r="C42" s="1076"/>
      <c r="D42" s="536">
        <v>7293.5</v>
      </c>
      <c r="E42" s="536">
        <v>1826</v>
      </c>
      <c r="F42" s="537">
        <f>+E42/D42</f>
        <v>0.25035990950846643</v>
      </c>
      <c r="G42" s="536">
        <v>1147</v>
      </c>
      <c r="H42" s="538">
        <f t="shared" ref="H42:H47" si="18">+G42/D42</f>
        <v>0.15726331665181326</v>
      </c>
      <c r="I42" s="537">
        <v>7.4999999999999997E-2</v>
      </c>
      <c r="J42" s="80">
        <f>H42-I42</f>
        <v>8.2263316651813259E-2</v>
      </c>
      <c r="K42" s="539"/>
      <c r="L42" s="536">
        <v>44965.5</v>
      </c>
      <c r="M42" s="536">
        <v>11955</v>
      </c>
      <c r="N42" s="537">
        <f>+M42/L42</f>
        <v>0.26587050071721652</v>
      </c>
      <c r="O42" s="536">
        <v>8367.5</v>
      </c>
      <c r="P42" s="538">
        <f t="shared" ref="P42:P47" si="19">+O42/L42</f>
        <v>0.18608711122972058</v>
      </c>
      <c r="Q42" s="537">
        <v>7.4999999999999997E-2</v>
      </c>
      <c r="R42" s="80">
        <f t="shared" ref="R42:R47" si="20">P42-Q42</f>
        <v>0.11108711122972058</v>
      </c>
      <c r="S42" s="540">
        <v>0.10604720928396601</v>
      </c>
      <c r="T42" s="80">
        <f t="shared" ref="T42:T47" si="21">P42/S42-1</f>
        <v>0.75475726788273279</v>
      </c>
      <c r="V42" s="541">
        <v>200.5</v>
      </c>
      <c r="W42" s="542">
        <f>+D42/V42</f>
        <v>36.376558603491269</v>
      </c>
      <c r="X42" s="542">
        <f>+E42/V42</f>
        <v>9.1072319201995011</v>
      </c>
      <c r="Y42" s="543">
        <f t="shared" ref="Y42:Y46" si="22">+W42-X42</f>
        <v>27.269326683291766</v>
      </c>
      <c r="Z42" s="521">
        <f>+Y42/W42-1</f>
        <v>-0.25035990950846654</v>
      </c>
      <c r="AB42" s="541">
        <v>1604.5</v>
      </c>
      <c r="AC42" s="542">
        <f>+L42/AB42</f>
        <v>28.024618261140542</v>
      </c>
      <c r="AD42" s="542">
        <f>+M42/AB42</f>
        <v>7.4509192894982856</v>
      </c>
      <c r="AE42" s="543">
        <f t="shared" ref="AE42:AE46" si="23">+AC42-AD42</f>
        <v>20.573698971642258</v>
      </c>
      <c r="AF42" s="521">
        <f>+AE42/AC42-1</f>
        <v>-0.26587050071721641</v>
      </c>
      <c r="AH42" s="543">
        <v>37</v>
      </c>
      <c r="AI42" s="544">
        <v>44</v>
      </c>
      <c r="AJ42" s="542">
        <v>35.58</v>
      </c>
      <c r="AK42" s="545">
        <f>+AJ42/AI42-1</f>
        <v>-0.1913636363636364</v>
      </c>
      <c r="AL42" s="546">
        <f t="shared" ref="AL42:AL46" si="24">+AH42-AI42</f>
        <v>-7</v>
      </c>
      <c r="AM42" s="546">
        <f t="shared" ref="AM42:AM46" si="25">+AE42-AJ42</f>
        <v>-15.00630102835774</v>
      </c>
      <c r="AN42" s="547">
        <f t="shared" ref="AN42:AN46" si="26">-AF42+AK42</f>
        <v>7.4506864353580005E-2</v>
      </c>
      <c r="AP42" s="33">
        <f>+AH42/AI42</f>
        <v>0.84090909090909094</v>
      </c>
      <c r="AQ42" s="548">
        <f>+AM42*(1+AN42)</f>
        <v>-16.124373463526577</v>
      </c>
      <c r="AR42" s="33">
        <f>AQ42/AI42</f>
        <v>-0.36646303326196766</v>
      </c>
      <c r="AS42" s="549">
        <f>+AF42/AK42</f>
        <v>1.3893470346267838</v>
      </c>
    </row>
    <row r="43" spans="1:45" outlineLevel="1">
      <c r="A43" s="1077" t="s">
        <v>3</v>
      </c>
      <c r="B43" s="1077"/>
      <c r="C43" s="1077"/>
      <c r="D43" s="550">
        <v>15689</v>
      </c>
      <c r="E43" s="550">
        <v>2031</v>
      </c>
      <c r="F43" s="551">
        <f t="shared" ref="F43:F47" si="27">+E43/D43</f>
        <v>0.12945375740965007</v>
      </c>
      <c r="G43" s="550">
        <v>1573.5</v>
      </c>
      <c r="H43" s="552">
        <f t="shared" si="18"/>
        <v>0.10029319905666391</v>
      </c>
      <c r="I43" s="551">
        <v>7.4999999999999997E-2</v>
      </c>
      <c r="J43" s="84">
        <f t="shared" ref="J43:J46" si="28">H43-I43</f>
        <v>2.5293199056663912E-2</v>
      </c>
      <c r="K43" s="21"/>
      <c r="L43" s="550">
        <v>130578</v>
      </c>
      <c r="M43" s="550">
        <v>21292.5</v>
      </c>
      <c r="N43" s="551">
        <f t="shared" ref="N43:N47" si="29">+M43/L43</f>
        <v>0.1630634563249552</v>
      </c>
      <c r="O43" s="550">
        <v>12915</v>
      </c>
      <c r="P43" s="552">
        <f t="shared" si="19"/>
        <v>9.8906400771952396E-2</v>
      </c>
      <c r="Q43" s="551">
        <v>7.4999999999999997E-2</v>
      </c>
      <c r="R43" s="84">
        <f t="shared" si="20"/>
        <v>2.3906400771952399E-2</v>
      </c>
      <c r="S43" s="553">
        <v>7.1747596085698154E-2</v>
      </c>
      <c r="T43" s="84">
        <f t="shared" si="21"/>
        <v>0.37853260830947844</v>
      </c>
      <c r="V43" s="541">
        <v>200.5</v>
      </c>
      <c r="W43" s="542">
        <f>+D43/V43</f>
        <v>78.249376558603487</v>
      </c>
      <c r="X43" s="542">
        <f>+E43/V43</f>
        <v>10.129675810473815</v>
      </c>
      <c r="Y43" s="543">
        <f t="shared" si="22"/>
        <v>68.119700748129674</v>
      </c>
      <c r="Z43" s="521">
        <f>+Y43/W43-1</f>
        <v>-0.12945375740965004</v>
      </c>
      <c r="AB43" s="541">
        <v>1604.5</v>
      </c>
      <c r="AC43" s="542">
        <f>+L43/AB43</f>
        <v>81.382362106575258</v>
      </c>
      <c r="AD43" s="542">
        <f>+M43/AB43</f>
        <v>13.270489248987223</v>
      </c>
      <c r="AE43" s="543">
        <f t="shared" si="23"/>
        <v>68.11187285758804</v>
      </c>
      <c r="AF43" s="521">
        <f>+AE43/AC43-1</f>
        <v>-0.16306345632495511</v>
      </c>
      <c r="AH43" s="543">
        <v>79</v>
      </c>
      <c r="AI43" s="544">
        <v>85</v>
      </c>
      <c r="AJ43" s="542">
        <v>69.599999999999994</v>
      </c>
      <c r="AK43" s="545">
        <f>+AJ43/AI43-1</f>
        <v>-0.18117647058823538</v>
      </c>
      <c r="AL43" s="546">
        <f t="shared" si="24"/>
        <v>-6</v>
      </c>
      <c r="AM43" s="546">
        <f t="shared" si="25"/>
        <v>-1.4881271424119547</v>
      </c>
      <c r="AN43" s="554">
        <f t="shared" si="26"/>
        <v>-1.8113014263280269E-2</v>
      </c>
      <c r="AP43" s="389">
        <f t="shared" ref="AP43:AP46" si="30">+AH43/AI43</f>
        <v>0.92941176470588238</v>
      </c>
      <c r="AQ43" s="548">
        <f t="shared" ref="AQ43:AQ46" si="31">+AM43*(1+AN43)</f>
        <v>-1.4611726742558724</v>
      </c>
      <c r="AR43" s="389">
        <f t="shared" ref="AR43:AR46" si="32">AQ43/AI43</f>
        <v>-1.719026675595144E-2</v>
      </c>
      <c r="AS43" s="555">
        <f t="shared" ref="AS43:AS45" si="33">+AF43/AK43</f>
        <v>0.90002557062475186</v>
      </c>
    </row>
    <row r="44" spans="1:45" outlineLevel="1">
      <c r="A44" s="1077" t="s">
        <v>4</v>
      </c>
      <c r="B44" s="1077"/>
      <c r="C44" s="1077"/>
      <c r="D44" s="550">
        <v>769.5</v>
      </c>
      <c r="E44" s="550">
        <v>43.5</v>
      </c>
      <c r="F44" s="551">
        <f t="shared" si="27"/>
        <v>5.6530214424951264E-2</v>
      </c>
      <c r="G44" s="550">
        <v>35</v>
      </c>
      <c r="H44" s="552">
        <f t="shared" si="18"/>
        <v>4.5484080571799868E-2</v>
      </c>
      <c r="I44" s="551">
        <v>7.4999999999999997E-2</v>
      </c>
      <c r="J44" s="84">
        <f t="shared" si="28"/>
        <v>-2.951591942820013E-2</v>
      </c>
      <c r="K44" s="21"/>
      <c r="L44" s="550">
        <v>7169.5</v>
      </c>
      <c r="M44" s="550">
        <v>731</v>
      </c>
      <c r="N44" s="551">
        <f t="shared" si="29"/>
        <v>0.10195969035497594</v>
      </c>
      <c r="O44" s="550">
        <v>314</v>
      </c>
      <c r="P44" s="552">
        <f t="shared" si="19"/>
        <v>4.3796638538252317E-2</v>
      </c>
      <c r="Q44" s="551">
        <v>7.4999999999999997E-2</v>
      </c>
      <c r="R44" s="84">
        <f t="shared" si="20"/>
        <v>-3.1203361461747681E-2</v>
      </c>
      <c r="S44" s="553">
        <v>0.137376237623762</v>
      </c>
      <c r="T44" s="84">
        <f t="shared" si="21"/>
        <v>-0.6811920365864147</v>
      </c>
      <c r="V44" s="541">
        <v>200.5</v>
      </c>
      <c r="W44" s="542">
        <f>+D44/V44</f>
        <v>3.8379052369077309</v>
      </c>
      <c r="X44" s="542">
        <f>+E44/V44</f>
        <v>0.21695760598503741</v>
      </c>
      <c r="Y44" s="543">
        <f t="shared" si="22"/>
        <v>3.6209476309226933</v>
      </c>
      <c r="Z44" s="521">
        <f t="shared" ref="Z44:Z46" si="34">+Y44/W44-1</f>
        <v>-5.6530214424951319E-2</v>
      </c>
      <c r="AB44" s="541">
        <v>1604.5</v>
      </c>
      <c r="AC44" s="542">
        <f>+L44/AB44</f>
        <v>4.4683702087877846</v>
      </c>
      <c r="AD44" s="542">
        <f>+M44/AB44</f>
        <v>0.45559364287940168</v>
      </c>
      <c r="AE44" s="543">
        <f t="shared" si="23"/>
        <v>4.0127765659083829</v>
      </c>
      <c r="AF44" s="521">
        <f t="shared" ref="AF44:AF46" si="35">+AE44/AC44-1</f>
        <v>-0.10195969035497587</v>
      </c>
      <c r="AH44" s="543">
        <v>5</v>
      </c>
      <c r="AI44" s="544">
        <v>6</v>
      </c>
      <c r="AJ44" s="542">
        <v>4.9000000000000004</v>
      </c>
      <c r="AK44" s="545">
        <f t="shared" ref="AK44:AK46" si="36">+AJ44/AI44-1</f>
        <v>-0.18333333333333324</v>
      </c>
      <c r="AL44" s="546">
        <f t="shared" si="24"/>
        <v>-1</v>
      </c>
      <c r="AM44" s="546">
        <f t="shared" si="25"/>
        <v>-0.88722343409161741</v>
      </c>
      <c r="AN44" s="554">
        <f t="shared" si="26"/>
        <v>-8.1373642978357363E-2</v>
      </c>
      <c r="AP44" s="389">
        <f t="shared" si="30"/>
        <v>0.83333333333333337</v>
      </c>
      <c r="AQ44" s="548">
        <f t="shared" si="31"/>
        <v>-0.81502683112381391</v>
      </c>
      <c r="AR44" s="389">
        <f t="shared" si="32"/>
        <v>-0.13583780518730232</v>
      </c>
      <c r="AS44" s="555">
        <f t="shared" si="33"/>
        <v>0.55614376557259593</v>
      </c>
    </row>
    <row r="45" spans="1:45" outlineLevel="1">
      <c r="A45" s="1228" t="s">
        <v>98</v>
      </c>
      <c r="B45" s="1228"/>
      <c r="C45" s="1228"/>
      <c r="D45" s="1229">
        <f>SUM(D42:D44)</f>
        <v>23752</v>
      </c>
      <c r="E45" s="1229">
        <f>SUM(E42:E44)</f>
        <v>3900.5</v>
      </c>
      <c r="F45" s="1230">
        <f t="shared" si="27"/>
        <v>0.16421775008420345</v>
      </c>
      <c r="G45" s="1229">
        <f>SUM(G42:G44)</f>
        <v>2755.5</v>
      </c>
      <c r="H45" s="1230">
        <f t="shared" si="18"/>
        <v>0.11601128326035702</v>
      </c>
      <c r="I45" s="1230">
        <v>7.4999999999999997E-2</v>
      </c>
      <c r="J45" s="1231">
        <f t="shared" si="28"/>
        <v>4.1011283260357023E-2</v>
      </c>
      <c r="K45" s="21"/>
      <c r="L45" s="1229">
        <f>SUM(L42:L44)</f>
        <v>182713</v>
      </c>
      <c r="M45" s="1229">
        <f>SUM(M42:M44)</f>
        <v>33978.5</v>
      </c>
      <c r="N45" s="1230">
        <f t="shared" si="29"/>
        <v>0.18596651579252707</v>
      </c>
      <c r="O45" s="1229">
        <f>SUM(O42:O44)</f>
        <v>21596.5</v>
      </c>
      <c r="P45" s="1230">
        <f t="shared" si="19"/>
        <v>0.11819903345684216</v>
      </c>
      <c r="Q45" s="1230">
        <v>7.4999999999999997E-2</v>
      </c>
      <c r="R45" s="1231">
        <f t="shared" si="20"/>
        <v>4.3199033456842159E-2</v>
      </c>
      <c r="S45" s="1232">
        <v>8.3647462354717234E-2</v>
      </c>
      <c r="T45" s="1231">
        <f t="shared" si="21"/>
        <v>0.41306179684931488</v>
      </c>
      <c r="U45" s="333"/>
      <c r="V45" s="1233">
        <v>200.5</v>
      </c>
      <c r="W45" s="1233">
        <f>+D45/V45</f>
        <v>118.46384039900249</v>
      </c>
      <c r="X45" s="1233">
        <f>+E45/V45</f>
        <v>19.453865336658353</v>
      </c>
      <c r="Y45" s="1233">
        <f t="shared" si="22"/>
        <v>99.009975062344139</v>
      </c>
      <c r="Z45" s="1234">
        <f t="shared" si="34"/>
        <v>-0.16421775008420347</v>
      </c>
      <c r="AB45" s="1233">
        <v>1604.5</v>
      </c>
      <c r="AC45" s="1233">
        <f>+L45/AB45</f>
        <v>113.87535057650358</v>
      </c>
      <c r="AD45" s="1233">
        <f>+M45/AB45</f>
        <v>21.177002181364912</v>
      </c>
      <c r="AE45" s="1233">
        <f t="shared" si="23"/>
        <v>92.698348395138666</v>
      </c>
      <c r="AF45" s="1234">
        <f t="shared" si="35"/>
        <v>-0.1859665157925271</v>
      </c>
      <c r="AH45" s="1233">
        <f>SUBTOTAL(9,AH42:AH44)</f>
        <v>121</v>
      </c>
      <c r="AI45" s="1238">
        <f>SUM(AI42:AI44)</f>
        <v>135</v>
      </c>
      <c r="AJ45" s="1233">
        <f>SUM(AJ42:AJ44)</f>
        <v>110.08</v>
      </c>
      <c r="AK45" s="1239">
        <f t="shared" si="36"/>
        <v>-0.18459259259259264</v>
      </c>
      <c r="AL45" s="1240">
        <f t="shared" si="24"/>
        <v>-14</v>
      </c>
      <c r="AM45" s="1240">
        <f t="shared" si="25"/>
        <v>-17.381651604861332</v>
      </c>
      <c r="AN45" s="1241">
        <f t="shared" si="26"/>
        <v>1.373923199934457E-3</v>
      </c>
      <c r="AP45" s="1235">
        <f t="shared" si="30"/>
        <v>0.89629629629629626</v>
      </c>
      <c r="AQ45" s="1236">
        <f>SUM(AQ42:AQ44)</f>
        <v>-18.400572968906264</v>
      </c>
      <c r="AR45" s="1235">
        <f t="shared" si="32"/>
        <v>-0.13630054051041676</v>
      </c>
      <c r="AS45" s="1237">
        <f t="shared" si="33"/>
        <v>1.0074430028888905</v>
      </c>
    </row>
    <row r="46" spans="1:45" ht="15.75" outlineLevel="1" thickBot="1">
      <c r="A46" s="556" t="s">
        <v>26</v>
      </c>
      <c r="B46" s="556"/>
      <c r="C46" s="556"/>
      <c r="D46" s="557">
        <v>8089</v>
      </c>
      <c r="E46" s="557">
        <v>703</v>
      </c>
      <c r="F46" s="558">
        <f t="shared" si="27"/>
        <v>8.6908146866114477E-2</v>
      </c>
      <c r="G46" s="557">
        <v>423.5</v>
      </c>
      <c r="H46" s="559">
        <f t="shared" si="18"/>
        <v>5.2355050067993569E-2</v>
      </c>
      <c r="I46" s="558">
        <v>7.4999999999999997E-2</v>
      </c>
      <c r="J46" s="560">
        <f t="shared" si="28"/>
        <v>-2.2644949932006428E-2</v>
      </c>
      <c r="K46" s="21"/>
      <c r="L46" s="557">
        <v>66474.5</v>
      </c>
      <c r="M46" s="557">
        <v>5339</v>
      </c>
      <c r="N46" s="558">
        <f t="shared" si="29"/>
        <v>8.0316512346839772E-2</v>
      </c>
      <c r="O46" s="557">
        <v>2940</v>
      </c>
      <c r="P46" s="559">
        <f t="shared" si="19"/>
        <v>4.4227485727609837E-2</v>
      </c>
      <c r="Q46" s="558">
        <v>7.4999999999999997E-2</v>
      </c>
      <c r="R46" s="560">
        <f t="shared" si="20"/>
        <v>-3.077251427239016E-2</v>
      </c>
      <c r="S46" s="561">
        <v>4.1861000748546096E-2</v>
      </c>
      <c r="T46" s="560">
        <f t="shared" si="21"/>
        <v>5.6531973358184384E-2</v>
      </c>
      <c r="V46" s="562">
        <v>200.5</v>
      </c>
      <c r="W46" s="562">
        <f>+D46/V46</f>
        <v>40.344139650872819</v>
      </c>
      <c r="X46" s="562">
        <f>+E46/V46</f>
        <v>3.5062344139650872</v>
      </c>
      <c r="Y46" s="562">
        <f t="shared" si="22"/>
        <v>36.83790523690773</v>
      </c>
      <c r="Z46" s="563">
        <f t="shared" si="34"/>
        <v>-8.6908146866114477E-2</v>
      </c>
      <c r="AB46" s="562">
        <v>1604.5</v>
      </c>
      <c r="AC46" s="562">
        <f>+L46/AB46</f>
        <v>41.430040511062636</v>
      </c>
      <c r="AD46" s="562">
        <f>+M46/AB46</f>
        <v>3.3275163602368338</v>
      </c>
      <c r="AE46" s="562">
        <f t="shared" si="23"/>
        <v>38.102524150825801</v>
      </c>
      <c r="AF46" s="563">
        <f t="shared" si="35"/>
        <v>-8.0316512346839786E-2</v>
      </c>
      <c r="AH46" s="562">
        <v>39</v>
      </c>
      <c r="AI46" s="564">
        <v>44</v>
      </c>
      <c r="AJ46" s="562">
        <v>39</v>
      </c>
      <c r="AK46" s="565">
        <f t="shared" si="36"/>
        <v>-0.11363636363636365</v>
      </c>
      <c r="AL46" s="566">
        <f t="shared" si="24"/>
        <v>-5</v>
      </c>
      <c r="AM46" s="566">
        <f t="shared" si="25"/>
        <v>-0.89747584917419942</v>
      </c>
      <c r="AN46" s="567">
        <f t="shared" si="26"/>
        <v>-3.3319851289523861E-2</v>
      </c>
      <c r="AP46" s="568">
        <f t="shared" si="30"/>
        <v>0.88636363636363635</v>
      </c>
      <c r="AQ46" s="569">
        <f t="shared" si="31"/>
        <v>-0.867572087343776</v>
      </c>
      <c r="AR46" s="568">
        <f t="shared" si="32"/>
        <v>-1.9717547439631274E-2</v>
      </c>
      <c r="AS46" s="570">
        <f>IFERROR(AF46/AK46,0)</f>
        <v>0.70678530865219003</v>
      </c>
    </row>
    <row r="47" spans="1:45" ht="15.75" outlineLevel="1">
      <c r="A47" s="571" t="s">
        <v>5</v>
      </c>
      <c r="B47" s="571"/>
      <c r="C47" s="571"/>
      <c r="D47" s="572">
        <f>SUM(D45:D46)</f>
        <v>31841</v>
      </c>
      <c r="E47" s="572">
        <f>SUM(E45:E46)</f>
        <v>4603.5</v>
      </c>
      <c r="F47" s="573">
        <f t="shared" si="27"/>
        <v>0.14457774567381679</v>
      </c>
      <c r="G47" s="572">
        <f>SUM(G45:G46)</f>
        <v>3179</v>
      </c>
      <c r="H47" s="574">
        <f t="shared" si="18"/>
        <v>9.9839829151094503E-2</v>
      </c>
      <c r="I47" s="575">
        <v>7.4999999999999997E-2</v>
      </c>
      <c r="J47" s="576">
        <f>H47-I47</f>
        <v>2.4839829151094506E-2</v>
      </c>
      <c r="K47" s="21"/>
      <c r="L47" s="572">
        <f>SUM(L45:L46)</f>
        <v>249187.5</v>
      </c>
      <c r="M47" s="572">
        <f>SUM(M45:M46)</f>
        <v>39317.5</v>
      </c>
      <c r="N47" s="573">
        <f t="shared" si="29"/>
        <v>0.15778279408076248</v>
      </c>
      <c r="O47" s="572">
        <f>SUM(O45:O46)</f>
        <v>24536.5</v>
      </c>
      <c r="P47" s="574">
        <f t="shared" si="19"/>
        <v>9.8466014547278657E-2</v>
      </c>
      <c r="Q47" s="575">
        <v>7.4999999999999997E-2</v>
      </c>
      <c r="R47" s="576">
        <f t="shared" si="20"/>
        <v>2.346601454727866E-2</v>
      </c>
      <c r="S47" s="577">
        <v>7.3588909479251702E-2</v>
      </c>
      <c r="T47" s="576">
        <f t="shared" si="21"/>
        <v>0.33805508525766403</v>
      </c>
      <c r="AP47" s="578">
        <f>AP45-1</f>
        <v>-0.10370370370370374</v>
      </c>
    </row>
    <row r="48" spans="1:45" outlineLevel="1">
      <c r="I48" s="21"/>
      <c r="J48" s="21"/>
      <c r="P48" s="1034"/>
      <c r="AE48" s="542"/>
      <c r="AF48" s="542"/>
      <c r="AH48" s="542"/>
      <c r="AM48" s="546"/>
      <c r="AN48" s="522"/>
      <c r="AQ48" s="542"/>
    </row>
    <row r="49" spans="1:39" ht="15.75" outlineLevel="1">
      <c r="A49" s="23" t="s">
        <v>0</v>
      </c>
      <c r="D49" s="184">
        <v>45930</v>
      </c>
      <c r="E49" s="24">
        <v>45961</v>
      </c>
      <c r="F49" s="24">
        <v>45991</v>
      </c>
      <c r="G49" s="24">
        <v>46022</v>
      </c>
      <c r="H49" s="24">
        <v>46053</v>
      </c>
      <c r="I49" s="24">
        <v>46081</v>
      </c>
      <c r="J49" s="24">
        <v>46112</v>
      </c>
      <c r="K49" s="24">
        <v>46142</v>
      </c>
      <c r="L49" s="24">
        <v>46173</v>
      </c>
      <c r="M49" s="24">
        <v>46203</v>
      </c>
      <c r="N49" s="24">
        <v>46234</v>
      </c>
      <c r="O49" s="24">
        <v>46265</v>
      </c>
      <c r="P49" s="184">
        <v>46295</v>
      </c>
      <c r="R49" s="333"/>
      <c r="T49" s="333"/>
      <c r="U49" s="521"/>
    </row>
    <row r="50" spans="1:39" outlineLevel="1">
      <c r="A50" s="1076" t="s">
        <v>2</v>
      </c>
      <c r="B50" s="1076" t="s">
        <v>101</v>
      </c>
      <c r="C50" s="1076"/>
      <c r="D50" s="538">
        <v>0.14883674686816464</v>
      </c>
      <c r="E50" s="579">
        <v>9.1409897292250228E-2</v>
      </c>
      <c r="F50" s="579">
        <v>6.8038879359634083E-2</v>
      </c>
      <c r="G50" s="579">
        <v>0.12695994982528447</v>
      </c>
      <c r="H50" s="579">
        <v>0.2720191731575794</v>
      </c>
      <c r="I50" s="579">
        <v>0.27085489546677705</v>
      </c>
      <c r="J50" s="579">
        <v>0.16353887399463807</v>
      </c>
      <c r="K50" s="537">
        <v>7.5152897273763869E-2</v>
      </c>
      <c r="L50" s="537">
        <v>0.16600000000000001</v>
      </c>
      <c r="M50" s="537">
        <v>0.221</v>
      </c>
      <c r="N50" s="537">
        <v>0.182</v>
      </c>
      <c r="O50" s="537">
        <v>0.16600000000000001</v>
      </c>
      <c r="P50" s="538">
        <v>0.157</v>
      </c>
      <c r="S50" s="333"/>
      <c r="AE50" s="580"/>
    </row>
    <row r="51" spans="1:39" outlineLevel="1">
      <c r="A51" s="1077" t="s">
        <v>3</v>
      </c>
      <c r="B51" s="1077" t="s">
        <v>101</v>
      </c>
      <c r="C51" s="1077"/>
      <c r="D51" s="552">
        <v>8.281833022388059E-2</v>
      </c>
      <c r="E51" s="581">
        <v>9.3952790920137544E-2</v>
      </c>
      <c r="F51" s="581">
        <v>8.5702253105917031E-2</v>
      </c>
      <c r="G51" s="581">
        <v>9.5578307830783082E-2</v>
      </c>
      <c r="H51" s="581">
        <v>0.12512161325510776</v>
      </c>
      <c r="I51" s="581">
        <v>9.556487052937597E-2</v>
      </c>
      <c r="J51" s="581">
        <v>8.4340980148416012E-2</v>
      </c>
      <c r="K51" s="551">
        <v>8.7731154389629543E-2</v>
      </c>
      <c r="L51" s="551">
        <v>4.4999999999999998E-2</v>
      </c>
      <c r="M51" s="551">
        <v>6.5000000000000002E-2</v>
      </c>
      <c r="N51" s="551">
        <v>0.17699999999999999</v>
      </c>
      <c r="O51" s="551">
        <v>8.6999999999999994E-2</v>
      </c>
      <c r="P51" s="552">
        <v>0.1</v>
      </c>
      <c r="T51" s="333"/>
      <c r="AM51" s="546"/>
    </row>
    <row r="52" spans="1:39" ht="15.75" outlineLevel="1" thickBot="1">
      <c r="A52" s="1077" t="s">
        <v>4</v>
      </c>
      <c r="B52" s="1077" t="s">
        <v>101</v>
      </c>
      <c r="C52" s="1077"/>
      <c r="D52" s="552">
        <v>0.26800000000000002</v>
      </c>
      <c r="E52" s="581">
        <v>2.0190023752969122E-2</v>
      </c>
      <c r="F52" s="581">
        <v>3.063063063063063E-2</v>
      </c>
      <c r="G52" s="581">
        <v>0.10841584158415841</v>
      </c>
      <c r="H52" s="581">
        <v>5.6306306306306307E-2</v>
      </c>
      <c r="I52" s="581">
        <v>5.758426966292135E-2</v>
      </c>
      <c r="J52" s="581">
        <v>1.0638297872340425E-2</v>
      </c>
      <c r="K52" s="551">
        <v>0</v>
      </c>
      <c r="L52" s="551">
        <v>0</v>
      </c>
      <c r="M52" s="551">
        <v>2.5999999999999999E-2</v>
      </c>
      <c r="N52" s="551">
        <v>7.0999999999999994E-2</v>
      </c>
      <c r="O52" s="551">
        <v>0.14599999999999999</v>
      </c>
      <c r="P52" s="552">
        <v>4.4999999999999998E-2</v>
      </c>
    </row>
    <row r="53" spans="1:39" ht="15.75" outlineLevel="1">
      <c r="A53" s="571" t="s">
        <v>5</v>
      </c>
      <c r="B53" s="571" t="s">
        <v>101</v>
      </c>
      <c r="C53" s="571"/>
      <c r="D53" s="574">
        <v>0.10512920063845391</v>
      </c>
      <c r="E53" s="582">
        <v>8.9839160165655393E-2</v>
      </c>
      <c r="F53" s="582">
        <v>7.9008638509911439E-2</v>
      </c>
      <c r="G53" s="582">
        <v>0.1032975601748302</v>
      </c>
      <c r="H53" s="582">
        <v>0.15463037913758779</v>
      </c>
      <c r="I53" s="582">
        <v>0.13588079079374446</v>
      </c>
      <c r="J53" s="582">
        <v>9.9002689376961009E-2</v>
      </c>
      <c r="K53" s="583">
        <v>8.1726270625556291E-2</v>
      </c>
      <c r="L53" s="583">
        <v>7.0000000000000007E-2</v>
      </c>
      <c r="M53" s="583">
        <v>9.8000000000000004E-2</v>
      </c>
      <c r="N53" s="583">
        <v>0.17299999999999999</v>
      </c>
      <c r="O53" s="583">
        <v>0.113</v>
      </c>
      <c r="P53" s="574">
        <v>0.11600000000000001</v>
      </c>
    </row>
    <row r="54" spans="1:39" outlineLevel="1">
      <c r="A54" s="21" t="s">
        <v>116</v>
      </c>
      <c r="I54" s="21"/>
      <c r="J54" s="21"/>
      <c r="M54" s="333"/>
    </row>
    <row r="55" spans="1:39" outlineLevel="1">
      <c r="A55" s="21" t="s">
        <v>125</v>
      </c>
      <c r="I55" s="21"/>
      <c r="J55" s="21"/>
      <c r="M55" s="333"/>
    </row>
    <row r="56" spans="1:39">
      <c r="F56" s="333"/>
      <c r="I56" s="21"/>
      <c r="J56" s="21"/>
    </row>
    <row r="58" spans="1:39" ht="14.45" customHeight="1">
      <c r="A58" s="1210" t="s">
        <v>423</v>
      </c>
      <c r="B58" s="1211"/>
      <c r="C58" s="1211"/>
      <c r="D58" s="1210"/>
      <c r="E58" s="168"/>
      <c r="F58" s="168"/>
      <c r="G58" s="168"/>
      <c r="H58" s="168"/>
      <c r="I58" s="168"/>
      <c r="J58" s="168"/>
      <c r="K58" s="168"/>
      <c r="L58" s="168"/>
      <c r="M58" s="168"/>
    </row>
    <row r="59" spans="1:39" outlineLevel="1">
      <c r="A59" s="457" t="s">
        <v>411</v>
      </c>
      <c r="D59" s="21"/>
      <c r="E59" s="21"/>
      <c r="F59" s="21"/>
      <c r="G59" s="21"/>
      <c r="H59" s="21"/>
      <c r="I59" s="21"/>
      <c r="J59" s="21"/>
      <c r="K59" s="21"/>
      <c r="L59" s="21"/>
      <c r="M59" s="21"/>
      <c r="P59" s="1034"/>
    </row>
    <row r="60" spans="1:39" ht="45" outlineLevel="1">
      <c r="A60" s="23" t="s">
        <v>0</v>
      </c>
      <c r="B60" s="23"/>
      <c r="C60" s="23"/>
      <c r="D60" s="184">
        <v>45930</v>
      </c>
      <c r="E60" s="24">
        <v>45961</v>
      </c>
      <c r="F60" s="24">
        <v>45991</v>
      </c>
      <c r="G60" s="24">
        <v>46022</v>
      </c>
      <c r="H60" s="24">
        <v>46053</v>
      </c>
      <c r="I60" s="24">
        <v>46081</v>
      </c>
      <c r="J60" s="24">
        <v>46112</v>
      </c>
      <c r="K60" s="24">
        <v>46142</v>
      </c>
      <c r="L60" s="24">
        <v>46173</v>
      </c>
      <c r="M60" s="24">
        <v>46203</v>
      </c>
      <c r="N60" s="24">
        <v>46234</v>
      </c>
      <c r="O60" s="24">
        <v>46265</v>
      </c>
      <c r="P60" s="184">
        <v>46295</v>
      </c>
      <c r="Q60" s="1080" t="s">
        <v>12</v>
      </c>
      <c r="R60" s="528" t="s">
        <v>27</v>
      </c>
      <c r="S60" s="101" t="s">
        <v>147</v>
      </c>
      <c r="T60" s="27" t="s">
        <v>149</v>
      </c>
      <c r="U60" s="1080" t="s">
        <v>386</v>
      </c>
      <c r="V60" s="584" t="s">
        <v>76</v>
      </c>
    </row>
    <row r="61" spans="1:39" outlineLevel="2">
      <c r="A61" s="585" t="s">
        <v>42</v>
      </c>
      <c r="B61" s="585"/>
      <c r="C61" s="585"/>
      <c r="D61" s="587">
        <v>27</v>
      </c>
      <c r="E61" s="586">
        <v>26</v>
      </c>
      <c r="F61" s="586">
        <v>30</v>
      </c>
      <c r="G61" s="586">
        <v>28</v>
      </c>
      <c r="H61" s="586">
        <v>23</v>
      </c>
      <c r="I61" s="586">
        <v>25</v>
      </c>
      <c r="J61" s="586">
        <v>22</v>
      </c>
      <c r="K61" s="586">
        <v>23</v>
      </c>
      <c r="L61" s="536">
        <v>23</v>
      </c>
      <c r="M61" s="536">
        <v>26</v>
      </c>
      <c r="N61" s="536">
        <v>35</v>
      </c>
      <c r="O61" s="536">
        <v>36</v>
      </c>
      <c r="P61" s="587">
        <v>37</v>
      </c>
      <c r="Q61" s="588">
        <v>44</v>
      </c>
      <c r="R61" s="589">
        <f t="shared" ref="R61:R72" si="37">+P61-Q61</f>
        <v>-7</v>
      </c>
      <c r="S61" s="589">
        <f>+P61-O61</f>
        <v>1</v>
      </c>
      <c r="T61" s="43">
        <f>IFERROR(P61/O61-1,100%)</f>
        <v>2.7777777777777679E-2</v>
      </c>
      <c r="U61" s="588">
        <v>33</v>
      </c>
    </row>
    <row r="62" spans="1:39" outlineLevel="2">
      <c r="A62" s="590" t="s">
        <v>43</v>
      </c>
      <c r="B62" s="590"/>
      <c r="C62" s="590"/>
      <c r="D62" s="592">
        <v>7</v>
      </c>
      <c r="E62" s="591">
        <v>7</v>
      </c>
      <c r="F62" s="591">
        <v>6</v>
      </c>
      <c r="G62" s="591">
        <v>6</v>
      </c>
      <c r="H62" s="591">
        <v>4</v>
      </c>
      <c r="I62" s="591">
        <v>5</v>
      </c>
      <c r="J62" s="591">
        <v>5</v>
      </c>
      <c r="K62" s="591">
        <v>6</v>
      </c>
      <c r="L62" s="550">
        <v>5</v>
      </c>
      <c r="M62" s="550">
        <v>6</v>
      </c>
      <c r="N62" s="550">
        <v>5</v>
      </c>
      <c r="O62" s="550">
        <v>5</v>
      </c>
      <c r="P62" s="592">
        <v>5</v>
      </c>
      <c r="Q62" s="593">
        <v>6</v>
      </c>
      <c r="R62" s="594">
        <f t="shared" si="37"/>
        <v>-1</v>
      </c>
      <c r="S62" s="594">
        <f t="shared" ref="S62:S72" si="38">+P62-O62</f>
        <v>0</v>
      </c>
      <c r="T62" s="37">
        <f t="shared" ref="T62:T72" si="39">IFERROR(P62/O62-1,100%)</f>
        <v>0</v>
      </c>
      <c r="U62" s="593">
        <v>7</v>
      </c>
      <c r="V62" s="595">
        <f>+P61/P62</f>
        <v>7.4</v>
      </c>
    </row>
    <row r="63" spans="1:39" ht="15.75" outlineLevel="2">
      <c r="A63" s="596" t="s">
        <v>44</v>
      </c>
      <c r="B63" s="596"/>
      <c r="C63" s="596"/>
      <c r="D63" s="599">
        <f t="shared" ref="D63:J63" si="40">SUM(D61:D62)</f>
        <v>34</v>
      </c>
      <c r="E63" s="597">
        <f t="shared" si="40"/>
        <v>33</v>
      </c>
      <c r="F63" s="597">
        <f t="shared" si="40"/>
        <v>36</v>
      </c>
      <c r="G63" s="597">
        <f t="shared" si="40"/>
        <v>34</v>
      </c>
      <c r="H63" s="597">
        <f t="shared" si="40"/>
        <v>27</v>
      </c>
      <c r="I63" s="597">
        <f t="shared" si="40"/>
        <v>30</v>
      </c>
      <c r="J63" s="597">
        <f t="shared" si="40"/>
        <v>27</v>
      </c>
      <c r="K63" s="597">
        <f t="shared" ref="K63:Q63" si="41">SUM(K61:K62)</f>
        <v>29</v>
      </c>
      <c r="L63" s="598">
        <f t="shared" si="41"/>
        <v>28</v>
      </c>
      <c r="M63" s="598">
        <f t="shared" si="41"/>
        <v>32</v>
      </c>
      <c r="N63" s="598">
        <f t="shared" si="41"/>
        <v>40</v>
      </c>
      <c r="O63" s="598">
        <f t="shared" si="41"/>
        <v>41</v>
      </c>
      <c r="P63" s="599">
        <f t="shared" si="41"/>
        <v>42</v>
      </c>
      <c r="Q63" s="600">
        <f t="shared" si="41"/>
        <v>50</v>
      </c>
      <c r="R63" s="601">
        <f t="shared" si="37"/>
        <v>-8</v>
      </c>
      <c r="S63" s="601">
        <f t="shared" si="38"/>
        <v>1</v>
      </c>
      <c r="T63" s="602">
        <f t="shared" si="39"/>
        <v>2.4390243902439046E-2</v>
      </c>
      <c r="U63" s="600">
        <v>40</v>
      </c>
      <c r="V63" s="595"/>
    </row>
    <row r="64" spans="1:39" outlineLevel="2">
      <c r="A64" s="603" t="s">
        <v>45</v>
      </c>
      <c r="B64" s="603"/>
      <c r="C64" s="603"/>
      <c r="D64" s="606">
        <v>91</v>
      </c>
      <c r="E64" s="604">
        <v>92</v>
      </c>
      <c r="F64" s="604">
        <v>88</v>
      </c>
      <c r="G64" s="604">
        <v>87</v>
      </c>
      <c r="H64" s="604">
        <v>85</v>
      </c>
      <c r="I64" s="604">
        <v>84</v>
      </c>
      <c r="J64" s="604">
        <v>81</v>
      </c>
      <c r="K64" s="604">
        <v>81</v>
      </c>
      <c r="L64" s="605">
        <v>82</v>
      </c>
      <c r="M64" s="605">
        <v>84</v>
      </c>
      <c r="N64" s="605">
        <v>82</v>
      </c>
      <c r="O64" s="605">
        <v>79</v>
      </c>
      <c r="P64" s="606">
        <v>79</v>
      </c>
      <c r="Q64" s="607">
        <v>85</v>
      </c>
      <c r="R64" s="608">
        <f t="shared" si="37"/>
        <v>-6</v>
      </c>
      <c r="S64" s="608">
        <f t="shared" si="38"/>
        <v>0</v>
      </c>
      <c r="T64" s="47">
        <f t="shared" si="39"/>
        <v>0</v>
      </c>
      <c r="U64" s="607">
        <v>95</v>
      </c>
      <c r="V64" s="595"/>
    </row>
    <row r="65" spans="1:25" outlineLevel="2">
      <c r="A65" s="590" t="s">
        <v>46</v>
      </c>
      <c r="B65" s="590"/>
      <c r="C65" s="590"/>
      <c r="D65" s="592">
        <v>11</v>
      </c>
      <c r="E65" s="591">
        <v>11</v>
      </c>
      <c r="F65" s="591">
        <v>13</v>
      </c>
      <c r="G65" s="591">
        <v>13</v>
      </c>
      <c r="H65" s="591">
        <v>10</v>
      </c>
      <c r="I65" s="591">
        <v>10</v>
      </c>
      <c r="J65" s="591">
        <v>11</v>
      </c>
      <c r="K65" s="591">
        <v>11</v>
      </c>
      <c r="L65" s="550">
        <v>12</v>
      </c>
      <c r="M65" s="550">
        <v>12</v>
      </c>
      <c r="N65" s="550">
        <v>11</v>
      </c>
      <c r="O65" s="550">
        <v>11</v>
      </c>
      <c r="P65" s="592">
        <v>11</v>
      </c>
      <c r="Q65" s="593">
        <v>11</v>
      </c>
      <c r="R65" s="594">
        <f t="shared" si="37"/>
        <v>0</v>
      </c>
      <c r="S65" s="594">
        <f t="shared" si="38"/>
        <v>0</v>
      </c>
      <c r="T65" s="37">
        <f t="shared" si="39"/>
        <v>0</v>
      </c>
      <c r="U65" s="593">
        <v>14</v>
      </c>
      <c r="V65" s="595">
        <f>+P64/P65</f>
        <v>7.1818181818181817</v>
      </c>
    </row>
    <row r="66" spans="1:25" ht="15.75" outlineLevel="2">
      <c r="A66" s="609" t="s">
        <v>47</v>
      </c>
      <c r="B66" s="609"/>
      <c r="C66" s="609"/>
      <c r="D66" s="612">
        <f t="shared" ref="D66:Q66" si="42">SUM(D64:D65)</f>
        <v>102</v>
      </c>
      <c r="E66" s="610">
        <f t="shared" si="42"/>
        <v>103</v>
      </c>
      <c r="F66" s="610">
        <f t="shared" si="42"/>
        <v>101</v>
      </c>
      <c r="G66" s="610">
        <f t="shared" si="42"/>
        <v>100</v>
      </c>
      <c r="H66" s="610">
        <f t="shared" si="42"/>
        <v>95</v>
      </c>
      <c r="I66" s="610">
        <f t="shared" si="42"/>
        <v>94</v>
      </c>
      <c r="J66" s="610">
        <f t="shared" si="42"/>
        <v>92</v>
      </c>
      <c r="K66" s="610">
        <f t="shared" si="42"/>
        <v>92</v>
      </c>
      <c r="L66" s="611">
        <f t="shared" si="42"/>
        <v>94</v>
      </c>
      <c r="M66" s="611">
        <f t="shared" si="42"/>
        <v>96</v>
      </c>
      <c r="N66" s="611">
        <f t="shared" si="42"/>
        <v>93</v>
      </c>
      <c r="O66" s="611">
        <f t="shared" si="42"/>
        <v>90</v>
      </c>
      <c r="P66" s="612">
        <f t="shared" si="42"/>
        <v>90</v>
      </c>
      <c r="Q66" s="613">
        <f t="shared" si="42"/>
        <v>96</v>
      </c>
      <c r="R66" s="614">
        <f t="shared" si="37"/>
        <v>-6</v>
      </c>
      <c r="S66" s="614">
        <f t="shared" si="38"/>
        <v>0</v>
      </c>
      <c r="T66" s="615">
        <f t="shared" si="39"/>
        <v>0</v>
      </c>
      <c r="U66" s="613">
        <v>109</v>
      </c>
      <c r="V66" s="595"/>
    </row>
    <row r="67" spans="1:25" outlineLevel="2">
      <c r="A67" s="616" t="s">
        <v>48</v>
      </c>
      <c r="B67" s="616"/>
      <c r="C67" s="616"/>
      <c r="D67" s="619">
        <v>5</v>
      </c>
      <c r="E67" s="617">
        <v>6</v>
      </c>
      <c r="F67" s="617">
        <v>5</v>
      </c>
      <c r="G67" s="617">
        <v>5</v>
      </c>
      <c r="H67" s="617">
        <v>4</v>
      </c>
      <c r="I67" s="617">
        <v>4</v>
      </c>
      <c r="J67" s="617">
        <v>4</v>
      </c>
      <c r="K67" s="617">
        <v>4</v>
      </c>
      <c r="L67" s="618">
        <v>4</v>
      </c>
      <c r="M67" s="618">
        <v>5</v>
      </c>
      <c r="N67" s="618">
        <v>6</v>
      </c>
      <c r="O67" s="618">
        <v>5</v>
      </c>
      <c r="P67" s="619">
        <v>5</v>
      </c>
      <c r="Q67" s="620">
        <v>6</v>
      </c>
      <c r="R67" s="621">
        <f t="shared" si="37"/>
        <v>-1</v>
      </c>
      <c r="S67" s="621">
        <f t="shared" si="38"/>
        <v>0</v>
      </c>
      <c r="T67" s="622">
        <f t="shared" si="39"/>
        <v>0</v>
      </c>
      <c r="U67" s="620">
        <v>6</v>
      </c>
      <c r="V67" s="595"/>
    </row>
    <row r="68" spans="1:25" outlineLevel="2">
      <c r="A68" s="590" t="s">
        <v>49</v>
      </c>
      <c r="B68" s="590"/>
      <c r="C68" s="590"/>
      <c r="D68" s="592">
        <v>6</v>
      </c>
      <c r="E68" s="591">
        <v>6</v>
      </c>
      <c r="F68" s="591">
        <v>6</v>
      </c>
      <c r="G68" s="591">
        <v>6</v>
      </c>
      <c r="H68" s="591">
        <v>5</v>
      </c>
      <c r="I68" s="591">
        <v>5</v>
      </c>
      <c r="J68" s="591">
        <v>5</v>
      </c>
      <c r="K68" s="591">
        <v>5</v>
      </c>
      <c r="L68" s="550">
        <v>4</v>
      </c>
      <c r="M68" s="550">
        <v>3</v>
      </c>
      <c r="N68" s="550">
        <v>2</v>
      </c>
      <c r="O68" s="550">
        <v>2</v>
      </c>
      <c r="P68" s="592">
        <v>0</v>
      </c>
      <c r="Q68" s="593">
        <v>5</v>
      </c>
      <c r="R68" s="594">
        <f t="shared" si="37"/>
        <v>-5</v>
      </c>
      <c r="S68" s="594">
        <f t="shared" si="38"/>
        <v>-2</v>
      </c>
      <c r="T68" s="37">
        <f t="shared" si="39"/>
        <v>-1</v>
      </c>
      <c r="U68" s="593">
        <v>6</v>
      </c>
      <c r="V68" s="595" t="e">
        <f>+P67/P68</f>
        <v>#DIV/0!</v>
      </c>
    </row>
    <row r="69" spans="1:25" ht="15.75" outlineLevel="2">
      <c r="A69" s="623" t="s">
        <v>50</v>
      </c>
      <c r="B69" s="623"/>
      <c r="C69" s="623"/>
      <c r="D69" s="599">
        <f t="shared" ref="D69:Q69" si="43">SUM(D67:D68)</f>
        <v>11</v>
      </c>
      <c r="E69" s="597">
        <f t="shared" si="43"/>
        <v>12</v>
      </c>
      <c r="F69" s="597">
        <f t="shared" si="43"/>
        <v>11</v>
      </c>
      <c r="G69" s="597">
        <f t="shared" si="43"/>
        <v>11</v>
      </c>
      <c r="H69" s="597">
        <f t="shared" si="43"/>
        <v>9</v>
      </c>
      <c r="I69" s="597">
        <f t="shared" si="43"/>
        <v>9</v>
      </c>
      <c r="J69" s="597">
        <f t="shared" si="43"/>
        <v>9</v>
      </c>
      <c r="K69" s="597">
        <f t="shared" si="43"/>
        <v>9</v>
      </c>
      <c r="L69" s="598">
        <f t="shared" si="43"/>
        <v>8</v>
      </c>
      <c r="M69" s="598">
        <f t="shared" si="43"/>
        <v>8</v>
      </c>
      <c r="N69" s="598">
        <f t="shared" si="43"/>
        <v>8</v>
      </c>
      <c r="O69" s="598">
        <f t="shared" si="43"/>
        <v>7</v>
      </c>
      <c r="P69" s="599">
        <f t="shared" si="43"/>
        <v>5</v>
      </c>
      <c r="Q69" s="600">
        <f t="shared" si="43"/>
        <v>11</v>
      </c>
      <c r="R69" s="601">
        <f t="shared" si="37"/>
        <v>-6</v>
      </c>
      <c r="S69" s="601">
        <f t="shared" si="38"/>
        <v>-2</v>
      </c>
      <c r="T69" s="602">
        <f t="shared" si="39"/>
        <v>-0.2857142857142857</v>
      </c>
      <c r="U69" s="600">
        <v>12</v>
      </c>
      <c r="V69" s="595"/>
    </row>
    <row r="70" spans="1:25" outlineLevel="2">
      <c r="A70" s="616" t="s">
        <v>390</v>
      </c>
      <c r="B70" s="616"/>
      <c r="C70" s="616"/>
      <c r="D70" s="619">
        <v>0</v>
      </c>
      <c r="E70" s="617">
        <v>0</v>
      </c>
      <c r="F70" s="617">
        <v>0</v>
      </c>
      <c r="G70" s="617">
        <v>0</v>
      </c>
      <c r="H70" s="617">
        <v>0</v>
      </c>
      <c r="I70" s="617">
        <v>0</v>
      </c>
      <c r="J70" s="617">
        <v>0</v>
      </c>
      <c r="K70" s="617">
        <v>0</v>
      </c>
      <c r="L70" s="618">
        <v>0</v>
      </c>
      <c r="M70" s="618">
        <v>0</v>
      </c>
      <c r="N70" s="618">
        <v>0</v>
      </c>
      <c r="O70" s="618">
        <v>0</v>
      </c>
      <c r="P70" s="619">
        <v>0</v>
      </c>
      <c r="Q70" s="620">
        <v>0</v>
      </c>
      <c r="R70" s="589">
        <f t="shared" si="37"/>
        <v>0</v>
      </c>
      <c r="S70" s="589">
        <f t="shared" si="38"/>
        <v>0</v>
      </c>
      <c r="T70" s="622">
        <f t="shared" si="39"/>
        <v>1</v>
      </c>
      <c r="U70" s="620">
        <v>0</v>
      </c>
      <c r="V70" s="595"/>
    </row>
    <row r="71" spans="1:25" outlineLevel="2">
      <c r="A71" s="590" t="s">
        <v>51</v>
      </c>
      <c r="B71" s="590"/>
      <c r="C71" s="590"/>
      <c r="D71" s="592">
        <v>17</v>
      </c>
      <c r="E71" s="591">
        <v>16</v>
      </c>
      <c r="F71" s="591">
        <v>14</v>
      </c>
      <c r="G71" s="591">
        <v>14</v>
      </c>
      <c r="H71" s="591">
        <v>19</v>
      </c>
      <c r="I71" s="591">
        <v>19</v>
      </c>
      <c r="J71" s="591">
        <v>19</v>
      </c>
      <c r="K71" s="591">
        <v>18</v>
      </c>
      <c r="L71" s="550">
        <v>18</v>
      </c>
      <c r="M71" s="550">
        <v>19</v>
      </c>
      <c r="N71" s="550">
        <v>22</v>
      </c>
      <c r="O71" s="550">
        <v>21</v>
      </c>
      <c r="P71" s="592">
        <v>23</v>
      </c>
      <c r="Q71" s="593">
        <v>22</v>
      </c>
      <c r="R71" s="594">
        <f t="shared" si="37"/>
        <v>1</v>
      </c>
      <c r="S71" s="594">
        <f t="shared" si="38"/>
        <v>2</v>
      </c>
      <c r="T71" s="37">
        <f t="shared" si="39"/>
        <v>9.5238095238095344E-2</v>
      </c>
      <c r="U71" s="593">
        <v>17</v>
      </c>
      <c r="V71" s="595">
        <f>IFERROR(P70/P71,0)</f>
        <v>0</v>
      </c>
    </row>
    <row r="72" spans="1:25" ht="15.75" outlineLevel="2">
      <c r="A72" s="623" t="s">
        <v>391</v>
      </c>
      <c r="B72" s="623"/>
      <c r="C72" s="623"/>
      <c r="D72" s="599">
        <f t="shared" ref="D72:J72" si="44">SUM(D70:D71)</f>
        <v>17</v>
      </c>
      <c r="E72" s="597">
        <f t="shared" si="44"/>
        <v>16</v>
      </c>
      <c r="F72" s="597">
        <f t="shared" si="44"/>
        <v>14</v>
      </c>
      <c r="G72" s="597">
        <f t="shared" si="44"/>
        <v>14</v>
      </c>
      <c r="H72" s="597">
        <f t="shared" si="44"/>
        <v>19</v>
      </c>
      <c r="I72" s="597">
        <f t="shared" si="44"/>
        <v>19</v>
      </c>
      <c r="J72" s="597">
        <f t="shared" si="44"/>
        <v>19</v>
      </c>
      <c r="K72" s="597">
        <f t="shared" ref="K72:Q72" si="45">SUM(K70:K71)</f>
        <v>18</v>
      </c>
      <c r="L72" s="598">
        <f t="shared" si="45"/>
        <v>18</v>
      </c>
      <c r="M72" s="598">
        <f t="shared" si="45"/>
        <v>19</v>
      </c>
      <c r="N72" s="598">
        <f t="shared" si="45"/>
        <v>22</v>
      </c>
      <c r="O72" s="598">
        <f t="shared" si="45"/>
        <v>21</v>
      </c>
      <c r="P72" s="599">
        <f t="shared" si="45"/>
        <v>23</v>
      </c>
      <c r="Q72" s="600">
        <f t="shared" si="45"/>
        <v>22</v>
      </c>
      <c r="R72" s="601">
        <f t="shared" si="37"/>
        <v>1</v>
      </c>
      <c r="S72" s="601">
        <f t="shared" si="38"/>
        <v>2</v>
      </c>
      <c r="T72" s="602">
        <f t="shared" si="39"/>
        <v>9.5238095238095344E-2</v>
      </c>
      <c r="U72" s="600">
        <v>17</v>
      </c>
      <c r="V72" s="595"/>
    </row>
    <row r="73" spans="1:25" ht="16.5" outlineLevel="2" thickBot="1">
      <c r="A73" s="56"/>
      <c r="B73" s="56"/>
      <c r="C73" s="56"/>
      <c r="D73" s="626"/>
      <c r="E73" s="624"/>
      <c r="F73" s="624"/>
      <c r="G73" s="624"/>
      <c r="H73" s="624"/>
      <c r="I73" s="624"/>
      <c r="J73" s="624"/>
      <c r="K73" s="624"/>
      <c r="L73" s="625"/>
      <c r="M73" s="625"/>
      <c r="N73" s="625"/>
      <c r="O73" s="625"/>
      <c r="P73" s="626"/>
      <c r="Q73" s="627"/>
      <c r="R73" s="628"/>
      <c r="S73" s="628"/>
      <c r="T73" s="629"/>
      <c r="U73" s="627"/>
      <c r="V73" s="595"/>
    </row>
    <row r="74" spans="1:25" ht="15.75" outlineLevel="1">
      <c r="A74" s="630" t="s">
        <v>52</v>
      </c>
      <c r="B74" s="630"/>
      <c r="C74" s="630"/>
      <c r="D74" s="633">
        <f t="shared" ref="D74:Q75" si="46">SUM(D61,D64,D67,D70)</f>
        <v>123</v>
      </c>
      <c r="E74" s="631">
        <f t="shared" si="46"/>
        <v>124</v>
      </c>
      <c r="F74" s="631">
        <f t="shared" si="46"/>
        <v>123</v>
      </c>
      <c r="G74" s="631">
        <f t="shared" si="46"/>
        <v>120</v>
      </c>
      <c r="H74" s="631">
        <f t="shared" si="46"/>
        <v>112</v>
      </c>
      <c r="I74" s="631">
        <f t="shared" si="46"/>
        <v>113</v>
      </c>
      <c r="J74" s="631">
        <f t="shared" si="46"/>
        <v>107</v>
      </c>
      <c r="K74" s="631">
        <f t="shared" si="46"/>
        <v>108</v>
      </c>
      <c r="L74" s="632">
        <f t="shared" si="46"/>
        <v>109</v>
      </c>
      <c r="M74" s="632">
        <f t="shared" si="46"/>
        <v>115</v>
      </c>
      <c r="N74" s="632">
        <f t="shared" si="46"/>
        <v>123</v>
      </c>
      <c r="O74" s="632">
        <f t="shared" si="46"/>
        <v>120</v>
      </c>
      <c r="P74" s="633">
        <f t="shared" si="46"/>
        <v>121</v>
      </c>
      <c r="Q74" s="634">
        <f t="shared" si="46"/>
        <v>135</v>
      </c>
      <c r="R74" s="635">
        <f>+P74-Q74</f>
        <v>-14</v>
      </c>
      <c r="S74" s="635">
        <f>+P74-O74</f>
        <v>1</v>
      </c>
      <c r="T74" s="636">
        <f>IFERROR(P74/O74-1,100%)</f>
        <v>8.3333333333333037E-3</v>
      </c>
      <c r="U74" s="634">
        <v>134</v>
      </c>
      <c r="V74" s="595"/>
      <c r="W74" s="333"/>
      <c r="X74" s="333"/>
      <c r="Y74" s="333"/>
    </row>
    <row r="75" spans="1:25" ht="15.75" outlineLevel="1">
      <c r="A75" s="49" t="s">
        <v>53</v>
      </c>
      <c r="B75" s="49"/>
      <c r="C75" s="49"/>
      <c r="D75" s="639">
        <f t="shared" si="46"/>
        <v>41</v>
      </c>
      <c r="E75" s="637">
        <f t="shared" si="46"/>
        <v>40</v>
      </c>
      <c r="F75" s="637">
        <f t="shared" si="46"/>
        <v>39</v>
      </c>
      <c r="G75" s="637">
        <f t="shared" si="46"/>
        <v>39</v>
      </c>
      <c r="H75" s="637">
        <f t="shared" si="46"/>
        <v>38</v>
      </c>
      <c r="I75" s="637">
        <f t="shared" si="46"/>
        <v>39</v>
      </c>
      <c r="J75" s="637">
        <f t="shared" si="46"/>
        <v>40</v>
      </c>
      <c r="K75" s="637">
        <f t="shared" si="46"/>
        <v>40</v>
      </c>
      <c r="L75" s="638">
        <f t="shared" si="46"/>
        <v>39</v>
      </c>
      <c r="M75" s="638">
        <f t="shared" si="46"/>
        <v>40</v>
      </c>
      <c r="N75" s="638">
        <f t="shared" si="46"/>
        <v>40</v>
      </c>
      <c r="O75" s="638">
        <f t="shared" si="46"/>
        <v>39</v>
      </c>
      <c r="P75" s="639">
        <f t="shared" si="46"/>
        <v>39</v>
      </c>
      <c r="Q75" s="593">
        <f t="shared" si="46"/>
        <v>44</v>
      </c>
      <c r="R75" s="640">
        <f>+P75-Q75</f>
        <v>-5</v>
      </c>
      <c r="S75" s="640">
        <f>+P75-O75</f>
        <v>0</v>
      </c>
      <c r="T75" s="50">
        <f>IFERROR(P75/O75-1,100%)</f>
        <v>0</v>
      </c>
      <c r="U75" s="593">
        <v>44</v>
      </c>
      <c r="V75" s="595">
        <f>+P74/P75</f>
        <v>3.1025641025641026</v>
      </c>
      <c r="X75" s="333"/>
      <c r="Y75" s="333"/>
    </row>
    <row r="76" spans="1:25" ht="15.75" outlineLevel="1">
      <c r="A76" s="641" t="s">
        <v>54</v>
      </c>
      <c r="B76" s="641"/>
      <c r="C76" s="641"/>
      <c r="D76" s="644">
        <f t="shared" ref="D76:J76" si="47">SUM(D74:D75)</f>
        <v>164</v>
      </c>
      <c r="E76" s="642">
        <f t="shared" si="47"/>
        <v>164</v>
      </c>
      <c r="F76" s="642">
        <f t="shared" si="47"/>
        <v>162</v>
      </c>
      <c r="G76" s="642">
        <f t="shared" si="47"/>
        <v>159</v>
      </c>
      <c r="H76" s="642">
        <f t="shared" si="47"/>
        <v>150</v>
      </c>
      <c r="I76" s="642">
        <f t="shared" si="47"/>
        <v>152</v>
      </c>
      <c r="J76" s="642">
        <f t="shared" si="47"/>
        <v>147</v>
      </c>
      <c r="K76" s="642">
        <f t="shared" ref="K76:Q76" si="48">SUM(K74:K75)</f>
        <v>148</v>
      </c>
      <c r="L76" s="643">
        <f t="shared" si="48"/>
        <v>148</v>
      </c>
      <c r="M76" s="643">
        <f t="shared" si="48"/>
        <v>155</v>
      </c>
      <c r="N76" s="643">
        <f t="shared" si="48"/>
        <v>163</v>
      </c>
      <c r="O76" s="643">
        <f t="shared" si="48"/>
        <v>159</v>
      </c>
      <c r="P76" s="644">
        <f t="shared" si="48"/>
        <v>160</v>
      </c>
      <c r="Q76" s="645">
        <f t="shared" si="48"/>
        <v>179</v>
      </c>
      <c r="R76" s="646">
        <f>+P76-Q76</f>
        <v>-19</v>
      </c>
      <c r="S76" s="646">
        <f>+P76-O76</f>
        <v>1</v>
      </c>
      <c r="T76" s="647">
        <f>IFERROR(P76/O76-1,100%)</f>
        <v>6.2893081761006275E-3</v>
      </c>
      <c r="U76" s="645">
        <v>178</v>
      </c>
      <c r="X76" s="333"/>
      <c r="Y76" s="333"/>
    </row>
    <row r="77" spans="1:25" outlineLevel="1">
      <c r="D77" s="648"/>
      <c r="E77" s="648"/>
      <c r="F77" s="648"/>
      <c r="G77" s="648"/>
      <c r="H77" s="648"/>
      <c r="I77" s="648"/>
      <c r="J77" s="648"/>
      <c r="K77" s="648"/>
      <c r="L77" s="648"/>
      <c r="M77" s="648"/>
      <c r="N77" s="648"/>
      <c r="O77" s="648"/>
    </row>
    <row r="78" spans="1:25" ht="15.75" outlineLevel="1">
      <c r="A78" s="1146" t="s">
        <v>76</v>
      </c>
      <c r="D78" s="1147">
        <f>+D74/D75</f>
        <v>3</v>
      </c>
      <c r="E78" s="1147">
        <f t="shared" ref="E78:Q78" si="49">+E74/E75</f>
        <v>3.1</v>
      </c>
      <c r="F78" s="1147">
        <f t="shared" si="49"/>
        <v>3.1538461538461537</v>
      </c>
      <c r="G78" s="1147">
        <f t="shared" si="49"/>
        <v>3.0769230769230771</v>
      </c>
      <c r="H78" s="1147">
        <f>+H74/H75</f>
        <v>2.9473684210526314</v>
      </c>
      <c r="I78" s="1147">
        <f t="shared" si="49"/>
        <v>2.8974358974358974</v>
      </c>
      <c r="J78" s="1147">
        <f t="shared" si="49"/>
        <v>2.6749999999999998</v>
      </c>
      <c r="K78" s="1147">
        <f t="shared" si="49"/>
        <v>2.7</v>
      </c>
      <c r="L78" s="1147">
        <f t="shared" si="49"/>
        <v>2.7948717948717947</v>
      </c>
      <c r="M78" s="1147">
        <f t="shared" si="49"/>
        <v>2.875</v>
      </c>
      <c r="N78" s="1147">
        <f t="shared" si="49"/>
        <v>3.0750000000000002</v>
      </c>
      <c r="O78" s="1147">
        <f t="shared" si="49"/>
        <v>3.0769230769230771</v>
      </c>
      <c r="P78" s="1148">
        <f t="shared" si="49"/>
        <v>3.1025641025641026</v>
      </c>
      <c r="Q78" s="1148">
        <f t="shared" si="49"/>
        <v>3.0681818181818183</v>
      </c>
      <c r="R78" s="649"/>
      <c r="T78" s="649"/>
      <c r="U78" s="1149">
        <f t="shared" ref="U78" si="50">+U74/U75</f>
        <v>3.0454545454545454</v>
      </c>
    </row>
    <row r="79" spans="1:25" ht="15.75" outlineLevel="1">
      <c r="A79" s="21" t="s">
        <v>412</v>
      </c>
      <c r="D79" s="1147"/>
      <c r="E79" s="1147"/>
      <c r="F79" s="1147"/>
      <c r="G79" s="1147"/>
      <c r="H79" s="1147"/>
      <c r="I79" s="1147"/>
      <c r="J79" s="1147"/>
      <c r="K79" s="1147"/>
      <c r="L79" s="1147"/>
      <c r="M79" s="1147"/>
      <c r="N79" s="1147"/>
      <c r="O79" s="1147"/>
      <c r="P79" s="1148"/>
      <c r="Q79" s="1148"/>
      <c r="R79" s="649"/>
      <c r="T79" s="649"/>
      <c r="U79" s="1149"/>
    </row>
    <row r="80" spans="1:25" ht="13.9" customHeight="1" outlineLevel="1">
      <c r="A80" s="21" t="s">
        <v>117</v>
      </c>
    </row>
    <row r="81" spans="1:21" ht="13.9" customHeight="1"/>
    <row r="82" spans="1:21" ht="13.9" customHeight="1"/>
    <row r="83" spans="1:21" ht="14.45" customHeight="1">
      <c r="A83" s="168" t="s">
        <v>424</v>
      </c>
      <c r="B83" s="168"/>
      <c r="C83" s="168"/>
      <c r="D83" s="168"/>
      <c r="E83" s="168"/>
      <c r="F83" s="168"/>
      <c r="G83" s="168"/>
      <c r="H83" s="168"/>
      <c r="I83" s="168"/>
      <c r="J83" s="168"/>
      <c r="K83" s="168"/>
      <c r="L83" s="168"/>
      <c r="M83" s="168"/>
    </row>
    <row r="84" spans="1:21" hidden="1" outlineLevel="1">
      <c r="A84" s="457" t="s">
        <v>411</v>
      </c>
      <c r="B84" s="21"/>
      <c r="C84" s="21"/>
      <c r="D84" s="21"/>
      <c r="E84" s="21"/>
      <c r="F84" s="21"/>
      <c r="G84" s="21"/>
      <c r="H84" s="21"/>
      <c r="I84" s="21"/>
      <c r="J84" s="21"/>
      <c r="K84" s="21"/>
      <c r="L84" s="21"/>
      <c r="M84" s="21"/>
      <c r="P84" s="1034"/>
    </row>
    <row r="85" spans="1:21" ht="31.5" hidden="1" outlineLevel="1">
      <c r="A85" s="23" t="s">
        <v>79</v>
      </c>
      <c r="B85" s="23" t="s">
        <v>0</v>
      </c>
      <c r="C85" s="23"/>
      <c r="D85" s="184">
        <v>45777</v>
      </c>
      <c r="E85" s="24">
        <v>45808</v>
      </c>
      <c r="F85" s="24">
        <v>45838</v>
      </c>
      <c r="G85" s="24">
        <v>45869</v>
      </c>
      <c r="H85" s="24">
        <v>45900</v>
      </c>
      <c r="I85" s="24">
        <v>45930</v>
      </c>
      <c r="J85" s="24">
        <v>45961</v>
      </c>
      <c r="K85" s="24">
        <v>45991</v>
      </c>
      <c r="L85" s="24">
        <v>46022</v>
      </c>
      <c r="M85" s="426">
        <v>46053</v>
      </c>
      <c r="N85" s="426">
        <v>46081</v>
      </c>
      <c r="O85" s="426">
        <v>46112</v>
      </c>
      <c r="P85" s="184">
        <v>46142</v>
      </c>
      <c r="Q85" s="1080" t="s">
        <v>12</v>
      </c>
      <c r="R85" s="528" t="s">
        <v>27</v>
      </c>
      <c r="S85" s="27" t="s">
        <v>75</v>
      </c>
      <c r="T85" s="1080" t="s">
        <v>13</v>
      </c>
    </row>
    <row r="86" spans="1:21" hidden="1" outlineLevel="2">
      <c r="A86" s="650" t="s">
        <v>78</v>
      </c>
      <c r="B86" s="585" t="s">
        <v>2</v>
      </c>
      <c r="C86" s="651" t="s">
        <v>80</v>
      </c>
      <c r="D86" s="652">
        <v>1</v>
      </c>
      <c r="E86" s="653">
        <v>2</v>
      </c>
      <c r="F86" s="653">
        <v>2</v>
      </c>
      <c r="G86" s="653">
        <v>2</v>
      </c>
      <c r="H86" s="653">
        <v>2</v>
      </c>
      <c r="I86" s="653">
        <v>2</v>
      </c>
      <c r="J86" s="653">
        <v>3</v>
      </c>
      <c r="K86" s="653">
        <v>3</v>
      </c>
      <c r="L86" s="653">
        <v>3</v>
      </c>
      <c r="M86" s="653">
        <v>3</v>
      </c>
      <c r="N86" s="653">
        <v>3</v>
      </c>
      <c r="O86" s="653">
        <v>3</v>
      </c>
      <c r="P86" s="654">
        <v>3</v>
      </c>
      <c r="Q86" s="655">
        <v>3</v>
      </c>
      <c r="R86" s="589">
        <f>+P86-Q86</f>
        <v>0</v>
      </c>
      <c r="S86" s="43">
        <f>IFERROR(P86/O86-1,100%)</f>
        <v>0</v>
      </c>
      <c r="T86" s="655">
        <v>3</v>
      </c>
      <c r="U86" s="656"/>
    </row>
    <row r="87" spans="1:21" ht="30" hidden="1" outlineLevel="2">
      <c r="A87" s="657" t="s">
        <v>78</v>
      </c>
      <c r="B87" s="603" t="s">
        <v>2</v>
      </c>
      <c r="C87" s="658" t="s">
        <v>77</v>
      </c>
      <c r="D87" s="659">
        <v>0.67774936061381075</v>
      </c>
      <c r="E87" s="660">
        <v>1.6040756914119358</v>
      </c>
      <c r="F87" s="660">
        <v>1.7840236686390532</v>
      </c>
      <c r="G87" s="660">
        <v>1.8341584158415842</v>
      </c>
      <c r="H87" s="660">
        <v>1.829059829059829</v>
      </c>
      <c r="I87" s="660">
        <v>1.7232375979112271</v>
      </c>
      <c r="J87" s="660">
        <v>2.2256532066508314</v>
      </c>
      <c r="K87" s="660">
        <v>2.8405405405405406</v>
      </c>
      <c r="L87" s="660">
        <v>2.0123762376237622</v>
      </c>
      <c r="M87" s="660">
        <v>2.3681592039800994</v>
      </c>
      <c r="N87" s="660">
        <v>2.7303370786516852</v>
      </c>
      <c r="O87" s="660">
        <v>2.5987841945288754</v>
      </c>
      <c r="P87" s="661">
        <v>2.7202970297029703</v>
      </c>
      <c r="Q87" s="662">
        <v>2.7</v>
      </c>
      <c r="R87" s="663">
        <f>+P87-Q87</f>
        <v>2.0297029702970093E-2</v>
      </c>
      <c r="S87" s="47">
        <f>IFERROR(P87/O87-1,100%)</f>
        <v>4.6757570493891398E-2</v>
      </c>
      <c r="T87" s="662">
        <v>2.7</v>
      </c>
      <c r="U87" s="656"/>
    </row>
    <row r="88" spans="1:21" hidden="1" outlineLevel="2">
      <c r="A88" s="664" t="s">
        <v>78</v>
      </c>
      <c r="B88" s="1075"/>
      <c r="C88" s="665"/>
      <c r="D88" s="666"/>
      <c r="E88" s="667"/>
      <c r="F88" s="667"/>
      <c r="G88" s="667"/>
      <c r="H88" s="667"/>
      <c r="I88" s="667"/>
      <c r="J88" s="667"/>
      <c r="K88" s="667"/>
      <c r="L88" s="667"/>
      <c r="M88" s="667"/>
      <c r="N88" s="667"/>
      <c r="O88" s="667"/>
      <c r="P88" s="668"/>
      <c r="Q88" s="669"/>
      <c r="R88" s="670"/>
      <c r="S88" s="389"/>
      <c r="T88" s="669"/>
      <c r="U88" s="656"/>
    </row>
    <row r="89" spans="1:21" hidden="1" outlineLevel="2">
      <c r="A89" s="650" t="s">
        <v>78</v>
      </c>
      <c r="B89" s="585" t="s">
        <v>3</v>
      </c>
      <c r="C89" s="651" t="s">
        <v>80</v>
      </c>
      <c r="D89" s="652">
        <v>6</v>
      </c>
      <c r="E89" s="653">
        <v>5</v>
      </c>
      <c r="F89" s="653">
        <v>5</v>
      </c>
      <c r="G89" s="653">
        <v>5</v>
      </c>
      <c r="H89" s="653">
        <v>5</v>
      </c>
      <c r="I89" s="653">
        <v>6</v>
      </c>
      <c r="J89" s="653">
        <v>6</v>
      </c>
      <c r="K89" s="653">
        <v>7</v>
      </c>
      <c r="L89" s="653">
        <v>7</v>
      </c>
      <c r="M89" s="653">
        <v>7</v>
      </c>
      <c r="N89" s="653">
        <v>6</v>
      </c>
      <c r="O89" s="653">
        <v>5</v>
      </c>
      <c r="P89" s="654">
        <v>5</v>
      </c>
      <c r="Q89" s="655">
        <v>8</v>
      </c>
      <c r="R89" s="589">
        <f>+P89-Q89</f>
        <v>-3</v>
      </c>
      <c r="S89" s="43">
        <f>IFERROR(P89/O89-1,100%)</f>
        <v>0</v>
      </c>
      <c r="T89" s="655">
        <v>10</v>
      </c>
      <c r="U89" s="656"/>
    </row>
    <row r="90" spans="1:21" ht="30" hidden="1" outlineLevel="2">
      <c r="A90" s="671" t="s">
        <v>78</v>
      </c>
      <c r="B90" s="1079" t="s">
        <v>3</v>
      </c>
      <c r="C90" s="672" t="s">
        <v>77</v>
      </c>
      <c r="D90" s="673">
        <v>3.9207161125319692</v>
      </c>
      <c r="E90" s="674">
        <v>3.8955223880597014</v>
      </c>
      <c r="F90" s="674">
        <v>4.5710059171597637</v>
      </c>
      <c r="G90" s="674">
        <v>4.6509900990099009</v>
      </c>
      <c r="H90" s="674">
        <v>3.8717948717948718</v>
      </c>
      <c r="I90" s="674">
        <v>4.5483028720626635</v>
      </c>
      <c r="J90" s="674">
        <v>4.5402160864345742</v>
      </c>
      <c r="K90" s="674">
        <v>5.0945945945945947</v>
      </c>
      <c r="L90" s="674">
        <v>5.4158415841584162</v>
      </c>
      <c r="M90" s="674">
        <v>4.7189054726368163</v>
      </c>
      <c r="N90" s="674">
        <v>5.3876404494382024</v>
      </c>
      <c r="O90" s="674">
        <v>4.2553191489361701</v>
      </c>
      <c r="P90" s="675">
        <v>4.5495049504950495</v>
      </c>
      <c r="Q90" s="676">
        <v>7.2</v>
      </c>
      <c r="R90" s="677">
        <f>+P90-Q90</f>
        <v>-2.6504950495049506</v>
      </c>
      <c r="S90" s="678">
        <f>IFERROR(P90/O90-1,100%)</f>
        <v>6.913366336633664E-2</v>
      </c>
      <c r="T90" s="676">
        <v>9</v>
      </c>
      <c r="U90" s="656"/>
    </row>
    <row r="91" spans="1:21" hidden="1" outlineLevel="2">
      <c r="A91" s="664" t="s">
        <v>78</v>
      </c>
      <c r="B91" s="1075"/>
      <c r="C91" s="665"/>
      <c r="D91" s="666"/>
      <c r="E91" s="667"/>
      <c r="F91" s="667"/>
      <c r="G91" s="667"/>
      <c r="H91" s="667"/>
      <c r="I91" s="667"/>
      <c r="J91" s="667"/>
      <c r="K91" s="667"/>
      <c r="L91" s="667"/>
      <c r="M91" s="667"/>
      <c r="N91" s="667"/>
      <c r="O91" s="667"/>
      <c r="P91" s="668"/>
      <c r="Q91" s="669"/>
      <c r="R91" s="670"/>
      <c r="S91" s="389"/>
      <c r="T91" s="669"/>
      <c r="U91" s="656"/>
    </row>
    <row r="92" spans="1:21" hidden="1" outlineLevel="2">
      <c r="A92" s="650" t="s">
        <v>78</v>
      </c>
      <c r="B92" s="585" t="s">
        <v>81</v>
      </c>
      <c r="C92" s="651" t="s">
        <v>80</v>
      </c>
      <c r="D92" s="652">
        <v>1</v>
      </c>
      <c r="E92" s="653">
        <v>1</v>
      </c>
      <c r="F92" s="653">
        <v>1</v>
      </c>
      <c r="G92" s="653">
        <v>1</v>
      </c>
      <c r="H92" s="653">
        <v>1</v>
      </c>
      <c r="I92" s="653">
        <v>0</v>
      </c>
      <c r="J92" s="653">
        <v>0</v>
      </c>
      <c r="K92" s="653">
        <v>0</v>
      </c>
      <c r="L92" s="653">
        <v>0</v>
      </c>
      <c r="M92" s="653">
        <v>0</v>
      </c>
      <c r="N92" s="653">
        <v>0</v>
      </c>
      <c r="O92" s="653">
        <v>0</v>
      </c>
      <c r="P92" s="654">
        <v>0</v>
      </c>
      <c r="Q92" s="655">
        <v>1</v>
      </c>
      <c r="R92" s="589">
        <f t="shared" ref="R92:R97" si="51">+P92-Q92</f>
        <v>-1</v>
      </c>
      <c r="S92" s="43">
        <f t="shared" ref="S92:S97" si="52">IFERROR(P92/O92-1,100%)</f>
        <v>1</v>
      </c>
      <c r="T92" s="655">
        <v>2</v>
      </c>
      <c r="U92" s="656"/>
    </row>
    <row r="93" spans="1:21" ht="30" hidden="1" outlineLevel="2">
      <c r="A93" s="671" t="s">
        <v>78</v>
      </c>
      <c r="B93" s="1079" t="s">
        <v>81</v>
      </c>
      <c r="C93" s="672" t="s">
        <v>77</v>
      </c>
      <c r="D93" s="673">
        <v>0.875</v>
      </c>
      <c r="E93" s="674">
        <v>0.91891891891891897</v>
      </c>
      <c r="F93" s="674">
        <v>0.8550295857988166</v>
      </c>
      <c r="G93" s="674">
        <v>0.85643564356435642</v>
      </c>
      <c r="H93" s="674">
        <v>0.87179487179487181</v>
      </c>
      <c r="I93" s="674">
        <v>0</v>
      </c>
      <c r="J93" s="674">
        <v>0</v>
      </c>
      <c r="K93" s="674">
        <v>0</v>
      </c>
      <c r="L93" s="674">
        <v>0</v>
      </c>
      <c r="M93" s="674">
        <v>0</v>
      </c>
      <c r="N93" s="674">
        <v>0</v>
      </c>
      <c r="O93" s="674">
        <v>0</v>
      </c>
      <c r="P93" s="675">
        <v>0</v>
      </c>
      <c r="Q93" s="676">
        <v>0.9</v>
      </c>
      <c r="R93" s="677">
        <f t="shared" si="51"/>
        <v>-0.9</v>
      </c>
      <c r="S93" s="678">
        <f t="shared" si="52"/>
        <v>1</v>
      </c>
      <c r="T93" s="676">
        <v>1.8</v>
      </c>
      <c r="U93" s="656"/>
    </row>
    <row r="94" spans="1:21" ht="15.75" hidden="1" outlineLevel="1" collapsed="1">
      <c r="A94" s="679"/>
      <c r="B94" s="680"/>
      <c r="C94" s="681" t="s">
        <v>82</v>
      </c>
      <c r="D94" s="682">
        <f t="shared" ref="D94:P95" si="53">SUBTOTAL(9,D86,D89,D92)</f>
        <v>8</v>
      </c>
      <c r="E94" s="683">
        <f t="shared" si="53"/>
        <v>8</v>
      </c>
      <c r="F94" s="683">
        <f t="shared" si="53"/>
        <v>8</v>
      </c>
      <c r="G94" s="683">
        <f t="shared" si="53"/>
        <v>8</v>
      </c>
      <c r="H94" s="683">
        <f t="shared" si="53"/>
        <v>8</v>
      </c>
      <c r="I94" s="683">
        <f t="shared" si="53"/>
        <v>8</v>
      </c>
      <c r="J94" s="683">
        <f t="shared" si="53"/>
        <v>9</v>
      </c>
      <c r="K94" s="683">
        <f t="shared" si="53"/>
        <v>10</v>
      </c>
      <c r="L94" s="683">
        <f t="shared" si="53"/>
        <v>10</v>
      </c>
      <c r="M94" s="683">
        <f t="shared" si="53"/>
        <v>10</v>
      </c>
      <c r="N94" s="683">
        <f t="shared" si="53"/>
        <v>9</v>
      </c>
      <c r="O94" s="683">
        <f t="shared" si="53"/>
        <v>8</v>
      </c>
      <c r="P94" s="684">
        <f t="shared" si="53"/>
        <v>8</v>
      </c>
      <c r="Q94" s="685">
        <f>SUBTOTAL(9,Q86,Q89,Q92)</f>
        <v>12</v>
      </c>
      <c r="R94" s="686">
        <f t="shared" si="51"/>
        <v>-4</v>
      </c>
      <c r="S94" s="687">
        <f t="shared" si="52"/>
        <v>0</v>
      </c>
      <c r="T94" s="685">
        <f>SUBTOTAL(9,T86,T89,T92)</f>
        <v>15</v>
      </c>
      <c r="U94" s="656"/>
    </row>
    <row r="95" spans="1:21" ht="16.5" hidden="1" outlineLevel="1" thickBot="1">
      <c r="A95" s="688"/>
      <c r="B95" s="689"/>
      <c r="C95" s="690" t="s">
        <v>83</v>
      </c>
      <c r="D95" s="691">
        <f t="shared" si="53"/>
        <v>5.4734654731457795</v>
      </c>
      <c r="E95" s="692">
        <f t="shared" si="53"/>
        <v>6.4185169983905563</v>
      </c>
      <c r="F95" s="692">
        <f t="shared" si="53"/>
        <v>7.2100591715976332</v>
      </c>
      <c r="G95" s="692">
        <f t="shared" si="53"/>
        <v>7.3415841584158414</v>
      </c>
      <c r="H95" s="692">
        <f t="shared" si="53"/>
        <v>6.5726495726495724</v>
      </c>
      <c r="I95" s="692">
        <f t="shared" si="53"/>
        <v>6.2715404699738908</v>
      </c>
      <c r="J95" s="692">
        <f t="shared" si="53"/>
        <v>6.7658692930854052</v>
      </c>
      <c r="K95" s="692">
        <f t="shared" si="53"/>
        <v>7.9351351351351358</v>
      </c>
      <c r="L95" s="692">
        <f t="shared" si="53"/>
        <v>7.4282178217821784</v>
      </c>
      <c r="M95" s="692">
        <f t="shared" si="53"/>
        <v>7.0870646766169152</v>
      </c>
      <c r="N95" s="692">
        <f t="shared" si="53"/>
        <v>8.117977528089888</v>
      </c>
      <c r="O95" s="692">
        <f t="shared" si="53"/>
        <v>6.8541033434650451</v>
      </c>
      <c r="P95" s="693">
        <f t="shared" si="53"/>
        <v>7.2698019801980198</v>
      </c>
      <c r="Q95" s="694">
        <f>SUBTOTAL(9,Q87,Q90,Q93)</f>
        <v>10.8</v>
      </c>
      <c r="R95" s="695">
        <f t="shared" si="51"/>
        <v>-3.5301980198019809</v>
      </c>
      <c r="S95" s="696">
        <f t="shared" si="52"/>
        <v>6.064960154552046E-2</v>
      </c>
      <c r="T95" s="694">
        <f>SUBTOTAL(9,T87,T90,T93)</f>
        <v>13.5</v>
      </c>
      <c r="U95" s="656"/>
    </row>
    <row r="96" spans="1:21" hidden="1" outlineLevel="2">
      <c r="A96" s="650" t="s">
        <v>84</v>
      </c>
      <c r="B96" s="585" t="s">
        <v>2</v>
      </c>
      <c r="C96" s="651" t="s">
        <v>80</v>
      </c>
      <c r="D96" s="652">
        <v>28</v>
      </c>
      <c r="E96" s="653">
        <v>26</v>
      </c>
      <c r="F96" s="653">
        <v>26</v>
      </c>
      <c r="G96" s="653">
        <v>26</v>
      </c>
      <c r="H96" s="653">
        <v>22</v>
      </c>
      <c r="I96" s="653">
        <v>22</v>
      </c>
      <c r="J96" s="653">
        <v>22</v>
      </c>
      <c r="K96" s="653">
        <v>23</v>
      </c>
      <c r="L96" s="653">
        <v>23</v>
      </c>
      <c r="M96" s="653">
        <v>24</v>
      </c>
      <c r="N96" s="653">
        <v>22</v>
      </c>
      <c r="O96" s="653">
        <v>20</v>
      </c>
      <c r="P96" s="654">
        <v>19</v>
      </c>
      <c r="Q96" s="655">
        <v>35</v>
      </c>
      <c r="R96" s="589">
        <f t="shared" si="51"/>
        <v>-16</v>
      </c>
      <c r="S96" s="43">
        <f t="shared" si="52"/>
        <v>-5.0000000000000044E-2</v>
      </c>
      <c r="T96" s="655">
        <v>36</v>
      </c>
      <c r="U96" s="656"/>
    </row>
    <row r="97" spans="1:21" ht="30" hidden="1" outlineLevel="2">
      <c r="A97" s="657" t="s">
        <v>84</v>
      </c>
      <c r="B97" s="603" t="s">
        <v>2</v>
      </c>
      <c r="C97" s="658" t="s">
        <v>77</v>
      </c>
      <c r="D97" s="659">
        <v>14.51918158567775</v>
      </c>
      <c r="E97" s="660">
        <v>17.32089552238806</v>
      </c>
      <c r="F97" s="660">
        <v>18.396449704142011</v>
      </c>
      <c r="G97" s="660">
        <v>18.245049504950494</v>
      </c>
      <c r="H97" s="660">
        <v>10.085470085470085</v>
      </c>
      <c r="I97" s="660">
        <v>18.138381201044385</v>
      </c>
      <c r="J97" s="660">
        <v>18.1187648456057</v>
      </c>
      <c r="K97" s="660">
        <v>17.059459459459461</v>
      </c>
      <c r="L97" s="660">
        <v>15.03960396039604</v>
      </c>
      <c r="M97" s="660">
        <v>12.965174129353233</v>
      </c>
      <c r="N97" s="660">
        <v>14.629213483146067</v>
      </c>
      <c r="O97" s="660">
        <v>14.048632218844984</v>
      </c>
      <c r="P97" s="661">
        <v>14.237623762376238</v>
      </c>
      <c r="Q97" s="662">
        <v>28</v>
      </c>
      <c r="R97" s="663">
        <f t="shared" si="51"/>
        <v>-13.762376237623762</v>
      </c>
      <c r="S97" s="47">
        <f t="shared" si="52"/>
        <v>1.345266504149345E-2</v>
      </c>
      <c r="T97" s="662">
        <v>29.339999999999996</v>
      </c>
      <c r="U97" s="656"/>
    </row>
    <row r="98" spans="1:21" hidden="1" outlineLevel="2">
      <c r="A98" s="664" t="s">
        <v>84</v>
      </c>
      <c r="B98" s="1075"/>
      <c r="C98" s="665"/>
      <c r="D98" s="666"/>
      <c r="E98" s="667"/>
      <c r="F98" s="667"/>
      <c r="G98" s="667"/>
      <c r="H98" s="667"/>
      <c r="I98" s="667"/>
      <c r="J98" s="667"/>
      <c r="K98" s="667"/>
      <c r="L98" s="667"/>
      <c r="M98" s="667"/>
      <c r="N98" s="667"/>
      <c r="O98" s="667"/>
      <c r="P98" s="668"/>
      <c r="Q98" s="669"/>
      <c r="R98" s="670"/>
      <c r="S98" s="389"/>
      <c r="T98" s="669"/>
      <c r="U98" s="656"/>
    </row>
    <row r="99" spans="1:21" hidden="1" outlineLevel="2">
      <c r="A99" s="650" t="s">
        <v>84</v>
      </c>
      <c r="B99" s="585" t="s">
        <v>3</v>
      </c>
      <c r="C99" s="651" t="s">
        <v>80</v>
      </c>
      <c r="D99" s="652">
        <v>71</v>
      </c>
      <c r="E99" s="653">
        <v>70</v>
      </c>
      <c r="F99" s="653">
        <v>70</v>
      </c>
      <c r="G99" s="653">
        <v>70</v>
      </c>
      <c r="H99" s="653">
        <v>70</v>
      </c>
      <c r="I99" s="653">
        <v>71</v>
      </c>
      <c r="J99" s="653">
        <v>72</v>
      </c>
      <c r="K99" s="653">
        <v>70</v>
      </c>
      <c r="L99" s="653">
        <v>69</v>
      </c>
      <c r="M99" s="653">
        <v>67</v>
      </c>
      <c r="N99" s="653">
        <v>65</v>
      </c>
      <c r="O99" s="653">
        <v>64</v>
      </c>
      <c r="P99" s="654">
        <v>65</v>
      </c>
      <c r="Q99" s="697">
        <v>62</v>
      </c>
      <c r="R99" s="589">
        <f>+P99-Q99</f>
        <v>3</v>
      </c>
      <c r="S99" s="43">
        <f>IFERROR(P99/O99-1,100%)</f>
        <v>1.5625E-2</v>
      </c>
      <c r="T99" s="655">
        <v>74</v>
      </c>
      <c r="U99" s="656"/>
    </row>
    <row r="100" spans="1:21" ht="30" hidden="1" outlineLevel="2">
      <c r="A100" s="671" t="s">
        <v>84</v>
      </c>
      <c r="B100" s="1079" t="s">
        <v>3</v>
      </c>
      <c r="C100" s="672" t="s">
        <v>77</v>
      </c>
      <c r="D100" s="673">
        <v>41.447570332480815</v>
      </c>
      <c r="E100" s="674">
        <v>51.895522388059703</v>
      </c>
      <c r="F100" s="674">
        <v>59.579881656804737</v>
      </c>
      <c r="G100" s="674">
        <v>61.116336633663366</v>
      </c>
      <c r="H100" s="674">
        <v>35.888888888888886</v>
      </c>
      <c r="I100" s="674">
        <v>59.488250652741513</v>
      </c>
      <c r="J100" s="674">
        <v>60.551068883610448</v>
      </c>
      <c r="K100" s="674">
        <v>58.381081081081078</v>
      </c>
      <c r="L100" s="674">
        <v>52.03217821782178</v>
      </c>
      <c r="M100" s="674">
        <v>53.388059701492537</v>
      </c>
      <c r="N100" s="674">
        <v>54.806179775280896</v>
      </c>
      <c r="O100" s="674">
        <v>53.18844984802432</v>
      </c>
      <c r="P100" s="675">
        <v>53.893564356435647</v>
      </c>
      <c r="Q100" s="676">
        <v>49.6</v>
      </c>
      <c r="R100" s="677">
        <f>+P100-Q100</f>
        <v>4.2935643564356454</v>
      </c>
      <c r="S100" s="678">
        <f>IFERROR(P100/O100-1,100%)</f>
        <v>1.3256910295864177E-2</v>
      </c>
      <c r="T100" s="676">
        <v>60.309999999999995</v>
      </c>
      <c r="U100" s="656"/>
    </row>
    <row r="101" spans="1:21" hidden="1" outlineLevel="2">
      <c r="A101" s="664" t="s">
        <v>84</v>
      </c>
      <c r="B101" s="1075"/>
      <c r="C101" s="665"/>
      <c r="D101" s="666"/>
      <c r="E101" s="667"/>
      <c r="F101" s="667"/>
      <c r="G101" s="667"/>
      <c r="H101" s="667"/>
      <c r="I101" s="667"/>
      <c r="J101" s="667"/>
      <c r="K101" s="667"/>
      <c r="L101" s="667"/>
      <c r="M101" s="667"/>
      <c r="N101" s="667"/>
      <c r="O101" s="667"/>
      <c r="P101" s="668"/>
      <c r="Q101" s="669"/>
      <c r="R101" s="670"/>
      <c r="S101" s="389"/>
      <c r="T101" s="669"/>
      <c r="U101" s="656"/>
    </row>
    <row r="102" spans="1:21" hidden="1" outlineLevel="2">
      <c r="A102" s="650" t="s">
        <v>84</v>
      </c>
      <c r="B102" s="585" t="s">
        <v>81</v>
      </c>
      <c r="C102" s="651" t="s">
        <v>80</v>
      </c>
      <c r="D102" s="652">
        <v>6</v>
      </c>
      <c r="E102" s="653">
        <v>6</v>
      </c>
      <c r="F102" s="653">
        <v>5</v>
      </c>
      <c r="G102" s="653">
        <v>5</v>
      </c>
      <c r="H102" s="653">
        <v>5</v>
      </c>
      <c r="I102" s="653">
        <v>4</v>
      </c>
      <c r="J102" s="653">
        <v>4</v>
      </c>
      <c r="K102" s="653">
        <v>4</v>
      </c>
      <c r="L102" s="653">
        <v>3</v>
      </c>
      <c r="M102" s="653">
        <v>3</v>
      </c>
      <c r="N102" s="653">
        <v>2</v>
      </c>
      <c r="O102" s="653">
        <v>2</v>
      </c>
      <c r="P102" s="654">
        <v>2</v>
      </c>
      <c r="Q102" s="655">
        <v>3</v>
      </c>
      <c r="R102" s="589">
        <f>+P102-Q102</f>
        <v>-1</v>
      </c>
      <c r="S102" s="43">
        <f>IFERROR(P102/O102-1,100%)</f>
        <v>0</v>
      </c>
      <c r="T102" s="655">
        <v>6</v>
      </c>
      <c r="U102" s="656"/>
    </row>
    <row r="103" spans="1:21" ht="30" hidden="1" outlineLevel="2">
      <c r="A103" s="671" t="s">
        <v>84</v>
      </c>
      <c r="B103" s="1079" t="s">
        <v>81</v>
      </c>
      <c r="C103" s="672" t="s">
        <v>77</v>
      </c>
      <c r="D103" s="673">
        <v>2.2583120204603579</v>
      </c>
      <c r="E103" s="674">
        <v>2.2437810945273631</v>
      </c>
      <c r="F103" s="674">
        <v>2.5798816568047336</v>
      </c>
      <c r="G103" s="674">
        <v>2.1831683168316833</v>
      </c>
      <c r="H103" s="674">
        <v>1.641025641025641</v>
      </c>
      <c r="I103" s="674">
        <v>1.0287206266318538</v>
      </c>
      <c r="J103" s="674">
        <v>2.6983372921615203</v>
      </c>
      <c r="K103" s="674">
        <v>2.708108108108108</v>
      </c>
      <c r="L103" s="674">
        <v>2.0396039603960396</v>
      </c>
      <c r="M103" s="674">
        <v>1.644278606965174</v>
      </c>
      <c r="N103" s="674">
        <v>1.8061797752808988</v>
      </c>
      <c r="O103" s="674">
        <v>1.9574468085106382</v>
      </c>
      <c r="P103" s="675">
        <v>1.9678217821782178</v>
      </c>
      <c r="Q103" s="676">
        <v>2.4</v>
      </c>
      <c r="R103" s="677">
        <f>+P103-Q103</f>
        <v>-0.43217821782178212</v>
      </c>
      <c r="S103" s="678">
        <f>IFERROR(P103/O103-1,100%)</f>
        <v>5.3002582866983339E-3</v>
      </c>
      <c r="T103" s="676">
        <v>4.8899999999999997</v>
      </c>
      <c r="U103" s="656"/>
    </row>
    <row r="104" spans="1:21" ht="15.75" hidden="1" outlineLevel="1" collapsed="1">
      <c r="A104" s="679"/>
      <c r="B104" s="680"/>
      <c r="C104" s="681" t="s">
        <v>85</v>
      </c>
      <c r="D104" s="682">
        <f t="shared" ref="D104:P105" si="54">SUBTOTAL(9,D96,D99,D102)</f>
        <v>105</v>
      </c>
      <c r="E104" s="683">
        <f t="shared" si="54"/>
        <v>102</v>
      </c>
      <c r="F104" s="683">
        <f t="shared" si="54"/>
        <v>101</v>
      </c>
      <c r="G104" s="683">
        <f t="shared" si="54"/>
        <v>101</v>
      </c>
      <c r="H104" s="683">
        <f t="shared" si="54"/>
        <v>97</v>
      </c>
      <c r="I104" s="683">
        <f t="shared" si="54"/>
        <v>97</v>
      </c>
      <c r="J104" s="683">
        <f t="shared" si="54"/>
        <v>98</v>
      </c>
      <c r="K104" s="683">
        <f t="shared" si="54"/>
        <v>97</v>
      </c>
      <c r="L104" s="683">
        <f t="shared" si="54"/>
        <v>95</v>
      </c>
      <c r="M104" s="683">
        <f t="shared" si="54"/>
        <v>94</v>
      </c>
      <c r="N104" s="683">
        <f t="shared" si="54"/>
        <v>89</v>
      </c>
      <c r="O104" s="683">
        <f t="shared" si="54"/>
        <v>86</v>
      </c>
      <c r="P104" s="684">
        <f t="shared" si="54"/>
        <v>86</v>
      </c>
      <c r="Q104" s="685">
        <f>SUBTOTAL(9,Q96,Q99,Q102)</f>
        <v>100</v>
      </c>
      <c r="R104" s="686">
        <f>+P104-Q104</f>
        <v>-14</v>
      </c>
      <c r="S104" s="687">
        <f>IFERROR(P104/O104-1,100%)</f>
        <v>0</v>
      </c>
      <c r="T104" s="685">
        <f t="shared" ref="T104:T105" si="55">SUBTOTAL(9,T96,T99,T102)</f>
        <v>116</v>
      </c>
      <c r="U104" s="656"/>
    </row>
    <row r="105" spans="1:21" ht="16.5" hidden="1" outlineLevel="1" thickBot="1">
      <c r="A105" s="688"/>
      <c r="B105" s="689"/>
      <c r="C105" s="690" t="s">
        <v>86</v>
      </c>
      <c r="D105" s="691">
        <f t="shared" si="54"/>
        <v>58.225063938618923</v>
      </c>
      <c r="E105" s="692">
        <f t="shared" si="54"/>
        <v>71.460199004975124</v>
      </c>
      <c r="F105" s="692">
        <f t="shared" si="54"/>
        <v>80.556213017751475</v>
      </c>
      <c r="G105" s="692">
        <f t="shared" si="54"/>
        <v>81.544554455445535</v>
      </c>
      <c r="H105" s="692">
        <f t="shared" si="54"/>
        <v>47.615384615384613</v>
      </c>
      <c r="I105" s="692">
        <f t="shared" si="54"/>
        <v>78.655352480417747</v>
      </c>
      <c r="J105" s="692">
        <f t="shared" si="54"/>
        <v>81.368171021377677</v>
      </c>
      <c r="K105" s="692">
        <f t="shared" si="54"/>
        <v>78.148648648648646</v>
      </c>
      <c r="L105" s="692">
        <f t="shared" si="54"/>
        <v>69.111386138613852</v>
      </c>
      <c r="M105" s="692">
        <f t="shared" si="54"/>
        <v>67.99751243781094</v>
      </c>
      <c r="N105" s="692">
        <f t="shared" si="54"/>
        <v>71.241573033707851</v>
      </c>
      <c r="O105" s="692">
        <f t="shared" si="54"/>
        <v>69.194528875379945</v>
      </c>
      <c r="P105" s="693">
        <f t="shared" si="54"/>
        <v>70.099009900990097</v>
      </c>
      <c r="Q105" s="694">
        <f>SUBTOTAL(9,Q97,Q100,Q103)</f>
        <v>80</v>
      </c>
      <c r="R105" s="695">
        <f>+P105-Q105</f>
        <v>-9.9009900990099027</v>
      </c>
      <c r="S105" s="696">
        <f>IFERROR(P105/O105-1,100%)</f>
        <v>1.3071568522984522E-2</v>
      </c>
      <c r="T105" s="694">
        <f t="shared" si="55"/>
        <v>94.539999999999992</v>
      </c>
      <c r="U105" s="656"/>
    </row>
    <row r="106" spans="1:21" hidden="1" outlineLevel="2">
      <c r="A106" s="650" t="s">
        <v>87</v>
      </c>
      <c r="B106" s="585" t="s">
        <v>2</v>
      </c>
      <c r="C106" s="651" t="s">
        <v>80</v>
      </c>
      <c r="D106" s="652"/>
      <c r="E106" s="653"/>
      <c r="F106" s="653"/>
      <c r="G106" s="653"/>
      <c r="H106" s="653"/>
      <c r="I106" s="653"/>
      <c r="J106" s="653"/>
      <c r="K106" s="653"/>
      <c r="L106" s="653"/>
      <c r="M106" s="653"/>
      <c r="N106" s="653"/>
      <c r="O106" s="653"/>
      <c r="P106" s="654"/>
      <c r="Q106" s="655"/>
      <c r="R106" s="589"/>
      <c r="S106" s="43"/>
      <c r="T106" s="655"/>
      <c r="U106" s="656"/>
    </row>
    <row r="107" spans="1:21" ht="30" hidden="1" outlineLevel="2">
      <c r="A107" s="657" t="s">
        <v>87</v>
      </c>
      <c r="B107" s="603" t="s">
        <v>2</v>
      </c>
      <c r="C107" s="658" t="s">
        <v>77</v>
      </c>
      <c r="D107" s="659"/>
      <c r="E107" s="660"/>
      <c r="F107" s="660"/>
      <c r="G107" s="660"/>
      <c r="H107" s="660"/>
      <c r="I107" s="660"/>
      <c r="J107" s="660"/>
      <c r="K107" s="660"/>
      <c r="L107" s="660"/>
      <c r="M107" s="660"/>
      <c r="N107" s="660"/>
      <c r="O107" s="660"/>
      <c r="P107" s="661"/>
      <c r="Q107" s="662"/>
      <c r="R107" s="608"/>
      <c r="S107" s="47"/>
      <c r="T107" s="662"/>
      <c r="U107" s="656"/>
    </row>
    <row r="108" spans="1:21" hidden="1" outlineLevel="2">
      <c r="A108" s="664" t="s">
        <v>87</v>
      </c>
      <c r="B108" s="1075"/>
      <c r="C108" s="665"/>
      <c r="D108" s="666"/>
      <c r="E108" s="667"/>
      <c r="F108" s="667"/>
      <c r="G108" s="667"/>
      <c r="H108" s="667"/>
      <c r="I108" s="667"/>
      <c r="J108" s="667"/>
      <c r="K108" s="667"/>
      <c r="L108" s="667"/>
      <c r="M108" s="667"/>
      <c r="N108" s="667"/>
      <c r="O108" s="667"/>
      <c r="P108" s="668"/>
      <c r="Q108" s="669"/>
      <c r="R108" s="670"/>
      <c r="S108" s="389"/>
      <c r="T108" s="669"/>
      <c r="U108" s="656"/>
    </row>
    <row r="109" spans="1:21" hidden="1" outlineLevel="2">
      <c r="A109" s="650" t="s">
        <v>87</v>
      </c>
      <c r="B109" s="585" t="s">
        <v>3</v>
      </c>
      <c r="C109" s="651" t="s">
        <v>80</v>
      </c>
      <c r="D109" s="652">
        <v>5</v>
      </c>
      <c r="E109" s="653">
        <v>8</v>
      </c>
      <c r="F109" s="653">
        <v>7</v>
      </c>
      <c r="G109" s="653">
        <v>8</v>
      </c>
      <c r="H109" s="653">
        <v>8</v>
      </c>
      <c r="I109" s="653">
        <v>12</v>
      </c>
      <c r="J109" s="653">
        <v>11</v>
      </c>
      <c r="K109" s="653">
        <v>11</v>
      </c>
      <c r="L109" s="653">
        <v>9</v>
      </c>
      <c r="M109" s="653">
        <v>9</v>
      </c>
      <c r="N109" s="653">
        <v>10</v>
      </c>
      <c r="O109" s="653">
        <v>10</v>
      </c>
      <c r="P109" s="654">
        <v>9</v>
      </c>
      <c r="Q109" s="655">
        <v>11</v>
      </c>
      <c r="R109" s="589">
        <f>+P109-Q109</f>
        <v>-2</v>
      </c>
      <c r="S109" s="43">
        <f>IFERROR(P109/O109-1,100%)</f>
        <v>-9.9999999999999978E-2</v>
      </c>
      <c r="T109" s="655">
        <v>10</v>
      </c>
      <c r="U109" s="656"/>
    </row>
    <row r="110" spans="1:21" ht="30" hidden="1" outlineLevel="2">
      <c r="A110" s="671" t="s">
        <v>87</v>
      </c>
      <c r="B110" s="1079" t="s">
        <v>3</v>
      </c>
      <c r="C110" s="672" t="s">
        <v>77</v>
      </c>
      <c r="D110" s="673">
        <v>3.0332480818414322</v>
      </c>
      <c r="E110" s="674">
        <v>5.2670025188916876</v>
      </c>
      <c r="F110" s="674">
        <v>6.1834319526627217</v>
      </c>
      <c r="G110" s="674">
        <v>7.6608910891089108</v>
      </c>
      <c r="H110" s="674">
        <v>6.017094017094017</v>
      </c>
      <c r="I110" s="674">
        <v>7.9373368146214096</v>
      </c>
      <c r="J110" s="674">
        <v>9</v>
      </c>
      <c r="K110" s="674">
        <v>8.1432432432432424</v>
      </c>
      <c r="L110" s="674">
        <v>6.3341584158415838</v>
      </c>
      <c r="M110" s="674">
        <v>5.5870646766169152</v>
      </c>
      <c r="N110" s="674">
        <v>7.8848314606741576</v>
      </c>
      <c r="O110" s="674">
        <v>7.2006079027355625</v>
      </c>
      <c r="P110" s="675">
        <v>8.2425742574257423</v>
      </c>
      <c r="Q110" s="676">
        <v>9.68</v>
      </c>
      <c r="R110" s="677">
        <f>+P110-Q110</f>
        <v>-1.4374257425742574</v>
      </c>
      <c r="S110" s="678">
        <f>IFERROR(P110/O110-1,100%)</f>
        <v>0.14470533165600208</v>
      </c>
      <c r="T110" s="676">
        <v>9</v>
      </c>
      <c r="U110" s="656"/>
    </row>
    <row r="111" spans="1:21" hidden="1" outlineLevel="2">
      <c r="A111" s="664" t="s">
        <v>87</v>
      </c>
      <c r="B111" s="1075"/>
      <c r="C111" s="665"/>
      <c r="D111" s="666"/>
      <c r="E111" s="667"/>
      <c r="F111" s="667"/>
      <c r="G111" s="667"/>
      <c r="H111" s="667"/>
      <c r="I111" s="667"/>
      <c r="J111" s="667"/>
      <c r="K111" s="667"/>
      <c r="L111" s="667"/>
      <c r="M111" s="667"/>
      <c r="N111" s="667"/>
      <c r="O111" s="667"/>
      <c r="P111" s="668"/>
      <c r="Q111" s="669"/>
      <c r="R111" s="670"/>
      <c r="S111" s="389"/>
      <c r="T111" s="669"/>
      <c r="U111" s="656"/>
    </row>
    <row r="112" spans="1:21" hidden="1" outlineLevel="2">
      <c r="A112" s="650" t="s">
        <v>87</v>
      </c>
      <c r="B112" s="585" t="s">
        <v>81</v>
      </c>
      <c r="C112" s="651" t="s">
        <v>80</v>
      </c>
      <c r="D112" s="652"/>
      <c r="E112" s="653"/>
      <c r="F112" s="653"/>
      <c r="G112" s="653"/>
      <c r="H112" s="653"/>
      <c r="I112" s="653"/>
      <c r="J112" s="653"/>
      <c r="K112" s="653"/>
      <c r="L112" s="653"/>
      <c r="M112" s="653"/>
      <c r="N112" s="653"/>
      <c r="O112" s="653"/>
      <c r="P112" s="654"/>
      <c r="Q112" s="655"/>
      <c r="R112" s="589"/>
      <c r="S112" s="43"/>
      <c r="T112" s="655"/>
      <c r="U112" s="656"/>
    </row>
    <row r="113" spans="1:21" ht="30" hidden="1" outlineLevel="2">
      <c r="A113" s="671" t="s">
        <v>87</v>
      </c>
      <c r="B113" s="1079" t="s">
        <v>81</v>
      </c>
      <c r="C113" s="672" t="s">
        <v>77</v>
      </c>
      <c r="D113" s="673"/>
      <c r="E113" s="674"/>
      <c r="F113" s="674"/>
      <c r="G113" s="674"/>
      <c r="H113" s="674"/>
      <c r="I113" s="674"/>
      <c r="J113" s="674"/>
      <c r="K113" s="674"/>
      <c r="L113" s="674"/>
      <c r="M113" s="674"/>
      <c r="N113" s="674"/>
      <c r="O113" s="674"/>
      <c r="P113" s="675"/>
      <c r="Q113" s="676"/>
      <c r="R113" s="698"/>
      <c r="S113" s="678"/>
      <c r="T113" s="676"/>
      <c r="U113" s="656"/>
    </row>
    <row r="114" spans="1:21" ht="15.75" hidden="1" outlineLevel="1" collapsed="1">
      <c r="A114" s="679"/>
      <c r="B114" s="680"/>
      <c r="C114" s="681" t="s">
        <v>92</v>
      </c>
      <c r="D114" s="682">
        <f t="shared" ref="D114:P115" si="56">SUBTOTAL(9,D106,D109,D112)</f>
        <v>5</v>
      </c>
      <c r="E114" s="683">
        <f t="shared" si="56"/>
        <v>8</v>
      </c>
      <c r="F114" s="683">
        <f t="shared" si="56"/>
        <v>7</v>
      </c>
      <c r="G114" s="683">
        <f t="shared" si="56"/>
        <v>8</v>
      </c>
      <c r="H114" s="683">
        <f t="shared" si="56"/>
        <v>8</v>
      </c>
      <c r="I114" s="683">
        <f t="shared" si="56"/>
        <v>12</v>
      </c>
      <c r="J114" s="683">
        <f t="shared" si="56"/>
        <v>11</v>
      </c>
      <c r="K114" s="683">
        <f t="shared" si="56"/>
        <v>11</v>
      </c>
      <c r="L114" s="683">
        <f t="shared" si="56"/>
        <v>9</v>
      </c>
      <c r="M114" s="683">
        <f t="shared" si="56"/>
        <v>9</v>
      </c>
      <c r="N114" s="683">
        <f t="shared" si="56"/>
        <v>10</v>
      </c>
      <c r="O114" s="683">
        <f t="shared" si="56"/>
        <v>10</v>
      </c>
      <c r="P114" s="684">
        <f t="shared" si="56"/>
        <v>9</v>
      </c>
      <c r="Q114" s="685">
        <f>SUBTOTAL(9,Q106,Q109,Q112)</f>
        <v>11</v>
      </c>
      <c r="R114" s="686">
        <f>+P114-Q114</f>
        <v>-2</v>
      </c>
      <c r="S114" s="687">
        <f>IFERROR(P114/O114-1,100%)</f>
        <v>-9.9999999999999978E-2</v>
      </c>
      <c r="T114" s="685">
        <f>SUBTOTAL(9,T106,T109,T112)</f>
        <v>10</v>
      </c>
      <c r="U114" s="656"/>
    </row>
    <row r="115" spans="1:21" ht="16.5" hidden="1" outlineLevel="1" thickBot="1">
      <c r="A115" s="688"/>
      <c r="B115" s="689"/>
      <c r="C115" s="690" t="s">
        <v>93</v>
      </c>
      <c r="D115" s="691">
        <f t="shared" si="56"/>
        <v>3.0332480818414322</v>
      </c>
      <c r="E115" s="692">
        <f t="shared" si="56"/>
        <v>5.2670025188916876</v>
      </c>
      <c r="F115" s="692">
        <f t="shared" si="56"/>
        <v>6.1834319526627217</v>
      </c>
      <c r="G115" s="692">
        <f t="shared" si="56"/>
        <v>7.6608910891089108</v>
      </c>
      <c r="H115" s="692">
        <f t="shared" si="56"/>
        <v>6.017094017094017</v>
      </c>
      <c r="I115" s="692">
        <f t="shared" si="56"/>
        <v>7.9373368146214096</v>
      </c>
      <c r="J115" s="692">
        <f t="shared" si="56"/>
        <v>9</v>
      </c>
      <c r="K115" s="692">
        <f t="shared" si="56"/>
        <v>8.1432432432432424</v>
      </c>
      <c r="L115" s="692">
        <f t="shared" si="56"/>
        <v>6.3341584158415838</v>
      </c>
      <c r="M115" s="692">
        <f t="shared" si="56"/>
        <v>5.5870646766169152</v>
      </c>
      <c r="N115" s="692">
        <f t="shared" si="56"/>
        <v>7.8848314606741576</v>
      </c>
      <c r="O115" s="692">
        <f t="shared" si="56"/>
        <v>7.2006079027355625</v>
      </c>
      <c r="P115" s="693">
        <f t="shared" si="56"/>
        <v>8.2425742574257423</v>
      </c>
      <c r="Q115" s="694">
        <f>SUBTOTAL(9,Q107,Q110,Q113)</f>
        <v>9.68</v>
      </c>
      <c r="R115" s="695">
        <f>+P115-Q115</f>
        <v>-1.4374257425742574</v>
      </c>
      <c r="S115" s="696">
        <f>IFERROR(P115/O115-1,100%)</f>
        <v>0.14470533165600208</v>
      </c>
      <c r="T115" s="694">
        <f>SUBTOTAL(9,T107,T110,T113)</f>
        <v>9</v>
      </c>
      <c r="U115" s="656"/>
    </row>
    <row r="116" spans="1:21" hidden="1" outlineLevel="2">
      <c r="A116" s="650" t="s">
        <v>88</v>
      </c>
      <c r="B116" s="585" t="s">
        <v>2</v>
      </c>
      <c r="C116" s="651" t="s">
        <v>80</v>
      </c>
      <c r="D116" s="652"/>
      <c r="E116" s="653"/>
      <c r="F116" s="653"/>
      <c r="G116" s="653"/>
      <c r="H116" s="653"/>
      <c r="I116" s="653"/>
      <c r="J116" s="653"/>
      <c r="K116" s="653"/>
      <c r="L116" s="653"/>
      <c r="M116" s="653"/>
      <c r="N116" s="653"/>
      <c r="O116" s="653"/>
      <c r="P116" s="654"/>
      <c r="Q116" s="655"/>
      <c r="R116" s="589"/>
      <c r="S116" s="43"/>
      <c r="T116" s="655"/>
      <c r="U116" s="656"/>
    </row>
    <row r="117" spans="1:21" ht="30" hidden="1" outlineLevel="2">
      <c r="A117" s="657" t="s">
        <v>88</v>
      </c>
      <c r="B117" s="603" t="s">
        <v>2</v>
      </c>
      <c r="C117" s="658" t="s">
        <v>77</v>
      </c>
      <c r="D117" s="659"/>
      <c r="E117" s="660"/>
      <c r="F117" s="660"/>
      <c r="G117" s="660"/>
      <c r="H117" s="660"/>
      <c r="I117" s="660"/>
      <c r="J117" s="660"/>
      <c r="K117" s="660"/>
      <c r="L117" s="660"/>
      <c r="M117" s="660"/>
      <c r="N117" s="660"/>
      <c r="O117" s="660"/>
      <c r="P117" s="661"/>
      <c r="Q117" s="662"/>
      <c r="R117" s="608"/>
      <c r="S117" s="47"/>
      <c r="T117" s="662"/>
      <c r="U117" s="656"/>
    </row>
    <row r="118" spans="1:21" hidden="1" outlineLevel="2">
      <c r="A118" s="664" t="s">
        <v>88</v>
      </c>
      <c r="B118" s="1075"/>
      <c r="C118" s="665"/>
      <c r="D118" s="666"/>
      <c r="E118" s="667"/>
      <c r="F118" s="667"/>
      <c r="G118" s="667"/>
      <c r="H118" s="667"/>
      <c r="I118" s="667"/>
      <c r="J118" s="667"/>
      <c r="K118" s="667"/>
      <c r="L118" s="667"/>
      <c r="M118" s="667"/>
      <c r="N118" s="667"/>
      <c r="O118" s="667"/>
      <c r="P118" s="668"/>
      <c r="Q118" s="669"/>
      <c r="R118" s="670"/>
      <c r="S118" s="389"/>
      <c r="T118" s="669"/>
      <c r="U118" s="656"/>
    </row>
    <row r="119" spans="1:21" hidden="1" outlineLevel="2">
      <c r="A119" s="650" t="s">
        <v>88</v>
      </c>
      <c r="B119" s="585" t="s">
        <v>3</v>
      </c>
      <c r="C119" s="651" t="s">
        <v>80</v>
      </c>
      <c r="D119" s="652"/>
      <c r="E119" s="653"/>
      <c r="F119" s="653"/>
      <c r="G119" s="653"/>
      <c r="H119" s="653"/>
      <c r="I119" s="653"/>
      <c r="J119" s="653"/>
      <c r="K119" s="653"/>
      <c r="L119" s="653"/>
      <c r="M119" s="653"/>
      <c r="N119" s="653"/>
      <c r="O119" s="653"/>
      <c r="P119" s="654"/>
      <c r="Q119" s="655"/>
      <c r="R119" s="589"/>
      <c r="S119" s="43"/>
      <c r="T119" s="655"/>
      <c r="U119" s="656"/>
    </row>
    <row r="120" spans="1:21" ht="30" hidden="1" outlineLevel="2">
      <c r="A120" s="671" t="s">
        <v>88</v>
      </c>
      <c r="B120" s="1079" t="s">
        <v>3</v>
      </c>
      <c r="C120" s="672" t="s">
        <v>77</v>
      </c>
      <c r="D120" s="673"/>
      <c r="E120" s="674"/>
      <c r="F120" s="674"/>
      <c r="G120" s="674"/>
      <c r="H120" s="674"/>
      <c r="I120" s="674"/>
      <c r="J120" s="674"/>
      <c r="K120" s="674"/>
      <c r="L120" s="674"/>
      <c r="M120" s="674"/>
      <c r="N120" s="674"/>
      <c r="O120" s="674"/>
      <c r="P120" s="675"/>
      <c r="Q120" s="676"/>
      <c r="R120" s="698"/>
      <c r="S120" s="678"/>
      <c r="T120" s="676"/>
      <c r="U120" s="656"/>
    </row>
    <row r="121" spans="1:21" hidden="1" outlineLevel="2">
      <c r="A121" s="664" t="s">
        <v>88</v>
      </c>
      <c r="B121" s="1075"/>
      <c r="C121" s="665"/>
      <c r="D121" s="666"/>
      <c r="E121" s="667"/>
      <c r="F121" s="667"/>
      <c r="G121" s="667"/>
      <c r="H121" s="667"/>
      <c r="I121" s="667"/>
      <c r="J121" s="667"/>
      <c r="K121" s="667"/>
      <c r="L121" s="667"/>
      <c r="M121" s="667"/>
      <c r="N121" s="667"/>
      <c r="O121" s="667"/>
      <c r="P121" s="668"/>
      <c r="Q121" s="669"/>
      <c r="R121" s="670"/>
      <c r="S121" s="389"/>
      <c r="T121" s="669"/>
      <c r="U121" s="656"/>
    </row>
    <row r="122" spans="1:21" hidden="1" outlineLevel="2">
      <c r="A122" s="650" t="s">
        <v>88</v>
      </c>
      <c r="B122" s="585" t="s">
        <v>81</v>
      </c>
      <c r="C122" s="651" t="s">
        <v>80</v>
      </c>
      <c r="D122" s="652">
        <v>3</v>
      </c>
      <c r="E122" s="653">
        <v>2</v>
      </c>
      <c r="F122" s="653">
        <v>2</v>
      </c>
      <c r="G122" s="653">
        <v>1</v>
      </c>
      <c r="H122" s="653">
        <v>1</v>
      </c>
      <c r="I122" s="653">
        <v>2</v>
      </c>
      <c r="J122" s="653">
        <v>2</v>
      </c>
      <c r="K122" s="653">
        <v>2</v>
      </c>
      <c r="L122" s="653">
        <v>2</v>
      </c>
      <c r="M122" s="653">
        <v>2</v>
      </c>
      <c r="N122" s="653">
        <v>2</v>
      </c>
      <c r="O122" s="653">
        <v>2</v>
      </c>
      <c r="P122" s="654">
        <v>2</v>
      </c>
      <c r="Q122" s="655">
        <v>2</v>
      </c>
      <c r="R122" s="589">
        <f t="shared" ref="R122:R127" si="57">+P122-Q122</f>
        <v>0</v>
      </c>
      <c r="S122" s="43">
        <f t="shared" ref="S122:S127" si="58">IFERROR(P122/O122-1,100%)</f>
        <v>0</v>
      </c>
      <c r="T122" s="655">
        <v>4</v>
      </c>
      <c r="U122" s="656"/>
    </row>
    <row r="123" spans="1:21" ht="30" hidden="1" outlineLevel="2">
      <c r="A123" s="671" t="s">
        <v>88</v>
      </c>
      <c r="B123" s="1079" t="s">
        <v>81</v>
      </c>
      <c r="C123" s="672" t="s">
        <v>77</v>
      </c>
      <c r="D123" s="673">
        <v>2.0434782608695654</v>
      </c>
      <c r="E123" s="674">
        <v>1.6815920398009949</v>
      </c>
      <c r="F123" s="674">
        <v>1.6538461538461537</v>
      </c>
      <c r="G123" s="674">
        <v>0.95544554455445541</v>
      </c>
      <c r="H123" s="674">
        <v>0.72649572649572647</v>
      </c>
      <c r="I123" s="674">
        <v>1.7989556135770235</v>
      </c>
      <c r="J123" s="674">
        <v>2</v>
      </c>
      <c r="K123" s="674">
        <v>1.9972972972972973</v>
      </c>
      <c r="L123" s="674">
        <v>1.7475247524752475</v>
      </c>
      <c r="M123" s="674">
        <v>1.6666666666666667</v>
      </c>
      <c r="N123" s="674">
        <v>1.901685393258427</v>
      </c>
      <c r="O123" s="674">
        <v>1.9574468085106382</v>
      </c>
      <c r="P123" s="675">
        <v>1.9876237623762376</v>
      </c>
      <c r="Q123" s="676">
        <v>1.6</v>
      </c>
      <c r="R123" s="677">
        <f t="shared" si="57"/>
        <v>0.38762376237623752</v>
      </c>
      <c r="S123" s="678">
        <f t="shared" si="58"/>
        <v>1.5416487300903947E-2</v>
      </c>
      <c r="T123" s="676">
        <v>2.4449999999999998</v>
      </c>
      <c r="U123" s="656"/>
    </row>
    <row r="124" spans="1:21" ht="15.75" hidden="1" outlineLevel="1" collapsed="1">
      <c r="A124" s="679"/>
      <c r="B124" s="680"/>
      <c r="C124" s="681" t="s">
        <v>94</v>
      </c>
      <c r="D124" s="682">
        <f t="shared" ref="D124:P125" si="59">SUBTOTAL(9,D116,D119,D122)</f>
        <v>3</v>
      </c>
      <c r="E124" s="683">
        <f t="shared" si="59"/>
        <v>2</v>
      </c>
      <c r="F124" s="683">
        <f t="shared" si="59"/>
        <v>2</v>
      </c>
      <c r="G124" s="683">
        <f t="shared" si="59"/>
        <v>1</v>
      </c>
      <c r="H124" s="683">
        <f t="shared" si="59"/>
        <v>1</v>
      </c>
      <c r="I124" s="683">
        <f t="shared" si="59"/>
        <v>2</v>
      </c>
      <c r="J124" s="683">
        <f t="shared" si="59"/>
        <v>2</v>
      </c>
      <c r="K124" s="683">
        <f t="shared" si="59"/>
        <v>2</v>
      </c>
      <c r="L124" s="683">
        <f t="shared" si="59"/>
        <v>2</v>
      </c>
      <c r="M124" s="683">
        <f t="shared" si="59"/>
        <v>2</v>
      </c>
      <c r="N124" s="683">
        <f t="shared" si="59"/>
        <v>2</v>
      </c>
      <c r="O124" s="683">
        <f t="shared" si="59"/>
        <v>2</v>
      </c>
      <c r="P124" s="684">
        <f t="shared" si="59"/>
        <v>2</v>
      </c>
      <c r="Q124" s="685">
        <f>SUBTOTAL(9,Q116,Q119,Q122)</f>
        <v>2</v>
      </c>
      <c r="R124" s="686">
        <f t="shared" si="57"/>
        <v>0</v>
      </c>
      <c r="S124" s="687">
        <f t="shared" si="58"/>
        <v>0</v>
      </c>
      <c r="T124" s="685">
        <f>SUBTOTAL(9,T116,T119,T122)</f>
        <v>4</v>
      </c>
      <c r="U124" s="656"/>
    </row>
    <row r="125" spans="1:21" ht="16.5" hidden="1" outlineLevel="1" thickBot="1">
      <c r="A125" s="688"/>
      <c r="B125" s="689"/>
      <c r="C125" s="690" t="s">
        <v>95</v>
      </c>
      <c r="D125" s="691">
        <f t="shared" si="59"/>
        <v>2.0434782608695654</v>
      </c>
      <c r="E125" s="692">
        <f t="shared" si="59"/>
        <v>1.6815920398009949</v>
      </c>
      <c r="F125" s="692">
        <f t="shared" si="59"/>
        <v>1.6538461538461537</v>
      </c>
      <c r="G125" s="692">
        <f t="shared" si="59"/>
        <v>0.95544554455445541</v>
      </c>
      <c r="H125" s="692">
        <f t="shared" si="59"/>
        <v>0.72649572649572647</v>
      </c>
      <c r="I125" s="692">
        <f t="shared" si="59"/>
        <v>1.7989556135770235</v>
      </c>
      <c r="J125" s="692">
        <f t="shared" si="59"/>
        <v>2</v>
      </c>
      <c r="K125" s="692">
        <f t="shared" si="59"/>
        <v>1.9972972972972973</v>
      </c>
      <c r="L125" s="692">
        <f t="shared" si="59"/>
        <v>1.7475247524752475</v>
      </c>
      <c r="M125" s="692">
        <f t="shared" si="59"/>
        <v>1.6666666666666667</v>
      </c>
      <c r="N125" s="692">
        <f t="shared" si="59"/>
        <v>1.901685393258427</v>
      </c>
      <c r="O125" s="692">
        <f t="shared" si="59"/>
        <v>1.9574468085106382</v>
      </c>
      <c r="P125" s="693">
        <f t="shared" si="59"/>
        <v>1.9876237623762376</v>
      </c>
      <c r="Q125" s="694">
        <f>SUBTOTAL(9,Q117,Q120,Q123)</f>
        <v>1.6</v>
      </c>
      <c r="R125" s="695">
        <f t="shared" si="57"/>
        <v>0.38762376237623752</v>
      </c>
      <c r="S125" s="696">
        <f t="shared" si="58"/>
        <v>1.5416487300903947E-2</v>
      </c>
      <c r="T125" s="694">
        <f>SUBTOTAL(9,T117,T120,T123)</f>
        <v>2.4449999999999998</v>
      </c>
      <c r="U125" s="656"/>
    </row>
    <row r="126" spans="1:21" hidden="1" outlineLevel="2">
      <c r="A126" s="650" t="s">
        <v>89</v>
      </c>
      <c r="B126" s="585" t="s">
        <v>2</v>
      </c>
      <c r="C126" s="651" t="s">
        <v>80</v>
      </c>
      <c r="D126" s="652">
        <v>1</v>
      </c>
      <c r="E126" s="653">
        <v>2</v>
      </c>
      <c r="F126" s="653">
        <v>2</v>
      </c>
      <c r="G126" s="653">
        <v>2</v>
      </c>
      <c r="H126" s="653">
        <v>2</v>
      </c>
      <c r="I126" s="653">
        <v>3</v>
      </c>
      <c r="J126" s="653">
        <v>3</v>
      </c>
      <c r="K126" s="653">
        <v>3</v>
      </c>
      <c r="L126" s="653">
        <v>3</v>
      </c>
      <c r="M126" s="653">
        <v>3</v>
      </c>
      <c r="N126" s="653">
        <v>3</v>
      </c>
      <c r="O126" s="653">
        <v>3</v>
      </c>
      <c r="P126" s="654">
        <v>3</v>
      </c>
      <c r="Q126" s="655">
        <v>5</v>
      </c>
      <c r="R126" s="589">
        <f t="shared" si="57"/>
        <v>-2</v>
      </c>
      <c r="S126" s="43">
        <f t="shared" si="58"/>
        <v>0</v>
      </c>
      <c r="T126" s="655">
        <v>4</v>
      </c>
      <c r="U126" s="656"/>
    </row>
    <row r="127" spans="1:21" ht="30" hidden="1" outlineLevel="2">
      <c r="A127" s="657" t="s">
        <v>89</v>
      </c>
      <c r="B127" s="603" t="s">
        <v>2</v>
      </c>
      <c r="C127" s="658" t="s">
        <v>77</v>
      </c>
      <c r="D127" s="659">
        <v>0.68797953964194369</v>
      </c>
      <c r="E127" s="660">
        <v>1.4303482587064678</v>
      </c>
      <c r="F127" s="660">
        <v>1.5621301775147929</v>
      </c>
      <c r="G127" s="660">
        <v>1.391089108910891</v>
      </c>
      <c r="H127" s="660">
        <v>0.72649572649572647</v>
      </c>
      <c r="I127" s="660">
        <v>0.57180156657963443</v>
      </c>
      <c r="J127" s="660">
        <v>0.95961995249406173</v>
      </c>
      <c r="K127" s="660">
        <v>1.8405405405405406</v>
      </c>
      <c r="L127" s="660">
        <v>1.5668316831683169</v>
      </c>
      <c r="M127" s="660">
        <v>1.3283582089552239</v>
      </c>
      <c r="N127" s="660">
        <v>1.4831460674157304</v>
      </c>
      <c r="O127" s="660">
        <v>0.80547112462006076</v>
      </c>
      <c r="P127" s="661">
        <v>2.3366336633663365</v>
      </c>
      <c r="Q127" s="662">
        <v>4</v>
      </c>
      <c r="R127" s="663">
        <f t="shared" si="57"/>
        <v>-1.6633663366336635</v>
      </c>
      <c r="S127" s="47">
        <f t="shared" si="58"/>
        <v>1.9009527367831121</v>
      </c>
      <c r="T127" s="662">
        <v>3.26</v>
      </c>
      <c r="U127" s="656"/>
    </row>
    <row r="128" spans="1:21" hidden="1" outlineLevel="2">
      <c r="A128" s="664" t="s">
        <v>89</v>
      </c>
      <c r="B128" s="1075"/>
      <c r="C128" s="665"/>
      <c r="D128" s="666"/>
      <c r="E128" s="667"/>
      <c r="F128" s="667"/>
      <c r="G128" s="667"/>
      <c r="H128" s="667"/>
      <c r="I128" s="667"/>
      <c r="J128" s="667"/>
      <c r="K128" s="667"/>
      <c r="L128" s="667"/>
      <c r="M128" s="667"/>
      <c r="N128" s="667"/>
      <c r="O128" s="667"/>
      <c r="P128" s="668"/>
      <c r="Q128" s="669"/>
      <c r="R128" s="670"/>
      <c r="S128" s="389"/>
      <c r="T128" s="669"/>
      <c r="U128" s="656"/>
    </row>
    <row r="129" spans="1:21" hidden="1" outlineLevel="2">
      <c r="A129" s="650" t="s">
        <v>89</v>
      </c>
      <c r="B129" s="585" t="s">
        <v>3</v>
      </c>
      <c r="C129" s="651" t="s">
        <v>80</v>
      </c>
      <c r="D129" s="652">
        <v>8</v>
      </c>
      <c r="E129" s="653">
        <v>5</v>
      </c>
      <c r="F129" s="653">
        <v>5</v>
      </c>
      <c r="G129" s="653">
        <v>5</v>
      </c>
      <c r="H129" s="653">
        <v>4</v>
      </c>
      <c r="I129" s="653">
        <v>6</v>
      </c>
      <c r="J129" s="653">
        <v>4</v>
      </c>
      <c r="K129" s="653">
        <v>4</v>
      </c>
      <c r="L129" s="653">
        <v>4</v>
      </c>
      <c r="M129" s="653">
        <v>4</v>
      </c>
      <c r="N129" s="653">
        <v>3</v>
      </c>
      <c r="O129" s="653">
        <v>3</v>
      </c>
      <c r="P129" s="654">
        <v>3</v>
      </c>
      <c r="Q129" s="697">
        <v>5</v>
      </c>
      <c r="R129" s="589">
        <f>+P129-Q129</f>
        <v>-2</v>
      </c>
      <c r="S129" s="43">
        <f>IFERROR(P129/O129-1,100%)</f>
        <v>0</v>
      </c>
      <c r="T129" s="655">
        <v>7</v>
      </c>
      <c r="U129" s="656"/>
    </row>
    <row r="130" spans="1:21" ht="30" hidden="1" outlineLevel="2">
      <c r="A130" s="671" t="s">
        <v>89</v>
      </c>
      <c r="B130" s="1079" t="s">
        <v>3</v>
      </c>
      <c r="C130" s="672" t="s">
        <v>77</v>
      </c>
      <c r="D130" s="673">
        <v>4.0409207161125318</v>
      </c>
      <c r="E130" s="674">
        <v>4.0223880597014929</v>
      </c>
      <c r="F130" s="674">
        <v>4.0443786982248522</v>
      </c>
      <c r="G130" s="674">
        <v>3.8465346534653464</v>
      </c>
      <c r="H130" s="674">
        <v>1.7435897435897436</v>
      </c>
      <c r="I130" s="674">
        <v>4.2693997071742311</v>
      </c>
      <c r="J130" s="674">
        <v>2.8764845605700713</v>
      </c>
      <c r="K130" s="674">
        <v>2.8513513513513513</v>
      </c>
      <c r="L130" s="674">
        <v>2.1856435643564356</v>
      </c>
      <c r="M130" s="674">
        <v>1.7263681592039801</v>
      </c>
      <c r="N130" s="674">
        <v>2.8005617977528088</v>
      </c>
      <c r="O130" s="674">
        <v>2.6231003039513676</v>
      </c>
      <c r="P130" s="675">
        <v>2</v>
      </c>
      <c r="Q130" s="676">
        <v>4</v>
      </c>
      <c r="R130" s="677">
        <f>+P130-Q130</f>
        <v>-2</v>
      </c>
      <c r="S130" s="678">
        <f>IFERROR(P130/O130-1,100%)</f>
        <v>-0.23754345307068359</v>
      </c>
      <c r="T130" s="676">
        <v>4.0750000000000002</v>
      </c>
      <c r="U130" s="656"/>
    </row>
    <row r="131" spans="1:21" hidden="1" outlineLevel="2">
      <c r="A131" s="664" t="s">
        <v>89</v>
      </c>
      <c r="B131" s="1075"/>
      <c r="C131" s="665"/>
      <c r="D131" s="666"/>
      <c r="E131" s="667"/>
      <c r="F131" s="667"/>
      <c r="G131" s="667"/>
      <c r="H131" s="667"/>
      <c r="I131" s="667"/>
      <c r="J131" s="667"/>
      <c r="K131" s="667"/>
      <c r="L131" s="667"/>
      <c r="M131" s="667"/>
      <c r="N131" s="667"/>
      <c r="O131" s="667"/>
      <c r="P131" s="668"/>
      <c r="Q131" s="669"/>
      <c r="R131" s="670"/>
      <c r="S131" s="389"/>
      <c r="T131" s="669"/>
      <c r="U131" s="656"/>
    </row>
    <row r="132" spans="1:21" hidden="1" outlineLevel="2">
      <c r="A132" s="650" t="s">
        <v>89</v>
      </c>
      <c r="B132" s="585" t="s">
        <v>81</v>
      </c>
      <c r="C132" s="651" t="s">
        <v>80</v>
      </c>
      <c r="D132" s="652"/>
      <c r="E132" s="653"/>
      <c r="F132" s="653"/>
      <c r="G132" s="653"/>
      <c r="H132" s="653"/>
      <c r="I132" s="653"/>
      <c r="J132" s="653"/>
      <c r="K132" s="653"/>
      <c r="L132" s="653"/>
      <c r="M132" s="653"/>
      <c r="N132" s="653"/>
      <c r="O132" s="653"/>
      <c r="P132" s="654"/>
      <c r="Q132" s="655"/>
      <c r="R132" s="589"/>
      <c r="S132" s="43"/>
      <c r="T132" s="655"/>
      <c r="U132" s="656"/>
    </row>
    <row r="133" spans="1:21" ht="30" hidden="1" outlineLevel="2">
      <c r="A133" s="671" t="s">
        <v>89</v>
      </c>
      <c r="B133" s="1079" t="s">
        <v>81</v>
      </c>
      <c r="C133" s="672" t="s">
        <v>77</v>
      </c>
      <c r="D133" s="673"/>
      <c r="E133" s="674"/>
      <c r="F133" s="674"/>
      <c r="G133" s="674"/>
      <c r="H133" s="674"/>
      <c r="I133" s="674"/>
      <c r="J133" s="674"/>
      <c r="K133" s="674"/>
      <c r="L133" s="674"/>
      <c r="M133" s="674"/>
      <c r="N133" s="674"/>
      <c r="O133" s="674"/>
      <c r="P133" s="675"/>
      <c r="Q133" s="676"/>
      <c r="R133" s="698"/>
      <c r="S133" s="678"/>
      <c r="T133" s="676"/>
      <c r="U133" s="656"/>
    </row>
    <row r="134" spans="1:21" ht="15.75" hidden="1" outlineLevel="1" collapsed="1">
      <c r="A134" s="679"/>
      <c r="B134" s="680"/>
      <c r="C134" s="681" t="s">
        <v>96</v>
      </c>
      <c r="D134" s="682">
        <f t="shared" ref="D134:P135" si="60">SUBTOTAL(9,D126,D129,D132)</f>
        <v>9</v>
      </c>
      <c r="E134" s="683">
        <f t="shared" si="60"/>
        <v>7</v>
      </c>
      <c r="F134" s="683">
        <f t="shared" si="60"/>
        <v>7</v>
      </c>
      <c r="G134" s="683">
        <f t="shared" si="60"/>
        <v>7</v>
      </c>
      <c r="H134" s="683">
        <f t="shared" si="60"/>
        <v>6</v>
      </c>
      <c r="I134" s="683">
        <f t="shared" si="60"/>
        <v>9</v>
      </c>
      <c r="J134" s="683">
        <f t="shared" si="60"/>
        <v>7</v>
      </c>
      <c r="K134" s="683">
        <f t="shared" si="60"/>
        <v>7</v>
      </c>
      <c r="L134" s="683">
        <f t="shared" si="60"/>
        <v>7</v>
      </c>
      <c r="M134" s="683">
        <f t="shared" si="60"/>
        <v>7</v>
      </c>
      <c r="N134" s="683">
        <f t="shared" si="60"/>
        <v>6</v>
      </c>
      <c r="O134" s="683">
        <f t="shared" si="60"/>
        <v>6</v>
      </c>
      <c r="P134" s="684">
        <f t="shared" si="60"/>
        <v>6</v>
      </c>
      <c r="Q134" s="685">
        <f>SUBTOTAL(9,Q126,Q129,Q132)</f>
        <v>10</v>
      </c>
      <c r="R134" s="686">
        <f>+P134-Q134</f>
        <v>-4</v>
      </c>
      <c r="S134" s="687">
        <f>IFERROR(P134/O134-1,100%)</f>
        <v>0</v>
      </c>
      <c r="T134" s="685">
        <f>SUBTOTAL(9,T126,T129,T132)</f>
        <v>11</v>
      </c>
      <c r="U134" s="656"/>
    </row>
    <row r="135" spans="1:21" ht="16.5" hidden="1" outlineLevel="1" thickBot="1">
      <c r="A135" s="688"/>
      <c r="B135" s="689"/>
      <c r="C135" s="690" t="s">
        <v>97</v>
      </c>
      <c r="D135" s="691">
        <f t="shared" si="60"/>
        <v>4.7289002557544757</v>
      </c>
      <c r="E135" s="692">
        <f t="shared" si="60"/>
        <v>5.4527363184079611</v>
      </c>
      <c r="F135" s="692">
        <f t="shared" si="60"/>
        <v>5.6065088757396451</v>
      </c>
      <c r="G135" s="692">
        <f t="shared" si="60"/>
        <v>5.2376237623762378</v>
      </c>
      <c r="H135" s="692">
        <f t="shared" si="60"/>
        <v>2.4700854700854702</v>
      </c>
      <c r="I135" s="692">
        <f t="shared" si="60"/>
        <v>4.8412012737538657</v>
      </c>
      <c r="J135" s="692">
        <f t="shared" si="60"/>
        <v>3.8361045130641331</v>
      </c>
      <c r="K135" s="692">
        <f t="shared" si="60"/>
        <v>4.6918918918918919</v>
      </c>
      <c r="L135" s="692">
        <f t="shared" si="60"/>
        <v>3.7524752475247523</v>
      </c>
      <c r="M135" s="692">
        <f t="shared" si="60"/>
        <v>3.0547263681592041</v>
      </c>
      <c r="N135" s="692">
        <f t="shared" si="60"/>
        <v>4.2837078651685392</v>
      </c>
      <c r="O135" s="692">
        <f t="shared" si="60"/>
        <v>3.4285714285714284</v>
      </c>
      <c r="P135" s="693">
        <f t="shared" si="60"/>
        <v>4.3366336633663369</v>
      </c>
      <c r="Q135" s="694">
        <f>SUBTOTAL(9,Q127,Q130,Q133)</f>
        <v>8</v>
      </c>
      <c r="R135" s="695">
        <f>+P135-Q135</f>
        <v>-3.6633663366336631</v>
      </c>
      <c r="S135" s="696">
        <f>IFERROR(P135/O135-1,100%)</f>
        <v>0.26485148514851509</v>
      </c>
      <c r="T135" s="694">
        <f>SUBTOTAL(9,T127,T130,T133)</f>
        <v>7.335</v>
      </c>
      <c r="U135" s="656"/>
    </row>
    <row r="136" spans="1:21" ht="15.75" hidden="1" outlineLevel="1">
      <c r="A136" s="699"/>
      <c r="B136" s="56"/>
      <c r="C136" s="56"/>
      <c r="D136" s="56"/>
      <c r="E136" s="56"/>
      <c r="F136" s="56"/>
      <c r="G136" s="56"/>
      <c r="H136" s="56"/>
      <c r="I136" s="56"/>
      <c r="J136" s="56"/>
      <c r="K136" s="56"/>
      <c r="L136" s="56"/>
      <c r="M136" s="699"/>
      <c r="N136" s="699"/>
      <c r="O136" s="699"/>
      <c r="P136" s="56"/>
      <c r="Q136" s="56"/>
      <c r="R136" s="56"/>
      <c r="S136" s="56"/>
      <c r="T136" s="56"/>
      <c r="U136" s="56"/>
    </row>
    <row r="137" spans="1:21" ht="16.5" hidden="1" outlineLevel="1" thickTop="1">
      <c r="A137" s="700" t="s">
        <v>90</v>
      </c>
      <c r="B137" s="700"/>
      <c r="C137" s="701"/>
      <c r="D137" s="702">
        <f t="shared" ref="D137:Q138" si="61">SUM(D134,D124,D114,D104,D94)</f>
        <v>130</v>
      </c>
      <c r="E137" s="703">
        <f t="shared" si="61"/>
        <v>127</v>
      </c>
      <c r="F137" s="703">
        <f t="shared" si="61"/>
        <v>125</v>
      </c>
      <c r="G137" s="703">
        <f t="shared" si="61"/>
        <v>125</v>
      </c>
      <c r="H137" s="703">
        <f t="shared" si="61"/>
        <v>120</v>
      </c>
      <c r="I137" s="703">
        <f t="shared" si="61"/>
        <v>128</v>
      </c>
      <c r="J137" s="703">
        <f t="shared" si="61"/>
        <v>127</v>
      </c>
      <c r="K137" s="703">
        <f t="shared" si="61"/>
        <v>127</v>
      </c>
      <c r="L137" s="703">
        <f t="shared" si="61"/>
        <v>123</v>
      </c>
      <c r="M137" s="703">
        <f t="shared" si="61"/>
        <v>122</v>
      </c>
      <c r="N137" s="703">
        <f t="shared" si="61"/>
        <v>116</v>
      </c>
      <c r="O137" s="703">
        <f t="shared" si="61"/>
        <v>112</v>
      </c>
      <c r="P137" s="704">
        <f t="shared" si="61"/>
        <v>111</v>
      </c>
      <c r="Q137" s="705">
        <f t="shared" si="61"/>
        <v>135</v>
      </c>
      <c r="R137" s="706">
        <f>+P137-Q137</f>
        <v>-24</v>
      </c>
      <c r="S137" s="707">
        <f>IFERROR(P137/O137-1,100%)</f>
        <v>-8.9285714285713969E-3</v>
      </c>
      <c r="T137" s="705">
        <f>SUM(T134,T124,T114,T104,T94)</f>
        <v>156</v>
      </c>
    </row>
    <row r="138" spans="1:21" ht="16.5" hidden="1" outlineLevel="1" thickBot="1">
      <c r="A138" s="708" t="s">
        <v>91</v>
      </c>
      <c r="B138" s="708"/>
      <c r="C138" s="709"/>
      <c r="D138" s="710">
        <f t="shared" si="61"/>
        <v>73.504156010230176</v>
      </c>
      <c r="E138" s="692">
        <f t="shared" si="61"/>
        <v>90.28004688046633</v>
      </c>
      <c r="F138" s="692">
        <f t="shared" si="61"/>
        <v>101.21005917159763</v>
      </c>
      <c r="G138" s="692">
        <f t="shared" si="61"/>
        <v>102.74009900990099</v>
      </c>
      <c r="H138" s="692">
        <f t="shared" si="61"/>
        <v>63.401709401709404</v>
      </c>
      <c r="I138" s="692">
        <f t="shared" si="61"/>
        <v>99.504386652343939</v>
      </c>
      <c r="J138" s="692">
        <f t="shared" si="61"/>
        <v>102.97014482752721</v>
      </c>
      <c r="K138" s="692">
        <f t="shared" si="61"/>
        <v>100.91621621621621</v>
      </c>
      <c r="L138" s="692">
        <f t="shared" si="61"/>
        <v>88.373762376237622</v>
      </c>
      <c r="M138" s="692">
        <f t="shared" si="61"/>
        <v>85.393034825870643</v>
      </c>
      <c r="N138" s="692">
        <f t="shared" si="61"/>
        <v>93.429775280898866</v>
      </c>
      <c r="O138" s="692">
        <f t="shared" si="61"/>
        <v>88.635258358662611</v>
      </c>
      <c r="P138" s="693">
        <f t="shared" si="61"/>
        <v>91.93564356435644</v>
      </c>
      <c r="Q138" s="711">
        <f t="shared" si="61"/>
        <v>110.08</v>
      </c>
      <c r="R138" s="712">
        <f>+P138-Q138</f>
        <v>-18.144356435643559</v>
      </c>
      <c r="S138" s="713">
        <f>IFERROR(P138/O138-1,100%)</f>
        <v>3.7235579461378787E-2</v>
      </c>
      <c r="T138" s="711">
        <f>SUM(T135,T125,T115,T105,T95)</f>
        <v>126.82</v>
      </c>
    </row>
    <row r="139" spans="1:21" hidden="1" outlineLevel="1">
      <c r="A139" s="21" t="s">
        <v>124</v>
      </c>
    </row>
    <row r="140" spans="1:21" hidden="1" outlineLevel="1">
      <c r="A140" s="21" t="s">
        <v>413</v>
      </c>
    </row>
    <row r="141" spans="1:21" collapsed="1"/>
    <row r="143" spans="1:21" ht="15.75">
      <c r="A143" s="1210" t="s">
        <v>414</v>
      </c>
      <c r="B143" s="1211"/>
    </row>
    <row r="144" spans="1:21" outlineLevel="1">
      <c r="A144" s="457" t="s">
        <v>415</v>
      </c>
      <c r="P144" s="1034"/>
    </row>
    <row r="145" spans="1:16" ht="15.75" outlineLevel="1">
      <c r="A145" s="714" t="s">
        <v>230</v>
      </c>
      <c r="B145" s="714"/>
      <c r="C145" s="714"/>
      <c r="D145" s="715" t="s">
        <v>360</v>
      </c>
      <c r="E145" s="716">
        <v>202510</v>
      </c>
      <c r="F145" s="716">
        <v>202511</v>
      </c>
      <c r="G145" s="716" t="s">
        <v>379</v>
      </c>
      <c r="H145" s="716" t="s">
        <v>392</v>
      </c>
      <c r="I145" s="716">
        <v>202602</v>
      </c>
      <c r="J145" s="716">
        <v>202603</v>
      </c>
      <c r="K145" s="716">
        <v>202604</v>
      </c>
      <c r="L145" s="716">
        <v>202605</v>
      </c>
      <c r="M145" s="716">
        <v>202606</v>
      </c>
      <c r="N145" s="716">
        <v>202607</v>
      </c>
      <c r="O145" s="716">
        <v>202608</v>
      </c>
      <c r="P145" s="715">
        <v>202609</v>
      </c>
    </row>
    <row r="146" spans="1:16" ht="15.75" outlineLevel="1">
      <c r="A146" s="717" t="s">
        <v>232</v>
      </c>
      <c r="B146" s="717"/>
      <c r="C146" s="717"/>
      <c r="D146" s="720">
        <v>26257.5</v>
      </c>
      <c r="E146" s="718">
        <v>29561.5</v>
      </c>
      <c r="F146" s="718">
        <v>25807.5</v>
      </c>
      <c r="G146" s="718">
        <v>24668</v>
      </c>
      <c r="H146" s="718">
        <v>23842</v>
      </c>
      <c r="I146" s="718">
        <v>23490.5</v>
      </c>
      <c r="J146" s="718">
        <v>21026</v>
      </c>
      <c r="K146" s="718">
        <v>26516</v>
      </c>
      <c r="L146" s="719">
        <v>21892.5</v>
      </c>
      <c r="M146" s="719">
        <v>26203</v>
      </c>
      <c r="N146" s="719">
        <v>26743</v>
      </c>
      <c r="O146" s="719">
        <v>12919.5</v>
      </c>
      <c r="P146" s="720">
        <v>27237.5</v>
      </c>
    </row>
    <row r="147" spans="1:16" outlineLevel="1">
      <c r="A147" s="721" t="s">
        <v>151</v>
      </c>
      <c r="B147" s="721"/>
      <c r="C147" s="721"/>
      <c r="D147" s="724">
        <v>24.5</v>
      </c>
      <c r="E147" s="722">
        <v>46.5</v>
      </c>
      <c r="F147" s="722">
        <v>24</v>
      </c>
      <c r="G147" s="722">
        <v>0</v>
      </c>
      <c r="H147" s="722">
        <v>60.5</v>
      </c>
      <c r="I147" s="722">
        <v>31</v>
      </c>
      <c r="J147" s="722">
        <v>0</v>
      </c>
      <c r="K147" s="722">
        <v>0</v>
      </c>
      <c r="L147" s="723">
        <v>3</v>
      </c>
      <c r="M147" s="723">
        <v>125</v>
      </c>
      <c r="N147" s="723">
        <v>2.5</v>
      </c>
      <c r="O147" s="723">
        <v>49</v>
      </c>
      <c r="P147" s="724">
        <v>305</v>
      </c>
    </row>
    <row r="148" spans="1:16" outlineLevel="1">
      <c r="A148" s="725" t="s">
        <v>152</v>
      </c>
      <c r="B148" s="725"/>
      <c r="C148" s="725"/>
      <c r="D148" s="728">
        <v>129</v>
      </c>
      <c r="E148" s="726">
        <v>179</v>
      </c>
      <c r="F148" s="726">
        <v>75</v>
      </c>
      <c r="G148" s="726">
        <v>0</v>
      </c>
      <c r="H148" s="726">
        <v>7</v>
      </c>
      <c r="I148" s="726">
        <v>40</v>
      </c>
      <c r="J148" s="726">
        <v>0</v>
      </c>
      <c r="K148" s="726">
        <v>30</v>
      </c>
      <c r="L148" s="727">
        <v>392</v>
      </c>
      <c r="M148" s="727">
        <v>705</v>
      </c>
      <c r="N148" s="727">
        <v>10.5</v>
      </c>
      <c r="O148" s="727">
        <v>13.5</v>
      </c>
      <c r="P148" s="728">
        <v>150</v>
      </c>
    </row>
    <row r="149" spans="1:16" ht="15.75" outlineLevel="1" thickBot="1">
      <c r="A149" s="725" t="s">
        <v>153</v>
      </c>
      <c r="B149" s="725"/>
      <c r="C149" s="725"/>
      <c r="D149" s="728">
        <v>71.5</v>
      </c>
      <c r="E149" s="726">
        <v>5.5</v>
      </c>
      <c r="F149" s="726">
        <v>11.5</v>
      </c>
      <c r="G149" s="726">
        <v>36</v>
      </c>
      <c r="H149" s="726">
        <v>44</v>
      </c>
      <c r="I149" s="726">
        <v>0</v>
      </c>
      <c r="J149" s="726">
        <v>96</v>
      </c>
      <c r="K149" s="726">
        <v>20</v>
      </c>
      <c r="L149" s="727">
        <v>165.5</v>
      </c>
      <c r="M149" s="727">
        <v>110</v>
      </c>
      <c r="N149" s="727">
        <v>7.5</v>
      </c>
      <c r="O149" s="727">
        <v>64</v>
      </c>
      <c r="P149" s="728">
        <v>12</v>
      </c>
    </row>
    <row r="150" spans="1:16" ht="15.75" outlineLevel="1">
      <c r="A150" s="729" t="s">
        <v>416</v>
      </c>
      <c r="B150" s="729"/>
      <c r="C150" s="729"/>
      <c r="D150" s="732">
        <v>26482.5</v>
      </c>
      <c r="E150" s="730">
        <v>29792.5</v>
      </c>
      <c r="F150" s="730">
        <v>25918</v>
      </c>
      <c r="G150" s="730">
        <v>24704</v>
      </c>
      <c r="H150" s="730">
        <v>23953.5</v>
      </c>
      <c r="I150" s="730">
        <v>23561.5</v>
      </c>
      <c r="J150" s="730">
        <v>21122</v>
      </c>
      <c r="K150" s="730">
        <v>26566</v>
      </c>
      <c r="L150" s="731">
        <v>22453</v>
      </c>
      <c r="M150" s="731">
        <v>27143</v>
      </c>
      <c r="N150" s="731">
        <v>26763.5</v>
      </c>
      <c r="O150" s="731">
        <v>13046</v>
      </c>
      <c r="P150" s="732">
        <v>27704.5</v>
      </c>
    </row>
    <row r="151" spans="1:16" outlineLevel="1">
      <c r="A151" s="733" t="s">
        <v>234</v>
      </c>
      <c r="B151" s="733"/>
      <c r="C151" s="733"/>
      <c r="D151" s="728">
        <v>225</v>
      </c>
      <c r="E151" s="726">
        <v>231</v>
      </c>
      <c r="F151" s="726">
        <v>110.5</v>
      </c>
      <c r="G151" s="726">
        <v>36</v>
      </c>
      <c r="H151" s="726">
        <v>111.5</v>
      </c>
      <c r="I151" s="726">
        <v>71</v>
      </c>
      <c r="J151" s="726">
        <v>96</v>
      </c>
      <c r="K151" s="726">
        <v>50</v>
      </c>
      <c r="L151" s="727">
        <v>560.5</v>
      </c>
      <c r="M151" s="727">
        <v>940</v>
      </c>
      <c r="N151" s="727">
        <v>20.5</v>
      </c>
      <c r="O151" s="727">
        <v>126.5</v>
      </c>
      <c r="P151" s="728">
        <v>467</v>
      </c>
    </row>
    <row r="152" spans="1:16" outlineLevel="1">
      <c r="A152" s="733" t="s">
        <v>262</v>
      </c>
      <c r="D152" s="736">
        <v>8.4961767204757861E-3</v>
      </c>
      <c r="E152" s="734">
        <v>7.7536292691113536E-3</v>
      </c>
      <c r="F152" s="734">
        <v>4.2634462535689486E-3</v>
      </c>
      <c r="G152" s="734">
        <v>1.4572538860103627E-3</v>
      </c>
      <c r="H152" s="734">
        <v>4.6548521092950922E-3</v>
      </c>
      <c r="I152" s="734">
        <v>3.0133904887210067E-3</v>
      </c>
      <c r="J152" s="734">
        <v>4.5450241454407731E-3</v>
      </c>
      <c r="K152" s="734">
        <v>1.8821049461717986E-3</v>
      </c>
      <c r="L152" s="735">
        <v>2.5000000000000001E-2</v>
      </c>
      <c r="M152" s="735">
        <v>3.5000000000000003E-2</v>
      </c>
      <c r="N152" s="735">
        <v>1E-3</v>
      </c>
      <c r="O152" s="735">
        <v>0.01</v>
      </c>
      <c r="P152" s="736">
        <v>1.7000000000000001E-2</v>
      </c>
    </row>
    <row r="155" spans="1:16" ht="15.75">
      <c r="A155" s="1210" t="s">
        <v>420</v>
      </c>
      <c r="B155" s="1211"/>
      <c r="C155" s="1211"/>
    </row>
    <row r="156" spans="1:16" outlineLevel="1">
      <c r="A156" s="457" t="s">
        <v>419</v>
      </c>
      <c r="P156" s="1034"/>
    </row>
    <row r="157" spans="1:16" ht="15.75" outlineLevel="1">
      <c r="D157" s="24">
        <v>45930</v>
      </c>
      <c r="E157" s="24">
        <v>45961</v>
      </c>
      <c r="F157" s="24">
        <v>45991</v>
      </c>
      <c r="G157" s="24">
        <v>46022</v>
      </c>
      <c r="H157" s="24">
        <v>46053</v>
      </c>
      <c r="I157" s="24">
        <v>46081</v>
      </c>
      <c r="J157" s="24">
        <v>46112</v>
      </c>
      <c r="K157" s="24">
        <v>46142</v>
      </c>
      <c r="L157" s="24">
        <v>46173</v>
      </c>
      <c r="M157" s="24">
        <v>46203</v>
      </c>
      <c r="N157" s="24">
        <v>46234</v>
      </c>
      <c r="O157" s="24">
        <v>46265</v>
      </c>
      <c r="P157" s="184">
        <v>46295</v>
      </c>
    </row>
    <row r="158" spans="1:16" outlineLevel="1">
      <c r="A158" s="737" t="s">
        <v>329</v>
      </c>
      <c r="B158" s="737"/>
      <c r="C158" s="737" t="s">
        <v>332</v>
      </c>
      <c r="D158" s="738">
        <v>4</v>
      </c>
      <c r="E158" s="738">
        <v>4</v>
      </c>
      <c r="F158" s="738">
        <v>8</v>
      </c>
      <c r="G158" s="738">
        <v>33</v>
      </c>
      <c r="H158" s="738">
        <v>0</v>
      </c>
      <c r="I158" s="738">
        <v>0</v>
      </c>
      <c r="J158" s="738">
        <v>0</v>
      </c>
      <c r="K158" s="738">
        <v>2</v>
      </c>
      <c r="L158" s="739">
        <v>7</v>
      </c>
      <c r="M158" s="739">
        <v>8</v>
      </c>
      <c r="N158" s="739">
        <v>14</v>
      </c>
      <c r="O158" s="739">
        <v>0</v>
      </c>
      <c r="P158" s="739">
        <v>1</v>
      </c>
    </row>
    <row r="159" spans="1:16" outlineLevel="1">
      <c r="A159" s="1212" t="s">
        <v>339</v>
      </c>
      <c r="B159" s="1212"/>
      <c r="C159" s="1212" t="s">
        <v>351</v>
      </c>
      <c r="D159" s="1213">
        <v>3</v>
      </c>
      <c r="E159" s="1213">
        <v>4</v>
      </c>
      <c r="F159" s="1213">
        <v>2</v>
      </c>
      <c r="G159" s="1213">
        <v>12</v>
      </c>
      <c r="H159" s="1213">
        <v>0</v>
      </c>
      <c r="I159" s="1213">
        <v>0</v>
      </c>
      <c r="J159" s="1213">
        <v>0</v>
      </c>
      <c r="K159" s="1213">
        <v>2</v>
      </c>
      <c r="L159" s="1214">
        <v>10</v>
      </c>
      <c r="M159" s="1214">
        <v>9</v>
      </c>
      <c r="N159" s="1214">
        <v>17</v>
      </c>
      <c r="O159" s="1214">
        <v>0</v>
      </c>
      <c r="P159" s="1214">
        <v>5</v>
      </c>
    </row>
    <row r="160" spans="1:16" outlineLevel="1">
      <c r="A160" s="1212" t="s">
        <v>330</v>
      </c>
      <c r="B160" s="1212"/>
      <c r="C160" s="1212" t="s">
        <v>352</v>
      </c>
      <c r="D160" s="1213">
        <v>18</v>
      </c>
      <c r="E160" s="1213">
        <v>24</v>
      </c>
      <c r="F160" s="1213">
        <v>12</v>
      </c>
      <c r="G160" s="1213">
        <v>72</v>
      </c>
      <c r="H160" s="1213">
        <v>0</v>
      </c>
      <c r="I160" s="1213">
        <v>0</v>
      </c>
      <c r="J160" s="1213">
        <v>0</v>
      </c>
      <c r="K160" s="1213">
        <v>16</v>
      </c>
      <c r="L160" s="1214">
        <v>20</v>
      </c>
      <c r="M160" s="1214">
        <v>32</v>
      </c>
      <c r="N160" s="1214">
        <v>42</v>
      </c>
      <c r="O160" s="1214">
        <v>0</v>
      </c>
      <c r="P160" s="1214">
        <v>40</v>
      </c>
    </row>
    <row r="161" spans="1:16" ht="15.75" outlineLevel="1">
      <c r="A161" s="1212" t="s">
        <v>331</v>
      </c>
      <c r="B161" s="1212"/>
      <c r="C161" s="1212" t="s">
        <v>333</v>
      </c>
      <c r="D161" s="1215">
        <v>0</v>
      </c>
      <c r="E161" s="1215">
        <v>0</v>
      </c>
      <c r="F161" s="1215">
        <v>0</v>
      </c>
      <c r="G161" s="1215">
        <v>600</v>
      </c>
      <c r="H161" s="1215">
        <v>0</v>
      </c>
      <c r="I161" s="1215">
        <v>0</v>
      </c>
      <c r="J161" s="1215">
        <v>0</v>
      </c>
      <c r="K161" s="1215">
        <v>400</v>
      </c>
      <c r="L161" s="1216">
        <v>1010</v>
      </c>
      <c r="M161" s="1216">
        <v>1160</v>
      </c>
      <c r="N161" s="1216">
        <v>1760</v>
      </c>
      <c r="O161" s="1216">
        <v>0</v>
      </c>
      <c r="P161" s="1216">
        <v>1380</v>
      </c>
    </row>
    <row r="162" spans="1:16" outlineLevel="1"/>
    <row r="163" spans="1:16" ht="15.75" outlineLevel="1">
      <c r="A163" s="740" t="s">
        <v>418</v>
      </c>
    </row>
    <row r="164" spans="1:16" ht="15.75" outlineLevel="1">
      <c r="A164" s="457" t="s">
        <v>417</v>
      </c>
      <c r="M164" s="741" t="s">
        <v>334</v>
      </c>
      <c r="N164" s="1072">
        <f>+COUNTIF(N167:N174,"Y")/COUNT(A167:A174)</f>
        <v>0.5</v>
      </c>
    </row>
    <row r="165" spans="1:16" outlineLevel="1">
      <c r="M165" s="649" t="s">
        <v>336</v>
      </c>
      <c r="N165" s="19">
        <f>+COUNTIF(N167:N182,"Y")</f>
        <v>4</v>
      </c>
    </row>
    <row r="166" spans="1:16" ht="15.75" outlineLevel="1">
      <c r="A166" s="1217" t="s">
        <v>388</v>
      </c>
      <c r="B166" s="1212"/>
      <c r="C166" s="1212"/>
      <c r="D166" s="1212"/>
      <c r="E166" s="1212"/>
      <c r="F166" s="1212"/>
      <c r="G166" s="1212"/>
      <c r="H166" s="1212"/>
      <c r="I166" s="1212"/>
      <c r="J166" s="1212"/>
      <c r="K166" s="1212"/>
      <c r="L166" s="1212"/>
      <c r="M166" s="1212"/>
      <c r="N166" s="1218" t="s">
        <v>335</v>
      </c>
    </row>
    <row r="167" spans="1:16" ht="15.75" outlineLevel="1">
      <c r="A167" s="1219">
        <v>1</v>
      </c>
      <c r="B167" s="1220" t="s">
        <v>446</v>
      </c>
      <c r="C167" s="1212"/>
      <c r="D167" s="1212"/>
      <c r="E167" s="1212"/>
      <c r="F167" s="1212"/>
      <c r="G167" s="1212"/>
      <c r="H167" s="1212"/>
      <c r="I167" s="1212"/>
      <c r="J167" s="1212"/>
      <c r="K167" s="1212"/>
      <c r="L167" s="1212"/>
      <c r="M167" s="1212"/>
      <c r="N167" s="1221"/>
    </row>
    <row r="168" spans="1:16" ht="15.75" outlineLevel="1">
      <c r="A168" s="1219">
        <v>2</v>
      </c>
      <c r="B168" s="1220" t="s">
        <v>447</v>
      </c>
      <c r="C168" s="1212"/>
      <c r="D168" s="1212"/>
      <c r="E168" s="1212"/>
      <c r="F168" s="1212"/>
      <c r="G168" s="1212"/>
      <c r="H168" s="1212"/>
      <c r="I168" s="1212"/>
      <c r="J168" s="1212"/>
      <c r="K168" s="1212"/>
      <c r="L168" s="1212"/>
      <c r="M168" s="1212"/>
      <c r="N168" s="1221"/>
    </row>
    <row r="169" spans="1:16" ht="15.75" outlineLevel="1">
      <c r="A169" s="1219">
        <v>3</v>
      </c>
      <c r="B169" s="1220" t="s">
        <v>448</v>
      </c>
      <c r="C169" s="1212"/>
      <c r="D169" s="1212"/>
      <c r="E169" s="1212"/>
      <c r="F169" s="1212"/>
      <c r="G169" s="1212"/>
      <c r="H169" s="1212"/>
      <c r="I169" s="1212"/>
      <c r="J169" s="1212"/>
      <c r="K169" s="1212"/>
      <c r="L169" s="1212"/>
      <c r="M169" s="1212"/>
      <c r="N169" s="1221"/>
    </row>
    <row r="170" spans="1:16" ht="15.75" outlineLevel="1">
      <c r="A170" s="1219">
        <v>4</v>
      </c>
      <c r="B170" s="1220" t="s">
        <v>449</v>
      </c>
      <c r="C170" s="1212"/>
      <c r="D170" s="1212"/>
      <c r="E170" s="1212"/>
      <c r="F170" s="1212"/>
      <c r="G170" s="1212"/>
      <c r="H170" s="1212"/>
      <c r="I170" s="1212"/>
      <c r="J170" s="1212"/>
      <c r="K170" s="1212"/>
      <c r="L170" s="1212"/>
      <c r="M170" s="1212"/>
      <c r="N170" s="1221"/>
    </row>
    <row r="171" spans="1:16" ht="15.75" outlineLevel="1">
      <c r="A171" s="1219">
        <v>5</v>
      </c>
      <c r="B171" s="1220" t="s">
        <v>476</v>
      </c>
      <c r="C171" s="1212"/>
      <c r="D171" s="1212"/>
      <c r="E171" s="1212"/>
      <c r="F171" s="1212"/>
      <c r="G171" s="1212"/>
      <c r="H171" s="1212"/>
      <c r="I171" s="1212"/>
      <c r="J171" s="1212"/>
      <c r="K171" s="1212"/>
      <c r="L171" s="1212"/>
      <c r="M171" s="1212"/>
      <c r="N171" s="1221" t="s">
        <v>477</v>
      </c>
    </row>
    <row r="172" spans="1:16" ht="15.75" outlineLevel="1">
      <c r="A172" s="1219">
        <v>6</v>
      </c>
      <c r="B172" s="1220" t="s">
        <v>491</v>
      </c>
      <c r="C172" s="1212"/>
      <c r="D172" s="1212"/>
      <c r="E172" s="1212"/>
      <c r="F172" s="1212"/>
      <c r="G172" s="1212"/>
      <c r="H172" s="1212"/>
      <c r="I172" s="1212"/>
      <c r="J172" s="1212"/>
      <c r="K172" s="1212"/>
      <c r="L172" s="1212"/>
      <c r="M172" s="1212"/>
      <c r="N172" s="1221" t="s">
        <v>477</v>
      </c>
    </row>
    <row r="173" spans="1:16" ht="15.75" outlineLevel="1">
      <c r="A173" s="1219">
        <v>7</v>
      </c>
      <c r="B173" s="1220" t="s">
        <v>492</v>
      </c>
      <c r="C173" s="1212"/>
      <c r="D173" s="1212"/>
      <c r="E173" s="1212"/>
      <c r="F173" s="1212"/>
      <c r="G173" s="1212"/>
      <c r="H173" s="1212"/>
      <c r="I173" s="1212"/>
      <c r="J173" s="1212"/>
      <c r="K173" s="1212"/>
      <c r="L173" s="1212"/>
      <c r="M173" s="1212"/>
      <c r="N173" s="1221" t="s">
        <v>477</v>
      </c>
    </row>
    <row r="174" spans="1:16" ht="15.75" outlineLevel="1">
      <c r="A174" s="1219">
        <v>8</v>
      </c>
      <c r="B174" s="1220" t="s">
        <v>493</v>
      </c>
      <c r="C174" s="1212"/>
      <c r="D174" s="1212"/>
      <c r="E174" s="1212"/>
      <c r="F174" s="1212"/>
      <c r="G174" s="1212"/>
      <c r="H174" s="1212"/>
      <c r="I174" s="1212"/>
      <c r="J174" s="1212"/>
      <c r="K174" s="1212"/>
      <c r="L174" s="1212"/>
      <c r="M174" s="1212"/>
      <c r="N174" s="1221" t="s">
        <v>477</v>
      </c>
    </row>
    <row r="175" spans="1:16" ht="15.75" outlineLevel="1">
      <c r="A175" s="1219">
        <v>9</v>
      </c>
      <c r="B175" s="1220"/>
      <c r="C175" s="1212"/>
      <c r="D175" s="1212"/>
      <c r="E175" s="1212"/>
      <c r="F175" s="1212"/>
      <c r="G175" s="1212"/>
      <c r="H175" s="1212"/>
      <c r="I175" s="1212"/>
      <c r="J175" s="1212"/>
      <c r="K175" s="1212"/>
      <c r="L175" s="1212"/>
      <c r="M175" s="1212"/>
      <c r="N175" s="1221"/>
    </row>
    <row r="176" spans="1:16" ht="15.75" outlineLevel="1">
      <c r="A176" s="1219">
        <v>10</v>
      </c>
      <c r="B176" s="1220"/>
      <c r="C176" s="1212"/>
      <c r="D176" s="1212"/>
      <c r="E176" s="1212"/>
      <c r="F176" s="1212"/>
      <c r="G176" s="1212"/>
      <c r="H176" s="1212"/>
      <c r="I176" s="1212"/>
      <c r="J176" s="1212"/>
      <c r="K176" s="1212"/>
      <c r="L176" s="1212"/>
      <c r="M176" s="1212"/>
      <c r="N176" s="1221"/>
    </row>
    <row r="177" spans="1:14" ht="15.75" outlineLevel="1">
      <c r="A177" s="1219">
        <v>11</v>
      </c>
      <c r="B177" s="1220"/>
      <c r="C177" s="1212"/>
      <c r="D177" s="1212"/>
      <c r="E177" s="1212"/>
      <c r="F177" s="1212"/>
      <c r="G177" s="1212"/>
      <c r="H177" s="1212"/>
      <c r="I177" s="1212"/>
      <c r="J177" s="1212"/>
      <c r="K177" s="1212"/>
      <c r="L177" s="1212"/>
      <c r="M177" s="1212"/>
      <c r="N177" s="1221"/>
    </row>
    <row r="178" spans="1:14" ht="15.75" outlineLevel="1">
      <c r="A178" s="1219">
        <v>12</v>
      </c>
      <c r="B178" s="1220"/>
      <c r="C178" s="1212"/>
      <c r="D178" s="1212"/>
      <c r="E178" s="1212"/>
      <c r="F178" s="1212"/>
      <c r="G178" s="1212"/>
      <c r="H178" s="1212"/>
      <c r="I178" s="1212"/>
      <c r="J178" s="1212"/>
      <c r="K178" s="1212"/>
      <c r="L178" s="1212"/>
      <c r="M178" s="1212"/>
      <c r="N178" s="1221"/>
    </row>
    <row r="179" spans="1:14" ht="15.75" outlineLevel="1">
      <c r="A179" s="1219">
        <v>13</v>
      </c>
      <c r="B179" s="1220"/>
      <c r="C179" s="1212"/>
      <c r="D179" s="1212"/>
      <c r="E179" s="1212"/>
      <c r="F179" s="1212"/>
      <c r="G179" s="1212"/>
      <c r="H179" s="1212"/>
      <c r="I179" s="1212"/>
      <c r="J179" s="1212"/>
      <c r="K179" s="1212"/>
      <c r="L179" s="1212"/>
      <c r="M179" s="1212"/>
      <c r="N179" s="1221"/>
    </row>
    <row r="180" spans="1:14" ht="15.75" outlineLevel="1">
      <c r="A180" s="1219">
        <v>14</v>
      </c>
      <c r="B180" s="1220"/>
      <c r="C180" s="1212"/>
      <c r="D180" s="1212"/>
      <c r="E180" s="1212"/>
      <c r="F180" s="1212"/>
      <c r="G180" s="1212"/>
      <c r="H180" s="1212"/>
      <c r="I180" s="1212"/>
      <c r="J180" s="1212"/>
      <c r="K180" s="1212"/>
      <c r="L180" s="1212"/>
      <c r="M180" s="1212"/>
      <c r="N180" s="1221"/>
    </row>
    <row r="181" spans="1:14" ht="15.75" outlineLevel="1">
      <c r="A181" s="1219">
        <v>15</v>
      </c>
      <c r="B181" s="1220"/>
      <c r="C181" s="1212"/>
      <c r="D181" s="1212"/>
      <c r="E181" s="1212"/>
      <c r="F181" s="1212"/>
      <c r="G181" s="1212"/>
      <c r="H181" s="1212"/>
      <c r="I181" s="1212"/>
      <c r="J181" s="1212"/>
      <c r="K181" s="1212"/>
      <c r="L181" s="1212"/>
      <c r="M181" s="1212"/>
      <c r="N181" s="1221"/>
    </row>
    <row r="182" spans="1:14" ht="15.75" outlineLevel="1">
      <c r="A182" s="1219">
        <v>16</v>
      </c>
      <c r="B182" s="1220"/>
      <c r="C182" s="1212"/>
      <c r="D182" s="1212"/>
      <c r="E182" s="1212"/>
      <c r="F182" s="1212"/>
      <c r="G182" s="1212"/>
      <c r="H182" s="1212"/>
      <c r="I182" s="1212"/>
      <c r="J182" s="1212"/>
      <c r="K182" s="1212"/>
      <c r="L182" s="1212"/>
      <c r="M182" s="1212"/>
      <c r="N182" s="1221"/>
    </row>
  </sheetData>
  <autoFilter ref="A85:C135" xr:uid="{00000000-0009-0000-0000-000002000000}"/>
  <mergeCells count="6">
    <mergeCell ref="AL40:AN40"/>
    <mergeCell ref="D40:H40"/>
    <mergeCell ref="L40:P40"/>
    <mergeCell ref="V40:Y40"/>
    <mergeCell ref="AB40:AE40"/>
    <mergeCell ref="AI40:AK40"/>
  </mergeCells>
  <printOptions horizontalCentered="1"/>
  <pageMargins left="0" right="0" top="0" bottom="0" header="0" footer="0"/>
  <pageSetup paperSize="9" scale="2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801EC-8AFB-479A-BDB2-463DBDF975FB}">
  <sheetPr>
    <tabColor rgb="FF99FF33"/>
  </sheetPr>
  <dimension ref="A1:K14"/>
  <sheetViews>
    <sheetView showGridLines="0" zoomScale="90" zoomScaleNormal="90" zoomScaleSheetLayoutView="100" workbookViewId="0">
      <selection activeCell="K13" sqref="K13"/>
    </sheetView>
  </sheetViews>
  <sheetFormatPr baseColWidth="10" defaultColWidth="8.5703125" defaultRowHeight="12.75"/>
  <cols>
    <col min="1" max="6" width="8.5703125" style="1201"/>
    <col min="7" max="7" width="11.140625" style="1201" customWidth="1"/>
    <col min="8" max="8" width="8.5703125" style="1201"/>
    <col min="9" max="9" width="12" style="1201" customWidth="1"/>
    <col min="10" max="10" width="8.5703125" style="1201"/>
    <col min="11" max="11" width="89.140625" style="1201" customWidth="1"/>
    <col min="12" max="16384" width="8.5703125" style="1201"/>
  </cols>
  <sheetData>
    <row r="1" spans="1:11" ht="38.25">
      <c r="A1" s="1198" t="s">
        <v>398</v>
      </c>
      <c r="B1" s="1198" t="s">
        <v>399</v>
      </c>
      <c r="C1" s="1198" t="s">
        <v>396</v>
      </c>
      <c r="D1" s="1198" t="s">
        <v>397</v>
      </c>
      <c r="E1" s="1198" t="s">
        <v>404</v>
      </c>
      <c r="F1" s="1198" t="s">
        <v>494</v>
      </c>
      <c r="G1" s="1198" t="s">
        <v>400</v>
      </c>
      <c r="H1" s="1198" t="s">
        <v>451</v>
      </c>
      <c r="I1" s="1198" t="s">
        <v>401</v>
      </c>
      <c r="J1" s="1199" t="s">
        <v>402</v>
      </c>
      <c r="K1" s="1198" t="s">
        <v>450</v>
      </c>
    </row>
    <row r="2" spans="1:11" ht="36" customHeight="1">
      <c r="A2" s="1205" t="s">
        <v>342</v>
      </c>
      <c r="B2" s="1200">
        <v>120</v>
      </c>
      <c r="C2" s="1200">
        <v>2</v>
      </c>
      <c r="D2" s="1200">
        <v>10</v>
      </c>
      <c r="E2" s="1200"/>
      <c r="F2" s="1200"/>
      <c r="G2" s="1200">
        <f t="shared" ref="G2:G13" si="0">+B2+C2-D2-E2+F2</f>
        <v>112</v>
      </c>
      <c r="H2" s="1200">
        <v>120</v>
      </c>
      <c r="I2" s="1202">
        <f t="shared" ref="I2:I13" si="1">+G2/H2</f>
        <v>0.93333333333333335</v>
      </c>
      <c r="J2" s="1200">
        <f t="shared" ref="J2:J13" si="2">+G2-H2</f>
        <v>-8</v>
      </c>
      <c r="K2" s="1204"/>
    </row>
    <row r="3" spans="1:11" ht="36" customHeight="1">
      <c r="A3" s="1205" t="s">
        <v>343</v>
      </c>
      <c r="B3" s="1200">
        <f t="shared" ref="B3:B13" si="3">+G2</f>
        <v>112</v>
      </c>
      <c r="C3" s="1200">
        <v>4</v>
      </c>
      <c r="D3" s="1200">
        <v>3</v>
      </c>
      <c r="E3" s="1200"/>
      <c r="F3" s="1200"/>
      <c r="G3" s="1200">
        <f t="shared" si="0"/>
        <v>113</v>
      </c>
      <c r="H3" s="1200">
        <v>120</v>
      </c>
      <c r="I3" s="1202">
        <f t="shared" si="1"/>
        <v>0.94166666666666665</v>
      </c>
      <c r="J3" s="1200">
        <f t="shared" si="2"/>
        <v>-7</v>
      </c>
      <c r="K3" s="1204"/>
    </row>
    <row r="4" spans="1:11" ht="36" customHeight="1">
      <c r="A4" s="1205" t="s">
        <v>344</v>
      </c>
      <c r="B4" s="1200">
        <f t="shared" si="3"/>
        <v>113</v>
      </c>
      <c r="C4" s="1200">
        <v>0</v>
      </c>
      <c r="D4" s="1200">
        <v>5</v>
      </c>
      <c r="E4" s="1200">
        <v>1</v>
      </c>
      <c r="F4" s="1200"/>
      <c r="G4" s="1200">
        <f t="shared" si="0"/>
        <v>107</v>
      </c>
      <c r="H4" s="1200">
        <v>123</v>
      </c>
      <c r="I4" s="1202">
        <f t="shared" si="1"/>
        <v>0.86991869918699183</v>
      </c>
      <c r="J4" s="1200">
        <f t="shared" si="2"/>
        <v>-16</v>
      </c>
      <c r="K4" s="1204" t="s">
        <v>495</v>
      </c>
    </row>
    <row r="5" spans="1:11" ht="36" customHeight="1">
      <c r="A5" s="1205" t="s">
        <v>347</v>
      </c>
      <c r="B5" s="1200">
        <f t="shared" si="3"/>
        <v>107</v>
      </c>
      <c r="C5" s="1200">
        <v>4</v>
      </c>
      <c r="D5" s="1200">
        <v>3</v>
      </c>
      <c r="E5" s="1200"/>
      <c r="F5" s="1200"/>
      <c r="G5" s="1200">
        <f t="shared" si="0"/>
        <v>108</v>
      </c>
      <c r="H5" s="1200">
        <v>129</v>
      </c>
      <c r="I5" s="1202">
        <f t="shared" si="1"/>
        <v>0.83720930232558144</v>
      </c>
      <c r="J5" s="1200">
        <f t="shared" si="2"/>
        <v>-21</v>
      </c>
      <c r="K5" s="1204"/>
    </row>
    <row r="6" spans="1:11" ht="36" customHeight="1">
      <c r="A6" s="1205" t="s">
        <v>345</v>
      </c>
      <c r="B6" s="1200">
        <f t="shared" si="3"/>
        <v>108</v>
      </c>
      <c r="C6" s="1200">
        <v>1</v>
      </c>
      <c r="D6" s="1200"/>
      <c r="E6" s="1200"/>
      <c r="F6" s="1200"/>
      <c r="G6" s="1200">
        <f t="shared" si="0"/>
        <v>109</v>
      </c>
      <c r="H6" s="1200">
        <v>134</v>
      </c>
      <c r="I6" s="1202">
        <f t="shared" si="1"/>
        <v>0.81343283582089554</v>
      </c>
      <c r="J6" s="1200">
        <f t="shared" si="2"/>
        <v>-25</v>
      </c>
      <c r="K6" s="1204"/>
    </row>
    <row r="7" spans="1:11" ht="36" customHeight="1">
      <c r="A7" s="1205" t="s">
        <v>354</v>
      </c>
      <c r="B7" s="1200">
        <f t="shared" si="3"/>
        <v>109</v>
      </c>
      <c r="C7" s="1200">
        <v>7</v>
      </c>
      <c r="D7" s="1200">
        <v>1</v>
      </c>
      <c r="E7" s="1200">
        <v>1</v>
      </c>
      <c r="F7" s="1200">
        <v>1</v>
      </c>
      <c r="G7" s="1200">
        <f t="shared" si="0"/>
        <v>115</v>
      </c>
      <c r="H7" s="1200">
        <v>135</v>
      </c>
      <c r="I7" s="1202">
        <f t="shared" si="1"/>
        <v>0.85185185185185186</v>
      </c>
      <c r="J7" s="1200">
        <f t="shared" si="2"/>
        <v>-20</v>
      </c>
      <c r="K7" s="1204" t="s">
        <v>496</v>
      </c>
    </row>
    <row r="8" spans="1:11" ht="36" customHeight="1">
      <c r="A8" s="1205" t="s">
        <v>355</v>
      </c>
      <c r="B8" s="1200">
        <f t="shared" si="3"/>
        <v>115</v>
      </c>
      <c r="C8" s="1200">
        <v>9</v>
      </c>
      <c r="D8" s="1200">
        <v>1</v>
      </c>
      <c r="E8" s="1200"/>
      <c r="F8" s="1200">
        <v>1</v>
      </c>
      <c r="G8" s="1200">
        <f t="shared" si="0"/>
        <v>124</v>
      </c>
      <c r="H8" s="1200">
        <v>135</v>
      </c>
      <c r="I8" s="1202">
        <f t="shared" si="1"/>
        <v>0.91851851851851851</v>
      </c>
      <c r="J8" s="1200">
        <f t="shared" si="2"/>
        <v>-11</v>
      </c>
      <c r="K8" s="1204" t="s">
        <v>497</v>
      </c>
    </row>
    <row r="9" spans="1:11" ht="36" customHeight="1">
      <c r="A9" s="1205" t="s">
        <v>358</v>
      </c>
      <c r="B9" s="1200">
        <f t="shared" si="3"/>
        <v>124</v>
      </c>
      <c r="C9" s="1200">
        <v>2</v>
      </c>
      <c r="D9" s="1200">
        <v>5</v>
      </c>
      <c r="E9" s="1200"/>
      <c r="F9" s="1200"/>
      <c r="G9" s="1200">
        <f t="shared" si="0"/>
        <v>121</v>
      </c>
      <c r="H9" s="1200">
        <v>135</v>
      </c>
      <c r="I9" s="1202">
        <f t="shared" si="1"/>
        <v>0.89629629629629626</v>
      </c>
      <c r="J9" s="1200">
        <f t="shared" si="2"/>
        <v>-14</v>
      </c>
      <c r="K9" s="1204"/>
    </row>
    <row r="10" spans="1:11" ht="36" customHeight="1">
      <c r="A10" s="1205" t="s">
        <v>361</v>
      </c>
      <c r="B10" s="1200">
        <f t="shared" si="3"/>
        <v>121</v>
      </c>
      <c r="C10" s="1200">
        <v>6</v>
      </c>
      <c r="D10" s="1200">
        <v>6</v>
      </c>
      <c r="E10" s="1200"/>
      <c r="F10" s="1200"/>
      <c r="G10" s="1200">
        <f t="shared" si="0"/>
        <v>121</v>
      </c>
      <c r="H10" s="1200">
        <v>135</v>
      </c>
      <c r="I10" s="1202">
        <f t="shared" si="1"/>
        <v>0.89629629629629626</v>
      </c>
      <c r="J10" s="1200">
        <f t="shared" si="2"/>
        <v>-14</v>
      </c>
      <c r="K10" s="1204"/>
    </row>
    <row r="11" spans="1:11" ht="36" customHeight="1">
      <c r="A11" s="1205" t="s">
        <v>362</v>
      </c>
      <c r="B11" s="1200">
        <f t="shared" si="3"/>
        <v>121</v>
      </c>
      <c r="C11" s="1200"/>
      <c r="D11" s="1200"/>
      <c r="E11" s="1200"/>
      <c r="F11" s="1200"/>
      <c r="G11" s="1200">
        <f t="shared" si="0"/>
        <v>121</v>
      </c>
      <c r="H11" s="1200">
        <v>135</v>
      </c>
      <c r="I11" s="1202">
        <f t="shared" si="1"/>
        <v>0.89629629629629626</v>
      </c>
      <c r="J11" s="1200">
        <f t="shared" si="2"/>
        <v>-14</v>
      </c>
      <c r="K11" s="1204"/>
    </row>
    <row r="12" spans="1:11" ht="36" customHeight="1">
      <c r="A12" s="1205" t="s">
        <v>395</v>
      </c>
      <c r="B12" s="1200">
        <f t="shared" si="3"/>
        <v>121</v>
      </c>
      <c r="C12" s="1200"/>
      <c r="D12" s="1200"/>
      <c r="E12" s="1200"/>
      <c r="F12" s="1200"/>
      <c r="G12" s="1200">
        <f t="shared" si="0"/>
        <v>121</v>
      </c>
      <c r="H12" s="1200">
        <v>135</v>
      </c>
      <c r="I12" s="1202">
        <f t="shared" si="1"/>
        <v>0.89629629629629626</v>
      </c>
      <c r="J12" s="1200">
        <f t="shared" si="2"/>
        <v>-14</v>
      </c>
      <c r="K12" s="1204"/>
    </row>
    <row r="13" spans="1:11" ht="36" customHeight="1">
      <c r="A13" s="1205" t="s">
        <v>365</v>
      </c>
      <c r="B13" s="1200">
        <f t="shared" si="3"/>
        <v>121</v>
      </c>
      <c r="C13" s="1200"/>
      <c r="D13" s="1200"/>
      <c r="E13" s="1200"/>
      <c r="F13" s="1200"/>
      <c r="G13" s="1200">
        <f t="shared" si="0"/>
        <v>121</v>
      </c>
      <c r="H13" s="1200">
        <v>135</v>
      </c>
      <c r="I13" s="1202">
        <f t="shared" si="1"/>
        <v>0.89629629629629626</v>
      </c>
      <c r="J13" s="1200">
        <f t="shared" si="2"/>
        <v>-14</v>
      </c>
      <c r="K13" s="1204"/>
    </row>
    <row r="14" spans="1:11">
      <c r="I14" s="1203"/>
    </row>
  </sheetData>
  <printOptions horizontalCentered="1"/>
  <pageMargins left="0" right="0" top="0" bottom="0" header="0" footer="0"/>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F0A6D-280F-424E-963D-08C745FDFC0F}">
  <sheetPr>
    <tabColor rgb="FF99FF33"/>
  </sheetPr>
  <dimension ref="A1:T60"/>
  <sheetViews>
    <sheetView showGridLines="0" tabSelected="1" zoomScale="70" zoomScaleNormal="70" workbookViewId="0">
      <selection activeCell="F69" sqref="F69"/>
    </sheetView>
  </sheetViews>
  <sheetFormatPr baseColWidth="10" defaultColWidth="8.85546875" defaultRowHeight="18.75" customHeight="1"/>
  <cols>
    <col min="1" max="1" width="14.42578125" style="248" bestFit="1" customWidth="1"/>
    <col min="2" max="2" width="40.7109375" style="248" bestFit="1" customWidth="1"/>
    <col min="3" max="9" width="11.42578125" style="248" bestFit="1" customWidth="1"/>
    <col min="10" max="10" width="10.28515625" style="248" bestFit="1" customWidth="1"/>
    <col min="11" max="20" width="11.42578125" style="248" bestFit="1" customWidth="1"/>
    <col min="21" max="16384" width="8.85546875" style="248"/>
  </cols>
  <sheetData>
    <row r="1" spans="1:20" ht="18.75" customHeight="1" thickBot="1">
      <c r="B1" s="1194" t="s">
        <v>229</v>
      </c>
      <c r="C1" s="1195"/>
      <c r="D1" s="1195"/>
      <c r="E1" s="1150"/>
      <c r="F1" s="1150"/>
      <c r="G1" s="1150"/>
      <c r="H1" s="1150"/>
      <c r="I1" s="1150"/>
      <c r="J1" s="1150"/>
      <c r="K1" s="1150"/>
      <c r="L1" s="1150"/>
      <c r="M1" s="1150"/>
      <c r="N1" s="1150"/>
    </row>
    <row r="2" spans="1:20" ht="18.75" customHeight="1">
      <c r="B2" s="249"/>
      <c r="C2" s="249"/>
      <c r="D2" s="249"/>
      <c r="E2" s="249"/>
      <c r="F2" s="249"/>
      <c r="G2" s="249"/>
      <c r="H2" s="249"/>
      <c r="I2" s="249"/>
      <c r="J2" s="249"/>
      <c r="K2" s="249"/>
      <c r="L2" s="249"/>
      <c r="M2" s="249"/>
      <c r="N2" s="249"/>
      <c r="O2" s="418"/>
      <c r="P2" s="418"/>
      <c r="Q2" s="418"/>
      <c r="R2" s="418"/>
      <c r="S2" s="418"/>
      <c r="T2" s="418"/>
    </row>
    <row r="3" spans="1:20" ht="18.75" customHeight="1">
      <c r="A3" s="264" t="s">
        <v>259</v>
      </c>
      <c r="B3" s="250" t="s">
        <v>230</v>
      </c>
      <c r="C3" s="251" t="s">
        <v>328</v>
      </c>
      <c r="D3" s="251" t="s">
        <v>337</v>
      </c>
      <c r="E3" s="251" t="s">
        <v>341</v>
      </c>
      <c r="F3" s="251" t="s">
        <v>346</v>
      </c>
      <c r="G3" s="251" t="s">
        <v>348</v>
      </c>
      <c r="H3" s="251" t="s">
        <v>353</v>
      </c>
      <c r="I3" s="251" t="s">
        <v>356</v>
      </c>
      <c r="J3" s="251" t="s">
        <v>359</v>
      </c>
      <c r="K3" s="251" t="s">
        <v>360</v>
      </c>
      <c r="L3" s="251" t="s">
        <v>363</v>
      </c>
      <c r="M3" s="251" t="s">
        <v>364</v>
      </c>
      <c r="N3" s="251" t="s">
        <v>379</v>
      </c>
      <c r="O3" s="251" t="s">
        <v>392</v>
      </c>
      <c r="P3" s="251" t="s">
        <v>394</v>
      </c>
      <c r="Q3" s="251" t="s">
        <v>405</v>
      </c>
      <c r="R3" s="251" t="s">
        <v>474</v>
      </c>
      <c r="S3" s="251" t="s">
        <v>498</v>
      </c>
      <c r="T3" s="251" t="s">
        <v>499</v>
      </c>
    </row>
    <row r="4" spans="1:20" ht="18.75" customHeight="1">
      <c r="A4" s="1100">
        <f>SUM(O4:Z4)</f>
        <v>168623</v>
      </c>
      <c r="B4" s="1151" t="s">
        <v>231</v>
      </c>
      <c r="C4" s="308">
        <v>35186</v>
      </c>
      <c r="D4" s="308">
        <v>31851.5</v>
      </c>
      <c r="E4" s="308">
        <v>28203</v>
      </c>
      <c r="F4" s="308">
        <v>31774.5</v>
      </c>
      <c r="G4" s="308">
        <v>32422.5</v>
      </c>
      <c r="H4" s="308">
        <v>28239</v>
      </c>
      <c r="I4" s="308">
        <v>33153.5</v>
      </c>
      <c r="J4" s="308">
        <v>10444.5</v>
      </c>
      <c r="K4" s="308">
        <v>31287</v>
      </c>
      <c r="L4" s="308">
        <v>34724.5</v>
      </c>
      <c r="M4" s="308">
        <v>30948</v>
      </c>
      <c r="N4" s="308">
        <v>32506.5</v>
      </c>
      <c r="O4" s="387">
        <v>30654</v>
      </c>
      <c r="P4" s="387">
        <v>27728</v>
      </c>
      <c r="Q4" s="387">
        <v>24817.5</v>
      </c>
      <c r="R4" s="387">
        <v>30334.5</v>
      </c>
      <c r="S4" s="387">
        <v>25010</v>
      </c>
      <c r="T4" s="387">
        <v>30079</v>
      </c>
    </row>
    <row r="5" spans="1:20" ht="18.75" customHeight="1">
      <c r="A5" s="204">
        <f t="shared" ref="A5:A13" si="0">SUM(O5:Z5)</f>
        <v>142970</v>
      </c>
      <c r="B5" s="252" t="s">
        <v>232</v>
      </c>
      <c r="C5" s="309">
        <v>30578</v>
      </c>
      <c r="D5" s="309">
        <v>27764</v>
      </c>
      <c r="E5" s="309">
        <v>19899</v>
      </c>
      <c r="F5" s="309">
        <v>18771</v>
      </c>
      <c r="G5" s="309">
        <v>23784</v>
      </c>
      <c r="H5" s="309">
        <v>23249</v>
      </c>
      <c r="I5" s="309">
        <v>28405.5</v>
      </c>
      <c r="J5" s="309">
        <v>6313.5</v>
      </c>
      <c r="K5" s="309">
        <v>26257.5</v>
      </c>
      <c r="L5" s="309">
        <v>29561.5</v>
      </c>
      <c r="M5" s="309">
        <v>25807.5</v>
      </c>
      <c r="N5" s="309">
        <v>24668</v>
      </c>
      <c r="O5" s="385">
        <v>23842</v>
      </c>
      <c r="P5" s="385">
        <v>23490.5</v>
      </c>
      <c r="Q5" s="385">
        <v>21026</v>
      </c>
      <c r="R5" s="385">
        <v>26516</v>
      </c>
      <c r="S5" s="385">
        <v>21892.5</v>
      </c>
      <c r="T5" s="385">
        <v>26203</v>
      </c>
    </row>
    <row r="6" spans="1:20" ht="18.75" customHeight="1">
      <c r="A6" s="1100">
        <f t="shared" si="0"/>
        <v>923</v>
      </c>
      <c r="B6" s="1152" t="s">
        <v>80</v>
      </c>
      <c r="C6" s="310">
        <v>179</v>
      </c>
      <c r="D6" s="310">
        <v>177</v>
      </c>
      <c r="E6" s="310">
        <v>174</v>
      </c>
      <c r="F6" s="310">
        <v>167</v>
      </c>
      <c r="G6" s="310">
        <v>164</v>
      </c>
      <c r="H6" s="310">
        <v>165</v>
      </c>
      <c r="I6" s="310">
        <v>168</v>
      </c>
      <c r="J6" s="310">
        <v>161</v>
      </c>
      <c r="K6" s="310">
        <v>169</v>
      </c>
      <c r="L6" s="310">
        <v>169</v>
      </c>
      <c r="M6" s="310">
        <v>168</v>
      </c>
      <c r="N6" s="310">
        <v>161</v>
      </c>
      <c r="O6" s="419">
        <v>162</v>
      </c>
      <c r="P6" s="419">
        <v>155</v>
      </c>
      <c r="Q6" s="419">
        <v>151</v>
      </c>
      <c r="R6" s="419">
        <v>151</v>
      </c>
      <c r="S6" s="419">
        <v>148</v>
      </c>
      <c r="T6" s="419">
        <v>156</v>
      </c>
    </row>
    <row r="7" spans="1:20" ht="18.75" customHeight="1">
      <c r="A7" s="1100">
        <f t="shared" si="0"/>
        <v>1105</v>
      </c>
      <c r="B7" s="1152" t="s">
        <v>139</v>
      </c>
      <c r="C7" s="308">
        <v>202</v>
      </c>
      <c r="D7" s="308">
        <v>185</v>
      </c>
      <c r="E7" s="308">
        <v>168</v>
      </c>
      <c r="F7" s="308">
        <v>195.5</v>
      </c>
      <c r="G7" s="308">
        <v>201</v>
      </c>
      <c r="H7" s="308">
        <v>169</v>
      </c>
      <c r="I7" s="308">
        <v>202</v>
      </c>
      <c r="J7" s="308">
        <v>58.5</v>
      </c>
      <c r="K7" s="308">
        <v>191.5</v>
      </c>
      <c r="L7" s="308">
        <v>210.5</v>
      </c>
      <c r="M7" s="308">
        <v>185</v>
      </c>
      <c r="N7" s="308">
        <v>202</v>
      </c>
      <c r="O7" s="387">
        <v>201</v>
      </c>
      <c r="P7" s="387">
        <v>178</v>
      </c>
      <c r="Q7" s="387">
        <v>164.5</v>
      </c>
      <c r="R7" s="387">
        <v>202</v>
      </c>
      <c r="S7" s="387">
        <v>166</v>
      </c>
      <c r="T7" s="387">
        <v>193.5</v>
      </c>
    </row>
    <row r="8" spans="1:20" ht="18.75" customHeight="1" thickBot="1">
      <c r="A8" s="204">
        <f t="shared" si="0"/>
        <v>776.96952325080213</v>
      </c>
      <c r="B8" s="253" t="s">
        <v>77</v>
      </c>
      <c r="C8" s="311">
        <v>151.37623762376236</v>
      </c>
      <c r="D8" s="311">
        <v>150.07567567567568</v>
      </c>
      <c r="E8" s="311">
        <v>118.44642857142857</v>
      </c>
      <c r="F8" s="311">
        <v>96.015345268542205</v>
      </c>
      <c r="G8" s="311">
        <v>118.32835820895522</v>
      </c>
      <c r="H8" s="311">
        <v>137.5680473372781</v>
      </c>
      <c r="I8" s="311">
        <v>140.62128712871288</v>
      </c>
      <c r="J8" s="311">
        <v>107.92307692307692</v>
      </c>
      <c r="K8" s="311">
        <v>137.11488250652741</v>
      </c>
      <c r="L8" s="311">
        <v>140.43467933491686</v>
      </c>
      <c r="M8" s="311">
        <v>139.5</v>
      </c>
      <c r="N8" s="311">
        <v>122.11881188118812</v>
      </c>
      <c r="O8" s="420">
        <v>118.61691542288557</v>
      </c>
      <c r="P8" s="420">
        <v>131.96910112359549</v>
      </c>
      <c r="Q8" s="420">
        <v>127.81762917933131</v>
      </c>
      <c r="R8" s="420">
        <v>131.26732673267327</v>
      </c>
      <c r="S8" s="420">
        <v>131.88253012048193</v>
      </c>
      <c r="T8" s="420">
        <v>135.41602067183462</v>
      </c>
    </row>
    <row r="9" spans="1:20" ht="18.75" customHeight="1">
      <c r="A9" s="1100">
        <f t="shared" si="0"/>
        <v>219.5</v>
      </c>
      <c r="B9" s="1153" t="s">
        <v>151</v>
      </c>
      <c r="C9" s="312">
        <v>0</v>
      </c>
      <c r="D9" s="312">
        <v>1.5</v>
      </c>
      <c r="E9" s="312">
        <v>220.5</v>
      </c>
      <c r="F9" s="312">
        <v>609.5</v>
      </c>
      <c r="G9" s="312">
        <v>87.5</v>
      </c>
      <c r="H9" s="312">
        <v>4.5</v>
      </c>
      <c r="I9" s="312">
        <v>1</v>
      </c>
      <c r="J9" s="312">
        <v>218.5</v>
      </c>
      <c r="K9" s="312">
        <v>24.5</v>
      </c>
      <c r="L9" s="312">
        <v>46.5</v>
      </c>
      <c r="M9" s="312">
        <v>24</v>
      </c>
      <c r="N9" s="312">
        <v>0</v>
      </c>
      <c r="O9" s="386">
        <v>60.5</v>
      </c>
      <c r="P9" s="386">
        <v>31</v>
      </c>
      <c r="Q9" s="386">
        <v>0</v>
      </c>
      <c r="R9" s="386">
        <v>0</v>
      </c>
      <c r="S9" s="386">
        <v>3</v>
      </c>
      <c r="T9" s="386">
        <v>125</v>
      </c>
    </row>
    <row r="10" spans="1:20" ht="18.75" customHeight="1">
      <c r="A10" s="1100">
        <f t="shared" si="0"/>
        <v>1174</v>
      </c>
      <c r="B10" s="1151" t="s">
        <v>152</v>
      </c>
      <c r="C10" s="308">
        <v>7.5</v>
      </c>
      <c r="D10" s="308">
        <v>24</v>
      </c>
      <c r="E10" s="308">
        <v>0</v>
      </c>
      <c r="F10" s="308">
        <v>28.5</v>
      </c>
      <c r="G10" s="308">
        <v>38.5</v>
      </c>
      <c r="H10" s="308">
        <v>0</v>
      </c>
      <c r="I10" s="308">
        <v>0</v>
      </c>
      <c r="J10" s="308">
        <v>206</v>
      </c>
      <c r="K10" s="308">
        <v>129</v>
      </c>
      <c r="L10" s="308">
        <v>179</v>
      </c>
      <c r="M10" s="308">
        <v>75</v>
      </c>
      <c r="N10" s="308">
        <v>0</v>
      </c>
      <c r="O10" s="387">
        <v>7</v>
      </c>
      <c r="P10" s="387">
        <v>40</v>
      </c>
      <c r="Q10" s="387">
        <v>0</v>
      </c>
      <c r="R10" s="387">
        <v>30</v>
      </c>
      <c r="S10" s="387">
        <v>392</v>
      </c>
      <c r="T10" s="387">
        <v>705</v>
      </c>
    </row>
    <row r="11" spans="1:20" ht="18.75" customHeight="1" thickBot="1">
      <c r="A11" s="1100">
        <f t="shared" si="0"/>
        <v>435.5</v>
      </c>
      <c r="B11" s="1151" t="s">
        <v>153</v>
      </c>
      <c r="C11" s="308">
        <v>64</v>
      </c>
      <c r="D11" s="308">
        <v>5</v>
      </c>
      <c r="E11" s="308">
        <v>5</v>
      </c>
      <c r="F11" s="308">
        <v>10.5</v>
      </c>
      <c r="G11" s="308"/>
      <c r="H11" s="308">
        <v>245.5</v>
      </c>
      <c r="I11" s="308">
        <v>48</v>
      </c>
      <c r="J11" s="308">
        <v>57.5</v>
      </c>
      <c r="K11" s="308">
        <v>71.5</v>
      </c>
      <c r="L11" s="308">
        <v>5.5</v>
      </c>
      <c r="M11" s="308">
        <v>11.5</v>
      </c>
      <c r="N11" s="308">
        <v>36</v>
      </c>
      <c r="O11" s="387">
        <v>44</v>
      </c>
      <c r="P11" s="387"/>
      <c r="Q11" s="387">
        <v>96</v>
      </c>
      <c r="R11" s="387">
        <v>20</v>
      </c>
      <c r="S11" s="387">
        <v>165.5</v>
      </c>
      <c r="T11" s="387">
        <v>110</v>
      </c>
    </row>
    <row r="12" spans="1:20" ht="18.75" customHeight="1">
      <c r="A12" s="204">
        <f t="shared" si="0"/>
        <v>144799</v>
      </c>
      <c r="B12" s="254" t="s">
        <v>233</v>
      </c>
      <c r="C12" s="313">
        <v>30649.5</v>
      </c>
      <c r="D12" s="313">
        <v>27794.5</v>
      </c>
      <c r="E12" s="313">
        <v>20124.5</v>
      </c>
      <c r="F12" s="313">
        <v>19419.5</v>
      </c>
      <c r="G12" s="313">
        <v>23910</v>
      </c>
      <c r="H12" s="313">
        <v>23499</v>
      </c>
      <c r="I12" s="313">
        <v>28454.5</v>
      </c>
      <c r="J12" s="313">
        <v>6795.5</v>
      </c>
      <c r="K12" s="313">
        <v>26482.5</v>
      </c>
      <c r="L12" s="313">
        <v>29792.5</v>
      </c>
      <c r="M12" s="313">
        <v>25918</v>
      </c>
      <c r="N12" s="313">
        <v>24704</v>
      </c>
      <c r="O12" s="388">
        <v>23953.5</v>
      </c>
      <c r="P12" s="388">
        <v>23561.5</v>
      </c>
      <c r="Q12" s="388">
        <v>21122</v>
      </c>
      <c r="R12" s="388">
        <v>26566</v>
      </c>
      <c r="S12" s="388">
        <v>22453</v>
      </c>
      <c r="T12" s="388">
        <v>27143</v>
      </c>
    </row>
    <row r="13" spans="1:20" ht="18.75" customHeight="1">
      <c r="A13" s="1100">
        <f t="shared" si="0"/>
        <v>1829</v>
      </c>
      <c r="B13" s="1152" t="s">
        <v>234</v>
      </c>
      <c r="C13" s="308">
        <v>71.5</v>
      </c>
      <c r="D13" s="308">
        <v>30.5</v>
      </c>
      <c r="E13" s="308">
        <v>225.5</v>
      </c>
      <c r="F13" s="308">
        <v>648.5</v>
      </c>
      <c r="G13" s="308">
        <v>126</v>
      </c>
      <c r="H13" s="308">
        <v>250</v>
      </c>
      <c r="I13" s="308">
        <v>49</v>
      </c>
      <c r="J13" s="308">
        <v>482</v>
      </c>
      <c r="K13" s="308">
        <v>225</v>
      </c>
      <c r="L13" s="308">
        <v>231</v>
      </c>
      <c r="M13" s="308">
        <v>110.5</v>
      </c>
      <c r="N13" s="308">
        <v>36</v>
      </c>
      <c r="O13" s="387">
        <v>111.5</v>
      </c>
      <c r="P13" s="387">
        <v>71</v>
      </c>
      <c r="Q13" s="387">
        <f t="shared" ref="Q13:R13" si="1">SUM(Q9:Q11)</f>
        <v>96</v>
      </c>
      <c r="R13" s="387">
        <f t="shared" si="1"/>
        <v>50</v>
      </c>
      <c r="S13" s="387">
        <v>560.5</v>
      </c>
      <c r="T13" s="387">
        <v>940</v>
      </c>
    </row>
    <row r="14" spans="1:20" ht="18.75" customHeight="1">
      <c r="A14" s="1088">
        <f>+A13/A12</f>
        <v>1.263130270236673E-2</v>
      </c>
      <c r="B14" s="1152" t="s">
        <v>262</v>
      </c>
      <c r="C14" s="314">
        <v>2.3328276154586537E-3</v>
      </c>
      <c r="D14" s="314">
        <v>1.0973394016801886E-3</v>
      </c>
      <c r="E14" s="314">
        <v>1.1205247335337523E-2</v>
      </c>
      <c r="F14" s="314">
        <v>3.3394268647493501E-2</v>
      </c>
      <c r="G14" s="314">
        <v>5.269761606022585E-3</v>
      </c>
      <c r="H14" s="314">
        <v>1.0638750585131283E-2</v>
      </c>
      <c r="I14" s="314">
        <v>1.7220474793090725E-3</v>
      </c>
      <c r="J14" s="314">
        <v>7.0929291442866596E-2</v>
      </c>
      <c r="K14" s="314">
        <v>8.4961767204757861E-3</v>
      </c>
      <c r="L14" s="314">
        <v>7.7536292691113536E-3</v>
      </c>
      <c r="M14" s="314">
        <v>4.2634462535689486E-3</v>
      </c>
      <c r="N14" s="314">
        <v>1.4572538860103627E-3</v>
      </c>
      <c r="O14" s="421">
        <v>4.6548521092950922E-3</v>
      </c>
      <c r="P14" s="421">
        <v>3.0133904887210067E-3</v>
      </c>
      <c r="Q14" s="421">
        <f t="shared" ref="Q14:R14" si="2">+Q13/Q12</f>
        <v>4.5450241454407731E-3</v>
      </c>
      <c r="R14" s="421">
        <f t="shared" si="2"/>
        <v>1.8821049461717986E-3</v>
      </c>
      <c r="S14" s="421">
        <v>2.4963256580412416E-2</v>
      </c>
      <c r="T14" s="421">
        <v>3.4631396676859598E-2</v>
      </c>
    </row>
    <row r="15" spans="1:20" ht="18.75" customHeight="1">
      <c r="A15" s="1036"/>
    </row>
    <row r="16" spans="1:20" ht="18.75" customHeight="1">
      <c r="A16" s="1154"/>
    </row>
    <row r="17" spans="1:20" ht="18.75" customHeight="1" thickBot="1">
      <c r="A17" s="1155"/>
      <c r="B17" s="1194" t="s">
        <v>349</v>
      </c>
      <c r="C17" s="1195"/>
      <c r="D17" s="1195"/>
      <c r="E17" s="1195"/>
      <c r="F17" s="1150"/>
      <c r="G17" s="1150"/>
      <c r="H17" s="1150"/>
      <c r="I17" s="1150"/>
      <c r="J17" s="1150"/>
      <c r="K17" s="1150"/>
      <c r="L17" s="1150"/>
      <c r="M17" s="1150"/>
      <c r="N17" s="1150"/>
    </row>
    <row r="18" spans="1:20" ht="18.75" customHeight="1">
      <c r="B18" s="249"/>
      <c r="C18" s="249"/>
      <c r="D18" s="249"/>
      <c r="E18" s="249"/>
      <c r="F18" s="249"/>
      <c r="G18" s="249"/>
      <c r="H18" s="249"/>
      <c r="I18" s="249"/>
      <c r="J18" s="249"/>
      <c r="K18" s="249"/>
      <c r="L18" s="249"/>
      <c r="M18" s="249"/>
      <c r="N18" s="249"/>
      <c r="O18" s="249"/>
      <c r="P18" s="451"/>
      <c r="Q18" s="451"/>
      <c r="R18" s="451"/>
      <c r="S18" s="451"/>
      <c r="T18" s="451"/>
    </row>
    <row r="19" spans="1:20" ht="18.75" customHeight="1">
      <c r="A19" s="264" t="s">
        <v>259</v>
      </c>
      <c r="B19" s="250" t="s">
        <v>230</v>
      </c>
      <c r="C19" s="251" t="s">
        <v>328</v>
      </c>
      <c r="D19" s="251" t="s">
        <v>337</v>
      </c>
      <c r="E19" s="251" t="s">
        <v>341</v>
      </c>
      <c r="F19" s="251" t="s">
        <v>346</v>
      </c>
      <c r="G19" s="251" t="s">
        <v>348</v>
      </c>
      <c r="H19" s="251" t="s">
        <v>353</v>
      </c>
      <c r="I19" s="251" t="s">
        <v>356</v>
      </c>
      <c r="J19" s="251" t="s">
        <v>359</v>
      </c>
      <c r="K19" s="251" t="s">
        <v>360</v>
      </c>
      <c r="L19" s="251" t="s">
        <v>363</v>
      </c>
      <c r="M19" s="251" t="s">
        <v>364</v>
      </c>
      <c r="N19" s="251" t="s">
        <v>379</v>
      </c>
      <c r="O19" s="251" t="s">
        <v>392</v>
      </c>
      <c r="P19" s="452" t="s">
        <v>394</v>
      </c>
      <c r="Q19" s="452" t="s">
        <v>405</v>
      </c>
      <c r="R19" s="452" t="s">
        <v>474</v>
      </c>
      <c r="S19" s="452" t="s">
        <v>498</v>
      </c>
      <c r="T19" s="452" t="s">
        <v>499</v>
      </c>
    </row>
    <row r="20" spans="1:20" ht="18.75" customHeight="1">
      <c r="A20" s="1100">
        <f>SUM(O20:Z20)</f>
        <v>123069</v>
      </c>
      <c r="B20" s="1151" t="s">
        <v>231</v>
      </c>
      <c r="C20" s="308">
        <v>27679</v>
      </c>
      <c r="D20" s="308">
        <v>25191.5</v>
      </c>
      <c r="E20" s="308">
        <v>22155</v>
      </c>
      <c r="F20" s="308">
        <v>24541</v>
      </c>
      <c r="G20" s="308">
        <v>24985.5</v>
      </c>
      <c r="H20" s="308">
        <v>21106.5</v>
      </c>
      <c r="I20" s="308">
        <v>24743.5</v>
      </c>
      <c r="J20" s="308">
        <v>7020</v>
      </c>
      <c r="K20" s="308">
        <v>23181</v>
      </c>
      <c r="L20" s="308">
        <v>25957.5</v>
      </c>
      <c r="M20" s="308">
        <v>22978.5</v>
      </c>
      <c r="N20" s="308">
        <v>24366.5</v>
      </c>
      <c r="O20" s="387">
        <v>22854.5</v>
      </c>
      <c r="P20" s="1100">
        <v>20334</v>
      </c>
      <c r="Q20" s="1100">
        <v>17848</v>
      </c>
      <c r="R20" s="1100">
        <v>21908.5</v>
      </c>
      <c r="S20" s="1100">
        <v>18077</v>
      </c>
      <c r="T20" s="1100">
        <v>22047</v>
      </c>
    </row>
    <row r="21" spans="1:20" ht="18.75" customHeight="1">
      <c r="A21" s="1100">
        <f t="shared" ref="A21:A32" si="3">SUM(O21:Z21)</f>
        <v>100979.5</v>
      </c>
      <c r="B21" s="252" t="s">
        <v>160</v>
      </c>
      <c r="C21" s="309">
        <v>23742.5</v>
      </c>
      <c r="D21" s="309">
        <v>21530</v>
      </c>
      <c r="E21" s="309">
        <v>15443.5</v>
      </c>
      <c r="F21" s="309">
        <v>14258.5</v>
      </c>
      <c r="G21" s="309">
        <v>18071.5</v>
      </c>
      <c r="H21" s="309">
        <v>17104.5</v>
      </c>
      <c r="I21" s="309">
        <v>20753.5</v>
      </c>
      <c r="J21" s="309">
        <v>3709</v>
      </c>
      <c r="K21" s="309">
        <v>18966.5</v>
      </c>
      <c r="L21" s="309">
        <v>21665</v>
      </c>
      <c r="M21" s="309">
        <v>18669.5</v>
      </c>
      <c r="N21" s="309">
        <v>17851.5</v>
      </c>
      <c r="O21" s="385">
        <v>17164</v>
      </c>
      <c r="P21" s="204">
        <v>16630.5</v>
      </c>
      <c r="Q21" s="204">
        <v>14580.5</v>
      </c>
      <c r="R21" s="204">
        <v>18571</v>
      </c>
      <c r="S21" s="204">
        <v>15397.5</v>
      </c>
      <c r="T21" s="204">
        <v>18636</v>
      </c>
    </row>
    <row r="22" spans="1:20" ht="18.75" customHeight="1">
      <c r="A22" s="1100">
        <f t="shared" si="3"/>
        <v>686</v>
      </c>
      <c r="B22" s="1152" t="s">
        <v>80</v>
      </c>
      <c r="C22" s="310">
        <v>141</v>
      </c>
      <c r="D22" s="310">
        <v>141</v>
      </c>
      <c r="E22" s="310">
        <v>138</v>
      </c>
      <c r="F22" s="310">
        <v>130</v>
      </c>
      <c r="G22" s="310">
        <v>127</v>
      </c>
      <c r="H22" s="310">
        <v>125</v>
      </c>
      <c r="I22" s="310">
        <v>125</v>
      </c>
      <c r="J22" s="310">
        <v>120</v>
      </c>
      <c r="K22" s="310">
        <v>128</v>
      </c>
      <c r="L22" s="310">
        <v>127</v>
      </c>
      <c r="M22" s="310">
        <v>127</v>
      </c>
      <c r="N22" s="310">
        <v>123</v>
      </c>
      <c r="O22" s="419">
        <v>122</v>
      </c>
      <c r="P22" s="1045">
        <v>116</v>
      </c>
      <c r="Q22" s="1045">
        <v>112</v>
      </c>
      <c r="R22" s="1045">
        <v>111</v>
      </c>
      <c r="S22" s="1045">
        <v>109</v>
      </c>
      <c r="T22" s="1045">
        <v>116</v>
      </c>
    </row>
    <row r="23" spans="1:20" ht="18.75" customHeight="1">
      <c r="A23" s="1156">
        <f t="shared" si="3"/>
        <v>-22089.5</v>
      </c>
      <c r="B23" s="255" t="s">
        <v>235</v>
      </c>
      <c r="C23" s="320">
        <v>-3936.5</v>
      </c>
      <c r="D23" s="320">
        <v>-3661.5</v>
      </c>
      <c r="E23" s="320">
        <v>-6711.5</v>
      </c>
      <c r="F23" s="320">
        <v>-10282.5</v>
      </c>
      <c r="G23" s="320">
        <v>-6914</v>
      </c>
      <c r="H23" s="320">
        <v>-4002</v>
      </c>
      <c r="I23" s="320">
        <v>-3990</v>
      </c>
      <c r="J23" s="320">
        <v>-3311</v>
      </c>
      <c r="K23" s="320">
        <v>-4214.5</v>
      </c>
      <c r="L23" s="320">
        <v>-4292.5</v>
      </c>
      <c r="M23" s="320">
        <v>-4309</v>
      </c>
      <c r="N23" s="320">
        <v>-6515</v>
      </c>
      <c r="O23" s="422">
        <v>-5690.5</v>
      </c>
      <c r="P23" s="1156">
        <v>-3703.5</v>
      </c>
      <c r="Q23" s="1156">
        <v>-3267.5</v>
      </c>
      <c r="R23" s="1156">
        <v>-3337.5</v>
      </c>
      <c r="S23" s="1156">
        <v>-2679.5</v>
      </c>
      <c r="T23" s="1156">
        <v>-3411</v>
      </c>
    </row>
    <row r="24" spans="1:20" ht="18.75" customHeight="1">
      <c r="A24" s="1157">
        <f t="shared" si="3"/>
        <v>1.0694753603077263</v>
      </c>
      <c r="B24" s="1152" t="s">
        <v>236</v>
      </c>
      <c r="C24" s="321">
        <v>0.14221973337187038</v>
      </c>
      <c r="D24" s="321">
        <v>0.14534664470158584</v>
      </c>
      <c r="E24" s="321">
        <v>0.30293387497178964</v>
      </c>
      <c r="F24" s="321">
        <v>0.41899270608369665</v>
      </c>
      <c r="G24" s="321">
        <v>0.27672049788877551</v>
      </c>
      <c r="H24" s="321">
        <v>0.18960983583256344</v>
      </c>
      <c r="I24" s="321">
        <v>0.16125447087113787</v>
      </c>
      <c r="J24" s="321">
        <v>0.47165242165242166</v>
      </c>
      <c r="K24" s="321">
        <v>0.18180837755058021</v>
      </c>
      <c r="L24" s="321">
        <v>0.16536646441298275</v>
      </c>
      <c r="M24" s="321">
        <v>0.18752311943773528</v>
      </c>
      <c r="N24" s="321">
        <v>0.2673752898446638</v>
      </c>
      <c r="O24" s="423">
        <v>0.24898816425649214</v>
      </c>
      <c r="P24" s="1158">
        <v>0.18213337267630569</v>
      </c>
      <c r="Q24" s="1158">
        <v>0.18307373375168087</v>
      </c>
      <c r="R24" s="1158">
        <v>0.15233813360111373</v>
      </c>
      <c r="S24" s="1158">
        <v>0.14822702882115396</v>
      </c>
      <c r="T24" s="1158">
        <v>0.15471492720097973</v>
      </c>
    </row>
    <row r="25" spans="1:20" ht="18.75" customHeight="1">
      <c r="A25" s="1100">
        <f t="shared" si="3"/>
        <v>1105</v>
      </c>
      <c r="B25" s="1152" t="s">
        <v>139</v>
      </c>
      <c r="C25" s="308">
        <v>202</v>
      </c>
      <c r="D25" s="308">
        <v>185</v>
      </c>
      <c r="E25" s="308">
        <v>168</v>
      </c>
      <c r="F25" s="308">
        <v>195.5</v>
      </c>
      <c r="G25" s="308">
        <v>201</v>
      </c>
      <c r="H25" s="308">
        <v>169</v>
      </c>
      <c r="I25" s="308">
        <v>202</v>
      </c>
      <c r="J25" s="308">
        <v>58.5</v>
      </c>
      <c r="K25" s="308">
        <v>191.5</v>
      </c>
      <c r="L25" s="308">
        <v>210.5</v>
      </c>
      <c r="M25" s="308">
        <v>185</v>
      </c>
      <c r="N25" s="308">
        <v>202</v>
      </c>
      <c r="O25" s="387">
        <v>201</v>
      </c>
      <c r="P25" s="1100">
        <v>178</v>
      </c>
      <c r="Q25" s="1100">
        <v>164.5</v>
      </c>
      <c r="R25" s="1100">
        <v>202</v>
      </c>
      <c r="S25" s="1100">
        <v>166</v>
      </c>
      <c r="T25" s="1100">
        <v>193.5</v>
      </c>
    </row>
    <row r="26" spans="1:20" ht="18.75" customHeight="1" thickBot="1">
      <c r="A26" s="219">
        <f t="shared" si="3"/>
        <v>548.45981364555394</v>
      </c>
      <c r="B26" s="253" t="s">
        <v>77</v>
      </c>
      <c r="C26" s="311">
        <v>117.53712871287129</v>
      </c>
      <c r="D26" s="311">
        <v>116.37837837837837</v>
      </c>
      <c r="E26" s="311">
        <v>91.925595238095241</v>
      </c>
      <c r="F26" s="311">
        <v>72.933503836317129</v>
      </c>
      <c r="G26" s="311">
        <v>89.907960199004975</v>
      </c>
      <c r="H26" s="311">
        <v>101.21005917159763</v>
      </c>
      <c r="I26" s="311">
        <v>102.74009900990099</v>
      </c>
      <c r="J26" s="311">
        <v>63.401709401709404</v>
      </c>
      <c r="K26" s="311">
        <v>99.041775456919055</v>
      </c>
      <c r="L26" s="311">
        <v>102.92161520190024</v>
      </c>
      <c r="M26" s="311">
        <v>100.91621621621621</v>
      </c>
      <c r="N26" s="311">
        <v>88.373762376237622</v>
      </c>
      <c r="O26" s="420">
        <v>85.393034825870643</v>
      </c>
      <c r="P26" s="219">
        <v>93.42977528089888</v>
      </c>
      <c r="Q26" s="219">
        <v>88.635258358662611</v>
      </c>
      <c r="R26" s="219">
        <v>91.93564356435644</v>
      </c>
      <c r="S26" s="219">
        <v>92.756024096385545</v>
      </c>
      <c r="T26" s="219">
        <v>96.310077519379846</v>
      </c>
    </row>
    <row r="27" spans="1:20" ht="18.75" customHeight="1">
      <c r="A27" s="204">
        <f t="shared" si="3"/>
        <v>5637.5</v>
      </c>
      <c r="B27" s="247" t="s">
        <v>237</v>
      </c>
      <c r="C27" s="309">
        <v>230.5</v>
      </c>
      <c r="D27" s="309">
        <v>266.5</v>
      </c>
      <c r="E27" s="309">
        <v>444.5</v>
      </c>
      <c r="F27" s="309">
        <v>513.5</v>
      </c>
      <c r="G27" s="309">
        <v>1045.5</v>
      </c>
      <c r="H27" s="309">
        <v>755.5</v>
      </c>
      <c r="I27" s="309">
        <v>737.5</v>
      </c>
      <c r="J27" s="309">
        <v>322.5</v>
      </c>
      <c r="K27" s="309">
        <v>509.5</v>
      </c>
      <c r="L27" s="309">
        <v>843.5</v>
      </c>
      <c r="M27" s="309">
        <v>895</v>
      </c>
      <c r="N27" s="309">
        <v>905</v>
      </c>
      <c r="O27" s="385">
        <v>603</v>
      </c>
      <c r="P27" s="204">
        <v>847.5</v>
      </c>
      <c r="Q27" s="204">
        <v>1023</v>
      </c>
      <c r="R27" s="204">
        <v>1173.5</v>
      </c>
      <c r="S27" s="204">
        <v>937</v>
      </c>
      <c r="T27" s="204">
        <v>1053.5</v>
      </c>
    </row>
    <row r="28" spans="1:20" ht="18.75" customHeight="1">
      <c r="A28" s="204">
        <f t="shared" si="3"/>
        <v>3169</v>
      </c>
      <c r="B28" s="247" t="s">
        <v>238</v>
      </c>
      <c r="C28" s="309">
        <v>1735</v>
      </c>
      <c r="D28" s="309">
        <v>986</v>
      </c>
      <c r="E28" s="309">
        <v>4868</v>
      </c>
      <c r="F28" s="309">
        <v>7480</v>
      </c>
      <c r="G28" s="309">
        <v>4153</v>
      </c>
      <c r="H28" s="309">
        <v>1502.5</v>
      </c>
      <c r="I28" s="309">
        <v>1396</v>
      </c>
      <c r="J28" s="309">
        <v>2562.5</v>
      </c>
      <c r="K28" s="309">
        <v>1268</v>
      </c>
      <c r="L28" s="309">
        <v>1117</v>
      </c>
      <c r="M28" s="309">
        <v>1598.5</v>
      </c>
      <c r="N28" s="309">
        <v>3093</v>
      </c>
      <c r="O28" s="385">
        <v>1553.5</v>
      </c>
      <c r="P28" s="204">
        <v>93</v>
      </c>
      <c r="Q28" s="204">
        <v>477.5</v>
      </c>
      <c r="R28" s="204">
        <v>373.5</v>
      </c>
      <c r="S28" s="204">
        <v>483</v>
      </c>
      <c r="T28" s="204">
        <v>188.5</v>
      </c>
    </row>
    <row r="29" spans="1:20" ht="18.75" customHeight="1">
      <c r="A29" s="204">
        <f t="shared" si="3"/>
        <v>2651.5</v>
      </c>
      <c r="B29" s="247" t="s">
        <v>239</v>
      </c>
      <c r="C29" s="309">
        <v>980</v>
      </c>
      <c r="D29" s="309">
        <v>837.5</v>
      </c>
      <c r="E29" s="309">
        <v>370</v>
      </c>
      <c r="F29" s="309">
        <v>373</v>
      </c>
      <c r="G29" s="309">
        <v>210</v>
      </c>
      <c r="H29" s="309">
        <v>454.5</v>
      </c>
      <c r="I29" s="309">
        <v>455.5</v>
      </c>
      <c r="J29" s="309">
        <v>56</v>
      </c>
      <c r="K29" s="309">
        <v>360</v>
      </c>
      <c r="L29" s="309">
        <v>496</v>
      </c>
      <c r="M29" s="309">
        <v>507</v>
      </c>
      <c r="N29" s="309">
        <v>445</v>
      </c>
      <c r="O29" s="385">
        <v>871</v>
      </c>
      <c r="P29" s="204">
        <v>339.5</v>
      </c>
      <c r="Q29" s="204">
        <v>274.5</v>
      </c>
      <c r="R29" s="204">
        <v>336</v>
      </c>
      <c r="S29" s="204">
        <v>222.5</v>
      </c>
      <c r="T29" s="204">
        <v>608</v>
      </c>
    </row>
    <row r="30" spans="1:20" ht="18.75" customHeight="1">
      <c r="A30" s="204">
        <f t="shared" si="3"/>
        <v>10631.5</v>
      </c>
      <c r="B30" s="247" t="s">
        <v>240</v>
      </c>
      <c r="C30" s="309">
        <v>991</v>
      </c>
      <c r="D30" s="309">
        <v>1571.5</v>
      </c>
      <c r="E30" s="309">
        <v>1029</v>
      </c>
      <c r="F30" s="309">
        <v>1916</v>
      </c>
      <c r="G30" s="309">
        <v>1505.5</v>
      </c>
      <c r="H30" s="309">
        <v>1289.5</v>
      </c>
      <c r="I30" s="309">
        <v>1401</v>
      </c>
      <c r="J30" s="309">
        <v>370</v>
      </c>
      <c r="K30" s="309">
        <v>2077</v>
      </c>
      <c r="L30" s="309">
        <v>1836</v>
      </c>
      <c r="M30" s="309">
        <v>1308.5</v>
      </c>
      <c r="N30" s="309">
        <v>2072</v>
      </c>
      <c r="O30" s="385">
        <v>2663</v>
      </c>
      <c r="P30" s="204">
        <v>2423.5</v>
      </c>
      <c r="Q30" s="204">
        <v>1492.5</v>
      </c>
      <c r="R30" s="204">
        <v>1454.5</v>
      </c>
      <c r="S30" s="204">
        <v>1037</v>
      </c>
      <c r="T30" s="204">
        <v>1561</v>
      </c>
    </row>
    <row r="31" spans="1:20" ht="18.75" customHeight="1">
      <c r="A31" s="204"/>
      <c r="B31" s="1150"/>
      <c r="C31" s="322"/>
      <c r="D31" s="322"/>
      <c r="E31" s="322"/>
      <c r="F31" s="322"/>
      <c r="G31" s="322"/>
      <c r="H31" s="322"/>
      <c r="I31" s="322"/>
      <c r="J31" s="322"/>
      <c r="K31" s="322"/>
      <c r="L31" s="322"/>
      <c r="M31" s="322"/>
      <c r="N31" s="322"/>
      <c r="O31" s="424"/>
      <c r="P31" s="1036"/>
      <c r="Q31" s="1036"/>
      <c r="R31" s="1036"/>
      <c r="S31" s="1036"/>
      <c r="T31" s="1036"/>
    </row>
    <row r="32" spans="1:20" ht="18.75" customHeight="1">
      <c r="A32" s="204">
        <f t="shared" si="3"/>
        <v>13283</v>
      </c>
      <c r="B32" s="256" t="s">
        <v>100</v>
      </c>
      <c r="C32" s="309">
        <v>1971</v>
      </c>
      <c r="D32" s="309">
        <v>2409</v>
      </c>
      <c r="E32" s="309">
        <v>1399</v>
      </c>
      <c r="F32" s="309">
        <v>2289</v>
      </c>
      <c r="G32" s="309">
        <v>1715.5</v>
      </c>
      <c r="H32" s="309">
        <v>1744</v>
      </c>
      <c r="I32" s="309">
        <v>1856.5</v>
      </c>
      <c r="J32" s="309">
        <v>426</v>
      </c>
      <c r="K32" s="309">
        <v>2437</v>
      </c>
      <c r="L32" s="309">
        <v>2332</v>
      </c>
      <c r="M32" s="309">
        <v>1815.5</v>
      </c>
      <c r="N32" s="309">
        <v>2517</v>
      </c>
      <c r="O32" s="385">
        <v>3534</v>
      </c>
      <c r="P32" s="204">
        <v>2763</v>
      </c>
      <c r="Q32" s="204">
        <v>1767</v>
      </c>
      <c r="R32" s="204">
        <v>1790.5</v>
      </c>
      <c r="S32" s="204">
        <v>1259.5</v>
      </c>
      <c r="T32" s="204">
        <v>2169</v>
      </c>
    </row>
    <row r="33" spans="1:20" ht="18.75" customHeight="1">
      <c r="A33" s="265">
        <f>+A32/A20</f>
        <v>0.10793132307892321</v>
      </c>
      <c r="B33" s="257" t="s">
        <v>29</v>
      </c>
      <c r="C33" s="258">
        <v>7.120921998627118E-2</v>
      </c>
      <c r="D33" s="258">
        <v>9.562749340055178E-2</v>
      </c>
      <c r="E33" s="258">
        <v>6.3146016700519073E-2</v>
      </c>
      <c r="F33" s="258">
        <v>9.3272482783912633E-2</v>
      </c>
      <c r="G33" s="258">
        <v>6.8659822697164349E-2</v>
      </c>
      <c r="H33" s="258">
        <v>8.2628574135929694E-2</v>
      </c>
      <c r="I33" s="258">
        <v>7.5029805807585837E-2</v>
      </c>
      <c r="J33" s="258">
        <v>6.0683760683760683E-2</v>
      </c>
      <c r="K33" s="258">
        <v>0.10512920063845391</v>
      </c>
      <c r="L33" s="258">
        <v>8.9839160165655393E-2</v>
      </c>
      <c r="M33" s="258">
        <v>7.9008638509911439E-2</v>
      </c>
      <c r="N33" s="258">
        <v>0.1032975601748302</v>
      </c>
      <c r="O33" s="258">
        <v>0.15463037913758779</v>
      </c>
      <c r="P33" s="265">
        <v>0.13588079079374446</v>
      </c>
      <c r="Q33" s="265">
        <v>9.9002689376961009E-2</v>
      </c>
      <c r="R33" s="265">
        <v>8.1726270625556291E-2</v>
      </c>
      <c r="S33" s="265">
        <v>6.9674171599269794E-2</v>
      </c>
      <c r="T33" s="265">
        <v>9.83807320723908E-2</v>
      </c>
    </row>
    <row r="35" spans="1:20" ht="18.75" customHeight="1" thickBot="1">
      <c r="A35" s="1100"/>
      <c r="B35" s="1196" t="s">
        <v>229</v>
      </c>
      <c r="C35" s="1197"/>
      <c r="D35" s="1036"/>
      <c r="E35" s="1036"/>
      <c r="F35" s="1036"/>
      <c r="G35" s="1036"/>
      <c r="H35" s="1036"/>
      <c r="I35" s="1036"/>
      <c r="J35" s="1036"/>
      <c r="K35" s="1036"/>
      <c r="L35" s="1036"/>
      <c r="M35" s="1036"/>
      <c r="N35" s="1036"/>
    </row>
    <row r="36" spans="1:20" ht="18.75" customHeight="1">
      <c r="A36" s="204"/>
      <c r="B36" s="249"/>
      <c r="C36" s="249"/>
      <c r="D36" s="249"/>
      <c r="E36" s="249"/>
      <c r="F36" s="249"/>
      <c r="G36" s="249"/>
      <c r="H36" s="249"/>
      <c r="I36" s="249"/>
      <c r="J36" s="249"/>
      <c r="K36" s="249"/>
      <c r="L36" s="249"/>
      <c r="M36" s="249"/>
      <c r="N36" s="249"/>
      <c r="O36" s="249"/>
      <c r="P36" s="249"/>
      <c r="Q36" s="249"/>
      <c r="R36" s="249"/>
      <c r="S36" s="249"/>
      <c r="T36" s="249"/>
    </row>
    <row r="37" spans="1:20" ht="18.75" customHeight="1">
      <c r="A37" s="1100"/>
      <c r="B37" s="250" t="s">
        <v>230</v>
      </c>
      <c r="C37" s="251" t="s">
        <v>328</v>
      </c>
      <c r="D37" s="251" t="s">
        <v>337</v>
      </c>
      <c r="E37" s="251" t="s">
        <v>341</v>
      </c>
      <c r="F37" s="251" t="s">
        <v>346</v>
      </c>
      <c r="G37" s="251" t="s">
        <v>348</v>
      </c>
      <c r="H37" s="251" t="s">
        <v>353</v>
      </c>
      <c r="I37" s="251" t="s">
        <v>356</v>
      </c>
      <c r="J37" s="251" t="s">
        <v>359</v>
      </c>
      <c r="K37" s="251" t="s">
        <v>360</v>
      </c>
      <c r="L37" s="251" t="s">
        <v>363</v>
      </c>
      <c r="M37" s="251" t="s">
        <v>364</v>
      </c>
      <c r="N37" s="251" t="s">
        <v>379</v>
      </c>
      <c r="O37" s="251" t="s">
        <v>392</v>
      </c>
      <c r="P37" s="251" t="s">
        <v>394</v>
      </c>
      <c r="Q37" s="251" t="s">
        <v>405</v>
      </c>
      <c r="R37" s="251" t="s">
        <v>474</v>
      </c>
      <c r="S37" s="251" t="s">
        <v>498</v>
      </c>
      <c r="T37" s="251" t="s">
        <v>499</v>
      </c>
    </row>
    <row r="38" spans="1:20" ht="18.75" customHeight="1">
      <c r="A38" s="204">
        <f>SUM(O38:Z38)</f>
        <v>150652.5</v>
      </c>
      <c r="B38" s="259" t="s">
        <v>241</v>
      </c>
      <c r="C38" s="315">
        <v>31640</v>
      </c>
      <c r="D38" s="315">
        <v>27545</v>
      </c>
      <c r="E38" s="315">
        <v>22460</v>
      </c>
      <c r="F38" s="315">
        <v>20550</v>
      </c>
      <c r="G38" s="315">
        <v>24940.5</v>
      </c>
      <c r="H38" s="315">
        <v>26254</v>
      </c>
      <c r="I38" s="315">
        <v>29251.5</v>
      </c>
      <c r="J38" s="315">
        <v>6538.5</v>
      </c>
      <c r="K38" s="315">
        <v>27199</v>
      </c>
      <c r="L38" s="315">
        <v>29367.5</v>
      </c>
      <c r="M38" s="315">
        <v>25509.5</v>
      </c>
      <c r="N38" s="315">
        <v>28336.5</v>
      </c>
      <c r="O38" s="453">
        <v>24926</v>
      </c>
      <c r="P38" s="453">
        <v>23688</v>
      </c>
      <c r="Q38" s="453">
        <v>22906</v>
      </c>
      <c r="R38" s="453">
        <v>26452.5</v>
      </c>
      <c r="S38" s="453">
        <v>25268.5</v>
      </c>
      <c r="T38" s="453">
        <v>27411.5</v>
      </c>
    </row>
    <row r="39" spans="1:20" ht="18.75" customHeight="1">
      <c r="A39" s="1100">
        <f t="shared" ref="A39:A58" si="4">SUM(O39:Z39)</f>
        <v>142970</v>
      </c>
      <c r="B39" s="1159" t="s">
        <v>232</v>
      </c>
      <c r="C39" s="316">
        <v>30578</v>
      </c>
      <c r="D39" s="316">
        <v>27764</v>
      </c>
      <c r="E39" s="316">
        <v>19899</v>
      </c>
      <c r="F39" s="316">
        <v>18771</v>
      </c>
      <c r="G39" s="316">
        <v>23784</v>
      </c>
      <c r="H39" s="316">
        <v>23249</v>
      </c>
      <c r="I39" s="316">
        <v>28405.5</v>
      </c>
      <c r="J39" s="316">
        <v>6313.5</v>
      </c>
      <c r="K39" s="316">
        <v>26257.5</v>
      </c>
      <c r="L39" s="316">
        <v>29561.5</v>
      </c>
      <c r="M39" s="316">
        <v>25807.5</v>
      </c>
      <c r="N39" s="316">
        <v>24668</v>
      </c>
      <c r="O39" s="263">
        <v>23842</v>
      </c>
      <c r="P39" s="263">
        <v>23490.5</v>
      </c>
      <c r="Q39" s="263">
        <v>21026</v>
      </c>
      <c r="R39" s="263">
        <v>26516</v>
      </c>
      <c r="S39" s="263">
        <v>21892.5</v>
      </c>
      <c r="T39" s="263">
        <v>26203</v>
      </c>
    </row>
    <row r="40" spans="1:20" ht="18.75" customHeight="1">
      <c r="A40" s="1100">
        <f t="shared" si="4"/>
        <v>7024</v>
      </c>
      <c r="B40" s="1160" t="s">
        <v>242</v>
      </c>
      <c r="C40" s="317">
        <v>1275</v>
      </c>
      <c r="D40" s="317"/>
      <c r="E40" s="317">
        <v>2440</v>
      </c>
      <c r="F40" s="317">
        <v>1160</v>
      </c>
      <c r="G40" s="317">
        <v>1136</v>
      </c>
      <c r="H40" s="317">
        <v>3192</v>
      </c>
      <c r="I40" s="317">
        <v>1048</v>
      </c>
      <c r="J40" s="317"/>
      <c r="K40" s="317">
        <v>1088</v>
      </c>
      <c r="L40" s="317"/>
      <c r="M40" s="317"/>
      <c r="N40" s="317">
        <v>1112</v>
      </c>
      <c r="O40" s="454">
        <v>1104</v>
      </c>
      <c r="P40" s="454"/>
      <c r="Q40" s="454">
        <v>1968</v>
      </c>
      <c r="R40" s="454"/>
      <c r="S40" s="454">
        <v>2952</v>
      </c>
      <c r="T40" s="454">
        <v>1000</v>
      </c>
    </row>
    <row r="41" spans="1:20" ht="18.75" customHeight="1">
      <c r="A41" s="1242">
        <f t="shared" si="4"/>
        <v>119</v>
      </c>
      <c r="B41" s="1243" t="s">
        <v>243</v>
      </c>
      <c r="C41" s="1244">
        <v>67</v>
      </c>
      <c r="D41" s="1244">
        <v>25.5</v>
      </c>
      <c r="E41" s="1244">
        <v>0</v>
      </c>
      <c r="F41" s="1244">
        <v>76.5</v>
      </c>
      <c r="G41" s="1244">
        <v>8.5</v>
      </c>
      <c r="H41" s="1244">
        <v>59.5</v>
      </c>
      <c r="I41" s="1244">
        <v>51</v>
      </c>
      <c r="J41" s="1244">
        <v>25.5</v>
      </c>
      <c r="K41" s="1244">
        <v>25.5</v>
      </c>
      <c r="L41" s="1244">
        <v>34</v>
      </c>
      <c r="M41" s="1244">
        <v>17</v>
      </c>
      <c r="N41" s="1244">
        <v>42.5</v>
      </c>
      <c r="O41" s="1245">
        <v>42.5</v>
      </c>
      <c r="P41" s="1245">
        <v>25.5</v>
      </c>
      <c r="Q41" s="1245">
        <v>0</v>
      </c>
      <c r="R41" s="1245">
        <v>25.5</v>
      </c>
      <c r="S41" s="1245">
        <v>0</v>
      </c>
      <c r="T41" s="1245">
        <v>25.5</v>
      </c>
    </row>
    <row r="42" spans="1:20" ht="18.75" customHeight="1">
      <c r="A42" s="1242">
        <f t="shared" si="4"/>
        <v>0</v>
      </c>
      <c r="B42" s="1243" t="s">
        <v>244</v>
      </c>
      <c r="C42" s="1246">
        <v>85</v>
      </c>
      <c r="D42" s="1246">
        <v>0</v>
      </c>
      <c r="E42" s="1246">
        <v>0</v>
      </c>
      <c r="F42" s="1246">
        <v>0</v>
      </c>
      <c r="G42" s="1246">
        <v>0</v>
      </c>
      <c r="H42" s="1246">
        <v>0</v>
      </c>
      <c r="I42" s="1246">
        <v>0</v>
      </c>
      <c r="J42" s="1246">
        <v>0</v>
      </c>
      <c r="K42" s="1246">
        <v>0</v>
      </c>
      <c r="L42" s="1246">
        <v>0</v>
      </c>
      <c r="M42" s="1246">
        <v>0</v>
      </c>
      <c r="N42" s="1246">
        <v>0</v>
      </c>
      <c r="O42" s="1247">
        <v>0</v>
      </c>
      <c r="P42" s="1247">
        <v>0</v>
      </c>
      <c r="Q42" s="1247">
        <v>0</v>
      </c>
      <c r="R42" s="1247">
        <v>0</v>
      </c>
      <c r="S42" s="1247">
        <v>0</v>
      </c>
      <c r="T42" s="1247">
        <v>0</v>
      </c>
    </row>
    <row r="43" spans="1:20" ht="18.75" customHeight="1">
      <c r="A43" s="1242">
        <f t="shared" si="4"/>
        <v>459</v>
      </c>
      <c r="B43" s="1243" t="s">
        <v>245</v>
      </c>
      <c r="C43" s="1246"/>
      <c r="D43" s="1246"/>
      <c r="E43" s="1246"/>
      <c r="F43" s="1246"/>
      <c r="G43" s="1246"/>
      <c r="H43" s="1246"/>
      <c r="I43" s="1246"/>
      <c r="J43" s="1246"/>
      <c r="K43" s="1246"/>
      <c r="L43" s="1246"/>
      <c r="M43" s="1246"/>
      <c r="N43" s="1246"/>
      <c r="O43" s="1247"/>
      <c r="P43" s="1247"/>
      <c r="Q43" s="1247">
        <v>72</v>
      </c>
      <c r="R43" s="1247"/>
      <c r="S43" s="1247">
        <v>387</v>
      </c>
      <c r="T43" s="1247"/>
    </row>
    <row r="44" spans="1:20" ht="18.75" customHeight="1">
      <c r="A44" s="1242">
        <f t="shared" si="4"/>
        <v>68</v>
      </c>
      <c r="B44" s="1243" t="s">
        <v>246</v>
      </c>
      <c r="C44" s="1246">
        <v>0</v>
      </c>
      <c r="D44" s="1246">
        <v>0</v>
      </c>
      <c r="E44" s="1246">
        <v>0</v>
      </c>
      <c r="F44" s="1246">
        <v>0</v>
      </c>
      <c r="G44" s="1246">
        <v>0</v>
      </c>
      <c r="H44" s="1246">
        <v>0</v>
      </c>
      <c r="I44" s="1246">
        <v>0</v>
      </c>
      <c r="J44" s="1246">
        <v>0</v>
      </c>
      <c r="K44" s="1246">
        <v>0</v>
      </c>
      <c r="L44" s="1246">
        <v>0</v>
      </c>
      <c r="M44" s="1246">
        <v>0</v>
      </c>
      <c r="N44" s="1246">
        <v>0</v>
      </c>
      <c r="O44" s="1247">
        <v>17</v>
      </c>
      <c r="P44" s="1247">
        <v>0</v>
      </c>
      <c r="Q44" s="1247">
        <v>0</v>
      </c>
      <c r="R44" s="1247">
        <v>34</v>
      </c>
      <c r="S44" s="1247">
        <v>0</v>
      </c>
      <c r="T44" s="1247">
        <v>17</v>
      </c>
    </row>
    <row r="45" spans="1:20" ht="18.75" customHeight="1">
      <c r="A45" s="1242">
        <f t="shared" si="4"/>
        <v>345</v>
      </c>
      <c r="B45" s="1243" t="s">
        <v>247</v>
      </c>
      <c r="C45" s="1246"/>
      <c r="D45" s="1246"/>
      <c r="E45" s="1246"/>
      <c r="F45" s="1246"/>
      <c r="G45" s="1246"/>
      <c r="H45" s="1246"/>
      <c r="I45" s="1246"/>
      <c r="J45" s="1246"/>
      <c r="K45" s="1246"/>
      <c r="L45" s="1246"/>
      <c r="M45" s="1246">
        <v>36</v>
      </c>
      <c r="N45" s="1246">
        <v>18</v>
      </c>
      <c r="O45" s="1247">
        <v>12</v>
      </c>
      <c r="P45" s="1247"/>
      <c r="Q45" s="1247"/>
      <c r="R45" s="1247"/>
      <c r="S45" s="1247">
        <v>134</v>
      </c>
      <c r="T45" s="1247">
        <v>199</v>
      </c>
    </row>
    <row r="46" spans="1:20" ht="18.75" customHeight="1">
      <c r="A46" s="1242">
        <f t="shared" si="4"/>
        <v>219.5</v>
      </c>
      <c r="B46" s="1243" t="s">
        <v>151</v>
      </c>
      <c r="C46" s="1244">
        <v>0</v>
      </c>
      <c r="D46" s="1244">
        <v>1.5</v>
      </c>
      <c r="E46" s="1244">
        <v>220.5</v>
      </c>
      <c r="F46" s="1244">
        <v>609.5</v>
      </c>
      <c r="G46" s="1244">
        <v>87.5</v>
      </c>
      <c r="H46" s="1244">
        <v>4.5</v>
      </c>
      <c r="I46" s="1244">
        <v>1</v>
      </c>
      <c r="J46" s="1244">
        <v>218.5</v>
      </c>
      <c r="K46" s="1244">
        <v>24.5</v>
      </c>
      <c r="L46" s="1244">
        <v>46.5</v>
      </c>
      <c r="M46" s="1244">
        <v>24</v>
      </c>
      <c r="N46" s="1244">
        <v>0</v>
      </c>
      <c r="O46" s="1245">
        <v>60.5</v>
      </c>
      <c r="P46" s="1245">
        <v>31</v>
      </c>
      <c r="Q46" s="1245">
        <v>0</v>
      </c>
      <c r="R46" s="1245">
        <v>0</v>
      </c>
      <c r="S46" s="1245">
        <v>3</v>
      </c>
      <c r="T46" s="1245">
        <v>125</v>
      </c>
    </row>
    <row r="47" spans="1:20" ht="18.75" customHeight="1">
      <c r="A47" s="1248">
        <f t="shared" si="4"/>
        <v>22</v>
      </c>
      <c r="B47" s="1249" t="s">
        <v>248</v>
      </c>
      <c r="C47" s="1244">
        <v>54</v>
      </c>
      <c r="D47" s="1244">
        <v>22</v>
      </c>
      <c r="E47" s="1244"/>
      <c r="F47" s="1244">
        <v>10</v>
      </c>
      <c r="G47" s="1244">
        <v>13</v>
      </c>
      <c r="H47" s="1244">
        <v>76</v>
      </c>
      <c r="I47" s="1244">
        <v>8</v>
      </c>
      <c r="J47" s="1244"/>
      <c r="K47" s="1244"/>
      <c r="L47" s="1244">
        <v>28</v>
      </c>
      <c r="M47" s="1244">
        <v>2</v>
      </c>
      <c r="N47" s="1244"/>
      <c r="O47" s="1245"/>
      <c r="P47" s="1245"/>
      <c r="Q47" s="1245"/>
      <c r="R47" s="1245"/>
      <c r="S47" s="1245"/>
      <c r="T47" s="1245">
        <v>22</v>
      </c>
    </row>
    <row r="48" spans="1:20" ht="18.75" customHeight="1">
      <c r="A48" s="1248">
        <f t="shared" si="4"/>
        <v>1174</v>
      </c>
      <c r="B48" s="1249" t="s">
        <v>152</v>
      </c>
      <c r="C48" s="1246">
        <v>7.5</v>
      </c>
      <c r="D48" s="1246">
        <v>24</v>
      </c>
      <c r="E48" s="1246">
        <v>0</v>
      </c>
      <c r="F48" s="1246">
        <v>28.5</v>
      </c>
      <c r="G48" s="1246">
        <v>38.5</v>
      </c>
      <c r="H48" s="1246">
        <v>0</v>
      </c>
      <c r="I48" s="1246">
        <v>0</v>
      </c>
      <c r="J48" s="1246">
        <v>206</v>
      </c>
      <c r="K48" s="1246">
        <v>129</v>
      </c>
      <c r="L48" s="1246">
        <v>179</v>
      </c>
      <c r="M48" s="1246">
        <v>75</v>
      </c>
      <c r="N48" s="1246">
        <v>0</v>
      </c>
      <c r="O48" s="1247">
        <v>7</v>
      </c>
      <c r="P48" s="1247">
        <v>40</v>
      </c>
      <c r="Q48" s="1247">
        <v>0</v>
      </c>
      <c r="R48" s="1247">
        <v>30</v>
      </c>
      <c r="S48" s="1247">
        <v>392</v>
      </c>
      <c r="T48" s="1247">
        <v>705</v>
      </c>
    </row>
    <row r="49" spans="1:20" ht="18.75" customHeight="1">
      <c r="A49" s="1248">
        <f t="shared" si="4"/>
        <v>435.5</v>
      </c>
      <c r="B49" s="1249" t="s">
        <v>153</v>
      </c>
      <c r="C49" s="1244">
        <v>64</v>
      </c>
      <c r="D49" s="1244">
        <v>5</v>
      </c>
      <c r="E49" s="1244">
        <v>5</v>
      </c>
      <c r="F49" s="1244">
        <v>10.5</v>
      </c>
      <c r="G49" s="1244"/>
      <c r="H49" s="1244">
        <v>245.5</v>
      </c>
      <c r="I49" s="1244">
        <v>48</v>
      </c>
      <c r="J49" s="1244">
        <v>57.5</v>
      </c>
      <c r="K49" s="1244">
        <v>71.5</v>
      </c>
      <c r="L49" s="1244">
        <v>5.5</v>
      </c>
      <c r="M49" s="1244">
        <v>11.5</v>
      </c>
      <c r="N49" s="1244">
        <v>36</v>
      </c>
      <c r="O49" s="1245">
        <v>44</v>
      </c>
      <c r="P49" s="1245"/>
      <c r="Q49" s="1245">
        <v>96</v>
      </c>
      <c r="R49" s="1245">
        <v>20</v>
      </c>
      <c r="S49" s="1245">
        <v>165.5</v>
      </c>
      <c r="T49" s="1245">
        <v>110</v>
      </c>
    </row>
    <row r="50" spans="1:20" ht="18.75" customHeight="1">
      <c r="A50" s="1248">
        <f t="shared" si="4"/>
        <v>1012</v>
      </c>
      <c r="B50" s="1249" t="s">
        <v>249</v>
      </c>
      <c r="C50" s="1246">
        <v>204</v>
      </c>
      <c r="D50" s="1246">
        <v>160</v>
      </c>
      <c r="E50" s="1246">
        <v>145</v>
      </c>
      <c r="F50" s="1246">
        <v>119</v>
      </c>
      <c r="G50" s="1246">
        <v>195</v>
      </c>
      <c r="H50" s="1246">
        <v>214</v>
      </c>
      <c r="I50" s="1246">
        <v>263</v>
      </c>
      <c r="J50" s="1246">
        <v>53</v>
      </c>
      <c r="K50" s="1246">
        <v>220</v>
      </c>
      <c r="L50" s="1246">
        <v>190</v>
      </c>
      <c r="M50" s="1246">
        <v>144</v>
      </c>
      <c r="N50" s="1246">
        <v>182</v>
      </c>
      <c r="O50" s="1247">
        <v>164</v>
      </c>
      <c r="P50" s="1247">
        <v>142</v>
      </c>
      <c r="Q50" s="1247">
        <v>124</v>
      </c>
      <c r="R50" s="1247">
        <v>160</v>
      </c>
      <c r="S50" s="1247">
        <v>162</v>
      </c>
      <c r="T50" s="1247">
        <v>260</v>
      </c>
    </row>
    <row r="51" spans="1:20" ht="18.75" customHeight="1">
      <c r="A51" s="1242">
        <f t="shared" si="4"/>
        <v>0</v>
      </c>
      <c r="B51" s="1243" t="s">
        <v>305</v>
      </c>
      <c r="C51" s="1246"/>
      <c r="D51" s="1246"/>
      <c r="E51" s="1246"/>
      <c r="F51" s="1246"/>
      <c r="G51" s="1246"/>
      <c r="H51" s="1246"/>
      <c r="I51" s="1246"/>
      <c r="J51" s="1246"/>
      <c r="K51" s="1246"/>
      <c r="L51" s="1246"/>
      <c r="M51" s="1246"/>
      <c r="N51" s="1246">
        <v>2677.5</v>
      </c>
      <c r="O51" s="1247"/>
      <c r="P51" s="1247"/>
      <c r="Q51" s="1247"/>
      <c r="R51" s="1247"/>
      <c r="S51" s="1247"/>
      <c r="T51" s="1247"/>
    </row>
    <row r="52" spans="1:20" ht="18.75" customHeight="1">
      <c r="A52" s="1242">
        <f t="shared" si="4"/>
        <v>368.5</v>
      </c>
      <c r="B52" s="1243" t="s">
        <v>254</v>
      </c>
      <c r="C52" s="1246">
        <v>-67</v>
      </c>
      <c r="D52" s="1246"/>
      <c r="E52" s="1246">
        <v>97</v>
      </c>
      <c r="F52" s="1246">
        <v>96</v>
      </c>
      <c r="G52" s="1246">
        <v>52</v>
      </c>
      <c r="H52" s="1246">
        <v>3</v>
      </c>
      <c r="I52" s="1246">
        <v>15</v>
      </c>
      <c r="J52" s="1246">
        <v>16</v>
      </c>
      <c r="K52" s="1246">
        <v>6.5</v>
      </c>
      <c r="L52" s="1246">
        <v>4</v>
      </c>
      <c r="M52" s="1246">
        <v>-134</v>
      </c>
      <c r="N52" s="1246">
        <v>8</v>
      </c>
      <c r="O52" s="1247">
        <v>49</v>
      </c>
      <c r="P52" s="1247">
        <v>234</v>
      </c>
      <c r="Q52" s="1247">
        <v>20</v>
      </c>
      <c r="R52" s="1247">
        <v>12.5</v>
      </c>
      <c r="S52" s="1247">
        <v>21</v>
      </c>
      <c r="T52" s="1247">
        <v>32</v>
      </c>
    </row>
    <row r="53" spans="1:20" ht="18.75" customHeight="1">
      <c r="A53" s="1250">
        <f t="shared" si="4"/>
        <v>-277</v>
      </c>
      <c r="B53" s="1251" t="s">
        <v>250</v>
      </c>
      <c r="C53" s="1250">
        <v>-41</v>
      </c>
      <c r="D53" s="1250">
        <v>-83</v>
      </c>
      <c r="E53" s="1250">
        <v>-42</v>
      </c>
      <c r="F53" s="1250">
        <v>-30</v>
      </c>
      <c r="G53" s="1250">
        <v>-32</v>
      </c>
      <c r="H53" s="1250">
        <v>-41</v>
      </c>
      <c r="I53" s="1250">
        <v>-62</v>
      </c>
      <c r="J53" s="1250">
        <v>-6</v>
      </c>
      <c r="K53" s="1250">
        <v>-78</v>
      </c>
      <c r="L53" s="1250">
        <v>-53</v>
      </c>
      <c r="M53" s="1250">
        <v>-81</v>
      </c>
      <c r="N53" s="1250">
        <v>-43</v>
      </c>
      <c r="O53" s="1250">
        <v>-46</v>
      </c>
      <c r="P53" s="1250">
        <v>-44</v>
      </c>
      <c r="Q53" s="1250">
        <v>-58</v>
      </c>
      <c r="R53" s="1250">
        <v>-36</v>
      </c>
      <c r="S53" s="1250">
        <v>-37</v>
      </c>
      <c r="T53" s="1250">
        <v>-56</v>
      </c>
    </row>
    <row r="54" spans="1:20" ht="18.75" customHeight="1">
      <c r="A54" s="1250">
        <f t="shared" si="4"/>
        <v>-296</v>
      </c>
      <c r="B54" s="1251" t="s">
        <v>251</v>
      </c>
      <c r="C54" s="1250">
        <v>-68</v>
      </c>
      <c r="D54" s="1250">
        <v>-60</v>
      </c>
      <c r="E54" s="1250">
        <v>-48</v>
      </c>
      <c r="F54" s="1250">
        <v>-28</v>
      </c>
      <c r="G54" s="1250">
        <v>-44</v>
      </c>
      <c r="H54" s="1250">
        <v>-68</v>
      </c>
      <c r="I54" s="1250">
        <v>-88</v>
      </c>
      <c r="J54" s="1250">
        <v>-20</v>
      </c>
      <c r="K54" s="1250">
        <v>-52</v>
      </c>
      <c r="L54" s="1250">
        <v>-96</v>
      </c>
      <c r="M54" s="1250">
        <v>-80</v>
      </c>
      <c r="N54" s="1250">
        <v>-60</v>
      </c>
      <c r="O54" s="1250">
        <v>-52</v>
      </c>
      <c r="P54" s="1250">
        <v>-16</v>
      </c>
      <c r="Q54" s="1250">
        <v>-64</v>
      </c>
      <c r="R54" s="1250">
        <v>-48</v>
      </c>
      <c r="S54" s="1250">
        <v>-60</v>
      </c>
      <c r="T54" s="1250">
        <v>-56</v>
      </c>
    </row>
    <row r="55" spans="1:20" ht="18.75" customHeight="1">
      <c r="A55" s="1250">
        <f t="shared" si="4"/>
        <v>-148</v>
      </c>
      <c r="B55" s="1251" t="s">
        <v>252</v>
      </c>
      <c r="C55" s="1250">
        <v>-57</v>
      </c>
      <c r="D55" s="1250">
        <v>-39</v>
      </c>
      <c r="E55" s="1250">
        <v>-43.5</v>
      </c>
      <c r="F55" s="1250">
        <v>-30</v>
      </c>
      <c r="G55" s="1250">
        <v>-25.5</v>
      </c>
      <c r="H55" s="1250">
        <v>-39</v>
      </c>
      <c r="I55" s="1250">
        <v>-50</v>
      </c>
      <c r="J55" s="1250">
        <v>-7</v>
      </c>
      <c r="K55" s="1250">
        <v>-33</v>
      </c>
      <c r="L55" s="1250">
        <v>-18.5</v>
      </c>
      <c r="M55" s="1250">
        <v>-29</v>
      </c>
      <c r="N55" s="1250">
        <v>-41.5</v>
      </c>
      <c r="O55" s="1250">
        <v>-21.5</v>
      </c>
      <c r="P55" s="1250">
        <v>-24</v>
      </c>
      <c r="Q55" s="1250">
        <v>-25</v>
      </c>
      <c r="R55" s="1250">
        <v>-35.5</v>
      </c>
      <c r="S55" s="1250">
        <v>-16</v>
      </c>
      <c r="T55" s="1250">
        <v>-26</v>
      </c>
    </row>
    <row r="56" spans="1:20" ht="18.75" customHeight="1" thickBot="1">
      <c r="A56" s="260">
        <f t="shared" si="4"/>
        <v>-177.5</v>
      </c>
      <c r="B56" s="261" t="s">
        <v>253</v>
      </c>
      <c r="C56" s="260">
        <v>-78</v>
      </c>
      <c r="D56" s="260">
        <v>-42</v>
      </c>
      <c r="E56" s="260">
        <v>-63</v>
      </c>
      <c r="F56" s="260">
        <v>-65</v>
      </c>
      <c r="G56" s="260">
        <v>-13</v>
      </c>
      <c r="H56" s="260">
        <v>-30</v>
      </c>
      <c r="I56" s="260">
        <v>-61</v>
      </c>
      <c r="J56" s="260">
        <v>-2</v>
      </c>
      <c r="K56" s="260">
        <v>-40</v>
      </c>
      <c r="L56" s="260">
        <v>-83</v>
      </c>
      <c r="M56" s="260">
        <v>-49</v>
      </c>
      <c r="N56" s="260">
        <v>-45</v>
      </c>
      <c r="O56" s="260">
        <v>-81.5</v>
      </c>
      <c r="P56" s="260">
        <v>-9</v>
      </c>
      <c r="Q56" s="260">
        <v>-33</v>
      </c>
      <c r="R56" s="260">
        <v>-16</v>
      </c>
      <c r="S56" s="260">
        <v>-8</v>
      </c>
      <c r="T56" s="260">
        <v>-30</v>
      </c>
    </row>
    <row r="57" spans="1:20" ht="18.75" customHeight="1">
      <c r="A57" s="204">
        <f t="shared" si="4"/>
        <v>153296</v>
      </c>
      <c r="B57" s="262" t="s">
        <v>255</v>
      </c>
      <c r="C57" s="319">
        <v>31969.5</v>
      </c>
      <c r="D57" s="319">
        <v>27756</v>
      </c>
      <c r="E57" s="319">
        <v>22610</v>
      </c>
      <c r="F57" s="319">
        <v>20718</v>
      </c>
      <c r="G57" s="319">
        <v>25187</v>
      </c>
      <c r="H57" s="319">
        <v>26789.5</v>
      </c>
      <c r="I57" s="319">
        <v>29570.5</v>
      </c>
      <c r="J57" s="319">
        <v>6855</v>
      </c>
      <c r="K57" s="319">
        <v>27619.5</v>
      </c>
      <c r="L57" s="319">
        <v>29770</v>
      </c>
      <c r="M57" s="319">
        <v>25742</v>
      </c>
      <c r="N57" s="319">
        <v>28554.5</v>
      </c>
      <c r="O57" s="455">
        <v>25141</v>
      </c>
      <c r="P57" s="455">
        <v>23870</v>
      </c>
      <c r="Q57" s="455">
        <v>23126</v>
      </c>
      <c r="R57" s="455">
        <v>26662.5</v>
      </c>
      <c r="S57" s="455">
        <v>25988</v>
      </c>
      <c r="T57" s="455">
        <v>28508.5</v>
      </c>
    </row>
    <row r="58" spans="1:20" ht="18.75" customHeight="1">
      <c r="A58" s="1100">
        <f t="shared" si="4"/>
        <v>8497</v>
      </c>
      <c r="B58" s="1161" t="s">
        <v>256</v>
      </c>
      <c r="C58" s="316">
        <v>1320</v>
      </c>
      <c r="D58" s="316">
        <v>-38.5</v>
      </c>
      <c r="E58" s="316">
        <v>2485.5</v>
      </c>
      <c r="F58" s="316">
        <v>1298.5</v>
      </c>
      <c r="G58" s="316">
        <v>1277</v>
      </c>
      <c r="H58" s="316">
        <v>3290.5</v>
      </c>
      <c r="I58" s="316">
        <v>1116</v>
      </c>
      <c r="J58" s="316">
        <v>59.5</v>
      </c>
      <c r="K58" s="316">
        <v>1137</v>
      </c>
      <c r="L58" s="316">
        <v>-22.5</v>
      </c>
      <c r="M58" s="316">
        <v>-176</v>
      </c>
      <c r="N58" s="316">
        <v>3850.5</v>
      </c>
      <c r="O58" s="263">
        <v>1187.5</v>
      </c>
      <c r="P58" s="263">
        <v>308.5</v>
      </c>
      <c r="Q58" s="263">
        <v>2004</v>
      </c>
      <c r="R58" s="263">
        <v>96.5</v>
      </c>
      <c r="S58" s="263">
        <v>3535</v>
      </c>
      <c r="T58" s="263">
        <v>1365.5</v>
      </c>
    </row>
    <row r="59" spans="1:20" ht="18.75" customHeight="1">
      <c r="A59" s="1252">
        <f>+A58/A39</f>
        <v>5.9432048681541581E-2</v>
      </c>
      <c r="B59" s="1253" t="s">
        <v>257</v>
      </c>
      <c r="C59" s="1254">
        <v>1.0455065733533913</v>
      </c>
      <c r="D59" s="1254">
        <v>0.99971185708111221</v>
      </c>
      <c r="E59" s="1254">
        <v>1.1362380019096436</v>
      </c>
      <c r="F59" s="1254">
        <v>1.1037238293111715</v>
      </c>
      <c r="G59" s="1254">
        <v>1.0589892364614868</v>
      </c>
      <c r="H59" s="1254">
        <v>1.1522861198331111</v>
      </c>
      <c r="I59" s="1254">
        <v>1.041013184066466</v>
      </c>
      <c r="J59" s="1254">
        <v>1.0857685911142789</v>
      </c>
      <c r="K59" s="1254">
        <v>1.051870894030277</v>
      </c>
      <c r="L59" s="1254">
        <v>1.0070530927050387</v>
      </c>
      <c r="M59" s="1254">
        <v>0.99746197810713944</v>
      </c>
      <c r="N59" s="1254">
        <v>1.1575522944705692</v>
      </c>
      <c r="O59" s="1255">
        <v>1.0544836842546765</v>
      </c>
      <c r="P59" s="1255">
        <v>1.0161554671037227</v>
      </c>
      <c r="Q59" s="1255">
        <v>1.0998763435746219</v>
      </c>
      <c r="R59" s="1255">
        <v>1.0055249660582291</v>
      </c>
      <c r="S59" s="1255">
        <v>1.18707319858399</v>
      </c>
      <c r="T59" s="1255">
        <v>1.0879861084608633</v>
      </c>
    </row>
    <row r="60" spans="1:20" ht="18.75" customHeight="1">
      <c r="A60" s="1247">
        <f>SUM(A39:A56,-A47)-A57</f>
        <v>0</v>
      </c>
      <c r="B60" s="1253" t="s">
        <v>258</v>
      </c>
      <c r="C60" s="1246">
        <v>0</v>
      </c>
      <c r="D60" s="1246">
        <v>0</v>
      </c>
      <c r="E60" s="1246">
        <v>0</v>
      </c>
      <c r="F60" s="1246">
        <v>0</v>
      </c>
      <c r="G60" s="1246">
        <v>0</v>
      </c>
      <c r="H60" s="1246">
        <v>0</v>
      </c>
      <c r="I60" s="1246">
        <v>0</v>
      </c>
      <c r="J60" s="1246">
        <v>0</v>
      </c>
      <c r="K60" s="1246">
        <v>0</v>
      </c>
      <c r="L60" s="1246">
        <v>0</v>
      </c>
      <c r="M60" s="1246">
        <v>0</v>
      </c>
      <c r="N60" s="1246">
        <v>0</v>
      </c>
      <c r="O60" s="1247">
        <v>0</v>
      </c>
      <c r="P60" s="1247">
        <f t="shared" ref="P60:R60" si="5">SUM(P39:P56,-P47)-P57</f>
        <v>0</v>
      </c>
      <c r="Q60" s="1247">
        <f t="shared" si="5"/>
        <v>0</v>
      </c>
      <c r="R60" s="1247">
        <f t="shared" si="5"/>
        <v>0</v>
      </c>
      <c r="S60" s="1247">
        <v>0</v>
      </c>
      <c r="T60" s="124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Munka6">
    <tabColor rgb="FF66FFFF"/>
  </sheetPr>
  <dimension ref="A1:AI88"/>
  <sheetViews>
    <sheetView showGridLines="0" zoomScale="85" zoomScaleNormal="85" workbookViewId="0">
      <selection activeCell="AA35" sqref="AA35"/>
    </sheetView>
  </sheetViews>
  <sheetFormatPr baseColWidth="10" defaultColWidth="8.85546875" defaultRowHeight="14.25" outlineLevelRow="3"/>
  <cols>
    <col min="1" max="1" width="22.85546875" style="1036" customWidth="1"/>
    <col min="2" max="15" width="10" style="1036" customWidth="1"/>
    <col min="16" max="16" width="10" style="1036" hidden="1" customWidth="1"/>
    <col min="17" max="17" width="9" style="1036" customWidth="1"/>
    <col min="18" max="18" width="9.5703125" style="1036" bestFit="1" customWidth="1"/>
    <col min="19" max="19" width="9" style="1036" customWidth="1"/>
    <col min="20" max="20" width="7" style="1036" customWidth="1"/>
    <col min="21" max="22" width="11.42578125" style="1036" customWidth="1"/>
    <col min="23" max="23" width="14.5703125" style="1036" bestFit="1" customWidth="1"/>
    <col min="24" max="24" width="10" style="1036" bestFit="1" customWidth="1"/>
    <col min="25" max="26" width="11.42578125" style="1036" customWidth="1"/>
    <col min="27" max="27" width="12.5703125" style="1036" customWidth="1"/>
    <col min="28" max="28" width="11.42578125" style="1036" customWidth="1"/>
    <col min="29" max="31" width="11.28515625" style="1036" customWidth="1"/>
    <col min="32" max="32" width="5.140625" style="1036" customWidth="1"/>
    <col min="33" max="34" width="12.7109375" style="1036" customWidth="1"/>
    <col min="35" max="35" width="12.5703125" style="1036" customWidth="1"/>
    <col min="36" max="36" width="8.85546875" style="1036"/>
    <col min="37" max="37" width="9.5703125" style="1036" bestFit="1" customWidth="1"/>
    <col min="38" max="38" width="11.28515625" style="1036" bestFit="1" customWidth="1"/>
    <col min="39" max="39" width="8.28515625" style="1036" bestFit="1" customWidth="1"/>
    <col min="40" max="16384" width="8.85546875" style="1036"/>
  </cols>
  <sheetData>
    <row r="1" spans="1:35">
      <c r="A1"/>
    </row>
    <row r="2" spans="1:35" ht="15" outlineLevel="1">
      <c r="A2" s="1193" t="s">
        <v>408</v>
      </c>
      <c r="B2" s="1193"/>
      <c r="C2" s="1193"/>
      <c r="D2" s="10"/>
      <c r="E2" s="10"/>
      <c r="F2" s="10"/>
      <c r="G2" s="10"/>
      <c r="H2" s="10"/>
      <c r="I2" s="10"/>
    </row>
    <row r="3" spans="1:35" outlineLevel="2">
      <c r="A3" s="456" t="s">
        <v>406</v>
      </c>
      <c r="B3" s="3"/>
      <c r="C3" s="3"/>
      <c r="D3" s="3"/>
      <c r="E3" s="3"/>
      <c r="F3" s="3"/>
      <c r="G3" s="3"/>
      <c r="H3" s="3"/>
      <c r="I3" s="3"/>
    </row>
    <row r="4" spans="1:35" ht="30" outlineLevel="2">
      <c r="A4" s="102"/>
      <c r="B4" s="1081" t="s">
        <v>480</v>
      </c>
      <c r="C4" s="1081"/>
      <c r="D4" s="1081"/>
      <c r="E4" s="1081"/>
      <c r="F4" s="1081"/>
      <c r="G4" s="102"/>
      <c r="H4" s="102"/>
      <c r="I4" s="102"/>
      <c r="J4" s="1083" t="s">
        <v>382</v>
      </c>
      <c r="K4" s="1083"/>
      <c r="L4" s="1083"/>
      <c r="M4" s="1083"/>
      <c r="N4" s="1083"/>
      <c r="O4" s="1083"/>
      <c r="W4" s="1087"/>
      <c r="X4" s="1055"/>
      <c r="AC4" s="1087"/>
      <c r="AD4" s="1087"/>
      <c r="AE4" s="1087"/>
    </row>
    <row r="5" spans="1:35" ht="45" outlineLevel="2">
      <c r="A5" s="11" t="s">
        <v>0</v>
      </c>
      <c r="B5" s="12" t="s">
        <v>72</v>
      </c>
      <c r="C5" s="13" t="s">
        <v>297</v>
      </c>
      <c r="D5" s="151" t="s">
        <v>73</v>
      </c>
      <c r="E5" s="13" t="s">
        <v>268</v>
      </c>
      <c r="F5" s="132" t="s">
        <v>275</v>
      </c>
      <c r="G5" s="133" t="s">
        <v>12</v>
      </c>
      <c r="H5" s="13" t="s">
        <v>10</v>
      </c>
      <c r="I5" s="102"/>
      <c r="J5" s="12" t="s">
        <v>72</v>
      </c>
      <c r="K5" s="13" t="s">
        <v>297</v>
      </c>
      <c r="L5" s="151" t="s">
        <v>73</v>
      </c>
      <c r="M5" s="13" t="s">
        <v>268</v>
      </c>
      <c r="N5" s="132" t="s">
        <v>275</v>
      </c>
      <c r="O5" s="131" t="s">
        <v>302</v>
      </c>
      <c r="P5" s="13" t="s">
        <v>295</v>
      </c>
      <c r="Q5" s="133" t="s">
        <v>12</v>
      </c>
      <c r="R5" s="13" t="s">
        <v>267</v>
      </c>
      <c r="T5" s="132" t="s">
        <v>338</v>
      </c>
      <c r="U5" s="5" t="s">
        <v>71</v>
      </c>
      <c r="V5" s="5"/>
      <c r="W5" s="13" t="s">
        <v>281</v>
      </c>
      <c r="X5" s="13" t="s">
        <v>269</v>
      </c>
      <c r="Y5" s="13" t="s">
        <v>271</v>
      </c>
      <c r="Z5" s="13" t="s">
        <v>366</v>
      </c>
      <c r="AA5" s="13" t="s">
        <v>300</v>
      </c>
      <c r="AB5" s="13" t="s">
        <v>272</v>
      </c>
      <c r="AC5" s="211" t="s">
        <v>270</v>
      </c>
      <c r="AD5" s="211" t="s">
        <v>298</v>
      </c>
      <c r="AE5" s="211" t="s">
        <v>274</v>
      </c>
      <c r="AG5" s="331" t="s">
        <v>316</v>
      </c>
      <c r="AI5" s="13" t="s">
        <v>296</v>
      </c>
    </row>
    <row r="6" spans="1:35" outlineLevel="2">
      <c r="A6" s="149" t="s">
        <v>2</v>
      </c>
      <c r="B6" s="266">
        <v>3595</v>
      </c>
      <c r="C6" s="268">
        <v>5503</v>
      </c>
      <c r="D6" s="275">
        <f>IFERROR(C6/B6,"")</f>
        <v>1.5307371349095966</v>
      </c>
      <c r="E6" s="268">
        <v>209</v>
      </c>
      <c r="F6" s="272">
        <f>IFERROR(E6/C6,"")</f>
        <v>3.7979284026894419E-2</v>
      </c>
      <c r="G6" s="273">
        <v>3.5000000000000003E-2</v>
      </c>
      <c r="H6" s="123">
        <f>IFERROR(F6-G6,"")</f>
        <v>2.979284026894416E-3</v>
      </c>
      <c r="I6" s="102"/>
      <c r="J6" s="266">
        <v>22932</v>
      </c>
      <c r="K6" s="268">
        <v>25537</v>
      </c>
      <c r="L6" s="275">
        <f>+K6/J6</f>
        <v>1.1135967207395778</v>
      </c>
      <c r="M6" s="268">
        <v>1886</v>
      </c>
      <c r="N6" s="272">
        <f>+M6/K6</f>
        <v>7.3853624153189495E-2</v>
      </c>
      <c r="O6" s="272">
        <f>1-N6</f>
        <v>0.92614637584681048</v>
      </c>
      <c r="P6" s="1088">
        <f>(1-N6)/L6</f>
        <v>0.83167124920386337</v>
      </c>
      <c r="Q6" s="273">
        <v>3.5000000000000003E-2</v>
      </c>
      <c r="R6" s="150">
        <f>IFERROR((N6/Q6)-1,0)</f>
        <v>1.1101035472339853</v>
      </c>
      <c r="S6" s="1088"/>
      <c r="T6" s="274">
        <v>5.40502030444798E-2</v>
      </c>
      <c r="U6" s="9">
        <f>IFERROR((N6/T6)-1,0)</f>
        <v>0.36638939343877697</v>
      </c>
      <c r="V6" s="216"/>
      <c r="W6" s="1089">
        <v>6</v>
      </c>
      <c r="X6" s="268">
        <v>2080</v>
      </c>
      <c r="Y6" s="269">
        <f>+X6/K6</f>
        <v>8.145044445314642E-2</v>
      </c>
      <c r="Z6" s="391">
        <f>+X6/M6</f>
        <v>1.1028632025450689</v>
      </c>
      <c r="AA6" s="1090">
        <f>1-Y6</f>
        <v>0.91854955554685358</v>
      </c>
      <c r="AB6" s="269">
        <f>+X6/(K6*W6)</f>
        <v>1.3575074075524402E-2</v>
      </c>
      <c r="AC6" s="1045">
        <f>+(X6/(K6*W6))*10^6</f>
        <v>13575.074075524402</v>
      </c>
      <c r="AD6" s="1091">
        <f>IF(K6=0,"",(IF((AC6/1000000)&gt;0.933199,0,IF((AC6/1000000)&gt;0.5,1.5-ABS(NORMSINV(AC6/1000000)),ABS(NORMSINV(AC6/1000000))+1.5))))</f>
        <v>3.7093522701093473</v>
      </c>
      <c r="AE6" s="1045">
        <f>+(M6/K6)*10^6</f>
        <v>73853.624153189492</v>
      </c>
      <c r="AG6" s="325" t="str">
        <f>IF(AC6="","",IF(AC6&gt;20000,"BRONZE",IF(AC6&lt;=6000,"PLATINUM",IF(AC6&gt;15000,"SILVER","GOLD"))))</f>
        <v>GOLD</v>
      </c>
      <c r="AH6" s="1042"/>
      <c r="AI6" s="1042"/>
    </row>
    <row r="7" spans="1:35" outlineLevel="2">
      <c r="A7" s="149" t="s">
        <v>3</v>
      </c>
      <c r="B7" s="266">
        <v>1584</v>
      </c>
      <c r="C7" s="268">
        <v>1529</v>
      </c>
      <c r="D7" s="275">
        <f>IFERROR(C7/B7,"")</f>
        <v>0.96527777777777779</v>
      </c>
      <c r="E7" s="268">
        <v>226</v>
      </c>
      <c r="F7" s="272">
        <f>IFERROR(E7/C7,"")</f>
        <v>0.14780902550686723</v>
      </c>
      <c r="G7" s="273">
        <v>7.4999999999999997E-2</v>
      </c>
      <c r="H7" s="276">
        <f>IFERROR(F7-G7,"")</f>
        <v>7.2809025506867228E-2</v>
      </c>
      <c r="I7" s="102"/>
      <c r="J7" s="266">
        <v>11435</v>
      </c>
      <c r="K7" s="268">
        <v>11443</v>
      </c>
      <c r="L7" s="275">
        <f>+K7/J7</f>
        <v>1.0006996064713598</v>
      </c>
      <c r="M7" s="268">
        <v>1236</v>
      </c>
      <c r="N7" s="272">
        <f>+M7/K7</f>
        <v>0.10801363278860439</v>
      </c>
      <c r="O7" s="272">
        <f>1-N7</f>
        <v>0.89198636721139557</v>
      </c>
      <c r="P7" s="1092">
        <f>(1-N7)/L7</f>
        <v>0.8913627640533347</v>
      </c>
      <c r="Q7" s="273">
        <v>7.4999999999999997E-2</v>
      </c>
      <c r="R7" s="276">
        <f>IFERROR((N7/Q7)-1,0)</f>
        <v>0.44018177051472529</v>
      </c>
      <c r="S7" s="1088"/>
      <c r="T7" s="274">
        <v>6.1077389984825495E-2</v>
      </c>
      <c r="U7" s="216">
        <f>IFERROR((N7/T7)-1,0)</f>
        <v>0.76847165236497617</v>
      </c>
      <c r="V7" s="216"/>
      <c r="W7" s="1089">
        <v>6</v>
      </c>
      <c r="X7" s="268">
        <v>1491</v>
      </c>
      <c r="Y7" s="269">
        <f>+X7/K7</f>
        <v>0.1302979987765446</v>
      </c>
      <c r="Z7" s="391">
        <f>+X7/M7</f>
        <v>1.2063106796116505</v>
      </c>
      <c r="AA7" s="1090">
        <f>1-Y7</f>
        <v>0.86970200122345542</v>
      </c>
      <c r="AB7" s="269">
        <f>+X7/(K7*W7)</f>
        <v>2.1716333129424101E-2</v>
      </c>
      <c r="AC7" s="1045">
        <f>+(X7/(K7*W7))*10^6</f>
        <v>21716.3331294241</v>
      </c>
      <c r="AD7" s="1091">
        <f>IF(K7=0,"",(IF((AC7/1000000)&gt;0.933199,0,IF((AC7/1000000)&gt;0.5,1.5-ABS(NORMSINV(AC7/1000000)),ABS(NORMSINV(AC7/1000000))+1.5))))</f>
        <v>3.5195251475292495</v>
      </c>
      <c r="AE7" s="1045">
        <f>+(M7/K7)*10^6</f>
        <v>108013.63278860439</v>
      </c>
      <c r="AG7" s="325" t="str">
        <f>IF(AC7="","",IF(AC7&gt;20000,"BRONZE",IF(AC7&lt;=6000,"PLATINUM",IF(AC7&gt;15000,"SILVER","GOLD"))))</f>
        <v>BRONZE</v>
      </c>
      <c r="AH7" s="1093"/>
      <c r="AI7" s="1042"/>
    </row>
    <row r="8" spans="1:35" hidden="1" outlineLevel="3">
      <c r="A8" s="149" t="s">
        <v>59</v>
      </c>
      <c r="B8" s="347"/>
      <c r="C8" s="348"/>
      <c r="D8" s="349" t="str">
        <f>IFERROR(C8/B8,"")</f>
        <v/>
      </c>
      <c r="E8" s="348"/>
      <c r="F8" s="350" t="str">
        <f>IFERROR(E8/C8,"")</f>
        <v/>
      </c>
      <c r="G8" s="351"/>
      <c r="H8" s="352" t="str">
        <f>IFERROR(F8-G8,"")</f>
        <v/>
      </c>
      <c r="I8" s="102"/>
      <c r="J8" s="347"/>
      <c r="K8" s="348"/>
      <c r="L8" s="349"/>
      <c r="M8" s="348"/>
      <c r="N8" s="350"/>
      <c r="O8" s="350"/>
      <c r="P8" s="1094"/>
      <c r="Q8" s="351"/>
      <c r="R8" s="352"/>
      <c r="S8" s="1088"/>
      <c r="T8" s="412"/>
      <c r="U8" s="356"/>
      <c r="V8" s="216"/>
      <c r="W8" s="1095"/>
      <c r="X8" s="348"/>
      <c r="Y8" s="354"/>
      <c r="Z8" s="392"/>
      <c r="AA8" s="1096"/>
      <c r="AB8" s="354"/>
      <c r="AC8" s="1097"/>
      <c r="AD8" s="1098"/>
      <c r="AE8" s="1097"/>
      <c r="AF8" s="1099"/>
      <c r="AG8" s="355"/>
      <c r="AH8" s="1093"/>
      <c r="AI8" s="1042"/>
    </row>
    <row r="9" spans="1:35" ht="15" outlineLevel="2" collapsed="1" thickBot="1">
      <c r="A9" s="14" t="s">
        <v>4</v>
      </c>
      <c r="B9" s="266">
        <v>975</v>
      </c>
      <c r="C9" s="268">
        <v>975</v>
      </c>
      <c r="D9" s="275">
        <f>IFERROR(C9/B9,"")</f>
        <v>1</v>
      </c>
      <c r="E9" s="129">
        <v>9</v>
      </c>
      <c r="F9" s="272">
        <f>IFERROR(E9/C9,"")</f>
        <v>9.2307692307692316E-3</v>
      </c>
      <c r="G9" s="130">
        <v>5.0000000000000001E-3</v>
      </c>
      <c r="H9" s="277">
        <f>IFERROR(F9-G9,"")</f>
        <v>4.2307692307692315E-3</v>
      </c>
      <c r="I9" s="102"/>
      <c r="J9" s="390">
        <v>8148</v>
      </c>
      <c r="K9" s="129">
        <v>8148</v>
      </c>
      <c r="L9" s="275">
        <f>+K9/J9</f>
        <v>1</v>
      </c>
      <c r="M9" s="268">
        <v>147</v>
      </c>
      <c r="N9" s="272">
        <f>+M9/K9</f>
        <v>1.804123711340206E-2</v>
      </c>
      <c r="O9" s="272">
        <f>1-N9</f>
        <v>0.98195876288659789</v>
      </c>
      <c r="P9" s="1092">
        <f>(1-N9)/L9</f>
        <v>0.98195876288659789</v>
      </c>
      <c r="Q9" s="130">
        <v>5.0000000000000001E-3</v>
      </c>
      <c r="R9" s="277">
        <f>IFERROR((N9/Q9)-1,0)</f>
        <v>2.608247422680412</v>
      </c>
      <c r="S9" s="1088"/>
      <c r="T9" s="136">
        <v>1.3636611574755905E-3</v>
      </c>
      <c r="U9" s="278">
        <f>IFERROR((N9/T9)-1,0)</f>
        <v>12.229999999999999</v>
      </c>
      <c r="V9" s="216"/>
      <c r="W9" s="1089">
        <v>6</v>
      </c>
      <c r="X9" s="129">
        <v>147</v>
      </c>
      <c r="Y9" s="269">
        <f>+X9/K9</f>
        <v>1.804123711340206E-2</v>
      </c>
      <c r="Z9" s="391">
        <f>+X9/M9</f>
        <v>1</v>
      </c>
      <c r="AA9" s="1090">
        <f>1-Y9</f>
        <v>0.98195876288659789</v>
      </c>
      <c r="AB9" s="269">
        <f>+X9/(K9*W9)</f>
        <v>3.0068728522336771E-3</v>
      </c>
      <c r="AC9" s="1045">
        <f>+(X9/(K9*W9))*10^6</f>
        <v>3006.8728522336773</v>
      </c>
      <c r="AD9" s="1091">
        <f>IF(K9=0,"",IF(X9=0,6,IF((AC9/1000000)&gt;0.933199,0,IF((AC9/1000000)&gt;0.5,1.5-ABS(NORMSINV(AC9/1000000)),ABS(NORMSINV(AC9/1000000))+1.5))))</f>
        <v>4.2470309617952697</v>
      </c>
      <c r="AE9" s="1045">
        <f>+(M9/K9)*10^6</f>
        <v>18041.237113402061</v>
      </c>
      <c r="AG9" s="325" t="str">
        <f>IF(AC9="","",IF(AC9&gt;20000,"BRONZE",IF(AC9&lt;=6000,"PLATINUM",IF(AC9&gt;15000,"SILVER","GOLD"))))</f>
        <v>PLATINUM</v>
      </c>
      <c r="AH9" s="1093"/>
      <c r="AI9" s="1042"/>
    </row>
    <row r="10" spans="1:35" ht="15" outlineLevel="2">
      <c r="A10" s="124" t="s">
        <v>5</v>
      </c>
      <c r="B10" s="125">
        <f>SUM(B6:B9)</f>
        <v>6154</v>
      </c>
      <c r="C10" s="125">
        <f>SUM(C6:C9)</f>
        <v>8007</v>
      </c>
      <c r="D10" s="181">
        <f>IFERROR(C10/B10,"")</f>
        <v>1.3011049723756907</v>
      </c>
      <c r="E10" s="125">
        <f>SUM(E6:E9)</f>
        <v>444</v>
      </c>
      <c r="F10" s="179">
        <f>IFERROR(E10/C10,"")</f>
        <v>5.5451479955039337E-2</v>
      </c>
      <c r="G10" s="127">
        <f>AVERAGE(G6:G9)</f>
        <v>3.8333333333333337E-2</v>
      </c>
      <c r="H10" s="128">
        <f>IFERROR(F10-G10,"")</f>
        <v>1.7118146621706E-2</v>
      </c>
      <c r="I10" s="102"/>
      <c r="J10" s="125">
        <f>SUM(J6:J9)</f>
        <v>42515</v>
      </c>
      <c r="K10" s="126">
        <f>SUM(K6:K9)</f>
        <v>45128</v>
      </c>
      <c r="L10" s="181">
        <f>+K10/J10</f>
        <v>1.0614606609431965</v>
      </c>
      <c r="M10" s="126">
        <f>SUM(M6:M9)</f>
        <v>3269</v>
      </c>
      <c r="N10" s="179">
        <f>+M10/K10</f>
        <v>7.2438397447261119E-2</v>
      </c>
      <c r="O10" s="179">
        <f>1-N10</f>
        <v>0.9275616025527389</v>
      </c>
      <c r="P10" s="300">
        <f>(1-N10)/L10</f>
        <v>0.8738539605683765</v>
      </c>
      <c r="Q10" s="127">
        <f>AVERAGE(Q6:Q9)</f>
        <v>3.8333333333333337E-2</v>
      </c>
      <c r="R10" s="128">
        <f>IFERROR((N10/Q10)-1,0)</f>
        <v>0.88969732471115948</v>
      </c>
      <c r="S10" s="1088"/>
      <c r="T10" s="180">
        <v>4.3450706010596495E-2</v>
      </c>
      <c r="U10" s="137">
        <f>IFERROR((N10/T10)-1,0)</f>
        <v>0.66713971067801014</v>
      </c>
      <c r="V10" s="267"/>
      <c r="W10" s="212">
        <v>6</v>
      </c>
      <c r="X10" s="126">
        <f>SUM(X6:X9)</f>
        <v>3718</v>
      </c>
      <c r="Y10" s="270">
        <f>+X10/K10</f>
        <v>8.2387874490338589E-2</v>
      </c>
      <c r="Z10" s="393">
        <f>+X10/M10</f>
        <v>1.1373508718262466</v>
      </c>
      <c r="AA10" s="301">
        <f>1-Y10</f>
        <v>0.91761212550966142</v>
      </c>
      <c r="AB10" s="270">
        <f>+X10/(K10*W10)</f>
        <v>1.3731312415056433E-2</v>
      </c>
      <c r="AC10" s="126">
        <f>+(X10/(K10*W10))*10^6</f>
        <v>13731.312415056433</v>
      </c>
      <c r="AD10" s="298">
        <f>IF(K10=0,"",(IF((AC10/1000000)&gt;0.933199,0,IF((AC10/1000000)&gt;0.5,1.5-ABS(NORMSINV(AC10/1000000)),ABS(NORMSINV(AC10/1000000))+1.5))))</f>
        <v>3.7048784538439095</v>
      </c>
      <c r="AE10" s="126">
        <f>+(M10/K10)*10^6</f>
        <v>72438.397447261115</v>
      </c>
      <c r="AG10" s="325" t="str">
        <f>IF(AC10="","",IF(AC10&gt;20000,"BRONZE",IF(AC10&lt;=6000,"PLATINUM",IF(AC10&gt;15000,"SILVER","GOLD"))))</f>
        <v>GOLD</v>
      </c>
      <c r="AH10" s="1093"/>
      <c r="AI10" s="297">
        <f>PRODUCT(AA6:AA9)</f>
        <v>0.78445188486043138</v>
      </c>
    </row>
    <row r="11" spans="1:35" ht="85.5" outlineLevel="2">
      <c r="A11" s="1082" t="s">
        <v>357</v>
      </c>
      <c r="B11" s="1082"/>
      <c r="C11" s="1082"/>
      <c r="D11" s="1082"/>
      <c r="E11" s="1082"/>
      <c r="F11" s="1082"/>
      <c r="G11" s="1082"/>
      <c r="H11" s="1082"/>
      <c r="I11" s="102"/>
      <c r="AC11" s="1090"/>
      <c r="AD11" s="1087"/>
    </row>
    <row r="12" spans="1:35" outlineLevel="2">
      <c r="A12" s="102"/>
      <c r="B12" s="102"/>
      <c r="C12" s="102"/>
      <c r="D12" s="102"/>
      <c r="E12" s="102"/>
      <c r="F12" s="102"/>
      <c r="G12" s="102"/>
      <c r="H12" s="102"/>
      <c r="N12" s="1055"/>
      <c r="Q12" s="1045"/>
      <c r="U12" s="1045"/>
      <c r="V12" s="1045"/>
      <c r="X12" s="1045"/>
      <c r="Y12" s="1045"/>
      <c r="Z12" s="1045"/>
      <c r="AA12" s="1045"/>
      <c r="AB12" s="1045"/>
      <c r="AC12" s="1100"/>
      <c r="AD12" s="1091"/>
      <c r="AE12" s="1100"/>
      <c r="AG12" s="1088"/>
      <c r="AI12" s="1045"/>
    </row>
    <row r="13" spans="1:35" ht="15" outlineLevel="2">
      <c r="A13" s="4" t="s">
        <v>0</v>
      </c>
      <c r="B13" s="18">
        <v>45930</v>
      </c>
      <c r="C13" s="16">
        <v>45961</v>
      </c>
      <c r="D13" s="16">
        <v>45991</v>
      </c>
      <c r="E13" s="16">
        <v>46022</v>
      </c>
      <c r="F13" s="16">
        <v>46053</v>
      </c>
      <c r="G13" s="16">
        <v>46081</v>
      </c>
      <c r="H13" s="16">
        <v>46112</v>
      </c>
      <c r="I13" s="16">
        <v>46142</v>
      </c>
      <c r="J13" s="16">
        <v>46173</v>
      </c>
      <c r="K13" s="357">
        <v>46203</v>
      </c>
      <c r="L13" s="357">
        <v>46234</v>
      </c>
      <c r="M13" s="357">
        <v>46265</v>
      </c>
      <c r="N13" s="18">
        <v>46295</v>
      </c>
      <c r="O13"/>
      <c r="P13"/>
      <c r="Q13"/>
      <c r="R13"/>
      <c r="S13"/>
      <c r="AC13" s="1042"/>
      <c r="AD13" s="1101"/>
      <c r="AE13" s="1042"/>
    </row>
    <row r="14" spans="1:35" outlineLevel="2">
      <c r="A14" s="6" t="s">
        <v>2</v>
      </c>
      <c r="B14" s="372">
        <v>4.8514251061249201E-2</v>
      </c>
      <c r="C14" s="413">
        <v>7.2122922546252702E-2</v>
      </c>
      <c r="D14" s="413">
        <v>4.3126684636118601E-2</v>
      </c>
      <c r="E14" s="413">
        <v>4.4018058690744898E-2</v>
      </c>
      <c r="F14" s="413">
        <v>5.4557777024737401E-2</v>
      </c>
      <c r="G14" s="413">
        <v>7.1646859083191794E-2</v>
      </c>
      <c r="H14" s="413">
        <v>0.10163468372423599</v>
      </c>
      <c r="I14" s="413">
        <v>9.2005513439007605E-2</v>
      </c>
      <c r="J14" s="413">
        <v>5.9351815696993403E-2</v>
      </c>
      <c r="K14" s="446">
        <v>0.11449016100178901</v>
      </c>
      <c r="L14" s="446">
        <v>0.12816116588084001</v>
      </c>
      <c r="M14" s="446">
        <v>5.8394160583941597E-2</v>
      </c>
      <c r="N14" s="8">
        <v>3.7979284026894398E-2</v>
      </c>
      <c r="O14"/>
      <c r="P14"/>
      <c r="Q14"/>
      <c r="R14"/>
      <c r="S14"/>
      <c r="AC14"/>
      <c r="AD14" s="299"/>
      <c r="AE14"/>
    </row>
    <row r="15" spans="1:35" outlineLevel="2">
      <c r="A15" s="7" t="s">
        <v>3</v>
      </c>
      <c r="B15" s="373">
        <v>5.1051051051051101E-2</v>
      </c>
      <c r="C15" s="414">
        <v>7.0320579110651496E-2</v>
      </c>
      <c r="D15" s="414">
        <v>8.2182774490466806E-2</v>
      </c>
      <c r="E15" s="414">
        <v>0.124673060156931</v>
      </c>
      <c r="F15" s="414">
        <v>0.127124907612713</v>
      </c>
      <c r="G15" s="414">
        <v>8.9358245329000802E-2</v>
      </c>
      <c r="H15" s="414">
        <v>7.6028622540250404E-2</v>
      </c>
      <c r="I15" s="414">
        <v>8.6320409656181402E-2</v>
      </c>
      <c r="J15" s="414">
        <v>0.127737226277372</v>
      </c>
      <c r="K15" s="447">
        <v>0.102027027027027</v>
      </c>
      <c r="L15" s="447">
        <v>9.8452883263009799E-2</v>
      </c>
      <c r="M15" s="447">
        <v>0.10296684118673601</v>
      </c>
      <c r="N15" s="17">
        <v>0.147809025506867</v>
      </c>
      <c r="O15"/>
      <c r="P15"/>
      <c r="Q15"/>
      <c r="R15"/>
      <c r="S15"/>
      <c r="AD15" s="1087"/>
    </row>
    <row r="16" spans="1:35" hidden="1" outlineLevel="3">
      <c r="A16" s="7" t="s">
        <v>59</v>
      </c>
      <c r="B16" s="373"/>
      <c r="C16" s="415"/>
      <c r="D16" s="415"/>
      <c r="E16" s="415"/>
      <c r="F16" s="415"/>
      <c r="G16" s="415"/>
      <c r="H16" s="415"/>
      <c r="I16" s="415"/>
      <c r="J16" s="415"/>
      <c r="K16" s="448"/>
      <c r="L16" s="448"/>
      <c r="M16" s="448"/>
      <c r="N16" s="353"/>
      <c r="O16"/>
      <c r="P16"/>
      <c r="Q16"/>
      <c r="R16"/>
      <c r="S16"/>
      <c r="AD16" s="1087"/>
    </row>
    <row r="17" spans="1:35" ht="15" outlineLevel="2" collapsed="1" thickBot="1">
      <c r="A17" s="122" t="s">
        <v>4</v>
      </c>
      <c r="B17" s="374">
        <v>1.70068027210884E-3</v>
      </c>
      <c r="C17" s="416">
        <v>1.64113785557987E-3</v>
      </c>
      <c r="D17" s="416">
        <v>2.8801843317972399E-3</v>
      </c>
      <c r="E17" s="416">
        <v>6.9979006298110595E-4</v>
      </c>
      <c r="F17" s="416">
        <v>0</v>
      </c>
      <c r="G17" s="416">
        <v>0</v>
      </c>
      <c r="H17" s="416">
        <v>0</v>
      </c>
      <c r="I17" s="416">
        <v>0</v>
      </c>
      <c r="J17" s="416">
        <v>6.7524115755627001E-2</v>
      </c>
      <c r="K17" s="449">
        <v>6.5185185185185193E-2</v>
      </c>
      <c r="L17" s="449">
        <v>3.37457817772778E-3</v>
      </c>
      <c r="M17" s="449">
        <v>1.3297872340425501E-2</v>
      </c>
      <c r="N17" s="135">
        <v>9.2307692307692299E-3</v>
      </c>
      <c r="O17"/>
      <c r="P17"/>
      <c r="Q17"/>
      <c r="R17"/>
      <c r="S17"/>
      <c r="AD17" s="1087"/>
    </row>
    <row r="18" spans="1:35" ht="15" outlineLevel="2">
      <c r="A18" s="124" t="s">
        <v>5</v>
      </c>
      <c r="B18" s="375">
        <v>4.1293166789125597E-2</v>
      </c>
      <c r="C18" s="417">
        <v>5.30858869227449E-2</v>
      </c>
      <c r="D18" s="417">
        <v>4.1831683168316799E-2</v>
      </c>
      <c r="E18" s="417">
        <v>4.9019607843137303E-2</v>
      </c>
      <c r="F18" s="417">
        <v>6.8181818181818205E-2</v>
      </c>
      <c r="G18" s="417">
        <v>6.3052445492044806E-2</v>
      </c>
      <c r="H18" s="417">
        <v>7.7436860780630307E-2</v>
      </c>
      <c r="I18" s="417">
        <v>6.6448049706593001E-2</v>
      </c>
      <c r="J18" s="417">
        <v>8.1045464528882102E-2</v>
      </c>
      <c r="K18" s="450">
        <v>9.5629021522076793E-2</v>
      </c>
      <c r="L18" s="450">
        <v>9.5176571920757999E-2</v>
      </c>
      <c r="M18" s="450">
        <v>6.1388210673177498E-2</v>
      </c>
      <c r="N18" s="182">
        <v>5.5451479955039303E-2</v>
      </c>
      <c r="O18"/>
      <c r="P18"/>
      <c r="Q18"/>
      <c r="R18"/>
      <c r="S18"/>
      <c r="AD18" s="1087"/>
    </row>
    <row r="19" spans="1:35" outlineLevel="2">
      <c r="A19" s="3" t="s">
        <v>138</v>
      </c>
      <c r="B19" s="3"/>
      <c r="C19" s="3"/>
      <c r="D19" s="3"/>
      <c r="E19" s="3"/>
      <c r="F19" s="3"/>
      <c r="G19" s="3"/>
      <c r="H19" s="3"/>
      <c r="I19" s="3"/>
      <c r="AD19" s="1087"/>
    </row>
    <row r="20" spans="1:35" outlineLevel="2">
      <c r="AD20" s="1087"/>
    </row>
    <row r="21" spans="1:35" outlineLevel="1">
      <c r="AD21" s="1087"/>
    </row>
    <row r="22" spans="1:35" ht="15" outlineLevel="1">
      <c r="A22" s="10" t="s">
        <v>407</v>
      </c>
      <c r="B22" s="10"/>
      <c r="C22" s="10"/>
      <c r="D22" s="10"/>
      <c r="E22" s="10"/>
      <c r="F22" s="10"/>
      <c r="G22" s="10"/>
      <c r="H22" s="10"/>
      <c r="I22" s="10"/>
      <c r="AD22" s="1087"/>
    </row>
    <row r="23" spans="1:35" ht="15" outlineLevel="2">
      <c r="A23" s="456" t="s">
        <v>406</v>
      </c>
      <c r="B23" s="3"/>
      <c r="C23" s="3"/>
      <c r="D23" s="3"/>
      <c r="E23" s="3"/>
      <c r="F23" s="10"/>
      <c r="G23" s="3"/>
      <c r="H23" s="3"/>
      <c r="I23" s="3"/>
      <c r="AD23" s="1087"/>
    </row>
    <row r="24" spans="1:35" ht="30" outlineLevel="2">
      <c r="A24" s="102"/>
      <c r="B24" s="1081" t="s">
        <v>480</v>
      </c>
      <c r="C24" s="1081"/>
      <c r="D24" s="1081"/>
      <c r="E24" s="1081"/>
      <c r="F24" s="1081"/>
      <c r="G24" s="102"/>
      <c r="H24" s="102"/>
      <c r="I24" s="102"/>
      <c r="J24" s="1083" t="s">
        <v>382</v>
      </c>
      <c r="K24" s="1083"/>
      <c r="L24" s="1083"/>
      <c r="M24" s="1083"/>
      <c r="N24" s="1083"/>
      <c r="O24" s="1083"/>
      <c r="X24" s="1055"/>
      <c r="AC24" s="1087"/>
      <c r="AD24" s="1087"/>
      <c r="AE24" s="1087"/>
    </row>
    <row r="25" spans="1:35" ht="45" outlineLevel="2">
      <c r="A25" s="11" t="s">
        <v>0</v>
      </c>
      <c r="B25" s="12" t="s">
        <v>72</v>
      </c>
      <c r="C25" s="13" t="s">
        <v>297</v>
      </c>
      <c r="D25" s="151" t="s">
        <v>73</v>
      </c>
      <c r="E25" s="13" t="s">
        <v>268</v>
      </c>
      <c r="F25" s="132" t="s">
        <v>299</v>
      </c>
      <c r="G25" s="133" t="s">
        <v>12</v>
      </c>
      <c r="H25" s="13" t="s">
        <v>10</v>
      </c>
      <c r="I25" s="102"/>
      <c r="J25" s="12" t="s">
        <v>72</v>
      </c>
      <c r="K25" s="13" t="s">
        <v>297</v>
      </c>
      <c r="L25" s="151" t="s">
        <v>73</v>
      </c>
      <c r="M25" s="13" t="s">
        <v>268</v>
      </c>
      <c r="N25" s="132" t="s">
        <v>299</v>
      </c>
      <c r="O25" s="131" t="s">
        <v>303</v>
      </c>
      <c r="P25" s="13" t="s">
        <v>295</v>
      </c>
      <c r="Q25" s="133" t="s">
        <v>12</v>
      </c>
      <c r="R25" s="13" t="s">
        <v>267</v>
      </c>
      <c r="T25" s="132" t="s">
        <v>338</v>
      </c>
      <c r="U25" s="5" t="s">
        <v>71</v>
      </c>
      <c r="V25" s="5"/>
      <c r="W25" s="13" t="s">
        <v>281</v>
      </c>
      <c r="X25" s="13" t="s">
        <v>269</v>
      </c>
      <c r="Y25" s="13" t="s">
        <v>271</v>
      </c>
      <c r="Z25" s="13" t="s">
        <v>366</v>
      </c>
      <c r="AA25" s="13" t="s">
        <v>294</v>
      </c>
      <c r="AB25" s="13" t="s">
        <v>272</v>
      </c>
      <c r="AC25" s="211" t="s">
        <v>270</v>
      </c>
      <c r="AD25" s="211" t="s">
        <v>298</v>
      </c>
      <c r="AE25" s="211" t="s">
        <v>274</v>
      </c>
      <c r="AG25" s="331" t="s">
        <v>316</v>
      </c>
      <c r="AI25" s="13" t="s">
        <v>296</v>
      </c>
    </row>
    <row r="26" spans="1:35" outlineLevel="2">
      <c r="A26" s="149" t="s">
        <v>2</v>
      </c>
      <c r="B26" s="266">
        <v>3595</v>
      </c>
      <c r="C26" s="268">
        <v>402</v>
      </c>
      <c r="D26" s="275">
        <f>IFERROR(C26/B26,"")</f>
        <v>0.11182197496522948</v>
      </c>
      <c r="E26" s="268">
        <v>1</v>
      </c>
      <c r="F26" s="272">
        <f>IFERROR(E26/C26,"")</f>
        <v>2.4875621890547263E-3</v>
      </c>
      <c r="G26" s="273">
        <v>1.4999999999999999E-2</v>
      </c>
      <c r="H26" s="150">
        <f>IFERROR(F26-G26,"")</f>
        <v>-1.2512437810945274E-2</v>
      </c>
      <c r="I26" s="102"/>
      <c r="J26" s="266">
        <v>22932</v>
      </c>
      <c r="K26" s="268">
        <v>5275</v>
      </c>
      <c r="L26" s="275">
        <f>+K26/J26</f>
        <v>0.23002790859933717</v>
      </c>
      <c r="M26" s="268">
        <v>48</v>
      </c>
      <c r="N26" s="272">
        <f>+M26/K26</f>
        <v>9.0995260663507115E-3</v>
      </c>
      <c r="O26" s="272">
        <f>1-N26</f>
        <v>0.99090047393364933</v>
      </c>
      <c r="P26" s="1088"/>
      <c r="Q26" s="273">
        <v>1.4999999999999999E-2</v>
      </c>
      <c r="R26" s="150">
        <f>IFERROR((N26/Q26)-1,0)</f>
        <v>-0.39336492890995256</v>
      </c>
      <c r="S26" s="1088"/>
      <c r="T26" s="274">
        <v>1.4391579851788208E-2</v>
      </c>
      <c r="U26" s="9">
        <f>IFERROR((N26/T26)-1,0)</f>
        <v>-0.36771875221051142</v>
      </c>
      <c r="V26" s="216"/>
      <c r="W26" s="1089">
        <v>7</v>
      </c>
      <c r="X26" s="268">
        <v>51</v>
      </c>
      <c r="Y26" s="269">
        <f>+X26/K26</f>
        <v>9.6682464454976302E-3</v>
      </c>
      <c r="Z26" s="391">
        <f>+X26/M26</f>
        <v>1.0625</v>
      </c>
      <c r="AA26" s="1090">
        <f>1-Y26</f>
        <v>0.99033175355450243</v>
      </c>
      <c r="AB26" s="269">
        <f>+X26/(K26*W26)</f>
        <v>1.3811780636425186E-3</v>
      </c>
      <c r="AC26" s="1045">
        <f>+(X26/(K26*W26))*10^6</f>
        <v>1381.1780636425185</v>
      </c>
      <c r="AD26" s="1091">
        <f>IF(AC26=0,6,(_xlfn.NORM.S.INV(1-(AC26/10^6)))+1.5)</f>
        <v>4.4930156180922562</v>
      </c>
      <c r="AE26" s="1045">
        <f>+(M26/K26)*10^6</f>
        <v>9099.5260663507124</v>
      </c>
      <c r="AG26" s="325" t="str">
        <f>IF(AC26="","",IF(AC26&gt;20000,"BRONZE",IF(AC26&lt;=6000,"PLATINUM",IF(AC26&gt;15000,"SILVER","GOLD"))))</f>
        <v>PLATINUM</v>
      </c>
      <c r="AH26" s="1093"/>
      <c r="AI26" s="1042"/>
    </row>
    <row r="27" spans="1:35" outlineLevel="2">
      <c r="A27" s="149" t="s">
        <v>3</v>
      </c>
      <c r="B27" s="266">
        <v>1584</v>
      </c>
      <c r="C27" s="268">
        <v>358</v>
      </c>
      <c r="D27" s="275">
        <f>IFERROR(C27/B27,"")</f>
        <v>0.22601010101010102</v>
      </c>
      <c r="E27" s="268">
        <v>0</v>
      </c>
      <c r="F27" s="272">
        <f>IFERROR(E27/C27,"")</f>
        <v>0</v>
      </c>
      <c r="G27" s="273">
        <v>1.4999999999999999E-2</v>
      </c>
      <c r="H27" s="276">
        <f>IFERROR(F27-G27,"")</f>
        <v>-1.4999999999999999E-2</v>
      </c>
      <c r="I27" s="102"/>
      <c r="J27" s="266">
        <v>11435</v>
      </c>
      <c r="K27" s="268">
        <v>3759</v>
      </c>
      <c r="L27" s="275">
        <f>+K27/J27</f>
        <v>0.32872759073021424</v>
      </c>
      <c r="M27" s="268">
        <v>17</v>
      </c>
      <c r="N27" s="272">
        <f>+M27/K27</f>
        <v>4.522479382814578E-3</v>
      </c>
      <c r="O27" s="272">
        <f>1-N27</f>
        <v>0.99547752061718542</v>
      </c>
      <c r="P27" s="1092"/>
      <c r="Q27" s="273">
        <v>1.4999999999999999E-2</v>
      </c>
      <c r="R27" s="276">
        <f>IFERROR((N27/Q27)-1,0)</f>
        <v>-0.69850137447902805</v>
      </c>
      <c r="S27" s="1088"/>
      <c r="T27" s="274">
        <v>1.0797016097369454E-2</v>
      </c>
      <c r="U27" s="216">
        <f>IFERROR((N27/T27)-1,0)</f>
        <v>-0.58113618225350072</v>
      </c>
      <c r="V27" s="216"/>
      <c r="W27" s="1256">
        <v>7</v>
      </c>
      <c r="X27" s="1257">
        <v>18</v>
      </c>
      <c r="Y27" s="1258">
        <f>+X27/K27</f>
        <v>4.7885075818036712E-3</v>
      </c>
      <c r="Z27" s="1259">
        <f>+X27/M27</f>
        <v>1.0588235294117647</v>
      </c>
      <c r="AA27" s="1260">
        <f>1-Y27</f>
        <v>0.99521149241819629</v>
      </c>
      <c r="AB27" s="1258">
        <f>+X27/(K27*W27)</f>
        <v>6.8407251168623871E-4</v>
      </c>
      <c r="AC27" s="1261">
        <f>+(X27/(K27*W27))*10^6</f>
        <v>684.07251168623873</v>
      </c>
      <c r="AD27" s="1262">
        <f>IF(AC27=0,6,(_xlfn.NORM.S.INV(1-(AC27/10^6)))+1.5)</f>
        <v>4.7012884384058555</v>
      </c>
      <c r="AE27" s="1261">
        <f>+(M27/K27)*10^6</f>
        <v>4522.4793828145785</v>
      </c>
      <c r="AG27" s="325" t="str">
        <f>IF(AC27="","",IF(AC27&gt;20000,"BRONZE",IF(AC27&lt;=6000,"PLATINUM",IF(AC27&gt;15000,"SILVER","GOLD"))))</f>
        <v>PLATINUM</v>
      </c>
      <c r="AH27" s="1093"/>
      <c r="AI27" s="1042"/>
    </row>
    <row r="28" spans="1:35" hidden="1" outlineLevel="3">
      <c r="A28" s="149" t="s">
        <v>59</v>
      </c>
      <c r="B28" s="347"/>
      <c r="C28" s="348"/>
      <c r="D28" s="349"/>
      <c r="E28" s="348"/>
      <c r="F28" s="350"/>
      <c r="G28" s="351"/>
      <c r="H28" s="352"/>
      <c r="I28" s="102"/>
      <c r="J28" s="347"/>
      <c r="K28" s="348"/>
      <c r="L28" s="349"/>
      <c r="M28" s="348"/>
      <c r="N28" s="350"/>
      <c r="O28" s="350"/>
      <c r="P28" s="1094"/>
      <c r="Q28" s="351"/>
      <c r="R28" s="352"/>
      <c r="S28" s="1088"/>
      <c r="T28" s="412"/>
      <c r="U28" s="356"/>
      <c r="V28" s="216"/>
      <c r="W28" s="1095"/>
      <c r="X28" s="348"/>
      <c r="Y28" s="354"/>
      <c r="Z28" s="392"/>
      <c r="AA28" s="1096"/>
      <c r="AB28" s="354"/>
      <c r="AC28" s="1097"/>
      <c r="AD28" s="1098"/>
      <c r="AE28" s="1097"/>
      <c r="AF28" s="1099"/>
      <c r="AG28" s="355"/>
      <c r="AH28" s="1093"/>
      <c r="AI28" s="1042"/>
    </row>
    <row r="29" spans="1:35" ht="15" outlineLevel="2" collapsed="1" thickBot="1">
      <c r="A29" s="14" t="s">
        <v>4</v>
      </c>
      <c r="B29" s="390">
        <v>1017</v>
      </c>
      <c r="C29" s="129">
        <v>507</v>
      </c>
      <c r="D29" s="275">
        <f>IFERROR(C29/B29,"")</f>
        <v>0.49852507374631266</v>
      </c>
      <c r="E29" s="129">
        <v>6</v>
      </c>
      <c r="F29" s="134">
        <f>IFERROR(E29/C29,"")</f>
        <v>1.1834319526627219E-2</v>
      </c>
      <c r="G29" s="130">
        <v>5.0000000000000001E-3</v>
      </c>
      <c r="H29" s="277">
        <f>IFERROR(F29-G29,"")</f>
        <v>6.8343195266272186E-3</v>
      </c>
      <c r="I29" s="102"/>
      <c r="J29" s="390">
        <v>9791</v>
      </c>
      <c r="K29" s="129">
        <v>2846</v>
      </c>
      <c r="L29" s="183">
        <f>+K29/J29</f>
        <v>0.29067510979470945</v>
      </c>
      <c r="M29" s="129">
        <v>16</v>
      </c>
      <c r="N29" s="134">
        <f>+M29/K29</f>
        <v>5.6219255094869993E-3</v>
      </c>
      <c r="O29" s="134">
        <f>1-N29</f>
        <v>0.99437807449051296</v>
      </c>
      <c r="P29" s="1092"/>
      <c r="Q29" s="130">
        <v>5.0000000000000001E-3</v>
      </c>
      <c r="R29" s="277">
        <f>IFERROR((N29/Q29)-1,0)</f>
        <v>0.12438510189739982</v>
      </c>
      <c r="S29" s="1088"/>
      <c r="T29" s="136">
        <v>6.4613396510876586E-3</v>
      </c>
      <c r="U29" s="278">
        <f>IFERROR((N29/T29)-1,0)</f>
        <v>-0.12991332864839533</v>
      </c>
      <c r="V29" s="216"/>
      <c r="W29" s="1089">
        <v>7</v>
      </c>
      <c r="X29" s="271">
        <v>16</v>
      </c>
      <c r="Y29" s="269">
        <f>+X29/K29</f>
        <v>5.6219255094869993E-3</v>
      </c>
      <c r="Z29" s="391">
        <f>+X29/M29</f>
        <v>1</v>
      </c>
      <c r="AA29" s="1090">
        <f>1-Y29</f>
        <v>0.99437807449051296</v>
      </c>
      <c r="AB29" s="269">
        <f>+X29/(K29*W29)</f>
        <v>8.0313221564099987E-4</v>
      </c>
      <c r="AC29" s="1045">
        <f>+(X29/(K29*W29))*10^6</f>
        <v>803.1322156409999</v>
      </c>
      <c r="AD29" s="1091">
        <f>IF(AC29=0,6,(_xlfn.NORM.S.INV(1-(AC29/10^6)))+1.5)</f>
        <v>4.6547667918761721</v>
      </c>
      <c r="AE29" s="1045">
        <f>+(M29/K29)*10^6</f>
        <v>5621.9255094869995</v>
      </c>
      <c r="AG29" s="325" t="str">
        <f>IF(AC29="","",IF(AC29&gt;20000,"BRONZE",IF(AC29&lt;=6000,"PLATINUM",IF(AC29&gt;15000,"SILVER","GOLD"))))</f>
        <v>PLATINUM</v>
      </c>
      <c r="AH29" s="1093"/>
      <c r="AI29" s="1042"/>
    </row>
    <row r="30" spans="1:35" ht="15" outlineLevel="2">
      <c r="A30" s="124" t="s">
        <v>5</v>
      </c>
      <c r="B30" s="125">
        <f>SUM(B26:B29)</f>
        <v>6196</v>
      </c>
      <c r="C30" s="125">
        <f>SUM(C26:C29)</f>
        <v>1267</v>
      </c>
      <c r="D30" s="181">
        <f>IFERROR(C30/B30,"")</f>
        <v>0.20448676565526147</v>
      </c>
      <c r="E30" s="125">
        <f>SUM(E26:E29)</f>
        <v>7</v>
      </c>
      <c r="F30" s="179">
        <f>IFERROR(E30/C30,"")</f>
        <v>5.5248618784530384E-3</v>
      </c>
      <c r="G30" s="127">
        <f>AVERAGE(G26:G29)</f>
        <v>1.1666666666666665E-2</v>
      </c>
      <c r="H30" s="128">
        <f>IFERROR(F30-G30,"")</f>
        <v>-6.141804788213627E-3</v>
      </c>
      <c r="I30" s="102"/>
      <c r="J30" s="125">
        <f>SUM(J26:J29)</f>
        <v>44158</v>
      </c>
      <c r="K30" s="126">
        <f>SUM(K26:K29)</f>
        <v>11880</v>
      </c>
      <c r="L30" s="181">
        <f>+K30/J30</f>
        <v>0.2690339236378459</v>
      </c>
      <c r="M30" s="126">
        <f>SUM(M26:M29)</f>
        <v>81</v>
      </c>
      <c r="N30" s="179">
        <f>+M30/K30</f>
        <v>6.8181818181818179E-3</v>
      </c>
      <c r="O30" s="179">
        <f>1-N30</f>
        <v>0.99318181818181817</v>
      </c>
      <c r="P30" s="300"/>
      <c r="Q30" s="127">
        <f>AVERAGE(Q26:Q29)</f>
        <v>1.1666666666666665E-2</v>
      </c>
      <c r="R30" s="128">
        <f>IFERROR((N30/Q30)-1,0)</f>
        <v>-0.4155844155844155</v>
      </c>
      <c r="S30" s="1088"/>
      <c r="T30" s="180">
        <v>1.1497270054598907E-2</v>
      </c>
      <c r="U30" s="137">
        <f>IFERROR((N30/T30)-1,0)</f>
        <v>-0.40697384806973846</v>
      </c>
      <c r="V30" s="267"/>
      <c r="W30" s="212">
        <v>7</v>
      </c>
      <c r="X30" s="126">
        <f>SUM(X26:X29)</f>
        <v>85</v>
      </c>
      <c r="Y30" s="270">
        <f>+X30/K30</f>
        <v>7.1548821548821553E-3</v>
      </c>
      <c r="Z30" s="393">
        <f>+X30/M30</f>
        <v>1.0493827160493827</v>
      </c>
      <c r="AA30" s="301">
        <f>1-Y30</f>
        <v>0.99284511784511786</v>
      </c>
      <c r="AB30" s="270">
        <f>+X30/(K30*W30)</f>
        <v>1.0221260221260221E-3</v>
      </c>
      <c r="AC30" s="126">
        <f>+(X30/(K30*W30))*10^6</f>
        <v>1022.1260221260221</v>
      </c>
      <c r="AD30" s="298">
        <f>IF(AC30=0,6,(_xlfn.NORM.S.INV(1-(AC30/10^6)))+1.5)</f>
        <v>4.583726831812708</v>
      </c>
      <c r="AE30" s="126">
        <f>+(M30/K30)*10^6</f>
        <v>6818.181818181818</v>
      </c>
      <c r="AG30" s="325" t="str">
        <f>IF(AC30="","",IF(AC30&gt;20000,"BRONZE",IF(AC30&lt;=6000,"PLATINUM",IF(AC30&gt;15000,"SILVER","GOLD"))))</f>
        <v>PLATINUM</v>
      </c>
      <c r="AI30" s="297">
        <f>PRODUCT(AA26:AA29)</f>
        <v>0.98004863145355547</v>
      </c>
    </row>
    <row r="31" spans="1:35" outlineLevel="2">
      <c r="A31" s="3" t="s">
        <v>137</v>
      </c>
      <c r="B31" s="3"/>
      <c r="C31" s="3"/>
      <c r="D31" s="3"/>
      <c r="E31" s="3"/>
      <c r="F31" s="3"/>
      <c r="G31" s="3"/>
      <c r="H31" s="3"/>
      <c r="I31" s="3"/>
    </row>
    <row r="32" spans="1:35" outlineLevel="2">
      <c r="N32" s="1055"/>
    </row>
    <row r="33" spans="1:19" ht="15" outlineLevel="2">
      <c r="A33" s="4" t="s">
        <v>0</v>
      </c>
      <c r="B33" s="18">
        <v>45930</v>
      </c>
      <c r="C33" s="16">
        <v>45961</v>
      </c>
      <c r="D33" s="16">
        <v>45991</v>
      </c>
      <c r="E33" s="16">
        <v>46022</v>
      </c>
      <c r="F33" s="16">
        <v>46053</v>
      </c>
      <c r="G33" s="16">
        <v>46081</v>
      </c>
      <c r="H33" s="16">
        <v>46112</v>
      </c>
      <c r="I33" s="16">
        <v>46142</v>
      </c>
      <c r="J33" s="16">
        <v>46173</v>
      </c>
      <c r="K33" s="357">
        <v>46203</v>
      </c>
      <c r="L33" s="357">
        <v>46234</v>
      </c>
      <c r="M33" s="357">
        <v>46265</v>
      </c>
      <c r="N33" s="18">
        <v>46295</v>
      </c>
      <c r="O33"/>
      <c r="P33"/>
      <c r="Q33"/>
      <c r="R33"/>
      <c r="S33"/>
    </row>
    <row r="34" spans="1:19" outlineLevel="2">
      <c r="A34" s="6" t="s">
        <v>2</v>
      </c>
      <c r="B34" s="372">
        <v>1.2617220801364E-2</v>
      </c>
      <c r="C34" s="413">
        <v>2.4288107202680102E-2</v>
      </c>
      <c r="D34" s="413">
        <v>2.62751159196291E-2</v>
      </c>
      <c r="E34" s="413">
        <v>2.1691973969631198E-3</v>
      </c>
      <c r="F34" s="413">
        <v>1.75675675675676E-2</v>
      </c>
      <c r="G34" s="413">
        <v>7.5853350189633399E-3</v>
      </c>
      <c r="H34" s="413">
        <v>1.04790419161677E-2</v>
      </c>
      <c r="I34" s="413">
        <v>1.26422250316056E-2</v>
      </c>
      <c r="J34" s="413">
        <v>1.38504155124654E-3</v>
      </c>
      <c r="K34" s="446">
        <v>1.38568129330254E-2</v>
      </c>
      <c r="L34" s="446">
        <v>8.6580086580086597E-3</v>
      </c>
      <c r="M34" s="446">
        <v>0</v>
      </c>
      <c r="N34" s="8">
        <v>2.4875621890547298E-3</v>
      </c>
      <c r="O34"/>
      <c r="P34"/>
      <c r="Q34"/>
      <c r="R34"/>
      <c r="S34"/>
    </row>
    <row r="35" spans="1:19" outlineLevel="2">
      <c r="A35" s="7" t="s">
        <v>3</v>
      </c>
      <c r="B35" s="373">
        <v>1.35658914728682E-2</v>
      </c>
      <c r="C35" s="414">
        <v>1.42450142450142E-3</v>
      </c>
      <c r="D35" s="414">
        <v>1.63934426229508E-2</v>
      </c>
      <c r="E35" s="414">
        <v>2.27272727272727E-2</v>
      </c>
      <c r="F35" s="414">
        <v>0</v>
      </c>
      <c r="G35" s="414">
        <v>1.7632241813602002E-2</v>
      </c>
      <c r="H35" s="414">
        <v>2.9069767441860499E-3</v>
      </c>
      <c r="I35" s="414">
        <v>2.0161290322580601E-3</v>
      </c>
      <c r="J35" s="414">
        <v>6.5075921908893698E-3</v>
      </c>
      <c r="K35" s="447">
        <v>3.7383177570093499E-3</v>
      </c>
      <c r="L35" s="447">
        <v>2.04918032786885E-3</v>
      </c>
      <c r="M35" s="447">
        <v>9.5238095238095195E-3</v>
      </c>
      <c r="N35" s="17">
        <v>0</v>
      </c>
      <c r="O35"/>
      <c r="P35"/>
      <c r="Q35"/>
      <c r="R35"/>
      <c r="S35"/>
    </row>
    <row r="36" spans="1:19" hidden="1" outlineLevel="3">
      <c r="A36" s="7" t="s">
        <v>59</v>
      </c>
      <c r="B36" s="373"/>
      <c r="C36" s="415"/>
      <c r="D36" s="415"/>
      <c r="E36" s="415"/>
      <c r="F36" s="415"/>
      <c r="G36" s="415"/>
      <c r="H36" s="415"/>
      <c r="I36" s="415"/>
      <c r="J36" s="415"/>
      <c r="K36" s="447"/>
      <c r="L36" s="447"/>
      <c r="M36" s="447"/>
      <c r="N36" s="353"/>
      <c r="O36"/>
      <c r="P36"/>
      <c r="Q36"/>
      <c r="R36"/>
      <c r="S36"/>
    </row>
    <row r="37" spans="1:19" ht="15" outlineLevel="2" collapsed="1" thickBot="1">
      <c r="A37" s="122" t="s">
        <v>4</v>
      </c>
      <c r="B37" s="374">
        <v>0</v>
      </c>
      <c r="C37" s="416">
        <v>8.2918739635157498E-3</v>
      </c>
      <c r="D37" s="416">
        <v>0</v>
      </c>
      <c r="E37" s="416">
        <v>0</v>
      </c>
      <c r="F37" s="416">
        <v>7.6923076923076901E-3</v>
      </c>
      <c r="G37" s="416">
        <v>0</v>
      </c>
      <c r="H37" s="416">
        <v>0</v>
      </c>
      <c r="I37" s="416">
        <v>1.2820512820512799E-2</v>
      </c>
      <c r="J37" s="416">
        <v>3.7313432835820899E-3</v>
      </c>
      <c r="K37" s="449">
        <v>6.2111801242236003E-3</v>
      </c>
      <c r="L37" s="449">
        <v>3.6231884057971002E-3</v>
      </c>
      <c r="M37" s="449">
        <v>0</v>
      </c>
      <c r="N37" s="135">
        <v>1.18343195266272E-2</v>
      </c>
      <c r="O37"/>
      <c r="P37"/>
      <c r="Q37"/>
      <c r="R37"/>
      <c r="S37"/>
    </row>
    <row r="38" spans="1:19" ht="15" outlineLevel="2">
      <c r="A38" s="124" t="s">
        <v>5</v>
      </c>
      <c r="B38" s="375">
        <v>1.08356409589523E-2</v>
      </c>
      <c r="C38" s="417">
        <v>1.4005602240896401E-2</v>
      </c>
      <c r="D38" s="417">
        <v>2.0466444550214201E-2</v>
      </c>
      <c r="E38" s="417">
        <v>7.2683222289521496E-3</v>
      </c>
      <c r="F38" s="417">
        <v>1.02040816326531E-2</v>
      </c>
      <c r="G38" s="417">
        <v>9.0277777777777804E-3</v>
      </c>
      <c r="H38" s="417">
        <v>6.4724919093851101E-3</v>
      </c>
      <c r="I38" s="417">
        <v>9.2044707429322793E-3</v>
      </c>
      <c r="J38" s="417">
        <v>3.44589937973811E-3</v>
      </c>
      <c r="K38" s="450">
        <v>7.7519379844961196E-3</v>
      </c>
      <c r="L38" s="450">
        <v>4.6604527296937402E-3</v>
      </c>
      <c r="M38" s="450">
        <v>2.84495021337127E-3</v>
      </c>
      <c r="N38" s="182">
        <v>5.5248618784530402E-3</v>
      </c>
      <c r="O38"/>
      <c r="P38"/>
      <c r="Q38"/>
      <c r="R38"/>
      <c r="S38"/>
    </row>
    <row r="39" spans="1:19" outlineLevel="1">
      <c r="M39" s="1102"/>
    </row>
    <row r="40" spans="1:19">
      <c r="M40" s="1102"/>
      <c r="Q40" s="1102"/>
      <c r="R40" s="1102"/>
      <c r="S40" s="1102"/>
    </row>
    <row r="41" spans="1:19">
      <c r="J41" s="1045"/>
    </row>
    <row r="42" spans="1:19">
      <c r="J42" s="1045"/>
    </row>
    <row r="43" spans="1:19">
      <c r="J43" s="1045"/>
    </row>
    <row r="46" spans="1:19">
      <c r="L46" s="394"/>
    </row>
    <row r="47" spans="1:19">
      <c r="L47" s="395"/>
    </row>
    <row r="48" spans="1:19">
      <c r="L48" s="395"/>
    </row>
    <row r="49" spans="1:12">
      <c r="L49" s="395"/>
    </row>
    <row r="51" spans="1:12">
      <c r="L51" s="394"/>
    </row>
    <row r="52" spans="1:12">
      <c r="L52" s="396"/>
    </row>
    <row r="54" spans="1:12">
      <c r="L54" s="394"/>
    </row>
    <row r="55" spans="1:12">
      <c r="L55" s="395"/>
    </row>
    <row r="56" spans="1:12">
      <c r="L56" s="396"/>
    </row>
    <row r="62" spans="1:12">
      <c r="A62" s="279" t="s">
        <v>276</v>
      </c>
    </row>
    <row r="63" spans="1:12">
      <c r="A63" s="280" t="s">
        <v>277</v>
      </c>
    </row>
    <row r="64" spans="1:12">
      <c r="A64" s="281" t="s">
        <v>278</v>
      </c>
    </row>
    <row r="65" spans="1:5">
      <c r="A65" s="281" t="s">
        <v>279</v>
      </c>
    </row>
    <row r="66" spans="1:5">
      <c r="A66" s="281" t="s">
        <v>280</v>
      </c>
    </row>
    <row r="68" spans="1:5" ht="15">
      <c r="A68" s="282" t="s">
        <v>286</v>
      </c>
      <c r="B68"/>
      <c r="C68"/>
      <c r="D68" s="283">
        <v>1</v>
      </c>
      <c r="E68" s="284">
        <v>690000</v>
      </c>
    </row>
    <row r="69" spans="1:5">
      <c r="A69"/>
      <c r="B69"/>
      <c r="C69"/>
      <c r="D69" s="285">
        <v>2</v>
      </c>
      <c r="E69" s="286">
        <v>308000</v>
      </c>
    </row>
    <row r="70" spans="1:5">
      <c r="A70"/>
      <c r="B70"/>
      <c r="C70"/>
      <c r="D70" s="285">
        <v>3</v>
      </c>
      <c r="E70" s="286">
        <v>66800</v>
      </c>
    </row>
    <row r="71" spans="1:5">
      <c r="A71"/>
      <c r="B71"/>
      <c r="C71"/>
      <c r="D71" s="285">
        <v>4</v>
      </c>
      <c r="E71" s="286">
        <v>6210</v>
      </c>
    </row>
    <row r="72" spans="1:5">
      <c r="A72"/>
      <c r="B72"/>
      <c r="C72"/>
      <c r="D72" s="285">
        <v>5</v>
      </c>
      <c r="E72" s="287">
        <v>320</v>
      </c>
    </row>
    <row r="73" spans="1:5" ht="15" thickBot="1">
      <c r="A73"/>
      <c r="B73"/>
      <c r="C73"/>
      <c r="D73" s="285">
        <v>6</v>
      </c>
      <c r="E73" s="287">
        <v>3.4</v>
      </c>
    </row>
    <row r="74" spans="1:5" ht="16.5" thickBot="1">
      <c r="A74" s="1084" t="s">
        <v>287</v>
      </c>
      <c r="B74" s="1085"/>
      <c r="C74" s="1085"/>
      <c r="D74" s="1086"/>
    </row>
    <row r="75" spans="1:5" ht="15">
      <c r="A75" s="288" t="s">
        <v>288</v>
      </c>
      <c r="B75" s="289"/>
      <c r="C75" s="289"/>
      <c r="D75" s="290"/>
    </row>
    <row r="76" spans="1:5" ht="15">
      <c r="A76" s="291" t="s">
        <v>289</v>
      </c>
      <c r="B76" s="292"/>
      <c r="C76" s="292"/>
      <c r="D76" s="293"/>
    </row>
    <row r="77" spans="1:5" ht="15">
      <c r="A77" s="291" t="s">
        <v>290</v>
      </c>
      <c r="B77" s="292"/>
      <c r="C77" s="292"/>
      <c r="D77" s="293"/>
    </row>
    <row r="78" spans="1:5" ht="15">
      <c r="A78" s="291" t="s">
        <v>291</v>
      </c>
      <c r="B78" s="292"/>
      <c r="C78" s="292"/>
      <c r="D78" s="293"/>
    </row>
    <row r="79" spans="1:5" ht="15">
      <c r="A79" s="291" t="s">
        <v>292</v>
      </c>
      <c r="B79" s="292"/>
      <c r="C79" s="292"/>
      <c r="D79" s="293"/>
    </row>
    <row r="80" spans="1:5" ht="15.75" thickBot="1">
      <c r="A80" s="294" t="s">
        <v>293</v>
      </c>
      <c r="B80" s="295"/>
      <c r="C80" s="295"/>
      <c r="D80" s="296"/>
    </row>
    <row r="82" spans="1:6" ht="26.25">
      <c r="A82" s="331" t="s">
        <v>316</v>
      </c>
      <c r="B82" s="332" t="s">
        <v>270</v>
      </c>
      <c r="E82" s="397" t="s">
        <v>368</v>
      </c>
      <c r="F82"/>
    </row>
    <row r="83" spans="1:6" ht="15" thickBot="1">
      <c r="A83" s="326" t="s">
        <v>161</v>
      </c>
      <c r="B83" s="327" t="s">
        <v>317</v>
      </c>
      <c r="E83" s="398"/>
      <c r="F83"/>
    </row>
    <row r="84" spans="1:6" ht="15" thickBot="1">
      <c r="A84" s="328" t="s">
        <v>162</v>
      </c>
      <c r="B84" s="327" t="s">
        <v>318</v>
      </c>
      <c r="E84" s="399" t="s">
        <v>369</v>
      </c>
      <c r="F84" s="399" t="s">
        <v>370</v>
      </c>
    </row>
    <row r="85" spans="1:6" ht="15" thickBot="1">
      <c r="A85" s="329" t="s">
        <v>163</v>
      </c>
      <c r="B85" s="327" t="s">
        <v>319</v>
      </c>
      <c r="E85" s="400" t="s">
        <v>371</v>
      </c>
      <c r="F85" s="400" t="s">
        <v>372</v>
      </c>
    </row>
    <row r="86" spans="1:6" ht="15" thickBot="1">
      <c r="A86" s="330" t="s">
        <v>164</v>
      </c>
      <c r="B86" s="327" t="s">
        <v>320</v>
      </c>
      <c r="E86" s="400" t="s">
        <v>373</v>
      </c>
      <c r="F86" s="400" t="s">
        <v>374</v>
      </c>
    </row>
    <row r="87" spans="1:6" ht="15" thickBot="1">
      <c r="E87" s="400" t="s">
        <v>375</v>
      </c>
      <c r="F87" s="400" t="s">
        <v>376</v>
      </c>
    </row>
    <row r="88" spans="1:6" ht="15" thickBot="1">
      <c r="E88" s="400" t="s">
        <v>377</v>
      </c>
      <c r="F88" s="400" t="s">
        <v>378</v>
      </c>
    </row>
  </sheetData>
  <phoneticPr fontId="37" type="noConversion"/>
  <conditionalFormatting sqref="AG6:AG10">
    <cfRule type="cellIs" dxfId="7" priority="5" operator="equal">
      <formula>"GOLD"</formula>
    </cfRule>
    <cfRule type="cellIs" dxfId="6" priority="6" operator="equal">
      <formula>"PLATINUM"</formula>
    </cfRule>
    <cfRule type="cellIs" dxfId="5" priority="7" operator="equal">
      <formula>"SILVER"</formula>
    </cfRule>
    <cfRule type="cellIs" dxfId="4" priority="8" operator="equal">
      <formula>"BRONZE"</formula>
    </cfRule>
  </conditionalFormatting>
  <conditionalFormatting sqref="AG26:AG30">
    <cfRule type="cellIs" dxfId="3" priority="1" operator="equal">
      <formula>"GOLD"</formula>
    </cfRule>
    <cfRule type="cellIs" dxfId="2" priority="2" operator="equal">
      <formula>"PLATINUM"</formula>
    </cfRule>
    <cfRule type="cellIs" dxfId="1" priority="3" operator="equal">
      <formula>"SILVER"</formula>
    </cfRule>
    <cfRule type="cellIs" dxfId="0" priority="4" operator="equal">
      <formula>"BRONZE"</formula>
    </cfRule>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48F1-016B-4BC5-8236-F16D0B86F4AA}">
  <sheetPr>
    <tabColor rgb="FF66FFFF"/>
  </sheetPr>
  <dimension ref="A1:AE40"/>
  <sheetViews>
    <sheetView showGridLines="0" topLeftCell="K1" zoomScale="70" zoomScaleNormal="70" workbookViewId="0">
      <selection activeCell="AB37" sqref="AB37"/>
    </sheetView>
  </sheetViews>
  <sheetFormatPr baseColWidth="10" defaultColWidth="8.85546875" defaultRowHeight="15" outlineLevelCol="1"/>
  <cols>
    <col min="1" max="1" width="17.140625" style="19" customWidth="1"/>
    <col min="2" max="2" width="22.7109375" style="19" bestFit="1" customWidth="1"/>
    <col min="3" max="7" width="9.7109375" style="19" hidden="1" customWidth="1" outlineLevel="1"/>
    <col min="8" max="8" width="9.7109375" style="19" hidden="1" customWidth="1" outlineLevel="1" collapsed="1"/>
    <col min="9" max="10" width="9.7109375" style="19" hidden="1" customWidth="1" outlineLevel="1"/>
    <col min="11" max="11" width="9.7109375" style="19" customWidth="1" collapsed="1"/>
    <col min="12" max="16" width="9.7109375" style="19" customWidth="1"/>
    <col min="17" max="17" width="10.5703125" style="19" bestFit="1" customWidth="1"/>
    <col min="18" max="23" width="9.7109375" style="19" customWidth="1"/>
    <col min="24" max="26" width="10.28515625" style="19" customWidth="1"/>
    <col min="27" max="27" width="9.28515625" style="19" customWidth="1"/>
    <col min="28" max="28" width="11.28515625" style="19" customWidth="1"/>
    <col min="29" max="29" width="9.85546875" style="19" customWidth="1"/>
    <col min="30" max="16384" width="8.85546875" style="19"/>
  </cols>
  <sheetData>
    <row r="1" spans="1:31" ht="15.75">
      <c r="A1" s="1191" t="s">
        <v>304</v>
      </c>
      <c r="B1" s="1192"/>
    </row>
    <row r="2" spans="1:31" ht="15.75">
      <c r="A2" s="745" t="s">
        <v>432</v>
      </c>
      <c r="B2" s="746"/>
      <c r="AD2" s="1080"/>
      <c r="AE2" s="27"/>
    </row>
    <row r="3" spans="1:31" ht="31.5">
      <c r="A3" s="747" t="s">
        <v>0</v>
      </c>
      <c r="B3" s="747"/>
      <c r="C3" s="426">
        <v>45688</v>
      </c>
      <c r="D3" s="426">
        <v>45716</v>
      </c>
      <c r="E3" s="426">
        <v>45747</v>
      </c>
      <c r="F3" s="426">
        <v>45777</v>
      </c>
      <c r="G3" s="426">
        <v>45808</v>
      </c>
      <c r="H3" s="426">
        <v>45838</v>
      </c>
      <c r="I3" s="426">
        <v>45869</v>
      </c>
      <c r="J3" s="426">
        <v>45900</v>
      </c>
      <c r="K3" s="1263">
        <v>45930</v>
      </c>
      <c r="L3" s="426">
        <v>45961</v>
      </c>
      <c r="M3" s="426">
        <v>45991</v>
      </c>
      <c r="N3" s="426">
        <v>46022</v>
      </c>
      <c r="O3" s="426">
        <v>46053</v>
      </c>
      <c r="P3" s="426">
        <v>46081</v>
      </c>
      <c r="Q3" s="426">
        <v>46112</v>
      </c>
      <c r="R3" s="426">
        <v>46142</v>
      </c>
      <c r="S3" s="426">
        <v>46173</v>
      </c>
      <c r="T3" s="426">
        <v>46203</v>
      </c>
      <c r="U3" s="426">
        <v>46234</v>
      </c>
      <c r="V3" s="426">
        <v>46265</v>
      </c>
      <c r="W3" s="1263">
        <v>46295</v>
      </c>
      <c r="X3" s="185" t="s">
        <v>1</v>
      </c>
      <c r="Y3" s="187" t="s">
        <v>12</v>
      </c>
      <c r="Z3" s="185" t="s">
        <v>301</v>
      </c>
      <c r="AA3" s="27" t="s">
        <v>62</v>
      </c>
      <c r="AB3" s="748" t="s">
        <v>132</v>
      </c>
      <c r="AC3" s="27" t="s">
        <v>7</v>
      </c>
    </row>
    <row r="4" spans="1:31" ht="15.75">
      <c r="A4" s="749" t="s">
        <v>154</v>
      </c>
      <c r="B4" s="737" t="s">
        <v>309</v>
      </c>
      <c r="C4" s="750">
        <v>4377</v>
      </c>
      <c r="D4" s="750">
        <v>3694</v>
      </c>
      <c r="E4" s="750">
        <v>3161</v>
      </c>
      <c r="F4" s="750">
        <v>3199</v>
      </c>
      <c r="G4" s="750">
        <v>3454</v>
      </c>
      <c r="H4" s="750">
        <v>2969</v>
      </c>
      <c r="I4" s="750">
        <v>4374</v>
      </c>
      <c r="J4" s="750">
        <v>1312</v>
      </c>
      <c r="K4" s="1264">
        <v>1683</v>
      </c>
      <c r="L4" s="750">
        <v>5771</v>
      </c>
      <c r="M4" s="750">
        <v>4927</v>
      </c>
      <c r="N4" s="750">
        <v>3646</v>
      </c>
      <c r="O4" s="752">
        <v>2951</v>
      </c>
      <c r="P4" s="752">
        <v>2686</v>
      </c>
      <c r="Q4" s="752">
        <v>2775</v>
      </c>
      <c r="R4" s="752">
        <v>2893</v>
      </c>
      <c r="S4" s="752">
        <v>2500</v>
      </c>
      <c r="T4" s="752">
        <v>1561</v>
      </c>
      <c r="U4" s="752">
        <v>2198</v>
      </c>
      <c r="V4" s="752">
        <v>1817</v>
      </c>
      <c r="W4" s="1264">
        <v>3733</v>
      </c>
      <c r="X4" s="753">
        <f>SUM(O4:W4)</f>
        <v>23114</v>
      </c>
      <c r="Y4" s="752"/>
      <c r="Z4" s="33"/>
      <c r="AA4" s="33">
        <f>IFERROR(W4/V4-1,100%)</f>
        <v>1.0544854155200882</v>
      </c>
      <c r="AB4" s="750">
        <f>SUM(C4:K4)</f>
        <v>28223</v>
      </c>
      <c r="AC4" s="33">
        <f>+X4/AB4-1</f>
        <v>-0.18102257024412716</v>
      </c>
    </row>
    <row r="5" spans="1:31" ht="15.75">
      <c r="A5" s="754" t="s">
        <v>154</v>
      </c>
      <c r="B5" s="755" t="s">
        <v>310</v>
      </c>
      <c r="C5" s="756">
        <v>388</v>
      </c>
      <c r="D5" s="756">
        <v>393</v>
      </c>
      <c r="E5" s="756">
        <v>291</v>
      </c>
      <c r="F5" s="756">
        <v>259</v>
      </c>
      <c r="G5" s="756">
        <v>323.5</v>
      </c>
      <c r="H5" s="756">
        <v>356</v>
      </c>
      <c r="I5" s="756">
        <v>273</v>
      </c>
      <c r="J5" s="756">
        <v>74.5</v>
      </c>
      <c r="K5" s="1265">
        <v>346</v>
      </c>
      <c r="L5" s="756">
        <v>504.5</v>
      </c>
      <c r="M5" s="756">
        <v>428.5</v>
      </c>
      <c r="N5" s="756">
        <v>351</v>
      </c>
      <c r="O5" s="757">
        <v>290.5</v>
      </c>
      <c r="P5" s="757">
        <v>333.5</v>
      </c>
      <c r="Q5" s="757">
        <v>442.5</v>
      </c>
      <c r="R5" s="757">
        <v>508.5</v>
      </c>
      <c r="S5" s="757">
        <v>325</v>
      </c>
      <c r="T5" s="757">
        <v>360</v>
      </c>
      <c r="U5" s="757">
        <v>405.5</v>
      </c>
      <c r="V5" s="757">
        <v>194.5</v>
      </c>
      <c r="W5" s="1265">
        <v>433</v>
      </c>
      <c r="X5" s="758">
        <f>SUM(O5:W5)</f>
        <v>3293</v>
      </c>
      <c r="Y5" s="757"/>
      <c r="Z5" s="759"/>
      <c r="AA5" s="759">
        <f>IFERROR(W5/V5-1,100%)</f>
        <v>1.2262210796915167</v>
      </c>
      <c r="AB5" s="756">
        <f>SUM(C5:K5)</f>
        <v>2704</v>
      </c>
      <c r="AC5" s="759">
        <f>+X5/AB5-1</f>
        <v>0.21782544378698221</v>
      </c>
    </row>
    <row r="6" spans="1:31" ht="15.75">
      <c r="A6" s="749" t="s">
        <v>154</v>
      </c>
      <c r="B6" s="760" t="s">
        <v>311</v>
      </c>
      <c r="C6" s="761">
        <v>11.280927835051546</v>
      </c>
      <c r="D6" s="761">
        <v>9.3994910941475833</v>
      </c>
      <c r="E6" s="761">
        <v>10.862542955326461</v>
      </c>
      <c r="F6" s="761">
        <v>12.351351351351351</v>
      </c>
      <c r="G6" s="761">
        <v>10.676970633693973</v>
      </c>
      <c r="H6" s="761">
        <v>8.3398876404494384</v>
      </c>
      <c r="I6" s="761">
        <v>16.021978021978022</v>
      </c>
      <c r="J6" s="761">
        <v>17.610738255033556</v>
      </c>
      <c r="K6" s="1266">
        <v>4.8641618497109826</v>
      </c>
      <c r="L6" s="761">
        <v>11.439048562933598</v>
      </c>
      <c r="M6" s="761">
        <v>11.498249708284714</v>
      </c>
      <c r="N6" s="761">
        <v>10.387464387464387</v>
      </c>
      <c r="O6" s="762">
        <v>10.158347676419966</v>
      </c>
      <c r="P6" s="762">
        <v>8.0539730134932537</v>
      </c>
      <c r="Q6" s="762">
        <v>6.2711864406779663</v>
      </c>
      <c r="R6" s="762">
        <v>5.689282202556539</v>
      </c>
      <c r="S6" s="762">
        <v>7.6923076923076925</v>
      </c>
      <c r="T6" s="762">
        <v>4.3361111111111112</v>
      </c>
      <c r="U6" s="762">
        <f>IFERROR(U4/U5,0)</f>
        <v>5.4204685573366218</v>
      </c>
      <c r="V6" s="762">
        <f>IFERROR(V4/V5,0)</f>
        <v>9.3419023136246793</v>
      </c>
      <c r="W6" s="1266">
        <f>IFERROR(W4/W5,0)</f>
        <v>8.6212471131639727</v>
      </c>
      <c r="X6" s="762">
        <f>+X4/X5</f>
        <v>7.0191314910416036</v>
      </c>
      <c r="Y6" s="763">
        <v>8.1872465074357805</v>
      </c>
      <c r="Z6" s="764">
        <f>+X6/Y6-1</f>
        <v>-0.14267495370186756</v>
      </c>
      <c r="AA6" s="764">
        <f>IFERROR(W6/V6-1,100%)</f>
        <v>-7.7142232520422405E-2</v>
      </c>
      <c r="AB6" s="761">
        <f>+AB4/AB5</f>
        <v>10.4375</v>
      </c>
      <c r="AC6" s="764">
        <f>+X6/AB6-1</f>
        <v>-0.32750836013972662</v>
      </c>
    </row>
    <row r="7" spans="1:31" ht="15.75">
      <c r="A7" s="765"/>
      <c r="C7" s="766"/>
      <c r="D7" s="766"/>
      <c r="E7" s="766"/>
      <c r="F7" s="766"/>
      <c r="G7" s="766"/>
      <c r="H7" s="766"/>
      <c r="I7" s="766"/>
      <c r="J7" s="766"/>
      <c r="K7" s="767"/>
      <c r="L7" s="766"/>
      <c r="M7" s="766"/>
      <c r="N7" s="766"/>
      <c r="O7" s="767"/>
      <c r="P7" s="767"/>
      <c r="Q7" s="767"/>
      <c r="R7" s="767"/>
      <c r="S7" s="767"/>
      <c r="T7" s="767"/>
      <c r="U7" s="767"/>
      <c r="V7" s="767"/>
      <c r="W7" s="767"/>
      <c r="X7" s="768"/>
      <c r="Y7" s="767"/>
      <c r="Z7" s="769"/>
      <c r="AA7" s="769"/>
      <c r="AB7" s="766"/>
      <c r="AC7" s="769"/>
    </row>
    <row r="8" spans="1:31" ht="15.75">
      <c r="A8" s="754" t="s">
        <v>150</v>
      </c>
      <c r="B8" s="19" t="s">
        <v>309</v>
      </c>
      <c r="C8" s="766">
        <v>2304</v>
      </c>
      <c r="D8" s="766">
        <v>1643</v>
      </c>
      <c r="E8" s="766">
        <v>1500</v>
      </c>
      <c r="F8" s="766">
        <v>1283</v>
      </c>
      <c r="G8" s="766">
        <v>1524</v>
      </c>
      <c r="H8" s="766">
        <v>1766</v>
      </c>
      <c r="I8" s="766">
        <v>1679</v>
      </c>
      <c r="J8" s="766">
        <v>367</v>
      </c>
      <c r="K8" s="1267">
        <v>960</v>
      </c>
      <c r="L8" s="766">
        <v>2837</v>
      </c>
      <c r="M8" s="766">
        <v>1490</v>
      </c>
      <c r="N8" s="766">
        <v>1073</v>
      </c>
      <c r="O8" s="767">
        <v>1358</v>
      </c>
      <c r="P8" s="767">
        <v>1221</v>
      </c>
      <c r="Q8" s="767">
        <v>1127</v>
      </c>
      <c r="R8" s="767">
        <v>1329</v>
      </c>
      <c r="S8" s="767">
        <v>1435</v>
      </c>
      <c r="T8" s="767">
        <v>1511</v>
      </c>
      <c r="U8" s="767">
        <v>1383</v>
      </c>
      <c r="V8" s="767">
        <v>548</v>
      </c>
      <c r="W8" s="1267">
        <v>1580</v>
      </c>
      <c r="X8" s="768">
        <f>SUM(O8:W8)</f>
        <v>11492</v>
      </c>
      <c r="Y8" s="767"/>
      <c r="Z8" s="769"/>
      <c r="AA8" s="389">
        <f>IFERROR(W8/V8-1,100%)</f>
        <v>1.8832116788321169</v>
      </c>
      <c r="AB8" s="766">
        <f>SUM(C8:K8)</f>
        <v>13026</v>
      </c>
      <c r="AC8" s="769">
        <f>+X8/AB8-1</f>
        <v>-0.11776447105788423</v>
      </c>
    </row>
    <row r="9" spans="1:31" ht="15.75">
      <c r="A9" s="754" t="s">
        <v>150</v>
      </c>
      <c r="B9" s="755" t="s">
        <v>310</v>
      </c>
      <c r="C9" s="756">
        <v>419.5</v>
      </c>
      <c r="D9" s="756">
        <v>459.5</v>
      </c>
      <c r="E9" s="756">
        <v>375</v>
      </c>
      <c r="F9" s="756">
        <v>346.5</v>
      </c>
      <c r="G9" s="756">
        <v>408</v>
      </c>
      <c r="H9" s="756">
        <v>432.5</v>
      </c>
      <c r="I9" s="756">
        <v>450.5</v>
      </c>
      <c r="J9" s="756">
        <v>75.5</v>
      </c>
      <c r="K9" s="1265">
        <v>361.5</v>
      </c>
      <c r="L9" s="756">
        <v>433</v>
      </c>
      <c r="M9" s="756">
        <v>355.5</v>
      </c>
      <c r="N9" s="756">
        <v>407</v>
      </c>
      <c r="O9" s="757">
        <v>367</v>
      </c>
      <c r="P9" s="757">
        <v>386</v>
      </c>
      <c r="Q9" s="757">
        <v>354.5</v>
      </c>
      <c r="R9" s="757">
        <v>384</v>
      </c>
      <c r="S9" s="757">
        <v>444</v>
      </c>
      <c r="T9" s="757">
        <v>504.5</v>
      </c>
      <c r="U9" s="757">
        <v>550</v>
      </c>
      <c r="V9" s="757">
        <v>190</v>
      </c>
      <c r="W9" s="1265">
        <v>460.5</v>
      </c>
      <c r="X9" s="758">
        <f>SUM(O9:W9)</f>
        <v>3640.5</v>
      </c>
      <c r="Y9" s="757"/>
      <c r="Z9" s="759"/>
      <c r="AA9" s="759">
        <f>IFERROR(W9/V9-1,100%)</f>
        <v>1.4236842105263157</v>
      </c>
      <c r="AB9" s="756">
        <f>SUM(C9:K9)</f>
        <v>3328.5</v>
      </c>
      <c r="AC9" s="759">
        <f>+X9/AB9-1</f>
        <v>9.3735917079765585E-2</v>
      </c>
    </row>
    <row r="10" spans="1:31" ht="15.75">
      <c r="A10" s="749" t="s">
        <v>150</v>
      </c>
      <c r="B10" s="760" t="s">
        <v>311</v>
      </c>
      <c r="C10" s="761">
        <v>5.4922526817640049</v>
      </c>
      <c r="D10" s="761">
        <v>3.5756256800870512</v>
      </c>
      <c r="E10" s="761">
        <v>4</v>
      </c>
      <c r="F10" s="761">
        <v>3.7027417027417027</v>
      </c>
      <c r="G10" s="761">
        <v>3.7352941176470589</v>
      </c>
      <c r="H10" s="761">
        <v>4.0832369942196536</v>
      </c>
      <c r="I10" s="761">
        <v>3.7269700332963374</v>
      </c>
      <c r="J10" s="761">
        <v>4.8609271523178812</v>
      </c>
      <c r="K10" s="1266">
        <v>2.6556016597510372</v>
      </c>
      <c r="L10" s="761">
        <v>6.5519630484988456</v>
      </c>
      <c r="M10" s="761">
        <v>4.1912798874824189</v>
      </c>
      <c r="N10" s="761">
        <v>2.6363636363636362</v>
      </c>
      <c r="O10" s="762">
        <v>3.7002724795640325</v>
      </c>
      <c r="P10" s="762">
        <v>3.1632124352331608</v>
      </c>
      <c r="Q10" s="762">
        <v>3.1791255289139633</v>
      </c>
      <c r="R10" s="762">
        <v>3.4609375</v>
      </c>
      <c r="S10" s="762">
        <v>3.2319819819819822</v>
      </c>
      <c r="T10" s="762">
        <v>2.9950445986124876</v>
      </c>
      <c r="U10" s="762">
        <f>IFERROR(U8/U9,0)</f>
        <v>2.5145454545454546</v>
      </c>
      <c r="V10" s="762">
        <f>IFERROR(V8/V9,0)</f>
        <v>2.8842105263157896</v>
      </c>
      <c r="W10" s="1266">
        <f>IFERROR(W8/W9,0)</f>
        <v>3.4310532030401739</v>
      </c>
      <c r="X10" s="762">
        <f>+X8/X9</f>
        <v>3.1567092432358193</v>
      </c>
      <c r="Y10" s="763">
        <v>1.97</v>
      </c>
      <c r="Z10" s="33">
        <f>+X10/Y10-1</f>
        <v>0.60239047879990837</v>
      </c>
      <c r="AA10" s="764">
        <f>IFERROR(W10/V10-1,100%)</f>
        <v>0.18959873828035234</v>
      </c>
      <c r="AB10" s="761">
        <f>+AB8/AB9</f>
        <v>3.9134745380802163</v>
      </c>
      <c r="AC10" s="33">
        <f>+X10/AB10-1</f>
        <v>-0.19337427329107748</v>
      </c>
    </row>
    <row r="11" spans="1:31" ht="15.75">
      <c r="A11" s="765"/>
      <c r="C11" s="766"/>
      <c r="D11" s="766"/>
      <c r="E11" s="766"/>
      <c r="F11" s="766"/>
      <c r="G11" s="766"/>
      <c r="H11" s="766"/>
      <c r="I11" s="766"/>
      <c r="J11" s="766"/>
      <c r="K11" s="767"/>
      <c r="L11" s="766"/>
      <c r="M11" s="766"/>
      <c r="N11" s="766"/>
      <c r="O11" s="767"/>
      <c r="P11" s="767"/>
      <c r="Q11" s="767"/>
      <c r="R11" s="767"/>
      <c r="S11" s="767"/>
      <c r="T11" s="767"/>
      <c r="U11" s="767"/>
      <c r="V11" s="767"/>
      <c r="W11" s="767"/>
      <c r="X11" s="768"/>
      <c r="Y11" s="767"/>
      <c r="Z11" s="769"/>
      <c r="AA11" s="769"/>
      <c r="AB11" s="766"/>
      <c r="AC11" s="769"/>
    </row>
    <row r="12" spans="1:31" ht="15.75">
      <c r="A12" s="754" t="s">
        <v>155</v>
      </c>
      <c r="B12" s="19" t="s">
        <v>309</v>
      </c>
      <c r="C12" s="766"/>
      <c r="D12" s="766"/>
      <c r="E12" s="766"/>
      <c r="F12" s="766"/>
      <c r="G12" s="766"/>
      <c r="H12" s="766"/>
      <c r="I12" s="766"/>
      <c r="J12" s="766"/>
      <c r="K12" s="1267"/>
      <c r="L12" s="766"/>
      <c r="M12" s="766"/>
      <c r="N12" s="766"/>
      <c r="O12" s="767"/>
      <c r="P12" s="767"/>
      <c r="Q12" s="767"/>
      <c r="R12" s="767"/>
      <c r="S12" s="767"/>
      <c r="T12" s="767"/>
      <c r="U12" s="767"/>
      <c r="V12" s="767"/>
      <c r="W12" s="1267"/>
      <c r="X12" s="768"/>
      <c r="Y12" s="767"/>
      <c r="Z12" s="769"/>
      <c r="AA12" s="769"/>
      <c r="AB12" s="766">
        <f>SUM(C12:K12)</f>
        <v>0</v>
      </c>
      <c r="AC12" s="769"/>
    </row>
    <row r="13" spans="1:31" ht="15.75">
      <c r="A13" s="754" t="s">
        <v>155</v>
      </c>
      <c r="B13" s="755" t="s">
        <v>310</v>
      </c>
      <c r="C13" s="756"/>
      <c r="D13" s="756"/>
      <c r="E13" s="756"/>
      <c r="F13" s="756"/>
      <c r="G13" s="756"/>
      <c r="H13" s="756"/>
      <c r="I13" s="756"/>
      <c r="J13" s="756"/>
      <c r="K13" s="1265"/>
      <c r="L13" s="756"/>
      <c r="M13" s="756"/>
      <c r="N13" s="756"/>
      <c r="O13" s="757"/>
      <c r="P13" s="757"/>
      <c r="Q13" s="757"/>
      <c r="R13" s="757"/>
      <c r="S13" s="757"/>
      <c r="T13" s="757"/>
      <c r="U13" s="757"/>
      <c r="V13" s="757"/>
      <c r="W13" s="1265"/>
      <c r="X13" s="758"/>
      <c r="Y13" s="757"/>
      <c r="Z13" s="759"/>
      <c r="AA13" s="759"/>
      <c r="AB13" s="756">
        <f>SUM(C13:K13)</f>
        <v>0</v>
      </c>
      <c r="AC13" s="759"/>
    </row>
    <row r="14" spans="1:31" ht="15.75">
      <c r="A14" s="749" t="s">
        <v>155</v>
      </c>
      <c r="B14" s="760" t="s">
        <v>311</v>
      </c>
      <c r="C14" s="761"/>
      <c r="D14" s="761"/>
      <c r="E14" s="761"/>
      <c r="F14" s="761"/>
      <c r="G14" s="761"/>
      <c r="H14" s="761"/>
      <c r="I14" s="761"/>
      <c r="J14" s="761"/>
      <c r="K14" s="1266"/>
      <c r="L14" s="761"/>
      <c r="M14" s="761"/>
      <c r="N14" s="761"/>
      <c r="O14" s="762"/>
      <c r="P14" s="762"/>
      <c r="Q14" s="762"/>
      <c r="R14" s="762"/>
      <c r="S14" s="762"/>
      <c r="T14" s="762"/>
      <c r="U14" s="762"/>
      <c r="V14" s="762"/>
      <c r="W14" s="1266"/>
      <c r="X14" s="762"/>
      <c r="Y14" s="763"/>
      <c r="Z14" s="764"/>
      <c r="AA14" s="770"/>
      <c r="AB14" s="771"/>
      <c r="AC14" s="764"/>
    </row>
    <row r="15" spans="1:31" ht="15.75">
      <c r="A15" s="765"/>
      <c r="C15" s="766"/>
      <c r="D15" s="766"/>
      <c r="E15" s="766"/>
      <c r="F15" s="766"/>
      <c r="G15" s="766"/>
      <c r="H15" s="766"/>
      <c r="I15" s="766"/>
      <c r="J15" s="766"/>
      <c r="K15" s="767"/>
      <c r="L15" s="766"/>
      <c r="M15" s="766"/>
      <c r="N15" s="766"/>
      <c r="O15" s="767"/>
      <c r="P15" s="767"/>
      <c r="Q15" s="767"/>
      <c r="R15" s="767"/>
      <c r="S15" s="767"/>
      <c r="T15" s="767"/>
      <c r="U15" s="767"/>
      <c r="V15" s="767"/>
      <c r="W15" s="767"/>
      <c r="X15" s="768"/>
      <c r="Y15" s="767"/>
      <c r="Z15" s="769"/>
      <c r="AA15" s="769"/>
      <c r="AB15" s="766"/>
      <c r="AC15" s="769"/>
    </row>
    <row r="16" spans="1:31" ht="15.75">
      <c r="A16" s="772" t="s">
        <v>312</v>
      </c>
      <c r="B16" s="772"/>
      <c r="C16" s="773">
        <v>6681</v>
      </c>
      <c r="D16" s="773">
        <v>5337</v>
      </c>
      <c r="E16" s="773">
        <v>4661</v>
      </c>
      <c r="F16" s="773">
        <v>4482</v>
      </c>
      <c r="G16" s="773">
        <v>4978</v>
      </c>
      <c r="H16" s="773">
        <v>4735</v>
      </c>
      <c r="I16" s="773">
        <v>6053</v>
      </c>
      <c r="J16" s="773">
        <v>1679</v>
      </c>
      <c r="K16" s="1268">
        <v>2643</v>
      </c>
      <c r="L16" s="773">
        <v>8608</v>
      </c>
      <c r="M16" s="773">
        <v>6417</v>
      </c>
      <c r="N16" s="773">
        <v>4719</v>
      </c>
      <c r="O16" s="774">
        <v>4309</v>
      </c>
      <c r="P16" s="774">
        <v>3907</v>
      </c>
      <c r="Q16" s="774">
        <v>3902</v>
      </c>
      <c r="R16" s="774">
        <v>4222</v>
      </c>
      <c r="S16" s="774">
        <v>3935</v>
      </c>
      <c r="T16" s="774">
        <v>3072</v>
      </c>
      <c r="U16" s="774">
        <f t="shared" ref="U16:W17" si="0">U4+U8</f>
        <v>3581</v>
      </c>
      <c r="V16" s="774">
        <f t="shared" si="0"/>
        <v>2365</v>
      </c>
      <c r="W16" s="1268">
        <f t="shared" si="0"/>
        <v>5313</v>
      </c>
      <c r="X16" s="774">
        <f>SUM(O16:W16)</f>
        <v>34606</v>
      </c>
      <c r="Y16" s="775"/>
      <c r="Z16" s="776"/>
      <c r="AA16" s="777">
        <f>IFERROR(W16/V16-1,100%)</f>
        <v>1.2465116279069766</v>
      </c>
      <c r="AB16" s="773">
        <f>SUM(C16:K16)</f>
        <v>41249</v>
      </c>
      <c r="AC16" s="777">
        <f>+X16/AB16-1</f>
        <v>-0.16104632839583988</v>
      </c>
    </row>
    <row r="17" spans="1:29" ht="15.75">
      <c r="A17" s="754" t="s">
        <v>313</v>
      </c>
      <c r="B17" s="754"/>
      <c r="C17" s="778">
        <v>807.5</v>
      </c>
      <c r="D17" s="778">
        <v>852.5</v>
      </c>
      <c r="E17" s="778">
        <v>666</v>
      </c>
      <c r="F17" s="778">
        <v>605.5</v>
      </c>
      <c r="G17" s="778">
        <v>731.5</v>
      </c>
      <c r="H17" s="778">
        <v>788.5</v>
      </c>
      <c r="I17" s="778">
        <v>723.5</v>
      </c>
      <c r="J17" s="778">
        <v>150</v>
      </c>
      <c r="K17" s="1269">
        <v>707.5</v>
      </c>
      <c r="L17" s="778">
        <v>937.5</v>
      </c>
      <c r="M17" s="778">
        <v>784</v>
      </c>
      <c r="N17" s="778">
        <v>758</v>
      </c>
      <c r="O17" s="758">
        <v>657.5</v>
      </c>
      <c r="P17" s="758">
        <v>719.5</v>
      </c>
      <c r="Q17" s="758">
        <v>797</v>
      </c>
      <c r="R17" s="758">
        <v>892.5</v>
      </c>
      <c r="S17" s="758">
        <v>769</v>
      </c>
      <c r="T17" s="758">
        <v>864.5</v>
      </c>
      <c r="U17" s="758">
        <f t="shared" si="0"/>
        <v>955.5</v>
      </c>
      <c r="V17" s="758">
        <f t="shared" si="0"/>
        <v>384.5</v>
      </c>
      <c r="W17" s="1269">
        <f t="shared" si="0"/>
        <v>893.5</v>
      </c>
      <c r="X17" s="758">
        <f>SUM(O17:W17)</f>
        <v>6933.5</v>
      </c>
      <c r="Y17" s="757"/>
      <c r="Z17" s="759"/>
      <c r="AA17" s="779">
        <f>IFERROR(W17/V17-1,100%)</f>
        <v>1.3237971391417425</v>
      </c>
      <c r="AB17" s="778">
        <f>SUM(C17:K17)</f>
        <v>6032.5</v>
      </c>
      <c r="AC17" s="779">
        <f>+X17/AB17-1</f>
        <v>0.14935764608371316</v>
      </c>
    </row>
    <row r="18" spans="1:29" ht="16.5" thickBot="1">
      <c r="A18" s="780" t="s">
        <v>321</v>
      </c>
      <c r="B18" s="780"/>
      <c r="C18" s="781">
        <v>8.2736842105263158</v>
      </c>
      <c r="D18" s="781">
        <v>6.260410557184751</v>
      </c>
      <c r="E18" s="781">
        <v>6.9984984984984981</v>
      </c>
      <c r="F18" s="781">
        <v>7.4021469859620153</v>
      </c>
      <c r="G18" s="781">
        <v>6.8051948051948052</v>
      </c>
      <c r="H18" s="781">
        <v>6.0050729232720359</v>
      </c>
      <c r="I18" s="781">
        <v>8.3662750518313747</v>
      </c>
      <c r="J18" s="781">
        <v>11.193333333333333</v>
      </c>
      <c r="K18" s="1270">
        <v>3.7356890459363958</v>
      </c>
      <c r="L18" s="781">
        <v>9.1818666666666662</v>
      </c>
      <c r="M18" s="781">
        <v>8.1849489795918373</v>
      </c>
      <c r="N18" s="781">
        <v>6.2255936675461738</v>
      </c>
      <c r="O18" s="782">
        <v>6.55361216730038</v>
      </c>
      <c r="P18" s="782">
        <v>5.4301598332175125</v>
      </c>
      <c r="Q18" s="782">
        <v>4.8958594730238394</v>
      </c>
      <c r="R18" s="782">
        <v>4.7305322128851541</v>
      </c>
      <c r="S18" s="782">
        <v>5.11703511053316</v>
      </c>
      <c r="T18" s="782">
        <v>3.5534991324465008</v>
      </c>
      <c r="U18" s="782">
        <f>IFERROR(U16/U17,0)</f>
        <v>3.7477760334903194</v>
      </c>
      <c r="V18" s="782">
        <f>IFERROR(V16/V17,0)</f>
        <v>6.1508452535760725</v>
      </c>
      <c r="W18" s="1270">
        <f>IFERROR(W16/W17,0)</f>
        <v>5.9462786793508675</v>
      </c>
      <c r="X18" s="782">
        <f>+X16/X17</f>
        <v>4.9911300209129585</v>
      </c>
      <c r="Y18" s="783">
        <v>6.56</v>
      </c>
      <c r="Z18" s="784">
        <f>+X18/Y18-1</f>
        <v>-0.23915700900717096</v>
      </c>
      <c r="AA18" s="785">
        <f>IFERROR(W18/V18-1,100%)</f>
        <v>-3.3258286591793418E-2</v>
      </c>
      <c r="AB18" s="781">
        <f>+AB16/AB17</f>
        <v>6.8377952755905511</v>
      </c>
      <c r="AC18" s="785">
        <f>+X18/AB18-1</f>
        <v>-0.27006735069559451</v>
      </c>
    </row>
    <row r="19" spans="1:29" ht="15.75">
      <c r="A19" s="1162" t="s">
        <v>500</v>
      </c>
      <c r="B19" s="746"/>
      <c r="X19" s="786"/>
      <c r="Y19" s="746"/>
      <c r="Z19" s="746"/>
      <c r="AA19" s="746"/>
      <c r="AB19" s="746"/>
    </row>
    <row r="20" spans="1:29" ht="15.75">
      <c r="A20" s="1162"/>
      <c r="B20" s="746"/>
      <c r="X20" s="786"/>
      <c r="Y20" s="746"/>
      <c r="Z20" s="746"/>
      <c r="AA20" s="746"/>
      <c r="AB20" s="746"/>
    </row>
    <row r="21" spans="1:29" ht="15.75">
      <c r="A21" s="744" t="s">
        <v>367</v>
      </c>
      <c r="B21" s="746"/>
      <c r="C21" s="746"/>
      <c r="D21" s="746"/>
      <c r="E21" s="746"/>
      <c r="F21" s="746"/>
      <c r="G21" s="746"/>
      <c r="H21" s="746"/>
      <c r="I21" s="746"/>
      <c r="J21" s="746"/>
      <c r="K21" s="746"/>
      <c r="L21" s="746"/>
      <c r="M21" s="746"/>
      <c r="N21" s="746"/>
      <c r="O21" s="746"/>
      <c r="P21" s="746"/>
      <c r="Q21" s="746"/>
      <c r="R21" s="746"/>
      <c r="S21" s="746"/>
      <c r="T21" s="746"/>
      <c r="U21" s="746"/>
      <c r="V21" s="746"/>
      <c r="W21" s="746"/>
      <c r="X21" s="786"/>
      <c r="Y21" s="746"/>
      <c r="Z21" s="746"/>
      <c r="AA21" s="746"/>
      <c r="AB21" s="746"/>
    </row>
    <row r="22" spans="1:29" ht="15.75">
      <c r="A22" s="745" t="s">
        <v>433</v>
      </c>
      <c r="B22" s="746"/>
      <c r="C22" s="746"/>
      <c r="D22" s="746"/>
      <c r="E22" s="746"/>
      <c r="F22" s="746"/>
      <c r="G22" s="746"/>
      <c r="H22" s="746"/>
      <c r="I22" s="746"/>
      <c r="J22" s="746"/>
      <c r="K22" s="746"/>
      <c r="L22" s="746"/>
      <c r="M22" s="746"/>
      <c r="N22" s="746"/>
      <c r="O22" s="746"/>
      <c r="P22" s="746"/>
      <c r="Q22" s="746"/>
      <c r="R22" s="746"/>
      <c r="S22" s="746"/>
      <c r="T22" s="746"/>
      <c r="U22" s="746"/>
      <c r="V22" s="746"/>
      <c r="W22" s="746"/>
      <c r="X22" s="786"/>
      <c r="Y22" s="746"/>
      <c r="Z22" s="746"/>
      <c r="AA22" s="746"/>
    </row>
    <row r="23" spans="1:29" ht="31.5">
      <c r="A23" s="754" t="s">
        <v>308</v>
      </c>
      <c r="B23" s="754"/>
      <c r="C23" s="426">
        <v>45688</v>
      </c>
      <c r="D23" s="426">
        <v>45716</v>
      </c>
      <c r="E23" s="426">
        <v>45747</v>
      </c>
      <c r="F23" s="426">
        <v>45777</v>
      </c>
      <c r="G23" s="426">
        <v>45808</v>
      </c>
      <c r="H23" s="426">
        <v>45838</v>
      </c>
      <c r="I23" s="426">
        <v>45869</v>
      </c>
      <c r="J23" s="426">
        <v>45900</v>
      </c>
      <c r="K23" s="1263">
        <v>45930</v>
      </c>
      <c r="L23" s="426">
        <v>45961</v>
      </c>
      <c r="M23" s="426">
        <v>45991</v>
      </c>
      <c r="N23" s="426">
        <v>46022</v>
      </c>
      <c r="O23" s="426">
        <v>46053</v>
      </c>
      <c r="P23" s="426">
        <v>46081</v>
      </c>
      <c r="Q23" s="426">
        <v>46112</v>
      </c>
      <c r="R23" s="426">
        <v>46142</v>
      </c>
      <c r="S23" s="426">
        <v>46173</v>
      </c>
      <c r="T23" s="426">
        <v>46203</v>
      </c>
      <c r="U23" s="426">
        <v>46234</v>
      </c>
      <c r="V23" s="426">
        <v>46265</v>
      </c>
      <c r="W23" s="1263">
        <v>46295</v>
      </c>
      <c r="X23" s="185" t="s">
        <v>1</v>
      </c>
      <c r="Y23" s="187" t="s">
        <v>12</v>
      </c>
      <c r="Z23" s="185" t="s">
        <v>301</v>
      </c>
      <c r="AA23" s="27" t="s">
        <v>62</v>
      </c>
      <c r="AB23" s="748" t="s">
        <v>132</v>
      </c>
      <c r="AC23" s="27" t="s">
        <v>7</v>
      </c>
    </row>
    <row r="24" spans="1:29" ht="15.75">
      <c r="A24" s="749" t="s">
        <v>154</v>
      </c>
      <c r="B24" s="787" t="s">
        <v>309</v>
      </c>
      <c r="C24" s="750">
        <v>4377</v>
      </c>
      <c r="D24" s="750">
        <v>3694</v>
      </c>
      <c r="E24" s="750">
        <v>3161</v>
      </c>
      <c r="F24" s="750">
        <v>3199</v>
      </c>
      <c r="G24" s="750">
        <v>3454</v>
      </c>
      <c r="H24" s="750">
        <v>2969</v>
      </c>
      <c r="I24" s="750">
        <v>4374</v>
      </c>
      <c r="J24" s="750">
        <v>1312</v>
      </c>
      <c r="K24" s="1264">
        <v>1683</v>
      </c>
      <c r="L24" s="750">
        <v>5771</v>
      </c>
      <c r="M24" s="750">
        <v>4927</v>
      </c>
      <c r="N24" s="750">
        <v>3646</v>
      </c>
      <c r="O24" s="752">
        <v>2951</v>
      </c>
      <c r="P24" s="752">
        <v>2686</v>
      </c>
      <c r="Q24" s="752">
        <v>2775</v>
      </c>
      <c r="R24" s="752">
        <v>2893</v>
      </c>
      <c r="S24" s="752">
        <v>2500</v>
      </c>
      <c r="T24" s="752">
        <v>1561</v>
      </c>
      <c r="U24" s="752">
        <v>2198</v>
      </c>
      <c r="V24" s="752">
        <v>1817</v>
      </c>
      <c r="W24" s="1264">
        <v>3733</v>
      </c>
      <c r="X24" s="753">
        <f>SUM(O24:W24)</f>
        <v>23114</v>
      </c>
      <c r="Y24" s="752"/>
      <c r="Z24" s="33"/>
      <c r="AA24" s="33">
        <f>IFERROR(W24/V24-1,100%)</f>
        <v>1.0544854155200882</v>
      </c>
      <c r="AB24" s="750">
        <f>SUM(C24:K24)</f>
        <v>28223</v>
      </c>
      <c r="AC24" s="33">
        <f>+X24/AB24-1</f>
        <v>-0.18102257024412716</v>
      </c>
    </row>
    <row r="25" spans="1:29" ht="15.75">
      <c r="A25" s="754" t="s">
        <v>154</v>
      </c>
      <c r="B25" s="765" t="s">
        <v>314</v>
      </c>
      <c r="C25" s="756">
        <v>202</v>
      </c>
      <c r="D25" s="756">
        <v>185</v>
      </c>
      <c r="E25" s="756">
        <v>133</v>
      </c>
      <c r="F25" s="756">
        <v>136</v>
      </c>
      <c r="G25" s="756">
        <v>170</v>
      </c>
      <c r="H25" s="756">
        <v>160.5</v>
      </c>
      <c r="I25" s="756">
        <v>194.5</v>
      </c>
      <c r="J25" s="756">
        <v>34</v>
      </c>
      <c r="K25" s="1265">
        <v>183</v>
      </c>
      <c r="L25" s="756">
        <v>210.5</v>
      </c>
      <c r="M25" s="756">
        <v>185</v>
      </c>
      <c r="N25" s="756">
        <v>187</v>
      </c>
      <c r="O25" s="757">
        <v>192.5</v>
      </c>
      <c r="P25" s="757">
        <v>178</v>
      </c>
      <c r="Q25" s="757">
        <v>164.5</v>
      </c>
      <c r="R25" s="757">
        <v>202</v>
      </c>
      <c r="S25" s="757">
        <v>169</v>
      </c>
      <c r="T25" s="757">
        <v>205.5</v>
      </c>
      <c r="U25" s="757">
        <v>207.5</v>
      </c>
      <c r="V25" s="757">
        <v>91.5</v>
      </c>
      <c r="W25" s="1265">
        <v>200.5</v>
      </c>
      <c r="X25" s="758">
        <f>SUM(O25:W25)</f>
        <v>1611</v>
      </c>
      <c r="Y25" s="757"/>
      <c r="Z25" s="759"/>
      <c r="AA25" s="759">
        <f>IFERROR(W25/V25-1,100%)</f>
        <v>1.1912568306010929</v>
      </c>
      <c r="AB25" s="756">
        <f>SUM(C25:K25)</f>
        <v>1398</v>
      </c>
      <c r="AC25" s="759">
        <f>+X25/AB25-1</f>
        <v>0.15236051502145931</v>
      </c>
    </row>
    <row r="26" spans="1:29" ht="15.75">
      <c r="A26" s="749" t="s">
        <v>154</v>
      </c>
      <c r="B26" s="788" t="s">
        <v>315</v>
      </c>
      <c r="C26" s="761">
        <v>21.668316831683168</v>
      </c>
      <c r="D26" s="761">
        <v>19.967567567567567</v>
      </c>
      <c r="E26" s="761">
        <v>23.766917293233082</v>
      </c>
      <c r="F26" s="761">
        <v>23.522058823529413</v>
      </c>
      <c r="G26" s="761">
        <v>20.317647058823528</v>
      </c>
      <c r="H26" s="761">
        <v>18.498442367601246</v>
      </c>
      <c r="I26" s="761">
        <v>22.488431876606683</v>
      </c>
      <c r="J26" s="761">
        <v>38.588235294117645</v>
      </c>
      <c r="K26" s="1266">
        <v>9.1967213114754092</v>
      </c>
      <c r="L26" s="761">
        <v>27.415676959619951</v>
      </c>
      <c r="M26" s="761">
        <v>26.632432432432431</v>
      </c>
      <c r="N26" s="761">
        <v>19.497326203208555</v>
      </c>
      <c r="O26" s="762">
        <v>15.32987012987013</v>
      </c>
      <c r="P26" s="762">
        <v>15.089887640449438</v>
      </c>
      <c r="Q26" s="762">
        <v>16.869300911854104</v>
      </c>
      <c r="R26" s="762">
        <v>14.321782178217822</v>
      </c>
      <c r="S26" s="762">
        <v>14.792899408284024</v>
      </c>
      <c r="T26" s="762">
        <v>7.5961070559610704</v>
      </c>
      <c r="U26" s="762">
        <f>IFERROR(U24/U25,0)</f>
        <v>10.592771084337349</v>
      </c>
      <c r="V26" s="762">
        <f>IFERROR(V24/V25,0)</f>
        <v>19.857923497267759</v>
      </c>
      <c r="W26" s="1266">
        <f>IFERROR(W24/W25,0)</f>
        <v>18.618453865336658</v>
      </c>
      <c r="X26" s="762">
        <f>+X24/X25</f>
        <v>14.347610180012415</v>
      </c>
      <c r="Y26" s="763">
        <v>40.93623253717891</v>
      </c>
      <c r="Z26" s="764">
        <f>+X26/Y26-1</f>
        <v>-0.64951317474118564</v>
      </c>
      <c r="AA26" s="764">
        <f>IFERROR(W26/V26-1,100%)</f>
        <v>-6.2416880199061997E-2</v>
      </c>
      <c r="AB26" s="761">
        <f>+AB24/AB25</f>
        <v>20.188125894134476</v>
      </c>
      <c r="AC26" s="764">
        <f>+X26/AB26-1</f>
        <v>-0.28930450229751059</v>
      </c>
    </row>
    <row r="27" spans="1:29" ht="15.75">
      <c r="A27" s="765"/>
      <c r="B27" s="765"/>
      <c r="C27" s="766"/>
      <c r="D27" s="766"/>
      <c r="E27" s="766"/>
      <c r="F27" s="766"/>
      <c r="G27" s="766"/>
      <c r="H27" s="766"/>
      <c r="I27" s="766"/>
      <c r="J27" s="766"/>
      <c r="K27" s="767"/>
      <c r="L27" s="766"/>
      <c r="M27" s="766"/>
      <c r="N27" s="766"/>
      <c r="O27" s="767"/>
      <c r="P27" s="767"/>
      <c r="Q27" s="767"/>
      <c r="R27" s="767"/>
      <c r="S27" s="767"/>
      <c r="T27" s="767"/>
      <c r="U27" s="767"/>
      <c r="V27" s="767"/>
      <c r="W27" s="767"/>
      <c r="X27" s="768"/>
      <c r="Y27" s="767"/>
      <c r="Z27" s="769"/>
      <c r="AA27" s="769"/>
      <c r="AB27" s="766"/>
      <c r="AC27" s="769"/>
    </row>
    <row r="28" spans="1:29" ht="15.75">
      <c r="A28" s="754" t="s">
        <v>150</v>
      </c>
      <c r="B28" s="765" t="s">
        <v>309</v>
      </c>
      <c r="C28" s="766">
        <v>2304</v>
      </c>
      <c r="D28" s="766">
        <v>1643</v>
      </c>
      <c r="E28" s="766">
        <v>1500</v>
      </c>
      <c r="F28" s="766">
        <v>1283</v>
      </c>
      <c r="G28" s="766">
        <v>1524</v>
      </c>
      <c r="H28" s="766">
        <v>1766</v>
      </c>
      <c r="I28" s="766">
        <v>1679</v>
      </c>
      <c r="J28" s="766">
        <v>367</v>
      </c>
      <c r="K28" s="1267">
        <v>960</v>
      </c>
      <c r="L28" s="766">
        <v>2837</v>
      </c>
      <c r="M28" s="766">
        <v>1490</v>
      </c>
      <c r="N28" s="766">
        <v>1073</v>
      </c>
      <c r="O28" s="767">
        <v>1358</v>
      </c>
      <c r="P28" s="767">
        <v>1221</v>
      </c>
      <c r="Q28" s="767">
        <v>1127</v>
      </c>
      <c r="R28" s="767">
        <v>1329</v>
      </c>
      <c r="S28" s="767">
        <v>1434</v>
      </c>
      <c r="T28" s="767">
        <v>1511</v>
      </c>
      <c r="U28" s="767">
        <v>1383</v>
      </c>
      <c r="V28" s="767">
        <v>548</v>
      </c>
      <c r="W28" s="1267">
        <v>1580</v>
      </c>
      <c r="X28" s="768">
        <f>SUM(O28:W28)</f>
        <v>11491</v>
      </c>
      <c r="Y28" s="767"/>
      <c r="Z28" s="769"/>
      <c r="AA28" s="769">
        <f>IFERROR(W28/V28-1,100%)</f>
        <v>1.8832116788321169</v>
      </c>
      <c r="AB28" s="766">
        <f>SUM(C28:K28)</f>
        <v>13026</v>
      </c>
      <c r="AC28" s="769">
        <f>+X28/AB28-1</f>
        <v>-0.11784124059573164</v>
      </c>
    </row>
    <row r="29" spans="1:29" ht="15.75">
      <c r="A29" s="754" t="s">
        <v>150</v>
      </c>
      <c r="B29" s="765" t="s">
        <v>314</v>
      </c>
      <c r="C29" s="756">
        <v>202</v>
      </c>
      <c r="D29" s="756">
        <v>185</v>
      </c>
      <c r="E29" s="756">
        <v>133</v>
      </c>
      <c r="F29" s="756">
        <v>136</v>
      </c>
      <c r="G29" s="756">
        <v>170</v>
      </c>
      <c r="H29" s="756">
        <v>160.5</v>
      </c>
      <c r="I29" s="756">
        <v>194.5</v>
      </c>
      <c r="J29" s="756">
        <v>34</v>
      </c>
      <c r="K29" s="1265">
        <v>183</v>
      </c>
      <c r="L29" s="756">
        <v>210.5</v>
      </c>
      <c r="M29" s="756">
        <v>185</v>
      </c>
      <c r="N29" s="756">
        <v>187</v>
      </c>
      <c r="O29" s="757">
        <v>192.5</v>
      </c>
      <c r="P29" s="757">
        <v>178</v>
      </c>
      <c r="Q29" s="757">
        <v>164.5</v>
      </c>
      <c r="R29" s="757">
        <v>202</v>
      </c>
      <c r="S29" s="757">
        <v>169</v>
      </c>
      <c r="T29" s="757">
        <v>205.5</v>
      </c>
      <c r="U29" s="757">
        <v>207.5</v>
      </c>
      <c r="V29" s="757">
        <v>91.5</v>
      </c>
      <c r="W29" s="1265">
        <v>200.5</v>
      </c>
      <c r="X29" s="758">
        <f>SUM(O29:W29)</f>
        <v>1611</v>
      </c>
      <c r="Y29" s="757"/>
      <c r="Z29" s="759"/>
      <c r="AA29" s="759">
        <f>IFERROR(W29/V29-1,100%)</f>
        <v>1.1912568306010929</v>
      </c>
      <c r="AB29" s="756">
        <f>SUM(C29:K29)</f>
        <v>1398</v>
      </c>
      <c r="AC29" s="759">
        <f>+X29/AB29-1</f>
        <v>0.15236051502145931</v>
      </c>
    </row>
    <row r="30" spans="1:29" ht="15.75">
      <c r="A30" s="749" t="s">
        <v>150</v>
      </c>
      <c r="B30" s="788" t="s">
        <v>315</v>
      </c>
      <c r="C30" s="761">
        <v>11.405940594059405</v>
      </c>
      <c r="D30" s="761">
        <v>8.8810810810810814</v>
      </c>
      <c r="E30" s="761">
        <v>11.278195488721805</v>
      </c>
      <c r="F30" s="761">
        <v>9.4338235294117645</v>
      </c>
      <c r="G30" s="761">
        <v>8.9647058823529413</v>
      </c>
      <c r="H30" s="761">
        <v>11.003115264797508</v>
      </c>
      <c r="I30" s="761">
        <v>8.6323907455012847</v>
      </c>
      <c r="J30" s="761">
        <v>10.794117647058824</v>
      </c>
      <c r="K30" s="1266">
        <v>5.2459016393442619</v>
      </c>
      <c r="L30" s="761">
        <v>13.477434679334916</v>
      </c>
      <c r="M30" s="761">
        <v>8.0540540540540544</v>
      </c>
      <c r="N30" s="761">
        <v>5.737967914438503</v>
      </c>
      <c r="O30" s="762">
        <v>7.0545454545454547</v>
      </c>
      <c r="P30" s="762">
        <v>6.8595505617977528</v>
      </c>
      <c r="Q30" s="762">
        <v>6.8510638297872344</v>
      </c>
      <c r="R30" s="762">
        <v>6.5792079207920793</v>
      </c>
      <c r="S30" s="762">
        <v>8.4852071005917153</v>
      </c>
      <c r="T30" s="762">
        <v>7.3527980535279802</v>
      </c>
      <c r="U30" s="762">
        <f>IFERROR(U28/U29,0)</f>
        <v>6.6650602409638555</v>
      </c>
      <c r="V30" s="762">
        <f>IFERROR(V28/V29,0)</f>
        <v>5.9890710382513666</v>
      </c>
      <c r="W30" s="1266">
        <f>IFERROR(W28/W29,0)</f>
        <v>7.8802992518703245</v>
      </c>
      <c r="X30" s="762">
        <f>+X28/X29</f>
        <v>7.1328367473618872</v>
      </c>
      <c r="Y30" s="763">
        <v>9.83</v>
      </c>
      <c r="Z30" s="33">
        <f>+X30/Y30-1</f>
        <v>-0.274380798844162</v>
      </c>
      <c r="AA30" s="33">
        <f>IFERROR(W30/V30-1,100%)</f>
        <v>0.31577989333236256</v>
      </c>
      <c r="AB30" s="761">
        <f>+AB28/AB29</f>
        <v>9.3175965665236049</v>
      </c>
      <c r="AC30" s="33">
        <f>+X30/AB30-1</f>
        <v>-0.23447675627115627</v>
      </c>
    </row>
    <row r="31" spans="1:29" ht="15.75">
      <c r="A31" s="765"/>
      <c r="B31" s="765"/>
      <c r="C31" s="766"/>
      <c r="D31" s="766"/>
      <c r="E31" s="766"/>
      <c r="F31" s="766"/>
      <c r="G31" s="766"/>
      <c r="H31" s="766"/>
      <c r="I31" s="766"/>
      <c r="J31" s="766"/>
      <c r="K31" s="767"/>
      <c r="L31" s="766"/>
      <c r="M31" s="766"/>
      <c r="N31" s="766"/>
      <c r="O31" s="767"/>
      <c r="P31" s="767"/>
      <c r="Q31" s="767"/>
      <c r="R31" s="767"/>
      <c r="S31" s="767"/>
      <c r="T31" s="767"/>
      <c r="U31" s="767"/>
      <c r="V31" s="767"/>
      <c r="W31" s="767"/>
      <c r="X31" s="768"/>
      <c r="Y31" s="767"/>
      <c r="Z31" s="769"/>
      <c r="AA31" s="769"/>
      <c r="AB31" s="766"/>
      <c r="AC31" s="769"/>
    </row>
    <row r="32" spans="1:29" ht="15.75">
      <c r="A32" s="754" t="s">
        <v>155</v>
      </c>
      <c r="B32" s="765" t="s">
        <v>309</v>
      </c>
      <c r="C32" s="766"/>
      <c r="D32" s="766"/>
      <c r="E32" s="766"/>
      <c r="F32" s="766"/>
      <c r="G32" s="766"/>
      <c r="H32" s="766"/>
      <c r="I32" s="766"/>
      <c r="J32" s="766"/>
      <c r="K32" s="1267"/>
      <c r="L32" s="766"/>
      <c r="M32" s="766"/>
      <c r="N32" s="766"/>
      <c r="O32" s="767"/>
      <c r="P32" s="767"/>
      <c r="Q32" s="767"/>
      <c r="R32" s="767"/>
      <c r="S32" s="767"/>
      <c r="T32" s="767"/>
      <c r="U32" s="767"/>
      <c r="V32" s="767"/>
      <c r="W32" s="1267"/>
      <c r="X32" s="768"/>
      <c r="Y32" s="767"/>
      <c r="Z32" s="769"/>
      <c r="AA32" s="769"/>
      <c r="AB32" s="766">
        <f>SUM(C32:K32)</f>
        <v>0</v>
      </c>
      <c r="AC32" s="769"/>
    </row>
    <row r="33" spans="1:29" ht="15.75">
      <c r="A33" s="754" t="s">
        <v>155</v>
      </c>
      <c r="B33" s="765" t="s">
        <v>314</v>
      </c>
      <c r="C33" s="756">
        <v>202</v>
      </c>
      <c r="D33" s="756">
        <v>185</v>
      </c>
      <c r="E33" s="756">
        <v>133</v>
      </c>
      <c r="F33" s="756">
        <v>136</v>
      </c>
      <c r="G33" s="756">
        <v>170</v>
      </c>
      <c r="H33" s="756">
        <v>160.5</v>
      </c>
      <c r="I33" s="756">
        <v>194.5</v>
      </c>
      <c r="J33" s="756">
        <v>34</v>
      </c>
      <c r="K33" s="1265">
        <v>183</v>
      </c>
      <c r="L33" s="756">
        <v>210.5</v>
      </c>
      <c r="M33" s="756">
        <v>185</v>
      </c>
      <c r="N33" s="756">
        <v>187</v>
      </c>
      <c r="O33" s="757">
        <v>192.5</v>
      </c>
      <c r="P33" s="757">
        <v>178</v>
      </c>
      <c r="Q33" s="757">
        <v>164.5</v>
      </c>
      <c r="R33" s="757">
        <v>202</v>
      </c>
      <c r="S33" s="757">
        <v>169</v>
      </c>
      <c r="T33" s="757">
        <v>205.5</v>
      </c>
      <c r="U33" s="757">
        <v>207.5</v>
      </c>
      <c r="V33" s="757">
        <v>91.5</v>
      </c>
      <c r="W33" s="1265">
        <v>200.5</v>
      </c>
      <c r="X33" s="758">
        <f>SUM(O33:W33)</f>
        <v>1611</v>
      </c>
      <c r="Y33" s="757"/>
      <c r="Z33" s="759"/>
      <c r="AA33" s="759"/>
      <c r="AB33" s="756">
        <f>SUM(C33:K33)</f>
        <v>1398</v>
      </c>
      <c r="AC33" s="759"/>
    </row>
    <row r="34" spans="1:29" ht="15.75">
      <c r="A34" s="749" t="s">
        <v>155</v>
      </c>
      <c r="B34" s="788" t="s">
        <v>315</v>
      </c>
      <c r="C34" s="761"/>
      <c r="D34" s="761"/>
      <c r="E34" s="761"/>
      <c r="F34" s="761"/>
      <c r="G34" s="761"/>
      <c r="H34" s="761"/>
      <c r="I34" s="761"/>
      <c r="J34" s="761"/>
      <c r="K34" s="1266"/>
      <c r="L34" s="761"/>
      <c r="M34" s="761"/>
      <c r="N34" s="761"/>
      <c r="O34" s="762"/>
      <c r="P34" s="762"/>
      <c r="Q34" s="762"/>
      <c r="R34" s="762"/>
      <c r="S34" s="762"/>
      <c r="T34" s="762"/>
      <c r="U34" s="762"/>
      <c r="V34" s="762"/>
      <c r="W34" s="1266"/>
      <c r="X34" s="762"/>
      <c r="Y34" s="763"/>
      <c r="Z34" s="764"/>
      <c r="AA34" s="770"/>
      <c r="AB34" s="761">
        <f>+AB32/AB33</f>
        <v>0</v>
      </c>
      <c r="AC34" s="764"/>
    </row>
    <row r="35" spans="1:29" ht="15.75">
      <c r="A35" s="765"/>
      <c r="B35" s="765"/>
      <c r="C35" s="766"/>
      <c r="D35" s="766"/>
      <c r="E35" s="766"/>
      <c r="F35" s="766"/>
      <c r="G35" s="766"/>
      <c r="H35" s="766"/>
      <c r="I35" s="766"/>
      <c r="J35" s="766"/>
      <c r="K35" s="767"/>
      <c r="L35" s="766"/>
      <c r="M35" s="766"/>
      <c r="N35" s="766"/>
      <c r="O35" s="767"/>
      <c r="P35" s="767"/>
      <c r="Q35" s="767"/>
      <c r="R35" s="767"/>
      <c r="S35" s="767"/>
      <c r="T35" s="767"/>
      <c r="U35" s="767"/>
      <c r="V35" s="767"/>
      <c r="W35" s="767"/>
      <c r="X35" s="768"/>
      <c r="Y35" s="767"/>
      <c r="Z35" s="769"/>
      <c r="AA35" s="769"/>
      <c r="AB35" s="766"/>
      <c r="AC35" s="769"/>
    </row>
    <row r="36" spans="1:29" ht="15.75">
      <c r="A36" s="789" t="s">
        <v>312</v>
      </c>
      <c r="B36" s="789"/>
      <c r="C36" s="773">
        <v>6681</v>
      </c>
      <c r="D36" s="773">
        <v>5337</v>
      </c>
      <c r="E36" s="773">
        <v>4661</v>
      </c>
      <c r="F36" s="773">
        <v>4482</v>
      </c>
      <c r="G36" s="773">
        <v>4978</v>
      </c>
      <c r="H36" s="773">
        <v>4735</v>
      </c>
      <c r="I36" s="773">
        <v>6053</v>
      </c>
      <c r="J36" s="773">
        <v>1679</v>
      </c>
      <c r="K36" s="1268">
        <v>2643</v>
      </c>
      <c r="L36" s="773">
        <v>8608</v>
      </c>
      <c r="M36" s="773">
        <v>6417</v>
      </c>
      <c r="N36" s="773">
        <v>4719</v>
      </c>
      <c r="O36" s="774">
        <v>4309</v>
      </c>
      <c r="P36" s="774">
        <v>3907</v>
      </c>
      <c r="Q36" s="774">
        <v>3902</v>
      </c>
      <c r="R36" s="774">
        <v>4222</v>
      </c>
      <c r="S36" s="774">
        <v>3934</v>
      </c>
      <c r="T36" s="774">
        <v>3072</v>
      </c>
      <c r="U36" s="774">
        <f>U24+U28</f>
        <v>3581</v>
      </c>
      <c r="V36" s="774">
        <f>V24+V28</f>
        <v>2365</v>
      </c>
      <c r="W36" s="1268">
        <f>W24+W28</f>
        <v>5313</v>
      </c>
      <c r="X36" s="774">
        <f>SUM(O36:W36)</f>
        <v>34605</v>
      </c>
      <c r="Y36" s="775"/>
      <c r="Z36" s="776"/>
      <c r="AA36" s="777">
        <f>IFERROR(W36/V36-1,100%)</f>
        <v>1.2465116279069766</v>
      </c>
      <c r="AB36" s="773">
        <f>SUM(C36:K36)</f>
        <v>41249</v>
      </c>
      <c r="AC36" s="777">
        <f>+X36/AB36-1</f>
        <v>-0.16107057140779169</v>
      </c>
    </row>
    <row r="37" spans="1:29" ht="15.75">
      <c r="A37" s="754" t="s">
        <v>322</v>
      </c>
      <c r="B37" s="754"/>
      <c r="C37" s="778">
        <v>202</v>
      </c>
      <c r="D37" s="778">
        <v>185</v>
      </c>
      <c r="E37" s="778">
        <v>133</v>
      </c>
      <c r="F37" s="778">
        <v>136</v>
      </c>
      <c r="G37" s="778">
        <v>170</v>
      </c>
      <c r="H37" s="778">
        <v>160.5</v>
      </c>
      <c r="I37" s="778">
        <v>194.5</v>
      </c>
      <c r="J37" s="778">
        <v>34</v>
      </c>
      <c r="K37" s="1269">
        <v>183</v>
      </c>
      <c r="L37" s="778">
        <v>210.5</v>
      </c>
      <c r="M37" s="778">
        <v>185</v>
      </c>
      <c r="N37" s="778">
        <v>187</v>
      </c>
      <c r="O37" s="758">
        <v>192.5</v>
      </c>
      <c r="P37" s="758">
        <v>178</v>
      </c>
      <c r="Q37" s="758">
        <v>164.5</v>
      </c>
      <c r="R37" s="758">
        <v>202</v>
      </c>
      <c r="S37" s="758">
        <v>169</v>
      </c>
      <c r="T37" s="758">
        <v>205.5</v>
      </c>
      <c r="U37" s="758">
        <v>207.5</v>
      </c>
      <c r="V37" s="758">
        <v>91.5</v>
      </c>
      <c r="W37" s="1269">
        <v>200.5</v>
      </c>
      <c r="X37" s="758">
        <f>SUM(O37:W37)</f>
        <v>1611</v>
      </c>
      <c r="Y37" s="757"/>
      <c r="Z37" s="759"/>
      <c r="AA37" s="779">
        <f>IFERROR(W37/V37-1,100%)</f>
        <v>1.1912568306010929</v>
      </c>
      <c r="AB37" s="778">
        <f>SUM(C37:K37)</f>
        <v>1398</v>
      </c>
      <c r="AC37" s="779">
        <f>+X37/AB37-1</f>
        <v>0.15236051502145931</v>
      </c>
    </row>
    <row r="38" spans="1:29" ht="16.5" thickBot="1">
      <c r="A38" s="780" t="s">
        <v>323</v>
      </c>
      <c r="B38" s="780"/>
      <c r="C38" s="790">
        <v>33.074257425742573</v>
      </c>
      <c r="D38" s="790">
        <v>28.848648648648648</v>
      </c>
      <c r="E38" s="790">
        <v>35.045112781954884</v>
      </c>
      <c r="F38" s="790">
        <v>32.955882352941174</v>
      </c>
      <c r="G38" s="790">
        <v>29.28235294117647</v>
      </c>
      <c r="H38" s="790">
        <v>29.501557632398754</v>
      </c>
      <c r="I38" s="781">
        <v>31.120822622107969</v>
      </c>
      <c r="J38" s="781">
        <v>49.382352941176471</v>
      </c>
      <c r="K38" s="1270">
        <v>14.442622950819672</v>
      </c>
      <c r="L38" s="781">
        <v>40.893111638954871</v>
      </c>
      <c r="M38" s="781">
        <v>34.686486486486487</v>
      </c>
      <c r="N38" s="781">
        <v>25.235294117647058</v>
      </c>
      <c r="O38" s="782">
        <v>22.384415584415585</v>
      </c>
      <c r="P38" s="782">
        <v>21.94943820224719</v>
      </c>
      <c r="Q38" s="782">
        <v>23.720364741641337</v>
      </c>
      <c r="R38" s="782">
        <v>20.900990099009903</v>
      </c>
      <c r="S38" s="782">
        <v>23.278106508875741</v>
      </c>
      <c r="T38" s="782">
        <v>14.948905109489051</v>
      </c>
      <c r="U38" s="782">
        <f>IFERROR(U36/U37,0)</f>
        <v>17.257831325301204</v>
      </c>
      <c r="V38" s="782">
        <f>IFERROR(V36/V37,0)</f>
        <v>25.846994535519126</v>
      </c>
      <c r="W38" s="1270">
        <f>IFERROR(W36/W37,0)</f>
        <v>26.498753117206981</v>
      </c>
      <c r="X38" s="782">
        <f>+X36/X37</f>
        <v>21.480446927374302</v>
      </c>
      <c r="Y38" s="783">
        <v>65.58</v>
      </c>
      <c r="Z38" s="784">
        <f>+X38/Y38-1</f>
        <v>-0.67245430119892791</v>
      </c>
      <c r="AA38" s="785">
        <f>IFERROR(W38/V38-1,100%)</f>
        <v>2.5216029693208686E-2</v>
      </c>
      <c r="AB38" s="790">
        <f>+AB36/AB37</f>
        <v>29.505722460658085</v>
      </c>
      <c r="AC38" s="785">
        <f>+X38/AB38-1</f>
        <v>-0.27199047723655667</v>
      </c>
    </row>
    <row r="39" spans="1:29" ht="15.75">
      <c r="L39" s="426"/>
      <c r="M39" s="426"/>
      <c r="X39" s="746"/>
      <c r="Y39" s="746"/>
      <c r="Z39" s="746"/>
      <c r="AA39" s="746"/>
    </row>
    <row r="40" spans="1:29" ht="15.75">
      <c r="C40" s="542"/>
      <c r="D40" s="542"/>
      <c r="E40" s="542"/>
      <c r="F40" s="542"/>
      <c r="G40" s="542"/>
      <c r="H40" s="542"/>
      <c r="I40" s="542"/>
      <c r="J40" s="542"/>
      <c r="K40" s="542"/>
      <c r="L40" s="542"/>
      <c r="M40" s="542"/>
      <c r="N40" s="542"/>
      <c r="O40" s="542"/>
      <c r="P40" s="542"/>
      <c r="Q40" s="542"/>
      <c r="R40" s="542"/>
      <c r="S40" s="542"/>
      <c r="T40" s="542"/>
      <c r="U40" s="542"/>
      <c r="V40" s="542"/>
      <c r="W40" s="542"/>
      <c r="X40" s="746"/>
      <c r="Y40" s="746"/>
      <c r="Z40" s="746"/>
      <c r="AA40" s="74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70518-6591-42E1-B3D0-ED8AC905BE75}">
  <sheetPr>
    <tabColor rgb="FF66FFFF"/>
  </sheetPr>
  <dimension ref="A1:AF41"/>
  <sheetViews>
    <sheetView showGridLines="0" zoomScale="70" zoomScaleNormal="70" workbookViewId="0">
      <pane xSplit="1" topLeftCell="J1" activePane="topRight" state="frozen"/>
      <selection activeCell="A4" sqref="A4"/>
      <selection pane="topRight" sqref="A1:K1"/>
    </sheetView>
  </sheetViews>
  <sheetFormatPr baseColWidth="10" defaultColWidth="8.85546875" defaultRowHeight="15" outlineLevelRow="2" outlineLevelCol="1"/>
  <cols>
    <col min="1" max="1" width="25" style="19" customWidth="1"/>
    <col min="2" max="9" width="10" style="19" hidden="1" customWidth="1" outlineLevel="1"/>
    <col min="10" max="11" width="10" style="19" customWidth="1" collapsed="1"/>
    <col min="12" max="22" width="10" style="19" customWidth="1"/>
    <col min="23" max="23" width="11" style="19" customWidth="1"/>
    <col min="24" max="24" width="9" style="19" customWidth="1"/>
    <col min="25" max="25" width="10.140625" style="19" bestFit="1" customWidth="1"/>
    <col min="26" max="26" width="10.140625" style="19" customWidth="1"/>
    <col min="27" max="27" width="11.42578125" style="19" customWidth="1"/>
    <col min="28" max="28" width="8.85546875" style="19"/>
    <col min="29" max="29" width="11.28515625" style="19" customWidth="1"/>
    <col min="30" max="16384" width="8.85546875" style="19"/>
  </cols>
  <sheetData>
    <row r="1" spans="1:30" ht="20.25">
      <c r="A1" s="1189" t="s">
        <v>19</v>
      </c>
      <c r="B1" s="1190"/>
      <c r="C1" s="1190"/>
      <c r="D1" s="1190"/>
      <c r="E1" s="1190"/>
      <c r="F1" s="1190"/>
      <c r="G1" s="1190"/>
      <c r="H1" s="1190"/>
      <c r="I1" s="1190"/>
      <c r="J1" s="1190"/>
      <c r="K1" s="1190"/>
      <c r="L1" s="522"/>
      <c r="M1" s="522"/>
      <c r="N1" s="522"/>
      <c r="O1" s="522"/>
      <c r="P1" s="522"/>
      <c r="Q1" s="522"/>
      <c r="R1" s="522"/>
      <c r="S1" s="522"/>
      <c r="T1" s="522"/>
      <c r="U1" s="522"/>
      <c r="V1" s="522"/>
      <c r="W1" s="522"/>
    </row>
    <row r="2" spans="1:30" ht="15.75">
      <c r="A2" s="168" t="s">
        <v>8</v>
      </c>
      <c r="K2" s="457"/>
      <c r="W2" s="791"/>
    </row>
    <row r="3" spans="1:30">
      <c r="A3" s="457" t="s">
        <v>434</v>
      </c>
    </row>
    <row r="4" spans="1:30" ht="60" outlineLevel="1">
      <c r="A4" s="56" t="s">
        <v>40</v>
      </c>
      <c r="B4" s="24">
        <v>45688</v>
      </c>
      <c r="C4" s="24">
        <v>45716</v>
      </c>
      <c r="D4" s="24">
        <v>45747</v>
      </c>
      <c r="E4" s="24">
        <v>45777</v>
      </c>
      <c r="F4" s="24">
        <v>45808</v>
      </c>
      <c r="G4" s="24">
        <v>45838</v>
      </c>
      <c r="H4" s="24">
        <v>45869</v>
      </c>
      <c r="I4" s="24">
        <v>45900</v>
      </c>
      <c r="J4" s="184">
        <v>45930</v>
      </c>
      <c r="K4" s="24">
        <v>45961</v>
      </c>
      <c r="L4" s="24">
        <v>45991</v>
      </c>
      <c r="M4" s="24">
        <v>46022</v>
      </c>
      <c r="N4" s="24">
        <v>46053</v>
      </c>
      <c r="O4" s="24">
        <v>46081</v>
      </c>
      <c r="P4" s="24">
        <v>46112</v>
      </c>
      <c r="Q4" s="24">
        <v>46142</v>
      </c>
      <c r="R4" s="24">
        <v>46173</v>
      </c>
      <c r="S4" s="24">
        <v>46203</v>
      </c>
      <c r="T4" s="24">
        <v>46234</v>
      </c>
      <c r="U4" s="24">
        <v>46265</v>
      </c>
      <c r="V4" s="184">
        <v>46295</v>
      </c>
      <c r="W4" s="24" t="s">
        <v>1</v>
      </c>
      <c r="X4" s="1080" t="s">
        <v>12</v>
      </c>
      <c r="Y4" s="27" t="s">
        <v>261</v>
      </c>
      <c r="Z4" s="27" t="s">
        <v>75</v>
      </c>
      <c r="AA4" s="792" t="s">
        <v>132</v>
      </c>
      <c r="AB4" s="27" t="s">
        <v>23</v>
      </c>
      <c r="AC4" s="1080" t="s">
        <v>17</v>
      </c>
      <c r="AD4" s="187" t="s">
        <v>387</v>
      </c>
    </row>
    <row r="5" spans="1:30" outlineLevel="2">
      <c r="A5" s="793" t="s">
        <v>225</v>
      </c>
      <c r="B5" s="750">
        <v>4523</v>
      </c>
      <c r="C5" s="750">
        <v>3850</v>
      </c>
      <c r="D5" s="750">
        <v>2740</v>
      </c>
      <c r="E5" s="750">
        <v>3280</v>
      </c>
      <c r="F5" s="750">
        <v>3583</v>
      </c>
      <c r="G5" s="750">
        <v>2928</v>
      </c>
      <c r="H5" s="750">
        <v>4382</v>
      </c>
      <c r="I5" s="750">
        <v>1140</v>
      </c>
      <c r="J5" s="751">
        <v>3357</v>
      </c>
      <c r="K5" s="750">
        <v>3617</v>
      </c>
      <c r="L5" s="750">
        <v>4784</v>
      </c>
      <c r="M5" s="750">
        <v>3331</v>
      </c>
      <c r="N5" s="794">
        <v>3246</v>
      </c>
      <c r="O5" s="794">
        <v>2503</v>
      </c>
      <c r="P5" s="794">
        <v>2749</v>
      </c>
      <c r="Q5" s="794">
        <v>2769</v>
      </c>
      <c r="R5" s="794">
        <v>2532</v>
      </c>
      <c r="S5" s="794">
        <v>1500</v>
      </c>
      <c r="T5" s="794">
        <v>2140</v>
      </c>
      <c r="U5" s="794">
        <v>1898</v>
      </c>
      <c r="V5" s="795">
        <v>3595</v>
      </c>
      <c r="W5" s="794">
        <f>SUM(N5:V5)</f>
        <v>22932</v>
      </c>
      <c r="X5" s="794"/>
      <c r="Y5" s="796"/>
      <c r="Z5" s="796">
        <f t="shared" ref="Z5:Z10" si="0">IFERROR(V5/U5-1,100%)</f>
        <v>0.89409905163329828</v>
      </c>
      <c r="AA5" s="797">
        <f>SUM(B5:J5)</f>
        <v>29783</v>
      </c>
      <c r="AB5" s="798">
        <f>+W5/AA5-1</f>
        <v>-0.23003055434308162</v>
      </c>
      <c r="AC5" s="799" t="e">
        <f>+W5+AD5-#REF!</f>
        <v>#REF!</v>
      </c>
      <c r="AD5" s="800">
        <v>1537</v>
      </c>
    </row>
    <row r="6" spans="1:30" outlineLevel="2">
      <c r="A6" s="556" t="s">
        <v>226</v>
      </c>
      <c r="B6" s="801">
        <v>202146.49000000005</v>
      </c>
      <c r="C6" s="801">
        <v>170449.61</v>
      </c>
      <c r="D6" s="801">
        <v>136977.90000000005</v>
      </c>
      <c r="E6" s="801">
        <v>112796.39999999998</v>
      </c>
      <c r="F6" s="801">
        <v>153489.3900000001</v>
      </c>
      <c r="G6" s="801">
        <v>133601.25</v>
      </c>
      <c r="H6" s="801">
        <v>171640.58</v>
      </c>
      <c r="I6" s="801">
        <v>25459.24</v>
      </c>
      <c r="J6" s="802">
        <v>142370.34000000003</v>
      </c>
      <c r="K6" s="801">
        <v>153598.73000000004</v>
      </c>
      <c r="L6" s="801">
        <v>163253.58000000005</v>
      </c>
      <c r="M6" s="801">
        <v>155414.94000000003</v>
      </c>
      <c r="N6" s="803">
        <v>131914.27999999994</v>
      </c>
      <c r="O6" s="803">
        <v>115602.33999999997</v>
      </c>
      <c r="P6" s="803">
        <v>117990.73000000005</v>
      </c>
      <c r="Q6" s="803">
        <v>136443.34999999995</v>
      </c>
      <c r="R6" s="803">
        <v>104725.79</v>
      </c>
      <c r="S6" s="803">
        <v>100627.66</v>
      </c>
      <c r="T6" s="803">
        <v>129185.11</v>
      </c>
      <c r="U6" s="803">
        <v>68779.460000000006</v>
      </c>
      <c r="V6" s="804">
        <v>168487.81</v>
      </c>
      <c r="W6" s="805">
        <f>SUM(N6:V6)</f>
        <v>1073756.53</v>
      </c>
      <c r="X6" s="54"/>
      <c r="Y6" s="806"/>
      <c r="Z6" s="806">
        <f t="shared" si="0"/>
        <v>1.449682070781015</v>
      </c>
      <c r="AA6" s="807">
        <f>SUM(B6:J6)</f>
        <v>1248931.2000000004</v>
      </c>
      <c r="AB6" s="808">
        <f>+W6/AA6-1</f>
        <v>-0.1402596636227843</v>
      </c>
      <c r="AC6" s="809"/>
      <c r="AD6" s="75"/>
    </row>
    <row r="7" spans="1:30" ht="15.75" outlineLevel="2" thickBot="1">
      <c r="A7" s="810" t="s">
        <v>136</v>
      </c>
      <c r="B7" s="811">
        <v>304050</v>
      </c>
      <c r="C7" s="811">
        <v>276330</v>
      </c>
      <c r="D7" s="811">
        <v>219150</v>
      </c>
      <c r="E7" s="811">
        <v>190080</v>
      </c>
      <c r="F7" s="811">
        <v>219780</v>
      </c>
      <c r="G7" s="811">
        <v>200400</v>
      </c>
      <c r="H7" s="811">
        <v>239400</v>
      </c>
      <c r="I7" s="811">
        <v>43050</v>
      </c>
      <c r="J7" s="812">
        <v>212970</v>
      </c>
      <c r="K7" s="811">
        <v>248370</v>
      </c>
      <c r="L7" s="811">
        <v>217110</v>
      </c>
      <c r="M7" s="811">
        <v>208800</v>
      </c>
      <c r="N7" s="813">
        <v>190860</v>
      </c>
      <c r="O7" s="813">
        <v>176870</v>
      </c>
      <c r="P7" s="813">
        <v>180120</v>
      </c>
      <c r="Q7" s="813">
        <v>191220</v>
      </c>
      <c r="R7" s="813">
        <v>151080</v>
      </c>
      <c r="S7" s="813">
        <v>178980</v>
      </c>
      <c r="T7" s="813">
        <v>258480</v>
      </c>
      <c r="U7" s="813">
        <v>119070</v>
      </c>
      <c r="V7" s="814">
        <v>282750</v>
      </c>
      <c r="W7" s="815">
        <f>SUM(N7:V7)</f>
        <v>1729430</v>
      </c>
      <c r="X7" s="816"/>
      <c r="Y7" s="817"/>
      <c r="Z7" s="817">
        <f t="shared" si="0"/>
        <v>1.3746535651297558</v>
      </c>
      <c r="AA7" s="818">
        <f>SUM(B7:J7)</f>
        <v>1905210</v>
      </c>
      <c r="AB7" s="819">
        <f>+W7/AA7-1</f>
        <v>-9.226279517743452E-2</v>
      </c>
      <c r="AC7" s="820"/>
      <c r="AD7" s="821"/>
    </row>
    <row r="8" spans="1:30" ht="15.75" outlineLevel="2">
      <c r="A8" s="822" t="s">
        <v>38</v>
      </c>
      <c r="B8" s="823">
        <f t="shared" ref="B8:S8" si="1">IFERROR(B6/B7,"")</f>
        <v>0.66484620950501583</v>
      </c>
      <c r="C8" s="823">
        <f t="shared" si="1"/>
        <v>0.61683353237071614</v>
      </c>
      <c r="D8" s="823">
        <f t="shared" si="1"/>
        <v>0.62504175222450398</v>
      </c>
      <c r="E8" s="823">
        <f t="shared" si="1"/>
        <v>0.59341540404040394</v>
      </c>
      <c r="F8" s="823">
        <f t="shared" si="1"/>
        <v>0.69837742287742333</v>
      </c>
      <c r="G8" s="823">
        <f t="shared" si="1"/>
        <v>0.66667290419161673</v>
      </c>
      <c r="H8" s="823">
        <f t="shared" si="1"/>
        <v>0.71696148705096063</v>
      </c>
      <c r="I8" s="823">
        <f t="shared" si="1"/>
        <v>0.59138768873403025</v>
      </c>
      <c r="J8" s="824">
        <f t="shared" si="1"/>
        <v>0.66849950697281324</v>
      </c>
      <c r="K8" s="823">
        <f t="shared" si="1"/>
        <v>0.61842706446028117</v>
      </c>
      <c r="L8" s="823">
        <f t="shared" si="1"/>
        <v>0.7519394776841235</v>
      </c>
      <c r="M8" s="823">
        <f t="shared" si="1"/>
        <v>0.74432442528735643</v>
      </c>
      <c r="N8" s="825">
        <f t="shared" si="1"/>
        <v>0.69115728806454957</v>
      </c>
      <c r="O8" s="825">
        <f t="shared" si="1"/>
        <v>0.65360061061796781</v>
      </c>
      <c r="P8" s="825">
        <f t="shared" si="1"/>
        <v>0.6550673439928939</v>
      </c>
      <c r="Q8" s="825">
        <f t="shared" si="1"/>
        <v>0.71354120907854801</v>
      </c>
      <c r="R8" s="825">
        <f t="shared" si="1"/>
        <v>0.69318102991792419</v>
      </c>
      <c r="S8" s="825">
        <f t="shared" si="1"/>
        <v>0.56222851715275457</v>
      </c>
      <c r="T8" s="825">
        <f>IFERROR(T6/T7,"")</f>
        <v>0.49978764314453727</v>
      </c>
      <c r="U8" s="825">
        <f>IFERROR(U6/U7,"")</f>
        <v>0.57763886789283625</v>
      </c>
      <c r="V8" s="826">
        <f>IFERROR(V6/V7,"")</f>
        <v>0.59588969053934571</v>
      </c>
      <c r="W8" s="825"/>
      <c r="X8" s="827"/>
      <c r="Y8" s="828"/>
      <c r="Z8" s="828">
        <f t="shared" si="0"/>
        <v>3.1595558507145682E-2</v>
      </c>
      <c r="AA8" s="829"/>
      <c r="AB8" s="830"/>
      <c r="AC8" s="831"/>
      <c r="AD8" s="831"/>
    </row>
    <row r="9" spans="1:30" ht="15.75" outlineLevel="2">
      <c r="A9" s="832" t="s">
        <v>39</v>
      </c>
      <c r="B9" s="833">
        <f>SUM($B6:B6)/SUM($B7:B7)</f>
        <v>0.66484620950501583</v>
      </c>
      <c r="C9" s="833">
        <f>SUM($B6:C6)/SUM($B7:C7)</f>
        <v>0.64198645714876468</v>
      </c>
      <c r="D9" s="833">
        <f>SUM($B6:D6)/SUM($B7:D7)</f>
        <v>0.6373419383888036</v>
      </c>
      <c r="E9" s="833">
        <f>SUM($B6:E6)/SUM($B7:E7)</f>
        <v>0.62890472004122855</v>
      </c>
      <c r="F9" s="833">
        <f>SUM($B6:F6)/SUM($B7:F7)</f>
        <v>0.64152985389328532</v>
      </c>
      <c r="G9" s="833">
        <f>SUM($B6:G6)/SUM($B7:G7)</f>
        <v>0.64510390909284376</v>
      </c>
      <c r="H9" s="833">
        <f>SUM($B6:H6)/SUM($B7:H7)</f>
        <v>0.65553491107755946</v>
      </c>
      <c r="I9" s="833">
        <f>SUM($B6:I6)/SUM($B7:I7)</f>
        <v>0.65390302793929955</v>
      </c>
      <c r="J9" s="834">
        <f>SUM($B6:J6)/SUM($B7:J7)</f>
        <v>0.65553466546994843</v>
      </c>
      <c r="K9" s="833">
        <f>SUM($B6:K6)/SUM($B7:K7)</f>
        <v>0.65125508687859301</v>
      </c>
      <c r="L9" s="833">
        <f>SUM($B6:L6)/SUM($B7:L7)</f>
        <v>0.66047585723987556</v>
      </c>
      <c r="M9" s="833">
        <f>SUM($B6:M6)/SUM($B7:M7)</f>
        <v>0.66726308301253368</v>
      </c>
      <c r="N9" s="835">
        <f>SUM(N6:$N6)/SUM(N7:$N7)</f>
        <v>0.69115728806454957</v>
      </c>
      <c r="O9" s="835">
        <f>SUM($N6:O6)/SUM($N7:O7)</f>
        <v>0.67309335653876456</v>
      </c>
      <c r="P9" s="835">
        <f>SUM($N6:P6)/SUM($N7:P7)</f>
        <v>0.66716683398740528</v>
      </c>
      <c r="Q9" s="835">
        <f>SUM($N6:Q6)/SUM($N7:Q7)</f>
        <v>0.67916530233942651</v>
      </c>
      <c r="R9" s="835">
        <f>SUM($N6:R6)/SUM($N7:R7)</f>
        <v>0.68154411054316688</v>
      </c>
      <c r="S9" s="835">
        <f>SUM($N6:S6)/SUM($N7:S7)</f>
        <v>0.66156982780391538</v>
      </c>
      <c r="T9" s="835">
        <f>SUM($N6:T6)/SUM($N7:T7)</f>
        <v>0.63007152702977531</v>
      </c>
      <c r="U9" s="835">
        <f>SUM($N6:U6)/SUM($N7:U7)</f>
        <v>0.625756020681837</v>
      </c>
      <c r="V9" s="836">
        <f>SUM($N6:V6)/SUM($N7:V7)</f>
        <v>0.62087307956956916</v>
      </c>
      <c r="W9" s="835">
        <f>+W6/W7</f>
        <v>0.62087307956956916</v>
      </c>
      <c r="X9" s="837">
        <v>0.79</v>
      </c>
      <c r="Y9" s="838">
        <f>W9/X9-1</f>
        <v>-0.21408470940560864</v>
      </c>
      <c r="Z9" s="838">
        <f t="shared" si="0"/>
        <v>-7.8032666900228476E-3</v>
      </c>
      <c r="AA9" s="839">
        <f>+AA6/AA7</f>
        <v>0.65553466546994843</v>
      </c>
      <c r="AB9" s="840">
        <f>+W9/AA9-1</f>
        <v>-5.2875290547038545E-2</v>
      </c>
      <c r="AC9" s="841"/>
      <c r="AD9" s="841"/>
    </row>
    <row r="10" spans="1:30" ht="15.75" outlineLevel="2">
      <c r="A10" s="842" t="s">
        <v>260</v>
      </c>
      <c r="B10" s="843">
        <f t="shared" ref="B10:W10" si="2">IFERROR(B5/(B7/60),0)</f>
        <v>0.89255056734089788</v>
      </c>
      <c r="C10" s="843">
        <f t="shared" si="2"/>
        <v>0.83595700792530669</v>
      </c>
      <c r="D10" s="843">
        <f t="shared" si="2"/>
        <v>0.75017111567419581</v>
      </c>
      <c r="E10" s="843">
        <f t="shared" si="2"/>
        <v>1.0353535353535352</v>
      </c>
      <c r="F10" s="843">
        <f t="shared" si="2"/>
        <v>0.97815997815997813</v>
      </c>
      <c r="G10" s="843">
        <f t="shared" si="2"/>
        <v>0.87664670658682631</v>
      </c>
      <c r="H10" s="843">
        <f t="shared" si="2"/>
        <v>1.0982456140350878</v>
      </c>
      <c r="I10" s="843">
        <f t="shared" si="2"/>
        <v>1.5888501742160279</v>
      </c>
      <c r="J10" s="844">
        <f t="shared" si="2"/>
        <v>0.945767009437949</v>
      </c>
      <c r="K10" s="843">
        <f t="shared" si="2"/>
        <v>0.87377702621089504</v>
      </c>
      <c r="L10" s="843">
        <f t="shared" si="2"/>
        <v>1.322094790659113</v>
      </c>
      <c r="M10" s="843">
        <f t="shared" si="2"/>
        <v>0.95718390804597697</v>
      </c>
      <c r="N10" s="845">
        <f t="shared" si="2"/>
        <v>1.0204338258409305</v>
      </c>
      <c r="O10" s="845">
        <f t="shared" si="2"/>
        <v>0.84909820772318645</v>
      </c>
      <c r="P10" s="845">
        <f t="shared" si="2"/>
        <v>0.91572285143237842</v>
      </c>
      <c r="Q10" s="845">
        <f t="shared" si="2"/>
        <v>0.86884217132099151</v>
      </c>
      <c r="R10" s="845">
        <f t="shared" si="2"/>
        <v>1.005559968228753</v>
      </c>
      <c r="S10" s="845">
        <f t="shared" si="2"/>
        <v>0.50284948038887023</v>
      </c>
      <c r="T10" s="845">
        <f t="shared" si="2"/>
        <v>0.49675023212627667</v>
      </c>
      <c r="U10" s="845">
        <f t="shared" si="2"/>
        <v>0.95641219450743264</v>
      </c>
      <c r="V10" s="846">
        <f t="shared" si="2"/>
        <v>0.76286472148541118</v>
      </c>
      <c r="W10" s="845">
        <f t="shared" si="2"/>
        <v>0.79559161110886245</v>
      </c>
      <c r="X10" s="843">
        <v>1.05</v>
      </c>
      <c r="Y10" s="847">
        <f>W10/X10-1</f>
        <v>-0.24229370370584535</v>
      </c>
      <c r="Z10" s="847">
        <f t="shared" si="0"/>
        <v>-0.20236826143951614</v>
      </c>
      <c r="AA10" s="843">
        <f>+AA5/(AA7/60)</f>
        <v>0.93794384870959102</v>
      </c>
      <c r="AB10" s="798">
        <f>+W10/AA10-1</f>
        <v>-0.15177053274199159</v>
      </c>
      <c r="AC10" s="737"/>
      <c r="AD10" s="737"/>
    </row>
    <row r="11" spans="1:30" ht="15.75" outlineLevel="1">
      <c r="W11" s="51"/>
      <c r="AA11" s="51"/>
    </row>
    <row r="12" spans="1:30" ht="60" outlineLevel="1">
      <c r="A12" s="56" t="s">
        <v>37</v>
      </c>
      <c r="B12" s="24">
        <v>45688</v>
      </c>
      <c r="C12" s="24">
        <v>45716</v>
      </c>
      <c r="D12" s="24">
        <v>45747</v>
      </c>
      <c r="E12" s="24">
        <v>45777</v>
      </c>
      <c r="F12" s="24">
        <v>45808</v>
      </c>
      <c r="G12" s="24">
        <v>45838</v>
      </c>
      <c r="H12" s="24">
        <v>45869</v>
      </c>
      <c r="I12" s="24">
        <v>45900</v>
      </c>
      <c r="J12" s="184">
        <v>45930</v>
      </c>
      <c r="K12" s="24">
        <v>45961</v>
      </c>
      <c r="L12" s="24">
        <v>45991</v>
      </c>
      <c r="M12" s="24">
        <v>46022</v>
      </c>
      <c r="N12" s="24">
        <v>46053</v>
      </c>
      <c r="O12" s="24">
        <v>46081</v>
      </c>
      <c r="P12" s="24">
        <v>46112</v>
      </c>
      <c r="Q12" s="24">
        <v>46142</v>
      </c>
      <c r="R12" s="24">
        <v>46173</v>
      </c>
      <c r="S12" s="24">
        <v>46203</v>
      </c>
      <c r="T12" s="24">
        <v>46234</v>
      </c>
      <c r="U12" s="24">
        <v>46265</v>
      </c>
      <c r="V12" s="184">
        <v>46295</v>
      </c>
      <c r="W12" s="24" t="s">
        <v>1</v>
      </c>
      <c r="X12" s="1080" t="s">
        <v>12</v>
      </c>
      <c r="Y12" s="27" t="s">
        <v>261</v>
      </c>
      <c r="Z12" s="27" t="s">
        <v>75</v>
      </c>
      <c r="AA12" s="792" t="s">
        <v>132</v>
      </c>
      <c r="AB12" s="27" t="s">
        <v>23</v>
      </c>
      <c r="AC12" s="1080" t="s">
        <v>17</v>
      </c>
      <c r="AD12" s="187" t="s">
        <v>387</v>
      </c>
    </row>
    <row r="13" spans="1:30" outlineLevel="2">
      <c r="A13" s="793" t="s">
        <v>225</v>
      </c>
      <c r="B13" s="750">
        <v>2331</v>
      </c>
      <c r="C13" s="750">
        <v>1625</v>
      </c>
      <c r="D13" s="750">
        <v>1493</v>
      </c>
      <c r="E13" s="750">
        <v>1285</v>
      </c>
      <c r="F13" s="750">
        <v>1532</v>
      </c>
      <c r="G13" s="750">
        <v>1764</v>
      </c>
      <c r="H13" s="750">
        <v>1715</v>
      </c>
      <c r="I13" s="750">
        <v>339</v>
      </c>
      <c r="J13" s="751">
        <v>1901</v>
      </c>
      <c r="K13" s="750">
        <v>1913</v>
      </c>
      <c r="L13" s="750">
        <v>1455</v>
      </c>
      <c r="M13" s="750">
        <v>1098</v>
      </c>
      <c r="N13" s="794">
        <v>1375</v>
      </c>
      <c r="O13" s="794">
        <v>1193</v>
      </c>
      <c r="P13" s="794">
        <v>1131</v>
      </c>
      <c r="Q13" s="794">
        <v>1273</v>
      </c>
      <c r="R13" s="794">
        <v>1380</v>
      </c>
      <c r="S13" s="794">
        <v>1510</v>
      </c>
      <c r="T13" s="794">
        <v>1361</v>
      </c>
      <c r="U13" s="794">
        <v>561</v>
      </c>
      <c r="V13" s="795">
        <v>1584</v>
      </c>
      <c r="W13" s="794">
        <f>SUM(N13:V13)</f>
        <v>11368</v>
      </c>
      <c r="X13" s="794"/>
      <c r="Y13" s="796"/>
      <c r="Z13" s="796">
        <f t="shared" ref="Z13:Z18" si="3">IFERROR(V13/U13-1,100%)</f>
        <v>1.8235294117647061</v>
      </c>
      <c r="AA13" s="797">
        <f>SUM(B13:J13)</f>
        <v>13985</v>
      </c>
      <c r="AB13" s="798">
        <f>+W13/AA13-1</f>
        <v>-0.1871290668573472</v>
      </c>
      <c r="AC13" s="848" t="e">
        <f>+W13+AD13-#REF!</f>
        <v>#REF!</v>
      </c>
      <c r="AD13" s="800">
        <v>605</v>
      </c>
    </row>
    <row r="14" spans="1:30" outlineLevel="2">
      <c r="A14" s="556" t="s">
        <v>226</v>
      </c>
      <c r="B14" s="801">
        <v>769873.22000000055</v>
      </c>
      <c r="C14" s="801">
        <v>630240.10999999964</v>
      </c>
      <c r="D14" s="801">
        <v>484938.79999999987</v>
      </c>
      <c r="E14" s="801">
        <v>440865.73999999993</v>
      </c>
      <c r="F14" s="801">
        <v>558572.49999999977</v>
      </c>
      <c r="G14" s="801">
        <v>589885.71999999986</v>
      </c>
      <c r="H14" s="801">
        <v>667067.33999999985</v>
      </c>
      <c r="I14" s="801">
        <v>136692.47</v>
      </c>
      <c r="J14" s="802">
        <v>631411.39000000013</v>
      </c>
      <c r="K14" s="801">
        <v>690790.96</v>
      </c>
      <c r="L14" s="801">
        <v>497397.75999999978</v>
      </c>
      <c r="M14" s="801">
        <v>433900.00000000006</v>
      </c>
      <c r="N14" s="803">
        <v>436106.80999999988</v>
      </c>
      <c r="O14" s="803">
        <v>432189.38000000012</v>
      </c>
      <c r="P14" s="803">
        <v>393442.09000000014</v>
      </c>
      <c r="Q14" s="803">
        <v>516326.15</v>
      </c>
      <c r="R14" s="803">
        <v>479516.13</v>
      </c>
      <c r="S14" s="803">
        <v>580894.15</v>
      </c>
      <c r="T14" s="803">
        <v>519113.21</v>
      </c>
      <c r="U14" s="803">
        <v>217166.62</v>
      </c>
      <c r="V14" s="804">
        <v>613468.87</v>
      </c>
      <c r="W14" s="805">
        <f>SUM(N14:V14)</f>
        <v>4188223.41</v>
      </c>
      <c r="X14" s="54"/>
      <c r="Y14" s="806"/>
      <c r="Z14" s="806">
        <f t="shared" si="3"/>
        <v>1.8248764474024601</v>
      </c>
      <c r="AA14" s="807">
        <f>SUM(B14:J14)</f>
        <v>4909547.2899999991</v>
      </c>
      <c r="AB14" s="808">
        <f>+W14/AA14-1</f>
        <v>-0.1469226870406618</v>
      </c>
      <c r="AC14" s="809"/>
      <c r="AD14" s="75"/>
    </row>
    <row r="15" spans="1:30" ht="15.75" outlineLevel="2" thickBot="1">
      <c r="A15" s="810" t="s">
        <v>136</v>
      </c>
      <c r="B15" s="811">
        <v>955230</v>
      </c>
      <c r="C15" s="811">
        <v>853590</v>
      </c>
      <c r="D15" s="811">
        <v>604860</v>
      </c>
      <c r="E15" s="811">
        <v>583140</v>
      </c>
      <c r="F15" s="811">
        <v>744690</v>
      </c>
      <c r="G15" s="811">
        <v>726420</v>
      </c>
      <c r="H15" s="811">
        <v>910500</v>
      </c>
      <c r="I15" s="811">
        <v>169920</v>
      </c>
      <c r="J15" s="812">
        <v>841230</v>
      </c>
      <c r="K15" s="811">
        <v>950010</v>
      </c>
      <c r="L15" s="811">
        <v>805470</v>
      </c>
      <c r="M15" s="811">
        <v>776310</v>
      </c>
      <c r="N15" s="813">
        <v>758100</v>
      </c>
      <c r="O15" s="813">
        <v>721180</v>
      </c>
      <c r="P15" s="813">
        <v>602550</v>
      </c>
      <c r="Q15" s="813">
        <v>820350</v>
      </c>
      <c r="R15" s="813">
        <v>709140</v>
      </c>
      <c r="S15" s="813">
        <v>869880</v>
      </c>
      <c r="T15" s="813">
        <v>762180</v>
      </c>
      <c r="U15" s="813">
        <v>359610</v>
      </c>
      <c r="V15" s="814">
        <v>831720</v>
      </c>
      <c r="W15" s="815">
        <f>SUM(N15:V15)</f>
        <v>6434710</v>
      </c>
      <c r="X15" s="816"/>
      <c r="Y15" s="817"/>
      <c r="Z15" s="817">
        <f t="shared" si="3"/>
        <v>1.312838908817886</v>
      </c>
      <c r="AA15" s="818">
        <f>SUM(B15:J15)</f>
        <v>6389580</v>
      </c>
      <c r="AB15" s="819">
        <f>+W15/AA15-1</f>
        <v>7.0630620478966399E-3</v>
      </c>
      <c r="AC15" s="820"/>
      <c r="AD15" s="821"/>
    </row>
    <row r="16" spans="1:30" ht="15.75" outlineLevel="2">
      <c r="A16" s="822" t="s">
        <v>38</v>
      </c>
      <c r="B16" s="829">
        <f t="shared" ref="B16:V16" si="4">IFERROR(B14/B15,"")</f>
        <v>0.80595586403274666</v>
      </c>
      <c r="C16" s="829">
        <f t="shared" si="4"/>
        <v>0.73834054991272113</v>
      </c>
      <c r="D16" s="829">
        <f t="shared" si="4"/>
        <v>0.80173726151506108</v>
      </c>
      <c r="E16" s="829">
        <f t="shared" si="4"/>
        <v>0.75602040676338433</v>
      </c>
      <c r="F16" s="823">
        <f t="shared" si="4"/>
        <v>0.75007385623548017</v>
      </c>
      <c r="G16" s="823">
        <f t="shared" si="4"/>
        <v>0.81204498774813449</v>
      </c>
      <c r="H16" s="823">
        <f t="shared" si="4"/>
        <v>0.73263848434925849</v>
      </c>
      <c r="I16" s="823">
        <f t="shared" si="4"/>
        <v>0.80445191854990583</v>
      </c>
      <c r="J16" s="849">
        <f t="shared" si="4"/>
        <v>0.75058116091913052</v>
      </c>
      <c r="K16" s="823">
        <f t="shared" si="4"/>
        <v>0.72714072483447534</v>
      </c>
      <c r="L16" s="823">
        <f t="shared" si="4"/>
        <v>0.61752487367623843</v>
      </c>
      <c r="M16" s="823">
        <f t="shared" si="4"/>
        <v>0.55892620216150768</v>
      </c>
      <c r="N16" s="825">
        <f t="shared" si="4"/>
        <v>0.57526290726817031</v>
      </c>
      <c r="O16" s="825">
        <f t="shared" si="4"/>
        <v>0.59928087301367217</v>
      </c>
      <c r="P16" s="825">
        <f t="shared" si="4"/>
        <v>0.65296172931706931</v>
      </c>
      <c r="Q16" s="825">
        <f t="shared" si="4"/>
        <v>0.62939739135734751</v>
      </c>
      <c r="R16" s="825">
        <f t="shared" si="4"/>
        <v>0.67619388273119552</v>
      </c>
      <c r="S16" s="825">
        <f t="shared" si="4"/>
        <v>0.66778653377477359</v>
      </c>
      <c r="T16" s="825">
        <f t="shared" si="4"/>
        <v>0.68109004434647991</v>
      </c>
      <c r="U16" s="825">
        <f t="shared" si="4"/>
        <v>0.60389483051083115</v>
      </c>
      <c r="V16" s="826">
        <f t="shared" si="4"/>
        <v>0.73759061943923432</v>
      </c>
      <c r="W16" s="825"/>
      <c r="X16" s="827"/>
      <c r="Y16" s="828"/>
      <c r="Z16" s="828">
        <f t="shared" si="3"/>
        <v>0.22138919257730794</v>
      </c>
      <c r="AA16" s="829"/>
      <c r="AB16" s="830"/>
      <c r="AC16" s="831"/>
      <c r="AD16" s="831"/>
    </row>
    <row r="17" spans="1:30" ht="15.75" outlineLevel="2">
      <c r="A17" s="832" t="s">
        <v>39</v>
      </c>
      <c r="B17" s="839">
        <f>SUM($B14:B14)/SUM($B15:B15)</f>
        <v>0.80595586403274666</v>
      </c>
      <c r="C17" s="839">
        <f>SUM($B14:C14)/SUM($B15:C15)</f>
        <v>0.77404790415851221</v>
      </c>
      <c r="D17" s="839">
        <f>SUM($B14:D14)/SUM($B15:D15)</f>
        <v>0.78098676295117819</v>
      </c>
      <c r="E17" s="839">
        <f>SUM($B14:E14)/SUM($B15:E15)</f>
        <v>0.77612865303888778</v>
      </c>
      <c r="F17" s="833">
        <f>SUM($B14:F14)/SUM($B15:F15)</f>
        <v>0.77094284660471291</v>
      </c>
      <c r="G17" s="833">
        <f>SUM($B14:G14)/SUM($B15:G15)</f>
        <v>0.77762545295024743</v>
      </c>
      <c r="H17" s="833">
        <f>SUM($B14:H14)/SUM($B15:H15)</f>
        <v>0.77000972960510761</v>
      </c>
      <c r="I17" s="833">
        <f>SUM($B14:I14)/SUM($B15:I15)</f>
        <v>0.77106453269891018</v>
      </c>
      <c r="J17" s="850">
        <f>SUM($B14:J14)/SUM($B15:J15)</f>
        <v>0.76836776282635155</v>
      </c>
      <c r="K17" s="833">
        <f>SUM($B14:K14)/SUM($B15:K15)</f>
        <v>0.7630314840474739</v>
      </c>
      <c r="L17" s="833">
        <f>SUM($B14:L14)/SUM($B15:L15)</f>
        <v>0.74864224572931304</v>
      </c>
      <c r="M17" s="833">
        <f>SUM($B14:M14)/SUM($B15:M15)</f>
        <v>0.73213374291168276</v>
      </c>
      <c r="N17" s="835">
        <f>SUM(N14:$N14)/SUM(N15:$N15)</f>
        <v>0.57526290726817031</v>
      </c>
      <c r="O17" s="835">
        <f>SUM($N14:O14)/SUM($N15:O15)</f>
        <v>0.58697216889297488</v>
      </c>
      <c r="P17" s="835">
        <f>SUM($N14:P14)/SUM($N15:P15)</f>
        <v>0.60607171575008523</v>
      </c>
      <c r="Q17" s="835">
        <f>SUM($N14:Q14)/SUM($N15:Q15)</f>
        <v>0.61266511036531168</v>
      </c>
      <c r="R17" s="835">
        <f>SUM($N14:R14)/SUM($N15:R15)</f>
        <v>0.62513999313270496</v>
      </c>
      <c r="S17" s="835">
        <f>SUM($N14:S14)/SUM($N15:S15)</f>
        <v>0.63341843925734176</v>
      </c>
      <c r="T17" s="835">
        <f>SUM($N14:T14)/SUM($N15:T15)</f>
        <v>0.64034800453142815</v>
      </c>
      <c r="U17" s="835">
        <f>SUM($N14:U14)/SUM($N15:U15)</f>
        <v>0.63800837410025724</v>
      </c>
      <c r="V17" s="836">
        <f>SUM($N14:V14)/SUM($N15:V15)</f>
        <v>0.65087990134753548</v>
      </c>
      <c r="W17" s="835">
        <f>+W14/W15</f>
        <v>0.65087990134753548</v>
      </c>
      <c r="X17" s="837">
        <v>0.77</v>
      </c>
      <c r="Y17" s="838">
        <f>W17/X17-1</f>
        <v>-0.15470142682138255</v>
      </c>
      <c r="Z17" s="838">
        <f t="shared" si="3"/>
        <v>2.0174542795664996E-2</v>
      </c>
      <c r="AA17" s="839">
        <f>+AA14/AA15</f>
        <v>0.76836776282635155</v>
      </c>
      <c r="AB17" s="840">
        <f>+W17/AA17-1</f>
        <v>-0.15290576617458629</v>
      </c>
      <c r="AC17" s="841"/>
      <c r="AD17" s="841"/>
    </row>
    <row r="18" spans="1:30" ht="15.75" outlineLevel="2">
      <c r="A18" s="842" t="s">
        <v>260</v>
      </c>
      <c r="B18" s="843">
        <f t="shared" ref="B18:W18" si="5">IFERROR(B13/(B15/60),0)</f>
        <v>0.14641499952890927</v>
      </c>
      <c r="C18" s="843">
        <f t="shared" si="5"/>
        <v>0.11422345622605701</v>
      </c>
      <c r="D18" s="843">
        <f t="shared" si="5"/>
        <v>0.1481003868663823</v>
      </c>
      <c r="E18" s="843">
        <f t="shared" si="5"/>
        <v>0.13221524848235416</v>
      </c>
      <c r="F18" s="843">
        <f t="shared" si="5"/>
        <v>0.12343391209765137</v>
      </c>
      <c r="G18" s="843">
        <f t="shared" si="5"/>
        <v>0.14570083422813249</v>
      </c>
      <c r="H18" s="843">
        <f t="shared" si="5"/>
        <v>0.11301482701812191</v>
      </c>
      <c r="I18" s="843">
        <f t="shared" si="5"/>
        <v>0.11970338983050847</v>
      </c>
      <c r="J18" s="844">
        <f t="shared" si="5"/>
        <v>0.13558717592097286</v>
      </c>
      <c r="K18" s="843">
        <f t="shared" si="5"/>
        <v>0.12081978084441217</v>
      </c>
      <c r="L18" s="843">
        <f t="shared" si="5"/>
        <v>0.10838392491340459</v>
      </c>
      <c r="M18" s="843">
        <f t="shared" si="5"/>
        <v>8.486300575800905E-2</v>
      </c>
      <c r="N18" s="845">
        <f t="shared" si="5"/>
        <v>0.10882469331222794</v>
      </c>
      <c r="O18" s="845">
        <f t="shared" si="5"/>
        <v>9.9254000388252592E-2</v>
      </c>
      <c r="P18" s="845">
        <f t="shared" si="5"/>
        <v>0.11262135922330097</v>
      </c>
      <c r="Q18" s="845">
        <f t="shared" si="5"/>
        <v>9.3106600841104406E-2</v>
      </c>
      <c r="R18" s="845">
        <f t="shared" si="5"/>
        <v>0.11676114730518657</v>
      </c>
      <c r="S18" s="845">
        <f t="shared" si="5"/>
        <v>0.1041522968685336</v>
      </c>
      <c r="T18" s="845">
        <f t="shared" si="5"/>
        <v>0.10714004565850586</v>
      </c>
      <c r="U18" s="845">
        <f t="shared" si="5"/>
        <v>9.3601401518311506E-2</v>
      </c>
      <c r="V18" s="846">
        <f t="shared" si="5"/>
        <v>0.11426922522002597</v>
      </c>
      <c r="W18" s="845">
        <f t="shared" si="5"/>
        <v>0.10600011500129765</v>
      </c>
      <c r="X18" s="843">
        <v>0.12</v>
      </c>
      <c r="Y18" s="847">
        <f>W18/X18-1</f>
        <v>-0.11666570832251955</v>
      </c>
      <c r="Z18" s="847">
        <f t="shared" si="3"/>
        <v>0.22080677603605281</v>
      </c>
      <c r="AA18" s="843">
        <f>+AA13/(AA15/60)</f>
        <v>0.13132318556149231</v>
      </c>
      <c r="AB18" s="798">
        <f>+W18/AA18-1</f>
        <v>-0.19283015753784838</v>
      </c>
      <c r="AC18" s="737"/>
      <c r="AD18" s="737"/>
    </row>
    <row r="19" spans="1:30" outlineLevel="1">
      <c r="B19" s="851"/>
      <c r="C19" s="851"/>
      <c r="D19" s="851"/>
      <c r="E19" s="851"/>
      <c r="F19" s="852"/>
      <c r="G19" s="852"/>
      <c r="H19" s="852"/>
      <c r="I19" s="852"/>
      <c r="J19" s="851"/>
      <c r="K19" s="852"/>
      <c r="L19" s="852"/>
      <c r="M19" s="852"/>
      <c r="N19" s="852"/>
      <c r="O19" s="852"/>
      <c r="P19" s="852"/>
      <c r="Q19" s="852"/>
      <c r="R19" s="852"/>
      <c r="S19" s="852"/>
      <c r="T19" s="852"/>
      <c r="U19" s="852"/>
      <c r="V19" s="852"/>
      <c r="W19" s="852"/>
      <c r="AA19" s="851"/>
    </row>
    <row r="20" spans="1:30" ht="60" outlineLevel="1">
      <c r="A20" s="56" t="s">
        <v>41</v>
      </c>
      <c r="B20" s="24">
        <v>45688</v>
      </c>
      <c r="C20" s="24">
        <v>45716</v>
      </c>
      <c r="D20" s="24">
        <v>45747</v>
      </c>
      <c r="E20" s="24">
        <v>45777</v>
      </c>
      <c r="F20" s="24">
        <v>45808</v>
      </c>
      <c r="G20" s="24">
        <v>45838</v>
      </c>
      <c r="H20" s="24">
        <v>45869</v>
      </c>
      <c r="I20" s="24">
        <v>45900</v>
      </c>
      <c r="J20" s="184">
        <v>45930</v>
      </c>
      <c r="K20" s="24">
        <v>45961</v>
      </c>
      <c r="L20" s="24">
        <v>45991</v>
      </c>
      <c r="M20" s="24">
        <v>46022</v>
      </c>
      <c r="N20" s="24">
        <v>46053</v>
      </c>
      <c r="O20" s="24">
        <v>46081</v>
      </c>
      <c r="P20" s="24">
        <v>46112</v>
      </c>
      <c r="Q20" s="24">
        <v>46142</v>
      </c>
      <c r="R20" s="24">
        <v>46173</v>
      </c>
      <c r="S20" s="24">
        <v>46203</v>
      </c>
      <c r="T20" s="24">
        <v>46234</v>
      </c>
      <c r="U20" s="24">
        <v>46265</v>
      </c>
      <c r="V20" s="184">
        <v>46295</v>
      </c>
      <c r="W20" s="24" t="s">
        <v>1</v>
      </c>
      <c r="X20" s="1080" t="s">
        <v>12</v>
      </c>
      <c r="Y20" s="27" t="s">
        <v>261</v>
      </c>
      <c r="Z20" s="27" t="s">
        <v>75</v>
      </c>
      <c r="AA20" s="792" t="s">
        <v>132</v>
      </c>
      <c r="AB20" s="27" t="s">
        <v>23</v>
      </c>
      <c r="AC20" s="1080" t="s">
        <v>17</v>
      </c>
      <c r="AD20" s="187" t="s">
        <v>387</v>
      </c>
    </row>
    <row r="21" spans="1:30" outlineLevel="2">
      <c r="A21" s="793" t="s">
        <v>225</v>
      </c>
      <c r="B21" s="750">
        <v>2966</v>
      </c>
      <c r="C21" s="750">
        <v>1856</v>
      </c>
      <c r="D21" s="750">
        <v>1295</v>
      </c>
      <c r="E21" s="750">
        <v>1197</v>
      </c>
      <c r="F21" s="750">
        <v>1391</v>
      </c>
      <c r="G21" s="750">
        <v>870</v>
      </c>
      <c r="H21" s="750">
        <v>1229</v>
      </c>
      <c r="I21" s="750">
        <v>721</v>
      </c>
      <c r="J21" s="751">
        <v>1127</v>
      </c>
      <c r="K21" s="750">
        <v>2278</v>
      </c>
      <c r="L21" s="750">
        <v>1795</v>
      </c>
      <c r="M21" s="750">
        <v>1067</v>
      </c>
      <c r="N21" s="794">
        <v>1143</v>
      </c>
      <c r="O21" s="794">
        <v>1235</v>
      </c>
      <c r="P21" s="794">
        <v>658</v>
      </c>
      <c r="Q21" s="794">
        <v>1463</v>
      </c>
      <c r="R21" s="794">
        <v>998</v>
      </c>
      <c r="S21" s="794">
        <v>1019</v>
      </c>
      <c r="T21" s="794">
        <v>2058</v>
      </c>
      <c r="U21" s="794">
        <v>200</v>
      </c>
      <c r="V21" s="795">
        <v>1017</v>
      </c>
      <c r="W21" s="794">
        <f>SUM(N21:V21)</f>
        <v>9791</v>
      </c>
      <c r="X21" s="794"/>
      <c r="Y21" s="796"/>
      <c r="Z21" s="796">
        <f t="shared" ref="Z21:Z26" si="6">IFERROR(V21/U21-1,100%)</f>
        <v>4.085</v>
      </c>
      <c r="AA21" s="797">
        <f>SUM(B21:J21)</f>
        <v>12652</v>
      </c>
      <c r="AB21" s="798">
        <f>+W21/AA21-1</f>
        <v>-0.22613025608599435</v>
      </c>
      <c r="AC21" s="799" t="e">
        <f>+W21+AD21-#REF!</f>
        <v>#REF!</v>
      </c>
      <c r="AD21" s="800">
        <v>325</v>
      </c>
    </row>
    <row r="22" spans="1:30" outlineLevel="2">
      <c r="A22" s="556" t="s">
        <v>226</v>
      </c>
      <c r="B22" s="801">
        <v>74949.189999999988</v>
      </c>
      <c r="C22" s="801">
        <v>64117.710000000057</v>
      </c>
      <c r="D22" s="801">
        <v>36342.150000000016</v>
      </c>
      <c r="E22" s="801">
        <v>36034.989999999983</v>
      </c>
      <c r="F22" s="801">
        <v>41466.449999999997</v>
      </c>
      <c r="G22" s="801">
        <v>36754.320000000007</v>
      </c>
      <c r="H22" s="801">
        <v>25191.300000000007</v>
      </c>
      <c r="I22" s="801">
        <v>9535.18</v>
      </c>
      <c r="J22" s="802">
        <v>44162.400000000009</v>
      </c>
      <c r="K22" s="801">
        <v>55662.289999999979</v>
      </c>
      <c r="L22" s="801">
        <v>45258.099999999984</v>
      </c>
      <c r="M22" s="801">
        <v>39423.439999999988</v>
      </c>
      <c r="N22" s="803">
        <v>22627.399999999991</v>
      </c>
      <c r="O22" s="803">
        <v>29088.32</v>
      </c>
      <c r="P22" s="803">
        <v>28795.419999999991</v>
      </c>
      <c r="Q22" s="803">
        <v>41081.919999999991</v>
      </c>
      <c r="R22" s="803">
        <v>29638.59</v>
      </c>
      <c r="S22" s="803">
        <v>37055.01</v>
      </c>
      <c r="T22" s="803">
        <v>37955.97</v>
      </c>
      <c r="U22" s="803">
        <v>15063.44</v>
      </c>
      <c r="V22" s="804">
        <v>28286.63</v>
      </c>
      <c r="W22" s="805">
        <f>SUM(N22:V22)</f>
        <v>269592.69999999995</v>
      </c>
      <c r="X22" s="54"/>
      <c r="Y22" s="806"/>
      <c r="Z22" s="806">
        <f t="shared" si="6"/>
        <v>0.8778333501510942</v>
      </c>
      <c r="AA22" s="807">
        <f>SUM(B22:J22)</f>
        <v>368553.69000000006</v>
      </c>
      <c r="AB22" s="808">
        <f>+W22/AA22-1</f>
        <v>-0.2685117329852269</v>
      </c>
      <c r="AC22" s="853"/>
      <c r="AD22" s="75"/>
    </row>
    <row r="23" spans="1:30" ht="15.75" outlineLevel="2" thickBot="1">
      <c r="A23" s="810" t="s">
        <v>136</v>
      </c>
      <c r="B23" s="811">
        <v>90150</v>
      </c>
      <c r="C23" s="811">
        <v>78780</v>
      </c>
      <c r="D23" s="811">
        <v>44010</v>
      </c>
      <c r="E23" s="811">
        <v>43170</v>
      </c>
      <c r="F23" s="811">
        <v>55020</v>
      </c>
      <c r="G23" s="811">
        <v>42360</v>
      </c>
      <c r="H23" s="811">
        <v>32010</v>
      </c>
      <c r="I23" s="811">
        <v>12930</v>
      </c>
      <c r="J23" s="812">
        <v>48810</v>
      </c>
      <c r="K23" s="811">
        <v>66120</v>
      </c>
      <c r="L23" s="811">
        <v>56370</v>
      </c>
      <c r="M23" s="811">
        <v>48690</v>
      </c>
      <c r="N23" s="813">
        <v>30000</v>
      </c>
      <c r="O23" s="813">
        <v>40410</v>
      </c>
      <c r="P23" s="813">
        <v>45690</v>
      </c>
      <c r="Q23" s="813">
        <v>53610</v>
      </c>
      <c r="R23" s="813">
        <v>38430</v>
      </c>
      <c r="S23" s="813">
        <v>50310</v>
      </c>
      <c r="T23" s="813">
        <v>49620</v>
      </c>
      <c r="U23" s="813">
        <v>20670</v>
      </c>
      <c r="V23" s="814">
        <v>39120</v>
      </c>
      <c r="W23" s="815">
        <f>SUM(N23:V23)</f>
        <v>367860</v>
      </c>
      <c r="X23" s="816"/>
      <c r="Y23" s="817"/>
      <c r="Z23" s="817">
        <f t="shared" si="6"/>
        <v>0.89259796806966629</v>
      </c>
      <c r="AA23" s="818">
        <f>SUM(B23:J23)</f>
        <v>447240</v>
      </c>
      <c r="AB23" s="819">
        <f>+W23/AA23-1</f>
        <v>-0.17748859672658979</v>
      </c>
      <c r="AC23" s="854"/>
      <c r="AD23" s="821"/>
    </row>
    <row r="24" spans="1:30" ht="15.75" outlineLevel="2">
      <c r="A24" s="822" t="s">
        <v>38</v>
      </c>
      <c r="B24" s="829">
        <f t="shared" ref="B24:V24" si="7">IFERROR(B22/B23,"")</f>
        <v>0.83138313921242357</v>
      </c>
      <c r="C24" s="829">
        <f t="shared" si="7"/>
        <v>0.81388309215537014</v>
      </c>
      <c r="D24" s="829">
        <f t="shared" si="7"/>
        <v>0.82577027948193626</v>
      </c>
      <c r="E24" s="829">
        <f t="shared" si="7"/>
        <v>0.83472295575631184</v>
      </c>
      <c r="F24" s="823">
        <f t="shared" si="7"/>
        <v>0.7536613958560523</v>
      </c>
      <c r="G24" s="823">
        <f t="shared" si="7"/>
        <v>0.8676657223796036</v>
      </c>
      <c r="H24" s="823">
        <f t="shared" si="7"/>
        <v>0.78698219306466755</v>
      </c>
      <c r="I24" s="823">
        <f t="shared" si="7"/>
        <v>0.73744624903325606</v>
      </c>
      <c r="J24" s="849">
        <f t="shared" si="7"/>
        <v>0.90478180700676114</v>
      </c>
      <c r="K24" s="823">
        <f t="shared" si="7"/>
        <v>0.84183741681790647</v>
      </c>
      <c r="L24" s="823">
        <f t="shared" si="7"/>
        <v>0.80287564307255599</v>
      </c>
      <c r="M24" s="823">
        <f t="shared" si="7"/>
        <v>0.80968248100225892</v>
      </c>
      <c r="N24" s="825">
        <f t="shared" si="7"/>
        <v>0.7542466666666664</v>
      </c>
      <c r="O24" s="825">
        <f t="shared" si="7"/>
        <v>0.7198297451125959</v>
      </c>
      <c r="P24" s="825">
        <f t="shared" si="7"/>
        <v>0.6302346246443421</v>
      </c>
      <c r="Q24" s="825">
        <f t="shared" si="7"/>
        <v>0.766310762917366</v>
      </c>
      <c r="R24" s="825">
        <f t="shared" si="7"/>
        <v>0.77123575331772054</v>
      </c>
      <c r="S24" s="825">
        <f t="shared" si="7"/>
        <v>0.73653369111508649</v>
      </c>
      <c r="T24" s="825">
        <f t="shared" si="7"/>
        <v>0.76493288996372433</v>
      </c>
      <c r="U24" s="825">
        <f t="shared" si="7"/>
        <v>0.72875858732462506</v>
      </c>
      <c r="V24" s="826">
        <f t="shared" si="7"/>
        <v>0.72307336400818001</v>
      </c>
      <c r="W24" s="825"/>
      <c r="X24" s="827"/>
      <c r="Y24" s="828"/>
      <c r="Z24" s="828">
        <f t="shared" si="6"/>
        <v>-7.8012436701655474E-3</v>
      </c>
      <c r="AA24" s="829"/>
      <c r="AB24" s="830"/>
      <c r="AC24" s="831"/>
      <c r="AD24" s="831"/>
    </row>
    <row r="25" spans="1:30" ht="15.75" outlineLevel="2">
      <c r="A25" s="832" t="s">
        <v>39</v>
      </c>
      <c r="B25" s="839">
        <f>SUM($B22:B22)/SUM($B23:B23)</f>
        <v>0.83138313921242357</v>
      </c>
      <c r="C25" s="839">
        <f>SUM($B22:C22)/SUM($B23:C23)</f>
        <v>0.82322204463387227</v>
      </c>
      <c r="D25" s="839">
        <f>SUM($B22:D22)/SUM($B23:D23)</f>
        <v>0.82374870855640125</v>
      </c>
      <c r="E25" s="839">
        <f>SUM($B22:E22)/SUM($B23:E23)</f>
        <v>0.82559853188083276</v>
      </c>
      <c r="F25" s="833">
        <f>SUM($B22:F22)/SUM($B23:F23)</f>
        <v>0.81287722174010879</v>
      </c>
      <c r="G25" s="833">
        <f>SUM($B22:G22)/SUM($B23:G23)</f>
        <v>0.81944272822427811</v>
      </c>
      <c r="H25" s="833">
        <f>SUM($B22:H22)/SUM($B23:H23)</f>
        <v>0.81674736705577189</v>
      </c>
      <c r="I25" s="833">
        <f>SUM($B22:I22)/SUM($B23:I23)</f>
        <v>0.81417385739025683</v>
      </c>
      <c r="J25" s="850">
        <f>SUM($B22:J22)/SUM($B23:J23)</f>
        <v>0.82406244969144093</v>
      </c>
      <c r="K25" s="833">
        <f>SUM($B22:K22)/SUM($B23:K23)</f>
        <v>0.82635183886551355</v>
      </c>
      <c r="L25" s="833">
        <f>SUM($B22:L22)/SUM($B23:L23)</f>
        <v>0.82402906639987361</v>
      </c>
      <c r="M25" s="833">
        <f>SUM($B22:M22)/SUM($B23:M23)</f>
        <v>0.82289951812683937</v>
      </c>
      <c r="N25" s="835">
        <f>SUM(N22:$N22)/SUM(N23:$N23)</f>
        <v>0.7542466666666664</v>
      </c>
      <c r="O25" s="835">
        <f>SUM($N22:O22)/SUM($N23:O23)</f>
        <v>0.73449396392557853</v>
      </c>
      <c r="P25" s="835">
        <f>SUM($N22:P22)/SUM($N23:P23)</f>
        <v>0.69346373815676132</v>
      </c>
      <c r="Q25" s="835">
        <f>SUM($N22:Q22)/SUM($N23:Q23)</f>
        <v>0.71647551705851142</v>
      </c>
      <c r="R25" s="835">
        <f>SUM($N22:R22)/SUM($N23:R23)</f>
        <v>0.72658619198616303</v>
      </c>
      <c r="S25" s="835">
        <f>SUM($N22:S22)/SUM($N23:S23)</f>
        <v>0.72852257690075439</v>
      </c>
      <c r="T25" s="835">
        <f>SUM($N22:T22)/SUM($N23:T23)</f>
        <v>0.73438708735027747</v>
      </c>
      <c r="U25" s="835">
        <f>SUM($N22:U22)/SUM($N23:U23)</f>
        <v>0.73403318732128731</v>
      </c>
      <c r="V25" s="836">
        <f>SUM($N22:V22)/SUM($N23:V23)</f>
        <v>0.73286766704724615</v>
      </c>
      <c r="W25" s="835">
        <f>+W22/W23</f>
        <v>0.73286766704724615</v>
      </c>
      <c r="X25" s="837">
        <v>0.8</v>
      </c>
      <c r="Y25" s="838">
        <f>W25/X25-1</f>
        <v>-8.3915416190942338E-2</v>
      </c>
      <c r="Z25" s="838">
        <f t="shared" si="6"/>
        <v>-1.5878304880116989E-3</v>
      </c>
      <c r="AA25" s="839">
        <f>+AA22/AA23</f>
        <v>0.82406244969144093</v>
      </c>
      <c r="AB25" s="840">
        <f>+W25/AA25-1</f>
        <v>-0.11066489278614922</v>
      </c>
      <c r="AC25" s="841"/>
      <c r="AD25" s="841"/>
    </row>
    <row r="26" spans="1:30" ht="15.75" outlineLevel="2">
      <c r="A26" s="842" t="s">
        <v>260</v>
      </c>
      <c r="B26" s="843">
        <f t="shared" ref="B26:W26" si="8">IFERROR(B21/(B23/60),0)</f>
        <v>1.9740432612312813</v>
      </c>
      <c r="C26" s="843">
        <f t="shared" si="8"/>
        <v>1.4135567402894136</v>
      </c>
      <c r="D26" s="843">
        <f t="shared" si="8"/>
        <v>1.765507839127471</v>
      </c>
      <c r="E26" s="843">
        <f t="shared" si="8"/>
        <v>1.6636553161918</v>
      </c>
      <c r="F26" s="843">
        <f t="shared" si="8"/>
        <v>1.5169029443838604</v>
      </c>
      <c r="G26" s="843">
        <f t="shared" si="8"/>
        <v>1.2322946175637395</v>
      </c>
      <c r="H26" s="843">
        <f t="shared" si="8"/>
        <v>2.3036551077788192</v>
      </c>
      <c r="I26" s="843">
        <f t="shared" si="8"/>
        <v>3.3457076566125292</v>
      </c>
      <c r="J26" s="844">
        <f t="shared" si="8"/>
        <v>1.3853718500307315</v>
      </c>
      <c r="K26" s="843">
        <f t="shared" si="8"/>
        <v>2.0671506352087112</v>
      </c>
      <c r="L26" s="843">
        <f t="shared" si="8"/>
        <v>1.9105907397551889</v>
      </c>
      <c r="M26" s="843">
        <f t="shared" si="8"/>
        <v>1.3148490449784349</v>
      </c>
      <c r="N26" s="845">
        <f t="shared" si="8"/>
        <v>2.286</v>
      </c>
      <c r="O26" s="845">
        <f t="shared" si="8"/>
        <v>1.8337045285820341</v>
      </c>
      <c r="P26" s="845">
        <f t="shared" si="8"/>
        <v>0.86408404464871968</v>
      </c>
      <c r="Q26" s="845">
        <f t="shared" si="8"/>
        <v>1.6373810856183548</v>
      </c>
      <c r="R26" s="845">
        <f t="shared" si="8"/>
        <v>1.5581576893052302</v>
      </c>
      <c r="S26" s="845">
        <f t="shared" si="8"/>
        <v>1.2152653548002386</v>
      </c>
      <c r="T26" s="845">
        <f t="shared" si="8"/>
        <v>2.4885126964933493</v>
      </c>
      <c r="U26" s="845">
        <f t="shared" si="8"/>
        <v>0.58055152394775034</v>
      </c>
      <c r="V26" s="846">
        <f t="shared" si="8"/>
        <v>1.5598159509202454</v>
      </c>
      <c r="W26" s="845">
        <f t="shared" si="8"/>
        <v>1.5969662371554396</v>
      </c>
      <c r="X26" s="843">
        <v>2.4700000000000002</v>
      </c>
      <c r="Y26" s="847">
        <f>W26/X26-1</f>
        <v>-0.35345496471439697</v>
      </c>
      <c r="Z26" s="847">
        <f t="shared" si="6"/>
        <v>1.6867829754601229</v>
      </c>
      <c r="AA26" s="843">
        <f>+AA21/(AA23/60)</f>
        <v>1.6973437080762006</v>
      </c>
      <c r="AB26" s="798">
        <f>+W26/AA26-1</f>
        <v>-5.9137975675257026E-2</v>
      </c>
      <c r="AC26" s="737"/>
      <c r="AD26" s="737"/>
    </row>
    <row r="27" spans="1:30" ht="16.5" outlineLevel="1" thickBot="1">
      <c r="AA27" s="51"/>
    </row>
    <row r="28" spans="1:30" ht="60">
      <c r="A28" s="153" t="s">
        <v>5</v>
      </c>
      <c r="B28" s="969">
        <v>45688</v>
      </c>
      <c r="C28" s="969">
        <v>45716</v>
      </c>
      <c r="D28" s="969">
        <v>45747</v>
      </c>
      <c r="E28" s="969">
        <v>45777</v>
      </c>
      <c r="F28" s="969">
        <v>45808</v>
      </c>
      <c r="G28" s="969">
        <v>45838</v>
      </c>
      <c r="H28" s="969">
        <v>45869</v>
      </c>
      <c r="I28" s="969">
        <v>45900</v>
      </c>
      <c r="J28" s="970">
        <v>45930</v>
      </c>
      <c r="K28" s="969">
        <v>45961</v>
      </c>
      <c r="L28" s="969">
        <v>45991</v>
      </c>
      <c r="M28" s="969">
        <v>46022</v>
      </c>
      <c r="N28" s="969">
        <v>46053</v>
      </c>
      <c r="O28" s="969">
        <v>46081</v>
      </c>
      <c r="P28" s="969">
        <v>46112</v>
      </c>
      <c r="Q28" s="969">
        <v>46142</v>
      </c>
      <c r="R28" s="969">
        <v>46173</v>
      </c>
      <c r="S28" s="969">
        <v>46203</v>
      </c>
      <c r="T28" s="969">
        <v>46234</v>
      </c>
      <c r="U28" s="969">
        <v>46265</v>
      </c>
      <c r="V28" s="970">
        <v>46295</v>
      </c>
      <c r="W28" s="969" t="s">
        <v>1</v>
      </c>
      <c r="X28" s="971" t="s">
        <v>12</v>
      </c>
      <c r="Y28" s="972" t="s">
        <v>10</v>
      </c>
      <c r="Z28" s="972" t="s">
        <v>75</v>
      </c>
      <c r="AA28" s="973" t="s">
        <v>132</v>
      </c>
      <c r="AB28" s="972" t="s">
        <v>23</v>
      </c>
      <c r="AC28" s="971" t="s">
        <v>17</v>
      </c>
      <c r="AD28" s="974" t="s">
        <v>387</v>
      </c>
    </row>
    <row r="29" spans="1:30">
      <c r="A29" s="793" t="s">
        <v>225</v>
      </c>
      <c r="B29" s="750">
        <f>SUM(B5,B13,B21)</f>
        <v>9820</v>
      </c>
      <c r="C29" s="750">
        <f t="shared" ref="C29:V31" si="9">SUM(C5,C13,C21)</f>
        <v>7331</v>
      </c>
      <c r="D29" s="750">
        <f t="shared" si="9"/>
        <v>5528</v>
      </c>
      <c r="E29" s="750">
        <f t="shared" si="9"/>
        <v>5762</v>
      </c>
      <c r="F29" s="750">
        <f t="shared" si="9"/>
        <v>6506</v>
      </c>
      <c r="G29" s="750">
        <f t="shared" si="9"/>
        <v>5562</v>
      </c>
      <c r="H29" s="750">
        <f t="shared" si="9"/>
        <v>7326</v>
      </c>
      <c r="I29" s="750">
        <f t="shared" si="9"/>
        <v>2200</v>
      </c>
      <c r="J29" s="751">
        <f t="shared" si="9"/>
        <v>6385</v>
      </c>
      <c r="K29" s="750">
        <f t="shared" si="9"/>
        <v>7808</v>
      </c>
      <c r="L29" s="750">
        <f t="shared" si="9"/>
        <v>8034</v>
      </c>
      <c r="M29" s="750">
        <f t="shared" si="9"/>
        <v>5496</v>
      </c>
      <c r="N29" s="794">
        <f t="shared" si="9"/>
        <v>5764</v>
      </c>
      <c r="O29" s="794">
        <f t="shared" si="9"/>
        <v>4931</v>
      </c>
      <c r="P29" s="794">
        <f t="shared" si="9"/>
        <v>4538</v>
      </c>
      <c r="Q29" s="794">
        <f t="shared" si="9"/>
        <v>5505</v>
      </c>
      <c r="R29" s="794">
        <f t="shared" si="9"/>
        <v>4910</v>
      </c>
      <c r="S29" s="794">
        <f t="shared" si="9"/>
        <v>4029</v>
      </c>
      <c r="T29" s="794">
        <f t="shared" si="9"/>
        <v>5559</v>
      </c>
      <c r="U29" s="794">
        <f t="shared" si="9"/>
        <v>2659</v>
      </c>
      <c r="V29" s="795">
        <f t="shared" si="9"/>
        <v>6196</v>
      </c>
      <c r="W29" s="794">
        <f>SUM(N29:V29)</f>
        <v>44091</v>
      </c>
      <c r="X29" s="794"/>
      <c r="Y29" s="796"/>
      <c r="Z29" s="796">
        <f t="shared" ref="Z29:Z34" si="10">IFERROR(V29/U29-1,100%)</f>
        <v>1.3301993230537796</v>
      </c>
      <c r="AA29" s="797">
        <f>SUM(B29:J29)</f>
        <v>56420</v>
      </c>
      <c r="AB29" s="798">
        <f>+W29/AA29-1</f>
        <v>-0.21852180077986527</v>
      </c>
      <c r="AC29" s="848" t="e">
        <f>+W29+AD29-#REF!</f>
        <v>#REF!</v>
      </c>
      <c r="AD29" s="800">
        <f>SUM(AD21,AD13,AD5)</f>
        <v>2467</v>
      </c>
    </row>
    <row r="30" spans="1:30">
      <c r="A30" s="556" t="s">
        <v>226</v>
      </c>
      <c r="B30" s="801">
        <f>SUM(B6,B14,B22)</f>
        <v>1046968.9000000006</v>
      </c>
      <c r="C30" s="801">
        <f t="shared" si="9"/>
        <v>864807.4299999997</v>
      </c>
      <c r="D30" s="801">
        <f t="shared" si="9"/>
        <v>658258.85</v>
      </c>
      <c r="E30" s="801">
        <f t="shared" si="9"/>
        <v>589697.12999999989</v>
      </c>
      <c r="F30" s="801">
        <f t="shared" si="9"/>
        <v>753528.33999999985</v>
      </c>
      <c r="G30" s="801">
        <f t="shared" si="9"/>
        <v>760241.2899999998</v>
      </c>
      <c r="H30" s="801">
        <f t="shared" si="9"/>
        <v>863899.21999999986</v>
      </c>
      <c r="I30" s="801">
        <f t="shared" si="9"/>
        <v>171686.88999999998</v>
      </c>
      <c r="J30" s="802">
        <f t="shared" si="9"/>
        <v>817944.13000000024</v>
      </c>
      <c r="K30" s="801">
        <f t="shared" si="9"/>
        <v>900051.98</v>
      </c>
      <c r="L30" s="801">
        <f t="shared" si="9"/>
        <v>705909.43999999983</v>
      </c>
      <c r="M30" s="801">
        <f t="shared" si="9"/>
        <v>628738.38</v>
      </c>
      <c r="N30" s="803">
        <f t="shared" si="9"/>
        <v>590648.48999999987</v>
      </c>
      <c r="O30" s="803">
        <f t="shared" si="9"/>
        <v>576880.04</v>
      </c>
      <c r="P30" s="803">
        <f t="shared" si="9"/>
        <v>540228.24000000022</v>
      </c>
      <c r="Q30" s="803">
        <f t="shared" si="9"/>
        <v>693851.42</v>
      </c>
      <c r="R30" s="803">
        <f t="shared" si="9"/>
        <v>613880.51</v>
      </c>
      <c r="S30" s="803">
        <f t="shared" si="9"/>
        <v>718576.82000000007</v>
      </c>
      <c r="T30" s="803">
        <f t="shared" si="9"/>
        <v>686254.29</v>
      </c>
      <c r="U30" s="803">
        <f t="shared" si="9"/>
        <v>301009.52</v>
      </c>
      <c r="V30" s="804">
        <f t="shared" si="9"/>
        <v>810243.30999999994</v>
      </c>
      <c r="W30" s="805">
        <f>SUM(N30:V30)</f>
        <v>5531572.6399999997</v>
      </c>
      <c r="X30" s="54"/>
      <c r="Y30" s="806"/>
      <c r="Z30" s="806">
        <f t="shared" si="10"/>
        <v>1.691753104685858</v>
      </c>
      <c r="AA30" s="807">
        <f>SUM(B30:J30)</f>
        <v>6527032.1799999988</v>
      </c>
      <c r="AB30" s="808">
        <f>+W30/AA30-1</f>
        <v>-0.15251334948987483</v>
      </c>
      <c r="AC30" s="809"/>
      <c r="AD30" s="75"/>
    </row>
    <row r="31" spans="1:30" ht="15.75" thickBot="1">
      <c r="A31" s="810" t="s">
        <v>136</v>
      </c>
      <c r="B31" s="811">
        <f>SUM(B7,B15,B23)</f>
        <v>1349430</v>
      </c>
      <c r="C31" s="811">
        <f t="shared" si="9"/>
        <v>1208700</v>
      </c>
      <c r="D31" s="811">
        <f t="shared" si="9"/>
        <v>868020</v>
      </c>
      <c r="E31" s="811">
        <f t="shared" si="9"/>
        <v>816390</v>
      </c>
      <c r="F31" s="811">
        <f t="shared" si="9"/>
        <v>1019490</v>
      </c>
      <c r="G31" s="811">
        <f t="shared" si="9"/>
        <v>969180</v>
      </c>
      <c r="H31" s="811">
        <f t="shared" si="9"/>
        <v>1181910</v>
      </c>
      <c r="I31" s="811">
        <f t="shared" si="9"/>
        <v>225900</v>
      </c>
      <c r="J31" s="812">
        <f t="shared" si="9"/>
        <v>1103010</v>
      </c>
      <c r="K31" s="811">
        <f t="shared" si="9"/>
        <v>1264500</v>
      </c>
      <c r="L31" s="811">
        <f t="shared" si="9"/>
        <v>1078950</v>
      </c>
      <c r="M31" s="811">
        <f t="shared" si="9"/>
        <v>1033800</v>
      </c>
      <c r="N31" s="813">
        <f t="shared" si="9"/>
        <v>978960</v>
      </c>
      <c r="O31" s="813">
        <f t="shared" si="9"/>
        <v>938460</v>
      </c>
      <c r="P31" s="813">
        <f t="shared" si="9"/>
        <v>828360</v>
      </c>
      <c r="Q31" s="813">
        <f t="shared" si="9"/>
        <v>1065180</v>
      </c>
      <c r="R31" s="813">
        <f t="shared" si="9"/>
        <v>898650</v>
      </c>
      <c r="S31" s="813">
        <f t="shared" si="9"/>
        <v>1099170</v>
      </c>
      <c r="T31" s="813">
        <f t="shared" si="9"/>
        <v>1070280</v>
      </c>
      <c r="U31" s="813">
        <f t="shared" si="9"/>
        <v>499350</v>
      </c>
      <c r="V31" s="814">
        <f t="shared" si="9"/>
        <v>1153590</v>
      </c>
      <c r="W31" s="815">
        <f>SUM(N31:V31)</f>
        <v>8532000</v>
      </c>
      <c r="X31" s="816"/>
      <c r="Y31" s="817"/>
      <c r="Z31" s="817">
        <f t="shared" si="10"/>
        <v>1.3101832382096728</v>
      </c>
      <c r="AA31" s="818">
        <f>SUM(B31:J31)</f>
        <v>8742030</v>
      </c>
      <c r="AB31" s="819">
        <f>+W31/AA31-1</f>
        <v>-2.4025312198654114E-2</v>
      </c>
      <c r="AC31" s="820"/>
      <c r="AD31" s="821"/>
    </row>
    <row r="32" spans="1:30" ht="15.75">
      <c r="A32" s="822" t="s">
        <v>38</v>
      </c>
      <c r="B32" s="823">
        <f t="shared" ref="B32:V32" si="11">IFERROR(B30/B31,"")</f>
        <v>0.77586010389571936</v>
      </c>
      <c r="C32" s="823">
        <f t="shared" si="11"/>
        <v>0.7154855878216263</v>
      </c>
      <c r="D32" s="823">
        <f t="shared" si="11"/>
        <v>0.75834525702172761</v>
      </c>
      <c r="E32" s="823">
        <f t="shared" si="11"/>
        <v>0.72232282365046108</v>
      </c>
      <c r="F32" s="823">
        <f t="shared" si="11"/>
        <v>0.73912283592776762</v>
      </c>
      <c r="G32" s="823">
        <f t="shared" si="11"/>
        <v>0.78441702263769353</v>
      </c>
      <c r="H32" s="823">
        <f t="shared" si="11"/>
        <v>0.73093485967628657</v>
      </c>
      <c r="I32" s="823">
        <f t="shared" si="11"/>
        <v>0.76001279327135896</v>
      </c>
      <c r="J32" s="824">
        <f t="shared" si="11"/>
        <v>0.74155640474701068</v>
      </c>
      <c r="K32" s="823">
        <f t="shared" si="11"/>
        <v>0.71178487939897195</v>
      </c>
      <c r="L32" s="823">
        <f t="shared" si="11"/>
        <v>0.65425593400991688</v>
      </c>
      <c r="M32" s="823">
        <f t="shared" si="11"/>
        <v>0.6081818340104469</v>
      </c>
      <c r="N32" s="825">
        <f t="shared" si="11"/>
        <v>0.6033428229958322</v>
      </c>
      <c r="O32" s="825">
        <f t="shared" si="11"/>
        <v>0.61470924706433949</v>
      </c>
      <c r="P32" s="825">
        <f t="shared" si="11"/>
        <v>0.65216601477618452</v>
      </c>
      <c r="Q32" s="825">
        <f t="shared" si="11"/>
        <v>0.65139358606057196</v>
      </c>
      <c r="R32" s="825">
        <f t="shared" si="11"/>
        <v>0.68311412674567407</v>
      </c>
      <c r="S32" s="825">
        <f t="shared" si="11"/>
        <v>0.65374493481445095</v>
      </c>
      <c r="T32" s="825">
        <f t="shared" si="11"/>
        <v>0.64119136113914121</v>
      </c>
      <c r="U32" s="825">
        <f t="shared" si="11"/>
        <v>0.60280268348853516</v>
      </c>
      <c r="V32" s="826">
        <f t="shared" si="11"/>
        <v>0.70236679409495573</v>
      </c>
      <c r="W32" s="825"/>
      <c r="X32" s="827"/>
      <c r="Y32" s="828"/>
      <c r="Z32" s="828">
        <f t="shared" si="10"/>
        <v>0.16516865855709839</v>
      </c>
      <c r="AA32" s="829"/>
      <c r="AB32" s="830"/>
      <c r="AC32" s="831"/>
      <c r="AD32" s="831"/>
    </row>
    <row r="33" spans="1:32" ht="15.75">
      <c r="A33" s="832" t="s">
        <v>39</v>
      </c>
      <c r="B33" s="833">
        <f>SUM($B30:B30)/SUM($B31:B31)</f>
        <v>0.77586010389571936</v>
      </c>
      <c r="C33" s="833">
        <f>SUM($B30:C30)/SUM($B31:C31)</f>
        <v>0.74733353269771285</v>
      </c>
      <c r="D33" s="833">
        <f>SUM($B30:D30)/SUM($B31:D31)</f>
        <v>0.75012336879587882</v>
      </c>
      <c r="E33" s="833">
        <f>SUM($B30:E30)/SUM($B31:E31)</f>
        <v>0.74477372281699172</v>
      </c>
      <c r="F33" s="833">
        <f>SUM($B30:F30)/SUM($B31:F31)</f>
        <v>0.74367889388695996</v>
      </c>
      <c r="G33" s="833">
        <f>SUM($B30:G30)/SUM($B31:G31)</f>
        <v>0.75001515596489277</v>
      </c>
      <c r="H33" s="833">
        <f>SUM($B30:H30)/SUM($B31:H31)</f>
        <v>0.7469730909522575</v>
      </c>
      <c r="I33" s="833">
        <f>SUM($B30:I30)/SUM($B31:I31)</f>
        <v>0.74735869915250897</v>
      </c>
      <c r="J33" s="834">
        <f>SUM($B30:J30)/SUM($B31:J31)</f>
        <v>0.74662660503338452</v>
      </c>
      <c r="K33" s="833">
        <f>SUM($B30:K30)/SUM($B31:K31)</f>
        <v>0.74222374389523627</v>
      </c>
      <c r="L33" s="833">
        <f>SUM($B30:L30)/SUM($B31:L31)</f>
        <v>0.73366183512125749</v>
      </c>
      <c r="M33" s="833">
        <f>SUM($B30:M30)/SUM($B31:M31)</f>
        <v>0.72295812787558322</v>
      </c>
      <c r="N33" s="835">
        <f>SUM(N30:$N30)/SUM(N31:$N31)</f>
        <v>0.6033428229958322</v>
      </c>
      <c r="O33" s="835">
        <f>SUM($N30:O30)/SUM($N31:O31)</f>
        <v>0.60890599347039243</v>
      </c>
      <c r="P33" s="835">
        <f>SUM($N30:P30)/SUM($N31:P31)</f>
        <v>0.62195688292579887</v>
      </c>
      <c r="Q33" s="835">
        <f>SUM($N30:Q30)/SUM($N31:Q31)</f>
        <v>0.63018457029199992</v>
      </c>
      <c r="R33" s="835">
        <f>SUM($N30:R30)/SUM($N31:R31)</f>
        <v>0.64028416365686336</v>
      </c>
      <c r="S33" s="835">
        <f>SUM($N30:S30)/SUM($N31:S31)</f>
        <v>0.64283128643191867</v>
      </c>
      <c r="T33" s="835">
        <f>SUM($N30:T30)/SUM($N31:T31)</f>
        <v>0.6425761383095947</v>
      </c>
      <c r="U33" s="835">
        <f>SUM($N30:U30)/SUM($N31:U31)</f>
        <v>0.63988438294971406</v>
      </c>
      <c r="V33" s="836">
        <f>SUM($N30:V30)/SUM($N31:V31)</f>
        <v>0.6483324706985466</v>
      </c>
      <c r="W33" s="835">
        <f>+W30/W31</f>
        <v>0.6483324706985466</v>
      </c>
      <c r="X33" s="837">
        <v>0.77</v>
      </c>
      <c r="Y33" s="838">
        <f>W33/X33-1</f>
        <v>-0.15800977831357588</v>
      </c>
      <c r="Z33" s="838">
        <f t="shared" si="10"/>
        <v>1.3202522164846187E-2</v>
      </c>
      <c r="AA33" s="839">
        <f>+AA30/AA31</f>
        <v>0.74662660503338452</v>
      </c>
      <c r="AB33" s="840">
        <f>+W33/AA33-1</f>
        <v>-0.13165099351159981</v>
      </c>
      <c r="AC33" s="841"/>
      <c r="AD33" s="841"/>
    </row>
    <row r="34" spans="1:32" ht="15.75">
      <c r="A34" s="842" t="s">
        <v>260</v>
      </c>
      <c r="B34" s="843">
        <f t="shared" ref="B34:W34" si="12">IFERROR(B29/(B31/60),0)</f>
        <v>0.43662879882617106</v>
      </c>
      <c r="C34" s="843">
        <f t="shared" si="12"/>
        <v>0.36391164060560932</v>
      </c>
      <c r="D34" s="843">
        <f t="shared" si="12"/>
        <v>0.38211101126702152</v>
      </c>
      <c r="E34" s="843">
        <f t="shared" si="12"/>
        <v>0.42347407489067723</v>
      </c>
      <c r="F34" s="843">
        <f t="shared" si="12"/>
        <v>0.38289733101845042</v>
      </c>
      <c r="G34" s="843">
        <f t="shared" si="12"/>
        <v>0.34433232216925647</v>
      </c>
      <c r="H34" s="843">
        <f t="shared" si="12"/>
        <v>0.37190649034190421</v>
      </c>
      <c r="I34" s="843">
        <f t="shared" si="12"/>
        <v>0.58432934926958835</v>
      </c>
      <c r="J34" s="844">
        <f t="shared" si="12"/>
        <v>0.34732232708678978</v>
      </c>
      <c r="K34" s="843">
        <f t="shared" si="12"/>
        <v>0.37048635824436538</v>
      </c>
      <c r="L34" s="843">
        <f t="shared" si="12"/>
        <v>0.44676769081051021</v>
      </c>
      <c r="M34" s="843">
        <f t="shared" si="12"/>
        <v>0.31897852582704583</v>
      </c>
      <c r="N34" s="845">
        <f t="shared" si="12"/>
        <v>0.353272860995342</v>
      </c>
      <c r="O34" s="845">
        <f t="shared" si="12"/>
        <v>0.31526117255929925</v>
      </c>
      <c r="P34" s="845">
        <f t="shared" si="12"/>
        <v>0.32869766768071851</v>
      </c>
      <c r="Q34" s="845">
        <f t="shared" si="12"/>
        <v>0.3100884357573368</v>
      </c>
      <c r="R34" s="845">
        <f t="shared" si="12"/>
        <v>0.32782507093974295</v>
      </c>
      <c r="S34" s="845">
        <f t="shared" si="12"/>
        <v>0.21992958323098338</v>
      </c>
      <c r="T34" s="845">
        <f t="shared" si="12"/>
        <v>0.31163807601749077</v>
      </c>
      <c r="U34" s="845">
        <f t="shared" si="12"/>
        <v>0.31949534394713125</v>
      </c>
      <c r="V34" s="846">
        <f t="shared" si="12"/>
        <v>0.32226354250643641</v>
      </c>
      <c r="W34" s="845">
        <f t="shared" si="12"/>
        <v>0.31006329113924053</v>
      </c>
      <c r="X34" s="843">
        <v>0.52</v>
      </c>
      <c r="Y34" s="847">
        <f>W34/X34-1</f>
        <v>-0.40372444011684516</v>
      </c>
      <c r="Z34" s="847">
        <f t="shared" si="10"/>
        <v>8.664284509145137E-3</v>
      </c>
      <c r="AA34" s="843">
        <f>+AA29/(AA31/60)</f>
        <v>0.38723271368320633</v>
      </c>
      <c r="AB34" s="798">
        <f>+W34/AA34-1</f>
        <v>-0.1992843574861235</v>
      </c>
      <c r="AC34" s="855"/>
      <c r="AD34" s="855"/>
      <c r="AE34" s="458"/>
      <c r="AF34" s="458"/>
    </row>
    <row r="35" spans="1:32">
      <c r="A35" s="21" t="s">
        <v>435</v>
      </c>
      <c r="B35" s="595"/>
      <c r="C35" s="595"/>
      <c r="D35" s="595"/>
      <c r="E35" s="595"/>
      <c r="F35" s="595"/>
      <c r="G35" s="595"/>
      <c r="H35" s="595"/>
      <c r="I35" s="595"/>
      <c r="J35" s="595"/>
      <c r="K35" s="595"/>
      <c r="L35" s="595"/>
      <c r="M35" s="595"/>
      <c r="N35" s="595"/>
      <c r="O35" s="595"/>
      <c r="P35" s="595"/>
      <c r="Q35" s="595"/>
      <c r="R35" s="595"/>
      <c r="S35" s="595"/>
      <c r="T35" s="595"/>
      <c r="U35" s="595"/>
      <c r="X35" s="856"/>
    </row>
    <row r="36" spans="1:32">
      <c r="A36" s="21" t="s">
        <v>436</v>
      </c>
    </row>
    <row r="37" spans="1:32">
      <c r="A37" s="21" t="s">
        <v>437</v>
      </c>
    </row>
    <row r="38" spans="1:32">
      <c r="A38" s="21" t="s">
        <v>438</v>
      </c>
    </row>
    <row r="40" spans="1:32" ht="15.75">
      <c r="B40" s="857"/>
      <c r="C40" s="857"/>
      <c r="D40" s="857"/>
      <c r="E40" s="857"/>
      <c r="F40" s="857"/>
      <c r="G40" s="857"/>
      <c r="H40" s="857"/>
      <c r="I40" s="857"/>
      <c r="J40" s="857"/>
      <c r="K40" s="857"/>
      <c r="L40" s="857"/>
      <c r="M40" s="857"/>
      <c r="N40" s="857"/>
      <c r="O40" s="857"/>
      <c r="P40" s="857"/>
      <c r="Q40" s="857"/>
      <c r="R40" s="857"/>
      <c r="S40" s="857"/>
      <c r="T40" s="857"/>
      <c r="U40" s="857"/>
      <c r="V40" s="857"/>
      <c r="W40" s="857"/>
    </row>
    <row r="41" spans="1:32">
      <c r="W41" s="858"/>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EFF65-158A-45A9-9F50-204817A09B90}">
  <sheetPr>
    <tabColor theme="5"/>
  </sheetPr>
  <dimension ref="A1:AB41"/>
  <sheetViews>
    <sheetView showGridLines="0" zoomScale="70" zoomScaleNormal="70" workbookViewId="0">
      <selection activeCell="A3" sqref="A3"/>
    </sheetView>
  </sheetViews>
  <sheetFormatPr baseColWidth="10" defaultColWidth="8.85546875" defaultRowHeight="15" outlineLevelRow="1"/>
  <cols>
    <col min="1" max="1" width="14.28515625" style="755" bestFit="1" customWidth="1"/>
    <col min="2" max="2" width="48.85546875" style="19" customWidth="1"/>
    <col min="3" max="24" width="10" style="19" customWidth="1"/>
    <col min="25" max="25" width="13.5703125" style="19" bestFit="1" customWidth="1"/>
    <col min="26" max="26" width="10" style="19" customWidth="1"/>
    <col min="27" max="27" width="11.42578125" style="19" customWidth="1"/>
    <col min="28" max="28" width="17.140625" style="19" bestFit="1" customWidth="1"/>
    <col min="29" max="16384" width="8.85546875" style="19"/>
  </cols>
  <sheetData>
    <row r="1" spans="2:26" ht="20.25">
      <c r="B1" s="1186" t="s">
        <v>21</v>
      </c>
    </row>
    <row r="2" spans="2:26" ht="14.45" customHeight="1" outlineLevel="1">
      <c r="B2" s="168" t="s">
        <v>440</v>
      </c>
      <c r="C2" s="168"/>
      <c r="D2" s="168"/>
      <c r="E2" s="168"/>
      <c r="F2" s="168"/>
      <c r="G2" s="168"/>
      <c r="H2" s="168"/>
      <c r="I2" s="168"/>
      <c r="J2" s="168"/>
      <c r="K2" s="168"/>
      <c r="L2" s="168"/>
      <c r="M2" s="168"/>
      <c r="N2" s="168"/>
      <c r="O2" s="168"/>
      <c r="P2" s="168"/>
      <c r="Q2" s="168"/>
      <c r="R2" s="168"/>
      <c r="S2" s="168"/>
      <c r="T2" s="168"/>
      <c r="U2" s="168"/>
      <c r="V2" s="168"/>
      <c r="W2" s="168"/>
    </row>
    <row r="3" spans="2:26" ht="14.45" customHeight="1" outlineLevel="1">
      <c r="B3" s="457" t="s">
        <v>439</v>
      </c>
      <c r="C3" s="21"/>
      <c r="D3" s="21"/>
      <c r="E3" s="21"/>
      <c r="F3" s="21"/>
      <c r="G3" s="21"/>
      <c r="H3" s="21"/>
      <c r="I3" s="21"/>
      <c r="J3" s="21"/>
      <c r="K3" s="21"/>
      <c r="L3" s="21"/>
      <c r="M3" s="21"/>
      <c r="N3" s="21"/>
      <c r="O3" s="21"/>
      <c r="P3" s="21"/>
      <c r="Q3" s="21"/>
      <c r="R3" s="1046"/>
      <c r="S3" s="1033"/>
      <c r="T3" s="21"/>
      <c r="U3" s="21"/>
      <c r="V3" s="21"/>
      <c r="W3" s="21"/>
    </row>
    <row r="4" spans="2:26" ht="47.25" outlineLevel="1">
      <c r="B4" s="23" t="s">
        <v>0</v>
      </c>
      <c r="C4" s="184">
        <v>45838</v>
      </c>
      <c r="D4" s="859">
        <v>45869</v>
      </c>
      <c r="E4" s="859">
        <v>45900</v>
      </c>
      <c r="F4" s="859">
        <v>45930</v>
      </c>
      <c r="G4" s="859">
        <v>45961</v>
      </c>
      <c r="H4" s="859">
        <v>45991</v>
      </c>
      <c r="I4" s="859">
        <v>46022</v>
      </c>
      <c r="J4" s="859">
        <v>46053</v>
      </c>
      <c r="K4" s="859">
        <v>46081</v>
      </c>
      <c r="L4" s="859">
        <v>46112</v>
      </c>
      <c r="M4" s="859">
        <v>46142</v>
      </c>
      <c r="N4" s="859">
        <v>46173</v>
      </c>
      <c r="O4" s="859">
        <v>46203</v>
      </c>
      <c r="P4" s="859">
        <v>46234</v>
      </c>
      <c r="Q4" s="859">
        <v>46265</v>
      </c>
      <c r="R4" s="860">
        <v>46295</v>
      </c>
      <c r="S4" s="185" t="s">
        <v>1</v>
      </c>
      <c r="T4" s="1080" t="s">
        <v>12</v>
      </c>
      <c r="U4" s="27" t="s">
        <v>10</v>
      </c>
      <c r="V4" s="27" t="s">
        <v>14</v>
      </c>
      <c r="W4" s="185" t="s">
        <v>338</v>
      </c>
      <c r="X4" s="27" t="s">
        <v>381</v>
      </c>
      <c r="Y4" s="861" t="s">
        <v>20</v>
      </c>
    </row>
    <row r="5" spans="2:26" ht="15.75" outlineLevel="1">
      <c r="B5" s="793" t="s">
        <v>2</v>
      </c>
      <c r="C5" s="862">
        <v>483</v>
      </c>
      <c r="D5" s="863">
        <v>404</v>
      </c>
      <c r="E5" s="863">
        <v>2</v>
      </c>
      <c r="F5" s="863">
        <v>95</v>
      </c>
      <c r="G5" s="863">
        <v>1</v>
      </c>
      <c r="H5" s="863">
        <v>82</v>
      </c>
      <c r="I5" s="863">
        <v>65</v>
      </c>
      <c r="J5" s="53">
        <v>0</v>
      </c>
      <c r="K5" s="53">
        <v>616</v>
      </c>
      <c r="L5" s="53">
        <v>256</v>
      </c>
      <c r="M5" s="53">
        <v>7</v>
      </c>
      <c r="N5" s="53">
        <v>0</v>
      </c>
      <c r="O5" s="53">
        <v>0</v>
      </c>
      <c r="P5" s="53">
        <v>10</v>
      </c>
      <c r="Q5" s="1163">
        <v>51</v>
      </c>
      <c r="R5" s="1164">
        <v>97</v>
      </c>
      <c r="S5" s="864">
        <f>SUM(J5:R5)</f>
        <v>1037</v>
      </c>
      <c r="T5" s="865" t="e">
        <f>#REF!*Y5*0.1%</f>
        <v>#REF!</v>
      </c>
      <c r="U5" s="866" t="e">
        <f>S5-T5</f>
        <v>#REF!</v>
      </c>
      <c r="V5" s="867" t="e">
        <f>+S5/T5-1</f>
        <v>#REF!</v>
      </c>
      <c r="W5" s="868">
        <v>2793</v>
      </c>
      <c r="X5" s="867">
        <f>IFERROR(S5/W5-1,100%)</f>
        <v>-0.62871464375223773</v>
      </c>
      <c r="Y5" s="765">
        <v>37.15</v>
      </c>
    </row>
    <row r="6" spans="2:26" ht="15.75" outlineLevel="1">
      <c r="B6" s="556" t="s">
        <v>3</v>
      </c>
      <c r="C6" s="869">
        <v>0</v>
      </c>
      <c r="D6" s="863">
        <v>303</v>
      </c>
      <c r="E6" s="863">
        <v>0</v>
      </c>
      <c r="F6" s="863">
        <v>121</v>
      </c>
      <c r="G6" s="863">
        <v>129</v>
      </c>
      <c r="H6" s="863">
        <v>154</v>
      </c>
      <c r="I6" s="863">
        <v>93</v>
      </c>
      <c r="J6" s="53">
        <v>0</v>
      </c>
      <c r="K6" s="53">
        <v>138</v>
      </c>
      <c r="L6" s="53">
        <v>143</v>
      </c>
      <c r="M6" s="53">
        <v>667</v>
      </c>
      <c r="N6" s="53">
        <v>203</v>
      </c>
      <c r="O6" s="53">
        <v>12</v>
      </c>
      <c r="P6" s="53">
        <v>220</v>
      </c>
      <c r="Q6" s="1163">
        <v>276</v>
      </c>
      <c r="R6" s="1164">
        <v>83</v>
      </c>
      <c r="S6" s="870">
        <f t="shared" ref="S6:S7" si="0">SUM(J6:R6)</f>
        <v>1742</v>
      </c>
      <c r="T6" s="871" t="e">
        <f>#REF!*Y6*0.1%</f>
        <v>#REF!</v>
      </c>
      <c r="U6" s="55" t="e">
        <f t="shared" ref="U6:U8" si="1">S6-T6</f>
        <v>#REF!</v>
      </c>
      <c r="V6" s="872" t="e">
        <f t="shared" ref="V6:V8" si="2">+S6/T6-1</f>
        <v>#REF!</v>
      </c>
      <c r="W6" s="73">
        <v>1401.3</v>
      </c>
      <c r="X6" s="872">
        <f>IFERROR(S6/W6-1,100%)</f>
        <v>0.24313137800613727</v>
      </c>
      <c r="Y6" s="873">
        <v>85.18</v>
      </c>
    </row>
    <row r="7" spans="2:26" ht="16.5" outlineLevel="1" thickBot="1">
      <c r="B7" s="556" t="s">
        <v>4</v>
      </c>
      <c r="C7" s="869">
        <v>0.11</v>
      </c>
      <c r="D7" s="863">
        <v>26</v>
      </c>
      <c r="E7" s="863">
        <v>0</v>
      </c>
      <c r="F7" s="863">
        <v>0</v>
      </c>
      <c r="G7" s="863">
        <v>32</v>
      </c>
      <c r="H7" s="863">
        <v>0</v>
      </c>
      <c r="I7" s="863">
        <v>0</v>
      </c>
      <c r="J7" s="53">
        <v>0</v>
      </c>
      <c r="K7" s="53">
        <v>0</v>
      </c>
      <c r="L7" s="53">
        <v>0</v>
      </c>
      <c r="M7" s="53">
        <v>0</v>
      </c>
      <c r="N7" s="53">
        <v>0</v>
      </c>
      <c r="O7" s="53">
        <v>12</v>
      </c>
      <c r="P7" s="53">
        <v>20</v>
      </c>
      <c r="Q7" s="53">
        <v>0</v>
      </c>
      <c r="R7" s="1164">
        <v>0</v>
      </c>
      <c r="S7" s="870">
        <f t="shared" si="0"/>
        <v>32</v>
      </c>
      <c r="T7" s="871" t="e">
        <f>#REF!*Y7*0.1%</f>
        <v>#REF!</v>
      </c>
      <c r="U7" s="55" t="e">
        <f t="shared" si="1"/>
        <v>#REF!</v>
      </c>
      <c r="V7" s="872" t="e">
        <f t="shared" si="2"/>
        <v>#REF!</v>
      </c>
      <c r="W7" s="73">
        <v>321.11</v>
      </c>
      <c r="X7" s="872">
        <f>IFERROR(S7/W7-1,100%)</f>
        <v>-0.90034567593659498</v>
      </c>
      <c r="Y7" s="765">
        <v>63.39</v>
      </c>
    </row>
    <row r="8" spans="2:26" ht="15.75" outlineLevel="1">
      <c r="B8" s="571" t="s">
        <v>5</v>
      </c>
      <c r="C8" s="336">
        <f t="shared" ref="C8:N8" si="3">SUM(C5:C7)</f>
        <v>483.11</v>
      </c>
      <c r="D8" s="874">
        <f t="shared" si="3"/>
        <v>733</v>
      </c>
      <c r="E8" s="874">
        <f t="shared" si="3"/>
        <v>2</v>
      </c>
      <c r="F8" s="874">
        <f t="shared" si="3"/>
        <v>216</v>
      </c>
      <c r="G8" s="874">
        <f t="shared" si="3"/>
        <v>162</v>
      </c>
      <c r="H8" s="874">
        <f t="shared" si="3"/>
        <v>236</v>
      </c>
      <c r="I8" s="874">
        <f t="shared" si="3"/>
        <v>158</v>
      </c>
      <c r="J8" s="875">
        <f t="shared" si="3"/>
        <v>0</v>
      </c>
      <c r="K8" s="875">
        <f t="shared" si="3"/>
        <v>754</v>
      </c>
      <c r="L8" s="875">
        <f t="shared" si="3"/>
        <v>399</v>
      </c>
      <c r="M8" s="875">
        <f t="shared" si="3"/>
        <v>674</v>
      </c>
      <c r="N8" s="875">
        <f t="shared" si="3"/>
        <v>203</v>
      </c>
      <c r="O8" s="875">
        <v>23.97</v>
      </c>
      <c r="P8" s="875">
        <v>250</v>
      </c>
      <c r="Q8" s="875">
        <v>150.77000000000001</v>
      </c>
      <c r="R8" s="876">
        <f t="shared" ref="R8:T8" si="4">SUM(R5:R7)</f>
        <v>180</v>
      </c>
      <c r="S8" s="875">
        <f t="shared" si="4"/>
        <v>2811</v>
      </c>
      <c r="T8" s="877" t="e">
        <f t="shared" si="4"/>
        <v>#REF!</v>
      </c>
      <c r="U8" s="878" t="e">
        <f t="shared" si="1"/>
        <v>#REF!</v>
      </c>
      <c r="V8" s="879" t="e">
        <f t="shared" si="2"/>
        <v>#REF!</v>
      </c>
      <c r="W8" s="880">
        <v>4515.41</v>
      </c>
      <c r="X8" s="879">
        <f>IFERROR(S8/W8-1,100%)</f>
        <v>-0.3774651692758797</v>
      </c>
      <c r="Y8" s="881">
        <f>SUM(Y5:Y7)</f>
        <v>185.72000000000003</v>
      </c>
    </row>
    <row r="12" spans="2:26" ht="15.75">
      <c r="B12" s="168" t="s">
        <v>442</v>
      </c>
    </row>
    <row r="13" spans="2:26">
      <c r="B13" s="457" t="s">
        <v>441</v>
      </c>
      <c r="R13" s="1165"/>
      <c r="S13" s="1165"/>
    </row>
    <row r="14" spans="2:26" ht="47.25">
      <c r="B14" s="23" t="s">
        <v>0</v>
      </c>
      <c r="C14" s="184">
        <v>45838</v>
      </c>
      <c r="D14" s="859">
        <v>45869</v>
      </c>
      <c r="E14" s="859">
        <v>45900</v>
      </c>
      <c r="F14" s="859">
        <v>45930</v>
      </c>
      <c r="G14" s="859">
        <v>45961</v>
      </c>
      <c r="H14" s="859">
        <v>45991</v>
      </c>
      <c r="I14" s="859">
        <v>46022</v>
      </c>
      <c r="J14" s="859">
        <v>46053</v>
      </c>
      <c r="K14" s="859">
        <v>46081</v>
      </c>
      <c r="L14" s="859">
        <v>46112</v>
      </c>
      <c r="M14" s="859">
        <v>46142</v>
      </c>
      <c r="N14" s="859">
        <v>46173</v>
      </c>
      <c r="O14" s="859">
        <v>46203</v>
      </c>
      <c r="P14" s="859">
        <v>46234</v>
      </c>
      <c r="Q14" s="859">
        <v>46265</v>
      </c>
      <c r="R14" s="860">
        <v>46295</v>
      </c>
      <c r="S14" s="185" t="s">
        <v>1</v>
      </c>
      <c r="T14" s="1080" t="s">
        <v>13</v>
      </c>
      <c r="U14" s="101" t="s">
        <v>6</v>
      </c>
      <c r="V14" s="27" t="s">
        <v>14</v>
      </c>
      <c r="W14" s="185" t="s">
        <v>338</v>
      </c>
      <c r="X14" s="27" t="s">
        <v>381</v>
      </c>
      <c r="Z14" s="1080" t="s">
        <v>13</v>
      </c>
    </row>
    <row r="15" spans="2:26">
      <c r="B15" s="793" t="s">
        <v>165</v>
      </c>
      <c r="C15" s="957">
        <v>0</v>
      </c>
      <c r="D15" s="883">
        <v>0</v>
      </c>
      <c r="E15" s="883">
        <v>0</v>
      </c>
      <c r="F15" s="883">
        <v>0</v>
      </c>
      <c r="G15" s="883">
        <v>0</v>
      </c>
      <c r="H15" s="883">
        <v>0</v>
      </c>
      <c r="I15" s="883">
        <v>0</v>
      </c>
      <c r="J15" s="864">
        <v>0</v>
      </c>
      <c r="K15" s="864">
        <v>0</v>
      </c>
      <c r="L15" s="864">
        <v>0</v>
      </c>
      <c r="M15" s="864"/>
      <c r="N15" s="864"/>
      <c r="O15" s="864"/>
      <c r="P15" s="864"/>
      <c r="Q15" s="864"/>
      <c r="R15" s="882"/>
      <c r="S15" s="864">
        <f t="shared" ref="S15" si="5">SUM(K15:R15)</f>
        <v>0</v>
      </c>
      <c r="T15" s="865">
        <f>+Z15/12*6</f>
        <v>0</v>
      </c>
      <c r="U15" s="866">
        <f>S15-T15</f>
        <v>0</v>
      </c>
      <c r="V15" s="867">
        <f>IFERROR(S15/T15-1,0)</f>
        <v>0</v>
      </c>
      <c r="W15" s="883">
        <v>0</v>
      </c>
      <c r="X15" s="867">
        <f>IFERROR(S15/W15-1,100%)</f>
        <v>1</v>
      </c>
      <c r="Z15" s="865">
        <v>0</v>
      </c>
    </row>
    <row r="16" spans="2:26">
      <c r="B16" s="556" t="s">
        <v>180</v>
      </c>
      <c r="C16" s="958">
        <f t="shared" ref="C16:M16" si="6">SUM(C35:C37)</f>
        <v>7963.5450000000001</v>
      </c>
      <c r="D16" s="885">
        <f t="shared" si="6"/>
        <v>8200.4940000000006</v>
      </c>
      <c r="E16" s="885">
        <f t="shared" si="6"/>
        <v>8200.4940000000006</v>
      </c>
      <c r="F16" s="885">
        <f t="shared" si="6"/>
        <v>8143.5450000000001</v>
      </c>
      <c r="G16" s="885">
        <f t="shared" si="6"/>
        <v>8380.4940000000006</v>
      </c>
      <c r="H16" s="885">
        <f t="shared" si="6"/>
        <v>8922.7119999999995</v>
      </c>
      <c r="I16" s="885">
        <f t="shared" si="6"/>
        <v>8536.3320000000003</v>
      </c>
      <c r="J16" s="870">
        <f t="shared" si="6"/>
        <v>8465.2109999999993</v>
      </c>
      <c r="K16" s="870">
        <f t="shared" si="6"/>
        <v>6332.6649999999991</v>
      </c>
      <c r="L16" s="870">
        <f t="shared" si="6"/>
        <v>9886.9089999999997</v>
      </c>
      <c r="M16" s="870">
        <f t="shared" si="6"/>
        <v>9308.2800000000007</v>
      </c>
      <c r="N16" s="870">
        <f t="shared" ref="N16:R16" si="7">SUM(N35:N37)</f>
        <v>8964.9210000000003</v>
      </c>
      <c r="O16" s="870">
        <v>8601.6020000000008</v>
      </c>
      <c r="P16" s="870">
        <f t="shared" ref="P16" si="8">SUM(P35:P37)</f>
        <v>9335.1709999999985</v>
      </c>
      <c r="Q16" s="870">
        <v>8913.2549999999992</v>
      </c>
      <c r="R16" s="884">
        <f t="shared" si="7"/>
        <v>8971.8520000000008</v>
      </c>
      <c r="S16" s="870">
        <f>SUM(K16:R16)</f>
        <v>70314.654999999999</v>
      </c>
      <c r="T16" s="871">
        <f>+Z16/12*9</f>
        <v>79263.112499999988</v>
      </c>
      <c r="U16" s="55">
        <f t="shared" ref="U16:U18" si="9">S16-T16</f>
        <v>-8948.4574999999895</v>
      </c>
      <c r="V16" s="872">
        <f t="shared" ref="V16:V18" si="10">IFERROR(S16/T16-1,0)</f>
        <v>-0.11289561080508903</v>
      </c>
      <c r="W16" s="885">
        <v>97904.645999999993</v>
      </c>
      <c r="X16" s="872">
        <f>IFERROR(S16/W16-1,100%)</f>
        <v>-0.28180471639721771</v>
      </c>
      <c r="Z16" s="871">
        <f>SUM(Z35:Z37)*1</f>
        <v>105684.14999999998</v>
      </c>
    </row>
    <row r="17" spans="1:28">
      <c r="B17" s="886" t="s">
        <v>166</v>
      </c>
      <c r="C17" s="959">
        <f t="shared" ref="C17:M17" si="11">SUM(C27:C34)</f>
        <v>4485.6409999999996</v>
      </c>
      <c r="D17" s="892">
        <f t="shared" si="11"/>
        <v>1663.297</v>
      </c>
      <c r="E17" s="892">
        <f t="shared" si="11"/>
        <v>1299.7429999999999</v>
      </c>
      <c r="F17" s="892">
        <f t="shared" si="11"/>
        <v>1415.94</v>
      </c>
      <c r="G17" s="892">
        <f t="shared" si="11"/>
        <v>10529.315000000001</v>
      </c>
      <c r="H17" s="892">
        <f t="shared" si="11"/>
        <v>6933.2659999999996</v>
      </c>
      <c r="I17" s="892">
        <f t="shared" si="11"/>
        <v>7019.723</v>
      </c>
      <c r="J17" s="887">
        <f t="shared" si="11"/>
        <v>1104.1780000000001</v>
      </c>
      <c r="K17" s="887">
        <f t="shared" si="11"/>
        <v>10283.570000000002</v>
      </c>
      <c r="L17" s="887">
        <f t="shared" si="11"/>
        <v>20755.82</v>
      </c>
      <c r="M17" s="887">
        <f t="shared" si="11"/>
        <v>16479.056</v>
      </c>
      <c r="N17" s="887">
        <f t="shared" ref="N17:R17" si="12">SUM(N27:N34)</f>
        <v>3405.2060000000015</v>
      </c>
      <c r="O17" s="887">
        <v>2769.34</v>
      </c>
      <c r="P17" s="887">
        <f t="shared" ref="P17" si="13">SUM(P27:P34)</f>
        <v>4754.4309999999996</v>
      </c>
      <c r="Q17" s="887">
        <v>631.33500000000004</v>
      </c>
      <c r="R17" s="888">
        <f t="shared" si="12"/>
        <v>3110.2420000000002</v>
      </c>
      <c r="S17" s="887">
        <f t="shared" ref="S17" si="14">SUM(K17:R17)</f>
        <v>62188.999999999993</v>
      </c>
      <c r="T17" s="889">
        <f>+Z17/12*9</f>
        <v>74732.632113749991</v>
      </c>
      <c r="U17" s="890">
        <f t="shared" si="9"/>
        <v>-12543.632113749998</v>
      </c>
      <c r="V17" s="891">
        <f t="shared" si="10"/>
        <v>-0.16784678605535297</v>
      </c>
      <c r="W17" s="892">
        <v>87702.40400000001</v>
      </c>
      <c r="X17" s="891">
        <f>IFERROR(S17/W17-1,100%)</f>
        <v>-0.29090883301214887</v>
      </c>
      <c r="Z17" s="889">
        <f>SUM(Z27:Z34)*1</f>
        <v>99643.509484999988</v>
      </c>
    </row>
    <row r="18" spans="1:28" ht="15.75">
      <c r="B18" s="893" t="s">
        <v>501</v>
      </c>
      <c r="C18" s="960">
        <f t="shared" ref="C18:M18" si="15">SUM(C15:C17)</f>
        <v>12449.186</v>
      </c>
      <c r="D18" s="899">
        <f t="shared" si="15"/>
        <v>9863.7910000000011</v>
      </c>
      <c r="E18" s="899">
        <f t="shared" si="15"/>
        <v>9500.237000000001</v>
      </c>
      <c r="F18" s="899">
        <f t="shared" si="15"/>
        <v>9559.4850000000006</v>
      </c>
      <c r="G18" s="899">
        <f t="shared" si="15"/>
        <v>18909.809000000001</v>
      </c>
      <c r="H18" s="899">
        <f t="shared" si="15"/>
        <v>15855.977999999999</v>
      </c>
      <c r="I18" s="899">
        <f t="shared" si="15"/>
        <v>15556.055</v>
      </c>
      <c r="J18" s="894">
        <f t="shared" si="15"/>
        <v>9569.3889999999992</v>
      </c>
      <c r="K18" s="894">
        <f t="shared" si="15"/>
        <v>16616.235000000001</v>
      </c>
      <c r="L18" s="894">
        <f t="shared" si="15"/>
        <v>30642.728999999999</v>
      </c>
      <c r="M18" s="894">
        <f t="shared" si="15"/>
        <v>25787.336000000003</v>
      </c>
      <c r="N18" s="894">
        <f t="shared" ref="N18:R18" si="16">SUM(N15:N17)</f>
        <v>12370.127000000002</v>
      </c>
      <c r="O18" s="894">
        <v>11370.942000000001</v>
      </c>
      <c r="P18" s="894">
        <f t="shared" ref="P18" si="17">SUM(P15:P17)</f>
        <v>14089.601999999999</v>
      </c>
      <c r="Q18" s="894">
        <v>9544.59</v>
      </c>
      <c r="R18" s="895">
        <f t="shared" si="16"/>
        <v>12082.094000000001</v>
      </c>
      <c r="S18" s="894">
        <f>SUM(S15:S17)</f>
        <v>132503.655</v>
      </c>
      <c r="T18" s="896">
        <f>SUM(T15:T17)</f>
        <v>153995.74461374996</v>
      </c>
      <c r="U18" s="897">
        <f t="shared" si="9"/>
        <v>-21492.089613749966</v>
      </c>
      <c r="V18" s="898">
        <f t="shared" si="10"/>
        <v>-0.13956287992019611</v>
      </c>
      <c r="W18" s="899">
        <v>185607.05</v>
      </c>
      <c r="X18" s="898">
        <f>IFERROR(S18/W18-1,100%)</f>
        <v>-0.28610656222379482</v>
      </c>
      <c r="Z18" s="896">
        <f>SUM(Z15:Z17)</f>
        <v>205327.65948499995</v>
      </c>
      <c r="AA18" s="521">
        <f>+S18/Z18</f>
        <v>0.645327840059853</v>
      </c>
    </row>
    <row r="19" spans="1:28" ht="15.75">
      <c r="B19" s="458"/>
      <c r="C19" s="961"/>
      <c r="D19" s="962"/>
      <c r="E19" s="962"/>
      <c r="F19" s="962"/>
      <c r="G19" s="962"/>
      <c r="H19" s="962"/>
      <c r="I19" s="962"/>
      <c r="J19" s="458"/>
      <c r="K19" s="458"/>
      <c r="L19" s="458"/>
      <c r="M19" s="458"/>
      <c r="N19" s="458"/>
      <c r="O19" s="458"/>
      <c r="P19" s="458"/>
      <c r="Q19" s="458"/>
      <c r="R19" s="900"/>
      <c r="S19" s="458"/>
      <c r="T19" s="458"/>
      <c r="U19" s="855"/>
      <c r="V19" s="855"/>
      <c r="W19" s="901"/>
      <c r="X19" s="855"/>
      <c r="Y19" s="458"/>
      <c r="Z19" s="458"/>
    </row>
    <row r="20" spans="1:28" ht="15.75">
      <c r="B20" s="556" t="s">
        <v>263</v>
      </c>
      <c r="C20" s="958">
        <v>17104.5</v>
      </c>
      <c r="D20" s="885">
        <v>20753.5</v>
      </c>
      <c r="E20" s="885">
        <v>3709</v>
      </c>
      <c r="F20" s="885">
        <v>18966.5</v>
      </c>
      <c r="G20" s="885">
        <v>21665</v>
      </c>
      <c r="H20" s="885">
        <v>18669.5</v>
      </c>
      <c r="I20" s="885">
        <v>17851.5</v>
      </c>
      <c r="J20" s="870">
        <v>17164</v>
      </c>
      <c r="K20" s="870">
        <v>16630.5</v>
      </c>
      <c r="L20" s="870">
        <v>14580.5</v>
      </c>
      <c r="M20" s="870">
        <v>18571</v>
      </c>
      <c r="N20" s="870">
        <v>15397.5</v>
      </c>
      <c r="O20" s="870">
        <v>18636</v>
      </c>
      <c r="P20" s="870">
        <v>19088.5</v>
      </c>
      <c r="Q20" s="870">
        <v>8815</v>
      </c>
      <c r="R20" s="884">
        <v>19851.5</v>
      </c>
      <c r="S20" s="870">
        <f>SUM(K20:R20)</f>
        <v>131570.5</v>
      </c>
      <c r="T20" s="871">
        <f>+Z20/12*9</f>
        <v>223863.75</v>
      </c>
      <c r="U20" s="902">
        <f t="shared" ref="U20:U22" si="18">S20-T20</f>
        <v>-92293.25</v>
      </c>
      <c r="V20" s="808">
        <f t="shared" ref="V20:V25" si="19">IFERROR(S20/T20-1,0)</f>
        <v>-0.41227420696740769</v>
      </c>
      <c r="W20" s="903">
        <v>211765.5</v>
      </c>
      <c r="X20" s="872">
        <f t="shared" ref="X20:X22" si="20">IFERROR(S20/W20-1,100%)</f>
        <v>-0.37869719099664489</v>
      </c>
      <c r="Y20" s="521"/>
      <c r="Z20" s="871">
        <f>134*2227.5</f>
        <v>298485</v>
      </c>
    </row>
    <row r="21" spans="1:28" ht="15.75">
      <c r="B21" s="556" t="s">
        <v>264</v>
      </c>
      <c r="C21" s="958">
        <v>23499</v>
      </c>
      <c r="D21" s="885">
        <v>28454.5</v>
      </c>
      <c r="E21" s="885">
        <v>6795.5</v>
      </c>
      <c r="F21" s="885">
        <v>26482.5</v>
      </c>
      <c r="G21" s="885">
        <v>29792.5</v>
      </c>
      <c r="H21" s="885">
        <v>25918</v>
      </c>
      <c r="I21" s="885">
        <v>24704</v>
      </c>
      <c r="J21" s="870">
        <v>23953.5</v>
      </c>
      <c r="K21" s="870">
        <v>23561.5</v>
      </c>
      <c r="L21" s="870">
        <v>21122</v>
      </c>
      <c r="M21" s="870">
        <v>26566</v>
      </c>
      <c r="N21" s="870">
        <v>22453</v>
      </c>
      <c r="O21" s="870">
        <v>27143</v>
      </c>
      <c r="P21" s="870">
        <v>26763.5</v>
      </c>
      <c r="Q21" s="870">
        <v>13046</v>
      </c>
      <c r="R21" s="884">
        <v>27704.5</v>
      </c>
      <c r="S21" s="870">
        <f>SUM(K21:R21)</f>
        <v>188359.5</v>
      </c>
      <c r="T21" s="871">
        <f>+Z21/12*9</f>
        <v>297371.25</v>
      </c>
      <c r="U21" s="902">
        <f t="shared" si="18"/>
        <v>-109011.75</v>
      </c>
      <c r="V21" s="808">
        <f t="shared" si="19"/>
        <v>-0.36658469841990438</v>
      </c>
      <c r="W21" s="903">
        <v>287544</v>
      </c>
      <c r="X21" s="872">
        <f t="shared" si="20"/>
        <v>-0.34493677489358154</v>
      </c>
      <c r="Z21" s="871">
        <f>178*2227.5</f>
        <v>396495</v>
      </c>
    </row>
    <row r="22" spans="1:28" ht="16.5" thickBot="1">
      <c r="B22" s="51" t="s">
        <v>179</v>
      </c>
      <c r="C22" s="963">
        <v>169</v>
      </c>
      <c r="D22" s="964">
        <v>202</v>
      </c>
      <c r="E22" s="964">
        <v>58.5</v>
      </c>
      <c r="F22" s="964">
        <v>191.5</v>
      </c>
      <c r="G22" s="964">
        <v>210.5</v>
      </c>
      <c r="H22" s="964">
        <v>185</v>
      </c>
      <c r="I22" s="964">
        <v>202</v>
      </c>
      <c r="J22" s="904">
        <v>201</v>
      </c>
      <c r="K22" s="904">
        <v>178</v>
      </c>
      <c r="L22" s="904">
        <v>164.5</v>
      </c>
      <c r="M22" s="904">
        <v>202</v>
      </c>
      <c r="N22" s="904">
        <v>166</v>
      </c>
      <c r="O22" s="904">
        <v>193.5</v>
      </c>
      <c r="P22" s="904">
        <v>193.5</v>
      </c>
      <c r="Q22" s="904">
        <v>193.5</v>
      </c>
      <c r="R22" s="1166">
        <v>193.5</v>
      </c>
      <c r="S22" s="904">
        <f>SUM(K22:R22)</f>
        <v>1484.5</v>
      </c>
      <c r="T22" s="904">
        <f>+Z22/12*6</f>
        <v>1129.75</v>
      </c>
      <c r="U22" s="905">
        <f t="shared" si="18"/>
        <v>354.75</v>
      </c>
      <c r="V22" s="906">
        <f t="shared" si="19"/>
        <v>0.31400752378844876</v>
      </c>
      <c r="W22" s="907">
        <v>2170</v>
      </c>
      <c r="X22" s="908">
        <f t="shared" si="20"/>
        <v>-0.31589861751152071</v>
      </c>
      <c r="Z22" s="904">
        <v>2259.5</v>
      </c>
      <c r="AA22" s="521"/>
    </row>
    <row r="23" spans="1:28">
      <c r="B23" s="909" t="s">
        <v>266</v>
      </c>
      <c r="C23" s="965">
        <f t="shared" ref="C23:N23" si="21">+C18/C20</f>
        <v>0.72783103861556897</v>
      </c>
      <c r="D23" s="966">
        <f t="shared" si="21"/>
        <v>0.47528325342713285</v>
      </c>
      <c r="E23" s="966">
        <f t="shared" si="21"/>
        <v>2.5614011863035859</v>
      </c>
      <c r="F23" s="966">
        <f t="shared" si="21"/>
        <v>0.50401945535549519</v>
      </c>
      <c r="G23" s="966">
        <f t="shared" si="21"/>
        <v>0.8728275559658436</v>
      </c>
      <c r="H23" s="966">
        <f t="shared" si="21"/>
        <v>0.84929848148048948</v>
      </c>
      <c r="I23" s="966">
        <f t="shared" si="21"/>
        <v>0.87141444696524106</v>
      </c>
      <c r="J23" s="910">
        <f t="shared" si="21"/>
        <v>0.55752674201817753</v>
      </c>
      <c r="K23" s="910">
        <f t="shared" si="21"/>
        <v>0.99914223865788765</v>
      </c>
      <c r="L23" s="910">
        <f t="shared" si="21"/>
        <v>2.101624018380714</v>
      </c>
      <c r="M23" s="910">
        <f t="shared" si="21"/>
        <v>1.388580905713209</v>
      </c>
      <c r="N23" s="910">
        <f t="shared" si="21"/>
        <v>0.8033854197109922</v>
      </c>
      <c r="O23" s="910">
        <v>0.61016001287830013</v>
      </c>
      <c r="P23" s="910">
        <f t="shared" ref="P23:T23" si="22">+P18/P20</f>
        <v>0.73811991513214759</v>
      </c>
      <c r="Q23" s="910">
        <f t="shared" si="22"/>
        <v>1.0827668746454906</v>
      </c>
      <c r="R23" s="911">
        <f t="shared" si="22"/>
        <v>0.60862373120419122</v>
      </c>
      <c r="S23" s="910">
        <f t="shared" si="22"/>
        <v>1.0070924333342199</v>
      </c>
      <c r="T23" s="910">
        <f t="shared" si="22"/>
        <v>0.68789942370638379</v>
      </c>
      <c r="U23" s="912">
        <f>S23-T23</f>
        <v>0.31919300962783614</v>
      </c>
      <c r="V23" s="913">
        <f t="shared" si="19"/>
        <v>0.46401116010249388</v>
      </c>
      <c r="W23" s="914">
        <v>0.87647444933192609</v>
      </c>
      <c r="X23" s="913">
        <f>IFERROR(S23/W23-1,100%)</f>
        <v>0.14902657356623994</v>
      </c>
      <c r="Z23" s="910">
        <f t="shared" ref="Z23" si="23">+Z18/Z20</f>
        <v>0.68789942370638379</v>
      </c>
    </row>
    <row r="24" spans="1:28">
      <c r="B24" s="755" t="s">
        <v>265</v>
      </c>
      <c r="C24" s="967">
        <f t="shared" ref="C24:N24" si="24">+C18/C21</f>
        <v>0.52977513936763265</v>
      </c>
      <c r="D24" s="918">
        <f t="shared" si="24"/>
        <v>0.34665135567309219</v>
      </c>
      <c r="E24" s="918">
        <f t="shared" si="24"/>
        <v>1.3980188359944081</v>
      </c>
      <c r="F24" s="918">
        <f t="shared" si="24"/>
        <v>0.36097366185216656</v>
      </c>
      <c r="G24" s="918">
        <f t="shared" si="24"/>
        <v>0.6347170932281615</v>
      </c>
      <c r="H24" s="918">
        <f t="shared" si="24"/>
        <v>0.61177475113820512</v>
      </c>
      <c r="I24" s="918">
        <f t="shared" si="24"/>
        <v>0.6296978222150259</v>
      </c>
      <c r="J24" s="915">
        <f t="shared" si="24"/>
        <v>0.39949857014632512</v>
      </c>
      <c r="K24" s="915">
        <f t="shared" si="24"/>
        <v>0.70522823249793098</v>
      </c>
      <c r="L24" s="915">
        <f t="shared" si="24"/>
        <v>1.450749408199981</v>
      </c>
      <c r="M24" s="915">
        <f t="shared" si="24"/>
        <v>0.97068945268388174</v>
      </c>
      <c r="N24" s="915">
        <f t="shared" si="24"/>
        <v>0.55093426268204704</v>
      </c>
      <c r="O24" s="915">
        <v>0.41892723722506725</v>
      </c>
      <c r="P24" s="915">
        <f t="shared" ref="P24:T24" si="25">+P18/P21</f>
        <v>0.52644840921404146</v>
      </c>
      <c r="Q24" s="915">
        <f t="shared" si="25"/>
        <v>0.731610455311973</v>
      </c>
      <c r="R24" s="916">
        <f t="shared" si="25"/>
        <v>0.43610583118265989</v>
      </c>
      <c r="S24" s="915">
        <f t="shared" si="25"/>
        <v>0.70346149251829615</v>
      </c>
      <c r="T24" s="915">
        <f t="shared" si="25"/>
        <v>0.51785686953177201</v>
      </c>
      <c r="U24" s="917">
        <f t="shared" ref="U24:U25" si="26">S24-T24</f>
        <v>0.18560462298652414</v>
      </c>
      <c r="V24" s="872">
        <f t="shared" si="19"/>
        <v>0.35840911631497963</v>
      </c>
      <c r="W24" s="918">
        <v>0.64549095095011544</v>
      </c>
      <c r="X24" s="872">
        <f t="shared" ref="X24:X25" si="27">IFERROR(S24/W24-1,100%)</f>
        <v>8.9808449650382149E-2</v>
      </c>
      <c r="Z24" s="915">
        <f t="shared" ref="Z24" si="28">+Z18/Z21</f>
        <v>0.51785686953177201</v>
      </c>
    </row>
    <row r="25" spans="1:28" ht="16.5" thickBot="1">
      <c r="B25" s="919" t="s">
        <v>502</v>
      </c>
      <c r="C25" s="968">
        <f t="shared" ref="C25:N25" si="29">+C18/C22</f>
        <v>73.663822485207092</v>
      </c>
      <c r="D25" s="923">
        <f t="shared" si="29"/>
        <v>48.830648514851489</v>
      </c>
      <c r="E25" s="923">
        <f t="shared" si="29"/>
        <v>162.39721367521369</v>
      </c>
      <c r="F25" s="923">
        <f t="shared" si="29"/>
        <v>49.9189817232376</v>
      </c>
      <c r="G25" s="923">
        <f t="shared" si="29"/>
        <v>89.832821852731598</v>
      </c>
      <c r="H25" s="923">
        <f t="shared" si="29"/>
        <v>85.707989189189178</v>
      </c>
      <c r="I25" s="923">
        <f t="shared" si="29"/>
        <v>77.010173267326735</v>
      </c>
      <c r="J25" s="920">
        <f t="shared" si="29"/>
        <v>47.608900497512437</v>
      </c>
      <c r="K25" s="920">
        <f t="shared" si="29"/>
        <v>93.349634831460676</v>
      </c>
      <c r="L25" s="920">
        <f t="shared" si="29"/>
        <v>186.27798784194528</v>
      </c>
      <c r="M25" s="920">
        <f t="shared" si="29"/>
        <v>127.6600792079208</v>
      </c>
      <c r="N25" s="920">
        <f t="shared" si="29"/>
        <v>74.5188373493976</v>
      </c>
      <c r="O25" s="920">
        <v>58.764558139534891</v>
      </c>
      <c r="P25" s="920">
        <f t="shared" ref="P25:T25" si="30">+P18/P22</f>
        <v>72.814480620155038</v>
      </c>
      <c r="Q25" s="920">
        <f t="shared" si="30"/>
        <v>49.326046511627908</v>
      </c>
      <c r="R25" s="921">
        <f t="shared" si="30"/>
        <v>62.439762273901813</v>
      </c>
      <c r="S25" s="920">
        <f t="shared" si="30"/>
        <v>89.258103738632542</v>
      </c>
      <c r="T25" s="920">
        <f t="shared" si="30"/>
        <v>136.30957699822966</v>
      </c>
      <c r="U25" s="922">
        <f t="shared" si="26"/>
        <v>-47.051473259597117</v>
      </c>
      <c r="V25" s="908">
        <f t="shared" si="19"/>
        <v>-0.34518097917806767</v>
      </c>
      <c r="W25" s="923">
        <v>85.533202764976949</v>
      </c>
      <c r="X25" s="908">
        <f t="shared" si="27"/>
        <v>4.354918152533882E-2</v>
      </c>
      <c r="Z25" s="920">
        <f t="shared" ref="Z25" si="31">+Z18/Z22</f>
        <v>90.873051332153111</v>
      </c>
    </row>
    <row r="26" spans="1:28">
      <c r="U26" s="333"/>
      <c r="Z26" s="924"/>
      <c r="AA26" s="924"/>
    </row>
    <row r="27" spans="1:28">
      <c r="A27" s="925">
        <v>6152000000</v>
      </c>
      <c r="B27" s="926" t="s">
        <v>171</v>
      </c>
      <c r="C27" s="333">
        <v>0</v>
      </c>
      <c r="D27" s="333">
        <v>634.01700000000005</v>
      </c>
      <c r="E27" s="333">
        <v>675.6</v>
      </c>
      <c r="F27" s="333">
        <v>178.12200000000001</v>
      </c>
      <c r="G27" s="333">
        <v>24</v>
      </c>
      <c r="H27" s="333">
        <v>1811</v>
      </c>
      <c r="I27" s="333">
        <v>250</v>
      </c>
      <c r="J27" s="333">
        <v>555.50400000000002</v>
      </c>
      <c r="K27" s="333">
        <v>461.55700000000002</v>
      </c>
      <c r="L27" s="333">
        <v>6980.7110000000002</v>
      </c>
      <c r="M27" s="333">
        <v>4673.4179999999997</v>
      </c>
      <c r="N27" s="333">
        <v>2829.4420000000014</v>
      </c>
      <c r="O27" s="333">
        <v>469.255</v>
      </c>
      <c r="P27" s="333">
        <v>451.31700000000001</v>
      </c>
      <c r="Q27" s="333">
        <v>0</v>
      </c>
      <c r="R27" s="333">
        <v>672</v>
      </c>
      <c r="S27" s="333"/>
      <c r="T27" s="333"/>
      <c r="U27" s="333"/>
      <c r="V27" s="333"/>
      <c r="W27" s="927">
        <v>48804.986000000004</v>
      </c>
      <c r="X27" s="521"/>
      <c r="Y27" s="333"/>
      <c r="Z27" s="333">
        <v>57426.583829999996</v>
      </c>
      <c r="AA27" s="928"/>
      <c r="AB27" s="333"/>
    </row>
    <row r="28" spans="1:28">
      <c r="A28" s="925">
        <v>6152000001</v>
      </c>
      <c r="B28" s="926" t="s">
        <v>172</v>
      </c>
      <c r="C28" s="333">
        <v>0</v>
      </c>
      <c r="D28" s="333">
        <v>0</v>
      </c>
      <c r="E28" s="333">
        <v>25</v>
      </c>
      <c r="F28" s="333">
        <v>250.59200000000001</v>
      </c>
      <c r="G28" s="333">
        <v>0</v>
      </c>
      <c r="H28" s="333">
        <v>165.5</v>
      </c>
      <c r="I28" s="333">
        <v>220.58</v>
      </c>
      <c r="J28" s="333">
        <v>0</v>
      </c>
      <c r="K28" s="333">
        <v>903.5</v>
      </c>
      <c r="L28" s="333">
        <v>0</v>
      </c>
      <c r="M28" s="333">
        <v>131.81</v>
      </c>
      <c r="N28" s="333">
        <v>0</v>
      </c>
      <c r="O28" s="333">
        <v>0</v>
      </c>
      <c r="P28" s="333">
        <v>3852.779</v>
      </c>
      <c r="Q28" s="333">
        <v>0</v>
      </c>
      <c r="R28" s="333">
        <v>93.158000000000001</v>
      </c>
      <c r="S28" s="333"/>
      <c r="T28" s="333"/>
      <c r="U28" s="333"/>
      <c r="V28" s="333"/>
      <c r="W28" s="927">
        <v>2324.748</v>
      </c>
      <c r="X28" s="521"/>
      <c r="Y28" s="333"/>
      <c r="Z28" s="333">
        <v>5704.161540000001</v>
      </c>
      <c r="AA28" s="928"/>
      <c r="AB28" s="333"/>
    </row>
    <row r="29" spans="1:28">
      <c r="A29" s="925">
        <v>6152000004</v>
      </c>
      <c r="B29" s="926" t="s">
        <v>173</v>
      </c>
      <c r="C29" s="333">
        <v>3749.37</v>
      </c>
      <c r="D29" s="333">
        <v>413</v>
      </c>
      <c r="E29" s="333">
        <v>0</v>
      </c>
      <c r="F29" s="333">
        <v>64.198999999999998</v>
      </c>
      <c r="G29" s="333">
        <v>8456.2880000000005</v>
      </c>
      <c r="H29" s="333">
        <v>80.686999999999998</v>
      </c>
      <c r="I29" s="333">
        <v>0</v>
      </c>
      <c r="J29" s="333">
        <v>98.340999999999994</v>
      </c>
      <c r="K29" s="333">
        <v>6883.85</v>
      </c>
      <c r="L29" s="333">
        <v>100</v>
      </c>
      <c r="M29" s="333">
        <v>11080.529</v>
      </c>
      <c r="N29" s="333">
        <v>125.431</v>
      </c>
      <c r="O29" s="333">
        <v>0</v>
      </c>
      <c r="P29" s="333">
        <v>0</v>
      </c>
      <c r="Q29" s="333">
        <v>181</v>
      </c>
      <c r="R29" s="333">
        <v>1015.422</v>
      </c>
      <c r="S29" s="333"/>
      <c r="T29" s="333"/>
      <c r="U29" s="333"/>
      <c r="V29" s="333"/>
      <c r="W29" s="927">
        <v>16848.627000000004</v>
      </c>
      <c r="X29" s="521"/>
      <c r="Y29" s="333"/>
      <c r="Z29" s="333">
        <v>21149.958060000004</v>
      </c>
      <c r="AA29" s="928"/>
      <c r="AB29" s="333"/>
    </row>
    <row r="30" spans="1:28">
      <c r="A30" s="925">
        <v>6152000005</v>
      </c>
      <c r="B30" s="926" t="s">
        <v>174</v>
      </c>
      <c r="C30" s="333">
        <v>0</v>
      </c>
      <c r="D30" s="333">
        <v>0</v>
      </c>
      <c r="E30" s="333">
        <v>0</v>
      </c>
      <c r="F30" s="333">
        <v>0</v>
      </c>
      <c r="G30" s="333">
        <v>748.88400000000001</v>
      </c>
      <c r="H30" s="333">
        <v>0</v>
      </c>
      <c r="I30" s="333">
        <v>0</v>
      </c>
      <c r="J30" s="333">
        <v>0</v>
      </c>
      <c r="K30" s="333">
        <v>745.83</v>
      </c>
      <c r="L30" s="333">
        <v>0</v>
      </c>
      <c r="M30" s="333">
        <v>0</v>
      </c>
      <c r="N30" s="333">
        <v>0</v>
      </c>
      <c r="O30" s="333">
        <v>0</v>
      </c>
      <c r="P30" s="333">
        <v>0</v>
      </c>
      <c r="Q30" s="333">
        <v>0</v>
      </c>
      <c r="R30" s="333">
        <v>386.327</v>
      </c>
      <c r="S30" s="333"/>
      <c r="T30" s="333"/>
      <c r="U30" s="333"/>
      <c r="V30" s="333"/>
      <c r="W30" s="927">
        <v>1589.3980000000001</v>
      </c>
      <c r="X30" s="521"/>
      <c r="Y30" s="333"/>
      <c r="Z30" s="333">
        <v>2010.2936700000005</v>
      </c>
      <c r="AA30" s="928"/>
      <c r="AB30" s="333"/>
    </row>
    <row r="31" spans="1:28">
      <c r="A31" s="925">
        <v>6152000006</v>
      </c>
      <c r="B31" s="926" t="s">
        <v>175</v>
      </c>
      <c r="C31" s="333">
        <v>0</v>
      </c>
      <c r="D31" s="333">
        <v>17.137</v>
      </c>
      <c r="E31" s="333">
        <v>0</v>
      </c>
      <c r="F31" s="333">
        <v>256</v>
      </c>
      <c r="G31" s="333">
        <v>0</v>
      </c>
      <c r="H31" s="333">
        <v>4075.5</v>
      </c>
      <c r="I31" s="333">
        <v>20.001000000000001</v>
      </c>
      <c r="J31" s="333">
        <v>0</v>
      </c>
      <c r="K31" s="333">
        <v>838.5</v>
      </c>
      <c r="L31" s="333">
        <v>13224.776</v>
      </c>
      <c r="M31" s="333">
        <v>0</v>
      </c>
      <c r="N31" s="333">
        <v>0</v>
      </c>
      <c r="O31" s="333">
        <v>0</v>
      </c>
      <c r="P31" s="333">
        <v>0</v>
      </c>
      <c r="Q31" s="333">
        <v>0</v>
      </c>
      <c r="R31" s="333">
        <v>493</v>
      </c>
      <c r="S31" s="333"/>
      <c r="T31" s="333"/>
      <c r="U31" s="333"/>
      <c r="V31" s="333"/>
      <c r="W31" s="927">
        <v>5628.308</v>
      </c>
      <c r="X31" s="521"/>
      <c r="Y31" s="333"/>
      <c r="Z31" s="333">
        <v>2463.392085</v>
      </c>
      <c r="AA31" s="928"/>
      <c r="AB31" s="333"/>
    </row>
    <row r="32" spans="1:28">
      <c r="A32" s="925">
        <v>6151000001</v>
      </c>
      <c r="B32" s="926" t="s">
        <v>168</v>
      </c>
      <c r="C32" s="333">
        <v>607.27099999999996</v>
      </c>
      <c r="D32" s="333">
        <v>478.14299999999997</v>
      </c>
      <c r="E32" s="333">
        <v>478.14299999999997</v>
      </c>
      <c r="F32" s="333">
        <v>546.02700000000004</v>
      </c>
      <c r="G32" s="333">
        <v>1179.143</v>
      </c>
      <c r="H32" s="333">
        <v>601.16899999999998</v>
      </c>
      <c r="I32" s="333">
        <v>6408.1419999999998</v>
      </c>
      <c r="J32" s="333">
        <v>329.33300000000003</v>
      </c>
      <c r="K32" s="333">
        <v>329.33300000000003</v>
      </c>
      <c r="L32" s="333">
        <v>329.33300000000003</v>
      </c>
      <c r="M32" s="333">
        <v>472.29899999999998</v>
      </c>
      <c r="N32" s="333">
        <v>329.33300000000003</v>
      </c>
      <c r="O32" s="333">
        <v>329.33499999999998</v>
      </c>
      <c r="P32" s="333">
        <v>329.33499999999998</v>
      </c>
      <c r="Q32" s="333">
        <v>329.33499999999998</v>
      </c>
      <c r="R32" s="333">
        <v>329.33499999999998</v>
      </c>
      <c r="S32" s="333"/>
      <c r="T32" s="333"/>
      <c r="U32" s="333"/>
      <c r="V32" s="333"/>
      <c r="W32" s="927">
        <v>10957.917000000001</v>
      </c>
      <c r="X32" s="521"/>
      <c r="Y32" s="333"/>
      <c r="Z32" s="333">
        <v>8846.4093000000012</v>
      </c>
      <c r="AA32" s="928"/>
      <c r="AB32" s="333"/>
    </row>
    <row r="33" spans="1:28">
      <c r="A33" s="925">
        <v>6151000004</v>
      </c>
      <c r="B33" s="926" t="s">
        <v>169</v>
      </c>
      <c r="C33" s="333">
        <v>0</v>
      </c>
      <c r="D33" s="333">
        <v>0</v>
      </c>
      <c r="E33" s="333">
        <v>0</v>
      </c>
      <c r="F33" s="333">
        <v>0</v>
      </c>
      <c r="G33" s="333">
        <v>0</v>
      </c>
      <c r="H33" s="333">
        <v>0</v>
      </c>
      <c r="I33" s="333">
        <v>0</v>
      </c>
      <c r="J33" s="333">
        <v>0</v>
      </c>
      <c r="K33" s="333">
        <v>0</v>
      </c>
      <c r="L33" s="333">
        <v>0</v>
      </c>
      <c r="M33" s="333">
        <v>0</v>
      </c>
      <c r="N33" s="333">
        <v>0</v>
      </c>
      <c r="O33" s="333">
        <v>1849.75</v>
      </c>
      <c r="P33" s="333">
        <v>0</v>
      </c>
      <c r="Q33" s="333">
        <v>0</v>
      </c>
      <c r="R33" s="333">
        <v>0</v>
      </c>
      <c r="S33" s="333"/>
      <c r="T33" s="333"/>
      <c r="U33" s="333"/>
      <c r="V33" s="333"/>
      <c r="W33" s="927">
        <v>10.01</v>
      </c>
      <c r="X33" s="521"/>
      <c r="Y33" s="333"/>
      <c r="Z33" s="333">
        <v>176.01100000000005</v>
      </c>
      <c r="AA33" s="928"/>
      <c r="AB33" s="333"/>
    </row>
    <row r="34" spans="1:28">
      <c r="A34" s="925">
        <v>6151000005</v>
      </c>
      <c r="B34" s="926" t="s">
        <v>170</v>
      </c>
      <c r="C34" s="333">
        <v>129</v>
      </c>
      <c r="D34" s="333">
        <v>121</v>
      </c>
      <c r="E34" s="333">
        <v>121</v>
      </c>
      <c r="F34" s="333">
        <v>121</v>
      </c>
      <c r="G34" s="333">
        <v>121</v>
      </c>
      <c r="H34" s="333">
        <v>199.41</v>
      </c>
      <c r="I34" s="333">
        <v>121</v>
      </c>
      <c r="J34" s="333">
        <v>121</v>
      </c>
      <c r="K34" s="333">
        <v>121</v>
      </c>
      <c r="L34" s="333">
        <v>121</v>
      </c>
      <c r="M34" s="333">
        <v>121</v>
      </c>
      <c r="N34" s="333">
        <v>121</v>
      </c>
      <c r="O34" s="333">
        <v>121</v>
      </c>
      <c r="P34" s="333">
        <v>121</v>
      </c>
      <c r="Q34" s="333">
        <v>121</v>
      </c>
      <c r="R34" s="333">
        <v>121</v>
      </c>
      <c r="S34" s="333"/>
      <c r="T34" s="333"/>
      <c r="U34" s="333"/>
      <c r="V34" s="333"/>
      <c r="W34" s="927">
        <v>1538.41</v>
      </c>
      <c r="X34" s="521"/>
      <c r="Y34" s="333"/>
      <c r="Z34" s="333">
        <v>1866.7000000000005</v>
      </c>
      <c r="AA34" s="928"/>
      <c r="AB34" s="333"/>
    </row>
    <row r="35" spans="1:28">
      <c r="A35" s="925">
        <v>6155000001</v>
      </c>
      <c r="B35" s="926" t="s">
        <v>176</v>
      </c>
      <c r="C35" s="333">
        <v>583</v>
      </c>
      <c r="D35" s="333">
        <v>583</v>
      </c>
      <c r="E35" s="333">
        <v>583</v>
      </c>
      <c r="F35" s="333">
        <v>763</v>
      </c>
      <c r="G35" s="333">
        <v>763</v>
      </c>
      <c r="H35" s="333">
        <v>1542.1669999999999</v>
      </c>
      <c r="I35" s="333">
        <v>918.83299999999997</v>
      </c>
      <c r="J35" s="333">
        <v>836.84500000000003</v>
      </c>
      <c r="K35" s="333">
        <v>836.84500000000003</v>
      </c>
      <c r="L35" s="333">
        <v>836.84500000000003</v>
      </c>
      <c r="M35" s="333">
        <v>836.84500000000003</v>
      </c>
      <c r="N35" s="333">
        <v>836.84500000000003</v>
      </c>
      <c r="O35" s="333">
        <v>726.59500000000003</v>
      </c>
      <c r="P35" s="333">
        <v>1207.0949999999991</v>
      </c>
      <c r="Q35" s="333">
        <v>785.17899999999997</v>
      </c>
      <c r="R35" s="333">
        <v>1096.845</v>
      </c>
      <c r="S35" s="333"/>
      <c r="T35" s="333"/>
      <c r="U35" s="333"/>
      <c r="V35" s="333"/>
      <c r="W35" s="927">
        <v>8651</v>
      </c>
      <c r="X35" s="521"/>
      <c r="Y35" s="333"/>
      <c r="Z35" s="333">
        <v>9124.1499999999978</v>
      </c>
      <c r="AA35" s="928"/>
      <c r="AB35" s="333"/>
    </row>
    <row r="36" spans="1:28">
      <c r="A36" s="925">
        <v>6156000000</v>
      </c>
      <c r="B36" s="926" t="s">
        <v>177</v>
      </c>
      <c r="C36" s="333">
        <v>272.05700000000002</v>
      </c>
      <c r="D36" s="333">
        <v>272.05700000000002</v>
      </c>
      <c r="E36" s="333">
        <v>272.05700000000002</v>
      </c>
      <c r="F36" s="333">
        <v>272.05700000000002</v>
      </c>
      <c r="G36" s="333">
        <v>272.05700000000002</v>
      </c>
      <c r="H36" s="333">
        <v>272.05700000000002</v>
      </c>
      <c r="I36" s="333">
        <v>272.06200000000001</v>
      </c>
      <c r="J36" s="333">
        <v>282.92899999999997</v>
      </c>
      <c r="K36" s="333">
        <v>282.92899999999997</v>
      </c>
      <c r="L36" s="333">
        <v>282.92899999999997</v>
      </c>
      <c r="M36" s="333">
        <v>282.92899999999997</v>
      </c>
      <c r="N36" s="333">
        <v>282.92899999999997</v>
      </c>
      <c r="O36" s="333">
        <v>282.92899999999997</v>
      </c>
      <c r="P36" s="333">
        <v>282.92899999999997</v>
      </c>
      <c r="Q36" s="333">
        <v>282.92899999999997</v>
      </c>
      <c r="R36" s="333">
        <v>282.92899999999997</v>
      </c>
      <c r="S36" s="333"/>
      <c r="T36" s="333"/>
      <c r="U36" s="333"/>
      <c r="V36" s="333"/>
      <c r="W36" s="927">
        <v>3264.6889999999994</v>
      </c>
      <c r="X36" s="521"/>
      <c r="Y36" s="333"/>
      <c r="Z36" s="333">
        <v>3553.0000000000005</v>
      </c>
      <c r="AA36" s="928"/>
      <c r="AB36" s="333"/>
    </row>
    <row r="37" spans="1:28">
      <c r="A37" s="925">
        <v>6156000004</v>
      </c>
      <c r="B37" s="926" t="s">
        <v>178</v>
      </c>
      <c r="C37" s="333">
        <v>7108.4880000000003</v>
      </c>
      <c r="D37" s="333">
        <v>7345.4369999999999</v>
      </c>
      <c r="E37" s="333">
        <v>7345.4369999999999</v>
      </c>
      <c r="F37" s="333">
        <v>7108.4880000000003</v>
      </c>
      <c r="G37" s="333">
        <v>7345.4369999999999</v>
      </c>
      <c r="H37" s="333">
        <v>7108.4880000000003</v>
      </c>
      <c r="I37" s="333">
        <v>7345.4369999999999</v>
      </c>
      <c r="J37" s="333">
        <v>7345.4369999999999</v>
      </c>
      <c r="K37" s="333">
        <v>5212.8909999999996</v>
      </c>
      <c r="L37" s="333">
        <v>8767.1350000000002</v>
      </c>
      <c r="M37" s="333">
        <v>8188.5060000000003</v>
      </c>
      <c r="N37" s="333">
        <v>7845.1469999999999</v>
      </c>
      <c r="O37" s="333">
        <v>7592.0780000000004</v>
      </c>
      <c r="P37" s="333">
        <v>7845.1469999999999</v>
      </c>
      <c r="Q37" s="333">
        <v>7845.1469999999999</v>
      </c>
      <c r="R37" s="333">
        <v>7592.0780000000004</v>
      </c>
      <c r="S37" s="333"/>
      <c r="T37" s="333"/>
      <c r="U37" s="333"/>
      <c r="V37" s="333"/>
      <c r="W37" s="927">
        <v>85988.956999999995</v>
      </c>
      <c r="X37" s="521"/>
      <c r="Y37" s="333"/>
      <c r="Z37" s="333">
        <v>93006.999999999985</v>
      </c>
      <c r="AA37" s="928"/>
      <c r="AB37" s="333"/>
    </row>
    <row r="40" spans="1:28">
      <c r="I40" s="333"/>
      <c r="N40" s="333"/>
      <c r="O40" s="333"/>
    </row>
    <row r="41" spans="1:28">
      <c r="I41" s="333"/>
      <c r="N41" s="333"/>
      <c r="O41" s="333"/>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A6533-B7F7-47B3-A183-11E5D27D6CF8}">
  <sheetPr>
    <tabColor theme="5"/>
  </sheetPr>
  <dimension ref="A1:AC24"/>
  <sheetViews>
    <sheetView showGridLines="0" zoomScale="70" zoomScaleNormal="70" workbookViewId="0">
      <selection activeCell="I34" sqref="I34"/>
    </sheetView>
  </sheetViews>
  <sheetFormatPr baseColWidth="10" defaultColWidth="8.85546875" defaultRowHeight="15" outlineLevelRow="1" outlineLevelCol="1"/>
  <cols>
    <col min="1" max="1" width="29.5703125" style="19" customWidth="1"/>
    <col min="2" max="10" width="10" style="19" customWidth="1"/>
    <col min="11" max="11" width="10.5703125" style="19" bestFit="1" customWidth="1"/>
    <col min="12" max="25" width="10" style="19" customWidth="1"/>
    <col min="26" max="27" width="10" style="19" customWidth="1" outlineLevel="1"/>
    <col min="28" max="28" width="9" style="19" customWidth="1" outlineLevel="1"/>
    <col min="29" max="29" width="10.140625" style="19" bestFit="1" customWidth="1" outlineLevel="1"/>
    <col min="30" max="31" width="11.42578125" style="19" customWidth="1"/>
    <col min="32" max="32" width="17.140625" style="19" bestFit="1" customWidth="1"/>
    <col min="33" max="16384" width="8.85546875" style="19"/>
  </cols>
  <sheetData>
    <row r="1" spans="1:23" ht="20.25">
      <c r="A1" s="1186" t="s">
        <v>22</v>
      </c>
      <c r="B1" s="1187"/>
      <c r="C1" s="1187"/>
      <c r="D1" s="1187"/>
    </row>
    <row r="2" spans="1:23" ht="14.45" customHeight="1" outlineLevel="1">
      <c r="A2" s="458" t="s">
        <v>60</v>
      </c>
      <c r="B2" s="56"/>
      <c r="C2" s="56"/>
      <c r="D2" s="56"/>
      <c r="E2" s="56"/>
      <c r="F2" s="56"/>
      <c r="G2" s="56"/>
      <c r="H2" s="56"/>
      <c r="I2" s="56"/>
      <c r="J2" s="56"/>
      <c r="K2" s="56"/>
      <c r="L2" s="56"/>
      <c r="M2" s="56"/>
      <c r="N2" s="56"/>
      <c r="O2" s="56"/>
      <c r="P2" s="56"/>
      <c r="Q2" s="56"/>
      <c r="R2" s="56"/>
      <c r="S2" s="56"/>
      <c r="T2" s="56"/>
      <c r="U2" s="56"/>
      <c r="V2" s="56"/>
      <c r="W2" s="56"/>
    </row>
    <row r="3" spans="1:23" ht="15.75">
      <c r="A3" s="457" t="s">
        <v>443</v>
      </c>
      <c r="Q3" s="1034"/>
      <c r="R3" s="1034"/>
      <c r="W3" s="56"/>
    </row>
    <row r="4" spans="1:23" ht="47.25">
      <c r="A4" s="23" t="s">
        <v>0</v>
      </c>
      <c r="B4" s="24">
        <v>45838</v>
      </c>
      <c r="C4" s="24">
        <v>45869</v>
      </c>
      <c r="D4" s="24">
        <v>45900</v>
      </c>
      <c r="E4" s="184">
        <v>45930</v>
      </c>
      <c r="F4" s="24">
        <v>45961</v>
      </c>
      <c r="G4" s="24">
        <v>45991</v>
      </c>
      <c r="H4" s="24">
        <v>46022</v>
      </c>
      <c r="I4" s="426">
        <v>46053</v>
      </c>
      <c r="J4" s="426">
        <v>46081</v>
      </c>
      <c r="K4" s="426">
        <v>46112</v>
      </c>
      <c r="L4" s="426">
        <v>46142</v>
      </c>
      <c r="M4" s="426">
        <v>46173</v>
      </c>
      <c r="N4" s="426">
        <v>46203</v>
      </c>
      <c r="O4" s="426">
        <v>46234</v>
      </c>
      <c r="P4" s="426">
        <v>46265</v>
      </c>
      <c r="Q4" s="184">
        <v>46295</v>
      </c>
      <c r="R4" s="185" t="s">
        <v>1</v>
      </c>
      <c r="S4" s="1080" t="s">
        <v>12</v>
      </c>
      <c r="T4" s="27" t="s">
        <v>10</v>
      </c>
      <c r="U4" s="185" t="s">
        <v>338</v>
      </c>
      <c r="V4" s="27" t="s">
        <v>381</v>
      </c>
      <c r="W4" s="56"/>
    </row>
    <row r="5" spans="1:23" ht="15.75">
      <c r="A5" s="1077" t="s">
        <v>148</v>
      </c>
      <c r="B5" s="930">
        <v>1</v>
      </c>
      <c r="C5" s="930">
        <v>1</v>
      </c>
      <c r="D5" s="930">
        <v>1</v>
      </c>
      <c r="E5" s="929">
        <v>1</v>
      </c>
      <c r="F5" s="930">
        <v>1</v>
      </c>
      <c r="G5" s="930">
        <v>1</v>
      </c>
      <c r="H5" s="930">
        <v>1</v>
      </c>
      <c r="I5" s="931">
        <v>1</v>
      </c>
      <c r="J5" s="931">
        <v>1</v>
      </c>
      <c r="K5" s="931">
        <v>1</v>
      </c>
      <c r="L5" s="931">
        <v>1</v>
      </c>
      <c r="M5" s="931">
        <v>1</v>
      </c>
      <c r="N5" s="931">
        <v>1</v>
      </c>
      <c r="O5" s="931">
        <v>1</v>
      </c>
      <c r="P5" s="931">
        <v>1</v>
      </c>
      <c r="Q5" s="1167">
        <v>1</v>
      </c>
      <c r="R5" s="551">
        <f>AVERAGE(F5:Q5)</f>
        <v>1</v>
      </c>
      <c r="S5" s="932">
        <v>0.98</v>
      </c>
      <c r="T5" s="933">
        <f>R5-S5</f>
        <v>2.0000000000000018E-2</v>
      </c>
      <c r="U5" s="934">
        <v>1</v>
      </c>
      <c r="V5" s="933">
        <f>+R5/U5-1</f>
        <v>0</v>
      </c>
      <c r="W5" s="56"/>
    </row>
    <row r="6" spans="1:23" ht="15.75">
      <c r="A6" s="1077" t="s">
        <v>2</v>
      </c>
      <c r="B6" s="930">
        <v>1</v>
      </c>
      <c r="C6" s="930">
        <v>1</v>
      </c>
      <c r="D6" s="930">
        <v>1</v>
      </c>
      <c r="E6" s="929">
        <v>1</v>
      </c>
      <c r="F6" s="930">
        <v>1</v>
      </c>
      <c r="G6" s="930">
        <v>1</v>
      </c>
      <c r="H6" s="930">
        <v>1</v>
      </c>
      <c r="I6" s="931">
        <v>1</v>
      </c>
      <c r="J6" s="931">
        <v>1</v>
      </c>
      <c r="K6" s="931">
        <v>1</v>
      </c>
      <c r="L6" s="931">
        <v>0.9285714285714286</v>
      </c>
      <c r="M6" s="931">
        <v>1</v>
      </c>
      <c r="N6" s="931">
        <v>0.91666666666666663</v>
      </c>
      <c r="O6" s="931">
        <v>1</v>
      </c>
      <c r="P6" s="931">
        <v>1</v>
      </c>
      <c r="Q6" s="1167">
        <v>1</v>
      </c>
      <c r="R6" s="551">
        <f t="shared" ref="R6:R8" si="0">AVERAGE(F6:Q6)</f>
        <v>0.98710317460317454</v>
      </c>
      <c r="S6" s="932">
        <v>0.98</v>
      </c>
      <c r="T6" s="933">
        <f>R6-S6</f>
        <v>7.1031746031745557E-3</v>
      </c>
      <c r="U6" s="934">
        <v>1</v>
      </c>
      <c r="V6" s="933">
        <f t="shared" ref="V6:V9" si="1">+R6/U6-1</f>
        <v>-1.2896825396825462E-2</v>
      </c>
      <c r="W6" s="56"/>
    </row>
    <row r="7" spans="1:23" ht="15.75">
      <c r="A7" s="1077" t="s">
        <v>3</v>
      </c>
      <c r="B7" s="930">
        <v>1</v>
      </c>
      <c r="C7" s="930">
        <v>1</v>
      </c>
      <c r="D7" s="930">
        <v>1</v>
      </c>
      <c r="E7" s="929">
        <v>1</v>
      </c>
      <c r="F7" s="930">
        <v>1</v>
      </c>
      <c r="G7" s="930">
        <v>1</v>
      </c>
      <c r="H7" s="930">
        <v>1</v>
      </c>
      <c r="I7" s="931">
        <v>1</v>
      </c>
      <c r="J7" s="931">
        <v>1</v>
      </c>
      <c r="K7" s="931">
        <v>1</v>
      </c>
      <c r="L7" s="931">
        <v>1</v>
      </c>
      <c r="M7" s="931">
        <v>1</v>
      </c>
      <c r="N7" s="931">
        <v>0.98333333333333328</v>
      </c>
      <c r="O7" s="931">
        <v>1</v>
      </c>
      <c r="P7" s="931">
        <v>1</v>
      </c>
      <c r="Q7" s="1167">
        <v>1</v>
      </c>
      <c r="R7" s="551">
        <f t="shared" si="0"/>
        <v>0.99861111111111101</v>
      </c>
      <c r="S7" s="932">
        <v>0.98</v>
      </c>
      <c r="T7" s="933">
        <f t="shared" ref="T7:T9" si="2">R7-S7</f>
        <v>1.8611111111111023E-2</v>
      </c>
      <c r="U7" s="934">
        <v>1</v>
      </c>
      <c r="V7" s="933">
        <f t="shared" si="1"/>
        <v>-1.388888888888995E-3</v>
      </c>
      <c r="W7" s="56"/>
    </row>
    <row r="8" spans="1:23" ht="16.5" thickBot="1">
      <c r="A8" s="1077" t="s">
        <v>4</v>
      </c>
      <c r="B8" s="930">
        <v>1</v>
      </c>
      <c r="C8" s="930">
        <v>1</v>
      </c>
      <c r="D8" s="930">
        <v>1</v>
      </c>
      <c r="E8" s="929">
        <v>1</v>
      </c>
      <c r="F8" s="930">
        <v>1</v>
      </c>
      <c r="G8" s="930">
        <v>1</v>
      </c>
      <c r="H8" s="930">
        <v>1</v>
      </c>
      <c r="I8" s="931">
        <v>1</v>
      </c>
      <c r="J8" s="931">
        <v>1</v>
      </c>
      <c r="K8" s="931">
        <v>1</v>
      </c>
      <c r="L8" s="931">
        <v>1</v>
      </c>
      <c r="M8" s="931">
        <v>1</v>
      </c>
      <c r="N8" s="931">
        <v>1</v>
      </c>
      <c r="O8" s="931">
        <v>1</v>
      </c>
      <c r="P8" s="931">
        <v>1</v>
      </c>
      <c r="Q8" s="1167">
        <v>1</v>
      </c>
      <c r="R8" s="551">
        <f t="shared" si="0"/>
        <v>1</v>
      </c>
      <c r="S8" s="932">
        <v>0.98</v>
      </c>
      <c r="T8" s="933">
        <f t="shared" si="2"/>
        <v>2.0000000000000018E-2</v>
      </c>
      <c r="U8" s="934">
        <v>1</v>
      </c>
      <c r="V8" s="933">
        <f t="shared" si="1"/>
        <v>0</v>
      </c>
      <c r="W8" s="56"/>
    </row>
    <row r="9" spans="1:23" ht="15.75">
      <c r="A9" s="571" t="s">
        <v>5</v>
      </c>
      <c r="B9" s="936">
        <v>1</v>
      </c>
      <c r="C9" s="936">
        <v>1</v>
      </c>
      <c r="D9" s="936">
        <v>1</v>
      </c>
      <c r="E9" s="935">
        <v>1</v>
      </c>
      <c r="F9" s="936">
        <v>1</v>
      </c>
      <c r="G9" s="936">
        <v>1</v>
      </c>
      <c r="H9" s="936">
        <v>1</v>
      </c>
      <c r="I9" s="937">
        <v>1</v>
      </c>
      <c r="J9" s="937">
        <v>1</v>
      </c>
      <c r="K9" s="937">
        <v>1</v>
      </c>
      <c r="L9" s="937">
        <v>0.98795180722891562</v>
      </c>
      <c r="M9" s="937">
        <v>1</v>
      </c>
      <c r="N9" s="937">
        <v>0.984375</v>
      </c>
      <c r="O9" s="937">
        <v>1</v>
      </c>
      <c r="P9" s="937">
        <v>1</v>
      </c>
      <c r="Q9" s="938">
        <v>1</v>
      </c>
      <c r="R9" s="583">
        <v>0.99446494464944601</v>
      </c>
      <c r="S9" s="939">
        <v>0.98</v>
      </c>
      <c r="T9" s="940">
        <f t="shared" si="2"/>
        <v>1.4464944649446032E-2</v>
      </c>
      <c r="U9" s="941">
        <v>1</v>
      </c>
      <c r="V9" s="940">
        <f t="shared" si="1"/>
        <v>-5.5350553505539857E-3</v>
      </c>
      <c r="W9" s="56"/>
    </row>
    <row r="10" spans="1:23" ht="15.75">
      <c r="A10" s="21" t="s">
        <v>114</v>
      </c>
      <c r="W10" s="56"/>
    </row>
    <row r="11" spans="1:23" ht="15.75">
      <c r="A11" s="21" t="s">
        <v>115</v>
      </c>
      <c r="W11" s="56"/>
    </row>
    <row r="12" spans="1:23" ht="15.75">
      <c r="W12" s="56"/>
    </row>
    <row r="13" spans="1:23" ht="15.75">
      <c r="W13" s="56"/>
    </row>
    <row r="14" spans="1:23" ht="15.75">
      <c r="A14" s="458" t="s">
        <v>444</v>
      </c>
      <c r="E14" s="956"/>
    </row>
    <row r="15" spans="1:23">
      <c r="A15" s="21" t="s">
        <v>445</v>
      </c>
      <c r="Q15" s="1034"/>
      <c r="R15" s="1034"/>
    </row>
    <row r="16" spans="1:23" ht="47.25">
      <c r="A16" s="23" t="s">
        <v>0</v>
      </c>
      <c r="B16" s="24">
        <v>45838</v>
      </c>
      <c r="C16" s="24">
        <v>45869</v>
      </c>
      <c r="D16" s="24">
        <v>45900</v>
      </c>
      <c r="E16" s="184">
        <v>45930</v>
      </c>
      <c r="F16" s="24">
        <v>45961</v>
      </c>
      <c r="G16" s="24">
        <v>45991</v>
      </c>
      <c r="H16" s="24">
        <v>46022</v>
      </c>
      <c r="I16" s="24">
        <v>46053</v>
      </c>
      <c r="J16" s="24">
        <v>46081</v>
      </c>
      <c r="K16" s="24">
        <v>46112</v>
      </c>
      <c r="L16" s="24">
        <v>46142</v>
      </c>
      <c r="M16" s="24">
        <v>46173</v>
      </c>
      <c r="N16" s="24">
        <v>46203</v>
      </c>
      <c r="O16" s="24">
        <v>46234</v>
      </c>
      <c r="P16" s="24">
        <v>46265</v>
      </c>
      <c r="Q16" s="184">
        <v>46295</v>
      </c>
      <c r="R16" s="185" t="s">
        <v>1</v>
      </c>
      <c r="S16" s="1080" t="s">
        <v>12</v>
      </c>
      <c r="T16" s="27" t="s">
        <v>10</v>
      </c>
      <c r="U16" s="185" t="s">
        <v>338</v>
      </c>
      <c r="V16" s="27" t="s">
        <v>381</v>
      </c>
    </row>
    <row r="17" spans="1:22" ht="15.75">
      <c r="A17" s="1076" t="s">
        <v>112</v>
      </c>
      <c r="B17" s="942">
        <v>0</v>
      </c>
      <c r="C17" s="942">
        <v>3</v>
      </c>
      <c r="D17" s="942">
        <v>0</v>
      </c>
      <c r="E17" s="376">
        <v>10</v>
      </c>
      <c r="F17" s="942">
        <v>0</v>
      </c>
      <c r="G17" s="942">
        <v>7</v>
      </c>
      <c r="H17" s="942">
        <v>9</v>
      </c>
      <c r="I17" s="943">
        <v>0</v>
      </c>
      <c r="J17" s="943">
        <v>4</v>
      </c>
      <c r="K17" s="943">
        <v>4</v>
      </c>
      <c r="L17" s="943">
        <v>2</v>
      </c>
      <c r="M17" s="943">
        <v>0</v>
      </c>
      <c r="N17" s="943">
        <v>0</v>
      </c>
      <c r="O17" s="943">
        <v>0</v>
      </c>
      <c r="P17" s="943">
        <v>0</v>
      </c>
      <c r="Q17" s="944">
        <v>0</v>
      </c>
      <c r="R17" s="943">
        <f>SUM(F17:Q17)</f>
        <v>26</v>
      </c>
      <c r="S17" s="945"/>
      <c r="T17" s="946"/>
      <c r="U17" s="947">
        <v>48</v>
      </c>
      <c r="V17" s="43"/>
    </row>
    <row r="18" spans="1:22" ht="16.5" thickBot="1">
      <c r="A18" s="1078" t="s">
        <v>113</v>
      </c>
      <c r="B18" s="948">
        <v>0</v>
      </c>
      <c r="C18" s="948">
        <v>10</v>
      </c>
      <c r="D18" s="948">
        <v>0</v>
      </c>
      <c r="E18" s="381">
        <v>10</v>
      </c>
      <c r="F18" s="948">
        <v>0</v>
      </c>
      <c r="G18" s="948">
        <v>8</v>
      </c>
      <c r="H18" s="948">
        <v>9</v>
      </c>
      <c r="I18" s="949">
        <v>0</v>
      </c>
      <c r="J18" s="949">
        <v>10</v>
      </c>
      <c r="K18" s="949">
        <v>7</v>
      </c>
      <c r="L18" s="949">
        <v>6</v>
      </c>
      <c r="M18" s="949">
        <v>0</v>
      </c>
      <c r="N18" s="949">
        <v>0</v>
      </c>
      <c r="O18" s="949">
        <v>0</v>
      </c>
      <c r="P18" s="949">
        <v>0</v>
      </c>
      <c r="Q18" s="950">
        <v>0</v>
      </c>
      <c r="R18" s="949">
        <f>SUM(F18:Q18)</f>
        <v>40</v>
      </c>
      <c r="S18" s="951"/>
      <c r="T18" s="39"/>
      <c r="U18" s="952">
        <v>63</v>
      </c>
      <c r="V18" s="389">
        <f>R18/U18-1</f>
        <v>-0.36507936507936511</v>
      </c>
    </row>
    <row r="19" spans="1:22" ht="15.75">
      <c r="A19" s="571" t="s">
        <v>111</v>
      </c>
      <c r="B19" s="936" t="str">
        <f t="shared" ref="B19:M19" si="3">IFERROR(B17/B18,"")</f>
        <v/>
      </c>
      <c r="C19" s="936">
        <f t="shared" si="3"/>
        <v>0.3</v>
      </c>
      <c r="D19" s="936" t="str">
        <f t="shared" si="3"/>
        <v/>
      </c>
      <c r="E19" s="953">
        <f t="shared" si="3"/>
        <v>1</v>
      </c>
      <c r="F19" s="936" t="str">
        <f t="shared" si="3"/>
        <v/>
      </c>
      <c r="G19" s="936">
        <f t="shared" si="3"/>
        <v>0.875</v>
      </c>
      <c r="H19" s="936">
        <f t="shared" si="3"/>
        <v>1</v>
      </c>
      <c r="I19" s="937" t="str">
        <f t="shared" si="3"/>
        <v/>
      </c>
      <c r="J19" s="937">
        <f t="shared" si="3"/>
        <v>0.4</v>
      </c>
      <c r="K19" s="937">
        <f t="shared" si="3"/>
        <v>0.5714285714285714</v>
      </c>
      <c r="L19" s="937">
        <f t="shared" si="3"/>
        <v>0.33333333333333331</v>
      </c>
      <c r="M19" s="937" t="str">
        <f t="shared" si="3"/>
        <v/>
      </c>
      <c r="N19" s="937" t="s">
        <v>503</v>
      </c>
      <c r="O19" s="937"/>
      <c r="P19" s="937" t="str">
        <f t="shared" ref="P19:Q19" si="4">IFERROR(P17/P18,"")</f>
        <v/>
      </c>
      <c r="Q19" s="938" t="str">
        <f t="shared" si="4"/>
        <v/>
      </c>
      <c r="R19" s="937">
        <f>IFERROR(R17/R18,0)</f>
        <v>0.65</v>
      </c>
      <c r="S19" s="954">
        <v>0.97</v>
      </c>
      <c r="T19" s="940">
        <f t="shared" ref="T19" si="5">R19-S19</f>
        <v>-0.31999999999999995</v>
      </c>
      <c r="U19" s="955">
        <v>0.76190476190476197</v>
      </c>
      <c r="V19" s="940">
        <f>R19/U19-1</f>
        <v>-0.14687500000000009</v>
      </c>
    </row>
    <row r="20" spans="1:22">
      <c r="A20" s="21" t="s">
        <v>110</v>
      </c>
      <c r="S20" s="649" t="s">
        <v>134</v>
      </c>
    </row>
    <row r="21" spans="1:22">
      <c r="A21" s="21" t="s">
        <v>107</v>
      </c>
    </row>
    <row r="22" spans="1:22">
      <c r="A22" s="21" t="s">
        <v>108</v>
      </c>
    </row>
    <row r="23" spans="1:22">
      <c r="A23" s="21" t="s">
        <v>109</v>
      </c>
    </row>
    <row r="24" spans="1:22">
      <c r="A24" s="21"/>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4B4A2-222C-41D6-AFE5-A61F2554F093}">
  <sheetPr>
    <tabColor theme="5"/>
  </sheetPr>
  <dimension ref="A1:AN72"/>
  <sheetViews>
    <sheetView showGridLines="0" zoomScale="70" zoomScaleNormal="70" workbookViewId="0">
      <pane xSplit="1" topLeftCell="B1" activePane="topRight" state="frozen"/>
      <selection activeCell="A4" sqref="A4"/>
      <selection pane="topRight" activeCell="G20" sqref="G20"/>
    </sheetView>
  </sheetViews>
  <sheetFormatPr baseColWidth="10" defaultColWidth="8.85546875" defaultRowHeight="15" outlineLevelRow="3" outlineLevelCol="1"/>
  <cols>
    <col min="1" max="1" width="27.28515625" style="19" customWidth="1"/>
    <col min="2" max="2" width="21.42578125" style="19" bestFit="1" customWidth="1"/>
    <col min="3" max="4" width="9.28515625" style="19" bestFit="1" customWidth="1" outlineLevel="1"/>
    <col min="5" max="5" width="10.5703125" style="19" bestFit="1" customWidth="1" outlineLevel="1"/>
    <col min="6" max="6" width="9.28515625" style="19" bestFit="1" customWidth="1" outlineLevel="1"/>
    <col min="7" max="7" width="8.7109375" style="19" bestFit="1" customWidth="1" outlineLevel="1"/>
    <col min="8" max="9" width="9.28515625" style="19" bestFit="1" customWidth="1"/>
    <col min="10" max="10" width="9.5703125" style="19" bestFit="1" customWidth="1"/>
    <col min="11" max="11" width="9.7109375" style="19" bestFit="1" customWidth="1"/>
    <col min="12" max="12" width="9.28515625" style="19" bestFit="1" customWidth="1"/>
    <col min="13" max="13" width="8.7109375" style="19" bestFit="1" customWidth="1"/>
    <col min="14" max="16" width="9.28515625" style="19" bestFit="1" customWidth="1"/>
    <col min="17" max="17" width="10.5703125" style="19" bestFit="1" customWidth="1"/>
    <col min="18" max="18" width="8.7109375" style="19" bestFit="1" customWidth="1"/>
    <col min="19" max="20" width="9.28515625" style="19" bestFit="1" customWidth="1"/>
    <col min="21" max="21" width="8.7109375" style="19" bestFit="1" customWidth="1"/>
    <col min="22" max="22" width="9.7109375" style="19" bestFit="1" customWidth="1"/>
    <col min="23" max="23" width="12.5703125" style="19" bestFit="1" customWidth="1"/>
    <col min="24" max="24" width="9.28515625" style="19" bestFit="1" customWidth="1"/>
    <col min="25" max="25" width="10.7109375" style="19" bestFit="1" customWidth="1"/>
    <col min="26" max="26" width="9.7109375" style="19" customWidth="1"/>
    <col min="27" max="27" width="10" style="19" customWidth="1"/>
    <col min="28" max="28" width="10" style="19" hidden="1" customWidth="1" outlineLevel="1"/>
    <col min="29" max="29" width="8" style="19" hidden="1" customWidth="1" outlineLevel="1"/>
    <col min="30" max="30" width="10" style="19" hidden="1" customWidth="1" outlineLevel="1"/>
    <col min="31" max="31" width="11.42578125" style="19" hidden="1" customWidth="1" outlineLevel="1"/>
    <col min="32" max="32" width="19.42578125" style="19" hidden="1" customWidth="1" outlineLevel="1"/>
    <col min="33" max="33" width="10.28515625" style="19" hidden="1" customWidth="1" outlineLevel="1"/>
    <col min="34" max="34" width="18.85546875" style="19" hidden="1" customWidth="1" outlineLevel="1"/>
    <col min="35" max="36" width="10" style="19" hidden="1" customWidth="1" outlineLevel="1"/>
    <col min="37" max="37" width="10" style="19" customWidth="1" collapsed="1"/>
    <col min="38" max="38" width="14.7109375" style="19" bestFit="1" customWidth="1"/>
    <col min="39" max="39" width="10.42578125" style="19" customWidth="1"/>
    <col min="40" max="40" width="9" style="19" customWidth="1"/>
    <col min="41" max="41" width="10.140625" style="19" bestFit="1" customWidth="1"/>
    <col min="42" max="43" width="11.42578125" style="19" customWidth="1"/>
    <col min="44" max="44" width="17.140625" style="19" bestFit="1" customWidth="1"/>
    <col min="45" max="16384" width="8.85546875" style="19"/>
  </cols>
  <sheetData>
    <row r="1" spans="1:37" ht="20.25">
      <c r="A1" s="1186" t="s">
        <v>18</v>
      </c>
      <c r="B1" s="1187"/>
      <c r="C1" s="1187"/>
      <c r="D1" s="1187"/>
    </row>
    <row r="2" spans="1:37" ht="15.75" outlineLevel="1">
      <c r="A2" s="168" t="s">
        <v>426</v>
      </c>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row>
    <row r="3" spans="1:37" outlineLevel="2">
      <c r="A3" s="457" t="s">
        <v>421</v>
      </c>
      <c r="B3" s="21"/>
      <c r="C3" s="21"/>
      <c r="D3" s="21"/>
      <c r="E3" s="21"/>
      <c r="F3" s="21"/>
      <c r="G3" s="21"/>
      <c r="H3" s="21"/>
      <c r="I3" s="21"/>
      <c r="J3" s="21"/>
      <c r="K3" s="21"/>
      <c r="L3" s="21"/>
      <c r="M3" s="21"/>
      <c r="N3" s="21"/>
      <c r="O3" s="21"/>
      <c r="P3" s="21"/>
      <c r="Q3" s="21"/>
      <c r="R3" s="21"/>
      <c r="S3" s="21"/>
      <c r="T3" s="1046"/>
      <c r="U3" s="1046"/>
      <c r="V3" s="21"/>
      <c r="W3" s="21"/>
      <c r="X3" s="21"/>
      <c r="Y3" s="21"/>
      <c r="Z3" s="21"/>
      <c r="AA3" s="21"/>
      <c r="AB3" s="21"/>
      <c r="AC3" s="21"/>
      <c r="AD3" s="21"/>
      <c r="AE3" s="21"/>
      <c r="AF3" s="21"/>
      <c r="AG3" s="21"/>
    </row>
    <row r="4" spans="1:37" ht="47.25" outlineLevel="2">
      <c r="A4" s="23" t="s">
        <v>0</v>
      </c>
      <c r="B4" s="23"/>
      <c r="C4" s="24">
        <v>45688</v>
      </c>
      <c r="D4" s="24">
        <v>45716</v>
      </c>
      <c r="E4" s="24">
        <v>45747</v>
      </c>
      <c r="F4" s="24">
        <v>45777</v>
      </c>
      <c r="G4" s="24">
        <v>45808</v>
      </c>
      <c r="H4" s="184">
        <v>45838</v>
      </c>
      <c r="I4" s="24">
        <v>45869</v>
      </c>
      <c r="J4" s="24">
        <v>45900</v>
      </c>
      <c r="K4" s="24">
        <v>45930</v>
      </c>
      <c r="L4" s="24">
        <v>45961</v>
      </c>
      <c r="M4" s="24">
        <v>45991</v>
      </c>
      <c r="N4" s="24">
        <v>46022</v>
      </c>
      <c r="O4" s="426">
        <v>46053</v>
      </c>
      <c r="P4" s="426">
        <v>46081</v>
      </c>
      <c r="Q4" s="426">
        <v>46112</v>
      </c>
      <c r="R4" s="426">
        <v>46142</v>
      </c>
      <c r="S4" s="426">
        <v>46173</v>
      </c>
      <c r="T4" s="184">
        <v>46203</v>
      </c>
      <c r="U4" s="185" t="s">
        <v>1</v>
      </c>
      <c r="V4" s="1080" t="s">
        <v>12</v>
      </c>
      <c r="W4" s="27" t="s">
        <v>10</v>
      </c>
      <c r="X4" s="27" t="s">
        <v>62</v>
      </c>
      <c r="Y4" s="185" t="s">
        <v>338</v>
      </c>
      <c r="Z4" s="27" t="s">
        <v>381</v>
      </c>
      <c r="AB4" s="20"/>
      <c r="AC4" s="20"/>
      <c r="AD4" s="20"/>
      <c r="AE4" s="20"/>
      <c r="AF4" s="20"/>
      <c r="AG4" s="20"/>
    </row>
    <row r="5" spans="1:37" ht="15.75" outlineLevel="2">
      <c r="A5" s="1283" t="s">
        <v>2</v>
      </c>
      <c r="B5" s="29" t="s">
        <v>31</v>
      </c>
      <c r="C5" s="404">
        <v>0.5</v>
      </c>
      <c r="D5" s="404">
        <v>0.4</v>
      </c>
      <c r="E5" s="404">
        <v>0.7</v>
      </c>
      <c r="F5" s="404">
        <v>0</v>
      </c>
      <c r="G5" s="404">
        <v>0.33</v>
      </c>
      <c r="H5" s="31">
        <v>0.375</v>
      </c>
      <c r="I5" s="404">
        <v>1</v>
      </c>
      <c r="J5" s="404">
        <v>1</v>
      </c>
      <c r="K5" s="404">
        <v>0.56999999999999995</v>
      </c>
      <c r="L5" s="404">
        <v>1</v>
      </c>
      <c r="M5" s="404">
        <v>1</v>
      </c>
      <c r="N5" s="404">
        <v>1</v>
      </c>
      <c r="O5" s="432">
        <v>0.5</v>
      </c>
      <c r="P5" s="432">
        <v>0.63</v>
      </c>
      <c r="Q5" s="432">
        <v>0.86</v>
      </c>
      <c r="R5" s="432">
        <v>0.36</v>
      </c>
      <c r="S5" s="432">
        <v>0.89</v>
      </c>
      <c r="T5" s="369">
        <v>0.2</v>
      </c>
      <c r="U5" s="334">
        <v>0.58333333333333337</v>
      </c>
      <c r="V5" s="32">
        <v>0.83</v>
      </c>
      <c r="W5" s="33">
        <f>+U5-V5</f>
        <v>-0.24666666666666659</v>
      </c>
      <c r="X5" s="33">
        <f>IFERROR(T5/S5-1,100%)</f>
        <v>-0.7752808988764045</v>
      </c>
      <c r="Y5" s="30">
        <v>0.73</v>
      </c>
      <c r="Z5" s="33">
        <f>+U5/Y5-1</f>
        <v>-0.2009132420091323</v>
      </c>
      <c r="AB5" s="20"/>
      <c r="AC5" s="20"/>
      <c r="AD5" s="20"/>
      <c r="AE5" s="20"/>
      <c r="AF5" s="20"/>
      <c r="AG5" s="20"/>
    </row>
    <row r="6" spans="1:37" ht="15.75" outlineLevel="2">
      <c r="A6" s="1284"/>
      <c r="B6" s="34" t="s">
        <v>30</v>
      </c>
      <c r="C6" s="35">
        <v>6</v>
      </c>
      <c r="D6" s="35">
        <v>5</v>
      </c>
      <c r="E6" s="35">
        <v>10</v>
      </c>
      <c r="F6" s="35">
        <v>1</v>
      </c>
      <c r="G6" s="35">
        <v>9</v>
      </c>
      <c r="H6" s="119">
        <v>8</v>
      </c>
      <c r="I6" s="35">
        <v>19</v>
      </c>
      <c r="J6" s="35">
        <v>3</v>
      </c>
      <c r="K6" s="35">
        <v>7</v>
      </c>
      <c r="L6" s="35">
        <v>9</v>
      </c>
      <c r="M6" s="35">
        <v>14</v>
      </c>
      <c r="N6" s="35">
        <v>3</v>
      </c>
      <c r="O6" s="433">
        <v>8</v>
      </c>
      <c r="P6" s="433">
        <v>8</v>
      </c>
      <c r="Q6" s="433">
        <v>7</v>
      </c>
      <c r="R6" s="433">
        <v>11</v>
      </c>
      <c r="S6" s="433">
        <v>9</v>
      </c>
      <c r="T6" s="117">
        <v>5</v>
      </c>
      <c r="U6" s="175">
        <f>SUM(O6:T6)</f>
        <v>48</v>
      </c>
      <c r="V6" s="36"/>
      <c r="W6" s="37"/>
      <c r="X6" s="37"/>
      <c r="Y6" s="198">
        <v>94</v>
      </c>
      <c r="Z6" s="37"/>
      <c r="AB6" s="20"/>
      <c r="AC6" s="20"/>
      <c r="AD6" s="20"/>
      <c r="AE6" s="20"/>
      <c r="AF6" s="20"/>
      <c r="AG6" s="20"/>
    </row>
    <row r="7" spans="1:37" ht="15.75" outlineLevel="2">
      <c r="A7" s="1283" t="s">
        <v>3</v>
      </c>
      <c r="B7" s="29" t="s">
        <v>31</v>
      </c>
      <c r="C7" s="30">
        <v>0.11</v>
      </c>
      <c r="D7" s="30">
        <v>0.43</v>
      </c>
      <c r="E7" s="30">
        <v>0.92</v>
      </c>
      <c r="F7" s="30">
        <v>0</v>
      </c>
      <c r="G7" s="30">
        <v>0.46</v>
      </c>
      <c r="H7" s="41">
        <v>0.2</v>
      </c>
      <c r="I7" s="405">
        <v>0.78</v>
      </c>
      <c r="J7" s="406"/>
      <c r="K7" s="30">
        <v>0.5</v>
      </c>
      <c r="L7" s="30">
        <v>1</v>
      </c>
      <c r="M7" s="30">
        <v>1</v>
      </c>
      <c r="N7" s="30">
        <v>1</v>
      </c>
      <c r="O7" s="435">
        <v>0.88</v>
      </c>
      <c r="P7" s="435">
        <v>0.38</v>
      </c>
      <c r="Q7" s="435">
        <v>1</v>
      </c>
      <c r="R7" s="435">
        <v>0</v>
      </c>
      <c r="S7" s="435">
        <v>0.25</v>
      </c>
      <c r="T7" s="370">
        <v>0.42857142857142855</v>
      </c>
      <c r="U7" s="334">
        <v>0.55102040816326525</v>
      </c>
      <c r="V7" s="42">
        <v>0.69</v>
      </c>
      <c r="W7" s="33">
        <f>+U7-V7</f>
        <v>-0.13897959183673469</v>
      </c>
      <c r="X7" s="33">
        <f>IFERROR(T7/S7-1,100%)</f>
        <v>0.71428571428571419</v>
      </c>
      <c r="Y7" s="40">
        <v>0.59</v>
      </c>
      <c r="Z7" s="43">
        <f>+U7/Y7-1</f>
        <v>-6.6067104808024912E-2</v>
      </c>
      <c r="AB7" s="20"/>
      <c r="AC7" s="20"/>
      <c r="AD7" s="20"/>
      <c r="AE7" s="20"/>
      <c r="AF7" s="20"/>
      <c r="AG7" s="20"/>
    </row>
    <row r="8" spans="1:37" ht="15.75" outlineLevel="2">
      <c r="A8" s="1284"/>
      <c r="B8" s="1075" t="s">
        <v>30</v>
      </c>
      <c r="C8" s="38">
        <v>18</v>
      </c>
      <c r="D8" s="38">
        <v>7</v>
      </c>
      <c r="E8" s="38">
        <v>13</v>
      </c>
      <c r="F8" s="38">
        <v>4</v>
      </c>
      <c r="G8" s="38">
        <v>13</v>
      </c>
      <c r="H8" s="120">
        <v>5</v>
      </c>
      <c r="I8" s="38">
        <v>9</v>
      </c>
      <c r="J8" s="38">
        <v>0</v>
      </c>
      <c r="K8" s="38">
        <v>6</v>
      </c>
      <c r="L8" s="38">
        <v>9</v>
      </c>
      <c r="M8" s="38">
        <v>22</v>
      </c>
      <c r="N8" s="38">
        <v>3</v>
      </c>
      <c r="O8" s="434">
        <v>8</v>
      </c>
      <c r="P8" s="434">
        <v>8</v>
      </c>
      <c r="Q8" s="434">
        <v>10</v>
      </c>
      <c r="R8" s="434">
        <v>5</v>
      </c>
      <c r="S8" s="434">
        <v>4</v>
      </c>
      <c r="T8" s="118">
        <v>14</v>
      </c>
      <c r="U8" s="335">
        <f>SUM(O8:T8)</f>
        <v>49</v>
      </c>
      <c r="V8" s="1103"/>
      <c r="W8" s="1104"/>
      <c r="X8" s="1104"/>
      <c r="Y8" s="199">
        <v>109</v>
      </c>
      <c r="Z8" s="1104"/>
      <c r="AB8" s="20"/>
      <c r="AC8" s="20"/>
      <c r="AD8" s="20"/>
      <c r="AE8" s="20"/>
      <c r="AF8" s="20"/>
      <c r="AG8" s="20"/>
    </row>
    <row r="9" spans="1:37" ht="15.75" outlineLevel="2">
      <c r="A9" s="1283" t="s">
        <v>4</v>
      </c>
      <c r="B9" s="29" t="s">
        <v>31</v>
      </c>
      <c r="C9" s="40">
        <v>0.5</v>
      </c>
      <c r="D9" s="40">
        <v>0.78</v>
      </c>
      <c r="E9" s="40">
        <v>1</v>
      </c>
      <c r="F9" s="40">
        <v>0</v>
      </c>
      <c r="G9" s="40">
        <v>1</v>
      </c>
      <c r="H9" s="41">
        <v>1</v>
      </c>
      <c r="I9" s="40">
        <v>0.75</v>
      </c>
      <c r="J9" s="40">
        <v>1</v>
      </c>
      <c r="K9" s="40">
        <v>0.6</v>
      </c>
      <c r="L9" s="40">
        <v>1</v>
      </c>
      <c r="M9" s="40">
        <v>1</v>
      </c>
      <c r="N9" s="40">
        <v>1</v>
      </c>
      <c r="O9" s="1105">
        <v>1</v>
      </c>
      <c r="P9" s="1105">
        <v>1</v>
      </c>
      <c r="Q9" s="1105">
        <v>1</v>
      </c>
      <c r="R9" s="1105">
        <v>0.5</v>
      </c>
      <c r="S9" s="1105">
        <v>1</v>
      </c>
      <c r="T9" s="1106">
        <v>0.8571428571428571</v>
      </c>
      <c r="U9" s="334">
        <v>0.89473684210526316</v>
      </c>
      <c r="V9" s="42">
        <v>0.92</v>
      </c>
      <c r="W9" s="33">
        <f>+U9-V9</f>
        <v>-2.5263157894736876E-2</v>
      </c>
      <c r="X9" s="33">
        <f>IFERROR(T9/S9-1,100%)</f>
        <v>-0.1428571428571429</v>
      </c>
      <c r="Y9" s="40">
        <v>0.82</v>
      </c>
      <c r="Z9" s="43">
        <f>+U9/Y9-1</f>
        <v>9.1142490372272178E-2</v>
      </c>
      <c r="AB9" s="20"/>
      <c r="AC9" s="20"/>
      <c r="AD9" s="20"/>
      <c r="AE9" s="20"/>
      <c r="AF9" s="20"/>
      <c r="AG9" s="20"/>
    </row>
    <row r="10" spans="1:37" ht="16.5" outlineLevel="2" thickBot="1">
      <c r="A10" s="1285"/>
      <c r="B10" s="1107" t="s">
        <v>30</v>
      </c>
      <c r="C10" s="1108">
        <v>4</v>
      </c>
      <c r="D10" s="1108">
        <v>9</v>
      </c>
      <c r="E10" s="1108">
        <v>9</v>
      </c>
      <c r="F10" s="1108">
        <v>0</v>
      </c>
      <c r="G10" s="1108">
        <v>4</v>
      </c>
      <c r="H10" s="1109">
        <v>5</v>
      </c>
      <c r="I10" s="1108">
        <v>4</v>
      </c>
      <c r="J10" s="1108">
        <v>5</v>
      </c>
      <c r="K10" s="1108">
        <v>5</v>
      </c>
      <c r="L10" s="1108">
        <v>2</v>
      </c>
      <c r="M10" s="1108">
        <v>12</v>
      </c>
      <c r="N10" s="1108">
        <v>1</v>
      </c>
      <c r="O10" s="1110">
        <v>4</v>
      </c>
      <c r="P10" s="1110">
        <v>3</v>
      </c>
      <c r="Q10" s="1110">
        <v>2</v>
      </c>
      <c r="R10" s="1110">
        <v>2</v>
      </c>
      <c r="S10" s="1110">
        <v>1</v>
      </c>
      <c r="T10" s="1111">
        <v>7</v>
      </c>
      <c r="U10" s="1112">
        <f>SUM(O10:T10)</f>
        <v>19</v>
      </c>
      <c r="V10" s="1113"/>
      <c r="W10" s="1114"/>
      <c r="X10" s="1114"/>
      <c r="Y10" s="1115">
        <v>60</v>
      </c>
      <c r="Z10" s="1114"/>
      <c r="AB10" s="20"/>
      <c r="AC10" s="20"/>
      <c r="AD10" s="20"/>
      <c r="AE10" s="20"/>
      <c r="AF10" s="20"/>
      <c r="AG10" s="20"/>
    </row>
    <row r="11" spans="1:37" ht="15.75" outlineLevel="2">
      <c r="A11" s="438" t="s">
        <v>32</v>
      </c>
      <c r="B11" s="439"/>
      <c r="C11" s="407">
        <v>0.25</v>
      </c>
      <c r="D11" s="407">
        <v>0.56999999999999995</v>
      </c>
      <c r="E11" s="407">
        <v>0.88</v>
      </c>
      <c r="F11" s="407">
        <v>0</v>
      </c>
      <c r="G11" s="407">
        <v>0.5</v>
      </c>
      <c r="H11" s="437">
        <v>0.5</v>
      </c>
      <c r="I11" s="407">
        <v>0.91</v>
      </c>
      <c r="J11" s="407">
        <v>1</v>
      </c>
      <c r="K11" s="407">
        <v>0.56000000000000005</v>
      </c>
      <c r="L11" s="407">
        <v>1</v>
      </c>
      <c r="M11" s="407">
        <v>1</v>
      </c>
      <c r="N11" s="407">
        <v>1</v>
      </c>
      <c r="O11" s="436">
        <v>0.75</v>
      </c>
      <c r="P11" s="436">
        <v>0.57999999999999996</v>
      </c>
      <c r="Q11" s="436">
        <v>0.95</v>
      </c>
      <c r="R11" s="436">
        <v>0.28000000000000003</v>
      </c>
      <c r="S11" s="436">
        <v>0.71</v>
      </c>
      <c r="T11" s="192">
        <v>0.5</v>
      </c>
      <c r="U11" s="440">
        <v>0.62068965517241381</v>
      </c>
      <c r="V11" s="440">
        <v>0.79</v>
      </c>
      <c r="W11" s="152">
        <f>+U11-V11</f>
        <v>-0.16931034482758622</v>
      </c>
      <c r="X11" s="152">
        <f>IFERROR(T11/S11-1,100%)</f>
        <v>-0.29577464788732388</v>
      </c>
      <c r="Y11" s="407">
        <v>0.69</v>
      </c>
      <c r="Z11" s="152">
        <f>+U11/Y11-1</f>
        <v>-0.10044977511244368</v>
      </c>
      <c r="AB11" s="20"/>
      <c r="AC11" s="20"/>
      <c r="AD11" s="20"/>
      <c r="AE11" s="20"/>
      <c r="AF11" s="20"/>
      <c r="AG11" s="20"/>
    </row>
    <row r="12" spans="1:37" s="51" customFormat="1" ht="15.75" outlineLevel="2">
      <c r="A12" s="1116" t="s">
        <v>33</v>
      </c>
      <c r="B12" s="1117"/>
      <c r="C12" s="346">
        <f t="shared" ref="C12:U12" si="0">SUM(C10,C8,C6)</f>
        <v>28</v>
      </c>
      <c r="D12" s="346">
        <f t="shared" si="0"/>
        <v>21</v>
      </c>
      <c r="E12" s="346">
        <f t="shared" si="0"/>
        <v>32</v>
      </c>
      <c r="F12" s="346">
        <f t="shared" si="0"/>
        <v>5</v>
      </c>
      <c r="G12" s="346">
        <f t="shared" si="0"/>
        <v>26</v>
      </c>
      <c r="H12" s="345">
        <f t="shared" si="0"/>
        <v>18</v>
      </c>
      <c r="I12" s="346">
        <f t="shared" si="0"/>
        <v>32</v>
      </c>
      <c r="J12" s="346">
        <f t="shared" si="0"/>
        <v>8</v>
      </c>
      <c r="K12" s="346">
        <f t="shared" si="0"/>
        <v>18</v>
      </c>
      <c r="L12" s="346">
        <f t="shared" si="0"/>
        <v>20</v>
      </c>
      <c r="M12" s="346">
        <f t="shared" si="0"/>
        <v>48</v>
      </c>
      <c r="N12" s="346">
        <f t="shared" si="0"/>
        <v>7</v>
      </c>
      <c r="O12" s="174">
        <f t="shared" si="0"/>
        <v>20</v>
      </c>
      <c r="P12" s="174">
        <f t="shared" si="0"/>
        <v>19</v>
      </c>
      <c r="Q12" s="174">
        <f t="shared" si="0"/>
        <v>19</v>
      </c>
      <c r="R12" s="174">
        <f t="shared" si="0"/>
        <v>18</v>
      </c>
      <c r="S12" s="174">
        <f t="shared" si="0"/>
        <v>14</v>
      </c>
      <c r="T12" s="196">
        <f t="shared" si="0"/>
        <v>26</v>
      </c>
      <c r="U12" s="1118">
        <f t="shared" si="0"/>
        <v>116</v>
      </c>
      <c r="V12" s="1119"/>
      <c r="W12" s="1120"/>
      <c r="X12" s="1120"/>
      <c r="Y12" s="346">
        <v>263</v>
      </c>
      <c r="Z12" s="1120"/>
      <c r="AB12" s="20"/>
      <c r="AC12" s="20"/>
      <c r="AD12" s="20"/>
      <c r="AE12" s="20"/>
      <c r="AF12" s="20"/>
      <c r="AG12" s="20"/>
      <c r="AH12" s="19"/>
      <c r="AI12" s="19"/>
      <c r="AJ12" s="19"/>
      <c r="AK12" s="19"/>
    </row>
    <row r="13" spans="1:37" ht="15.75" outlineLevel="2">
      <c r="A13" s="21" t="s">
        <v>55</v>
      </c>
      <c r="B13" s="1075"/>
      <c r="C13" s="28"/>
      <c r="D13" s="28"/>
      <c r="E13" s="28"/>
      <c r="F13" s="28"/>
      <c r="G13" s="28"/>
      <c r="H13" s="28"/>
      <c r="I13" s="28"/>
      <c r="J13" s="28"/>
      <c r="K13" s="28"/>
      <c r="L13" s="28"/>
      <c r="M13" s="28"/>
      <c r="N13" s="28"/>
      <c r="O13" s="28"/>
      <c r="P13" s="28"/>
      <c r="Q13" s="28"/>
      <c r="R13" s="28"/>
      <c r="S13" s="28"/>
      <c r="T13" s="28"/>
      <c r="U13" s="28"/>
      <c r="V13" s="28"/>
      <c r="W13" s="214"/>
      <c r="X13" s="28"/>
      <c r="Y13" s="28"/>
      <c r="Z13" s="28"/>
      <c r="AA13" s="28"/>
      <c r="AB13" s="20"/>
      <c r="AC13" s="20"/>
      <c r="AD13" s="20"/>
      <c r="AE13" s="20"/>
      <c r="AF13" s="20"/>
      <c r="AG13" s="20"/>
    </row>
    <row r="14" spans="1:37" ht="15.75" outlineLevel="2">
      <c r="A14" s="21" t="s">
        <v>56</v>
      </c>
      <c r="B14" s="1075"/>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52"/>
      <c r="AC14" s="53"/>
      <c r="AD14" s="53"/>
      <c r="AE14" s="53"/>
      <c r="AF14" s="52"/>
      <c r="AG14" s="54"/>
      <c r="AH14" s="55"/>
      <c r="AI14" s="55"/>
      <c r="AJ14" s="55"/>
      <c r="AK14" s="55"/>
    </row>
    <row r="15" spans="1:37" ht="15.75" outlineLevel="2">
      <c r="A15" s="21" t="s">
        <v>422</v>
      </c>
      <c r="B15" s="1075"/>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52"/>
      <c r="AC15" s="53"/>
      <c r="AD15" s="53"/>
      <c r="AE15" s="53"/>
      <c r="AF15" s="52"/>
      <c r="AG15" s="54"/>
      <c r="AH15" s="55"/>
      <c r="AI15" s="55"/>
      <c r="AJ15" s="55"/>
      <c r="AK15" s="55"/>
    </row>
    <row r="16" spans="1:37" ht="15.75" outlineLevel="2">
      <c r="A16" s="21" t="s">
        <v>57</v>
      </c>
      <c r="B16" s="1075"/>
      <c r="U16" s="28"/>
      <c r="V16" s="28"/>
      <c r="W16" s="28"/>
      <c r="X16" s="28"/>
      <c r="Y16" s="28"/>
      <c r="Z16" s="28"/>
      <c r="AA16" s="28"/>
      <c r="AB16" s="52"/>
      <c r="AC16" s="53"/>
      <c r="AD16" s="53"/>
      <c r="AE16" s="53"/>
      <c r="AF16" s="52"/>
      <c r="AG16" s="54"/>
      <c r="AH16" s="55"/>
      <c r="AI16" s="55"/>
      <c r="AJ16" s="55"/>
      <c r="AK16" s="55"/>
    </row>
    <row r="17" spans="1:37" outlineLevel="1"/>
    <row r="18" spans="1:37" ht="15.75" outlineLevel="2">
      <c r="A18" s="20" t="s">
        <v>34</v>
      </c>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row>
    <row r="19" spans="1:37" ht="15.75" outlineLevel="2">
      <c r="A19" s="457" t="s">
        <v>481</v>
      </c>
      <c r="B19" s="22"/>
      <c r="C19" s="178"/>
      <c r="D19" s="178"/>
      <c r="E19" s="178"/>
      <c r="F19" s="178"/>
      <c r="G19" s="178"/>
      <c r="H19" s="178"/>
      <c r="I19" s="178"/>
      <c r="J19" s="178"/>
      <c r="K19" s="178"/>
      <c r="L19" s="178"/>
      <c r="M19" s="178"/>
      <c r="N19" s="178"/>
      <c r="O19" s="178"/>
      <c r="P19" s="178"/>
      <c r="Q19" s="178"/>
      <c r="R19" s="178"/>
      <c r="S19" s="178"/>
      <c r="T19" s="1033"/>
      <c r="U19" s="1033"/>
      <c r="V19" s="22"/>
      <c r="W19" s="22"/>
      <c r="X19" s="22"/>
      <c r="Y19" s="22"/>
      <c r="Z19" s="22"/>
      <c r="AA19" s="22"/>
      <c r="AB19" s="20"/>
      <c r="AC19" s="20"/>
      <c r="AD19" s="20"/>
      <c r="AE19" s="20"/>
      <c r="AF19" s="20"/>
      <c r="AG19" s="20"/>
    </row>
    <row r="20" spans="1:37" ht="47.25" outlineLevel="2">
      <c r="A20" s="23" t="s">
        <v>0</v>
      </c>
      <c r="B20" s="23"/>
      <c r="C20" s="24">
        <v>45688</v>
      </c>
      <c r="D20" s="24">
        <v>45716</v>
      </c>
      <c r="E20" s="24">
        <v>45747</v>
      </c>
      <c r="F20" s="24">
        <v>45777</v>
      </c>
      <c r="G20" s="24">
        <v>45777</v>
      </c>
      <c r="H20" s="184">
        <v>45838</v>
      </c>
      <c r="I20" s="24">
        <v>45869</v>
      </c>
      <c r="J20" s="24">
        <v>45900</v>
      </c>
      <c r="K20" s="24">
        <v>45930</v>
      </c>
      <c r="L20" s="24">
        <v>45961</v>
      </c>
      <c r="M20" s="24">
        <v>45991</v>
      </c>
      <c r="N20" s="24">
        <v>46022</v>
      </c>
      <c r="O20" s="426">
        <v>46053</v>
      </c>
      <c r="P20" s="426">
        <v>46081</v>
      </c>
      <c r="Q20" s="426">
        <v>46112</v>
      </c>
      <c r="R20" s="426">
        <v>46142</v>
      </c>
      <c r="S20" s="426">
        <v>46173</v>
      </c>
      <c r="T20" s="184">
        <v>46203</v>
      </c>
      <c r="U20" s="185" t="s">
        <v>1</v>
      </c>
      <c r="V20" s="1080" t="s">
        <v>12</v>
      </c>
      <c r="W20" s="27" t="s">
        <v>10</v>
      </c>
      <c r="X20" s="101" t="s">
        <v>482</v>
      </c>
      <c r="Y20" s="27" t="s">
        <v>62</v>
      </c>
      <c r="Z20" s="185" t="s">
        <v>338</v>
      </c>
      <c r="AA20" s="27" t="s">
        <v>381</v>
      </c>
      <c r="AB20" s="20"/>
      <c r="AC20" s="20"/>
      <c r="AD20" s="20"/>
      <c r="AE20" s="20"/>
      <c r="AF20" s="20"/>
      <c r="AG20" s="20"/>
    </row>
    <row r="21" spans="1:37" ht="15.75" outlineLevel="2">
      <c r="A21" s="1283" t="s">
        <v>2</v>
      </c>
      <c r="B21" s="29" t="s">
        <v>483</v>
      </c>
      <c r="C21" s="404"/>
      <c r="D21" s="404"/>
      <c r="E21" s="404"/>
      <c r="F21" s="404"/>
      <c r="G21" s="404"/>
      <c r="H21" s="31"/>
      <c r="I21" s="404"/>
      <c r="J21" s="404"/>
      <c r="K21" s="404"/>
      <c r="L21" s="404"/>
      <c r="M21" s="404"/>
      <c r="N21" s="404"/>
      <c r="O21" s="1121">
        <v>30</v>
      </c>
      <c r="P21" s="1121">
        <v>28</v>
      </c>
      <c r="Q21" s="1121">
        <v>82</v>
      </c>
      <c r="R21" s="1121">
        <v>31</v>
      </c>
      <c r="S21" s="1121">
        <v>54</v>
      </c>
      <c r="T21" s="1122">
        <v>64.2</v>
      </c>
      <c r="U21" s="1123">
        <v>45.520833333333336</v>
      </c>
      <c r="V21" s="1124">
        <v>90</v>
      </c>
      <c r="W21" s="1125">
        <f>+U21-V21</f>
        <v>-44.479166666666664</v>
      </c>
      <c r="X21" s="1126">
        <f>+U21/V21-1</f>
        <v>-0.49421296296296291</v>
      </c>
      <c r="Y21" s="1126">
        <f>IFERROR(T21/S21-1,100%)</f>
        <v>0.18888888888888888</v>
      </c>
      <c r="Z21" s="30"/>
      <c r="AA21" s="33"/>
      <c r="AB21" s="20"/>
      <c r="AC21" s="20"/>
      <c r="AD21" s="20"/>
      <c r="AE21" s="20"/>
      <c r="AF21" s="20"/>
      <c r="AG21" s="20"/>
    </row>
    <row r="22" spans="1:37" ht="15.75" outlineLevel="2">
      <c r="A22" s="1284"/>
      <c r="B22" s="34" t="s">
        <v>484</v>
      </c>
      <c r="C22" s="35"/>
      <c r="D22" s="35"/>
      <c r="E22" s="35"/>
      <c r="F22" s="35"/>
      <c r="G22" s="35"/>
      <c r="H22" s="119"/>
      <c r="I22" s="35"/>
      <c r="J22" s="35"/>
      <c r="K22" s="35"/>
      <c r="L22" s="35"/>
      <c r="M22" s="35"/>
      <c r="N22" s="35"/>
      <c r="O22" s="428">
        <v>45</v>
      </c>
      <c r="P22" s="428">
        <v>55</v>
      </c>
      <c r="Q22" s="428">
        <v>30</v>
      </c>
      <c r="R22" s="428">
        <v>47</v>
      </c>
      <c r="S22" s="428">
        <v>27</v>
      </c>
      <c r="T22" s="112">
        <v>46.2</v>
      </c>
      <c r="U22" s="175">
        <v>41.5625</v>
      </c>
      <c r="V22" s="1127">
        <v>30</v>
      </c>
      <c r="W22" s="1128">
        <f t="shared" ref="W22:W32" si="1">+U22-V22</f>
        <v>11.5625</v>
      </c>
      <c r="X22" s="1129">
        <f t="shared" ref="X22:X32" si="2">+U22/V22-1</f>
        <v>0.38541666666666674</v>
      </c>
      <c r="Y22" s="1129">
        <f t="shared" ref="Y22:Y32" si="3">IFERROR(T22/S22-1,100%)</f>
        <v>0.71111111111111125</v>
      </c>
      <c r="Z22" s="198"/>
      <c r="AA22" s="37"/>
      <c r="AB22" s="20"/>
      <c r="AC22" s="20"/>
      <c r="AD22" s="20"/>
      <c r="AE22" s="20"/>
      <c r="AF22" s="20"/>
      <c r="AG22" s="20"/>
    </row>
    <row r="23" spans="1:37" ht="15.75" outlineLevel="2">
      <c r="A23" s="1284"/>
      <c r="B23" s="1075" t="s">
        <v>485</v>
      </c>
      <c r="C23" s="38"/>
      <c r="D23" s="38"/>
      <c r="E23" s="38"/>
      <c r="F23" s="38"/>
      <c r="G23" s="38"/>
      <c r="H23" s="120"/>
      <c r="I23" s="38"/>
      <c r="J23" s="38"/>
      <c r="K23" s="38"/>
      <c r="L23" s="38"/>
      <c r="M23" s="38"/>
      <c r="N23" s="38"/>
      <c r="O23" s="431">
        <v>78</v>
      </c>
      <c r="P23" s="431">
        <v>86</v>
      </c>
      <c r="Q23" s="431">
        <v>115</v>
      </c>
      <c r="R23" s="431">
        <v>81</v>
      </c>
      <c r="S23" s="431">
        <v>84</v>
      </c>
      <c r="T23" s="116">
        <v>114.4</v>
      </c>
      <c r="U23" s="335">
        <v>91.083333333333329</v>
      </c>
      <c r="V23" s="364">
        <v>120</v>
      </c>
      <c r="W23" s="1130">
        <f t="shared" si="1"/>
        <v>-28.916666666666671</v>
      </c>
      <c r="X23" s="1131">
        <f t="shared" si="2"/>
        <v>-0.24097222222222225</v>
      </c>
      <c r="Y23" s="1131">
        <f t="shared" si="3"/>
        <v>0.36190476190476195</v>
      </c>
      <c r="Z23" s="199"/>
      <c r="AA23" s="85"/>
      <c r="AB23" s="20"/>
      <c r="AC23" s="20"/>
      <c r="AD23" s="20"/>
      <c r="AE23" s="20"/>
      <c r="AF23" s="20"/>
      <c r="AG23" s="20"/>
    </row>
    <row r="24" spans="1:37" ht="15.75" outlineLevel="2">
      <c r="A24" s="1283" t="s">
        <v>3</v>
      </c>
      <c r="B24" s="29" t="s">
        <v>483</v>
      </c>
      <c r="C24" s="30"/>
      <c r="D24" s="30"/>
      <c r="E24" s="30"/>
      <c r="F24" s="30"/>
      <c r="G24" s="30"/>
      <c r="H24" s="41"/>
      <c r="I24" s="30"/>
      <c r="J24" s="30"/>
      <c r="K24" s="30"/>
      <c r="L24" s="30"/>
      <c r="M24" s="30"/>
      <c r="N24" s="30"/>
      <c r="O24" s="800">
        <v>16</v>
      </c>
      <c r="P24" s="800">
        <v>12</v>
      </c>
      <c r="Q24" s="800">
        <v>27</v>
      </c>
      <c r="R24" s="800">
        <v>51</v>
      </c>
      <c r="S24" s="800">
        <v>86</v>
      </c>
      <c r="T24" s="1132">
        <v>43.714285714285715</v>
      </c>
      <c r="U24" s="1123">
        <v>34.714285714285715</v>
      </c>
      <c r="V24" s="1133">
        <v>90</v>
      </c>
      <c r="W24" s="1125">
        <f t="shared" si="1"/>
        <v>-55.285714285714285</v>
      </c>
      <c r="X24" s="1126">
        <f t="shared" si="2"/>
        <v>-0.61428571428571432</v>
      </c>
      <c r="Y24" s="1126">
        <f t="shared" si="3"/>
        <v>-0.49169435215946844</v>
      </c>
      <c r="Z24" s="40"/>
      <c r="AA24" s="43"/>
      <c r="AB24" s="20"/>
      <c r="AC24" s="20"/>
      <c r="AD24" s="20"/>
      <c r="AE24" s="20"/>
      <c r="AF24" s="20"/>
      <c r="AG24" s="20"/>
    </row>
    <row r="25" spans="1:37" ht="15.75" outlineLevel="2">
      <c r="A25" s="1284"/>
      <c r="B25" s="34" t="s">
        <v>484</v>
      </c>
      <c r="C25" s="35"/>
      <c r="D25" s="35"/>
      <c r="E25" s="35"/>
      <c r="F25" s="35"/>
      <c r="G25" s="35"/>
      <c r="H25" s="119"/>
      <c r="I25" s="35"/>
      <c r="J25" s="35"/>
      <c r="K25" s="35"/>
      <c r="L25" s="35"/>
      <c r="M25" s="35"/>
      <c r="N25" s="35"/>
      <c r="O25" s="428">
        <v>57</v>
      </c>
      <c r="P25" s="428">
        <v>76</v>
      </c>
      <c r="Q25" s="428">
        <v>67</v>
      </c>
      <c r="R25" s="428">
        <v>71</v>
      </c>
      <c r="S25" s="428">
        <v>66</v>
      </c>
      <c r="T25" s="112">
        <v>31.785714285714285</v>
      </c>
      <c r="U25" s="175">
        <v>57.081632653061227</v>
      </c>
      <c r="V25" s="1127">
        <v>35</v>
      </c>
      <c r="W25" s="1128">
        <f t="shared" si="1"/>
        <v>22.081632653061227</v>
      </c>
      <c r="X25" s="1129">
        <f t="shared" si="2"/>
        <v>0.63090379008746367</v>
      </c>
      <c r="Y25" s="1129">
        <f t="shared" si="3"/>
        <v>-0.51839826839826841</v>
      </c>
      <c r="Z25" s="198"/>
      <c r="AA25" s="37"/>
      <c r="AB25" s="20"/>
      <c r="AC25" s="20"/>
      <c r="AD25" s="20"/>
      <c r="AE25" s="20"/>
      <c r="AF25" s="20"/>
      <c r="AG25" s="20"/>
    </row>
    <row r="26" spans="1:37" ht="15.75" outlineLevel="2">
      <c r="A26" s="1286"/>
      <c r="B26" s="1079" t="s">
        <v>485</v>
      </c>
      <c r="C26" s="44"/>
      <c r="D26" s="44"/>
      <c r="E26" s="44"/>
      <c r="F26" s="44"/>
      <c r="G26" s="44"/>
      <c r="H26" s="121"/>
      <c r="I26" s="44"/>
      <c r="J26" s="44"/>
      <c r="K26" s="44"/>
      <c r="L26" s="44"/>
      <c r="M26" s="44"/>
      <c r="N26" s="44"/>
      <c r="O26" s="371">
        <v>75</v>
      </c>
      <c r="P26" s="371">
        <v>91</v>
      </c>
      <c r="Q26" s="371">
        <v>97</v>
      </c>
      <c r="R26" s="371">
        <v>126</v>
      </c>
      <c r="S26" s="371">
        <v>155</v>
      </c>
      <c r="T26" s="114">
        <v>79.5</v>
      </c>
      <c r="U26" s="335">
        <v>95.795918367346943</v>
      </c>
      <c r="V26" s="365">
        <v>125</v>
      </c>
      <c r="W26" s="1130">
        <f t="shared" si="1"/>
        <v>-29.204081632653057</v>
      </c>
      <c r="X26" s="1131">
        <f t="shared" si="2"/>
        <v>-0.23363265306122449</v>
      </c>
      <c r="Y26" s="1131">
        <f t="shared" si="3"/>
        <v>-0.48709677419354835</v>
      </c>
      <c r="Z26" s="200"/>
      <c r="AA26" s="742"/>
      <c r="AB26" s="20"/>
      <c r="AC26" s="20"/>
      <c r="AD26" s="20"/>
      <c r="AE26" s="20"/>
      <c r="AF26" s="20"/>
      <c r="AG26" s="20"/>
    </row>
    <row r="27" spans="1:37" ht="15.75" outlineLevel="2">
      <c r="A27" s="1284" t="s">
        <v>4</v>
      </c>
      <c r="B27" s="34" t="s">
        <v>483</v>
      </c>
      <c r="C27" s="45"/>
      <c r="D27" s="45"/>
      <c r="E27" s="45"/>
      <c r="F27" s="45"/>
      <c r="G27" s="45"/>
      <c r="H27" s="46"/>
      <c r="I27" s="45"/>
      <c r="J27" s="45"/>
      <c r="K27" s="45"/>
      <c r="L27" s="45"/>
      <c r="M27" s="45"/>
      <c r="N27" s="45"/>
      <c r="O27" s="430">
        <v>34</v>
      </c>
      <c r="P27" s="430">
        <v>47</v>
      </c>
      <c r="Q27" s="430">
        <v>81</v>
      </c>
      <c r="R27" s="430">
        <v>79</v>
      </c>
      <c r="S27" s="430">
        <v>69</v>
      </c>
      <c r="T27" s="115">
        <v>35.428571428571431</v>
      </c>
      <c r="U27" s="1123">
        <v>48.05263157894737</v>
      </c>
      <c r="V27" s="1134">
        <v>90</v>
      </c>
      <c r="W27" s="1125">
        <f t="shared" si="1"/>
        <v>-41.94736842105263</v>
      </c>
      <c r="X27" s="1126">
        <f t="shared" si="2"/>
        <v>-0.46608187134502921</v>
      </c>
      <c r="Y27" s="1126">
        <f t="shared" si="3"/>
        <v>-0.48654244306418215</v>
      </c>
      <c r="Z27" s="45"/>
      <c r="AA27" s="47"/>
      <c r="AB27" s="20"/>
      <c r="AC27" s="20"/>
      <c r="AD27" s="20"/>
      <c r="AE27" s="20"/>
      <c r="AF27" s="20"/>
      <c r="AG27" s="20"/>
    </row>
    <row r="28" spans="1:37" ht="15.75" outlineLevel="2">
      <c r="A28" s="1284"/>
      <c r="B28" s="34" t="s">
        <v>484</v>
      </c>
      <c r="C28" s="35"/>
      <c r="D28" s="35"/>
      <c r="E28" s="35"/>
      <c r="F28" s="35"/>
      <c r="G28" s="35"/>
      <c r="H28" s="119"/>
      <c r="I28" s="35"/>
      <c r="J28" s="35"/>
      <c r="K28" s="35"/>
      <c r="L28" s="35"/>
      <c r="M28" s="35"/>
      <c r="N28" s="35"/>
      <c r="O28" s="428">
        <v>31</v>
      </c>
      <c r="P28" s="428">
        <v>8</v>
      </c>
      <c r="Q28" s="428">
        <v>47</v>
      </c>
      <c r="R28" s="428">
        <v>35</v>
      </c>
      <c r="S28" s="428">
        <v>30</v>
      </c>
      <c r="T28" s="112">
        <v>17.571428571428573</v>
      </c>
      <c r="U28" s="175">
        <v>24.315789473684209</v>
      </c>
      <c r="V28" s="1127">
        <v>15</v>
      </c>
      <c r="W28" s="1128">
        <f t="shared" si="1"/>
        <v>9.3157894736842088</v>
      </c>
      <c r="X28" s="1129">
        <f t="shared" si="2"/>
        <v>0.6210526315789473</v>
      </c>
      <c r="Y28" s="1129">
        <f t="shared" si="3"/>
        <v>-0.41428571428571426</v>
      </c>
      <c r="Z28" s="198"/>
      <c r="AA28" s="37"/>
      <c r="AB28" s="20"/>
      <c r="AC28" s="20"/>
      <c r="AD28" s="20"/>
      <c r="AE28" s="20"/>
      <c r="AF28" s="20"/>
      <c r="AG28" s="20"/>
    </row>
    <row r="29" spans="1:37" ht="16.5" outlineLevel="2" thickBot="1">
      <c r="A29" s="1284"/>
      <c r="B29" s="1075" t="s">
        <v>485</v>
      </c>
      <c r="C29" s="38"/>
      <c r="D29" s="38"/>
      <c r="E29" s="38"/>
      <c r="F29" s="38"/>
      <c r="G29" s="38"/>
      <c r="H29" s="120"/>
      <c r="I29" s="38"/>
      <c r="J29" s="38"/>
      <c r="K29" s="38"/>
      <c r="L29" s="38"/>
      <c r="M29" s="38"/>
      <c r="N29" s="38"/>
      <c r="O29" s="431">
        <v>68</v>
      </c>
      <c r="P29" s="431">
        <v>58</v>
      </c>
      <c r="Q29" s="431">
        <v>130</v>
      </c>
      <c r="R29" s="431">
        <v>117</v>
      </c>
      <c r="S29" s="431">
        <v>102</v>
      </c>
      <c r="T29" s="116">
        <v>57</v>
      </c>
      <c r="U29" s="335">
        <v>76.368421052631575</v>
      </c>
      <c r="V29" s="364">
        <v>105</v>
      </c>
      <c r="W29" s="1130">
        <f t="shared" si="1"/>
        <v>-28.631578947368425</v>
      </c>
      <c r="X29" s="1131">
        <f t="shared" si="2"/>
        <v>-0.27268170426065164</v>
      </c>
      <c r="Y29" s="1131">
        <f t="shared" si="3"/>
        <v>-0.44117647058823528</v>
      </c>
      <c r="Z29" s="199"/>
      <c r="AA29" s="85"/>
      <c r="AB29" s="20"/>
      <c r="AC29" s="20"/>
      <c r="AD29" s="20"/>
      <c r="AE29" s="20"/>
      <c r="AF29" s="20"/>
      <c r="AG29" s="20"/>
    </row>
    <row r="30" spans="1:37" ht="15.75" outlineLevel="2">
      <c r="A30" s="438" t="s">
        <v>483</v>
      </c>
      <c r="B30" s="439"/>
      <c r="C30" s="407"/>
      <c r="D30" s="407"/>
      <c r="E30" s="407"/>
      <c r="F30" s="407"/>
      <c r="G30" s="407"/>
      <c r="H30" s="437"/>
      <c r="I30" s="407"/>
      <c r="J30" s="407"/>
      <c r="K30" s="407"/>
      <c r="L30" s="407"/>
      <c r="M30" s="407"/>
      <c r="N30" s="407"/>
      <c r="O30" s="1135">
        <v>25</v>
      </c>
      <c r="P30" s="1135">
        <v>24</v>
      </c>
      <c r="Q30" s="1135">
        <v>53</v>
      </c>
      <c r="R30" s="1135">
        <v>42</v>
      </c>
      <c r="S30" s="1135">
        <v>64</v>
      </c>
      <c r="T30" s="1136">
        <v>45.42307692307692</v>
      </c>
      <c r="U30" s="1137">
        <v>41.370689655172413</v>
      </c>
      <c r="V30" s="1137">
        <v>90</v>
      </c>
      <c r="W30" s="1138">
        <f t="shared" si="1"/>
        <v>-48.629310344827587</v>
      </c>
      <c r="X30" s="1139">
        <f t="shared" si="2"/>
        <v>-0.54032567049808433</v>
      </c>
      <c r="Y30" s="1139">
        <f t="shared" si="3"/>
        <v>-0.29026442307692313</v>
      </c>
      <c r="Z30" s="407"/>
      <c r="AA30" s="152"/>
      <c r="AB30" s="20"/>
      <c r="AC30" s="20"/>
      <c r="AD30" s="20"/>
      <c r="AE30" s="20"/>
      <c r="AF30" s="20"/>
      <c r="AG30" s="20"/>
    </row>
    <row r="31" spans="1:37" s="51" customFormat="1" ht="15.75" outlineLevel="2">
      <c r="A31" s="48" t="s">
        <v>484</v>
      </c>
      <c r="B31" s="49"/>
      <c r="C31" s="201"/>
      <c r="D31" s="201"/>
      <c r="E31" s="201"/>
      <c r="F31" s="201"/>
      <c r="G31" s="201"/>
      <c r="H31" s="340"/>
      <c r="I31" s="201"/>
      <c r="J31" s="201"/>
      <c r="K31" s="201"/>
      <c r="L31" s="201"/>
      <c r="M31" s="201"/>
      <c r="N31" s="201"/>
      <c r="O31" s="172">
        <v>47</v>
      </c>
      <c r="P31" s="172">
        <v>56</v>
      </c>
      <c r="Q31" s="172">
        <v>51</v>
      </c>
      <c r="R31" s="172">
        <v>52</v>
      </c>
      <c r="S31" s="172">
        <v>38</v>
      </c>
      <c r="T31" s="194">
        <v>30.73076923076923</v>
      </c>
      <c r="U31" s="175">
        <v>45.293103448275865</v>
      </c>
      <c r="V31" s="175">
        <v>27</v>
      </c>
      <c r="W31" s="1140">
        <f t="shared" si="1"/>
        <v>18.293103448275865</v>
      </c>
      <c r="X31" s="1141">
        <f t="shared" si="2"/>
        <v>0.67752234993614313</v>
      </c>
      <c r="Y31" s="1141">
        <f t="shared" si="3"/>
        <v>-0.19129554655870451</v>
      </c>
      <c r="Z31" s="201"/>
      <c r="AA31" s="50"/>
      <c r="AB31" s="20"/>
      <c r="AC31" s="20"/>
      <c r="AD31" s="20"/>
      <c r="AE31" s="20"/>
      <c r="AF31" s="20"/>
      <c r="AG31" s="20"/>
      <c r="AH31" s="19"/>
      <c r="AI31" s="19"/>
      <c r="AJ31" s="19"/>
      <c r="AK31" s="19"/>
    </row>
    <row r="32" spans="1:37" ht="15.75" outlineLevel="2">
      <c r="A32" s="441" t="s">
        <v>485</v>
      </c>
      <c r="B32" s="1079"/>
      <c r="C32" s="442"/>
      <c r="D32" s="442"/>
      <c r="E32" s="442"/>
      <c r="F32" s="442"/>
      <c r="G32" s="442"/>
      <c r="H32" s="443"/>
      <c r="I32" s="442"/>
      <c r="J32" s="442"/>
      <c r="K32" s="442"/>
      <c r="L32" s="442"/>
      <c r="M32" s="442"/>
      <c r="N32" s="442"/>
      <c r="O32" s="1142">
        <v>75</v>
      </c>
      <c r="P32" s="1142">
        <v>84</v>
      </c>
      <c r="Q32" s="1142">
        <v>107</v>
      </c>
      <c r="R32" s="1142">
        <v>97</v>
      </c>
      <c r="S32" s="1142">
        <v>106</v>
      </c>
      <c r="T32" s="1143">
        <v>80.15384615384616</v>
      </c>
      <c r="U32" s="444">
        <v>90.66379310344827</v>
      </c>
      <c r="V32" s="444">
        <v>117</v>
      </c>
      <c r="W32" s="1144">
        <f t="shared" si="1"/>
        <v>-26.33620689655173</v>
      </c>
      <c r="X32" s="1145">
        <f t="shared" si="2"/>
        <v>-0.22509578544061304</v>
      </c>
      <c r="Y32" s="1145">
        <f t="shared" si="3"/>
        <v>-0.24383164005805513</v>
      </c>
      <c r="Z32" s="445"/>
      <c r="AA32" s="743"/>
      <c r="AB32" s="20"/>
      <c r="AC32" s="20"/>
      <c r="AD32" s="20"/>
      <c r="AE32" s="20"/>
      <c r="AF32" s="20"/>
      <c r="AG32" s="20"/>
    </row>
    <row r="33" spans="1:40" ht="15.75" outlineLevel="2">
      <c r="A33" s="21" t="s">
        <v>486</v>
      </c>
      <c r="B33" s="1075"/>
      <c r="C33" s="28"/>
      <c r="D33" s="28"/>
      <c r="E33" s="28"/>
      <c r="F33" s="28"/>
      <c r="G33" s="28"/>
      <c r="H33" s="28"/>
      <c r="I33" s="28"/>
      <c r="J33" s="28"/>
      <c r="K33" s="28"/>
      <c r="L33" s="28"/>
      <c r="M33" s="28"/>
      <c r="N33" s="28"/>
      <c r="O33" s="28"/>
      <c r="P33" s="28"/>
      <c r="Q33" s="28"/>
      <c r="R33" s="28"/>
      <c r="S33" s="28"/>
      <c r="T33" s="28"/>
      <c r="U33" s="28"/>
      <c r="V33" s="28"/>
      <c r="W33" s="214"/>
      <c r="X33" s="28"/>
      <c r="Y33" s="28"/>
      <c r="Z33" s="28"/>
      <c r="AA33" s="28"/>
      <c r="AB33" s="20"/>
      <c r="AC33" s="20"/>
      <c r="AD33" s="20"/>
      <c r="AE33" s="20"/>
      <c r="AF33" s="20"/>
      <c r="AG33" s="20"/>
    </row>
    <row r="34" spans="1:40" ht="15.75" outlineLevel="2">
      <c r="A34" s="21" t="s">
        <v>487</v>
      </c>
      <c r="B34" s="1075"/>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52"/>
      <c r="AC34" s="53"/>
      <c r="AD34" s="53"/>
      <c r="AE34" s="53"/>
      <c r="AF34" s="52"/>
      <c r="AG34" s="54"/>
      <c r="AH34" s="55"/>
      <c r="AI34" s="55"/>
      <c r="AJ34" s="55"/>
      <c r="AK34" s="55"/>
    </row>
    <row r="35" spans="1:40" ht="15.75" outlineLevel="2">
      <c r="A35" s="21" t="s">
        <v>488</v>
      </c>
      <c r="B35" s="1075"/>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52"/>
      <c r="AC35" s="53"/>
      <c r="AD35" s="53"/>
      <c r="AE35" s="53"/>
      <c r="AF35" s="52"/>
      <c r="AG35" s="54"/>
      <c r="AH35" s="55"/>
      <c r="AI35" s="55"/>
      <c r="AJ35" s="55"/>
      <c r="AK35" s="55"/>
    </row>
    <row r="36" spans="1:40" outlineLevel="1"/>
    <row r="37" spans="1:40" ht="15.6" customHeight="1" outlineLevel="1">
      <c r="A37" s="168" t="s">
        <v>425</v>
      </c>
      <c r="B37" s="168"/>
      <c r="C37" s="168"/>
      <c r="D37" s="168"/>
      <c r="E37" s="168"/>
      <c r="F37" s="168"/>
      <c r="G37" s="168"/>
      <c r="H37" s="168"/>
      <c r="I37" s="168"/>
      <c r="J37" s="168"/>
      <c r="K37" s="168"/>
      <c r="L37" s="168"/>
      <c r="M37" s="168"/>
      <c r="N37" s="168"/>
      <c r="O37" s="168"/>
      <c r="P37" s="168"/>
      <c r="Q37" s="168"/>
      <c r="R37" s="168"/>
      <c r="S37" s="168"/>
      <c r="T37" s="168"/>
      <c r="U37" s="168"/>
      <c r="V37" s="168"/>
      <c r="W37" s="168"/>
      <c r="X37" s="168"/>
      <c r="Y37" s="168"/>
      <c r="Z37" s="168"/>
      <c r="AA37" s="168"/>
      <c r="AB37" s="168"/>
      <c r="AC37" s="168"/>
      <c r="AD37" s="168"/>
      <c r="AE37" s="168"/>
      <c r="AF37" s="168"/>
      <c r="AG37" s="57"/>
      <c r="AH37" s="20"/>
    </row>
    <row r="38" spans="1:40" ht="15.6" customHeight="1" outlineLevel="2">
      <c r="A38" s="457" t="s">
        <v>427</v>
      </c>
      <c r="B38" s="21"/>
      <c r="C38" s="168"/>
      <c r="D38" s="168"/>
      <c r="E38" s="168"/>
      <c r="F38" s="168"/>
      <c r="G38" s="168"/>
      <c r="H38" s="168"/>
      <c r="I38" s="168"/>
      <c r="J38" s="168"/>
      <c r="K38" s="457"/>
      <c r="L38" s="168"/>
      <c r="M38" s="168"/>
      <c r="N38" s="168"/>
      <c r="O38" s="168"/>
      <c r="P38" s="168"/>
      <c r="Q38" s="168"/>
      <c r="R38" s="168"/>
      <c r="S38" s="168"/>
      <c r="T38" s="1033"/>
      <c r="U38" s="1033"/>
      <c r="V38" s="21"/>
      <c r="W38" s="21"/>
      <c r="X38" s="21"/>
      <c r="Y38" s="21"/>
      <c r="Z38" s="21"/>
      <c r="AA38" s="21"/>
      <c r="AB38" s="21"/>
      <c r="AC38" s="21"/>
      <c r="AD38" s="21"/>
      <c r="AE38" s="21"/>
      <c r="AF38" s="21"/>
      <c r="AG38" s="57"/>
      <c r="AH38" s="20"/>
      <c r="AL38" s="1034"/>
      <c r="AM38" s="1034"/>
    </row>
    <row r="39" spans="1:40" ht="31.5" outlineLevel="2">
      <c r="A39" s="56" t="s">
        <v>0</v>
      </c>
      <c r="C39" s="24">
        <v>45688</v>
      </c>
      <c r="D39" s="24">
        <v>45716</v>
      </c>
      <c r="E39" s="24">
        <v>45747</v>
      </c>
      <c r="F39" s="24">
        <v>45777</v>
      </c>
      <c r="G39" s="24">
        <v>45808</v>
      </c>
      <c r="H39" s="184">
        <v>45838</v>
      </c>
      <c r="I39" s="24">
        <v>45869</v>
      </c>
      <c r="J39" s="24">
        <v>45900</v>
      </c>
      <c r="K39" s="24">
        <v>45930</v>
      </c>
      <c r="L39" s="24">
        <v>45961</v>
      </c>
      <c r="M39" s="24">
        <v>45991</v>
      </c>
      <c r="N39" s="24">
        <v>46022</v>
      </c>
      <c r="O39" s="24">
        <v>46053</v>
      </c>
      <c r="P39" s="24">
        <v>46081</v>
      </c>
      <c r="Q39" s="24">
        <v>46112</v>
      </c>
      <c r="R39" s="24">
        <v>46142</v>
      </c>
      <c r="S39" s="24">
        <v>46173</v>
      </c>
      <c r="T39" s="184">
        <v>46203</v>
      </c>
      <c r="U39" s="185" t="s">
        <v>1</v>
      </c>
      <c r="V39" s="187" t="s">
        <v>13</v>
      </c>
      <c r="W39" s="27" t="s">
        <v>6</v>
      </c>
      <c r="X39" s="26" t="s">
        <v>15</v>
      </c>
      <c r="Y39" s="1080" t="s">
        <v>12</v>
      </c>
      <c r="Z39" s="27" t="s">
        <v>301</v>
      </c>
      <c r="AA39" s="27" t="s">
        <v>62</v>
      </c>
      <c r="AB39" s="185" t="s">
        <v>132</v>
      </c>
      <c r="AC39" s="25" t="s">
        <v>383</v>
      </c>
      <c r="AD39" s="27" t="s">
        <v>7</v>
      </c>
      <c r="AE39" s="101" t="s">
        <v>384</v>
      </c>
      <c r="AF39" s="59" t="s">
        <v>387</v>
      </c>
      <c r="AG39" s="138" t="s">
        <v>11</v>
      </c>
      <c r="AH39" s="139" t="s">
        <v>9</v>
      </c>
      <c r="AI39" s="140" t="s">
        <v>16</v>
      </c>
      <c r="AJ39" s="139" t="s">
        <v>10</v>
      </c>
      <c r="AL39" s="27" t="s">
        <v>159</v>
      </c>
      <c r="AM39" s="27" t="s">
        <v>489</v>
      </c>
    </row>
    <row r="40" spans="1:40" ht="15.75" outlineLevel="2">
      <c r="A40" s="29" t="s">
        <v>2</v>
      </c>
      <c r="B40" s="60"/>
      <c r="C40" s="402">
        <v>5638</v>
      </c>
      <c r="D40" s="402">
        <v>3715</v>
      </c>
      <c r="E40" s="402">
        <v>3194</v>
      </c>
      <c r="F40" s="402">
        <v>3425</v>
      </c>
      <c r="G40" s="402">
        <v>3102</v>
      </c>
      <c r="H40" s="382">
        <v>3170</v>
      </c>
      <c r="I40" s="402">
        <v>3939</v>
      </c>
      <c r="J40" s="402">
        <v>280</v>
      </c>
      <c r="K40" s="402">
        <v>3415</v>
      </c>
      <c r="L40" s="402">
        <v>3986</v>
      </c>
      <c r="M40" s="402">
        <v>5639</v>
      </c>
      <c r="N40" s="402">
        <v>2160</v>
      </c>
      <c r="O40" s="62">
        <v>4264</v>
      </c>
      <c r="P40" s="62">
        <v>2767</v>
      </c>
      <c r="Q40" s="62">
        <v>2252</v>
      </c>
      <c r="R40" s="62">
        <v>3232</v>
      </c>
      <c r="S40" s="62">
        <v>2300</v>
      </c>
      <c r="T40" s="61">
        <v>2003</v>
      </c>
      <c r="U40" s="359">
        <f>SUM(O40:T40)</f>
        <v>16818</v>
      </c>
      <c r="V40" s="62">
        <v>25967</v>
      </c>
      <c r="W40" s="63">
        <f>+U40-V40</f>
        <v>-9149</v>
      </c>
      <c r="X40" s="189">
        <f>IF(U40=0,"",(U40/V40))</f>
        <v>0.64766819424654365</v>
      </c>
      <c r="Y40" s="366">
        <v>0.95</v>
      </c>
      <c r="Z40" s="64">
        <f>+X40/Y40-1</f>
        <v>-0.31824400605626979</v>
      </c>
      <c r="AA40" s="65">
        <f>IFERROR(T40/S40-1,100%)</f>
        <v>-0.12913043478260866</v>
      </c>
      <c r="AB40" s="176">
        <f>SUM(C40:H40)</f>
        <v>22244</v>
      </c>
      <c r="AC40" s="99">
        <v>0.81086393803156809</v>
      </c>
      <c r="AD40" s="65">
        <f>IF(AB40=0,100%,U40/AB40-1)</f>
        <v>-0.24393094767128209</v>
      </c>
      <c r="AE40" s="65">
        <f>+X40-AC40</f>
        <v>-0.16319574378502444</v>
      </c>
      <c r="AF40" s="427">
        <v>-1537</v>
      </c>
      <c r="AG40" s="141"/>
      <c r="AH40" s="142">
        <f>+U40-AG40</f>
        <v>16818</v>
      </c>
      <c r="AI40" s="143">
        <f>IF(AG40=0,0,U40/AG40)</f>
        <v>0</v>
      </c>
      <c r="AJ40" s="144">
        <f>IF(AG40=0,0,+AI40-Y40)</f>
        <v>0</v>
      </c>
      <c r="AL40" s="63">
        <v>-4222</v>
      </c>
      <c r="AM40" s="63">
        <f>+W40-AL40</f>
        <v>-4927</v>
      </c>
      <c r="AN40" s="206"/>
    </row>
    <row r="41" spans="1:40" ht="15.75" outlineLevel="2">
      <c r="A41" s="66" t="s">
        <v>3</v>
      </c>
      <c r="B41" s="67"/>
      <c r="C41" s="403">
        <v>3500</v>
      </c>
      <c r="D41" s="403">
        <v>1499</v>
      </c>
      <c r="E41" s="403">
        <v>1449</v>
      </c>
      <c r="F41" s="403">
        <v>1381</v>
      </c>
      <c r="G41" s="403">
        <v>1487</v>
      </c>
      <c r="H41" s="383">
        <v>1697</v>
      </c>
      <c r="I41" s="403">
        <v>1481</v>
      </c>
      <c r="J41" s="403">
        <v>0</v>
      </c>
      <c r="K41" s="403">
        <v>1459</v>
      </c>
      <c r="L41" s="403">
        <v>2643</v>
      </c>
      <c r="M41" s="403">
        <v>1798</v>
      </c>
      <c r="N41" s="403">
        <v>573</v>
      </c>
      <c r="O41" s="69">
        <v>1812</v>
      </c>
      <c r="P41" s="69">
        <v>1149</v>
      </c>
      <c r="Q41" s="69">
        <v>1162</v>
      </c>
      <c r="R41" s="69">
        <v>961</v>
      </c>
      <c r="S41" s="69">
        <v>1536</v>
      </c>
      <c r="T41" s="68">
        <v>1706</v>
      </c>
      <c r="U41" s="360">
        <f>SUM(O41:T41)</f>
        <v>8326</v>
      </c>
      <c r="V41" s="69">
        <v>9878</v>
      </c>
      <c r="W41" s="70">
        <f t="shared" ref="W41:W43" si="4">+U41-V41</f>
        <v>-1552</v>
      </c>
      <c r="X41" s="190">
        <f t="shared" ref="X41:X43" si="5">IF(U41=0,"",(U41/V41))</f>
        <v>0.84288317473172703</v>
      </c>
      <c r="Y41" s="367">
        <v>0.95</v>
      </c>
      <c r="Z41" s="71">
        <f t="shared" ref="Z41:Z43" si="6">+X41/Y41-1</f>
        <v>-0.11275455291397152</v>
      </c>
      <c r="AA41" s="72">
        <f t="shared" ref="AA41:AA43" si="7">IFERROR(T41/S41-1,100%)</f>
        <v>0.11067708333333326</v>
      </c>
      <c r="AB41" s="98">
        <f t="shared" ref="AB41:AB42" si="8">SUM(C41:H41)</f>
        <v>11013</v>
      </c>
      <c r="AC41" s="100">
        <v>0.97727741137675184</v>
      </c>
      <c r="AD41" s="72">
        <f>IF(AB41=0,100%,U41/AB41-1)</f>
        <v>-0.24398438209388906</v>
      </c>
      <c r="AE41" s="72">
        <f>+X41-AC41</f>
        <v>-0.13439423664502481</v>
      </c>
      <c r="AF41" s="69">
        <v>-605</v>
      </c>
      <c r="AG41" s="145"/>
      <c r="AH41" s="146">
        <f>+U41-AG41</f>
        <v>8326</v>
      </c>
      <c r="AI41" s="147">
        <f>IF(AG41=0,0,U41/AG41)</f>
        <v>0</v>
      </c>
      <c r="AJ41" s="148">
        <f>IF(AG41=0,0,+AI41-Y41)</f>
        <v>0</v>
      </c>
      <c r="AL41" s="70">
        <v>-1321</v>
      </c>
      <c r="AM41" s="70">
        <f t="shared" ref="AM41:AM43" si="9">+W41-AL41</f>
        <v>-231</v>
      </c>
      <c r="AN41" s="206"/>
    </row>
    <row r="42" spans="1:40" ht="16.5" outlineLevel="2" thickBot="1">
      <c r="A42" s="66" t="s">
        <v>4</v>
      </c>
      <c r="B42" s="67"/>
      <c r="C42" s="403">
        <v>4358</v>
      </c>
      <c r="D42" s="403">
        <v>1723</v>
      </c>
      <c r="E42" s="403">
        <v>1283</v>
      </c>
      <c r="F42" s="403">
        <v>664</v>
      </c>
      <c r="G42" s="403">
        <v>1971</v>
      </c>
      <c r="H42" s="384">
        <v>904</v>
      </c>
      <c r="I42" s="403">
        <v>966</v>
      </c>
      <c r="J42" s="403">
        <v>620</v>
      </c>
      <c r="K42" s="403">
        <v>1420</v>
      </c>
      <c r="L42" s="403">
        <v>2182</v>
      </c>
      <c r="M42" s="403">
        <v>1950</v>
      </c>
      <c r="N42" s="403">
        <v>768</v>
      </c>
      <c r="O42" s="69">
        <v>1390</v>
      </c>
      <c r="P42" s="69">
        <v>816</v>
      </c>
      <c r="Q42" s="69">
        <v>877</v>
      </c>
      <c r="R42" s="69">
        <v>1076</v>
      </c>
      <c r="S42" s="69">
        <v>868</v>
      </c>
      <c r="T42" s="68">
        <v>1388</v>
      </c>
      <c r="U42" s="360">
        <f>SUM(O42:T42)</f>
        <v>6415</v>
      </c>
      <c r="V42" s="69">
        <v>11271</v>
      </c>
      <c r="W42" s="70">
        <f t="shared" si="4"/>
        <v>-4856</v>
      </c>
      <c r="X42" s="190">
        <f t="shared" si="5"/>
        <v>0.56915979061307787</v>
      </c>
      <c r="Y42" s="367">
        <v>0.95</v>
      </c>
      <c r="Z42" s="71">
        <f t="shared" si="6"/>
        <v>-0.40088443093360226</v>
      </c>
      <c r="AA42" s="72">
        <f t="shared" si="7"/>
        <v>0.59907834101382496</v>
      </c>
      <c r="AB42" s="98">
        <f t="shared" si="8"/>
        <v>10903</v>
      </c>
      <c r="AC42" s="100">
        <v>0.44674837299890741</v>
      </c>
      <c r="AD42" s="72">
        <f>IF(AB42=0,100%,U42/AB42-1)</f>
        <v>-0.41162982665321468</v>
      </c>
      <c r="AE42" s="72">
        <f>+X42-AC42</f>
        <v>0.12241141761417046</v>
      </c>
      <c r="AF42" s="69">
        <v>-325</v>
      </c>
      <c r="AG42" s="145"/>
      <c r="AH42" s="146">
        <f>+U42-AG42</f>
        <v>6415</v>
      </c>
      <c r="AI42" s="147">
        <f>IF(AG42=0,0,U42/AG42)</f>
        <v>0</v>
      </c>
      <c r="AJ42" s="148">
        <f>IF(AG42=0,0,+AI42-Y42)</f>
        <v>0</v>
      </c>
      <c r="AL42" s="70">
        <v>-4344</v>
      </c>
      <c r="AM42" s="70">
        <f t="shared" si="9"/>
        <v>-512</v>
      </c>
      <c r="AN42" s="206"/>
    </row>
    <row r="43" spans="1:40" ht="15.75" outlineLevel="2">
      <c r="A43" s="153" t="s">
        <v>5</v>
      </c>
      <c r="B43" s="154"/>
      <c r="C43" s="337">
        <f t="shared" ref="C43:V43" si="10">SUM(C40:C42)</f>
        <v>13496</v>
      </c>
      <c r="D43" s="337">
        <f t="shared" si="10"/>
        <v>6937</v>
      </c>
      <c r="E43" s="337">
        <f t="shared" si="10"/>
        <v>5926</v>
      </c>
      <c r="F43" s="337">
        <f t="shared" si="10"/>
        <v>5470</v>
      </c>
      <c r="G43" s="337">
        <f t="shared" si="10"/>
        <v>6560</v>
      </c>
      <c r="H43" s="336">
        <f t="shared" si="10"/>
        <v>5771</v>
      </c>
      <c r="I43" s="337">
        <f t="shared" si="10"/>
        <v>6386</v>
      </c>
      <c r="J43" s="337">
        <f t="shared" si="10"/>
        <v>900</v>
      </c>
      <c r="K43" s="337">
        <f t="shared" si="10"/>
        <v>6294</v>
      </c>
      <c r="L43" s="337">
        <f t="shared" si="10"/>
        <v>8811</v>
      </c>
      <c r="M43" s="337">
        <f t="shared" si="10"/>
        <v>9387</v>
      </c>
      <c r="N43" s="337">
        <f t="shared" si="10"/>
        <v>3501</v>
      </c>
      <c r="O43" s="425">
        <f t="shared" si="10"/>
        <v>7466</v>
      </c>
      <c r="P43" s="425">
        <f t="shared" si="10"/>
        <v>4732</v>
      </c>
      <c r="Q43" s="425">
        <f t="shared" si="10"/>
        <v>4291</v>
      </c>
      <c r="R43" s="425">
        <f t="shared" si="10"/>
        <v>5269</v>
      </c>
      <c r="S43" s="425">
        <f>SUM(S40:S42)</f>
        <v>4704</v>
      </c>
      <c r="T43" s="186">
        <f t="shared" si="10"/>
        <v>5097</v>
      </c>
      <c r="U43" s="154">
        <f t="shared" si="10"/>
        <v>31559</v>
      </c>
      <c r="V43" s="156">
        <f t="shared" si="10"/>
        <v>47116</v>
      </c>
      <c r="W43" s="157">
        <f t="shared" si="4"/>
        <v>-15557</v>
      </c>
      <c r="X43" s="188">
        <f t="shared" si="5"/>
        <v>0.66981492486628746</v>
      </c>
      <c r="Y43" s="368">
        <v>0.95</v>
      </c>
      <c r="Z43" s="158">
        <f t="shared" si="6"/>
        <v>-0.29493165803548682</v>
      </c>
      <c r="AA43" s="159">
        <f t="shared" si="7"/>
        <v>8.3545918367347038E-2</v>
      </c>
      <c r="AB43" s="155">
        <f>SUM(AB40:AB42)</f>
        <v>44160</v>
      </c>
      <c r="AC43" s="191">
        <v>0.70367876978678545</v>
      </c>
      <c r="AD43" s="159">
        <f>IF(AB43=0,100%,U43/AB43-1)</f>
        <v>-0.28534873188405796</v>
      </c>
      <c r="AE43" s="159">
        <f>+X43-AC43</f>
        <v>-3.3863844920497987E-2</v>
      </c>
      <c r="AF43" s="156">
        <f>SUM(AF40:AF42)</f>
        <v>-2467</v>
      </c>
      <c r="AG43" s="160">
        <f>SUM(AG40:AG42)</f>
        <v>0</v>
      </c>
      <c r="AH43" s="161">
        <f>+U43-AG43</f>
        <v>31559</v>
      </c>
      <c r="AI43" s="162">
        <f>IF(AG43=0,0,U43/AG43)</f>
        <v>0</v>
      </c>
      <c r="AJ43" s="163">
        <f>IF(AG43=0,0,+AI43-Y43)</f>
        <v>0</v>
      </c>
      <c r="AL43" s="157">
        <f>SUM(AL40:AL42)</f>
        <v>-9887</v>
      </c>
      <c r="AM43" s="157">
        <f t="shared" si="9"/>
        <v>-5670</v>
      </c>
      <c r="AN43" s="206"/>
    </row>
    <row r="44" spans="1:40" ht="13.9" customHeight="1" outlineLevel="2">
      <c r="A44" s="21" t="s">
        <v>58</v>
      </c>
      <c r="B44" s="73"/>
      <c r="C44" s="52"/>
      <c r="D44" s="52"/>
      <c r="E44" s="52"/>
      <c r="F44" s="52"/>
      <c r="G44" s="52"/>
      <c r="H44" s="52"/>
      <c r="I44" s="24"/>
      <c r="J44" s="24"/>
      <c r="K44" s="24"/>
      <c r="L44" s="24"/>
      <c r="M44" s="24"/>
      <c r="N44" s="24"/>
      <c r="O44" s="24"/>
      <c r="P44" s="24"/>
      <c r="Q44" s="24"/>
      <c r="R44" s="24"/>
      <c r="S44" s="24"/>
      <c r="V44" s="52"/>
      <c r="W44" s="215">
        <f>+W43/V43</f>
        <v>-0.33018507513371254</v>
      </c>
      <c r="X44" s="215"/>
      <c r="Y44" s="52"/>
      <c r="Z44" s="215"/>
      <c r="AA44" s="52"/>
      <c r="AB44" s="74"/>
      <c r="AC44" s="52"/>
      <c r="AD44" s="74"/>
      <c r="AE44" s="74"/>
      <c r="AF44" s="75"/>
      <c r="AG44" s="76"/>
      <c r="AH44" s="77"/>
    </row>
    <row r="45" spans="1:40" ht="13.9" customHeight="1" outlineLevel="1">
      <c r="AC45" s="57"/>
      <c r="AF45" s="57"/>
      <c r="AG45" s="57"/>
    </row>
    <row r="46" spans="1:40" ht="14.45" customHeight="1" outlineLevel="1">
      <c r="A46" s="168" t="s">
        <v>431</v>
      </c>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row>
    <row r="47" spans="1:40" ht="13.9" customHeight="1" outlineLevel="2">
      <c r="A47" s="457" t="s">
        <v>430</v>
      </c>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row>
    <row r="48" spans="1:40" ht="13.9" customHeight="1" outlineLevel="2">
      <c r="A48" s="20" t="s">
        <v>35</v>
      </c>
      <c r="B48" s="20"/>
      <c r="C48" s="21"/>
      <c r="D48" s="21"/>
      <c r="E48" s="21"/>
      <c r="F48" s="21"/>
      <c r="G48" s="21"/>
      <c r="H48" s="21"/>
      <c r="I48" s="21"/>
      <c r="J48" s="21"/>
      <c r="K48" s="21"/>
      <c r="L48" s="21"/>
      <c r="M48" s="21"/>
      <c r="N48" s="21"/>
      <c r="O48" s="21"/>
      <c r="P48" s="21"/>
      <c r="Q48" s="21"/>
      <c r="R48" s="21"/>
      <c r="S48" s="21"/>
      <c r="T48" s="21"/>
      <c r="U48" s="20"/>
      <c r="V48" s="20"/>
      <c r="W48" s="20"/>
      <c r="X48" s="20"/>
      <c r="Y48" s="20"/>
      <c r="Z48" s="20"/>
      <c r="AA48" s="20"/>
      <c r="AB48" s="20"/>
      <c r="AC48" s="20"/>
      <c r="AD48" s="20"/>
      <c r="AE48" s="20"/>
      <c r="AF48" s="20"/>
      <c r="AG48" s="20"/>
    </row>
    <row r="49" spans="1:37" ht="13.9" customHeight="1" outlineLevel="2">
      <c r="A49" s="22" t="s">
        <v>429</v>
      </c>
      <c r="B49" s="58"/>
      <c r="C49" s="21"/>
      <c r="D49" s="21"/>
      <c r="E49" s="21"/>
      <c r="F49" s="21"/>
      <c r="G49" s="21"/>
      <c r="H49" s="21"/>
      <c r="I49" s="21"/>
      <c r="J49" s="21"/>
      <c r="K49" s="21"/>
      <c r="L49" s="21"/>
      <c r="M49" s="21"/>
      <c r="N49" s="21"/>
      <c r="O49" s="21"/>
      <c r="P49" s="21"/>
      <c r="Q49" s="21"/>
      <c r="R49" s="21"/>
      <c r="S49" s="21"/>
      <c r="T49" s="1033"/>
      <c r="U49" s="1033"/>
      <c r="V49" s="58"/>
      <c r="W49" s="58"/>
      <c r="X49" s="58"/>
      <c r="Y49" s="58"/>
      <c r="Z49" s="20"/>
      <c r="AA49" s="20"/>
      <c r="AB49" s="20"/>
      <c r="AC49" s="20"/>
      <c r="AD49" s="20"/>
      <c r="AE49" s="20"/>
      <c r="AF49" s="20"/>
      <c r="AG49" s="20"/>
    </row>
    <row r="50" spans="1:37" ht="31.5" outlineLevel="2">
      <c r="A50" s="23" t="s">
        <v>0</v>
      </c>
      <c r="C50" s="24">
        <v>45688</v>
      </c>
      <c r="D50" s="24">
        <v>45716</v>
      </c>
      <c r="E50" s="24">
        <v>45747</v>
      </c>
      <c r="F50" s="24">
        <v>45777</v>
      </c>
      <c r="G50" s="24">
        <v>45808</v>
      </c>
      <c r="H50" s="184">
        <v>45838</v>
      </c>
      <c r="I50" s="24">
        <v>45869</v>
      </c>
      <c r="J50" s="24">
        <v>45900</v>
      </c>
      <c r="K50" s="24">
        <v>45930</v>
      </c>
      <c r="L50" s="24">
        <v>45961</v>
      </c>
      <c r="M50" s="24">
        <v>45991</v>
      </c>
      <c r="N50" s="24">
        <v>46022</v>
      </c>
      <c r="O50" s="426">
        <v>46053</v>
      </c>
      <c r="P50" s="426">
        <v>46081</v>
      </c>
      <c r="Q50" s="426">
        <v>46112</v>
      </c>
      <c r="R50" s="426">
        <v>46142</v>
      </c>
      <c r="S50" s="426">
        <v>46173</v>
      </c>
      <c r="T50" s="184">
        <v>46203</v>
      </c>
      <c r="U50" s="185" t="s">
        <v>1</v>
      </c>
      <c r="V50" s="1080" t="s">
        <v>12</v>
      </c>
      <c r="W50" s="27" t="s">
        <v>10</v>
      </c>
      <c r="X50" s="185" t="s">
        <v>338</v>
      </c>
      <c r="Y50" s="27" t="s">
        <v>381</v>
      </c>
      <c r="AA50" s="20"/>
      <c r="AB50" s="20"/>
      <c r="AC50" s="20"/>
      <c r="AD50" s="20"/>
      <c r="AE50" s="20"/>
      <c r="AF50" s="20"/>
      <c r="AG50" s="20"/>
    </row>
    <row r="51" spans="1:37" ht="15.75" outlineLevel="3">
      <c r="A51" s="1278" t="s">
        <v>2</v>
      </c>
      <c r="B51" s="78" t="s">
        <v>284</v>
      </c>
      <c r="C51" s="408">
        <f t="shared" ref="C51:T51" si="11">+C40</f>
        <v>5638</v>
      </c>
      <c r="D51" s="408">
        <f t="shared" si="11"/>
        <v>3715</v>
      </c>
      <c r="E51" s="408">
        <f t="shared" si="11"/>
        <v>3194</v>
      </c>
      <c r="F51" s="408">
        <f t="shared" si="11"/>
        <v>3425</v>
      </c>
      <c r="G51" s="408">
        <f t="shared" si="11"/>
        <v>3102</v>
      </c>
      <c r="H51" s="376">
        <f t="shared" si="11"/>
        <v>3170</v>
      </c>
      <c r="I51" s="408">
        <f t="shared" si="11"/>
        <v>3939</v>
      </c>
      <c r="J51" s="408">
        <f t="shared" si="11"/>
        <v>280</v>
      </c>
      <c r="K51" s="408">
        <f t="shared" si="11"/>
        <v>3415</v>
      </c>
      <c r="L51" s="408">
        <f t="shared" si="11"/>
        <v>3986</v>
      </c>
      <c r="M51" s="408">
        <f t="shared" si="11"/>
        <v>5639</v>
      </c>
      <c r="N51" s="408">
        <f t="shared" si="11"/>
        <v>2160</v>
      </c>
      <c r="O51" s="427">
        <f t="shared" si="11"/>
        <v>4264</v>
      </c>
      <c r="P51" s="427">
        <f t="shared" si="11"/>
        <v>2767</v>
      </c>
      <c r="Q51" s="427">
        <f t="shared" si="11"/>
        <v>2252</v>
      </c>
      <c r="R51" s="427">
        <f t="shared" si="11"/>
        <v>3232</v>
      </c>
      <c r="S51" s="427">
        <f t="shared" si="11"/>
        <v>2300</v>
      </c>
      <c r="T51" s="111">
        <f t="shared" si="11"/>
        <v>2003</v>
      </c>
      <c r="U51" s="361">
        <f>SUM(O51:T51)</f>
        <v>16818</v>
      </c>
      <c r="V51" s="79"/>
      <c r="W51" s="80"/>
      <c r="X51" s="103">
        <v>41663</v>
      </c>
      <c r="Y51" s="81"/>
      <c r="AA51" s="20"/>
      <c r="AB51" s="20"/>
      <c r="AC51" s="20"/>
      <c r="AD51" s="20"/>
      <c r="AE51" s="20"/>
      <c r="AF51" s="20"/>
      <c r="AG51" s="20"/>
    </row>
    <row r="52" spans="1:37" ht="15.75" outlineLevel="3">
      <c r="A52" s="1279"/>
      <c r="B52" s="82" t="s">
        <v>282</v>
      </c>
      <c r="C52" s="198">
        <v>0</v>
      </c>
      <c r="D52" s="198">
        <v>0</v>
      </c>
      <c r="E52" s="198">
        <v>0</v>
      </c>
      <c r="F52" s="198">
        <v>0</v>
      </c>
      <c r="G52" s="198">
        <v>5</v>
      </c>
      <c r="H52" s="377">
        <v>0</v>
      </c>
      <c r="I52" s="198">
        <v>0</v>
      </c>
      <c r="J52" s="198">
        <v>0</v>
      </c>
      <c r="K52" s="198">
        <v>16</v>
      </c>
      <c r="L52" s="198">
        <v>0</v>
      </c>
      <c r="M52" s="198">
        <v>1</v>
      </c>
      <c r="N52" s="198">
        <v>0</v>
      </c>
      <c r="O52" s="428">
        <v>0</v>
      </c>
      <c r="P52" s="428">
        <v>0</v>
      </c>
      <c r="Q52" s="428">
        <v>0</v>
      </c>
      <c r="R52" s="428">
        <v>0</v>
      </c>
      <c r="S52" s="428">
        <v>0</v>
      </c>
      <c r="T52" s="112">
        <v>0</v>
      </c>
      <c r="U52" s="172">
        <f>SUM(O52:T52)</f>
        <v>0</v>
      </c>
      <c r="V52" s="83"/>
      <c r="W52" s="84"/>
      <c r="X52" s="104">
        <v>22</v>
      </c>
      <c r="Y52" s="85"/>
      <c r="AA52" s="20"/>
      <c r="AB52" s="20"/>
      <c r="AC52" s="20"/>
      <c r="AD52" s="20"/>
      <c r="AE52" s="20"/>
      <c r="AF52" s="20"/>
      <c r="AG52" s="20"/>
    </row>
    <row r="53" spans="1:37" ht="15.75" outlineLevel="3">
      <c r="A53" s="1279"/>
      <c r="B53" s="86" t="s">
        <v>227</v>
      </c>
      <c r="C53" s="409">
        <f t="shared" ref="C53:T53" si="12">IF(C51=0,0,C52/C51)</f>
        <v>0</v>
      </c>
      <c r="D53" s="409">
        <f t="shared" si="12"/>
        <v>0</v>
      </c>
      <c r="E53" s="409">
        <f t="shared" si="12"/>
        <v>0</v>
      </c>
      <c r="F53" s="409">
        <f t="shared" si="12"/>
        <v>0</v>
      </c>
      <c r="G53" s="409">
        <f t="shared" si="12"/>
        <v>1.6118633139909735E-3</v>
      </c>
      <c r="H53" s="378">
        <f t="shared" si="12"/>
        <v>0</v>
      </c>
      <c r="I53" s="409">
        <f t="shared" si="12"/>
        <v>0</v>
      </c>
      <c r="J53" s="409">
        <f t="shared" si="12"/>
        <v>0</v>
      </c>
      <c r="K53" s="409">
        <f t="shared" si="12"/>
        <v>4.685212298682284E-3</v>
      </c>
      <c r="L53" s="409">
        <f t="shared" si="12"/>
        <v>0</v>
      </c>
      <c r="M53" s="409">
        <f t="shared" si="12"/>
        <v>1.7733640716439085E-4</v>
      </c>
      <c r="N53" s="409">
        <f t="shared" si="12"/>
        <v>0</v>
      </c>
      <c r="O53" s="429">
        <f t="shared" si="12"/>
        <v>0</v>
      </c>
      <c r="P53" s="429">
        <f t="shared" si="12"/>
        <v>0</v>
      </c>
      <c r="Q53" s="429">
        <f t="shared" si="12"/>
        <v>0</v>
      </c>
      <c r="R53" s="429">
        <f t="shared" si="12"/>
        <v>0</v>
      </c>
      <c r="S53" s="429">
        <f t="shared" si="12"/>
        <v>0</v>
      </c>
      <c r="T53" s="113">
        <f t="shared" si="12"/>
        <v>0</v>
      </c>
      <c r="U53" s="173">
        <f>+U52/U51</f>
        <v>0</v>
      </c>
      <c r="V53" s="83">
        <v>5.0000000000000001E-3</v>
      </c>
      <c r="W53" s="84">
        <f>U53-V53</f>
        <v>-5.0000000000000001E-3</v>
      </c>
      <c r="X53" s="170">
        <v>5.2804646808919187E-4</v>
      </c>
      <c r="Y53" s="85">
        <f>IFERROR((U53/X53)-1,0)</f>
        <v>-1</v>
      </c>
      <c r="AA53" s="20"/>
      <c r="AB53" s="20"/>
      <c r="AC53" s="20"/>
      <c r="AD53" s="20"/>
      <c r="AE53" s="20"/>
      <c r="AF53" s="20"/>
      <c r="AG53" s="20"/>
    </row>
    <row r="54" spans="1:37" ht="15.75" outlineLevel="3">
      <c r="A54" s="1280"/>
      <c r="B54" s="87" t="s">
        <v>35</v>
      </c>
      <c r="C54" s="200">
        <v>0</v>
      </c>
      <c r="D54" s="200">
        <v>0</v>
      </c>
      <c r="E54" s="200">
        <v>0</v>
      </c>
      <c r="F54" s="200">
        <v>0</v>
      </c>
      <c r="G54" s="200">
        <v>1</v>
      </c>
      <c r="H54" s="379">
        <v>0</v>
      </c>
      <c r="I54" s="200">
        <v>0</v>
      </c>
      <c r="J54" s="200">
        <v>0</v>
      </c>
      <c r="K54" s="200">
        <v>2</v>
      </c>
      <c r="L54" s="200">
        <v>0</v>
      </c>
      <c r="M54" s="200">
        <v>2</v>
      </c>
      <c r="N54" s="200">
        <v>0</v>
      </c>
      <c r="O54" s="371">
        <v>0</v>
      </c>
      <c r="P54" s="371">
        <v>0</v>
      </c>
      <c r="Q54" s="371">
        <v>0</v>
      </c>
      <c r="R54" s="371">
        <v>0</v>
      </c>
      <c r="S54" s="371">
        <v>0</v>
      </c>
      <c r="T54" s="114">
        <v>0</v>
      </c>
      <c r="U54" s="174">
        <f>SUM(O54:T54)</f>
        <v>0</v>
      </c>
      <c r="V54" s="88"/>
      <c r="W54" s="89"/>
      <c r="X54" s="105">
        <v>5</v>
      </c>
      <c r="Y54" s="94">
        <f>+U54-X54</f>
        <v>-5</v>
      </c>
      <c r="AA54" s="20"/>
      <c r="AB54" s="20"/>
      <c r="AC54" s="20"/>
      <c r="AD54" s="20"/>
      <c r="AE54" s="20"/>
      <c r="AF54" s="20"/>
      <c r="AG54" s="20"/>
    </row>
    <row r="55" spans="1:37" ht="15.75" outlineLevel="3">
      <c r="A55" s="1281" t="s">
        <v>3</v>
      </c>
      <c r="B55" s="90" t="s">
        <v>284</v>
      </c>
      <c r="C55" s="410">
        <f t="shared" ref="C55:T55" si="13">+C41</f>
        <v>3500</v>
      </c>
      <c r="D55" s="410">
        <f t="shared" si="13"/>
        <v>1499</v>
      </c>
      <c r="E55" s="410">
        <f t="shared" si="13"/>
        <v>1449</v>
      </c>
      <c r="F55" s="410">
        <f t="shared" si="13"/>
        <v>1381</v>
      </c>
      <c r="G55" s="410">
        <f t="shared" si="13"/>
        <v>1487</v>
      </c>
      <c r="H55" s="380">
        <f t="shared" si="13"/>
        <v>1697</v>
      </c>
      <c r="I55" s="410">
        <f t="shared" si="13"/>
        <v>1481</v>
      </c>
      <c r="J55" s="410">
        <f t="shared" si="13"/>
        <v>0</v>
      </c>
      <c r="K55" s="410">
        <f t="shared" si="13"/>
        <v>1459</v>
      </c>
      <c r="L55" s="410">
        <f t="shared" si="13"/>
        <v>2643</v>
      </c>
      <c r="M55" s="410">
        <f t="shared" si="13"/>
        <v>1798</v>
      </c>
      <c r="N55" s="410">
        <f t="shared" si="13"/>
        <v>573</v>
      </c>
      <c r="O55" s="430">
        <f t="shared" si="13"/>
        <v>1812</v>
      </c>
      <c r="P55" s="430">
        <f t="shared" si="13"/>
        <v>1149</v>
      </c>
      <c r="Q55" s="430">
        <f t="shared" si="13"/>
        <v>1162</v>
      </c>
      <c r="R55" s="430">
        <f t="shared" si="13"/>
        <v>961</v>
      </c>
      <c r="S55" s="430">
        <f t="shared" si="13"/>
        <v>1536</v>
      </c>
      <c r="T55" s="115">
        <f t="shared" si="13"/>
        <v>1706</v>
      </c>
      <c r="U55" s="361">
        <f>SUM(O55:T55)</f>
        <v>8326</v>
      </c>
      <c r="V55" s="91"/>
      <c r="W55" s="90"/>
      <c r="X55" s="106">
        <v>18967</v>
      </c>
      <c r="Y55" s="78"/>
      <c r="AA55" s="20"/>
      <c r="AB55" s="20"/>
      <c r="AC55" s="20"/>
      <c r="AD55" s="20"/>
      <c r="AE55" s="20"/>
      <c r="AF55" s="20"/>
      <c r="AG55" s="20"/>
    </row>
    <row r="56" spans="1:37" ht="15.75" outlineLevel="3">
      <c r="A56" s="1279"/>
      <c r="B56" s="82" t="s">
        <v>282</v>
      </c>
      <c r="C56" s="198">
        <v>0</v>
      </c>
      <c r="D56" s="198">
        <v>0</v>
      </c>
      <c r="E56" s="198">
        <v>0</v>
      </c>
      <c r="F56" s="198">
        <v>0</v>
      </c>
      <c r="G56" s="198">
        <v>0</v>
      </c>
      <c r="H56" s="377">
        <v>0</v>
      </c>
      <c r="I56" s="198">
        <v>0</v>
      </c>
      <c r="J56" s="198">
        <v>0</v>
      </c>
      <c r="K56" s="198">
        <v>0</v>
      </c>
      <c r="L56" s="198">
        <v>0</v>
      </c>
      <c r="M56" s="198">
        <v>0</v>
      </c>
      <c r="N56" s="198">
        <v>0</v>
      </c>
      <c r="O56" s="428">
        <v>0</v>
      </c>
      <c r="P56" s="428">
        <v>0</v>
      </c>
      <c r="Q56" s="428">
        <v>0</v>
      </c>
      <c r="R56" s="428">
        <v>40</v>
      </c>
      <c r="S56" s="428">
        <v>0</v>
      </c>
      <c r="T56" s="112">
        <v>0</v>
      </c>
      <c r="U56" s="172">
        <f>SUM(O56:T56)</f>
        <v>40</v>
      </c>
      <c r="V56" s="84"/>
      <c r="W56" s="82"/>
      <c r="X56" s="104">
        <v>0</v>
      </c>
      <c r="Y56" s="82"/>
      <c r="AA56" s="20"/>
      <c r="AB56" s="20"/>
      <c r="AC56" s="20"/>
      <c r="AD56" s="20"/>
      <c r="AE56" s="20"/>
      <c r="AF56" s="20"/>
      <c r="AG56" s="20"/>
    </row>
    <row r="57" spans="1:37" ht="15.75" outlineLevel="3">
      <c r="A57" s="1279"/>
      <c r="B57" s="86" t="s">
        <v>227</v>
      </c>
      <c r="C57" s="409">
        <f t="shared" ref="C57:T57" si="14">IF(C55=0,0,C56/C55)</f>
        <v>0</v>
      </c>
      <c r="D57" s="409">
        <f t="shared" si="14"/>
        <v>0</v>
      </c>
      <c r="E57" s="409">
        <f t="shared" si="14"/>
        <v>0</v>
      </c>
      <c r="F57" s="409">
        <f t="shared" si="14"/>
        <v>0</v>
      </c>
      <c r="G57" s="409">
        <f t="shared" si="14"/>
        <v>0</v>
      </c>
      <c r="H57" s="378">
        <f t="shared" si="14"/>
        <v>0</v>
      </c>
      <c r="I57" s="409">
        <f t="shared" si="14"/>
        <v>0</v>
      </c>
      <c r="J57" s="409">
        <f t="shared" si="14"/>
        <v>0</v>
      </c>
      <c r="K57" s="409">
        <f t="shared" si="14"/>
        <v>0</v>
      </c>
      <c r="L57" s="409">
        <f t="shared" si="14"/>
        <v>0</v>
      </c>
      <c r="M57" s="409">
        <f t="shared" si="14"/>
        <v>0</v>
      </c>
      <c r="N57" s="409">
        <f t="shared" si="14"/>
        <v>0</v>
      </c>
      <c r="O57" s="429">
        <f t="shared" si="14"/>
        <v>0</v>
      </c>
      <c r="P57" s="429">
        <f t="shared" si="14"/>
        <v>0</v>
      </c>
      <c r="Q57" s="429">
        <f t="shared" si="14"/>
        <v>0</v>
      </c>
      <c r="R57" s="429">
        <f t="shared" si="14"/>
        <v>4.1623309053069719E-2</v>
      </c>
      <c r="S57" s="429">
        <f t="shared" si="14"/>
        <v>0</v>
      </c>
      <c r="T57" s="113">
        <f t="shared" si="14"/>
        <v>0</v>
      </c>
      <c r="U57" s="173">
        <f>+U56/U55</f>
        <v>4.8042277203939471E-3</v>
      </c>
      <c r="V57" s="83">
        <v>5.0000000000000001E-3</v>
      </c>
      <c r="W57" s="84">
        <f>U57-V57</f>
        <v>-1.9577227960605303E-4</v>
      </c>
      <c r="X57" s="170">
        <v>0</v>
      </c>
      <c r="Y57" s="85">
        <f>IFERROR((U57/X57)-1,0)</f>
        <v>0</v>
      </c>
      <c r="AA57" s="20"/>
      <c r="AB57" s="20"/>
      <c r="AC57" s="20"/>
      <c r="AD57" s="20"/>
      <c r="AE57" s="20"/>
      <c r="AF57" s="20"/>
      <c r="AG57" s="20"/>
    </row>
    <row r="58" spans="1:37" ht="15.75" outlineLevel="3">
      <c r="A58" s="1282"/>
      <c r="B58" s="92" t="s">
        <v>35</v>
      </c>
      <c r="C58" s="199">
        <v>0</v>
      </c>
      <c r="D58" s="199">
        <v>0</v>
      </c>
      <c r="E58" s="199">
        <v>0</v>
      </c>
      <c r="F58" s="199">
        <v>0</v>
      </c>
      <c r="G58" s="199">
        <v>0</v>
      </c>
      <c r="H58" s="381">
        <v>0</v>
      </c>
      <c r="I58" s="199">
        <v>0</v>
      </c>
      <c r="J58" s="199">
        <v>0</v>
      </c>
      <c r="K58" s="199">
        <v>0</v>
      </c>
      <c r="L58" s="199">
        <v>0</v>
      </c>
      <c r="M58" s="199">
        <v>0</v>
      </c>
      <c r="N58" s="199">
        <v>0</v>
      </c>
      <c r="O58" s="431">
        <v>0</v>
      </c>
      <c r="P58" s="431">
        <v>0</v>
      </c>
      <c r="Q58" s="431">
        <v>0</v>
      </c>
      <c r="R58" s="431">
        <v>1</v>
      </c>
      <c r="S58" s="431">
        <v>0</v>
      </c>
      <c r="T58" s="116">
        <v>0</v>
      </c>
      <c r="U58" s="174">
        <f>SUM(O58:T58)</f>
        <v>1</v>
      </c>
      <c r="V58" s="93"/>
      <c r="W58" s="94"/>
      <c r="X58" s="107">
        <v>0</v>
      </c>
      <c r="Y58" s="94">
        <f>+U58-X58</f>
        <v>1</v>
      </c>
      <c r="AA58" s="20"/>
      <c r="AB58" s="20"/>
      <c r="AC58" s="20"/>
      <c r="AD58" s="20"/>
      <c r="AE58" s="20"/>
      <c r="AF58" s="20"/>
      <c r="AG58" s="20"/>
    </row>
    <row r="59" spans="1:37" ht="15.75" outlineLevel="3">
      <c r="A59" s="1278" t="s">
        <v>4</v>
      </c>
      <c r="B59" s="78" t="s">
        <v>284</v>
      </c>
      <c r="C59" s="408">
        <f t="shared" ref="C59:T59" si="15">+C42</f>
        <v>4358</v>
      </c>
      <c r="D59" s="408">
        <f t="shared" si="15"/>
        <v>1723</v>
      </c>
      <c r="E59" s="408">
        <f t="shared" si="15"/>
        <v>1283</v>
      </c>
      <c r="F59" s="408">
        <f t="shared" si="15"/>
        <v>664</v>
      </c>
      <c r="G59" s="408">
        <f t="shared" si="15"/>
        <v>1971</v>
      </c>
      <c r="H59" s="376">
        <f t="shared" si="15"/>
        <v>904</v>
      </c>
      <c r="I59" s="408">
        <f t="shared" si="15"/>
        <v>966</v>
      </c>
      <c r="J59" s="408">
        <f t="shared" si="15"/>
        <v>620</v>
      </c>
      <c r="K59" s="408">
        <f t="shared" si="15"/>
        <v>1420</v>
      </c>
      <c r="L59" s="408">
        <f t="shared" si="15"/>
        <v>2182</v>
      </c>
      <c r="M59" s="408">
        <f t="shared" si="15"/>
        <v>1950</v>
      </c>
      <c r="N59" s="408">
        <f t="shared" si="15"/>
        <v>768</v>
      </c>
      <c r="O59" s="427">
        <f t="shared" si="15"/>
        <v>1390</v>
      </c>
      <c r="P59" s="427">
        <f t="shared" si="15"/>
        <v>816</v>
      </c>
      <c r="Q59" s="427">
        <f t="shared" si="15"/>
        <v>877</v>
      </c>
      <c r="R59" s="427">
        <f t="shared" si="15"/>
        <v>1076</v>
      </c>
      <c r="S59" s="427">
        <f t="shared" si="15"/>
        <v>868</v>
      </c>
      <c r="T59" s="111">
        <f t="shared" si="15"/>
        <v>1388</v>
      </c>
      <c r="U59" s="361">
        <f>SUM(O59:T59)</f>
        <v>6415</v>
      </c>
      <c r="V59" s="80"/>
      <c r="W59" s="78"/>
      <c r="X59" s="103">
        <v>18809</v>
      </c>
      <c r="Y59" s="78"/>
      <c r="AA59" s="20"/>
      <c r="AB59" s="20"/>
      <c r="AC59" s="20"/>
      <c r="AD59" s="20"/>
      <c r="AE59" s="20"/>
      <c r="AF59" s="20"/>
      <c r="AG59" s="20"/>
    </row>
    <row r="60" spans="1:37" ht="15.75" outlineLevel="3">
      <c r="A60" s="1279"/>
      <c r="B60" s="82" t="s">
        <v>282</v>
      </c>
      <c r="C60" s="198">
        <v>1</v>
      </c>
      <c r="D60" s="198">
        <v>1</v>
      </c>
      <c r="E60" s="198">
        <v>0</v>
      </c>
      <c r="F60" s="198">
        <v>0</v>
      </c>
      <c r="G60" s="198">
        <v>3</v>
      </c>
      <c r="H60" s="377">
        <v>0</v>
      </c>
      <c r="I60" s="198">
        <v>0</v>
      </c>
      <c r="J60" s="198">
        <v>0</v>
      </c>
      <c r="K60" s="198">
        <v>0</v>
      </c>
      <c r="L60" s="198">
        <v>0</v>
      </c>
      <c r="M60" s="198">
        <v>9</v>
      </c>
      <c r="N60" s="198">
        <v>0</v>
      </c>
      <c r="O60" s="428">
        <v>0</v>
      </c>
      <c r="P60" s="428">
        <v>1</v>
      </c>
      <c r="Q60" s="428">
        <v>0</v>
      </c>
      <c r="R60" s="428">
        <v>0</v>
      </c>
      <c r="S60" s="428">
        <v>0</v>
      </c>
      <c r="T60" s="112">
        <v>0</v>
      </c>
      <c r="U60" s="172">
        <f>SUM(O60:T60)</f>
        <v>1</v>
      </c>
      <c r="V60" s="84"/>
      <c r="W60" s="82"/>
      <c r="X60" s="104">
        <v>14</v>
      </c>
      <c r="Y60" s="82"/>
      <c r="AA60" s="20"/>
      <c r="AB60" s="20"/>
      <c r="AC60" s="20"/>
      <c r="AD60" s="20"/>
      <c r="AE60" s="20"/>
      <c r="AF60" s="20"/>
      <c r="AG60" s="20"/>
    </row>
    <row r="61" spans="1:37" ht="15.75" outlineLevel="3">
      <c r="A61" s="1279"/>
      <c r="B61" s="86" t="s">
        <v>227</v>
      </c>
      <c r="C61" s="409">
        <f t="shared" ref="C61:T61" si="16">IF(C59=0,0,C60/C59)</f>
        <v>2.2946305644791189E-4</v>
      </c>
      <c r="D61" s="409">
        <f t="shared" si="16"/>
        <v>5.8038305281485781E-4</v>
      </c>
      <c r="E61" s="409">
        <f t="shared" si="16"/>
        <v>0</v>
      </c>
      <c r="F61" s="409">
        <f t="shared" si="16"/>
        <v>0</v>
      </c>
      <c r="G61" s="409">
        <f t="shared" si="16"/>
        <v>1.5220700152207001E-3</v>
      </c>
      <c r="H61" s="378">
        <f t="shared" si="16"/>
        <v>0</v>
      </c>
      <c r="I61" s="409">
        <f t="shared" si="16"/>
        <v>0</v>
      </c>
      <c r="J61" s="409">
        <f t="shared" si="16"/>
        <v>0</v>
      </c>
      <c r="K61" s="409">
        <f t="shared" si="16"/>
        <v>0</v>
      </c>
      <c r="L61" s="409">
        <f t="shared" si="16"/>
        <v>0</v>
      </c>
      <c r="M61" s="409">
        <f t="shared" si="16"/>
        <v>4.6153846153846158E-3</v>
      </c>
      <c r="N61" s="409">
        <f t="shared" si="16"/>
        <v>0</v>
      </c>
      <c r="O61" s="429">
        <f t="shared" si="16"/>
        <v>0</v>
      </c>
      <c r="P61" s="429">
        <f t="shared" si="16"/>
        <v>1.2254901960784314E-3</v>
      </c>
      <c r="Q61" s="429">
        <f t="shared" si="16"/>
        <v>0</v>
      </c>
      <c r="R61" s="429">
        <f t="shared" si="16"/>
        <v>0</v>
      </c>
      <c r="S61" s="429">
        <f t="shared" si="16"/>
        <v>0</v>
      </c>
      <c r="T61" s="113">
        <f t="shared" si="16"/>
        <v>0</v>
      </c>
      <c r="U61" s="173">
        <f>+U60/U59</f>
        <v>1.558846453624318E-4</v>
      </c>
      <c r="V61" s="83">
        <v>5.0000000000000001E-3</v>
      </c>
      <c r="W61" s="84">
        <f>U61-V61</f>
        <v>-4.844115354637568E-3</v>
      </c>
      <c r="X61" s="170">
        <v>7.4432452549311504E-4</v>
      </c>
      <c r="Y61" s="85">
        <f>IFERROR((U61/X61)-1,0)</f>
        <v>-0.79056897895557288</v>
      </c>
      <c r="AA61" s="20"/>
      <c r="AB61" s="20"/>
      <c r="AC61" s="20"/>
      <c r="AD61" s="20"/>
      <c r="AE61" s="20"/>
      <c r="AF61" s="20"/>
      <c r="AG61" s="20"/>
    </row>
    <row r="62" spans="1:37" ht="16.5" outlineLevel="3" thickBot="1">
      <c r="A62" s="1280"/>
      <c r="B62" s="87" t="s">
        <v>35</v>
      </c>
      <c r="C62" s="200">
        <v>1</v>
      </c>
      <c r="D62" s="200">
        <v>1</v>
      </c>
      <c r="E62" s="200">
        <v>0</v>
      </c>
      <c r="F62" s="200">
        <v>0</v>
      </c>
      <c r="G62" s="200">
        <v>1</v>
      </c>
      <c r="H62" s="379">
        <v>0</v>
      </c>
      <c r="I62" s="200">
        <v>0</v>
      </c>
      <c r="J62" s="200">
        <v>0</v>
      </c>
      <c r="K62" s="200">
        <v>0</v>
      </c>
      <c r="L62" s="200">
        <v>0</v>
      </c>
      <c r="M62" s="200">
        <v>1</v>
      </c>
      <c r="N62" s="200">
        <v>0</v>
      </c>
      <c r="O62" s="371">
        <v>0</v>
      </c>
      <c r="P62" s="371">
        <v>1</v>
      </c>
      <c r="Q62" s="371">
        <v>0</v>
      </c>
      <c r="R62" s="371">
        <v>0</v>
      </c>
      <c r="S62" s="371">
        <v>0</v>
      </c>
      <c r="T62" s="114">
        <v>0</v>
      </c>
      <c r="U62" s="174">
        <f>SUM(O62:T62)</f>
        <v>1</v>
      </c>
      <c r="V62" s="95"/>
      <c r="W62" s="96"/>
      <c r="X62" s="105">
        <v>4</v>
      </c>
      <c r="Y62" s="96">
        <f>+U62-X62</f>
        <v>-3</v>
      </c>
      <c r="AA62" s="20"/>
      <c r="AB62" s="20"/>
      <c r="AC62" s="20"/>
      <c r="AD62" s="20"/>
      <c r="AE62" s="20"/>
      <c r="AF62" s="20"/>
      <c r="AG62" s="20"/>
    </row>
    <row r="63" spans="1:37" s="51" customFormat="1" ht="15.75" outlineLevel="2">
      <c r="A63" s="164" t="s">
        <v>285</v>
      </c>
      <c r="B63" s="164"/>
      <c r="C63" s="339">
        <f>SUM(C51,C55,C59)</f>
        <v>13496</v>
      </c>
      <c r="D63" s="339">
        <f t="shared" ref="D63:T64" si="17">SUM(D51,D55,D59)</f>
        <v>6937</v>
      </c>
      <c r="E63" s="339">
        <f t="shared" si="17"/>
        <v>5926</v>
      </c>
      <c r="F63" s="339">
        <f t="shared" si="17"/>
        <v>5470</v>
      </c>
      <c r="G63" s="339">
        <f t="shared" si="17"/>
        <v>6560</v>
      </c>
      <c r="H63" s="338">
        <f t="shared" si="17"/>
        <v>5771</v>
      </c>
      <c r="I63" s="339">
        <f t="shared" si="17"/>
        <v>6386</v>
      </c>
      <c r="J63" s="339">
        <f t="shared" si="17"/>
        <v>900</v>
      </c>
      <c r="K63" s="339">
        <f t="shared" si="17"/>
        <v>6294</v>
      </c>
      <c r="L63" s="339">
        <f t="shared" si="17"/>
        <v>8811</v>
      </c>
      <c r="M63" s="339">
        <f t="shared" si="17"/>
        <v>9387</v>
      </c>
      <c r="N63" s="339">
        <f t="shared" si="17"/>
        <v>3501</v>
      </c>
      <c r="O63" s="171">
        <f t="shared" si="17"/>
        <v>7466</v>
      </c>
      <c r="P63" s="171">
        <f t="shared" si="17"/>
        <v>4732</v>
      </c>
      <c r="Q63" s="171">
        <f t="shared" si="17"/>
        <v>4291</v>
      </c>
      <c r="R63" s="171">
        <f t="shared" si="17"/>
        <v>5269</v>
      </c>
      <c r="S63" s="171">
        <f t="shared" si="17"/>
        <v>4704</v>
      </c>
      <c r="T63" s="193">
        <f t="shared" si="17"/>
        <v>5097</v>
      </c>
      <c r="U63" s="171">
        <f>SUM(O63:T63)</f>
        <v>31559</v>
      </c>
      <c r="V63" s="166"/>
      <c r="W63" s="167"/>
      <c r="X63" s="165">
        <v>79439</v>
      </c>
      <c r="Y63" s="164"/>
      <c r="AA63" s="20"/>
      <c r="AB63" s="20"/>
      <c r="AC63" s="20"/>
      <c r="AD63" s="20"/>
      <c r="AE63" s="20"/>
      <c r="AF63" s="20"/>
      <c r="AG63" s="20"/>
      <c r="AH63" s="19"/>
      <c r="AI63" s="19"/>
      <c r="AJ63" s="19"/>
      <c r="AK63" s="19"/>
    </row>
    <row r="64" spans="1:37" s="51" customFormat="1" ht="15.75" outlineLevel="2">
      <c r="A64" s="86" t="s">
        <v>283</v>
      </c>
      <c r="B64" s="86"/>
      <c r="C64" s="201">
        <f>SUM(C52,C56,C60)</f>
        <v>1</v>
      </c>
      <c r="D64" s="201">
        <f t="shared" si="17"/>
        <v>1</v>
      </c>
      <c r="E64" s="201">
        <f t="shared" si="17"/>
        <v>0</v>
      </c>
      <c r="F64" s="201">
        <f t="shared" si="17"/>
        <v>0</v>
      </c>
      <c r="G64" s="201">
        <f t="shared" si="17"/>
        <v>8</v>
      </c>
      <c r="H64" s="340">
        <f t="shared" si="17"/>
        <v>0</v>
      </c>
      <c r="I64" s="201">
        <f t="shared" si="17"/>
        <v>0</v>
      </c>
      <c r="J64" s="201">
        <f t="shared" si="17"/>
        <v>0</v>
      </c>
      <c r="K64" s="201">
        <f t="shared" si="17"/>
        <v>16</v>
      </c>
      <c r="L64" s="201">
        <f t="shared" si="17"/>
        <v>0</v>
      </c>
      <c r="M64" s="201">
        <f t="shared" si="17"/>
        <v>10</v>
      </c>
      <c r="N64" s="201">
        <f t="shared" si="17"/>
        <v>0</v>
      </c>
      <c r="O64" s="172">
        <f t="shared" si="17"/>
        <v>0</v>
      </c>
      <c r="P64" s="172">
        <f t="shared" si="17"/>
        <v>1</v>
      </c>
      <c r="Q64" s="172">
        <f t="shared" si="17"/>
        <v>0</v>
      </c>
      <c r="R64" s="172">
        <f t="shared" si="17"/>
        <v>40</v>
      </c>
      <c r="S64" s="172">
        <f t="shared" si="17"/>
        <v>0</v>
      </c>
      <c r="T64" s="194">
        <f t="shared" si="17"/>
        <v>0</v>
      </c>
      <c r="U64" s="172">
        <f>SUM(O64:T64)</f>
        <v>41</v>
      </c>
      <c r="V64" s="97"/>
      <c r="W64" s="82"/>
      <c r="X64" s="108">
        <v>36</v>
      </c>
      <c r="Y64" s="86"/>
      <c r="AA64" s="20"/>
      <c r="AB64" s="20"/>
      <c r="AC64" s="20"/>
      <c r="AD64" s="20"/>
      <c r="AE64" s="20"/>
      <c r="AF64" s="20"/>
      <c r="AG64" s="20"/>
      <c r="AH64" s="19"/>
      <c r="AI64" s="19"/>
      <c r="AJ64" s="19"/>
      <c r="AK64" s="19"/>
    </row>
    <row r="65" spans="1:37" s="51" customFormat="1" ht="15.75" outlineLevel="2">
      <c r="A65" s="86" t="s">
        <v>228</v>
      </c>
      <c r="B65" s="86"/>
      <c r="C65" s="342">
        <f t="shared" ref="C65:T65" si="18">IF(C63=0,0,C64/C63)</f>
        <v>7.409602845287492E-5</v>
      </c>
      <c r="D65" s="342">
        <f t="shared" si="18"/>
        <v>1.4415453366008361E-4</v>
      </c>
      <c r="E65" s="342">
        <f t="shared" si="18"/>
        <v>0</v>
      </c>
      <c r="F65" s="342">
        <f t="shared" si="18"/>
        <v>0</v>
      </c>
      <c r="G65" s="342">
        <f t="shared" si="18"/>
        <v>1.2195121951219512E-3</v>
      </c>
      <c r="H65" s="341">
        <f t="shared" si="18"/>
        <v>0</v>
      </c>
      <c r="I65" s="342">
        <f t="shared" si="18"/>
        <v>0</v>
      </c>
      <c r="J65" s="342">
        <f t="shared" si="18"/>
        <v>0</v>
      </c>
      <c r="K65" s="342">
        <f t="shared" si="18"/>
        <v>2.5421035907213221E-3</v>
      </c>
      <c r="L65" s="342">
        <f t="shared" si="18"/>
        <v>0</v>
      </c>
      <c r="M65" s="342">
        <f t="shared" si="18"/>
        <v>1.0653030787258974E-3</v>
      </c>
      <c r="N65" s="342">
        <f t="shared" si="18"/>
        <v>0</v>
      </c>
      <c r="O65" s="173">
        <f t="shared" si="18"/>
        <v>0</v>
      </c>
      <c r="P65" s="173">
        <f t="shared" si="18"/>
        <v>2.1132713440405747E-4</v>
      </c>
      <c r="Q65" s="173">
        <f t="shared" si="18"/>
        <v>0</v>
      </c>
      <c r="R65" s="173">
        <f t="shared" si="18"/>
        <v>7.5915733535775291E-3</v>
      </c>
      <c r="S65" s="173">
        <f t="shared" si="18"/>
        <v>0</v>
      </c>
      <c r="T65" s="195">
        <f t="shared" si="18"/>
        <v>0</v>
      </c>
      <c r="U65" s="173">
        <f>+U64/U63</f>
        <v>1.2991539655882631E-3</v>
      </c>
      <c r="V65" s="83">
        <v>5.0000000000000001E-3</v>
      </c>
      <c r="W65" s="84">
        <f>U65-V65</f>
        <v>-3.7008460344117372E-3</v>
      </c>
      <c r="X65" s="109">
        <v>4.5317791009453795E-4</v>
      </c>
      <c r="Y65" s="362">
        <f>IFERROR((U65/X65)-1,0)</f>
        <v>1.8667636631212789</v>
      </c>
      <c r="AA65" s="20"/>
      <c r="AB65" s="20"/>
      <c r="AC65" s="20"/>
      <c r="AD65" s="20"/>
      <c r="AE65" s="20"/>
      <c r="AF65" s="20"/>
      <c r="AG65" s="20"/>
      <c r="AH65" s="19"/>
      <c r="AI65" s="19"/>
      <c r="AJ65" s="19"/>
      <c r="AK65" s="19"/>
    </row>
    <row r="66" spans="1:37" s="51" customFormat="1" ht="15.75" outlineLevel="2">
      <c r="A66" s="92" t="s">
        <v>428</v>
      </c>
      <c r="B66" s="92"/>
      <c r="C66" s="344">
        <f t="shared" ref="C66:U66" si="19">1-C65</f>
        <v>0.99992590397154713</v>
      </c>
      <c r="D66" s="344">
        <f t="shared" si="19"/>
        <v>0.99985584546633988</v>
      </c>
      <c r="E66" s="344">
        <f t="shared" si="19"/>
        <v>1</v>
      </c>
      <c r="F66" s="344">
        <f t="shared" si="19"/>
        <v>1</v>
      </c>
      <c r="G66" s="344">
        <f t="shared" si="19"/>
        <v>0.99878048780487805</v>
      </c>
      <c r="H66" s="343">
        <f t="shared" si="19"/>
        <v>1</v>
      </c>
      <c r="I66" s="344">
        <f t="shared" si="19"/>
        <v>1</v>
      </c>
      <c r="J66" s="344">
        <f t="shared" si="19"/>
        <v>1</v>
      </c>
      <c r="K66" s="344">
        <f t="shared" si="19"/>
        <v>0.99745789640927873</v>
      </c>
      <c r="L66" s="344">
        <f t="shared" si="19"/>
        <v>1</v>
      </c>
      <c r="M66" s="344">
        <f t="shared" si="19"/>
        <v>0.99893469692127412</v>
      </c>
      <c r="N66" s="344">
        <f t="shared" si="19"/>
        <v>1</v>
      </c>
      <c r="O66" s="303">
        <f t="shared" si="19"/>
        <v>1</v>
      </c>
      <c r="P66" s="303">
        <f t="shared" si="19"/>
        <v>0.99978867286559592</v>
      </c>
      <c r="Q66" s="303">
        <f t="shared" si="19"/>
        <v>1</v>
      </c>
      <c r="R66" s="303">
        <f t="shared" si="19"/>
        <v>0.99240842664642248</v>
      </c>
      <c r="S66" s="303">
        <f t="shared" si="19"/>
        <v>1</v>
      </c>
      <c r="T66" s="302">
        <f t="shared" si="19"/>
        <v>1</v>
      </c>
      <c r="U66" s="303">
        <f t="shared" si="19"/>
        <v>0.99870084603441178</v>
      </c>
      <c r="V66" s="304">
        <v>0.995</v>
      </c>
      <c r="W66" s="305">
        <f>U66-V66</f>
        <v>3.7008460344117866E-3</v>
      </c>
      <c r="X66" s="109">
        <v>0.99954682208990542</v>
      </c>
      <c r="Y66" s="362"/>
      <c r="AA66" s="20"/>
      <c r="AB66" s="20"/>
      <c r="AC66" s="20"/>
      <c r="AD66" s="20"/>
      <c r="AE66" s="20"/>
      <c r="AF66" s="20"/>
      <c r="AG66" s="20"/>
      <c r="AH66" s="19"/>
      <c r="AI66" s="19"/>
      <c r="AJ66" s="19"/>
      <c r="AK66" s="19"/>
    </row>
    <row r="67" spans="1:37" s="51" customFormat="1" ht="15.75" outlineLevel="2">
      <c r="A67" s="208" t="s">
        <v>273</v>
      </c>
      <c r="B67" s="208"/>
      <c r="C67" s="209">
        <f t="shared" ref="C67:T67" si="20">(C64/C63)*10^6</f>
        <v>74.096028452874918</v>
      </c>
      <c r="D67" s="209">
        <f t="shared" si="20"/>
        <v>144.15453366008362</v>
      </c>
      <c r="E67" s="209">
        <f t="shared" si="20"/>
        <v>0</v>
      </c>
      <c r="F67" s="209">
        <f t="shared" si="20"/>
        <v>0</v>
      </c>
      <c r="G67" s="209">
        <f t="shared" si="20"/>
        <v>1219.5121951219512</v>
      </c>
      <c r="H67" s="209">
        <f t="shared" si="20"/>
        <v>0</v>
      </c>
      <c r="I67" s="209">
        <f t="shared" si="20"/>
        <v>0</v>
      </c>
      <c r="J67" s="209">
        <f t="shared" si="20"/>
        <v>0</v>
      </c>
      <c r="K67" s="209">
        <f t="shared" si="20"/>
        <v>2542.1035907213222</v>
      </c>
      <c r="L67" s="209">
        <f t="shared" si="20"/>
        <v>0</v>
      </c>
      <c r="M67" s="209">
        <f t="shared" si="20"/>
        <v>1065.3030787258974</v>
      </c>
      <c r="N67" s="209">
        <f t="shared" si="20"/>
        <v>0</v>
      </c>
      <c r="O67" s="209">
        <f t="shared" si="20"/>
        <v>0</v>
      </c>
      <c r="P67" s="209">
        <f t="shared" si="20"/>
        <v>211.32713440405746</v>
      </c>
      <c r="Q67" s="209">
        <f t="shared" si="20"/>
        <v>0</v>
      </c>
      <c r="R67" s="209">
        <f t="shared" si="20"/>
        <v>7591.5733535775289</v>
      </c>
      <c r="S67" s="209">
        <f t="shared" si="20"/>
        <v>0</v>
      </c>
      <c r="T67" s="209">
        <f t="shared" si="20"/>
        <v>0</v>
      </c>
      <c r="U67" s="209">
        <f>(U64/U63)*10^6</f>
        <v>1299.1539655882632</v>
      </c>
      <c r="V67" s="210" t="s">
        <v>156</v>
      </c>
      <c r="W67" s="220">
        <f>+U67-5999</f>
        <v>-4699.8460344117366</v>
      </c>
      <c r="X67" s="209">
        <v>453.17791009453794</v>
      </c>
      <c r="Y67" s="363"/>
      <c r="AA67" s="20"/>
      <c r="AB67" s="20"/>
      <c r="AC67" s="20"/>
      <c r="AD67" s="20"/>
      <c r="AE67" s="20"/>
      <c r="AF67" s="20"/>
      <c r="AG67" s="20"/>
      <c r="AH67" s="19"/>
      <c r="AI67" s="19"/>
      <c r="AJ67" s="19"/>
      <c r="AK67" s="19"/>
    </row>
    <row r="68" spans="1:37" s="51" customFormat="1" ht="15.75" outlineLevel="2">
      <c r="A68" s="87" t="s">
        <v>36</v>
      </c>
      <c r="B68" s="87"/>
      <c r="C68" s="346">
        <f>SUM(C54,C58,C62)</f>
        <v>1</v>
      </c>
      <c r="D68" s="346">
        <f t="shared" ref="D68:T68" si="21">SUM(D54,D58,D62)</f>
        <v>1</v>
      </c>
      <c r="E68" s="346">
        <f t="shared" si="21"/>
        <v>0</v>
      </c>
      <c r="F68" s="346">
        <f t="shared" si="21"/>
        <v>0</v>
      </c>
      <c r="G68" s="346">
        <f t="shared" si="21"/>
        <v>2</v>
      </c>
      <c r="H68" s="345">
        <f t="shared" si="21"/>
        <v>0</v>
      </c>
      <c r="I68" s="346">
        <f t="shared" si="21"/>
        <v>0</v>
      </c>
      <c r="J68" s="346">
        <f t="shared" si="21"/>
        <v>0</v>
      </c>
      <c r="K68" s="346">
        <f t="shared" si="21"/>
        <v>2</v>
      </c>
      <c r="L68" s="346">
        <f t="shared" si="21"/>
        <v>0</v>
      </c>
      <c r="M68" s="346">
        <f t="shared" si="21"/>
        <v>3</v>
      </c>
      <c r="N68" s="346">
        <f t="shared" si="21"/>
        <v>0</v>
      </c>
      <c r="O68" s="174">
        <f t="shared" si="21"/>
        <v>0</v>
      </c>
      <c r="P68" s="174">
        <f t="shared" si="21"/>
        <v>1</v>
      </c>
      <c r="Q68" s="174">
        <f t="shared" si="21"/>
        <v>0</v>
      </c>
      <c r="R68" s="174">
        <f t="shared" si="21"/>
        <v>1</v>
      </c>
      <c r="S68" s="174">
        <f t="shared" si="21"/>
        <v>0</v>
      </c>
      <c r="T68" s="196">
        <f t="shared" si="21"/>
        <v>0</v>
      </c>
      <c r="U68" s="174">
        <f>SUM(U54,U58,U62)</f>
        <v>2</v>
      </c>
      <c r="V68" s="371">
        <v>4</v>
      </c>
      <c r="W68" s="401">
        <f>U68-V68</f>
        <v>-2</v>
      </c>
      <c r="X68" s="110">
        <v>9</v>
      </c>
      <c r="Y68" s="411">
        <f>+U68-X68</f>
        <v>-7</v>
      </c>
      <c r="AA68" s="20"/>
      <c r="AB68" s="20"/>
      <c r="AC68" s="20"/>
      <c r="AD68" s="20"/>
      <c r="AE68" s="20"/>
      <c r="AF68" s="20"/>
      <c r="AG68" s="20"/>
      <c r="AH68" s="19"/>
      <c r="AI68" s="19"/>
      <c r="AJ68" s="19"/>
      <c r="AK68" s="19"/>
    </row>
    <row r="69" spans="1:37" s="51" customFormat="1" ht="15.75" outlineLevel="2">
      <c r="A69" s="21" t="s">
        <v>63</v>
      </c>
      <c r="C69" s="73"/>
      <c r="D69" s="73"/>
      <c r="E69" s="73"/>
      <c r="F69" s="73"/>
      <c r="G69" s="73"/>
      <c r="H69" s="73"/>
      <c r="I69" s="73"/>
      <c r="J69" s="73"/>
      <c r="K69" s="73"/>
      <c r="L69" s="73"/>
      <c r="M69" s="73"/>
      <c r="N69" s="73"/>
      <c r="O69" s="73"/>
      <c r="P69" s="73"/>
      <c r="Q69" s="73"/>
      <c r="R69" s="73"/>
      <c r="S69" s="73"/>
      <c r="T69" s="73"/>
      <c r="U69" s="73"/>
      <c r="V69" s="207"/>
      <c r="W69" s="307"/>
      <c r="X69" s="73"/>
      <c r="Y69" s="73"/>
      <c r="Z69" s="20"/>
      <c r="AA69" s="20"/>
      <c r="AB69" s="20"/>
      <c r="AC69" s="20"/>
      <c r="AD69" s="20"/>
      <c r="AE69" s="20"/>
      <c r="AF69" s="20"/>
      <c r="AG69" s="20"/>
      <c r="AH69" s="19"/>
      <c r="AI69" s="19"/>
      <c r="AJ69" s="19"/>
      <c r="AK69" s="19"/>
    </row>
    <row r="70" spans="1:37" ht="15.75" outlineLevel="1">
      <c r="V70" s="306"/>
      <c r="Z70" s="20"/>
      <c r="AA70" s="20"/>
      <c r="AB70" s="20"/>
      <c r="AC70" s="20"/>
      <c r="AD70" s="20"/>
      <c r="AE70" s="20"/>
      <c r="AF70" s="20"/>
      <c r="AG70" s="20"/>
    </row>
    <row r="71" spans="1:37" ht="15.75" outlineLevel="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row>
    <row r="72" spans="1:37" ht="15.75">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row>
  </sheetData>
  <mergeCells count="9">
    <mergeCell ref="A51:A54"/>
    <mergeCell ref="A55:A58"/>
    <mergeCell ref="A59:A62"/>
    <mergeCell ref="A5:A6"/>
    <mergeCell ref="A7:A8"/>
    <mergeCell ref="A9:A10"/>
    <mergeCell ref="A21:A23"/>
    <mergeCell ref="A24:A26"/>
    <mergeCell ref="A27:A29"/>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Munka11">
    <tabColor theme="5" tint="0.79998168889431442"/>
  </sheetPr>
  <dimension ref="A1:AD36"/>
  <sheetViews>
    <sheetView showGridLines="0" zoomScale="85" zoomScaleNormal="85" workbookViewId="0">
      <selection activeCell="J7" sqref="J7"/>
    </sheetView>
  </sheetViews>
  <sheetFormatPr baseColWidth="10" defaultColWidth="8.85546875" defaultRowHeight="14.25" outlineLevelRow="2" outlineLevelCol="1"/>
  <cols>
    <col min="1" max="1" width="11" style="1035" bestFit="1" customWidth="1"/>
    <col min="2" max="2" width="31.7109375" style="1036" customWidth="1"/>
    <col min="3" max="6" width="8.140625" style="318" hidden="1" customWidth="1" outlineLevel="1"/>
    <col min="7" max="7" width="8.140625" style="318" customWidth="1" collapsed="1"/>
    <col min="8" max="14" width="8.140625" style="318" customWidth="1"/>
    <col min="15" max="16" width="8.140625" style="358" customWidth="1"/>
    <col min="17" max="17" width="8.85546875" style="358" customWidth="1"/>
    <col min="18" max="19" width="8.140625" style="358" customWidth="1"/>
    <col min="20" max="20" width="10" style="1036" customWidth="1"/>
    <col min="21" max="21" width="12.42578125" style="1036" customWidth="1"/>
    <col min="22" max="26" width="10" style="1036" customWidth="1"/>
    <col min="27" max="27" width="12.28515625" style="1036" bestFit="1" customWidth="1"/>
    <col min="28" max="28" width="10" style="1036" customWidth="1"/>
    <col min="29" max="29" width="11.42578125" style="1036" customWidth="1"/>
    <col min="30" max="30" width="17.140625" style="1036" bestFit="1" customWidth="1"/>
    <col min="31" max="16384" width="8.85546875" style="1036"/>
  </cols>
  <sheetData>
    <row r="1" spans="2:28" ht="20.25">
      <c r="B1" s="1" t="s">
        <v>452</v>
      </c>
      <c r="S1" s="1054"/>
      <c r="T1" s="1055"/>
    </row>
    <row r="2" spans="2:28" ht="30" outlineLevel="1">
      <c r="B2" s="975" t="s">
        <v>0</v>
      </c>
      <c r="C2" s="1056">
        <v>45658</v>
      </c>
      <c r="D2" s="1056">
        <v>45716</v>
      </c>
      <c r="E2" s="1056">
        <v>45747</v>
      </c>
      <c r="F2" s="1056">
        <v>45777</v>
      </c>
      <c r="G2" s="1057">
        <v>45808</v>
      </c>
      <c r="H2" s="1056">
        <v>45838</v>
      </c>
      <c r="I2" s="1056">
        <v>45869</v>
      </c>
      <c r="J2" s="1056">
        <v>45900</v>
      </c>
      <c r="K2" s="1056">
        <v>45930</v>
      </c>
      <c r="L2" s="1056">
        <v>45961</v>
      </c>
      <c r="M2" s="1056">
        <v>45991</v>
      </c>
      <c r="N2" s="1056">
        <v>46022</v>
      </c>
      <c r="O2" s="1047">
        <v>46053</v>
      </c>
      <c r="P2" s="1047">
        <v>46081</v>
      </c>
      <c r="Q2" s="1047">
        <v>46112</v>
      </c>
      <c r="R2" s="1047">
        <v>46142</v>
      </c>
      <c r="S2" s="1048">
        <v>46173</v>
      </c>
      <c r="T2" s="976" t="s">
        <v>1</v>
      </c>
      <c r="U2" s="977" t="s">
        <v>453</v>
      </c>
      <c r="V2" s="977" t="s">
        <v>12</v>
      </c>
      <c r="W2" s="5" t="s">
        <v>10</v>
      </c>
      <c r="X2" s="5" t="s">
        <v>14</v>
      </c>
      <c r="Y2" s="976" t="s">
        <v>454</v>
      </c>
      <c r="Z2" s="5" t="s">
        <v>381</v>
      </c>
    </row>
    <row r="3" spans="2:28" ht="15" outlineLevel="1">
      <c r="B3" s="978" t="s">
        <v>2</v>
      </c>
      <c r="C3" s="1058">
        <v>1.1397058823529411</v>
      </c>
      <c r="D3" s="1058">
        <v>0.43382352941176466</v>
      </c>
      <c r="E3" s="1058">
        <v>1.0588235294117647</v>
      </c>
      <c r="F3" s="1058">
        <v>0.51470588235294112</v>
      </c>
      <c r="G3" s="1059">
        <v>0.77205882352941169</v>
      </c>
      <c r="H3" s="1060">
        <v>0.77205882352941169</v>
      </c>
      <c r="I3" s="1060">
        <v>1.3823529411764706</v>
      </c>
      <c r="J3" s="1060">
        <v>0</v>
      </c>
      <c r="K3" s="1060">
        <v>1.1544117647058825</v>
      </c>
      <c r="L3" s="1060">
        <v>1</v>
      </c>
      <c r="M3" s="1060">
        <v>1.1764705882352942</v>
      </c>
      <c r="N3" s="1060">
        <v>0.63970588235294112</v>
      </c>
      <c r="O3" s="391">
        <v>1.4338235294117647</v>
      </c>
      <c r="P3" s="391">
        <v>0.67415966386554627</v>
      </c>
      <c r="Q3" s="391">
        <v>1.2867647058823528</v>
      </c>
      <c r="R3" s="391">
        <v>1.0808823529411764</v>
      </c>
      <c r="S3" s="979">
        <v>1.1323529411764706</v>
      </c>
      <c r="T3" s="980">
        <f>SUM(O3:S3)</f>
        <v>5.6079831932773114</v>
      </c>
      <c r="U3" s="981">
        <f>+T3/5</f>
        <v>1.1215966386554623</v>
      </c>
      <c r="V3" s="981">
        <f>+Y3*0.7</f>
        <v>0.58590686274509807</v>
      </c>
      <c r="W3" s="982">
        <f>U3-V3</f>
        <v>0.53568977591036426</v>
      </c>
      <c r="X3" s="9">
        <f>+U3/V3-1</f>
        <v>0.91429169032180968</v>
      </c>
      <c r="Y3" s="983">
        <v>0.83700980392156865</v>
      </c>
      <c r="Z3" s="9">
        <f>IFERROR(U3/Y3-1,100%)</f>
        <v>0.34000418322526671</v>
      </c>
    </row>
    <row r="4" spans="2:28" ht="15" outlineLevel="1">
      <c r="B4" s="149" t="s">
        <v>3</v>
      </c>
      <c r="C4" s="1058">
        <v>2.0588235294117645</v>
      </c>
      <c r="D4" s="1058">
        <v>1.4411764705882351</v>
      </c>
      <c r="E4" s="1058">
        <v>1.7058823529411764</v>
      </c>
      <c r="F4" s="1058">
        <v>0.86029411764705888</v>
      </c>
      <c r="G4" s="1061">
        <v>1.1985294117647058</v>
      </c>
      <c r="H4" s="1060">
        <v>1.1985294117647058</v>
      </c>
      <c r="I4" s="1060">
        <v>2.1985294117647061</v>
      </c>
      <c r="J4" s="1060">
        <v>0.33088235294117646</v>
      </c>
      <c r="K4" s="1060">
        <v>1.2069327731092436</v>
      </c>
      <c r="L4" s="1060">
        <v>1.9852941176470587</v>
      </c>
      <c r="M4" s="1060">
        <v>1.6544117647058822</v>
      </c>
      <c r="N4" s="1060">
        <v>0.88235294117647056</v>
      </c>
      <c r="O4" s="391">
        <v>2.2352941176470589</v>
      </c>
      <c r="P4" s="391">
        <v>1.4021008403361344</v>
      </c>
      <c r="Q4" s="391">
        <v>1.5955882352941178</v>
      </c>
      <c r="R4" s="391">
        <v>1.6404411764705884</v>
      </c>
      <c r="S4" s="979">
        <v>1.2279411764705883</v>
      </c>
      <c r="T4" s="984">
        <f t="shared" ref="T4:T5" si="0">SUM(O4:S4)</f>
        <v>8.1013655462184886</v>
      </c>
      <c r="U4" s="985">
        <f>+T4/5</f>
        <v>1.6202731092436977</v>
      </c>
      <c r="V4" s="985">
        <f>+U4*0.7</f>
        <v>1.1341911764705883</v>
      </c>
      <c r="W4" s="986">
        <f t="shared" ref="W4:W5" si="1">U4-V4</f>
        <v>0.4860819327731094</v>
      </c>
      <c r="X4" s="216">
        <f>+U4/V4-1</f>
        <v>0.4285714285714286</v>
      </c>
      <c r="Y4" s="987">
        <v>1.3934698879551821</v>
      </c>
      <c r="Z4" s="216">
        <f>IFERROR(U4/Y4-1,100%)</f>
        <v>0.16276147999246193</v>
      </c>
    </row>
    <row r="5" spans="2:28" ht="15" outlineLevel="1">
      <c r="B5" s="149" t="s">
        <v>4</v>
      </c>
      <c r="C5" s="1058">
        <v>1.536764705882353</v>
      </c>
      <c r="D5" s="1058">
        <v>0.6029411764705882</v>
      </c>
      <c r="E5" s="1058">
        <v>1.9558823529411762</v>
      </c>
      <c r="F5" s="1058">
        <v>0.35294117647058826</v>
      </c>
      <c r="G5" s="1061">
        <v>0.44117647058823528</v>
      </c>
      <c r="H5" s="1060">
        <v>0.44117647058823528</v>
      </c>
      <c r="I5" s="1060">
        <v>0.86029411764705888</v>
      </c>
      <c r="J5" s="1060">
        <v>0.20588235294117649</v>
      </c>
      <c r="K5" s="1060">
        <v>1.0577731092436975</v>
      </c>
      <c r="L5" s="1060">
        <v>1.3382352941176472</v>
      </c>
      <c r="M5" s="1060">
        <v>0.76470588235294112</v>
      </c>
      <c r="N5" s="1060">
        <v>0.67647058823529416</v>
      </c>
      <c r="O5" s="391">
        <v>0.72058823529411753</v>
      </c>
      <c r="P5" s="391">
        <v>0.35430672268907565</v>
      </c>
      <c r="Q5" s="391">
        <v>0.44117647058823528</v>
      </c>
      <c r="R5" s="391">
        <v>0.7</v>
      </c>
      <c r="S5" s="979">
        <v>0.6470588235294118</v>
      </c>
      <c r="T5" s="984">
        <f t="shared" si="0"/>
        <v>2.8631302521008402</v>
      </c>
      <c r="U5" s="985">
        <f>+T5/5</f>
        <v>0.57262605042016801</v>
      </c>
      <c r="V5" s="985">
        <f>+U5*0.7</f>
        <v>0.40083823529411761</v>
      </c>
      <c r="W5" s="986">
        <f t="shared" si="1"/>
        <v>0.1717878151260504</v>
      </c>
      <c r="X5" s="216">
        <f>+U5/V5-1</f>
        <v>0.4285714285714286</v>
      </c>
      <c r="Y5" s="987">
        <v>0.8528536414565826</v>
      </c>
      <c r="Z5" s="216">
        <f>IFERROR(U5/Y5-1,100%)</f>
        <v>-0.32857641383557434</v>
      </c>
    </row>
    <row r="6" spans="2:28" ht="15" outlineLevel="2" thickBot="1">
      <c r="B6" s="988" t="s">
        <v>59</v>
      </c>
      <c r="C6" s="1062"/>
      <c r="D6" s="1062"/>
      <c r="E6" s="1062"/>
      <c r="F6" s="1062"/>
      <c r="G6" s="1063"/>
      <c r="H6" s="1062"/>
      <c r="I6" s="1062"/>
      <c r="J6" s="1062"/>
      <c r="K6" s="1062"/>
      <c r="L6" s="1062"/>
      <c r="M6" s="1062"/>
      <c r="N6" s="1062"/>
      <c r="O6" s="989"/>
      <c r="P6" s="989"/>
      <c r="Q6" s="989"/>
      <c r="R6" s="989"/>
      <c r="S6" s="989"/>
      <c r="T6" s="990"/>
      <c r="U6" s="990"/>
      <c r="V6" s="991"/>
      <c r="W6" s="992"/>
      <c r="X6" s="993"/>
      <c r="Y6" s="993"/>
      <c r="Z6" s="993"/>
    </row>
    <row r="7" spans="2:28" ht="15" outlineLevel="1">
      <c r="B7" s="124" t="s">
        <v>5</v>
      </c>
      <c r="C7" s="1064">
        <f t="shared" ref="C7:V7" si="2">SUM(C3:C6)</f>
        <v>4.7352941176470589</v>
      </c>
      <c r="D7" s="1064">
        <f>SUM(D3:D6)</f>
        <v>2.4779411764705879</v>
      </c>
      <c r="E7" s="1064">
        <f t="shared" si="2"/>
        <v>4.7205882352941178</v>
      </c>
      <c r="F7" s="1064">
        <f t="shared" si="2"/>
        <v>1.7279411764705883</v>
      </c>
      <c r="G7" s="1065">
        <f t="shared" si="2"/>
        <v>2.4117647058823528</v>
      </c>
      <c r="H7" s="1064">
        <f t="shared" si="2"/>
        <v>2.4117647058823528</v>
      </c>
      <c r="I7" s="1064">
        <f t="shared" si="2"/>
        <v>4.4411764705882355</v>
      </c>
      <c r="J7" s="1064">
        <f t="shared" si="2"/>
        <v>0.53676470588235292</v>
      </c>
      <c r="K7" s="1064">
        <f t="shared" si="2"/>
        <v>3.4191176470588234</v>
      </c>
      <c r="L7" s="1064">
        <f t="shared" si="2"/>
        <v>4.3235294117647065</v>
      </c>
      <c r="M7" s="1064">
        <f t="shared" si="2"/>
        <v>3.5955882352941178</v>
      </c>
      <c r="N7" s="1064">
        <f t="shared" si="2"/>
        <v>2.1985294117647056</v>
      </c>
      <c r="O7" s="995">
        <f t="shared" si="2"/>
        <v>4.3897058823529411</v>
      </c>
      <c r="P7" s="995">
        <f t="shared" si="2"/>
        <v>2.4305672268907563</v>
      </c>
      <c r="Q7" s="995">
        <v>3.3235294117647056</v>
      </c>
      <c r="R7" s="995">
        <v>3.4213235294117652</v>
      </c>
      <c r="S7" s="994">
        <f t="shared" si="2"/>
        <v>3.0073529411764706</v>
      </c>
      <c r="T7" s="995">
        <f t="shared" si="2"/>
        <v>16.57247899159664</v>
      </c>
      <c r="U7" s="995">
        <f t="shared" si="2"/>
        <v>3.3144957983193279</v>
      </c>
      <c r="V7" s="996">
        <f t="shared" si="2"/>
        <v>2.1209362745098042</v>
      </c>
      <c r="W7" s="997">
        <f>U7-V7</f>
        <v>1.1935595238095238</v>
      </c>
      <c r="X7" s="137">
        <f>+U7/V7-1</f>
        <v>0.56275124253102904</v>
      </c>
      <c r="Y7" s="998">
        <f>SUM(Y3:Y5)</f>
        <v>3.0833333333333335</v>
      </c>
      <c r="Z7" s="137">
        <f>IFERROR(U7/Y7-1,100%)</f>
        <v>7.497161026572785E-2</v>
      </c>
    </row>
    <row r="11" spans="2:28" ht="20.25">
      <c r="B11" s="1186" t="s">
        <v>455</v>
      </c>
      <c r="S11" s="1054"/>
      <c r="T11" s="1055"/>
    </row>
    <row r="12" spans="2:28" ht="30">
      <c r="B12" s="975"/>
      <c r="C12" s="1056">
        <v>45658</v>
      </c>
      <c r="D12" s="1056">
        <v>45716</v>
      </c>
      <c r="E12" s="1056">
        <v>45747</v>
      </c>
      <c r="F12" s="1056">
        <v>45777</v>
      </c>
      <c r="G12" s="1057">
        <v>45808</v>
      </c>
      <c r="H12" s="1056">
        <v>45838</v>
      </c>
      <c r="I12" s="1056">
        <v>45869</v>
      </c>
      <c r="J12" s="1056">
        <v>45900</v>
      </c>
      <c r="K12" s="1056">
        <v>45930</v>
      </c>
      <c r="L12" s="1056">
        <v>45961</v>
      </c>
      <c r="M12" s="1056">
        <v>45991</v>
      </c>
      <c r="N12" s="1056">
        <v>46022</v>
      </c>
      <c r="O12" s="1047">
        <v>46053</v>
      </c>
      <c r="P12" s="1047">
        <v>46081</v>
      </c>
      <c r="Q12" s="1047">
        <v>46112</v>
      </c>
      <c r="R12" s="1047">
        <v>46142</v>
      </c>
      <c r="S12" s="1048">
        <v>46173</v>
      </c>
      <c r="T12" s="976" t="s">
        <v>1</v>
      </c>
      <c r="U12" s="977" t="s">
        <v>13</v>
      </c>
      <c r="V12" s="999" t="s">
        <v>6</v>
      </c>
      <c r="W12" s="5" t="s">
        <v>14</v>
      </c>
      <c r="X12" s="976" t="s">
        <v>325</v>
      </c>
      <c r="Y12" s="5" t="s">
        <v>326</v>
      </c>
      <c r="AB12" s="977" t="s">
        <v>13</v>
      </c>
    </row>
    <row r="13" spans="2:28" ht="15">
      <c r="B13" s="1000" t="s">
        <v>456</v>
      </c>
      <c r="C13" s="1006">
        <f t="shared" ref="C13:P13" si="3">SUM(C25:C30)</f>
        <v>25000.395</v>
      </c>
      <c r="D13" s="1006">
        <f t="shared" si="3"/>
        <v>20176.679</v>
      </c>
      <c r="E13" s="1006">
        <f t="shared" si="3"/>
        <v>20468.866999999998</v>
      </c>
      <c r="F13" s="1006">
        <f t="shared" si="3"/>
        <v>8822.5930000000026</v>
      </c>
      <c r="G13" s="1066">
        <f t="shared" si="3"/>
        <v>25880.729999999996</v>
      </c>
      <c r="H13" s="1006">
        <f t="shared" si="3"/>
        <v>10174.023999999999</v>
      </c>
      <c r="I13" s="1006">
        <f t="shared" si="3"/>
        <v>18027.173000000006</v>
      </c>
      <c r="J13" s="1006">
        <f t="shared" si="3"/>
        <v>15355.087999999998</v>
      </c>
      <c r="K13" s="1006">
        <f t="shared" si="3"/>
        <v>17196.570999999996</v>
      </c>
      <c r="L13" s="1006">
        <f t="shared" si="3"/>
        <v>25159.056000000004</v>
      </c>
      <c r="M13" s="1006">
        <f t="shared" si="3"/>
        <v>22918.755999999998</v>
      </c>
      <c r="N13" s="1006">
        <f t="shared" si="3"/>
        <v>13166.907999999999</v>
      </c>
      <c r="O13" s="1001">
        <f t="shared" si="3"/>
        <v>19956.297999999999</v>
      </c>
      <c r="P13" s="1001">
        <f t="shared" si="3"/>
        <v>19561.466</v>
      </c>
      <c r="Q13" s="1001">
        <v>17512.197</v>
      </c>
      <c r="R13" s="1001">
        <v>23417.484</v>
      </c>
      <c r="S13" s="1002">
        <f>SUM(S25:S30)</f>
        <v>33780.842000000004</v>
      </c>
      <c r="T13" s="1001">
        <f>SUM(O13:S13)</f>
        <v>114228.287</v>
      </c>
      <c r="U13" s="1003">
        <f>+AB13/12*5</f>
        <v>112581.14247308446</v>
      </c>
      <c r="V13" s="1004">
        <f>T13-U13</f>
        <v>1647.1445269155374</v>
      </c>
      <c r="W13" s="1005">
        <f>IFERROR(T13/U13-1,0)</f>
        <v>1.463073202787335E-2</v>
      </c>
      <c r="X13" s="1006">
        <f>SUM(X25:X30)</f>
        <v>226089.57199999999</v>
      </c>
      <c r="Y13" s="1005">
        <f>IFERROR(T13/X13-1,100%)</f>
        <v>-0.49476534459537125</v>
      </c>
      <c r="AB13" s="1037">
        <f>SUM(AB25:AB30)</f>
        <v>270194.74193540268</v>
      </c>
    </row>
    <row r="14" spans="2:28" ht="15">
      <c r="B14" s="1000" t="s">
        <v>457</v>
      </c>
      <c r="C14" s="1006">
        <f t="shared" ref="C14:S14" si="4">SUM(C31:C36)</f>
        <v>24455.52</v>
      </c>
      <c r="D14" s="1006">
        <f t="shared" si="4"/>
        <v>23651.68</v>
      </c>
      <c r="E14" s="1006">
        <f t="shared" si="4"/>
        <v>37225.418999999994</v>
      </c>
      <c r="F14" s="1006">
        <f t="shared" si="4"/>
        <v>13323.959000000001</v>
      </c>
      <c r="G14" s="1066">
        <f t="shared" si="4"/>
        <v>25616.639000000003</v>
      </c>
      <c r="H14" s="1006">
        <f t="shared" si="4"/>
        <v>19079.948</v>
      </c>
      <c r="I14" s="1006">
        <f t="shared" si="4"/>
        <v>17626.558000000001</v>
      </c>
      <c r="J14" s="1006">
        <f t="shared" si="4"/>
        <v>11836.759</v>
      </c>
      <c r="K14" s="1006">
        <f t="shared" si="4"/>
        <v>22089.203999999998</v>
      </c>
      <c r="L14" s="1006">
        <f t="shared" si="4"/>
        <v>27587.599999999999</v>
      </c>
      <c r="M14" s="1006">
        <f t="shared" si="4"/>
        <v>29294.400000000001</v>
      </c>
      <c r="N14" s="1006">
        <f t="shared" si="4"/>
        <v>11182.76</v>
      </c>
      <c r="O14" s="1001">
        <f t="shared" si="4"/>
        <v>27771.234</v>
      </c>
      <c r="P14" s="1001">
        <f t="shared" si="4"/>
        <v>22640.6</v>
      </c>
      <c r="Q14" s="1001">
        <v>17850.828000000001</v>
      </c>
      <c r="R14" s="1001">
        <v>20783.316000000003</v>
      </c>
      <c r="S14" s="1002">
        <f t="shared" si="4"/>
        <v>31192.403999999999</v>
      </c>
      <c r="T14" s="1001">
        <f>SUM(O14:S14)</f>
        <v>120238.38200000001</v>
      </c>
      <c r="U14" s="1003">
        <f>+AB14/12*5</f>
        <v>129388.1165430953</v>
      </c>
      <c r="V14" s="1004">
        <f>T14-U14</f>
        <v>-9149.7345430952846</v>
      </c>
      <c r="W14" s="1005">
        <f t="shared" ref="W14" si="5">IFERROR(T14/U14-1,0)</f>
        <v>-7.0715416435077172E-2</v>
      </c>
      <c r="X14" s="1006">
        <f>SUM(X31:X36)</f>
        <v>348323.989</v>
      </c>
      <c r="Y14" s="1005">
        <f t="shared" ref="Y14:Y15" si="6">IFERROR(T14/X14-1,100%)</f>
        <v>-0.65480878206180626</v>
      </c>
      <c r="AA14" s="1007"/>
      <c r="AB14" s="1037">
        <f>SUM(AB31:AB36)</f>
        <v>310531.47970342869</v>
      </c>
    </row>
    <row r="15" spans="2:28" ht="15">
      <c r="B15" s="1007" t="s">
        <v>167</v>
      </c>
      <c r="C15" s="1010">
        <f>SUM(C13:C14)</f>
        <v>49455.915000000001</v>
      </c>
      <c r="D15" s="1010">
        <f t="shared" ref="D15:U15" si="7">SUM(D13:D14)</f>
        <v>43828.358999999997</v>
      </c>
      <c r="E15" s="1010">
        <f t="shared" si="7"/>
        <v>57694.285999999993</v>
      </c>
      <c r="F15" s="1010">
        <f t="shared" si="7"/>
        <v>22146.552000000003</v>
      </c>
      <c r="G15" s="1067">
        <f t="shared" si="7"/>
        <v>51497.368999999999</v>
      </c>
      <c r="H15" s="1010">
        <f t="shared" si="7"/>
        <v>29253.972000000002</v>
      </c>
      <c r="I15" s="1010">
        <f t="shared" si="7"/>
        <v>35653.731000000007</v>
      </c>
      <c r="J15" s="1010">
        <f t="shared" si="7"/>
        <v>27191.846999999998</v>
      </c>
      <c r="K15" s="1010">
        <f t="shared" si="7"/>
        <v>39285.774999999994</v>
      </c>
      <c r="L15" s="1010">
        <f t="shared" si="7"/>
        <v>52746.656000000003</v>
      </c>
      <c r="M15" s="1010">
        <f t="shared" si="7"/>
        <v>52213.156000000003</v>
      </c>
      <c r="N15" s="1010">
        <f t="shared" si="7"/>
        <v>24349.667999999998</v>
      </c>
      <c r="O15" s="1019">
        <f t="shared" si="7"/>
        <v>47727.531999999999</v>
      </c>
      <c r="P15" s="1019">
        <f t="shared" si="7"/>
        <v>42202.065999999999</v>
      </c>
      <c r="Q15" s="1019">
        <v>35363.025000000001</v>
      </c>
      <c r="R15" s="1019">
        <v>44200.800000000003</v>
      </c>
      <c r="S15" s="1049">
        <f t="shared" si="7"/>
        <v>64973.245999999999</v>
      </c>
      <c r="T15" s="1008">
        <f t="shared" si="7"/>
        <v>234466.66899999999</v>
      </c>
      <c r="U15" s="1008">
        <f t="shared" si="7"/>
        <v>241969.25901617977</v>
      </c>
      <c r="V15" s="1009">
        <f>T15-U15</f>
        <v>-7502.5900161797763</v>
      </c>
      <c r="W15" s="1005">
        <f>IFERROR(T15/U15-1,0)</f>
        <v>-3.1006376788045187E-2</v>
      </c>
      <c r="X15" s="1010">
        <f>SUM(X13:X14)</f>
        <v>574413.56099999999</v>
      </c>
      <c r="Y15" s="1005">
        <f t="shared" si="6"/>
        <v>-0.59181557518973693</v>
      </c>
      <c r="AA15" s="1007"/>
      <c r="AB15" s="1008">
        <f>SUM(AB13:AB14)</f>
        <v>580726.22163883131</v>
      </c>
    </row>
    <row r="16" spans="2:28" ht="15">
      <c r="B16" s="1007"/>
      <c r="C16" s="1010"/>
      <c r="D16" s="1010"/>
      <c r="E16" s="1010"/>
      <c r="F16" s="1010"/>
      <c r="G16" s="1010"/>
      <c r="H16" s="1010"/>
      <c r="I16" s="1010"/>
      <c r="J16" s="1010"/>
      <c r="K16" s="1010"/>
      <c r="L16" s="1010"/>
      <c r="M16" s="1010"/>
      <c r="N16" s="1010"/>
      <c r="O16" s="1019"/>
      <c r="P16" s="1019"/>
      <c r="Q16" s="1019"/>
      <c r="R16" s="1019"/>
      <c r="S16" s="1019"/>
      <c r="T16" s="1008"/>
      <c r="U16" s="1008"/>
      <c r="V16" s="1009"/>
      <c r="W16" s="267"/>
      <c r="X16" s="1010"/>
      <c r="Y16" s="267"/>
      <c r="AA16" s="1007"/>
      <c r="AB16" s="1008"/>
    </row>
    <row r="17" spans="1:30" ht="15">
      <c r="B17" s="1007" t="s">
        <v>458</v>
      </c>
      <c r="C17" s="1011"/>
      <c r="D17" s="1011"/>
      <c r="E17" s="1011"/>
      <c r="F17" s="1011"/>
      <c r="G17" s="1011"/>
      <c r="H17" s="1011"/>
      <c r="I17" s="1011"/>
      <c r="J17" s="1011"/>
      <c r="K17" s="1011"/>
      <c r="L17" s="1011"/>
      <c r="M17" s="1011"/>
      <c r="N17" s="1011"/>
      <c r="O17" s="1050"/>
      <c r="P17" s="1050"/>
      <c r="Q17" s="1050"/>
      <c r="R17" s="1050"/>
      <c r="S17" s="1050"/>
      <c r="T17" s="1007"/>
      <c r="U17" s="1007"/>
      <c r="V17" s="1009"/>
      <c r="W17" s="1007"/>
      <c r="X17" s="1011"/>
      <c r="Y17" s="1007"/>
      <c r="AA17" s="1007"/>
      <c r="AB17" s="1007"/>
    </row>
    <row r="18" spans="1:30" ht="15">
      <c r="B18" s="149" t="s">
        <v>2</v>
      </c>
      <c r="C18" s="1068">
        <v>5638</v>
      </c>
      <c r="D18" s="1068">
        <v>3715</v>
      </c>
      <c r="E18" s="1068">
        <v>3194</v>
      </c>
      <c r="F18" s="1068">
        <v>3425</v>
      </c>
      <c r="G18" s="1069">
        <v>3102</v>
      </c>
      <c r="H18" s="1068">
        <v>3170</v>
      </c>
      <c r="I18" s="1068">
        <v>3939</v>
      </c>
      <c r="J18" s="1068">
        <v>280</v>
      </c>
      <c r="K18" s="1068">
        <v>3415</v>
      </c>
      <c r="L18" s="1068">
        <v>3986</v>
      </c>
      <c r="M18" s="1068">
        <v>5639</v>
      </c>
      <c r="N18" s="1068">
        <v>2160</v>
      </c>
      <c r="O18" s="1012">
        <v>4264</v>
      </c>
      <c r="P18" s="1012">
        <v>2767</v>
      </c>
      <c r="Q18" s="1012">
        <v>2252</v>
      </c>
      <c r="R18" s="1012">
        <v>3232</v>
      </c>
      <c r="S18" s="1013">
        <v>2300</v>
      </c>
      <c r="T18" s="1038">
        <f>SUM(O18:S18)</f>
        <v>14815</v>
      </c>
      <c r="U18" s="1038">
        <f>+AB18/12*5</f>
        <v>26737.083333333336</v>
      </c>
      <c r="V18" s="1014">
        <f>T18-U18</f>
        <v>-11922.083333333336</v>
      </c>
      <c r="W18" s="1039">
        <f>IFERROR(T18/U18-1,0)</f>
        <v>-0.44590066854711785</v>
      </c>
      <c r="X18" s="1040">
        <v>229260</v>
      </c>
      <c r="Y18" s="1041">
        <f>IFERROR(T18/X18-1,100%)</f>
        <v>-0.93537904562505458</v>
      </c>
      <c r="AA18" s="1042"/>
      <c r="AB18" s="1015">
        <v>64169</v>
      </c>
    </row>
    <row r="19" spans="1:30" ht="15">
      <c r="B19" s="149" t="s">
        <v>3</v>
      </c>
      <c r="C19" s="1068">
        <v>3500</v>
      </c>
      <c r="D19" s="1068">
        <v>1499</v>
      </c>
      <c r="E19" s="1068">
        <v>1449</v>
      </c>
      <c r="F19" s="1068">
        <v>1381</v>
      </c>
      <c r="G19" s="1069">
        <v>1487</v>
      </c>
      <c r="H19" s="1068">
        <v>1697</v>
      </c>
      <c r="I19" s="1068">
        <v>1481</v>
      </c>
      <c r="J19" s="1068">
        <v>0</v>
      </c>
      <c r="K19" s="1068">
        <v>1459</v>
      </c>
      <c r="L19" s="1068">
        <v>2643</v>
      </c>
      <c r="M19" s="1068">
        <v>1798</v>
      </c>
      <c r="N19" s="1068">
        <v>573</v>
      </c>
      <c r="O19" s="1012">
        <v>1812</v>
      </c>
      <c r="P19" s="1012">
        <v>1149</v>
      </c>
      <c r="Q19" s="1012">
        <v>1162</v>
      </c>
      <c r="R19" s="1012">
        <v>961</v>
      </c>
      <c r="S19" s="1013">
        <v>1536</v>
      </c>
      <c r="T19" s="1038">
        <f t="shared" ref="T19:T20" si="8">SUM(O19:S19)</f>
        <v>6620</v>
      </c>
      <c r="U19" s="1038">
        <f>+AB19/12*5</f>
        <v>7750.8333333333339</v>
      </c>
      <c r="V19" s="1014">
        <f>T19-U19</f>
        <v>-1130.8333333333339</v>
      </c>
      <c r="W19" s="1039">
        <f>IFERROR(T19/U19-1,0)</f>
        <v>-0.14589829050639724</v>
      </c>
      <c r="X19" s="1040">
        <v>16554</v>
      </c>
      <c r="Y19" s="1041">
        <f>IFERROR(T19/X19-1,100%)</f>
        <v>-0.60009665337682727</v>
      </c>
      <c r="AA19" s="1042"/>
      <c r="AB19" s="1015">
        <v>18602</v>
      </c>
    </row>
    <row r="20" spans="1:30" ht="15">
      <c r="B20" s="149" t="s">
        <v>4</v>
      </c>
      <c r="C20" s="1068">
        <v>4358</v>
      </c>
      <c r="D20" s="1068">
        <v>1723</v>
      </c>
      <c r="E20" s="1068">
        <v>1283</v>
      </c>
      <c r="F20" s="1068">
        <v>664</v>
      </c>
      <c r="G20" s="1069">
        <v>1971</v>
      </c>
      <c r="H20" s="1068">
        <v>904</v>
      </c>
      <c r="I20" s="1068">
        <v>966</v>
      </c>
      <c r="J20" s="1068">
        <v>620</v>
      </c>
      <c r="K20" s="1068">
        <v>1420</v>
      </c>
      <c r="L20" s="1068">
        <v>2182</v>
      </c>
      <c r="M20" s="1068">
        <v>1950</v>
      </c>
      <c r="N20" s="1068">
        <v>768</v>
      </c>
      <c r="O20" s="1012">
        <v>1390</v>
      </c>
      <c r="P20" s="1012">
        <v>816</v>
      </c>
      <c r="Q20" s="1012">
        <v>877</v>
      </c>
      <c r="R20" s="1012">
        <v>1076</v>
      </c>
      <c r="S20" s="1013">
        <v>868</v>
      </c>
      <c r="T20" s="1038">
        <f t="shared" si="8"/>
        <v>5027</v>
      </c>
      <c r="U20" s="1038">
        <f>+AB20/12*5</f>
        <v>9103.75</v>
      </c>
      <c r="V20" s="1014">
        <f>T20-U20</f>
        <v>-4076.75</v>
      </c>
      <c r="W20" s="1039">
        <f>IFERROR(T20/U20-1,0)</f>
        <v>-0.4478099684196073</v>
      </c>
      <c r="X20" s="1040">
        <v>28954</v>
      </c>
      <c r="Y20" s="1041">
        <f>IFERROR(T20/X20-1,100%)</f>
        <v>-0.82637977481522418</v>
      </c>
      <c r="AA20" s="1042"/>
      <c r="AB20" s="1015">
        <v>21849</v>
      </c>
    </row>
    <row r="21" spans="1:30" ht="15">
      <c r="B21" s="1000" t="s">
        <v>459</v>
      </c>
      <c r="C21" s="1006">
        <f>SUM(C18:C20)</f>
        <v>13496</v>
      </c>
      <c r="D21" s="1006">
        <f>SUM(D18:D20)</f>
        <v>6937</v>
      </c>
      <c r="E21" s="1006">
        <f t="shared" ref="E21:P21" si="9">SUM(E18:E20)</f>
        <v>5926</v>
      </c>
      <c r="F21" s="1006">
        <f t="shared" si="9"/>
        <v>5470</v>
      </c>
      <c r="G21" s="1070">
        <f t="shared" si="9"/>
        <v>6560</v>
      </c>
      <c r="H21" s="1006">
        <f t="shared" si="9"/>
        <v>5771</v>
      </c>
      <c r="I21" s="1006">
        <f t="shared" si="9"/>
        <v>6386</v>
      </c>
      <c r="J21" s="1006">
        <f t="shared" si="9"/>
        <v>900</v>
      </c>
      <c r="K21" s="1006">
        <f t="shared" si="9"/>
        <v>6294</v>
      </c>
      <c r="L21" s="1006">
        <f t="shared" si="9"/>
        <v>8811</v>
      </c>
      <c r="M21" s="1006">
        <f t="shared" si="9"/>
        <v>9387</v>
      </c>
      <c r="N21" s="1006">
        <f t="shared" si="9"/>
        <v>3501</v>
      </c>
      <c r="O21" s="1001">
        <f t="shared" si="9"/>
        <v>7466</v>
      </c>
      <c r="P21" s="1001">
        <f t="shared" si="9"/>
        <v>4732</v>
      </c>
      <c r="Q21" s="1001">
        <v>4291</v>
      </c>
      <c r="R21" s="1001">
        <v>5269</v>
      </c>
      <c r="S21" s="1016">
        <f>SUM(S18:S20)</f>
        <v>4704</v>
      </c>
      <c r="T21" s="1001">
        <f>SUM(T18:T20)</f>
        <v>26462</v>
      </c>
      <c r="U21" s="1003">
        <f>SUM(U18:U20)</f>
        <v>43591.666666666672</v>
      </c>
      <c r="V21" s="1017">
        <f>T21-U21</f>
        <v>-17129.666666666672</v>
      </c>
      <c r="W21" s="1043">
        <f>IFERROR(T21/U21-1,0)</f>
        <v>-0.39295736952781501</v>
      </c>
      <c r="X21" s="1006">
        <f>SUM(X18:X20)</f>
        <v>274768</v>
      </c>
      <c r="Y21" s="1018">
        <f>IFERROR(T21/X21-1,100%)</f>
        <v>-0.90369329761835437</v>
      </c>
      <c r="AB21" s="1044">
        <f>SUM(AB18:AB20)</f>
        <v>104620</v>
      </c>
    </row>
    <row r="22" spans="1:30" ht="15">
      <c r="B22" s="1007"/>
      <c r="C22" s="1010"/>
      <c r="D22" s="1010"/>
      <c r="E22" s="1010"/>
      <c r="F22" s="1010"/>
      <c r="G22" s="1010"/>
      <c r="H22" s="1010"/>
      <c r="I22" s="1010"/>
      <c r="J22" s="1010"/>
      <c r="K22" s="1010"/>
      <c r="L22" s="1010"/>
      <c r="M22" s="1010"/>
      <c r="N22" s="1010"/>
      <c r="O22" s="1019"/>
      <c r="P22" s="1019"/>
      <c r="Q22" s="1019"/>
      <c r="R22" s="1019"/>
      <c r="S22" s="1019"/>
      <c r="T22" s="1019"/>
      <c r="U22" s="1019"/>
      <c r="V22" s="1009"/>
      <c r="W22" s="267"/>
      <c r="X22" s="1020"/>
      <c r="Y22" s="267"/>
      <c r="AB22" s="1045"/>
    </row>
    <row r="23" spans="1:30" ht="15.75" thickBot="1">
      <c r="B23" s="1021" t="s">
        <v>460</v>
      </c>
      <c r="C23" s="1025">
        <f>+C15/C21</f>
        <v>3.6644868850029639</v>
      </c>
      <c r="D23" s="1025">
        <f>+D15/D21</f>
        <v>6.3180566527317277</v>
      </c>
      <c r="E23" s="1025">
        <f t="shared" ref="E23:P23" si="10">+E15/E21</f>
        <v>9.7357890651366841</v>
      </c>
      <c r="F23" s="1025">
        <f t="shared" si="10"/>
        <v>4.0487297989031088</v>
      </c>
      <c r="G23" s="1071">
        <f t="shared" si="10"/>
        <v>7.8502086890243898</v>
      </c>
      <c r="H23" s="1025">
        <f t="shared" si="10"/>
        <v>5.0691339455900195</v>
      </c>
      <c r="I23" s="1025">
        <f t="shared" si="10"/>
        <v>5.5831085186345142</v>
      </c>
      <c r="J23" s="1025">
        <f t="shared" si="10"/>
        <v>30.21316333333333</v>
      </c>
      <c r="K23" s="1025">
        <f t="shared" si="10"/>
        <v>6.2417818557356206</v>
      </c>
      <c r="L23" s="1025">
        <f t="shared" si="10"/>
        <v>5.9864551129270236</v>
      </c>
      <c r="M23" s="1025">
        <f t="shared" si="10"/>
        <v>5.562283583679557</v>
      </c>
      <c r="N23" s="1025">
        <f t="shared" si="10"/>
        <v>6.9550608397600682</v>
      </c>
      <c r="O23" s="1051">
        <f t="shared" si="10"/>
        <v>6.3926509509777656</v>
      </c>
      <c r="P23" s="1051">
        <f t="shared" si="10"/>
        <v>8.9184416737109036</v>
      </c>
      <c r="Q23" s="1051">
        <v>8.2412083430435796</v>
      </c>
      <c r="R23" s="1051">
        <v>8.3888403871702408</v>
      </c>
      <c r="S23" s="1052">
        <f>+S15/S21</f>
        <v>13.812339710884354</v>
      </c>
      <c r="T23" s="1022">
        <f>+T15/T21</f>
        <v>8.8605044592245488</v>
      </c>
      <c r="U23" s="1022">
        <f>+U15/U21</f>
        <v>5.5508145826690054</v>
      </c>
      <c r="V23" s="1023">
        <f>T23-U23</f>
        <v>3.3096898765555434</v>
      </c>
      <c r="W23" s="1024">
        <f>IFERROR(T23/U23-1,0)</f>
        <v>0.59625300525966063</v>
      </c>
      <c r="X23" s="1025">
        <f>+X15/X21</f>
        <v>2.0905402412216851</v>
      </c>
      <c r="Y23" s="1024">
        <f>IFERROR(T23/X23-1,100%)</f>
        <v>3.238380244738357</v>
      </c>
      <c r="AB23" s="1022">
        <f>+AB15/AB21</f>
        <v>5.5508145826690054</v>
      </c>
    </row>
    <row r="24" spans="1:30">
      <c r="W24" s="1045"/>
      <c r="AB24" s="1026"/>
      <c r="AC24" s="1026"/>
    </row>
    <row r="25" spans="1:30" s="15" customFormat="1" ht="12.75">
      <c r="A25" s="1027">
        <v>6011000000</v>
      </c>
      <c r="B25" s="1028" t="s">
        <v>461</v>
      </c>
      <c r="C25" s="1031">
        <v>3606.5140000000001</v>
      </c>
      <c r="D25" s="1031">
        <v>2889.5680000000002</v>
      </c>
      <c r="E25" s="1031">
        <v>3605.1089999999999</v>
      </c>
      <c r="F25" s="1031">
        <v>1365.9879999999994</v>
      </c>
      <c r="G25" s="1031">
        <v>4147.9650000000001</v>
      </c>
      <c r="H25" s="1031">
        <v>3845.2030000000013</v>
      </c>
      <c r="I25" s="1031">
        <v>4111.1289999999972</v>
      </c>
      <c r="J25" s="1031">
        <v>1679.537</v>
      </c>
      <c r="K25" s="1031">
        <v>6667.6090000000004</v>
      </c>
      <c r="L25" s="1031">
        <v>4026.0520000000001</v>
      </c>
      <c r="M25" s="1031">
        <v>4780.78</v>
      </c>
      <c r="N25" s="1031">
        <v>3782.0830000000001</v>
      </c>
      <c r="O25" s="1053">
        <v>6374.0820000000003</v>
      </c>
      <c r="P25" s="1053">
        <v>3531.2959999999998</v>
      </c>
      <c r="Q25" s="1053">
        <v>4615.3599999999997</v>
      </c>
      <c r="R25" s="1053">
        <v>7704.7599999999975</v>
      </c>
      <c r="S25" s="1053">
        <v>11359.164000000001</v>
      </c>
      <c r="T25" s="1029"/>
      <c r="U25" s="1029"/>
      <c r="V25" s="1029"/>
      <c r="W25" s="1029"/>
      <c r="X25" s="1030">
        <v>25685.161</v>
      </c>
      <c r="Y25" s="1031"/>
      <c r="Z25" s="324"/>
      <c r="AA25" s="1029"/>
      <c r="AB25" s="1029">
        <v>33007.877803953445</v>
      </c>
      <c r="AC25" s="1032"/>
      <c r="AD25" s="1029"/>
    </row>
    <row r="26" spans="1:30" s="15" customFormat="1" ht="12.75">
      <c r="A26" s="1027">
        <v>6011000004</v>
      </c>
      <c r="B26" s="1028" t="s">
        <v>462</v>
      </c>
      <c r="C26" s="1031">
        <v>3233.0630000000001</v>
      </c>
      <c r="D26" s="1031">
        <v>5096.5720000000001</v>
      </c>
      <c r="E26" s="1031">
        <v>2491.190999999998</v>
      </c>
      <c r="F26" s="1031">
        <v>3001.691000000003</v>
      </c>
      <c r="G26" s="1031">
        <v>5655.5469999999996</v>
      </c>
      <c r="H26" s="1031">
        <v>5079.1769999999997</v>
      </c>
      <c r="I26" s="1031">
        <v>4733.9600000000046</v>
      </c>
      <c r="J26" s="1031">
        <v>4540.2669999999998</v>
      </c>
      <c r="K26" s="1031">
        <v>3538.8270000000002</v>
      </c>
      <c r="L26" s="1031">
        <v>4990.71</v>
      </c>
      <c r="M26" s="1031">
        <v>5221.5959999999995</v>
      </c>
      <c r="N26" s="1031">
        <v>3986.1210000000001</v>
      </c>
      <c r="O26" s="1053">
        <v>5749.1980000000003</v>
      </c>
      <c r="P26" s="1053">
        <v>2311.4059999999999</v>
      </c>
      <c r="Q26" s="1053">
        <v>6232.9619999999995</v>
      </c>
      <c r="R26" s="1053">
        <v>5498.1579999999994</v>
      </c>
      <c r="S26" s="1053">
        <v>3906.6460000000002</v>
      </c>
      <c r="T26" s="1029"/>
      <c r="U26" s="1029"/>
      <c r="V26" s="1029"/>
      <c r="W26" s="1029"/>
      <c r="X26" s="1030">
        <v>80316.508000000002</v>
      </c>
      <c r="Y26" s="1031"/>
      <c r="Z26" s="324"/>
      <c r="AA26" s="1029"/>
      <c r="AB26" s="1029">
        <v>34875.192382498382</v>
      </c>
      <c r="AC26" s="1032"/>
      <c r="AD26" s="1029"/>
    </row>
    <row r="27" spans="1:30" s="15" customFormat="1" ht="12.75">
      <c r="A27" s="1027">
        <v>6011000005</v>
      </c>
      <c r="B27" s="1028" t="s">
        <v>463</v>
      </c>
      <c r="C27" s="1031">
        <v>4694.0969999999998</v>
      </c>
      <c r="D27" s="1031">
        <v>1599.5119999999999</v>
      </c>
      <c r="E27" s="1031">
        <v>947.75</v>
      </c>
      <c r="F27" s="1031">
        <v>1241.0200000000013</v>
      </c>
      <c r="G27" s="1031">
        <v>1018.1850000000004</v>
      </c>
      <c r="H27" s="1031">
        <v>2399.4649999999988</v>
      </c>
      <c r="I27" s="1031">
        <v>1237.152</v>
      </c>
      <c r="J27" s="1031">
        <v>2353.7009999999982</v>
      </c>
      <c r="K27" s="1031">
        <v>3559.5790000000002</v>
      </c>
      <c r="L27" s="1031">
        <v>2584.71</v>
      </c>
      <c r="M27" s="1031">
        <v>1871.9</v>
      </c>
      <c r="N27" s="1031">
        <v>1076.0640000000001</v>
      </c>
      <c r="O27" s="1053">
        <v>1273.3720000000001</v>
      </c>
      <c r="P27" s="1053">
        <v>1562.1320000000001</v>
      </c>
      <c r="Q27" s="1053">
        <v>1898.6859999999997</v>
      </c>
      <c r="R27" s="1053">
        <v>2478.5220000000008</v>
      </c>
      <c r="S27" s="1053">
        <v>2582.0039999999999</v>
      </c>
      <c r="T27" s="1029"/>
      <c r="U27" s="1029"/>
      <c r="V27" s="1029"/>
      <c r="W27" s="1029"/>
      <c r="X27" s="1030">
        <v>28699.786999999997</v>
      </c>
      <c r="Y27" s="1031"/>
      <c r="Z27" s="324"/>
      <c r="AA27" s="1029"/>
      <c r="AB27" s="1029">
        <v>40180.712770703423</v>
      </c>
      <c r="AC27" s="1032"/>
      <c r="AD27" s="1029"/>
    </row>
    <row r="28" spans="1:30" s="15" customFormat="1" ht="12.75">
      <c r="A28" s="1027">
        <v>6012000000</v>
      </c>
      <c r="B28" s="1028" t="s">
        <v>464</v>
      </c>
      <c r="C28" s="1031">
        <v>1806.511</v>
      </c>
      <c r="D28" s="1031">
        <v>1044.6470000000002</v>
      </c>
      <c r="E28" s="1031">
        <v>2548.2489999999998</v>
      </c>
      <c r="F28" s="1031">
        <v>18</v>
      </c>
      <c r="G28" s="1031">
        <v>1520.49</v>
      </c>
      <c r="H28" s="1031">
        <v>1142.806</v>
      </c>
      <c r="I28" s="1031">
        <v>1076.7940000000001</v>
      </c>
      <c r="J28" s="1031">
        <v>748.06200000000001</v>
      </c>
      <c r="K28" s="1031">
        <v>519.96799999999996</v>
      </c>
      <c r="L28" s="1031">
        <v>1138.2360000000001</v>
      </c>
      <c r="M28" s="1031">
        <v>2428.2840000000001</v>
      </c>
      <c r="N28" s="1031">
        <v>321.99400000000003</v>
      </c>
      <c r="O28" s="1053">
        <v>674.07799999999997</v>
      </c>
      <c r="P28" s="1053">
        <v>1184.0160000000001</v>
      </c>
      <c r="Q28" s="1053">
        <v>695.05499999999995</v>
      </c>
      <c r="R28" s="1053">
        <v>1177.788</v>
      </c>
      <c r="S28" s="1053">
        <v>1748.384</v>
      </c>
      <c r="T28" s="1029"/>
      <c r="U28" s="1029"/>
      <c r="V28" s="1029"/>
      <c r="W28" s="1029"/>
      <c r="X28" s="1030">
        <v>6386.53</v>
      </c>
      <c r="Y28" s="1031"/>
      <c r="Z28" s="324"/>
      <c r="AA28" s="1029"/>
      <c r="AB28" s="1029">
        <v>15401.869759281555</v>
      </c>
      <c r="AC28" s="1032"/>
      <c r="AD28" s="1029"/>
    </row>
    <row r="29" spans="1:30" s="15" customFormat="1" ht="12.75">
      <c r="A29" s="1027">
        <v>6012000004</v>
      </c>
      <c r="B29" s="1028" t="s">
        <v>465</v>
      </c>
      <c r="C29" s="1031">
        <v>5366.0659999999998</v>
      </c>
      <c r="D29" s="1031">
        <v>3948.6170000000011</v>
      </c>
      <c r="E29" s="1031">
        <v>3333.7069999999999</v>
      </c>
      <c r="F29" s="1031">
        <v>1191.1639999999982</v>
      </c>
      <c r="G29" s="1031">
        <v>8746.8709999999992</v>
      </c>
      <c r="H29" s="1031">
        <v>-4029.2869999999998</v>
      </c>
      <c r="I29" s="1031">
        <v>2682.7060000000038</v>
      </c>
      <c r="J29" s="1031">
        <v>2659.6880000000001</v>
      </c>
      <c r="K29" s="1031">
        <v>565.65999999999349</v>
      </c>
      <c r="L29" s="1031">
        <v>3922.88</v>
      </c>
      <c r="M29" s="1031">
        <v>4701.7619999999997</v>
      </c>
      <c r="N29" s="1031">
        <v>1001.665</v>
      </c>
      <c r="O29" s="1053">
        <v>3782.3580000000002</v>
      </c>
      <c r="P29" s="1053">
        <v>6864.43</v>
      </c>
      <c r="Q29" s="1053">
        <v>1711.4160000000002</v>
      </c>
      <c r="R29" s="1053">
        <v>4724.3940000000011</v>
      </c>
      <c r="S29" s="1053">
        <v>7999.9520000000002</v>
      </c>
      <c r="T29" s="1029"/>
      <c r="U29" s="1029"/>
      <c r="V29" s="1029"/>
      <c r="W29" s="1029"/>
      <c r="X29" s="1030">
        <v>23825.202000000001</v>
      </c>
      <c r="Y29" s="1031"/>
      <c r="Z29" s="324"/>
      <c r="AA29" s="1029"/>
      <c r="AB29" s="1029">
        <v>32616.749199741986</v>
      </c>
      <c r="AC29" s="1032"/>
      <c r="AD29" s="1029"/>
    </row>
    <row r="30" spans="1:30" s="15" customFormat="1" ht="12.75">
      <c r="A30" s="1027">
        <v>6012000005</v>
      </c>
      <c r="B30" s="1028" t="s">
        <v>466</v>
      </c>
      <c r="C30" s="1031">
        <v>6294.1440000000002</v>
      </c>
      <c r="D30" s="1031">
        <v>5597.762999999999</v>
      </c>
      <c r="E30" s="1031">
        <v>7542.8609999999999</v>
      </c>
      <c r="F30" s="1031">
        <v>2004.7300000000014</v>
      </c>
      <c r="G30" s="1031">
        <v>4791.6719999999996</v>
      </c>
      <c r="H30" s="1031">
        <v>1736.66</v>
      </c>
      <c r="I30" s="1031">
        <v>4185.4319999999998</v>
      </c>
      <c r="J30" s="1031">
        <v>3373.8330000000001</v>
      </c>
      <c r="K30" s="1031">
        <v>2344.9279999999999</v>
      </c>
      <c r="L30" s="1031">
        <v>8496.4680000000008</v>
      </c>
      <c r="M30" s="1031">
        <v>3914.4339999999975</v>
      </c>
      <c r="N30" s="1031">
        <v>2998.9810000000002</v>
      </c>
      <c r="O30" s="1053">
        <v>2103.21</v>
      </c>
      <c r="P30" s="1053">
        <v>4108.1859999999997</v>
      </c>
      <c r="Q30" s="1053">
        <v>2358.7179999999998</v>
      </c>
      <c r="R30" s="1053">
        <v>1833.8620000000003</v>
      </c>
      <c r="S30" s="1053">
        <v>6184.692</v>
      </c>
      <c r="T30" s="1029"/>
      <c r="U30" s="1029"/>
      <c r="V30" s="1029"/>
      <c r="W30" s="1029"/>
      <c r="X30" s="1030">
        <v>61176.383999999998</v>
      </c>
      <c r="Y30" s="1031"/>
      <c r="Z30" s="324"/>
      <c r="AA30" s="1029"/>
      <c r="AB30" s="1029">
        <v>114112.34001922385</v>
      </c>
      <c r="AC30" s="1032"/>
      <c r="AD30" s="1029"/>
    </row>
    <row r="31" spans="1:30" s="15" customFormat="1" ht="12.75">
      <c r="A31" s="1027">
        <v>6241000001</v>
      </c>
      <c r="B31" s="1028" t="s">
        <v>467</v>
      </c>
      <c r="C31" s="1031">
        <v>2766.431</v>
      </c>
      <c r="D31" s="1031">
        <v>3572.32</v>
      </c>
      <c r="E31" s="1031">
        <v>6401.3280000000004</v>
      </c>
      <c r="F31" s="1031">
        <v>4271.2380000000003</v>
      </c>
      <c r="G31" s="1031">
        <v>2868.2629999999999</v>
      </c>
      <c r="H31" s="1031">
        <v>6167.1139999999996</v>
      </c>
      <c r="I31" s="1031">
        <v>3805.7370000000001</v>
      </c>
      <c r="J31" s="1031">
        <v>1095.1199999999999</v>
      </c>
      <c r="K31" s="1031">
        <v>7870.134</v>
      </c>
      <c r="L31" s="1031">
        <v>4766.8</v>
      </c>
      <c r="M31" s="1031">
        <v>4890.5940000000001</v>
      </c>
      <c r="N31" s="1031">
        <v>2303.433</v>
      </c>
      <c r="O31" s="1053">
        <v>7698.28</v>
      </c>
      <c r="P31" s="1053">
        <v>4016.2159999999999</v>
      </c>
      <c r="Q31" s="1053">
        <v>4957.9889999999996</v>
      </c>
      <c r="R31" s="1053">
        <v>5801.4880000000003</v>
      </c>
      <c r="S31" s="1053">
        <v>11107.562</v>
      </c>
      <c r="T31" s="1029"/>
      <c r="U31" s="1029"/>
      <c r="V31" s="1029"/>
      <c r="W31" s="1029"/>
      <c r="X31" s="1030">
        <v>33862.915000000001</v>
      </c>
      <c r="Y31" s="1031"/>
      <c r="Z31" s="324"/>
      <c r="AA31" s="1029"/>
      <c r="AB31" s="1029">
        <v>40142.378424493283</v>
      </c>
      <c r="AC31" s="1032"/>
      <c r="AD31" s="1029"/>
    </row>
    <row r="32" spans="1:30" s="15" customFormat="1" ht="12.75">
      <c r="A32" s="1027">
        <v>6241000004</v>
      </c>
      <c r="B32" s="1028" t="s">
        <v>468</v>
      </c>
      <c r="C32" s="1031">
        <v>2733.2640000000001</v>
      </c>
      <c r="D32" s="1031">
        <v>5557.68</v>
      </c>
      <c r="E32" s="1031">
        <v>7017.74</v>
      </c>
      <c r="F32" s="1031">
        <v>4477.8239999999996</v>
      </c>
      <c r="G32" s="1031">
        <v>7038.83</v>
      </c>
      <c r="H32" s="1031">
        <v>4249.674</v>
      </c>
      <c r="I32" s="1031">
        <v>4043.2220000000002</v>
      </c>
      <c r="J32" s="1031">
        <v>2976.462</v>
      </c>
      <c r="K32" s="1031">
        <v>4287.8239999999996</v>
      </c>
      <c r="L32" s="1031">
        <v>5134</v>
      </c>
      <c r="M32" s="1031">
        <v>5757.3559999999998</v>
      </c>
      <c r="N32" s="1031">
        <v>2489.2950000000001</v>
      </c>
      <c r="O32" s="1053">
        <v>6756.82</v>
      </c>
      <c r="P32" s="1053">
        <v>2395.1640000000002</v>
      </c>
      <c r="Q32" s="1053">
        <v>5767.3890000000001</v>
      </c>
      <c r="R32" s="1053">
        <v>4701.7920000000004</v>
      </c>
      <c r="S32" s="1053">
        <v>3232.788</v>
      </c>
      <c r="T32" s="1029"/>
      <c r="U32" s="1029"/>
      <c r="V32" s="1029"/>
      <c r="W32" s="1029"/>
      <c r="X32" s="1030">
        <v>107861.59600000002</v>
      </c>
      <c r="Y32" s="1031"/>
      <c r="Z32" s="324"/>
      <c r="AA32" s="1029"/>
      <c r="AB32" s="1029">
        <v>39552.766138321502</v>
      </c>
      <c r="AC32" s="1032"/>
      <c r="AD32" s="1029"/>
    </row>
    <row r="33" spans="1:30" s="15" customFormat="1" ht="12.75">
      <c r="A33" s="1027">
        <v>6241000005</v>
      </c>
      <c r="B33" s="1028" t="s">
        <v>469</v>
      </c>
      <c r="C33" s="1031">
        <v>4070.7249999999999</v>
      </c>
      <c r="D33" s="1031">
        <v>1772.88</v>
      </c>
      <c r="E33" s="1031">
        <v>1075.3119999999999</v>
      </c>
      <c r="F33" s="1031">
        <v>958.298</v>
      </c>
      <c r="G33" s="1031">
        <v>690.346</v>
      </c>
      <c r="H33" s="1031">
        <v>2928.3810000000003</v>
      </c>
      <c r="I33" s="1031">
        <v>470.4</v>
      </c>
      <c r="J33" s="1031">
        <v>978.13800000000003</v>
      </c>
      <c r="K33" s="1031">
        <v>4114.6959999999999</v>
      </c>
      <c r="L33" s="1031">
        <v>2488.8000000000002</v>
      </c>
      <c r="M33" s="1031">
        <v>1952.45</v>
      </c>
      <c r="N33" s="1031">
        <v>653.553</v>
      </c>
      <c r="O33" s="1053">
        <v>1858.1</v>
      </c>
      <c r="P33" s="1053">
        <v>1673.82</v>
      </c>
      <c r="Q33" s="1053">
        <v>1318.9010000000001</v>
      </c>
      <c r="R33" s="1053">
        <v>3004.0360000000001</v>
      </c>
      <c r="S33" s="1053">
        <v>2151.4180000000001</v>
      </c>
      <c r="T33" s="1029"/>
      <c r="U33" s="1029"/>
      <c r="V33" s="1029"/>
      <c r="W33" s="1029"/>
      <c r="X33" s="1030">
        <v>34227.645000000004</v>
      </c>
      <c r="Y33" s="1031"/>
      <c r="Z33" s="324"/>
      <c r="AA33" s="1029"/>
      <c r="AB33" s="1029">
        <v>35980.74875777954</v>
      </c>
      <c r="AC33" s="1032"/>
      <c r="AD33" s="1029"/>
    </row>
    <row r="34" spans="1:30" s="15" customFormat="1" ht="12.75">
      <c r="A34" s="1027">
        <v>6242000001</v>
      </c>
      <c r="B34" s="1028" t="s">
        <v>470</v>
      </c>
      <c r="C34" s="1031">
        <v>1425.5730000000001</v>
      </c>
      <c r="D34" s="1031">
        <v>1895.72</v>
      </c>
      <c r="E34" s="1031">
        <v>4695.3969999999999</v>
      </c>
      <c r="F34" s="1031">
        <v>0</v>
      </c>
      <c r="G34" s="1031">
        <v>2604.84</v>
      </c>
      <c r="H34" s="1031">
        <v>2121.8679999999999</v>
      </c>
      <c r="I34" s="1031">
        <v>1904.011</v>
      </c>
      <c r="J34" s="1031">
        <v>1386.9490000000001</v>
      </c>
      <c r="K34" s="1031">
        <v>930.64800000000002</v>
      </c>
      <c r="L34" s="1031">
        <v>1923.856</v>
      </c>
      <c r="M34" s="1031">
        <v>3962.53</v>
      </c>
      <c r="N34" s="1031">
        <v>573.64800000000002</v>
      </c>
      <c r="O34" s="1053">
        <v>1910.3240000000001</v>
      </c>
      <c r="P34" s="1053">
        <v>1615.85</v>
      </c>
      <c r="Q34" s="1053">
        <v>1103.2439999999999</v>
      </c>
      <c r="R34" s="1053">
        <v>1165.7239999999999</v>
      </c>
      <c r="S34" s="1053">
        <v>1910.1880000000001</v>
      </c>
      <c r="T34" s="1029"/>
      <c r="U34" s="1029"/>
      <c r="V34" s="1029"/>
      <c r="W34" s="1029"/>
      <c r="X34" s="1030">
        <v>14582.672</v>
      </c>
      <c r="Y34" s="1031"/>
      <c r="Z34" s="324"/>
      <c r="AA34" s="1029"/>
      <c r="AB34" s="1029">
        <v>25062.791826008423</v>
      </c>
      <c r="AC34" s="1032"/>
      <c r="AD34" s="1029"/>
    </row>
    <row r="35" spans="1:30" s="15" customFormat="1" ht="12.75">
      <c r="A35" s="1027">
        <v>6242000004</v>
      </c>
      <c r="B35" s="1028" t="s">
        <v>471</v>
      </c>
      <c r="C35" s="1031">
        <v>8228.7630000000008</v>
      </c>
      <c r="D35" s="1031">
        <v>7084.8799999999992</v>
      </c>
      <c r="E35" s="1031">
        <v>6336.277</v>
      </c>
      <c r="F35" s="1031">
        <v>1928.864</v>
      </c>
      <c r="G35" s="1031">
        <v>5788.44</v>
      </c>
      <c r="H35" s="1031">
        <v>2580.6509999999998</v>
      </c>
      <c r="I35" s="1031">
        <v>3934.5259999999998</v>
      </c>
      <c r="J35" s="1031">
        <v>3170.203</v>
      </c>
      <c r="K35" s="1031">
        <v>2791.944</v>
      </c>
      <c r="L35" s="1031">
        <v>6963.37</v>
      </c>
      <c r="M35" s="1031">
        <v>7762.54</v>
      </c>
      <c r="N35" s="1031">
        <v>1835.673</v>
      </c>
      <c r="O35" s="1053">
        <v>5732.06</v>
      </c>
      <c r="P35" s="1053">
        <v>10165.15</v>
      </c>
      <c r="Q35" s="1053">
        <v>2787.1439999999998</v>
      </c>
      <c r="R35" s="1053">
        <v>5384.2400000000025</v>
      </c>
      <c r="S35" s="1053">
        <v>8935.9140000000007</v>
      </c>
      <c r="T35" s="1029"/>
      <c r="U35" s="1029"/>
      <c r="V35" s="1029"/>
      <c r="W35" s="1029"/>
      <c r="X35" s="1030">
        <v>52920.294999999998</v>
      </c>
      <c r="Y35" s="1031"/>
      <c r="Z35" s="324"/>
      <c r="AA35" s="1029"/>
      <c r="AB35" s="1029">
        <v>55786.732738192499</v>
      </c>
      <c r="AC35" s="1032"/>
      <c r="AD35" s="1029"/>
    </row>
    <row r="36" spans="1:30" s="15" customFormat="1" ht="12.75">
      <c r="A36" s="1027">
        <v>6242000005</v>
      </c>
      <c r="B36" s="1028" t="s">
        <v>472</v>
      </c>
      <c r="C36" s="1031">
        <v>5230.7640000000001</v>
      </c>
      <c r="D36" s="1031">
        <v>3768.1999999999994</v>
      </c>
      <c r="E36" s="1031">
        <v>11699.365</v>
      </c>
      <c r="F36" s="1031">
        <v>1687.7349999999999</v>
      </c>
      <c r="G36" s="1031">
        <v>6625.92</v>
      </c>
      <c r="H36" s="1031">
        <v>1032.26</v>
      </c>
      <c r="I36" s="1031">
        <v>3468.6619999999998</v>
      </c>
      <c r="J36" s="1031">
        <v>2229.8870000000002</v>
      </c>
      <c r="K36" s="1031">
        <v>2093.9580000000001</v>
      </c>
      <c r="L36" s="1031">
        <v>6310.7740000000003</v>
      </c>
      <c r="M36" s="1031">
        <v>4968.93</v>
      </c>
      <c r="N36" s="1031">
        <v>3327.1579999999999</v>
      </c>
      <c r="O36" s="1053">
        <v>3815.65</v>
      </c>
      <c r="P36" s="1053">
        <v>2774.4</v>
      </c>
      <c r="Q36" s="1053">
        <v>1916.1610000000001</v>
      </c>
      <c r="R36" s="1053">
        <v>726.03599999999994</v>
      </c>
      <c r="S36" s="1053">
        <v>3854.5339999999997</v>
      </c>
      <c r="T36" s="1029"/>
      <c r="U36" s="1029"/>
      <c r="V36" s="1029"/>
      <c r="W36" s="1029"/>
      <c r="X36" s="1030">
        <v>104868.86599999999</v>
      </c>
      <c r="Y36" s="1031"/>
      <c r="Z36" s="324"/>
      <c r="AA36" s="1029"/>
      <c r="AB36" s="1029">
        <v>114006.06181863343</v>
      </c>
      <c r="AC36" s="1032"/>
      <c r="AD36" s="1029"/>
    </row>
  </sheetData>
  <pageMargins left="0.7" right="0.7" top="0.75" bottom="0.75" header="0.3" footer="0.3"/>
  <pageSetup paperSize="9" orientation="portrait" r:id="rId1"/>
  <ignoredErrors>
    <ignoredError sqref="S13:S15 S7 T3:T7 T18:T21 AB13:AB23 X13:X23 F7:Q7 F13:Q15"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10B35-2F58-4DA7-A7F8-4DC7E02FC3DF}">
  <sheetPr>
    <tabColor theme="5"/>
  </sheetPr>
  <dimension ref="A1:P76"/>
  <sheetViews>
    <sheetView showGridLines="0" zoomScale="70" zoomScaleNormal="70" workbookViewId="0">
      <selection activeCell="C40" sqref="C40"/>
    </sheetView>
  </sheetViews>
  <sheetFormatPr baseColWidth="10" defaultColWidth="8.85546875" defaultRowHeight="12.75"/>
  <cols>
    <col min="1" max="1" width="83.7109375" style="169" customWidth="1"/>
    <col min="2" max="4" width="16.28515625" style="15" customWidth="1"/>
    <col min="5" max="5" width="8.85546875" style="15"/>
    <col min="6" max="16" width="12.5703125" style="15" customWidth="1"/>
    <col min="17" max="17" width="24.5703125" style="15" bestFit="1" customWidth="1"/>
    <col min="18" max="16384" width="8.85546875" style="15"/>
  </cols>
  <sheetData>
    <row r="1" spans="1:16" ht="20.25">
      <c r="A1" s="1188" t="s">
        <v>131</v>
      </c>
    </row>
    <row r="2" spans="1:16">
      <c r="A2" s="15"/>
      <c r="D2" s="1168"/>
    </row>
    <row r="3" spans="1:16" ht="15.75">
      <c r="A3" s="1169" t="s">
        <v>126</v>
      </c>
      <c r="B3" s="1170" t="s">
        <v>127</v>
      </c>
      <c r="C3" s="1170" t="s">
        <v>324</v>
      </c>
      <c r="D3" s="1171" t="s">
        <v>128</v>
      </c>
      <c r="F3" s="1172" t="s">
        <v>342</v>
      </c>
      <c r="G3" s="1172" t="s">
        <v>343</v>
      </c>
      <c r="H3" s="1172" t="s">
        <v>344</v>
      </c>
      <c r="I3" s="1172" t="s">
        <v>347</v>
      </c>
      <c r="J3" s="1172" t="s">
        <v>345</v>
      </c>
      <c r="K3" s="1172" t="s">
        <v>354</v>
      </c>
      <c r="L3" s="1172" t="s">
        <v>355</v>
      </c>
      <c r="M3" s="1172" t="s">
        <v>358</v>
      </c>
      <c r="N3" s="1172" t="s">
        <v>361</v>
      </c>
      <c r="O3" s="1172" t="s">
        <v>362</v>
      </c>
      <c r="P3" s="1173" t="s">
        <v>128</v>
      </c>
    </row>
    <row r="4" spans="1:16" ht="15.75">
      <c r="A4" s="1174" t="s">
        <v>129</v>
      </c>
      <c r="B4" s="1175">
        <v>87575.961674556747</v>
      </c>
      <c r="C4" s="1175">
        <v>27397.1</v>
      </c>
      <c r="D4" s="1176">
        <v>114973.06167455674</v>
      </c>
      <c r="F4" s="1177">
        <v>15361.856</v>
      </c>
      <c r="G4" s="1177">
        <v>2487</v>
      </c>
      <c r="H4" s="1177">
        <v>335</v>
      </c>
      <c r="I4" s="1177">
        <v>18371.579999999998</v>
      </c>
      <c r="J4" s="1177"/>
      <c r="K4" s="1177">
        <v>886.35599999999999</v>
      </c>
      <c r="L4" s="1177">
        <v>32059.451999916753</v>
      </c>
      <c r="M4" s="1177">
        <v>18074.71767464</v>
      </c>
      <c r="N4" s="1177"/>
      <c r="O4" s="1177">
        <v>27397.1</v>
      </c>
      <c r="P4" s="1178">
        <v>114973.06167455674</v>
      </c>
    </row>
    <row r="5" spans="1:16" ht="15">
      <c r="A5" s="1179" t="s">
        <v>350</v>
      </c>
      <c r="B5" s="1073">
        <v>10098</v>
      </c>
      <c r="C5" s="1073">
        <v>20937.099999999999</v>
      </c>
      <c r="D5" s="1073">
        <v>31035.1</v>
      </c>
      <c r="F5" s="1074"/>
      <c r="G5" s="1074">
        <v>2188</v>
      </c>
      <c r="H5" s="1074">
        <v>335</v>
      </c>
      <c r="I5" s="1074">
        <v>3875</v>
      </c>
      <c r="J5" s="1074"/>
      <c r="K5" s="1074"/>
      <c r="L5" s="1074"/>
      <c r="M5" s="1074">
        <v>3700</v>
      </c>
      <c r="N5" s="1074"/>
      <c r="O5" s="1074">
        <v>20937.099999999999</v>
      </c>
      <c r="P5" s="1073">
        <v>31035.1</v>
      </c>
    </row>
    <row r="6" spans="1:16" ht="15">
      <c r="A6" s="1179" t="s">
        <v>130</v>
      </c>
      <c r="B6" s="1073">
        <v>77178.961674556747</v>
      </c>
      <c r="C6" s="1073"/>
      <c r="D6" s="1073">
        <v>77178.961674556747</v>
      </c>
      <c r="F6" s="1074">
        <v>15361.856</v>
      </c>
      <c r="G6" s="1074"/>
      <c r="H6" s="1074"/>
      <c r="I6" s="1074">
        <v>14496.579999999998</v>
      </c>
      <c r="J6" s="1074"/>
      <c r="K6" s="1074">
        <v>886.35599999999999</v>
      </c>
      <c r="L6" s="1074">
        <v>32059.451999916753</v>
      </c>
      <c r="M6" s="1074">
        <v>14374.71767464</v>
      </c>
      <c r="N6" s="1074"/>
      <c r="O6" s="1074"/>
      <c r="P6" s="1073">
        <v>77178.961674556747</v>
      </c>
    </row>
    <row r="7" spans="1:16" ht="15">
      <c r="A7" s="1180" t="s">
        <v>135</v>
      </c>
      <c r="B7" s="1073"/>
      <c r="C7" s="1073">
        <v>6460</v>
      </c>
      <c r="D7" s="1073">
        <v>6460</v>
      </c>
      <c r="F7" s="1074"/>
      <c r="G7" s="1074"/>
      <c r="H7" s="1074"/>
      <c r="I7" s="1074"/>
      <c r="J7" s="1074"/>
      <c r="K7" s="1074"/>
      <c r="L7" s="1074"/>
      <c r="M7" s="1074"/>
      <c r="N7" s="1074"/>
      <c r="O7" s="1074">
        <v>6460</v>
      </c>
      <c r="P7" s="1073">
        <v>6460</v>
      </c>
    </row>
    <row r="8" spans="1:16" ht="15">
      <c r="A8" s="1180" t="s">
        <v>393</v>
      </c>
      <c r="B8" s="1073">
        <v>299</v>
      </c>
      <c r="C8" s="1073"/>
      <c r="D8" s="1073">
        <v>299</v>
      </c>
      <c r="F8" s="1074"/>
      <c r="G8" s="1074">
        <v>299</v>
      </c>
      <c r="H8" s="1074"/>
      <c r="I8" s="1074"/>
      <c r="J8" s="1074"/>
      <c r="K8" s="1074"/>
      <c r="L8" s="1074"/>
      <c r="M8" s="1074"/>
      <c r="N8" s="1074"/>
      <c r="O8" s="1074"/>
      <c r="P8" s="1073">
        <v>299</v>
      </c>
    </row>
    <row r="9" spans="1:16" ht="15.75">
      <c r="A9" s="1174" t="s">
        <v>403</v>
      </c>
      <c r="B9" s="1175">
        <v>26710.337052700001</v>
      </c>
      <c r="C9" s="1175">
        <v>500</v>
      </c>
      <c r="D9" s="1175">
        <v>27210.337052700001</v>
      </c>
      <c r="F9" s="1177"/>
      <c r="G9" s="1177"/>
      <c r="H9" s="1177"/>
      <c r="I9" s="1177">
        <v>2631.4998999999998</v>
      </c>
      <c r="J9" s="1177"/>
      <c r="K9" s="1177">
        <v>6162.2988126999999</v>
      </c>
      <c r="L9" s="1177"/>
      <c r="M9" s="1177">
        <v>17916.538339999999</v>
      </c>
      <c r="N9" s="1177"/>
      <c r="O9" s="1177">
        <v>500</v>
      </c>
      <c r="P9" s="1181">
        <v>27210.337052700001</v>
      </c>
    </row>
    <row r="10" spans="1:16" ht="15">
      <c r="A10" s="1179" t="s">
        <v>475</v>
      </c>
      <c r="B10" s="1073">
        <v>23850.087152699998</v>
      </c>
      <c r="C10" s="1073"/>
      <c r="D10" s="1073">
        <v>23850.087152699998</v>
      </c>
      <c r="F10" s="1074"/>
      <c r="G10" s="1074"/>
      <c r="H10" s="1074"/>
      <c r="I10" s="1074">
        <v>1621</v>
      </c>
      <c r="J10" s="1074"/>
      <c r="K10" s="1074">
        <v>4312.5488126999999</v>
      </c>
      <c r="L10" s="1074"/>
      <c r="M10" s="1074">
        <v>17916.538339999999</v>
      </c>
      <c r="N10" s="1074"/>
      <c r="O10" s="1074"/>
      <c r="P10" s="1073">
        <v>23850.087152699998</v>
      </c>
    </row>
    <row r="11" spans="1:16" ht="15">
      <c r="A11" s="1179" t="s">
        <v>130</v>
      </c>
      <c r="B11" s="1073"/>
      <c r="C11" s="1073">
        <v>500</v>
      </c>
      <c r="D11" s="1073">
        <v>500</v>
      </c>
      <c r="F11" s="1074"/>
      <c r="G11" s="1074"/>
      <c r="H11" s="1074"/>
      <c r="I11" s="1074"/>
      <c r="J11" s="1074"/>
      <c r="K11" s="1074"/>
      <c r="L11" s="1074"/>
      <c r="M11" s="1074"/>
      <c r="N11" s="1074"/>
      <c r="O11" s="1074">
        <v>500</v>
      </c>
      <c r="P11" s="1073">
        <v>500</v>
      </c>
    </row>
    <row r="12" spans="1:16" ht="15">
      <c r="A12" s="1179" t="s">
        <v>478</v>
      </c>
      <c r="B12" s="1073">
        <v>1849.75</v>
      </c>
      <c r="C12" s="1073"/>
      <c r="D12" s="1073">
        <v>1849.75</v>
      </c>
      <c r="F12" s="1074"/>
      <c r="G12" s="1074"/>
      <c r="H12" s="1074"/>
      <c r="I12" s="1074"/>
      <c r="J12" s="1074"/>
      <c r="K12" s="1074">
        <v>1849.75</v>
      </c>
      <c r="L12" s="1074"/>
      <c r="M12" s="1074"/>
      <c r="N12" s="1074"/>
      <c r="O12" s="1074"/>
      <c r="P12" s="1073">
        <v>1849.75</v>
      </c>
    </row>
    <row r="13" spans="1:16" ht="15">
      <c r="A13" s="1180" t="s">
        <v>393</v>
      </c>
      <c r="B13" s="1073">
        <v>1010.4999</v>
      </c>
      <c r="C13" s="1073"/>
      <c r="D13" s="1073">
        <v>1010.4999</v>
      </c>
      <c r="F13" s="1074"/>
      <c r="G13" s="1074"/>
      <c r="H13" s="1074"/>
      <c r="I13" s="1074">
        <v>1010.4999</v>
      </c>
      <c r="J13" s="1074"/>
      <c r="K13" s="1074"/>
      <c r="L13" s="1074"/>
      <c r="M13" s="1074"/>
      <c r="N13" s="1074"/>
      <c r="O13" s="1074"/>
      <c r="P13" s="1073">
        <v>1010.4999</v>
      </c>
    </row>
    <row r="14" spans="1:16" ht="15.75">
      <c r="A14" s="1174" t="s">
        <v>479</v>
      </c>
      <c r="B14" s="1175">
        <v>73927.775999999998</v>
      </c>
      <c r="C14" s="1175"/>
      <c r="D14" s="1175">
        <v>73927.775999999998</v>
      </c>
      <c r="F14" s="1177"/>
      <c r="G14" s="1177"/>
      <c r="H14" s="1177">
        <v>1001</v>
      </c>
      <c r="I14" s="1177"/>
      <c r="J14" s="1177">
        <v>12431.905000000001</v>
      </c>
      <c r="K14" s="1177">
        <v>34727.092999999993</v>
      </c>
      <c r="L14" s="1177">
        <v>3594.018</v>
      </c>
      <c r="M14" s="1177">
        <v>1450.56</v>
      </c>
      <c r="N14" s="1177">
        <v>20723.2</v>
      </c>
      <c r="O14" s="1177"/>
      <c r="P14" s="1181">
        <v>73927.775999999998</v>
      </c>
    </row>
    <row r="15" spans="1:16" ht="15">
      <c r="A15" s="1180" t="s">
        <v>475</v>
      </c>
      <c r="B15" s="1073">
        <v>68856.576000000001</v>
      </c>
      <c r="C15" s="1073"/>
      <c r="D15" s="1073">
        <v>68856.576000000001</v>
      </c>
      <c r="F15" s="1074"/>
      <c r="G15" s="1074"/>
      <c r="H15" s="1074">
        <v>1001</v>
      </c>
      <c r="I15" s="1074"/>
      <c r="J15" s="1074">
        <v>12431.905000000001</v>
      </c>
      <c r="K15" s="1074">
        <v>34307.092999999993</v>
      </c>
      <c r="L15" s="1074">
        <v>3594.018</v>
      </c>
      <c r="M15" s="1074">
        <v>1450.56</v>
      </c>
      <c r="N15" s="1074">
        <v>16072</v>
      </c>
      <c r="O15" s="1074"/>
      <c r="P15" s="1073">
        <v>68856.576000000001</v>
      </c>
    </row>
    <row r="16" spans="1:16" ht="15">
      <c r="A16" s="1180" t="s">
        <v>130</v>
      </c>
      <c r="B16" s="1073">
        <v>420</v>
      </c>
      <c r="C16" s="1073"/>
      <c r="D16" s="1073">
        <v>420</v>
      </c>
      <c r="F16" s="1074"/>
      <c r="G16" s="1074"/>
      <c r="H16" s="1074"/>
      <c r="I16" s="1074"/>
      <c r="J16" s="1074"/>
      <c r="K16" s="1074">
        <v>420</v>
      </c>
      <c r="L16" s="1074"/>
      <c r="M16" s="1074"/>
      <c r="N16" s="1074"/>
      <c r="O16" s="1074"/>
      <c r="P16" s="1073">
        <v>420</v>
      </c>
    </row>
    <row r="17" spans="1:16" ht="15">
      <c r="A17" s="1180" t="s">
        <v>393</v>
      </c>
      <c r="B17" s="1073">
        <v>4651.2</v>
      </c>
      <c r="C17" s="1073"/>
      <c r="D17" s="1073">
        <v>4651.2</v>
      </c>
      <c r="F17" s="1074"/>
      <c r="G17" s="1074"/>
      <c r="H17" s="1074"/>
      <c r="I17" s="1074"/>
      <c r="J17" s="1074"/>
      <c r="K17" s="1074"/>
      <c r="L17" s="1074"/>
      <c r="M17" s="1074"/>
      <c r="N17" s="1074">
        <v>4651.2</v>
      </c>
      <c r="O17" s="1074"/>
      <c r="P17" s="1073">
        <v>4651.2</v>
      </c>
    </row>
    <row r="18" spans="1:16" ht="15.75">
      <c r="A18" s="1174" t="s">
        <v>389</v>
      </c>
      <c r="B18" s="1175">
        <v>340</v>
      </c>
      <c r="C18" s="1175"/>
      <c r="D18" s="1175">
        <v>340</v>
      </c>
      <c r="F18" s="1177">
        <v>340</v>
      </c>
      <c r="G18" s="1177"/>
      <c r="H18" s="1177"/>
      <c r="I18" s="1177"/>
      <c r="J18" s="1177"/>
      <c r="K18" s="1177"/>
      <c r="L18" s="1177"/>
      <c r="M18" s="1177"/>
      <c r="N18" s="1177"/>
      <c r="O18" s="1177"/>
      <c r="P18" s="1181">
        <v>340</v>
      </c>
    </row>
    <row r="19" spans="1:16" ht="15">
      <c r="A19" s="1180" t="s">
        <v>135</v>
      </c>
      <c r="B19" s="1073">
        <v>340</v>
      </c>
      <c r="C19" s="1073"/>
      <c r="D19" s="1073">
        <v>340</v>
      </c>
      <c r="F19" s="1074">
        <v>340</v>
      </c>
      <c r="G19" s="1074"/>
      <c r="H19" s="1074"/>
      <c r="I19" s="1074"/>
      <c r="J19" s="1074"/>
      <c r="K19" s="1074"/>
      <c r="L19" s="1074"/>
      <c r="M19" s="1074"/>
      <c r="N19" s="1074"/>
      <c r="O19" s="1074"/>
      <c r="P19" s="1073">
        <v>340</v>
      </c>
    </row>
    <row r="20" spans="1:16" ht="15.75">
      <c r="A20" s="1174" t="s">
        <v>380</v>
      </c>
      <c r="B20" s="1175">
        <v>324681.19999999995</v>
      </c>
      <c r="C20" s="1175">
        <v>1903.8629999999998</v>
      </c>
      <c r="D20" s="1175">
        <v>326585.06300000002</v>
      </c>
      <c r="F20" s="1177">
        <v>100640</v>
      </c>
      <c r="G20" s="1177">
        <v>3230</v>
      </c>
      <c r="H20" s="1177"/>
      <c r="I20" s="1177"/>
      <c r="J20" s="1177">
        <v>100640</v>
      </c>
      <c r="K20" s="1177"/>
      <c r="L20" s="1177">
        <v>19339.400000000001</v>
      </c>
      <c r="M20" s="1177">
        <v>2520</v>
      </c>
      <c r="N20" s="1177">
        <v>98311.799999999988</v>
      </c>
      <c r="O20" s="1177">
        <v>1903.8629999999998</v>
      </c>
      <c r="P20" s="1181">
        <v>326585.06300000002</v>
      </c>
    </row>
    <row r="21" spans="1:16" ht="15">
      <c r="A21" s="1180" t="s">
        <v>475</v>
      </c>
      <c r="B21" s="1073">
        <v>19339.400000000001</v>
      </c>
      <c r="C21" s="1073"/>
      <c r="D21" s="1073">
        <v>19339.400000000001</v>
      </c>
      <c r="F21" s="1074"/>
      <c r="G21" s="1074"/>
      <c r="H21" s="1074"/>
      <c r="I21" s="1074"/>
      <c r="J21" s="1074"/>
      <c r="K21" s="1074"/>
      <c r="L21" s="1074">
        <v>19339.400000000001</v>
      </c>
      <c r="M21" s="1074"/>
      <c r="N21" s="1074"/>
      <c r="O21" s="1074"/>
      <c r="P21" s="1073">
        <v>19339.400000000001</v>
      </c>
    </row>
    <row r="22" spans="1:16" ht="15">
      <c r="A22" s="1180" t="s">
        <v>350</v>
      </c>
      <c r="B22" s="1073">
        <v>2520</v>
      </c>
      <c r="C22" s="1073">
        <v>1626.627</v>
      </c>
      <c r="D22" s="1073">
        <v>4146.6270000000004</v>
      </c>
      <c r="F22" s="1074"/>
      <c r="G22" s="1074"/>
      <c r="H22" s="1074"/>
      <c r="I22" s="1074"/>
      <c r="J22" s="1074"/>
      <c r="K22" s="1074"/>
      <c r="L22" s="1074"/>
      <c r="M22" s="1074">
        <v>2520</v>
      </c>
      <c r="N22" s="1074"/>
      <c r="O22" s="1074">
        <v>1626.627</v>
      </c>
      <c r="P22" s="1073">
        <v>4146.6270000000004</v>
      </c>
    </row>
    <row r="23" spans="1:16" ht="15">
      <c r="A23" s="1180" t="s">
        <v>130</v>
      </c>
      <c r="B23" s="1073">
        <v>3669.7</v>
      </c>
      <c r="C23" s="1073">
        <v>277.23599999999999</v>
      </c>
      <c r="D23" s="1073">
        <v>3946.9359999999997</v>
      </c>
      <c r="F23" s="1074"/>
      <c r="G23" s="1074">
        <v>3230</v>
      </c>
      <c r="H23" s="1074"/>
      <c r="I23" s="1074"/>
      <c r="J23" s="1074"/>
      <c r="K23" s="1074"/>
      <c r="L23" s="1074"/>
      <c r="M23" s="1074"/>
      <c r="N23" s="1074">
        <v>439.7</v>
      </c>
      <c r="O23" s="1074">
        <v>277.23599999999999</v>
      </c>
      <c r="P23" s="1073">
        <v>3946.9359999999997</v>
      </c>
    </row>
    <row r="24" spans="1:16" ht="15">
      <c r="A24" s="1180" t="s">
        <v>135</v>
      </c>
      <c r="B24" s="1073">
        <v>299152.09999999998</v>
      </c>
      <c r="C24" s="1073"/>
      <c r="D24" s="1073">
        <v>299152.09999999998</v>
      </c>
      <c r="F24" s="1074">
        <v>100640</v>
      </c>
      <c r="G24" s="1074"/>
      <c r="H24" s="1074"/>
      <c r="I24" s="1074"/>
      <c r="J24" s="1074">
        <v>100640</v>
      </c>
      <c r="K24" s="1074"/>
      <c r="L24" s="1074"/>
      <c r="M24" s="1074"/>
      <c r="N24" s="1074">
        <v>97872.099999999991</v>
      </c>
      <c r="O24" s="1074"/>
      <c r="P24" s="1073">
        <v>299152.09999999998</v>
      </c>
    </row>
    <row r="25" spans="1:16" ht="15.75">
      <c r="A25" s="1174" t="s">
        <v>504</v>
      </c>
      <c r="B25" s="1175">
        <v>270</v>
      </c>
      <c r="C25" s="1175"/>
      <c r="D25" s="1175">
        <v>270</v>
      </c>
      <c r="F25" s="1177"/>
      <c r="G25" s="1177"/>
      <c r="H25" s="1177"/>
      <c r="I25" s="1177"/>
      <c r="J25" s="1177"/>
      <c r="K25" s="1177"/>
      <c r="L25" s="1177"/>
      <c r="M25" s="1177"/>
      <c r="N25" s="1177">
        <v>270</v>
      </c>
      <c r="O25" s="1177"/>
      <c r="P25" s="1181">
        <v>270</v>
      </c>
    </row>
    <row r="26" spans="1:16" ht="15">
      <c r="A26" s="1180" t="s">
        <v>130</v>
      </c>
      <c r="B26" s="1073">
        <v>270</v>
      </c>
      <c r="C26" s="1073"/>
      <c r="D26" s="1073">
        <v>270</v>
      </c>
      <c r="F26" s="1074"/>
      <c r="G26" s="1074"/>
      <c r="H26" s="1074"/>
      <c r="I26" s="1074"/>
      <c r="J26" s="1074"/>
      <c r="K26" s="1074"/>
      <c r="L26" s="1074"/>
      <c r="M26" s="1074"/>
      <c r="N26" s="1074">
        <v>270</v>
      </c>
      <c r="O26" s="1074"/>
      <c r="P26" s="1073">
        <v>270</v>
      </c>
    </row>
    <row r="27" spans="1:16" ht="16.5" thickBot="1">
      <c r="A27" s="1182" t="s">
        <v>128</v>
      </c>
      <c r="B27" s="1183">
        <v>513505.27472725703</v>
      </c>
      <c r="C27" s="1183">
        <v>29800.963</v>
      </c>
      <c r="D27" s="1183">
        <v>543306.23772725696</v>
      </c>
      <c r="F27" s="1184">
        <v>116341.856</v>
      </c>
      <c r="G27" s="1184">
        <v>5717</v>
      </c>
      <c r="H27" s="1184">
        <v>1336</v>
      </c>
      <c r="I27" s="1184">
        <v>21003.079899999997</v>
      </c>
      <c r="J27" s="1184">
        <v>113071.905</v>
      </c>
      <c r="K27" s="1184">
        <v>41775.747812699992</v>
      </c>
      <c r="L27" s="1184">
        <v>54992.869999916751</v>
      </c>
      <c r="M27" s="1184">
        <v>39961.816014640004</v>
      </c>
      <c r="N27" s="1184">
        <v>119304.99999999999</v>
      </c>
      <c r="O27" s="1184">
        <v>29800.963</v>
      </c>
      <c r="P27" s="1185">
        <v>543306.23772725696</v>
      </c>
    </row>
    <row r="28" spans="1:16" ht="18">
      <c r="A28" s="202"/>
      <c r="B28" s="205"/>
      <c r="C28" s="205"/>
    </row>
    <row r="29" spans="1:16" ht="18">
      <c r="A29" s="202"/>
      <c r="B29" s="205"/>
      <c r="C29" s="205"/>
    </row>
    <row r="30" spans="1:16" ht="18">
      <c r="A30" s="202"/>
      <c r="B30" s="205"/>
      <c r="C30" s="205"/>
    </row>
    <row r="31" spans="1:16" ht="18">
      <c r="A31" s="202"/>
      <c r="B31" s="205"/>
      <c r="C31" s="205"/>
    </row>
    <row r="32" spans="1:16" ht="18">
      <c r="A32" s="202"/>
      <c r="B32" s="205"/>
      <c r="C32" s="205"/>
    </row>
    <row r="33" spans="1:6" s="19" customFormat="1" ht="18">
      <c r="A33" s="202"/>
      <c r="B33" s="205"/>
      <c r="C33" s="205"/>
      <c r="D33" s="15"/>
      <c r="F33" s="15"/>
    </row>
    <row r="34" spans="1:6" s="19" customFormat="1" ht="18">
      <c r="A34" s="202"/>
      <c r="B34" s="205"/>
      <c r="C34" s="205"/>
      <c r="D34" s="15"/>
    </row>
    <row r="35" spans="1:6" s="19" customFormat="1" ht="18">
      <c r="A35" s="202"/>
      <c r="B35" s="205"/>
      <c r="C35" s="205"/>
      <c r="D35" s="15"/>
    </row>
    <row r="36" spans="1:6" s="19" customFormat="1" ht="18">
      <c r="A36" s="202"/>
      <c r="B36" s="205"/>
      <c r="C36" s="205"/>
      <c r="D36" s="15"/>
    </row>
    <row r="37" spans="1:6" s="19" customFormat="1" ht="18">
      <c r="A37" s="202"/>
      <c r="B37" s="205"/>
      <c r="C37" s="205"/>
      <c r="D37" s="15"/>
    </row>
    <row r="38" spans="1:6" s="19" customFormat="1" ht="18">
      <c r="A38" s="202"/>
      <c r="B38" s="205"/>
      <c r="C38" s="205"/>
      <c r="D38" s="15"/>
    </row>
    <row r="39" spans="1:6" s="19" customFormat="1" ht="18">
      <c r="A39" s="202"/>
      <c r="B39" s="205"/>
      <c r="C39" s="205"/>
      <c r="D39" s="15"/>
    </row>
    <row r="40" spans="1:6" s="19" customFormat="1" ht="18">
      <c r="A40" s="202"/>
      <c r="B40" s="205"/>
      <c r="C40" s="205"/>
      <c r="D40" s="15"/>
    </row>
    <row r="41" spans="1:6" ht="18">
      <c r="A41" s="202"/>
      <c r="B41" s="205"/>
      <c r="C41" s="205"/>
    </row>
    <row r="42" spans="1:6" ht="18">
      <c r="A42" s="202"/>
      <c r="B42" s="205"/>
      <c r="C42" s="205"/>
    </row>
    <row r="43" spans="1:6" ht="18">
      <c r="A43" s="202"/>
      <c r="B43" s="205"/>
      <c r="C43" s="205"/>
    </row>
    <row r="44" spans="1:6" ht="18">
      <c r="A44" s="202"/>
      <c r="B44" s="205"/>
      <c r="C44" s="205"/>
    </row>
    <row r="45" spans="1:6" ht="18">
      <c r="A45" s="202"/>
      <c r="B45" s="205"/>
      <c r="C45" s="205"/>
    </row>
    <row r="46" spans="1:6" ht="18">
      <c r="A46" s="202"/>
      <c r="B46" s="205"/>
      <c r="C46" s="205"/>
    </row>
    <row r="47" spans="1:6" ht="18">
      <c r="A47" s="202"/>
      <c r="B47" s="205"/>
      <c r="C47" s="205"/>
    </row>
    <row r="48" spans="1:6" ht="18">
      <c r="A48" s="202"/>
      <c r="B48" s="205"/>
      <c r="C48" s="205"/>
    </row>
    <row r="49" spans="1:3" ht="18">
      <c r="A49" s="202"/>
      <c r="B49" s="205"/>
      <c r="C49" s="205"/>
    </row>
    <row r="50" spans="1:3" ht="18">
      <c r="A50" s="202"/>
      <c r="B50" s="205"/>
      <c r="C50" s="205"/>
    </row>
    <row r="51" spans="1:3" ht="18">
      <c r="A51" s="202"/>
      <c r="B51" s="205"/>
      <c r="C51" s="205"/>
    </row>
    <row r="52" spans="1:3" ht="18">
      <c r="A52" s="202"/>
      <c r="B52" s="205"/>
      <c r="C52" s="205"/>
    </row>
    <row r="53" spans="1:3" ht="18">
      <c r="A53" s="202"/>
      <c r="B53" s="205"/>
      <c r="C53" s="205"/>
    </row>
    <row r="54" spans="1:3" ht="18">
      <c r="A54" s="202"/>
      <c r="B54" s="205"/>
      <c r="C54" s="205"/>
    </row>
    <row r="55" spans="1:3" ht="18">
      <c r="A55" s="202"/>
      <c r="B55" s="205"/>
      <c r="C55" s="205"/>
    </row>
    <row r="56" spans="1:3" ht="18">
      <c r="A56" s="202"/>
      <c r="B56" s="205"/>
      <c r="C56" s="205"/>
    </row>
    <row r="57" spans="1:3" ht="18">
      <c r="A57" s="202"/>
      <c r="B57" s="205"/>
      <c r="C57" s="205"/>
    </row>
    <row r="58" spans="1:3" ht="18">
      <c r="A58" s="202"/>
      <c r="B58" s="205"/>
      <c r="C58" s="205"/>
    </row>
    <row r="59" spans="1:3" ht="18">
      <c r="A59" s="202"/>
      <c r="B59" s="205"/>
      <c r="C59" s="205"/>
    </row>
    <row r="60" spans="1:3" ht="18">
      <c r="A60" s="202"/>
      <c r="B60" s="205"/>
      <c r="C60" s="205"/>
    </row>
    <row r="61" spans="1:3" ht="18">
      <c r="A61" s="202"/>
      <c r="B61" s="205"/>
      <c r="C61" s="205"/>
    </row>
    <row r="62" spans="1:3" ht="18">
      <c r="A62" s="202"/>
      <c r="B62" s="205"/>
      <c r="C62" s="205"/>
    </row>
    <row r="63" spans="1:3" ht="18">
      <c r="A63" s="202"/>
      <c r="B63" s="205"/>
      <c r="C63" s="205"/>
    </row>
    <row r="64" spans="1:3" ht="18">
      <c r="A64" s="202"/>
      <c r="B64" s="205"/>
      <c r="C64" s="205"/>
    </row>
    <row r="65" spans="1:3" ht="18">
      <c r="A65" s="202"/>
      <c r="B65" s="205"/>
      <c r="C65" s="205"/>
    </row>
    <row r="66" spans="1:3" ht="18">
      <c r="A66" s="202"/>
      <c r="B66" s="205"/>
      <c r="C66" s="205"/>
    </row>
    <row r="67" spans="1:3" ht="18">
      <c r="A67" s="202"/>
      <c r="B67" s="205"/>
      <c r="C67" s="205"/>
    </row>
    <row r="68" spans="1:3" ht="18">
      <c r="A68" s="202"/>
      <c r="B68" s="205"/>
      <c r="C68" s="205"/>
    </row>
    <row r="69" spans="1:3" ht="18">
      <c r="A69" s="202"/>
      <c r="B69" s="205"/>
      <c r="C69" s="205"/>
    </row>
    <row r="70" spans="1:3" ht="18">
      <c r="A70" s="202"/>
      <c r="B70" s="205"/>
      <c r="C70" s="205"/>
    </row>
    <row r="71" spans="1:3" ht="18">
      <c r="A71" s="202"/>
      <c r="B71" s="205"/>
      <c r="C71" s="205"/>
    </row>
    <row r="72" spans="1:3" ht="18">
      <c r="A72" s="202"/>
      <c r="B72" s="205"/>
      <c r="C72" s="205"/>
    </row>
    <row r="73" spans="1:3" ht="18">
      <c r="A73" s="202"/>
      <c r="B73" s="205"/>
      <c r="C73" s="205"/>
    </row>
    <row r="74" spans="1:3" ht="18">
      <c r="A74" s="202"/>
      <c r="B74" s="205"/>
      <c r="C74" s="205"/>
    </row>
    <row r="75" spans="1:3" ht="18">
      <c r="A75" s="202"/>
      <c r="B75" s="205"/>
      <c r="C75" s="205"/>
    </row>
    <row r="76" spans="1:3" ht="18">
      <c r="A76" s="202"/>
      <c r="B76" s="205"/>
      <c r="C76" s="205"/>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Munka13"/>
  <dimension ref="A1:M39"/>
  <sheetViews>
    <sheetView zoomScaleNormal="100" workbookViewId="0">
      <selection activeCell="B6" sqref="B6"/>
    </sheetView>
  </sheetViews>
  <sheetFormatPr baseColWidth="10" defaultColWidth="8.85546875" defaultRowHeight="14.25" outlineLevelRow="1"/>
  <cols>
    <col min="1" max="1" width="39.7109375" style="2" customWidth="1"/>
    <col min="2" max="5" width="8.85546875" style="2"/>
    <col min="6" max="6" width="9.7109375" style="2" bestFit="1" customWidth="1"/>
    <col min="7" max="8" width="8.85546875" style="2"/>
    <col min="9" max="9" width="9.42578125" style="2" customWidth="1"/>
    <col min="10" max="11" width="9.7109375" style="2" bestFit="1" customWidth="1"/>
    <col min="12" max="12" width="9" style="2" bestFit="1" customWidth="1"/>
    <col min="13" max="13" width="9.7109375" style="2" bestFit="1" customWidth="1"/>
    <col min="14" max="16384" width="8.85546875" style="2"/>
  </cols>
  <sheetData>
    <row r="1" spans="1:13" ht="26.25">
      <c r="A1" s="240" t="s">
        <v>224</v>
      </c>
    </row>
    <row r="2" spans="1:13" ht="18">
      <c r="A2" s="232" t="s">
        <v>181</v>
      </c>
    </row>
    <row r="3" spans="1:13" outlineLevel="1">
      <c r="A3" s="222" t="s">
        <v>182</v>
      </c>
    </row>
    <row r="4" spans="1:13" ht="15" outlineLevel="1">
      <c r="A4" s="177" t="s">
        <v>0</v>
      </c>
      <c r="B4" s="203" t="s">
        <v>40</v>
      </c>
      <c r="C4" s="203" t="s">
        <v>37</v>
      </c>
      <c r="D4" s="203" t="s">
        <v>41</v>
      </c>
      <c r="E4" s="203" t="s">
        <v>61</v>
      </c>
      <c r="F4" s="217" t="s">
        <v>5</v>
      </c>
      <c r="J4" s="318" t="s">
        <v>40</v>
      </c>
      <c r="K4" s="318" t="s">
        <v>37</v>
      </c>
      <c r="L4" s="318" t="s">
        <v>41</v>
      </c>
      <c r="M4" s="318" t="s">
        <v>61</v>
      </c>
    </row>
    <row r="5" spans="1:13" outlineLevel="1">
      <c r="A5" s="223" t="s">
        <v>204</v>
      </c>
      <c r="B5" s="224">
        <f>J5/60</f>
        <v>11002.928833333333</v>
      </c>
      <c r="C5" s="224">
        <f t="shared" ref="C5:E6" si="0">K5/60</f>
        <v>71380.553166666781</v>
      </c>
      <c r="D5" s="224">
        <f t="shared" si="0"/>
        <v>7314.2108333333335</v>
      </c>
      <c r="E5" s="224">
        <f t="shared" si="0"/>
        <v>29798.761500000001</v>
      </c>
      <c r="F5" s="225">
        <f>SUM(B5:E5)</f>
        <v>119496.45433333344</v>
      </c>
      <c r="G5" s="235" t="s">
        <v>206</v>
      </c>
      <c r="H5" s="236"/>
      <c r="I5" s="236"/>
      <c r="J5" s="323">
        <v>660175.73</v>
      </c>
      <c r="K5" s="323">
        <v>4282833.1900000069</v>
      </c>
      <c r="L5" s="323">
        <v>438852.65</v>
      </c>
      <c r="M5" s="323">
        <v>1787925.69</v>
      </c>
    </row>
    <row r="6" spans="1:13" outlineLevel="1">
      <c r="A6" s="223" t="s">
        <v>194</v>
      </c>
      <c r="B6" s="224">
        <f>J6/60</f>
        <v>19177.476166666667</v>
      </c>
      <c r="C6" s="224">
        <f t="shared" si="0"/>
        <v>88273.745666666669</v>
      </c>
      <c r="D6" s="224">
        <f t="shared" si="0"/>
        <v>13465.973333333332</v>
      </c>
      <c r="E6" s="224">
        <f t="shared" si="0"/>
        <v>37920.755555555559</v>
      </c>
      <c r="F6" s="225">
        <f>SUM(B6:E6)</f>
        <v>158837.95072222222</v>
      </c>
      <c r="G6" s="235" t="s">
        <v>205</v>
      </c>
      <c r="J6" s="323">
        <v>1150648.57</v>
      </c>
      <c r="K6" s="323">
        <v>5296424.74</v>
      </c>
      <c r="L6" s="323">
        <v>807958.39999999991</v>
      </c>
      <c r="M6" s="323">
        <v>2275245.3333333335</v>
      </c>
    </row>
    <row r="7" spans="1:13" ht="15" outlineLevel="1">
      <c r="A7" s="221" t="s">
        <v>181</v>
      </c>
      <c r="B7" s="226">
        <f>+B5/B6</f>
        <v>0.57374227649715848</v>
      </c>
      <c r="C7" s="226">
        <f t="shared" ref="C7:E7" si="1">+C5/C6</f>
        <v>0.80862721557335049</v>
      </c>
      <c r="D7" s="226">
        <f t="shared" si="1"/>
        <v>0.5431624326202934</v>
      </c>
      <c r="E7" s="226">
        <f t="shared" si="1"/>
        <v>0.78581666065022138</v>
      </c>
      <c r="F7" s="226">
        <f t="shared" ref="F7" si="2">+F5/F6</f>
        <v>0.75231677184195311</v>
      </c>
      <c r="G7" s="227"/>
      <c r="H7" s="213">
        <f>+F7-100%</f>
        <v>-0.24768322815804689</v>
      </c>
    </row>
    <row r="8" spans="1:13" outlineLevel="1">
      <c r="A8" s="228" t="s">
        <v>183</v>
      </c>
    </row>
    <row r="9" spans="1:13">
      <c r="A9" s="229"/>
    </row>
    <row r="10" spans="1:13" ht="18">
      <c r="A10" s="232" t="s">
        <v>184</v>
      </c>
    </row>
    <row r="11" spans="1:13" outlineLevel="1">
      <c r="A11" s="222" t="s">
        <v>185</v>
      </c>
    </row>
    <row r="12" spans="1:13" ht="15" outlineLevel="1">
      <c r="A12" s="177" t="s">
        <v>0</v>
      </c>
      <c r="B12" s="203" t="s">
        <v>40</v>
      </c>
      <c r="C12" s="203" t="s">
        <v>37</v>
      </c>
      <c r="D12" s="203" t="s">
        <v>41</v>
      </c>
      <c r="E12" s="203" t="s">
        <v>61</v>
      </c>
      <c r="F12" s="217" t="s">
        <v>5</v>
      </c>
    </row>
    <row r="13" spans="1:13" outlineLevel="1">
      <c r="A13" s="223" t="s">
        <v>195</v>
      </c>
      <c r="B13" s="224">
        <f>J13/60</f>
        <v>4712.5</v>
      </c>
      <c r="C13" s="224">
        <f t="shared" ref="C13:E13" si="3">K13/60</f>
        <v>112299</v>
      </c>
      <c r="D13" s="224">
        <f t="shared" si="3"/>
        <v>9583.5</v>
      </c>
      <c r="E13" s="224">
        <f t="shared" si="3"/>
        <v>35382.5</v>
      </c>
      <c r="F13" s="225">
        <f>SUM(B13:E13)</f>
        <v>161977.5</v>
      </c>
      <c r="G13" s="235" t="s">
        <v>207</v>
      </c>
      <c r="J13" s="323">
        <v>282750</v>
      </c>
      <c r="K13" s="323">
        <v>6737940</v>
      </c>
      <c r="L13" s="323">
        <v>575010</v>
      </c>
      <c r="M13" s="323">
        <v>2122950</v>
      </c>
    </row>
    <row r="14" spans="1:13" outlineLevel="1">
      <c r="A14" s="223" t="s">
        <v>194</v>
      </c>
      <c r="B14" s="230">
        <f>+B6</f>
        <v>19177.476166666667</v>
      </c>
      <c r="C14" s="230">
        <f>+C6</f>
        <v>88273.745666666669</v>
      </c>
      <c r="D14" s="230">
        <f>+D6</f>
        <v>13465.973333333332</v>
      </c>
      <c r="E14" s="230">
        <f>+E6</f>
        <v>37920.755555555559</v>
      </c>
      <c r="F14" s="225">
        <f>SUM(B14:E14)</f>
        <v>158837.95072222222</v>
      </c>
    </row>
    <row r="15" spans="1:13" ht="15" outlineLevel="1">
      <c r="A15" s="221" t="s">
        <v>184</v>
      </c>
      <c r="B15" s="226">
        <f>+B13/B14</f>
        <v>0.24573097935540822</v>
      </c>
      <c r="C15" s="226">
        <f t="shared" ref="C15:E15" si="4">+C13/C14</f>
        <v>1.2721676094277892</v>
      </c>
      <c r="D15" s="226">
        <f t="shared" si="4"/>
        <v>0.71168268069247143</v>
      </c>
      <c r="E15" s="226">
        <f t="shared" si="4"/>
        <v>0.93306421461363276</v>
      </c>
      <c r="F15" s="226">
        <f t="shared" ref="F15" si="5">+F13/F14</f>
        <v>1.0197657377440501</v>
      </c>
      <c r="G15" s="227"/>
      <c r="H15" s="213"/>
    </row>
    <row r="16" spans="1:13" outlineLevel="1">
      <c r="A16" s="222" t="s">
        <v>186</v>
      </c>
    </row>
    <row r="17" spans="1:13">
      <c r="A17" s="222"/>
    </row>
    <row r="18" spans="1:13" ht="18">
      <c r="A18" s="232" t="s">
        <v>187</v>
      </c>
    </row>
    <row r="19" spans="1:13" outlineLevel="1">
      <c r="A19" s="222" t="s">
        <v>188</v>
      </c>
    </row>
    <row r="20" spans="1:13" ht="15" outlineLevel="1">
      <c r="A20" s="177" t="s">
        <v>0</v>
      </c>
      <c r="B20" s="203" t="s">
        <v>40</v>
      </c>
      <c r="C20" s="203" t="s">
        <v>37</v>
      </c>
      <c r="D20" s="203" t="s">
        <v>41</v>
      </c>
      <c r="E20" s="203" t="s">
        <v>61</v>
      </c>
      <c r="F20" s="217" t="s">
        <v>5</v>
      </c>
    </row>
    <row r="21" spans="1:13" outlineLevel="1">
      <c r="A21" s="223" t="s">
        <v>204</v>
      </c>
      <c r="B21" s="241">
        <f>J21/60</f>
        <v>2962.5805000000005</v>
      </c>
      <c r="C21" s="230">
        <f>+C5</f>
        <v>71380.553166666781</v>
      </c>
      <c r="D21" s="230">
        <f>+D5</f>
        <v>7314.2108333333335</v>
      </c>
      <c r="E21" s="230">
        <f>+E5</f>
        <v>29798.761500000001</v>
      </c>
      <c r="F21" s="225">
        <f>SUM(B21:E21)</f>
        <v>111456.10600000012</v>
      </c>
      <c r="G21" s="235" t="s">
        <v>207</v>
      </c>
      <c r="J21" s="323">
        <v>177754.83000000002</v>
      </c>
      <c r="K21" s="323"/>
      <c r="L21" s="323"/>
      <c r="M21" s="323"/>
    </row>
    <row r="22" spans="1:13" outlineLevel="1">
      <c r="A22" s="223" t="s">
        <v>196</v>
      </c>
      <c r="B22" s="230">
        <f>+B13</f>
        <v>4712.5</v>
      </c>
      <c r="C22" s="230">
        <f>+C13</f>
        <v>112299</v>
      </c>
      <c r="D22" s="230">
        <f>+D13</f>
        <v>9583.5</v>
      </c>
      <c r="E22" s="230">
        <f>+E13</f>
        <v>35382.5</v>
      </c>
      <c r="F22" s="225">
        <f>SUM(B22:E22)</f>
        <v>161977.5</v>
      </c>
      <c r="G22" s="235" t="s">
        <v>207</v>
      </c>
    </row>
    <row r="23" spans="1:13" ht="15" outlineLevel="1">
      <c r="A23" s="221" t="s">
        <v>187</v>
      </c>
      <c r="B23" s="226">
        <f>+B21/B22</f>
        <v>0.62866429708222826</v>
      </c>
      <c r="C23" s="226">
        <f t="shared" ref="C23:F23" si="6">+C21/C22</f>
        <v>0.63562946390143082</v>
      </c>
      <c r="D23" s="226">
        <f t="shared" si="6"/>
        <v>0.76320872680475127</v>
      </c>
      <c r="E23" s="226">
        <f t="shared" si="6"/>
        <v>0.84218926022751361</v>
      </c>
      <c r="F23" s="226">
        <f t="shared" si="6"/>
        <v>0.68809622324088293</v>
      </c>
      <c r="G23" s="227"/>
      <c r="H23" s="213">
        <f>+F23-79%</f>
        <v>-0.1019037767591171</v>
      </c>
    </row>
    <row r="24" spans="1:13" outlineLevel="1">
      <c r="A24" s="222" t="s">
        <v>189</v>
      </c>
    </row>
    <row r="25" spans="1:13">
      <c r="A25" s="222"/>
    </row>
    <row r="26" spans="1:13" ht="18">
      <c r="A26" s="232" t="s">
        <v>190</v>
      </c>
    </row>
    <row r="27" spans="1:13">
      <c r="A27" s="1287" t="s">
        <v>306</v>
      </c>
      <c r="B27" s="1287"/>
      <c r="C27" s="1287"/>
      <c r="D27" s="1287"/>
      <c r="E27" s="1287"/>
      <c r="F27" s="1287"/>
      <c r="G27" s="1287"/>
      <c r="H27" s="1287"/>
      <c r="I27" s="1287"/>
      <c r="J27" s="1287"/>
      <c r="K27" s="1287"/>
      <c r="L27" s="1287"/>
    </row>
    <row r="28" spans="1:13" ht="30" customHeight="1">
      <c r="A28" s="1287" t="s">
        <v>307</v>
      </c>
      <c r="B28" s="1287"/>
      <c r="C28" s="1287"/>
      <c r="D28" s="1287"/>
      <c r="E28" s="1287"/>
      <c r="F28" s="1287"/>
      <c r="G28" s="1287"/>
      <c r="H28" s="1287"/>
      <c r="I28" s="1287"/>
      <c r="J28" s="1287"/>
      <c r="K28" s="1287"/>
      <c r="L28" s="1287"/>
    </row>
    <row r="29" spans="1:13">
      <c r="A29" s="234" t="s">
        <v>193</v>
      </c>
      <c r="B29" s="218"/>
      <c r="C29" s="218"/>
      <c r="D29" s="218"/>
      <c r="E29" s="218"/>
      <c r="F29" s="218"/>
      <c r="G29" s="218"/>
      <c r="H29" s="218"/>
      <c r="I29" s="218"/>
      <c r="J29" s="218"/>
      <c r="K29" s="218"/>
      <c r="L29" s="218"/>
    </row>
    <row r="30" spans="1:13" ht="15">
      <c r="A30" s="177" t="s">
        <v>0</v>
      </c>
      <c r="B30" s="203" t="s">
        <v>40</v>
      </c>
      <c r="C30" s="203" t="s">
        <v>37</v>
      </c>
      <c r="D30" s="203" t="s">
        <v>41</v>
      </c>
      <c r="E30" s="203" t="s">
        <v>61</v>
      </c>
      <c r="F30" s="217" t="s">
        <v>5</v>
      </c>
    </row>
    <row r="31" spans="1:13">
      <c r="A31" s="223" t="s">
        <v>184</v>
      </c>
      <c r="B31" s="231">
        <f>+B15</f>
        <v>0.24573097935540822</v>
      </c>
      <c r="C31" s="231">
        <f>+C15</f>
        <v>1.2721676094277892</v>
      </c>
      <c r="D31" s="231">
        <f>+D15</f>
        <v>0.71168268069247143</v>
      </c>
      <c r="E31" s="231">
        <f>+E15</f>
        <v>0.93306421461363276</v>
      </c>
      <c r="F31" s="231">
        <f>+F15</f>
        <v>1.0197657377440501</v>
      </c>
    </row>
    <row r="32" spans="1:13">
      <c r="A32" s="223" t="s">
        <v>187</v>
      </c>
      <c r="B32" s="231">
        <f>+B23</f>
        <v>0.62866429708222826</v>
      </c>
      <c r="C32" s="231">
        <f t="shared" ref="C32:F32" si="7">+C23</f>
        <v>0.63562946390143082</v>
      </c>
      <c r="D32" s="231">
        <f t="shared" si="7"/>
        <v>0.76320872680475127</v>
      </c>
      <c r="E32" s="231">
        <f t="shared" si="7"/>
        <v>0.84218926022751361</v>
      </c>
      <c r="F32" s="231">
        <f t="shared" si="7"/>
        <v>0.68809622324088293</v>
      </c>
    </row>
    <row r="33" spans="1:6" ht="15">
      <c r="A33" s="221" t="s">
        <v>181</v>
      </c>
      <c r="B33" s="245">
        <f t="shared" ref="B33:E33" si="8">+B31*B32*100</f>
        <v>15.448229340779527</v>
      </c>
      <c r="C33" s="245">
        <f t="shared" si="8"/>
        <v>80.86272155733505</v>
      </c>
      <c r="D33" s="245">
        <f t="shared" si="8"/>
        <v>54.316243262029339</v>
      </c>
      <c r="E33" s="245">
        <f t="shared" si="8"/>
        <v>78.581666065022134</v>
      </c>
      <c r="F33" s="245">
        <f>+F31*F32*100</f>
        <v>70.169695273213364</v>
      </c>
    </row>
    <row r="34" spans="1:6">
      <c r="A34" s="223"/>
      <c r="B34" s="246">
        <f>+B33-100</f>
        <v>-84.551770659220466</v>
      </c>
      <c r="C34" s="246">
        <f t="shared" ref="C34:F34" si="9">+C33-100</f>
        <v>-19.13727844266495</v>
      </c>
      <c r="D34" s="246">
        <f t="shared" si="9"/>
        <v>-45.683756737970661</v>
      </c>
      <c r="E34" s="246">
        <f t="shared" si="9"/>
        <v>-21.418333934977866</v>
      </c>
      <c r="F34" s="246">
        <f t="shared" si="9"/>
        <v>-29.830304726786636</v>
      </c>
    </row>
    <row r="35" spans="1:6">
      <c r="B35" s="197"/>
    </row>
    <row r="37" spans="1:6">
      <c r="A37" s="2" t="s">
        <v>198</v>
      </c>
      <c r="C37" s="2" t="s">
        <v>199</v>
      </c>
    </row>
    <row r="38" spans="1:6">
      <c r="A38" s="2" t="s">
        <v>200</v>
      </c>
      <c r="C38" s="2" t="s">
        <v>201</v>
      </c>
    </row>
    <row r="39" spans="1:6">
      <c r="A39" s="2" t="s">
        <v>202</v>
      </c>
      <c r="C39" s="2" t="s">
        <v>203</v>
      </c>
    </row>
  </sheetData>
  <mergeCells count="2">
    <mergeCell ref="A27:L27"/>
    <mergeCell ref="A28:L2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Munka14"/>
  <dimension ref="A1:S28"/>
  <sheetViews>
    <sheetView showGridLines="0" zoomScale="70" zoomScaleNormal="70" workbookViewId="0">
      <selection activeCell="M27" sqref="M27"/>
    </sheetView>
  </sheetViews>
  <sheetFormatPr baseColWidth="10" defaultColWidth="9.140625" defaultRowHeight="12.75"/>
  <cols>
    <col min="3" max="3" width="27.140625" customWidth="1"/>
    <col min="5" max="5" width="10" bestFit="1" customWidth="1"/>
    <col min="12" max="12" width="39.85546875" customWidth="1"/>
    <col min="13" max="13" width="10" bestFit="1" customWidth="1"/>
  </cols>
  <sheetData>
    <row r="1" spans="1:19" ht="18">
      <c r="A1" s="237" t="s">
        <v>208</v>
      </c>
      <c r="E1">
        <v>12400</v>
      </c>
      <c r="F1">
        <v>0.1</v>
      </c>
      <c r="G1">
        <f>+E1*F1</f>
        <v>1240</v>
      </c>
      <c r="L1" s="232" t="s">
        <v>181</v>
      </c>
      <c r="M1" s="2"/>
      <c r="N1" s="2"/>
      <c r="O1" s="2"/>
      <c r="P1" s="2"/>
      <c r="Q1" s="2"/>
      <c r="R1" s="2"/>
      <c r="S1" s="2"/>
    </row>
    <row r="2" spans="1:19" ht="14.25">
      <c r="A2" s="237" t="s">
        <v>209</v>
      </c>
      <c r="E2">
        <v>10000</v>
      </c>
      <c r="F2">
        <v>0.04</v>
      </c>
      <c r="G2">
        <f t="shared" ref="G2:G3" si="0">+E2*F2</f>
        <v>400</v>
      </c>
      <c r="L2" s="223" t="s">
        <v>204</v>
      </c>
      <c r="M2" s="225">
        <f>+G11</f>
        <v>2614</v>
      </c>
      <c r="N2" s="235"/>
      <c r="O2" s="236"/>
      <c r="P2" s="2"/>
      <c r="Q2" s="2"/>
      <c r="R2" s="2"/>
      <c r="S2" s="2"/>
    </row>
    <row r="3" spans="1:19" ht="14.25">
      <c r="A3" s="237" t="s">
        <v>210</v>
      </c>
      <c r="E3">
        <v>18500</v>
      </c>
      <c r="F3">
        <v>0.05</v>
      </c>
      <c r="G3">
        <f t="shared" si="0"/>
        <v>925</v>
      </c>
      <c r="L3" s="223" t="s">
        <v>194</v>
      </c>
      <c r="M3" s="225">
        <f>+G4</f>
        <v>2565</v>
      </c>
      <c r="N3" s="235"/>
      <c r="O3" s="2"/>
      <c r="P3" s="2"/>
      <c r="Q3" s="2"/>
      <c r="R3" s="2"/>
      <c r="S3" s="2"/>
    </row>
    <row r="4" spans="1:19" ht="15">
      <c r="A4" s="238" t="s">
        <v>211</v>
      </c>
      <c r="B4" s="238" t="s">
        <v>212</v>
      </c>
      <c r="C4" s="238" t="s">
        <v>213</v>
      </c>
      <c r="E4">
        <f>SUM(E1:E3)</f>
        <v>40900</v>
      </c>
      <c r="G4">
        <f>SUM(G1:G3)</f>
        <v>2565</v>
      </c>
      <c r="L4" s="221" t="s">
        <v>181</v>
      </c>
      <c r="M4" s="226">
        <f t="shared" ref="M4" si="1">+M2/M3</f>
        <v>1.019103313840156</v>
      </c>
      <c r="N4" s="227"/>
      <c r="O4" s="213">
        <f>+M4-100%</f>
        <v>1.9103313840155955E-2</v>
      </c>
      <c r="P4" s="236"/>
      <c r="Q4" s="2"/>
      <c r="R4" s="2"/>
      <c r="S4" s="2"/>
    </row>
    <row r="5" spans="1:19" ht="14.25">
      <c r="A5" s="239" t="s">
        <v>214</v>
      </c>
      <c r="B5" s="239" t="s">
        <v>215</v>
      </c>
      <c r="C5" s="239" t="s">
        <v>216</v>
      </c>
      <c r="P5" s="2"/>
      <c r="Q5" s="2"/>
      <c r="R5" s="2"/>
      <c r="S5" s="2"/>
    </row>
    <row r="6" spans="1:19" ht="18">
      <c r="A6" s="238" t="s">
        <v>217</v>
      </c>
      <c r="B6" s="238" t="s">
        <v>218</v>
      </c>
      <c r="C6" s="238" t="s">
        <v>219</v>
      </c>
      <c r="L6" s="232" t="s">
        <v>184</v>
      </c>
      <c r="P6" s="2"/>
      <c r="Q6" s="2"/>
      <c r="R6" s="2"/>
      <c r="S6" s="2"/>
    </row>
    <row r="7" spans="1:19" ht="14.25">
      <c r="L7" s="223" t="s">
        <v>195</v>
      </c>
      <c r="M7" s="225">
        <f>+G12</f>
        <v>2430</v>
      </c>
      <c r="N7" s="2"/>
      <c r="O7" s="2"/>
      <c r="P7" s="2"/>
      <c r="Q7" s="2"/>
      <c r="R7" s="2"/>
      <c r="S7" s="2"/>
    </row>
    <row r="8" spans="1:19" ht="14.25">
      <c r="A8" s="237" t="s">
        <v>220</v>
      </c>
      <c r="E8">
        <v>13300</v>
      </c>
      <c r="F8">
        <v>0.1</v>
      </c>
      <c r="G8">
        <f>+E8*F8</f>
        <v>1330</v>
      </c>
      <c r="L8" s="223" t="s">
        <v>194</v>
      </c>
      <c r="M8" s="225">
        <f>+G4</f>
        <v>2565</v>
      </c>
      <c r="N8" s="2"/>
      <c r="O8" s="2"/>
      <c r="P8" s="2"/>
      <c r="Q8" s="244"/>
      <c r="R8" s="2"/>
      <c r="S8" s="2"/>
    </row>
    <row r="9" spans="1:19" ht="15">
      <c r="A9" s="237" t="s">
        <v>221</v>
      </c>
      <c r="E9">
        <v>9600</v>
      </c>
      <c r="F9">
        <v>0.04</v>
      </c>
      <c r="G9">
        <f t="shared" ref="G9:G10" si="2">+E9*F9</f>
        <v>384</v>
      </c>
      <c r="L9" s="221" t="s">
        <v>184</v>
      </c>
      <c r="M9" s="226">
        <f t="shared" ref="M9" si="3">+M7/M8</f>
        <v>0.94736842105263153</v>
      </c>
      <c r="N9" s="2"/>
      <c r="O9" s="2"/>
      <c r="P9" s="2"/>
      <c r="Q9" s="2"/>
      <c r="R9" s="2"/>
      <c r="S9" s="2"/>
    </row>
    <row r="10" spans="1:19" ht="14.25">
      <c r="A10" s="237" t="s">
        <v>222</v>
      </c>
      <c r="E10">
        <v>18000</v>
      </c>
      <c r="F10">
        <v>0.05</v>
      </c>
      <c r="G10">
        <f t="shared" si="2"/>
        <v>900</v>
      </c>
      <c r="L10" s="222"/>
      <c r="M10" s="2"/>
      <c r="N10" s="2"/>
      <c r="O10" s="2"/>
      <c r="P10" s="2"/>
      <c r="Q10" s="2"/>
      <c r="R10" s="2"/>
      <c r="S10" s="2"/>
    </row>
    <row r="11" spans="1:19" ht="18">
      <c r="E11" s="242">
        <f>SUM(E8:E10)</f>
        <v>40900</v>
      </c>
      <c r="G11">
        <f>SUM(G8:G10)</f>
        <v>2614</v>
      </c>
      <c r="L11" s="232" t="s">
        <v>187</v>
      </c>
      <c r="M11" s="217"/>
      <c r="N11" s="2"/>
      <c r="O11" s="2"/>
      <c r="P11" s="2"/>
      <c r="Q11" s="2"/>
      <c r="R11" s="2"/>
      <c r="S11" s="2"/>
    </row>
    <row r="12" spans="1:19" ht="14.25">
      <c r="A12" s="237" t="s">
        <v>223</v>
      </c>
      <c r="G12">
        <v>2430</v>
      </c>
      <c r="L12" s="223" t="s">
        <v>204</v>
      </c>
      <c r="M12" s="225">
        <f>+G11</f>
        <v>2614</v>
      </c>
      <c r="N12" s="2"/>
      <c r="O12" s="2"/>
      <c r="P12" s="2"/>
      <c r="Q12" s="2"/>
      <c r="R12" s="2"/>
      <c r="S12" s="2"/>
    </row>
    <row r="13" spans="1:19" ht="14.25">
      <c r="L13" s="223" t="s">
        <v>196</v>
      </c>
      <c r="M13" s="225">
        <f>+G12</f>
        <v>2430</v>
      </c>
      <c r="N13" s="235"/>
      <c r="O13" s="2"/>
      <c r="P13" s="2"/>
      <c r="Q13" s="2"/>
      <c r="R13" s="2"/>
      <c r="S13" s="2"/>
    </row>
    <row r="14" spans="1:19" ht="15">
      <c r="L14" s="221" t="s">
        <v>187</v>
      </c>
      <c r="M14" s="226">
        <f t="shared" ref="M14" si="4">+M12/M13</f>
        <v>1.0757201646090535</v>
      </c>
      <c r="N14" s="227"/>
      <c r="O14" s="213">
        <f>+M14-100%</f>
        <v>7.5720164609053509E-2</v>
      </c>
      <c r="P14" s="2"/>
      <c r="Q14" s="2"/>
      <c r="R14" s="2"/>
      <c r="S14" s="2"/>
    </row>
    <row r="15" spans="1:19" ht="14.25">
      <c r="L15" s="222"/>
      <c r="M15" s="2"/>
      <c r="N15" s="2"/>
      <c r="O15" s="2"/>
      <c r="P15" s="2"/>
      <c r="Q15" s="2"/>
      <c r="R15" s="2"/>
      <c r="S15" s="2"/>
    </row>
    <row r="16" spans="1:19" ht="18">
      <c r="L16" s="232" t="s">
        <v>190</v>
      </c>
      <c r="M16" s="2"/>
      <c r="N16" s="2"/>
      <c r="O16" s="2"/>
      <c r="P16" s="2"/>
      <c r="Q16" s="2"/>
      <c r="R16" s="2"/>
      <c r="S16" s="2"/>
    </row>
    <row r="17" spans="12:19" ht="61.9" customHeight="1">
      <c r="L17" s="1287" t="s">
        <v>191</v>
      </c>
      <c r="M17" s="1287"/>
      <c r="N17" s="1287"/>
      <c r="O17" s="1287"/>
      <c r="P17" s="1287"/>
      <c r="Q17" s="1287"/>
      <c r="R17" s="1287"/>
      <c r="S17" s="1287"/>
    </row>
    <row r="18" spans="12:19" ht="44.45" customHeight="1">
      <c r="L18" s="1287" t="s">
        <v>192</v>
      </c>
      <c r="M18" s="1287"/>
      <c r="N18" s="1287"/>
      <c r="O18" s="1287"/>
      <c r="P18" s="1287"/>
      <c r="Q18" s="1287"/>
      <c r="R18" s="1287"/>
      <c r="S18" s="1287"/>
    </row>
    <row r="19" spans="12:19" ht="14.25">
      <c r="L19" s="234" t="s">
        <v>193</v>
      </c>
      <c r="M19" s="218"/>
      <c r="N19" s="218"/>
      <c r="O19" s="218"/>
      <c r="P19" s="218"/>
      <c r="Q19" s="218"/>
      <c r="R19" s="218"/>
      <c r="S19" s="218"/>
    </row>
    <row r="20" spans="12:19" ht="15">
      <c r="L20" s="177" t="s">
        <v>0</v>
      </c>
      <c r="M20" s="217" t="s">
        <v>5</v>
      </c>
      <c r="N20" s="2"/>
      <c r="O20" s="2"/>
      <c r="P20" s="2"/>
      <c r="Q20" s="2"/>
      <c r="R20" s="2"/>
      <c r="S20" s="2"/>
    </row>
    <row r="21" spans="12:19" ht="14.25">
      <c r="L21" s="223" t="s">
        <v>184</v>
      </c>
      <c r="M21" s="231">
        <f>+M9</f>
        <v>0.94736842105263153</v>
      </c>
      <c r="N21" s="2"/>
      <c r="O21" s="2"/>
      <c r="P21" s="2"/>
      <c r="Q21" s="2"/>
      <c r="R21" s="2"/>
      <c r="S21" s="2"/>
    </row>
    <row r="22" spans="12:19" ht="14.25">
      <c r="L22" s="223" t="s">
        <v>187</v>
      </c>
      <c r="M22" s="231">
        <f>+M14</f>
        <v>1.0757201646090535</v>
      </c>
      <c r="N22" s="2"/>
      <c r="O22" s="2"/>
      <c r="P22" s="2"/>
      <c r="Q22" s="2"/>
      <c r="R22" s="2"/>
      <c r="S22" s="2"/>
    </row>
    <row r="23" spans="12:19" ht="15">
      <c r="L23" s="221" t="s">
        <v>197</v>
      </c>
      <c r="M23" s="243">
        <f t="shared" ref="M23" si="5">(M21*M22)/100</f>
        <v>1.019103313840156E-2</v>
      </c>
      <c r="N23" s="2"/>
      <c r="O23" s="2"/>
      <c r="P23" s="2"/>
      <c r="Q23" s="2"/>
      <c r="R23" s="2"/>
      <c r="S23" s="2"/>
    </row>
    <row r="24" spans="12:19" ht="14.25">
      <c r="L24" s="223"/>
      <c r="M24" s="233"/>
      <c r="N24" s="2"/>
      <c r="O24" s="2"/>
      <c r="P24" s="2"/>
      <c r="Q24" s="2"/>
      <c r="R24" s="2"/>
      <c r="S24" s="2"/>
    </row>
    <row r="28" spans="12:19">
      <c r="M28" s="242"/>
    </row>
  </sheetData>
  <mergeCells count="2">
    <mergeCell ref="L17:S17"/>
    <mergeCell ref="L18:S1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6A973D5-2D74-4B11-BFBE-D20813364AB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14</vt:i4>
      </vt:variant>
    </vt:vector>
  </HeadingPairs>
  <TitlesOfParts>
    <vt:vector size="14" baseType="lpstr">
      <vt:lpstr>Note</vt:lpstr>
      <vt:lpstr>People</vt:lpstr>
      <vt:lpstr>People_2</vt:lpstr>
      <vt:lpstr>Worked Hrs</vt:lpstr>
      <vt:lpstr>Quality</vt:lpstr>
      <vt:lpstr>Ph_QC</vt:lpstr>
      <vt:lpstr>Efficiency</vt:lpstr>
      <vt:lpstr>Costs &amp; Profitability</vt:lpstr>
      <vt:lpstr>Warehouse &amp; Inventory Manag</vt:lpstr>
      <vt:lpstr>Delivery</vt:lpstr>
      <vt:lpstr>Logistic</vt:lpstr>
      <vt:lpstr>Capex</vt:lpstr>
      <vt:lpstr>Ratio</vt:lpstr>
      <vt:lpstr>Raio_calc-exp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Mina Moussa</dc:creator>
  <cp:lastModifiedBy>QHSE</cp:lastModifiedBy>
  <cp:lastPrinted>2026-01-23T13:42:51Z</cp:lastPrinted>
  <dcterms:created xsi:type="dcterms:W3CDTF">2023-04-14T10:46:19Z</dcterms:created>
  <dcterms:modified xsi:type="dcterms:W3CDTF">2026-10-13T12:35:55Z</dcterms:modified>
</cp:coreProperties>
</file>