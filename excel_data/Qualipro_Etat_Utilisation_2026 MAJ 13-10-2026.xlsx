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esktop\QHSE\001 SMQ\KPI\"/>
    </mc:Choice>
  </mc:AlternateContent>
  <xr:revisionPtr revIDLastSave="0" documentId="8_{A70A3C32-1A2A-4786-8AD1-F6BD6FB443E8}" xr6:coauthVersionLast="36" xr6:coauthVersionMax="36" xr10:uidLastSave="{00000000-0000-0000-0000-000000000000}"/>
  <bookViews>
    <workbookView xWindow="0" yWindow="0" windowWidth="28800" windowHeight="11805" tabRatio="500" xr2:uid="{00000000-000D-0000-FFFF-FFFF00000000}"/>
  </bookViews>
  <sheets>
    <sheet name="État" sheetId="1" r:id="rId1"/>
    <sheet name="Paramètres" sheetId="2" r:id="rId2"/>
    <sheet name="Journal" sheetId="3" r:id="rId3"/>
    <sheet name="Calcul" sheetId="4" r:id="rId4"/>
    <sheet name="Calendrier" sheetId="5" r:id="rId5"/>
    <sheet name="Méthode" sheetId="6" r:id="rId6"/>
  </sheets>
  <definedNames>
    <definedName name="_xlnm._FilterDatabase" localSheetId="2" hidden="1">Journal!$A$1:$L$3001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5" l="1"/>
  <c r="A2" i="5"/>
  <c r="A3" i="5" s="1"/>
  <c r="N46" i="4"/>
  <c r="M46" i="4"/>
  <c r="L46" i="4"/>
  <c r="K46" i="4"/>
  <c r="J46" i="4"/>
  <c r="I46" i="4"/>
  <c r="H46" i="4"/>
  <c r="G46" i="4"/>
  <c r="F46" i="4"/>
  <c r="E46" i="4"/>
  <c r="D46" i="4"/>
  <c r="C46" i="4"/>
  <c r="N45" i="4"/>
  <c r="M45" i="4"/>
  <c r="L45" i="4"/>
  <c r="K45" i="4"/>
  <c r="J45" i="4"/>
  <c r="I45" i="4"/>
  <c r="H45" i="4"/>
  <c r="G45" i="4"/>
  <c r="F45" i="4"/>
  <c r="E45" i="4"/>
  <c r="D45" i="4"/>
  <c r="C4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Z4" i="4"/>
  <c r="AY4" i="4"/>
  <c r="AW4" i="4"/>
  <c r="AQ4" i="4"/>
  <c r="AN4" i="4"/>
  <c r="AM4" i="4"/>
  <c r="Y4" i="4"/>
  <c r="W4" i="4"/>
  <c r="R4" i="4"/>
  <c r="Q4" i="4"/>
  <c r="N4" i="4"/>
  <c r="M4" i="4"/>
  <c r="Z4" i="4" s="1"/>
  <c r="L4" i="4"/>
  <c r="K4" i="4"/>
  <c r="AX4" i="4" s="1"/>
  <c r="J4" i="4"/>
  <c r="I4" i="4"/>
  <c r="H4" i="4"/>
  <c r="AH4" i="4" s="1"/>
  <c r="G4" i="4"/>
  <c r="F4" i="4"/>
  <c r="E4" i="4"/>
  <c r="AR4" i="4" s="1"/>
  <c r="D4" i="4"/>
  <c r="C4" i="4"/>
  <c r="AP4" i="4" s="1"/>
  <c r="I3001" i="3"/>
  <c r="H3001" i="3"/>
  <c r="G3001" i="3"/>
  <c r="F3001" i="3"/>
  <c r="E3001" i="3"/>
  <c r="D3001" i="3"/>
  <c r="L3001" i="3" s="1"/>
  <c r="H3000" i="3"/>
  <c r="K3000" i="3" s="1"/>
  <c r="G3000" i="3"/>
  <c r="F3000" i="3"/>
  <c r="E3000" i="3"/>
  <c r="D3000" i="3"/>
  <c r="L3000" i="3" s="1"/>
  <c r="H2999" i="3"/>
  <c r="K2999" i="3" s="1"/>
  <c r="G2999" i="3"/>
  <c r="F2999" i="3"/>
  <c r="E2999" i="3"/>
  <c r="D2999" i="3"/>
  <c r="L2999" i="3" s="1"/>
  <c r="K2998" i="3"/>
  <c r="J2998" i="3"/>
  <c r="H2998" i="3"/>
  <c r="I2998" i="3" s="1"/>
  <c r="G2998" i="3"/>
  <c r="F2998" i="3"/>
  <c r="E2998" i="3"/>
  <c r="D2998" i="3"/>
  <c r="L2998" i="3" s="1"/>
  <c r="H2997" i="3"/>
  <c r="J2997" i="3" s="1"/>
  <c r="G2997" i="3"/>
  <c r="F2997" i="3"/>
  <c r="E2997" i="3"/>
  <c r="D2997" i="3"/>
  <c r="L2997" i="3" s="1"/>
  <c r="J2996" i="3"/>
  <c r="H2996" i="3"/>
  <c r="K2996" i="3" s="1"/>
  <c r="G2996" i="3"/>
  <c r="F2996" i="3"/>
  <c r="E2996" i="3"/>
  <c r="D2996" i="3"/>
  <c r="L2996" i="3" s="1"/>
  <c r="L2995" i="3"/>
  <c r="K2995" i="3"/>
  <c r="H2995" i="3"/>
  <c r="I2995" i="3" s="1"/>
  <c r="G2995" i="3"/>
  <c r="F2995" i="3"/>
  <c r="E2995" i="3"/>
  <c r="D2995" i="3"/>
  <c r="L2994" i="3"/>
  <c r="K2994" i="3"/>
  <c r="H2994" i="3"/>
  <c r="G2994" i="3"/>
  <c r="F2994" i="3"/>
  <c r="E2994" i="3"/>
  <c r="D2994" i="3"/>
  <c r="H2993" i="3"/>
  <c r="I2993" i="3" s="1"/>
  <c r="G2993" i="3"/>
  <c r="F2993" i="3"/>
  <c r="E2993" i="3"/>
  <c r="D2993" i="3"/>
  <c r="L2993" i="3" s="1"/>
  <c r="H2992" i="3"/>
  <c r="G2992" i="3"/>
  <c r="F2992" i="3"/>
  <c r="E2992" i="3"/>
  <c r="D2992" i="3"/>
  <c r="L2992" i="3" s="1"/>
  <c r="H2991" i="3"/>
  <c r="G2991" i="3"/>
  <c r="F2991" i="3"/>
  <c r="E2991" i="3"/>
  <c r="D2991" i="3"/>
  <c r="L2991" i="3" s="1"/>
  <c r="H2990" i="3"/>
  <c r="I2990" i="3" s="1"/>
  <c r="G2990" i="3"/>
  <c r="F2990" i="3"/>
  <c r="E2990" i="3"/>
  <c r="D2990" i="3"/>
  <c r="L2990" i="3" s="1"/>
  <c r="J2989" i="3"/>
  <c r="I2989" i="3"/>
  <c r="H2989" i="3"/>
  <c r="K2989" i="3" s="1"/>
  <c r="G2989" i="3"/>
  <c r="F2989" i="3"/>
  <c r="E2989" i="3"/>
  <c r="D2989" i="3"/>
  <c r="L2989" i="3" s="1"/>
  <c r="K2988" i="3"/>
  <c r="J2988" i="3"/>
  <c r="I2988" i="3"/>
  <c r="H2988" i="3"/>
  <c r="G2988" i="3"/>
  <c r="F2988" i="3"/>
  <c r="E2988" i="3"/>
  <c r="D2988" i="3"/>
  <c r="L2988" i="3" s="1"/>
  <c r="K2987" i="3"/>
  <c r="J2987" i="3"/>
  <c r="I2987" i="3"/>
  <c r="H2987" i="3"/>
  <c r="G2987" i="3"/>
  <c r="F2987" i="3"/>
  <c r="E2987" i="3"/>
  <c r="D2987" i="3"/>
  <c r="L2987" i="3" s="1"/>
  <c r="H2986" i="3"/>
  <c r="I2986" i="3" s="1"/>
  <c r="G2986" i="3"/>
  <c r="F2986" i="3"/>
  <c r="E2986" i="3"/>
  <c r="D2986" i="3"/>
  <c r="L2986" i="3" s="1"/>
  <c r="K2985" i="3"/>
  <c r="I2985" i="3"/>
  <c r="H2985" i="3"/>
  <c r="J2985" i="3" s="1"/>
  <c r="G2985" i="3"/>
  <c r="F2985" i="3"/>
  <c r="E2985" i="3"/>
  <c r="D2985" i="3"/>
  <c r="L2985" i="3" s="1"/>
  <c r="J2984" i="3"/>
  <c r="I2984" i="3"/>
  <c r="H2984" i="3"/>
  <c r="K2984" i="3" s="1"/>
  <c r="G2984" i="3"/>
  <c r="F2984" i="3"/>
  <c r="E2984" i="3"/>
  <c r="D2984" i="3"/>
  <c r="L2984" i="3" s="1"/>
  <c r="H2983" i="3"/>
  <c r="G2983" i="3"/>
  <c r="F2983" i="3"/>
  <c r="E2983" i="3"/>
  <c r="D2983" i="3"/>
  <c r="L2983" i="3" s="1"/>
  <c r="H2982" i="3"/>
  <c r="G2982" i="3"/>
  <c r="F2982" i="3"/>
  <c r="E2982" i="3"/>
  <c r="D2982" i="3"/>
  <c r="L2982" i="3" s="1"/>
  <c r="J2981" i="3"/>
  <c r="I2981" i="3"/>
  <c r="H2981" i="3"/>
  <c r="K2981" i="3" s="1"/>
  <c r="G2981" i="3"/>
  <c r="F2981" i="3"/>
  <c r="E2981" i="3"/>
  <c r="D2981" i="3"/>
  <c r="L2981" i="3" s="1"/>
  <c r="K2980" i="3"/>
  <c r="J2980" i="3"/>
  <c r="I2980" i="3"/>
  <c r="H2980" i="3"/>
  <c r="G2980" i="3"/>
  <c r="F2980" i="3"/>
  <c r="E2980" i="3"/>
  <c r="D2980" i="3"/>
  <c r="L2980" i="3" s="1"/>
  <c r="K2979" i="3"/>
  <c r="J2979" i="3"/>
  <c r="I2979" i="3"/>
  <c r="H2979" i="3"/>
  <c r="G2979" i="3"/>
  <c r="F2979" i="3"/>
  <c r="E2979" i="3"/>
  <c r="D2979" i="3"/>
  <c r="L2979" i="3" s="1"/>
  <c r="L2978" i="3"/>
  <c r="K2978" i="3"/>
  <c r="J2978" i="3"/>
  <c r="H2978" i="3"/>
  <c r="I2978" i="3" s="1"/>
  <c r="G2978" i="3"/>
  <c r="F2978" i="3"/>
  <c r="E2978" i="3"/>
  <c r="D2978" i="3"/>
  <c r="H2977" i="3"/>
  <c r="J2977" i="3" s="1"/>
  <c r="G2977" i="3"/>
  <c r="F2977" i="3"/>
  <c r="E2977" i="3"/>
  <c r="D2977" i="3"/>
  <c r="L2977" i="3" s="1"/>
  <c r="H2976" i="3"/>
  <c r="K2976" i="3" s="1"/>
  <c r="G2976" i="3"/>
  <c r="F2976" i="3"/>
  <c r="E2976" i="3"/>
  <c r="D2976" i="3"/>
  <c r="L2976" i="3" s="1"/>
  <c r="H2975" i="3"/>
  <c r="G2975" i="3"/>
  <c r="F2975" i="3"/>
  <c r="E2975" i="3"/>
  <c r="D2975" i="3"/>
  <c r="L2975" i="3" s="1"/>
  <c r="H2974" i="3"/>
  <c r="I2974" i="3" s="1"/>
  <c r="G2974" i="3"/>
  <c r="F2974" i="3"/>
  <c r="E2974" i="3"/>
  <c r="D2974" i="3"/>
  <c r="L2974" i="3" s="1"/>
  <c r="J2973" i="3"/>
  <c r="I2973" i="3"/>
  <c r="H2973" i="3"/>
  <c r="K2973" i="3" s="1"/>
  <c r="G2973" i="3"/>
  <c r="F2973" i="3"/>
  <c r="E2973" i="3"/>
  <c r="D2973" i="3"/>
  <c r="L2973" i="3" s="1"/>
  <c r="K2972" i="3"/>
  <c r="J2972" i="3"/>
  <c r="I2972" i="3"/>
  <c r="H2972" i="3"/>
  <c r="G2972" i="3"/>
  <c r="F2972" i="3"/>
  <c r="E2972" i="3"/>
  <c r="D2972" i="3"/>
  <c r="L2972" i="3" s="1"/>
  <c r="K2971" i="3"/>
  <c r="J2971" i="3"/>
  <c r="I2971" i="3"/>
  <c r="H2971" i="3"/>
  <c r="G2971" i="3"/>
  <c r="F2971" i="3"/>
  <c r="E2971" i="3"/>
  <c r="D2971" i="3"/>
  <c r="L2971" i="3" s="1"/>
  <c r="L2970" i="3"/>
  <c r="K2970" i="3"/>
  <c r="J2970" i="3"/>
  <c r="H2970" i="3"/>
  <c r="I2970" i="3" s="1"/>
  <c r="G2970" i="3"/>
  <c r="F2970" i="3"/>
  <c r="E2970" i="3"/>
  <c r="D2970" i="3"/>
  <c r="H2969" i="3"/>
  <c r="J2969" i="3" s="1"/>
  <c r="G2969" i="3"/>
  <c r="F2969" i="3"/>
  <c r="E2969" i="3"/>
  <c r="D2969" i="3"/>
  <c r="L2969" i="3" s="1"/>
  <c r="H2968" i="3"/>
  <c r="K2968" i="3" s="1"/>
  <c r="G2968" i="3"/>
  <c r="F2968" i="3"/>
  <c r="E2968" i="3"/>
  <c r="D2968" i="3"/>
  <c r="L2968" i="3" s="1"/>
  <c r="H2967" i="3"/>
  <c r="G2967" i="3"/>
  <c r="F2967" i="3"/>
  <c r="E2967" i="3"/>
  <c r="D2967" i="3"/>
  <c r="L2967" i="3" s="1"/>
  <c r="H2966" i="3"/>
  <c r="I2966" i="3" s="1"/>
  <c r="G2966" i="3"/>
  <c r="F2966" i="3"/>
  <c r="E2966" i="3"/>
  <c r="D2966" i="3"/>
  <c r="L2966" i="3" s="1"/>
  <c r="J2965" i="3"/>
  <c r="I2965" i="3"/>
  <c r="H2965" i="3"/>
  <c r="K2965" i="3" s="1"/>
  <c r="G2965" i="3"/>
  <c r="F2965" i="3"/>
  <c r="E2965" i="3"/>
  <c r="D2965" i="3"/>
  <c r="L2965" i="3" s="1"/>
  <c r="K2964" i="3"/>
  <c r="J2964" i="3"/>
  <c r="I2964" i="3"/>
  <c r="H2964" i="3"/>
  <c r="G2964" i="3"/>
  <c r="F2964" i="3"/>
  <c r="E2964" i="3"/>
  <c r="D2964" i="3"/>
  <c r="L2964" i="3" s="1"/>
  <c r="K2963" i="3"/>
  <c r="J2963" i="3"/>
  <c r="I2963" i="3"/>
  <c r="H2963" i="3"/>
  <c r="G2963" i="3"/>
  <c r="F2963" i="3"/>
  <c r="E2963" i="3"/>
  <c r="D2963" i="3"/>
  <c r="L2963" i="3" s="1"/>
  <c r="H2962" i="3"/>
  <c r="I2962" i="3" s="1"/>
  <c r="G2962" i="3"/>
  <c r="F2962" i="3"/>
  <c r="E2962" i="3"/>
  <c r="D2962" i="3"/>
  <c r="L2962" i="3" s="1"/>
  <c r="H2961" i="3"/>
  <c r="J2961" i="3" s="1"/>
  <c r="G2961" i="3"/>
  <c r="F2961" i="3"/>
  <c r="E2961" i="3"/>
  <c r="D2961" i="3"/>
  <c r="L2961" i="3" s="1"/>
  <c r="J2960" i="3"/>
  <c r="H2960" i="3"/>
  <c r="K2960" i="3" s="1"/>
  <c r="G2960" i="3"/>
  <c r="F2960" i="3"/>
  <c r="E2960" i="3"/>
  <c r="D2960" i="3"/>
  <c r="L2960" i="3" s="1"/>
  <c r="H2959" i="3"/>
  <c r="G2959" i="3"/>
  <c r="F2959" i="3"/>
  <c r="E2959" i="3"/>
  <c r="D2959" i="3"/>
  <c r="L2959" i="3" s="1"/>
  <c r="H2958" i="3"/>
  <c r="G2958" i="3"/>
  <c r="F2958" i="3"/>
  <c r="E2958" i="3"/>
  <c r="D2958" i="3"/>
  <c r="L2958" i="3" s="1"/>
  <c r="H2957" i="3"/>
  <c r="K2957" i="3" s="1"/>
  <c r="G2957" i="3"/>
  <c r="F2957" i="3"/>
  <c r="E2957" i="3"/>
  <c r="D2957" i="3"/>
  <c r="L2957" i="3" s="1"/>
  <c r="K2956" i="3"/>
  <c r="H2956" i="3"/>
  <c r="J2956" i="3" s="1"/>
  <c r="G2956" i="3"/>
  <c r="F2956" i="3"/>
  <c r="E2956" i="3"/>
  <c r="D2956" i="3"/>
  <c r="L2956" i="3" s="1"/>
  <c r="K2955" i="3"/>
  <c r="H2955" i="3"/>
  <c r="J2955" i="3" s="1"/>
  <c r="G2955" i="3"/>
  <c r="F2955" i="3"/>
  <c r="E2955" i="3"/>
  <c r="D2955" i="3"/>
  <c r="L2955" i="3" s="1"/>
  <c r="L2954" i="3"/>
  <c r="H2954" i="3"/>
  <c r="I2954" i="3" s="1"/>
  <c r="G2954" i="3"/>
  <c r="F2954" i="3"/>
  <c r="E2954" i="3"/>
  <c r="D2954" i="3"/>
  <c r="H2953" i="3"/>
  <c r="K2953" i="3" s="1"/>
  <c r="G2953" i="3"/>
  <c r="F2953" i="3"/>
  <c r="E2953" i="3"/>
  <c r="D2953" i="3"/>
  <c r="L2953" i="3" s="1"/>
  <c r="H2952" i="3"/>
  <c r="K2952" i="3" s="1"/>
  <c r="G2952" i="3"/>
  <c r="F2952" i="3"/>
  <c r="E2952" i="3"/>
  <c r="D2952" i="3"/>
  <c r="L2952" i="3" s="1"/>
  <c r="H2951" i="3"/>
  <c r="G2951" i="3"/>
  <c r="F2951" i="3"/>
  <c r="E2951" i="3"/>
  <c r="D2951" i="3"/>
  <c r="L2951" i="3" s="1"/>
  <c r="H2950" i="3"/>
  <c r="I2950" i="3" s="1"/>
  <c r="G2950" i="3"/>
  <c r="F2950" i="3"/>
  <c r="E2950" i="3"/>
  <c r="D2950" i="3"/>
  <c r="L2950" i="3" s="1"/>
  <c r="J2949" i="3"/>
  <c r="I2949" i="3"/>
  <c r="H2949" i="3"/>
  <c r="K2949" i="3" s="1"/>
  <c r="G2949" i="3"/>
  <c r="F2949" i="3"/>
  <c r="E2949" i="3"/>
  <c r="D2949" i="3"/>
  <c r="L2949" i="3" s="1"/>
  <c r="K2948" i="3"/>
  <c r="J2948" i="3"/>
  <c r="I2948" i="3"/>
  <c r="H2948" i="3"/>
  <c r="G2948" i="3"/>
  <c r="F2948" i="3"/>
  <c r="E2948" i="3"/>
  <c r="D2948" i="3"/>
  <c r="L2948" i="3" s="1"/>
  <c r="K2947" i="3"/>
  <c r="J2947" i="3"/>
  <c r="I2947" i="3"/>
  <c r="H2947" i="3"/>
  <c r="G2947" i="3"/>
  <c r="F2947" i="3"/>
  <c r="E2947" i="3"/>
  <c r="D2947" i="3"/>
  <c r="L2947" i="3" s="1"/>
  <c r="H2946" i="3"/>
  <c r="I2946" i="3" s="1"/>
  <c r="G2946" i="3"/>
  <c r="F2946" i="3"/>
  <c r="E2946" i="3"/>
  <c r="D2946" i="3"/>
  <c r="L2946" i="3" s="1"/>
  <c r="H2945" i="3"/>
  <c r="K2945" i="3" s="1"/>
  <c r="G2945" i="3"/>
  <c r="F2945" i="3"/>
  <c r="E2945" i="3"/>
  <c r="D2945" i="3"/>
  <c r="L2945" i="3" s="1"/>
  <c r="H2944" i="3"/>
  <c r="K2944" i="3" s="1"/>
  <c r="G2944" i="3"/>
  <c r="F2944" i="3"/>
  <c r="E2944" i="3"/>
  <c r="D2944" i="3"/>
  <c r="L2944" i="3" s="1"/>
  <c r="H2943" i="3"/>
  <c r="G2943" i="3"/>
  <c r="F2943" i="3"/>
  <c r="E2943" i="3"/>
  <c r="D2943" i="3"/>
  <c r="L2943" i="3" s="1"/>
  <c r="H2942" i="3"/>
  <c r="I2942" i="3" s="1"/>
  <c r="G2942" i="3"/>
  <c r="F2942" i="3"/>
  <c r="E2942" i="3"/>
  <c r="D2942" i="3"/>
  <c r="L2942" i="3" s="1"/>
  <c r="H2941" i="3"/>
  <c r="K2941" i="3" s="1"/>
  <c r="G2941" i="3"/>
  <c r="F2941" i="3"/>
  <c r="E2941" i="3"/>
  <c r="D2941" i="3"/>
  <c r="L2941" i="3" s="1"/>
  <c r="H2940" i="3"/>
  <c r="K2940" i="3" s="1"/>
  <c r="G2940" i="3"/>
  <c r="F2940" i="3"/>
  <c r="E2940" i="3"/>
  <c r="D2940" i="3"/>
  <c r="L2940" i="3" s="1"/>
  <c r="H2939" i="3"/>
  <c r="K2939" i="3" s="1"/>
  <c r="G2939" i="3"/>
  <c r="F2939" i="3"/>
  <c r="E2939" i="3"/>
  <c r="D2939" i="3"/>
  <c r="L2939" i="3" s="1"/>
  <c r="H2938" i="3"/>
  <c r="I2938" i="3" s="1"/>
  <c r="G2938" i="3"/>
  <c r="F2938" i="3"/>
  <c r="E2938" i="3"/>
  <c r="D2938" i="3"/>
  <c r="L2938" i="3" s="1"/>
  <c r="H2937" i="3"/>
  <c r="K2937" i="3" s="1"/>
  <c r="G2937" i="3"/>
  <c r="F2937" i="3"/>
  <c r="E2937" i="3"/>
  <c r="D2937" i="3"/>
  <c r="L2937" i="3" s="1"/>
  <c r="J2936" i="3"/>
  <c r="I2936" i="3"/>
  <c r="H2936" i="3"/>
  <c r="K2936" i="3" s="1"/>
  <c r="G2936" i="3"/>
  <c r="F2936" i="3"/>
  <c r="E2936" i="3"/>
  <c r="D2936" i="3"/>
  <c r="L2936" i="3" s="1"/>
  <c r="H2935" i="3"/>
  <c r="G2935" i="3"/>
  <c r="F2935" i="3"/>
  <c r="E2935" i="3"/>
  <c r="D2935" i="3"/>
  <c r="L2935" i="3" s="1"/>
  <c r="H2934" i="3"/>
  <c r="G2934" i="3"/>
  <c r="F2934" i="3"/>
  <c r="E2934" i="3"/>
  <c r="D2934" i="3"/>
  <c r="L2934" i="3" s="1"/>
  <c r="J2933" i="3"/>
  <c r="I2933" i="3"/>
  <c r="H2933" i="3"/>
  <c r="K2933" i="3" s="1"/>
  <c r="G2933" i="3"/>
  <c r="F2933" i="3"/>
  <c r="E2933" i="3"/>
  <c r="D2933" i="3"/>
  <c r="L2933" i="3" s="1"/>
  <c r="I2932" i="3"/>
  <c r="H2932" i="3"/>
  <c r="K2932" i="3" s="1"/>
  <c r="G2932" i="3"/>
  <c r="F2932" i="3"/>
  <c r="E2932" i="3"/>
  <c r="D2932" i="3"/>
  <c r="L2932" i="3" s="1"/>
  <c r="I2931" i="3"/>
  <c r="H2931" i="3"/>
  <c r="K2931" i="3" s="1"/>
  <c r="G2931" i="3"/>
  <c r="F2931" i="3"/>
  <c r="E2931" i="3"/>
  <c r="D2931" i="3"/>
  <c r="L2931" i="3" s="1"/>
  <c r="J2930" i="3"/>
  <c r="H2930" i="3"/>
  <c r="I2930" i="3" s="1"/>
  <c r="G2930" i="3"/>
  <c r="F2930" i="3"/>
  <c r="E2930" i="3"/>
  <c r="D2930" i="3"/>
  <c r="L2930" i="3" s="1"/>
  <c r="H2929" i="3"/>
  <c r="K2929" i="3" s="1"/>
  <c r="G2929" i="3"/>
  <c r="F2929" i="3"/>
  <c r="E2929" i="3"/>
  <c r="D2929" i="3"/>
  <c r="L2929" i="3" s="1"/>
  <c r="I2928" i="3"/>
  <c r="H2928" i="3"/>
  <c r="K2928" i="3" s="1"/>
  <c r="G2928" i="3"/>
  <c r="F2928" i="3"/>
  <c r="E2928" i="3"/>
  <c r="D2928" i="3"/>
  <c r="L2928" i="3" s="1"/>
  <c r="H2927" i="3"/>
  <c r="G2927" i="3"/>
  <c r="F2927" i="3"/>
  <c r="E2927" i="3"/>
  <c r="D2927" i="3"/>
  <c r="L2927" i="3" s="1"/>
  <c r="H2926" i="3"/>
  <c r="I2926" i="3" s="1"/>
  <c r="G2926" i="3"/>
  <c r="F2926" i="3"/>
  <c r="E2926" i="3"/>
  <c r="D2926" i="3"/>
  <c r="L2926" i="3" s="1"/>
  <c r="H2925" i="3"/>
  <c r="G2925" i="3"/>
  <c r="F2925" i="3"/>
  <c r="E2925" i="3"/>
  <c r="D2925" i="3"/>
  <c r="L2925" i="3" s="1"/>
  <c r="I2924" i="3"/>
  <c r="H2924" i="3"/>
  <c r="K2924" i="3" s="1"/>
  <c r="G2924" i="3"/>
  <c r="F2924" i="3"/>
  <c r="E2924" i="3"/>
  <c r="D2924" i="3"/>
  <c r="L2924" i="3" s="1"/>
  <c r="I2923" i="3"/>
  <c r="H2923" i="3"/>
  <c r="K2923" i="3" s="1"/>
  <c r="G2923" i="3"/>
  <c r="F2923" i="3"/>
  <c r="E2923" i="3"/>
  <c r="D2923" i="3"/>
  <c r="L2923" i="3" s="1"/>
  <c r="H2922" i="3"/>
  <c r="I2922" i="3" s="1"/>
  <c r="G2922" i="3"/>
  <c r="F2922" i="3"/>
  <c r="E2922" i="3"/>
  <c r="D2922" i="3"/>
  <c r="L2922" i="3" s="1"/>
  <c r="H2921" i="3"/>
  <c r="K2921" i="3" s="1"/>
  <c r="G2921" i="3"/>
  <c r="F2921" i="3"/>
  <c r="E2921" i="3"/>
  <c r="D2921" i="3"/>
  <c r="L2921" i="3" s="1"/>
  <c r="H2920" i="3"/>
  <c r="K2920" i="3" s="1"/>
  <c r="G2920" i="3"/>
  <c r="F2920" i="3"/>
  <c r="E2920" i="3"/>
  <c r="D2920" i="3"/>
  <c r="L2920" i="3" s="1"/>
  <c r="H2919" i="3"/>
  <c r="G2919" i="3"/>
  <c r="F2919" i="3"/>
  <c r="E2919" i="3"/>
  <c r="D2919" i="3"/>
  <c r="L2919" i="3" s="1"/>
  <c r="I2918" i="3"/>
  <c r="H2918" i="3"/>
  <c r="G2918" i="3"/>
  <c r="F2918" i="3"/>
  <c r="E2918" i="3"/>
  <c r="D2918" i="3"/>
  <c r="L2918" i="3" s="1"/>
  <c r="H2917" i="3"/>
  <c r="G2917" i="3"/>
  <c r="F2917" i="3"/>
  <c r="E2917" i="3"/>
  <c r="D2917" i="3"/>
  <c r="L2917" i="3" s="1"/>
  <c r="H2916" i="3"/>
  <c r="K2916" i="3" s="1"/>
  <c r="G2916" i="3"/>
  <c r="F2916" i="3"/>
  <c r="E2916" i="3"/>
  <c r="D2916" i="3"/>
  <c r="L2916" i="3" s="1"/>
  <c r="H2915" i="3"/>
  <c r="K2915" i="3" s="1"/>
  <c r="G2915" i="3"/>
  <c r="F2915" i="3"/>
  <c r="E2915" i="3"/>
  <c r="D2915" i="3"/>
  <c r="L2915" i="3" s="1"/>
  <c r="K2914" i="3"/>
  <c r="H2914" i="3"/>
  <c r="I2914" i="3" s="1"/>
  <c r="G2914" i="3"/>
  <c r="F2914" i="3"/>
  <c r="E2914" i="3"/>
  <c r="D2914" i="3"/>
  <c r="L2914" i="3" s="1"/>
  <c r="H2913" i="3"/>
  <c r="K2913" i="3" s="1"/>
  <c r="G2913" i="3"/>
  <c r="F2913" i="3"/>
  <c r="E2913" i="3"/>
  <c r="D2913" i="3"/>
  <c r="L2913" i="3" s="1"/>
  <c r="J2912" i="3"/>
  <c r="I2912" i="3"/>
  <c r="H2912" i="3"/>
  <c r="K2912" i="3" s="1"/>
  <c r="G2912" i="3"/>
  <c r="F2912" i="3"/>
  <c r="E2912" i="3"/>
  <c r="D2912" i="3"/>
  <c r="L2912" i="3" s="1"/>
  <c r="H2911" i="3"/>
  <c r="G2911" i="3"/>
  <c r="F2911" i="3"/>
  <c r="E2911" i="3"/>
  <c r="D2911" i="3"/>
  <c r="L2911" i="3" s="1"/>
  <c r="I2910" i="3"/>
  <c r="H2910" i="3"/>
  <c r="G2910" i="3"/>
  <c r="F2910" i="3"/>
  <c r="E2910" i="3"/>
  <c r="D2910" i="3"/>
  <c r="L2910" i="3" s="1"/>
  <c r="H2909" i="3"/>
  <c r="G2909" i="3"/>
  <c r="F2909" i="3"/>
  <c r="E2909" i="3"/>
  <c r="D2909" i="3"/>
  <c r="L2909" i="3" s="1"/>
  <c r="K2908" i="3"/>
  <c r="J2908" i="3"/>
  <c r="I2908" i="3"/>
  <c r="H2908" i="3"/>
  <c r="G2908" i="3"/>
  <c r="F2908" i="3"/>
  <c r="E2908" i="3"/>
  <c r="D2908" i="3"/>
  <c r="L2908" i="3" s="1"/>
  <c r="K2907" i="3"/>
  <c r="J2907" i="3"/>
  <c r="I2907" i="3"/>
  <c r="H2907" i="3"/>
  <c r="G2907" i="3"/>
  <c r="F2907" i="3"/>
  <c r="E2907" i="3"/>
  <c r="D2907" i="3"/>
  <c r="L2907" i="3" s="1"/>
  <c r="K2906" i="3"/>
  <c r="J2906" i="3"/>
  <c r="H2906" i="3"/>
  <c r="I2906" i="3" s="1"/>
  <c r="G2906" i="3"/>
  <c r="F2906" i="3"/>
  <c r="E2906" i="3"/>
  <c r="D2906" i="3"/>
  <c r="L2906" i="3" s="1"/>
  <c r="H2905" i="3"/>
  <c r="K2905" i="3" s="1"/>
  <c r="G2905" i="3"/>
  <c r="F2905" i="3"/>
  <c r="E2905" i="3"/>
  <c r="D2905" i="3"/>
  <c r="L2905" i="3" s="1"/>
  <c r="J2904" i="3"/>
  <c r="I2904" i="3"/>
  <c r="H2904" i="3"/>
  <c r="K2904" i="3" s="1"/>
  <c r="G2904" i="3"/>
  <c r="F2904" i="3"/>
  <c r="E2904" i="3"/>
  <c r="D2904" i="3"/>
  <c r="L2904" i="3" s="1"/>
  <c r="H2903" i="3"/>
  <c r="G2903" i="3"/>
  <c r="F2903" i="3"/>
  <c r="E2903" i="3"/>
  <c r="D2903" i="3"/>
  <c r="L2903" i="3" s="1"/>
  <c r="I2902" i="3"/>
  <c r="H2902" i="3"/>
  <c r="G2902" i="3"/>
  <c r="F2902" i="3"/>
  <c r="E2902" i="3"/>
  <c r="D2902" i="3"/>
  <c r="L2902" i="3" s="1"/>
  <c r="H2901" i="3"/>
  <c r="G2901" i="3"/>
  <c r="F2901" i="3"/>
  <c r="E2901" i="3"/>
  <c r="D2901" i="3"/>
  <c r="L2901" i="3" s="1"/>
  <c r="I2900" i="3"/>
  <c r="H2900" i="3"/>
  <c r="K2900" i="3" s="1"/>
  <c r="G2900" i="3"/>
  <c r="F2900" i="3"/>
  <c r="E2900" i="3"/>
  <c r="D2900" i="3"/>
  <c r="L2900" i="3" s="1"/>
  <c r="I2899" i="3"/>
  <c r="H2899" i="3"/>
  <c r="K2899" i="3" s="1"/>
  <c r="G2899" i="3"/>
  <c r="F2899" i="3"/>
  <c r="E2899" i="3"/>
  <c r="D2899" i="3"/>
  <c r="L2899" i="3" s="1"/>
  <c r="H2898" i="3"/>
  <c r="J2898" i="3" s="1"/>
  <c r="G2898" i="3"/>
  <c r="F2898" i="3"/>
  <c r="E2898" i="3"/>
  <c r="D2898" i="3"/>
  <c r="L2898" i="3" s="1"/>
  <c r="H2897" i="3"/>
  <c r="K2897" i="3" s="1"/>
  <c r="G2897" i="3"/>
  <c r="F2897" i="3"/>
  <c r="E2897" i="3"/>
  <c r="D2897" i="3"/>
  <c r="L2897" i="3" s="1"/>
  <c r="J2896" i="3"/>
  <c r="I2896" i="3"/>
  <c r="H2896" i="3"/>
  <c r="K2896" i="3" s="1"/>
  <c r="G2896" i="3"/>
  <c r="F2896" i="3"/>
  <c r="E2896" i="3"/>
  <c r="D2896" i="3"/>
  <c r="L2896" i="3" s="1"/>
  <c r="H2895" i="3"/>
  <c r="G2895" i="3"/>
  <c r="F2895" i="3"/>
  <c r="E2895" i="3"/>
  <c r="D2895" i="3"/>
  <c r="L2895" i="3" s="1"/>
  <c r="I2894" i="3"/>
  <c r="H2894" i="3"/>
  <c r="G2894" i="3"/>
  <c r="F2894" i="3"/>
  <c r="E2894" i="3"/>
  <c r="D2894" i="3"/>
  <c r="L2894" i="3" s="1"/>
  <c r="H2893" i="3"/>
  <c r="G2893" i="3"/>
  <c r="F2893" i="3"/>
  <c r="E2893" i="3"/>
  <c r="D2893" i="3"/>
  <c r="L2893" i="3" s="1"/>
  <c r="J2892" i="3"/>
  <c r="I2892" i="3"/>
  <c r="H2892" i="3"/>
  <c r="K2892" i="3" s="1"/>
  <c r="G2892" i="3"/>
  <c r="F2892" i="3"/>
  <c r="E2892" i="3"/>
  <c r="D2892" i="3"/>
  <c r="L2892" i="3" s="1"/>
  <c r="J2891" i="3"/>
  <c r="I2891" i="3"/>
  <c r="H2891" i="3"/>
  <c r="K2891" i="3" s="1"/>
  <c r="G2891" i="3"/>
  <c r="F2891" i="3"/>
  <c r="E2891" i="3"/>
  <c r="D2891" i="3"/>
  <c r="L2891" i="3" s="1"/>
  <c r="K2890" i="3"/>
  <c r="H2890" i="3"/>
  <c r="J2890" i="3" s="1"/>
  <c r="G2890" i="3"/>
  <c r="F2890" i="3"/>
  <c r="E2890" i="3"/>
  <c r="D2890" i="3"/>
  <c r="L2890" i="3" s="1"/>
  <c r="H2889" i="3"/>
  <c r="K2889" i="3" s="1"/>
  <c r="G2889" i="3"/>
  <c r="F2889" i="3"/>
  <c r="E2889" i="3"/>
  <c r="D2889" i="3"/>
  <c r="L2889" i="3" s="1"/>
  <c r="J2888" i="3"/>
  <c r="I2888" i="3"/>
  <c r="H2888" i="3"/>
  <c r="K2888" i="3" s="1"/>
  <c r="G2888" i="3"/>
  <c r="F2888" i="3"/>
  <c r="E2888" i="3"/>
  <c r="D2888" i="3"/>
  <c r="L2888" i="3" s="1"/>
  <c r="H2887" i="3"/>
  <c r="G2887" i="3"/>
  <c r="F2887" i="3"/>
  <c r="E2887" i="3"/>
  <c r="D2887" i="3"/>
  <c r="L2887" i="3" s="1"/>
  <c r="I2886" i="3"/>
  <c r="H2886" i="3"/>
  <c r="G2886" i="3"/>
  <c r="F2886" i="3"/>
  <c r="E2886" i="3"/>
  <c r="D2886" i="3"/>
  <c r="L2886" i="3" s="1"/>
  <c r="H2885" i="3"/>
  <c r="G2885" i="3"/>
  <c r="F2885" i="3"/>
  <c r="E2885" i="3"/>
  <c r="D2885" i="3"/>
  <c r="L2885" i="3" s="1"/>
  <c r="K2884" i="3"/>
  <c r="J2884" i="3"/>
  <c r="H2884" i="3"/>
  <c r="I2884" i="3" s="1"/>
  <c r="G2884" i="3"/>
  <c r="F2884" i="3"/>
  <c r="E2884" i="3"/>
  <c r="D2884" i="3"/>
  <c r="L2884" i="3" s="1"/>
  <c r="K2883" i="3"/>
  <c r="J2883" i="3"/>
  <c r="H2883" i="3"/>
  <c r="I2883" i="3" s="1"/>
  <c r="G2883" i="3"/>
  <c r="F2883" i="3"/>
  <c r="E2883" i="3"/>
  <c r="D2883" i="3"/>
  <c r="L2883" i="3" s="1"/>
  <c r="K2882" i="3"/>
  <c r="H2882" i="3"/>
  <c r="J2882" i="3" s="1"/>
  <c r="G2882" i="3"/>
  <c r="F2882" i="3"/>
  <c r="E2882" i="3"/>
  <c r="D2882" i="3"/>
  <c r="L2882" i="3" s="1"/>
  <c r="I2881" i="3"/>
  <c r="H2881" i="3"/>
  <c r="K2881" i="3" s="1"/>
  <c r="G2881" i="3"/>
  <c r="F2881" i="3"/>
  <c r="E2881" i="3"/>
  <c r="D2881" i="3"/>
  <c r="L2881" i="3" s="1"/>
  <c r="J2880" i="3"/>
  <c r="I2880" i="3"/>
  <c r="H2880" i="3"/>
  <c r="K2880" i="3" s="1"/>
  <c r="G2880" i="3"/>
  <c r="F2880" i="3"/>
  <c r="E2880" i="3"/>
  <c r="D2880" i="3"/>
  <c r="L2880" i="3" s="1"/>
  <c r="H2879" i="3"/>
  <c r="G2879" i="3"/>
  <c r="F2879" i="3"/>
  <c r="E2879" i="3"/>
  <c r="D2879" i="3"/>
  <c r="L2879" i="3" s="1"/>
  <c r="H2878" i="3"/>
  <c r="I2878" i="3" s="1"/>
  <c r="G2878" i="3"/>
  <c r="F2878" i="3"/>
  <c r="E2878" i="3"/>
  <c r="D2878" i="3"/>
  <c r="L2878" i="3" s="1"/>
  <c r="H2877" i="3"/>
  <c r="G2877" i="3"/>
  <c r="F2877" i="3"/>
  <c r="E2877" i="3"/>
  <c r="D2877" i="3"/>
  <c r="L2877" i="3" s="1"/>
  <c r="J2876" i="3"/>
  <c r="H2876" i="3"/>
  <c r="K2876" i="3" s="1"/>
  <c r="G2876" i="3"/>
  <c r="F2876" i="3"/>
  <c r="E2876" i="3"/>
  <c r="D2876" i="3"/>
  <c r="L2876" i="3" s="1"/>
  <c r="J2875" i="3"/>
  <c r="H2875" i="3"/>
  <c r="K2875" i="3" s="1"/>
  <c r="G2875" i="3"/>
  <c r="F2875" i="3"/>
  <c r="E2875" i="3"/>
  <c r="D2875" i="3"/>
  <c r="L2875" i="3" s="1"/>
  <c r="K2874" i="3"/>
  <c r="H2874" i="3"/>
  <c r="J2874" i="3" s="1"/>
  <c r="G2874" i="3"/>
  <c r="F2874" i="3"/>
  <c r="E2874" i="3"/>
  <c r="D2874" i="3"/>
  <c r="L2874" i="3" s="1"/>
  <c r="I2873" i="3"/>
  <c r="H2873" i="3"/>
  <c r="J2873" i="3" s="1"/>
  <c r="G2873" i="3"/>
  <c r="F2873" i="3"/>
  <c r="E2873" i="3"/>
  <c r="D2873" i="3"/>
  <c r="L2873" i="3" s="1"/>
  <c r="H2872" i="3"/>
  <c r="K2872" i="3" s="1"/>
  <c r="G2872" i="3"/>
  <c r="F2872" i="3"/>
  <c r="E2872" i="3"/>
  <c r="D2872" i="3"/>
  <c r="L2872" i="3" s="1"/>
  <c r="H2871" i="3"/>
  <c r="G2871" i="3"/>
  <c r="F2871" i="3"/>
  <c r="E2871" i="3"/>
  <c r="D2871" i="3"/>
  <c r="L2871" i="3" s="1"/>
  <c r="H2870" i="3"/>
  <c r="G2870" i="3"/>
  <c r="F2870" i="3"/>
  <c r="E2870" i="3"/>
  <c r="D2870" i="3"/>
  <c r="L2870" i="3" s="1"/>
  <c r="J2869" i="3"/>
  <c r="I2869" i="3"/>
  <c r="H2869" i="3"/>
  <c r="K2869" i="3" s="1"/>
  <c r="G2869" i="3"/>
  <c r="F2869" i="3"/>
  <c r="E2869" i="3"/>
  <c r="D2869" i="3"/>
  <c r="L2869" i="3" s="1"/>
  <c r="J2868" i="3"/>
  <c r="I2868" i="3"/>
  <c r="H2868" i="3"/>
  <c r="K2868" i="3" s="1"/>
  <c r="G2868" i="3"/>
  <c r="F2868" i="3"/>
  <c r="E2868" i="3"/>
  <c r="D2868" i="3"/>
  <c r="L2868" i="3" s="1"/>
  <c r="J2867" i="3"/>
  <c r="I2867" i="3"/>
  <c r="H2867" i="3"/>
  <c r="K2867" i="3" s="1"/>
  <c r="G2867" i="3"/>
  <c r="F2867" i="3"/>
  <c r="E2867" i="3"/>
  <c r="D2867" i="3"/>
  <c r="L2867" i="3" s="1"/>
  <c r="H2866" i="3"/>
  <c r="J2866" i="3" s="1"/>
  <c r="G2866" i="3"/>
  <c r="F2866" i="3"/>
  <c r="E2866" i="3"/>
  <c r="D2866" i="3"/>
  <c r="L2866" i="3" s="1"/>
  <c r="K2865" i="3"/>
  <c r="H2865" i="3"/>
  <c r="J2865" i="3" s="1"/>
  <c r="G2865" i="3"/>
  <c r="F2865" i="3"/>
  <c r="E2865" i="3"/>
  <c r="D2865" i="3"/>
  <c r="L2865" i="3" s="1"/>
  <c r="J2864" i="3"/>
  <c r="I2864" i="3"/>
  <c r="H2864" i="3"/>
  <c r="K2864" i="3" s="1"/>
  <c r="G2864" i="3"/>
  <c r="F2864" i="3"/>
  <c r="E2864" i="3"/>
  <c r="D2864" i="3"/>
  <c r="L2864" i="3" s="1"/>
  <c r="H2863" i="3"/>
  <c r="G2863" i="3"/>
  <c r="F2863" i="3"/>
  <c r="E2863" i="3"/>
  <c r="D2863" i="3"/>
  <c r="L2863" i="3" s="1"/>
  <c r="I2862" i="3"/>
  <c r="H2862" i="3"/>
  <c r="G2862" i="3"/>
  <c r="F2862" i="3"/>
  <c r="E2862" i="3"/>
  <c r="D2862" i="3"/>
  <c r="L2862" i="3" s="1"/>
  <c r="H2861" i="3"/>
  <c r="J2861" i="3" s="1"/>
  <c r="G2861" i="3"/>
  <c r="F2861" i="3"/>
  <c r="E2861" i="3"/>
  <c r="D2861" i="3"/>
  <c r="L2861" i="3" s="1"/>
  <c r="J2860" i="3"/>
  <c r="H2860" i="3"/>
  <c r="I2860" i="3" s="1"/>
  <c r="G2860" i="3"/>
  <c r="F2860" i="3"/>
  <c r="E2860" i="3"/>
  <c r="D2860" i="3"/>
  <c r="L2860" i="3" s="1"/>
  <c r="J2859" i="3"/>
  <c r="H2859" i="3"/>
  <c r="I2859" i="3" s="1"/>
  <c r="G2859" i="3"/>
  <c r="F2859" i="3"/>
  <c r="E2859" i="3"/>
  <c r="D2859" i="3"/>
  <c r="L2859" i="3" s="1"/>
  <c r="L2858" i="3"/>
  <c r="K2858" i="3"/>
  <c r="H2858" i="3"/>
  <c r="J2858" i="3" s="1"/>
  <c r="G2858" i="3"/>
  <c r="F2858" i="3"/>
  <c r="E2858" i="3"/>
  <c r="D2858" i="3"/>
  <c r="L2857" i="3"/>
  <c r="I2857" i="3"/>
  <c r="H2857" i="3"/>
  <c r="J2857" i="3" s="1"/>
  <c r="G2857" i="3"/>
  <c r="F2857" i="3"/>
  <c r="E2857" i="3"/>
  <c r="D2857" i="3"/>
  <c r="I2856" i="3"/>
  <c r="H2856" i="3"/>
  <c r="K2856" i="3" s="1"/>
  <c r="G2856" i="3"/>
  <c r="F2856" i="3"/>
  <c r="E2856" i="3"/>
  <c r="D2856" i="3"/>
  <c r="L2856" i="3" s="1"/>
  <c r="H2855" i="3"/>
  <c r="G2855" i="3"/>
  <c r="F2855" i="3"/>
  <c r="E2855" i="3"/>
  <c r="D2855" i="3"/>
  <c r="L2855" i="3" s="1"/>
  <c r="H2854" i="3"/>
  <c r="G2854" i="3"/>
  <c r="F2854" i="3"/>
  <c r="E2854" i="3"/>
  <c r="D2854" i="3"/>
  <c r="L2854" i="3" s="1"/>
  <c r="J2853" i="3"/>
  <c r="I2853" i="3"/>
  <c r="H2853" i="3"/>
  <c r="K2853" i="3" s="1"/>
  <c r="G2853" i="3"/>
  <c r="F2853" i="3"/>
  <c r="E2853" i="3"/>
  <c r="D2853" i="3"/>
  <c r="L2853" i="3" s="1"/>
  <c r="J2852" i="3"/>
  <c r="I2852" i="3"/>
  <c r="H2852" i="3"/>
  <c r="K2852" i="3" s="1"/>
  <c r="G2852" i="3"/>
  <c r="F2852" i="3"/>
  <c r="E2852" i="3"/>
  <c r="D2852" i="3"/>
  <c r="L2852" i="3" s="1"/>
  <c r="J2851" i="3"/>
  <c r="I2851" i="3"/>
  <c r="H2851" i="3"/>
  <c r="K2851" i="3" s="1"/>
  <c r="G2851" i="3"/>
  <c r="F2851" i="3"/>
  <c r="E2851" i="3"/>
  <c r="D2851" i="3"/>
  <c r="L2851" i="3" s="1"/>
  <c r="K2850" i="3"/>
  <c r="H2850" i="3"/>
  <c r="G2850" i="3"/>
  <c r="F2850" i="3"/>
  <c r="E2850" i="3"/>
  <c r="D2850" i="3"/>
  <c r="L2850" i="3" s="1"/>
  <c r="H2849" i="3"/>
  <c r="J2849" i="3" s="1"/>
  <c r="G2849" i="3"/>
  <c r="F2849" i="3"/>
  <c r="E2849" i="3"/>
  <c r="D2849" i="3"/>
  <c r="L2849" i="3" s="1"/>
  <c r="H2848" i="3"/>
  <c r="K2848" i="3" s="1"/>
  <c r="G2848" i="3"/>
  <c r="F2848" i="3"/>
  <c r="E2848" i="3"/>
  <c r="D2848" i="3"/>
  <c r="L2848" i="3" s="1"/>
  <c r="H2847" i="3"/>
  <c r="K2847" i="3" s="1"/>
  <c r="G2847" i="3"/>
  <c r="F2847" i="3"/>
  <c r="E2847" i="3"/>
  <c r="D2847" i="3"/>
  <c r="L2847" i="3" s="1"/>
  <c r="L2846" i="3"/>
  <c r="H2846" i="3"/>
  <c r="G2846" i="3"/>
  <c r="F2846" i="3"/>
  <c r="E2846" i="3"/>
  <c r="D2846" i="3"/>
  <c r="H2845" i="3"/>
  <c r="K2845" i="3" s="1"/>
  <c r="G2845" i="3"/>
  <c r="F2845" i="3"/>
  <c r="E2845" i="3"/>
  <c r="D2845" i="3"/>
  <c r="L2845" i="3" s="1"/>
  <c r="H2844" i="3"/>
  <c r="K2844" i="3" s="1"/>
  <c r="G2844" i="3"/>
  <c r="F2844" i="3"/>
  <c r="E2844" i="3"/>
  <c r="D2844" i="3"/>
  <c r="L2844" i="3" s="1"/>
  <c r="H2843" i="3"/>
  <c r="K2843" i="3" s="1"/>
  <c r="G2843" i="3"/>
  <c r="F2843" i="3"/>
  <c r="E2843" i="3"/>
  <c r="D2843" i="3"/>
  <c r="L2843" i="3" s="1"/>
  <c r="L2842" i="3"/>
  <c r="K2842" i="3"/>
  <c r="H2842" i="3"/>
  <c r="G2842" i="3"/>
  <c r="F2842" i="3"/>
  <c r="E2842" i="3"/>
  <c r="D2842" i="3"/>
  <c r="K2841" i="3"/>
  <c r="I2841" i="3"/>
  <c r="H2841" i="3"/>
  <c r="J2841" i="3" s="1"/>
  <c r="G2841" i="3"/>
  <c r="F2841" i="3"/>
  <c r="E2841" i="3"/>
  <c r="D2841" i="3"/>
  <c r="L2841" i="3" s="1"/>
  <c r="J2840" i="3"/>
  <c r="I2840" i="3"/>
  <c r="H2840" i="3"/>
  <c r="K2840" i="3" s="1"/>
  <c r="G2840" i="3"/>
  <c r="F2840" i="3"/>
  <c r="E2840" i="3"/>
  <c r="D2840" i="3"/>
  <c r="L2840" i="3" s="1"/>
  <c r="H2839" i="3"/>
  <c r="K2839" i="3" s="1"/>
  <c r="G2839" i="3"/>
  <c r="F2839" i="3"/>
  <c r="E2839" i="3"/>
  <c r="D2839" i="3"/>
  <c r="L2839" i="3" s="1"/>
  <c r="H2838" i="3"/>
  <c r="G2838" i="3"/>
  <c r="F2838" i="3"/>
  <c r="E2838" i="3"/>
  <c r="D2838" i="3"/>
  <c r="L2838" i="3" s="1"/>
  <c r="L2837" i="3"/>
  <c r="J2837" i="3"/>
  <c r="H2837" i="3"/>
  <c r="G2837" i="3"/>
  <c r="F2837" i="3"/>
  <c r="E2837" i="3"/>
  <c r="D2837" i="3"/>
  <c r="H2836" i="3"/>
  <c r="G2836" i="3"/>
  <c r="F2836" i="3"/>
  <c r="E2836" i="3"/>
  <c r="D2836" i="3"/>
  <c r="L2836" i="3" s="1"/>
  <c r="J2835" i="3"/>
  <c r="H2835" i="3"/>
  <c r="I2835" i="3" s="1"/>
  <c r="G2835" i="3"/>
  <c r="F2835" i="3"/>
  <c r="E2835" i="3"/>
  <c r="D2835" i="3"/>
  <c r="L2835" i="3" s="1"/>
  <c r="L2834" i="3"/>
  <c r="J2834" i="3"/>
  <c r="H2834" i="3"/>
  <c r="I2834" i="3" s="1"/>
  <c r="G2834" i="3"/>
  <c r="F2834" i="3"/>
  <c r="E2834" i="3"/>
  <c r="D2834" i="3"/>
  <c r="H2833" i="3"/>
  <c r="J2833" i="3" s="1"/>
  <c r="G2833" i="3"/>
  <c r="F2833" i="3"/>
  <c r="E2833" i="3"/>
  <c r="D2833" i="3"/>
  <c r="L2833" i="3" s="1"/>
  <c r="H2832" i="3"/>
  <c r="K2832" i="3" s="1"/>
  <c r="G2832" i="3"/>
  <c r="F2832" i="3"/>
  <c r="E2832" i="3"/>
  <c r="D2832" i="3"/>
  <c r="L2832" i="3" s="1"/>
  <c r="H2831" i="3"/>
  <c r="J2831" i="3" s="1"/>
  <c r="G2831" i="3"/>
  <c r="F2831" i="3"/>
  <c r="E2831" i="3"/>
  <c r="D2831" i="3"/>
  <c r="L2831" i="3" s="1"/>
  <c r="L2830" i="3"/>
  <c r="I2830" i="3"/>
  <c r="H2830" i="3"/>
  <c r="G2830" i="3"/>
  <c r="F2830" i="3"/>
  <c r="E2830" i="3"/>
  <c r="D2830" i="3"/>
  <c r="L2829" i="3"/>
  <c r="H2829" i="3"/>
  <c r="G2829" i="3"/>
  <c r="F2829" i="3"/>
  <c r="E2829" i="3"/>
  <c r="D2829" i="3"/>
  <c r="K2828" i="3"/>
  <c r="H2828" i="3"/>
  <c r="J2828" i="3" s="1"/>
  <c r="G2828" i="3"/>
  <c r="F2828" i="3"/>
  <c r="E2828" i="3"/>
  <c r="D2828" i="3"/>
  <c r="L2828" i="3" s="1"/>
  <c r="J2827" i="3"/>
  <c r="H2827" i="3"/>
  <c r="I2827" i="3" s="1"/>
  <c r="G2827" i="3"/>
  <c r="F2827" i="3"/>
  <c r="E2827" i="3"/>
  <c r="D2827" i="3"/>
  <c r="L2827" i="3" s="1"/>
  <c r="J2826" i="3"/>
  <c r="H2826" i="3"/>
  <c r="I2826" i="3" s="1"/>
  <c r="G2826" i="3"/>
  <c r="F2826" i="3"/>
  <c r="E2826" i="3"/>
  <c r="D2826" i="3"/>
  <c r="L2826" i="3" s="1"/>
  <c r="H2825" i="3"/>
  <c r="J2825" i="3" s="1"/>
  <c r="G2825" i="3"/>
  <c r="F2825" i="3"/>
  <c r="E2825" i="3"/>
  <c r="D2825" i="3"/>
  <c r="L2825" i="3" s="1"/>
  <c r="H2824" i="3"/>
  <c r="K2824" i="3" s="1"/>
  <c r="G2824" i="3"/>
  <c r="F2824" i="3"/>
  <c r="E2824" i="3"/>
  <c r="D2824" i="3"/>
  <c r="L2824" i="3" s="1"/>
  <c r="H2823" i="3"/>
  <c r="I2823" i="3" s="1"/>
  <c r="G2823" i="3"/>
  <c r="F2823" i="3"/>
  <c r="E2823" i="3"/>
  <c r="D2823" i="3"/>
  <c r="L2823" i="3" s="1"/>
  <c r="K2822" i="3"/>
  <c r="H2822" i="3"/>
  <c r="J2822" i="3" s="1"/>
  <c r="G2822" i="3"/>
  <c r="F2822" i="3"/>
  <c r="E2822" i="3"/>
  <c r="D2822" i="3"/>
  <c r="L2822" i="3" s="1"/>
  <c r="J2821" i="3"/>
  <c r="I2821" i="3"/>
  <c r="H2821" i="3"/>
  <c r="K2821" i="3" s="1"/>
  <c r="G2821" i="3"/>
  <c r="F2821" i="3"/>
  <c r="E2821" i="3"/>
  <c r="D2821" i="3"/>
  <c r="L2821" i="3" s="1"/>
  <c r="K2820" i="3"/>
  <c r="J2820" i="3"/>
  <c r="I2820" i="3"/>
  <c r="H2820" i="3"/>
  <c r="G2820" i="3"/>
  <c r="F2820" i="3"/>
  <c r="E2820" i="3"/>
  <c r="D2820" i="3"/>
  <c r="L2820" i="3" s="1"/>
  <c r="K2819" i="3"/>
  <c r="J2819" i="3"/>
  <c r="I2819" i="3"/>
  <c r="H2819" i="3"/>
  <c r="G2819" i="3"/>
  <c r="F2819" i="3"/>
  <c r="E2819" i="3"/>
  <c r="D2819" i="3"/>
  <c r="L2819" i="3" s="1"/>
  <c r="H2818" i="3"/>
  <c r="I2818" i="3" s="1"/>
  <c r="G2818" i="3"/>
  <c r="F2818" i="3"/>
  <c r="E2818" i="3"/>
  <c r="D2818" i="3"/>
  <c r="L2818" i="3" s="1"/>
  <c r="H2817" i="3"/>
  <c r="J2817" i="3" s="1"/>
  <c r="G2817" i="3"/>
  <c r="F2817" i="3"/>
  <c r="E2817" i="3"/>
  <c r="D2817" i="3"/>
  <c r="L2817" i="3" s="1"/>
  <c r="H2816" i="3"/>
  <c r="K2816" i="3" s="1"/>
  <c r="G2816" i="3"/>
  <c r="F2816" i="3"/>
  <c r="E2816" i="3"/>
  <c r="D2816" i="3"/>
  <c r="L2816" i="3" s="1"/>
  <c r="K2815" i="3"/>
  <c r="H2815" i="3"/>
  <c r="I2815" i="3" s="1"/>
  <c r="G2815" i="3"/>
  <c r="F2815" i="3"/>
  <c r="E2815" i="3"/>
  <c r="D2815" i="3"/>
  <c r="L2815" i="3" s="1"/>
  <c r="H2814" i="3"/>
  <c r="J2814" i="3" s="1"/>
  <c r="G2814" i="3"/>
  <c r="F2814" i="3"/>
  <c r="E2814" i="3"/>
  <c r="D2814" i="3"/>
  <c r="L2814" i="3" s="1"/>
  <c r="J2813" i="3"/>
  <c r="H2813" i="3"/>
  <c r="K2813" i="3" s="1"/>
  <c r="G2813" i="3"/>
  <c r="F2813" i="3"/>
  <c r="E2813" i="3"/>
  <c r="D2813" i="3"/>
  <c r="L2813" i="3" s="1"/>
  <c r="K2812" i="3"/>
  <c r="H2812" i="3"/>
  <c r="I2812" i="3" s="1"/>
  <c r="G2812" i="3"/>
  <c r="F2812" i="3"/>
  <c r="E2812" i="3"/>
  <c r="D2812" i="3"/>
  <c r="L2812" i="3" s="1"/>
  <c r="H2811" i="3"/>
  <c r="J2811" i="3" s="1"/>
  <c r="G2811" i="3"/>
  <c r="F2811" i="3"/>
  <c r="E2811" i="3"/>
  <c r="D2811" i="3"/>
  <c r="L2811" i="3" s="1"/>
  <c r="L2810" i="3"/>
  <c r="H2810" i="3"/>
  <c r="K2810" i="3" s="1"/>
  <c r="G2810" i="3"/>
  <c r="F2810" i="3"/>
  <c r="E2810" i="3"/>
  <c r="D2810" i="3"/>
  <c r="H2809" i="3"/>
  <c r="G2809" i="3"/>
  <c r="F2809" i="3"/>
  <c r="E2809" i="3"/>
  <c r="D2809" i="3"/>
  <c r="L2809" i="3" s="1"/>
  <c r="H2808" i="3"/>
  <c r="K2808" i="3" s="1"/>
  <c r="G2808" i="3"/>
  <c r="F2808" i="3"/>
  <c r="E2808" i="3"/>
  <c r="D2808" i="3"/>
  <c r="L2808" i="3" s="1"/>
  <c r="J2807" i="3"/>
  <c r="H2807" i="3"/>
  <c r="I2807" i="3" s="1"/>
  <c r="G2807" i="3"/>
  <c r="F2807" i="3"/>
  <c r="E2807" i="3"/>
  <c r="D2807" i="3"/>
  <c r="L2807" i="3" s="1"/>
  <c r="I2806" i="3"/>
  <c r="H2806" i="3"/>
  <c r="J2806" i="3" s="1"/>
  <c r="G2806" i="3"/>
  <c r="F2806" i="3"/>
  <c r="E2806" i="3"/>
  <c r="D2806" i="3"/>
  <c r="L2806" i="3" s="1"/>
  <c r="I2805" i="3"/>
  <c r="H2805" i="3"/>
  <c r="K2805" i="3" s="1"/>
  <c r="G2805" i="3"/>
  <c r="F2805" i="3"/>
  <c r="E2805" i="3"/>
  <c r="D2805" i="3"/>
  <c r="L2805" i="3" s="1"/>
  <c r="I2804" i="3"/>
  <c r="H2804" i="3"/>
  <c r="K2804" i="3" s="1"/>
  <c r="G2804" i="3"/>
  <c r="F2804" i="3"/>
  <c r="E2804" i="3"/>
  <c r="D2804" i="3"/>
  <c r="L2804" i="3" s="1"/>
  <c r="J2803" i="3"/>
  <c r="H2803" i="3"/>
  <c r="G2803" i="3"/>
  <c r="F2803" i="3"/>
  <c r="E2803" i="3"/>
  <c r="D2803" i="3"/>
  <c r="L2803" i="3" s="1"/>
  <c r="H2802" i="3"/>
  <c r="J2802" i="3" s="1"/>
  <c r="G2802" i="3"/>
  <c r="F2802" i="3"/>
  <c r="E2802" i="3"/>
  <c r="D2802" i="3"/>
  <c r="L2802" i="3" s="1"/>
  <c r="H2801" i="3"/>
  <c r="K2801" i="3" s="1"/>
  <c r="G2801" i="3"/>
  <c r="F2801" i="3"/>
  <c r="E2801" i="3"/>
  <c r="D2801" i="3"/>
  <c r="L2801" i="3" s="1"/>
  <c r="H2800" i="3"/>
  <c r="K2800" i="3" s="1"/>
  <c r="G2800" i="3"/>
  <c r="F2800" i="3"/>
  <c r="E2800" i="3"/>
  <c r="D2800" i="3"/>
  <c r="L2800" i="3" s="1"/>
  <c r="L2799" i="3"/>
  <c r="H2799" i="3"/>
  <c r="I2799" i="3" s="1"/>
  <c r="G2799" i="3"/>
  <c r="F2799" i="3"/>
  <c r="E2799" i="3"/>
  <c r="D2799" i="3"/>
  <c r="L2798" i="3"/>
  <c r="K2798" i="3"/>
  <c r="H2798" i="3"/>
  <c r="J2798" i="3" s="1"/>
  <c r="G2798" i="3"/>
  <c r="F2798" i="3"/>
  <c r="E2798" i="3"/>
  <c r="D2798" i="3"/>
  <c r="H2797" i="3"/>
  <c r="K2797" i="3" s="1"/>
  <c r="G2797" i="3"/>
  <c r="F2797" i="3"/>
  <c r="E2797" i="3"/>
  <c r="D2797" i="3"/>
  <c r="L2797" i="3" s="1"/>
  <c r="H2796" i="3"/>
  <c r="I2796" i="3" s="1"/>
  <c r="G2796" i="3"/>
  <c r="F2796" i="3"/>
  <c r="E2796" i="3"/>
  <c r="D2796" i="3"/>
  <c r="L2796" i="3" s="1"/>
  <c r="L2795" i="3"/>
  <c r="H2795" i="3"/>
  <c r="J2795" i="3" s="1"/>
  <c r="G2795" i="3"/>
  <c r="F2795" i="3"/>
  <c r="E2795" i="3"/>
  <c r="D2795" i="3"/>
  <c r="L2794" i="3"/>
  <c r="H2794" i="3"/>
  <c r="K2794" i="3" s="1"/>
  <c r="G2794" i="3"/>
  <c r="F2794" i="3"/>
  <c r="E2794" i="3"/>
  <c r="D2794" i="3"/>
  <c r="H2793" i="3"/>
  <c r="G2793" i="3"/>
  <c r="F2793" i="3"/>
  <c r="E2793" i="3"/>
  <c r="D2793" i="3"/>
  <c r="L2793" i="3" s="1"/>
  <c r="H2792" i="3"/>
  <c r="K2792" i="3" s="1"/>
  <c r="G2792" i="3"/>
  <c r="F2792" i="3"/>
  <c r="E2792" i="3"/>
  <c r="D2792" i="3"/>
  <c r="L2792" i="3" s="1"/>
  <c r="H2791" i="3"/>
  <c r="I2791" i="3" s="1"/>
  <c r="G2791" i="3"/>
  <c r="F2791" i="3"/>
  <c r="E2791" i="3"/>
  <c r="D2791" i="3"/>
  <c r="L2791" i="3" s="1"/>
  <c r="H2790" i="3"/>
  <c r="J2790" i="3" s="1"/>
  <c r="G2790" i="3"/>
  <c r="F2790" i="3"/>
  <c r="E2790" i="3"/>
  <c r="D2790" i="3"/>
  <c r="L2790" i="3" s="1"/>
  <c r="H2789" i="3"/>
  <c r="K2789" i="3" s="1"/>
  <c r="G2789" i="3"/>
  <c r="F2789" i="3"/>
  <c r="E2789" i="3"/>
  <c r="D2789" i="3"/>
  <c r="L2789" i="3" s="1"/>
  <c r="H2788" i="3"/>
  <c r="I2788" i="3" s="1"/>
  <c r="G2788" i="3"/>
  <c r="F2788" i="3"/>
  <c r="E2788" i="3"/>
  <c r="D2788" i="3"/>
  <c r="L2788" i="3" s="1"/>
  <c r="H2787" i="3"/>
  <c r="J2787" i="3" s="1"/>
  <c r="G2787" i="3"/>
  <c r="F2787" i="3"/>
  <c r="E2787" i="3"/>
  <c r="D2787" i="3"/>
  <c r="L2787" i="3" s="1"/>
  <c r="K2786" i="3"/>
  <c r="H2786" i="3"/>
  <c r="J2786" i="3" s="1"/>
  <c r="G2786" i="3"/>
  <c r="F2786" i="3"/>
  <c r="E2786" i="3"/>
  <c r="D2786" i="3"/>
  <c r="L2786" i="3" s="1"/>
  <c r="K2785" i="3"/>
  <c r="J2785" i="3"/>
  <c r="H2785" i="3"/>
  <c r="I2785" i="3" s="1"/>
  <c r="G2785" i="3"/>
  <c r="F2785" i="3"/>
  <c r="E2785" i="3"/>
  <c r="D2785" i="3"/>
  <c r="L2785" i="3" s="1"/>
  <c r="K2784" i="3"/>
  <c r="J2784" i="3"/>
  <c r="H2784" i="3"/>
  <c r="I2784" i="3" s="1"/>
  <c r="G2784" i="3"/>
  <c r="F2784" i="3"/>
  <c r="E2784" i="3"/>
  <c r="D2784" i="3"/>
  <c r="L2784" i="3" s="1"/>
  <c r="L2783" i="3"/>
  <c r="K2783" i="3"/>
  <c r="H2783" i="3"/>
  <c r="I2783" i="3" s="1"/>
  <c r="G2783" i="3"/>
  <c r="F2783" i="3"/>
  <c r="E2783" i="3"/>
  <c r="D2783" i="3"/>
  <c r="L2782" i="3"/>
  <c r="H2782" i="3"/>
  <c r="J2782" i="3" s="1"/>
  <c r="G2782" i="3"/>
  <c r="F2782" i="3"/>
  <c r="E2782" i="3"/>
  <c r="D2782" i="3"/>
  <c r="L2781" i="3"/>
  <c r="H2781" i="3"/>
  <c r="K2781" i="3" s="1"/>
  <c r="G2781" i="3"/>
  <c r="F2781" i="3"/>
  <c r="E2781" i="3"/>
  <c r="D2781" i="3"/>
  <c r="H2780" i="3"/>
  <c r="I2780" i="3" s="1"/>
  <c r="G2780" i="3"/>
  <c r="F2780" i="3"/>
  <c r="E2780" i="3"/>
  <c r="D2780" i="3"/>
  <c r="L2780" i="3" s="1"/>
  <c r="H2779" i="3"/>
  <c r="J2779" i="3" s="1"/>
  <c r="G2779" i="3"/>
  <c r="F2779" i="3"/>
  <c r="E2779" i="3"/>
  <c r="D2779" i="3"/>
  <c r="L2779" i="3" s="1"/>
  <c r="J2778" i="3"/>
  <c r="H2778" i="3"/>
  <c r="K2778" i="3" s="1"/>
  <c r="G2778" i="3"/>
  <c r="F2778" i="3"/>
  <c r="E2778" i="3"/>
  <c r="D2778" i="3"/>
  <c r="L2778" i="3" s="1"/>
  <c r="H2777" i="3"/>
  <c r="G2777" i="3"/>
  <c r="F2777" i="3"/>
  <c r="E2777" i="3"/>
  <c r="D2777" i="3"/>
  <c r="L2777" i="3" s="1"/>
  <c r="K2776" i="3"/>
  <c r="J2776" i="3"/>
  <c r="I2776" i="3"/>
  <c r="H2776" i="3"/>
  <c r="G2776" i="3"/>
  <c r="F2776" i="3"/>
  <c r="E2776" i="3"/>
  <c r="D2776" i="3"/>
  <c r="L2776" i="3" s="1"/>
  <c r="H2775" i="3"/>
  <c r="I2775" i="3" s="1"/>
  <c r="G2775" i="3"/>
  <c r="F2775" i="3"/>
  <c r="E2775" i="3"/>
  <c r="D2775" i="3"/>
  <c r="L2775" i="3" s="1"/>
  <c r="H2774" i="3"/>
  <c r="J2774" i="3" s="1"/>
  <c r="G2774" i="3"/>
  <c r="F2774" i="3"/>
  <c r="E2774" i="3"/>
  <c r="D2774" i="3"/>
  <c r="L2774" i="3" s="1"/>
  <c r="H2773" i="3"/>
  <c r="K2773" i="3" s="1"/>
  <c r="G2773" i="3"/>
  <c r="F2773" i="3"/>
  <c r="E2773" i="3"/>
  <c r="D2773" i="3"/>
  <c r="L2773" i="3" s="1"/>
  <c r="H2772" i="3"/>
  <c r="J2772" i="3" s="1"/>
  <c r="G2772" i="3"/>
  <c r="F2772" i="3"/>
  <c r="E2772" i="3"/>
  <c r="D2772" i="3"/>
  <c r="L2772" i="3" s="1"/>
  <c r="H2771" i="3"/>
  <c r="J2771" i="3" s="1"/>
  <c r="G2771" i="3"/>
  <c r="F2771" i="3"/>
  <c r="E2771" i="3"/>
  <c r="D2771" i="3"/>
  <c r="L2771" i="3" s="1"/>
  <c r="H2770" i="3"/>
  <c r="G2770" i="3"/>
  <c r="F2770" i="3"/>
  <c r="E2770" i="3"/>
  <c r="D2770" i="3"/>
  <c r="L2770" i="3" s="1"/>
  <c r="K2769" i="3"/>
  <c r="J2769" i="3"/>
  <c r="I2769" i="3"/>
  <c r="H2769" i="3"/>
  <c r="G2769" i="3"/>
  <c r="F2769" i="3"/>
  <c r="E2769" i="3"/>
  <c r="D2769" i="3"/>
  <c r="L2769" i="3" s="1"/>
  <c r="K2768" i="3"/>
  <c r="J2768" i="3"/>
  <c r="I2768" i="3"/>
  <c r="H2768" i="3"/>
  <c r="G2768" i="3"/>
  <c r="F2768" i="3"/>
  <c r="E2768" i="3"/>
  <c r="D2768" i="3"/>
  <c r="L2768" i="3" s="1"/>
  <c r="L2767" i="3"/>
  <c r="H2767" i="3"/>
  <c r="G2767" i="3"/>
  <c r="F2767" i="3"/>
  <c r="E2767" i="3"/>
  <c r="D2767" i="3"/>
  <c r="L2766" i="3"/>
  <c r="H2766" i="3"/>
  <c r="K2766" i="3" s="1"/>
  <c r="G2766" i="3"/>
  <c r="F2766" i="3"/>
  <c r="E2766" i="3"/>
  <c r="D2766" i="3"/>
  <c r="H2765" i="3"/>
  <c r="G2765" i="3"/>
  <c r="F2765" i="3"/>
  <c r="E2765" i="3"/>
  <c r="D2765" i="3"/>
  <c r="L2765" i="3" s="1"/>
  <c r="H2764" i="3"/>
  <c r="I2764" i="3" s="1"/>
  <c r="G2764" i="3"/>
  <c r="F2764" i="3"/>
  <c r="E2764" i="3"/>
  <c r="D2764" i="3"/>
  <c r="L2764" i="3" s="1"/>
  <c r="H2763" i="3"/>
  <c r="J2763" i="3" s="1"/>
  <c r="G2763" i="3"/>
  <c r="F2763" i="3"/>
  <c r="E2763" i="3"/>
  <c r="D2763" i="3"/>
  <c r="L2763" i="3" s="1"/>
  <c r="H2762" i="3"/>
  <c r="K2762" i="3" s="1"/>
  <c r="G2762" i="3"/>
  <c r="F2762" i="3"/>
  <c r="E2762" i="3"/>
  <c r="D2762" i="3"/>
  <c r="L2762" i="3" s="1"/>
  <c r="K2761" i="3"/>
  <c r="H2761" i="3"/>
  <c r="G2761" i="3"/>
  <c r="F2761" i="3"/>
  <c r="E2761" i="3"/>
  <c r="D2761" i="3"/>
  <c r="L2761" i="3" s="1"/>
  <c r="I2760" i="3"/>
  <c r="H2760" i="3"/>
  <c r="K2760" i="3" s="1"/>
  <c r="G2760" i="3"/>
  <c r="F2760" i="3"/>
  <c r="E2760" i="3"/>
  <c r="D2760" i="3"/>
  <c r="L2760" i="3" s="1"/>
  <c r="H2759" i="3"/>
  <c r="G2759" i="3"/>
  <c r="F2759" i="3"/>
  <c r="E2759" i="3"/>
  <c r="D2759" i="3"/>
  <c r="L2759" i="3" s="1"/>
  <c r="K2758" i="3"/>
  <c r="I2758" i="3"/>
  <c r="H2758" i="3"/>
  <c r="J2758" i="3" s="1"/>
  <c r="G2758" i="3"/>
  <c r="F2758" i="3"/>
  <c r="E2758" i="3"/>
  <c r="D2758" i="3"/>
  <c r="L2758" i="3" s="1"/>
  <c r="J2757" i="3"/>
  <c r="I2757" i="3"/>
  <c r="H2757" i="3"/>
  <c r="K2757" i="3" s="1"/>
  <c r="G2757" i="3"/>
  <c r="F2757" i="3"/>
  <c r="E2757" i="3"/>
  <c r="D2757" i="3"/>
  <c r="L2757" i="3" s="1"/>
  <c r="K2756" i="3"/>
  <c r="J2756" i="3"/>
  <c r="I2756" i="3"/>
  <c r="H2756" i="3"/>
  <c r="G2756" i="3"/>
  <c r="F2756" i="3"/>
  <c r="E2756" i="3"/>
  <c r="D2756" i="3"/>
  <c r="L2756" i="3" s="1"/>
  <c r="H2755" i="3"/>
  <c r="J2755" i="3" s="1"/>
  <c r="G2755" i="3"/>
  <c r="F2755" i="3"/>
  <c r="E2755" i="3"/>
  <c r="D2755" i="3"/>
  <c r="L2755" i="3" s="1"/>
  <c r="H2754" i="3"/>
  <c r="J2754" i="3" s="1"/>
  <c r="G2754" i="3"/>
  <c r="F2754" i="3"/>
  <c r="E2754" i="3"/>
  <c r="D2754" i="3"/>
  <c r="L2754" i="3" s="1"/>
  <c r="K2753" i="3"/>
  <c r="I2753" i="3"/>
  <c r="H2753" i="3"/>
  <c r="J2753" i="3" s="1"/>
  <c r="G2753" i="3"/>
  <c r="F2753" i="3"/>
  <c r="E2753" i="3"/>
  <c r="D2753" i="3"/>
  <c r="L2753" i="3" s="1"/>
  <c r="K2752" i="3"/>
  <c r="I2752" i="3"/>
  <c r="H2752" i="3"/>
  <c r="J2752" i="3" s="1"/>
  <c r="G2752" i="3"/>
  <c r="F2752" i="3"/>
  <c r="E2752" i="3"/>
  <c r="D2752" i="3"/>
  <c r="L2752" i="3" s="1"/>
  <c r="H2751" i="3"/>
  <c r="G2751" i="3"/>
  <c r="F2751" i="3"/>
  <c r="E2751" i="3"/>
  <c r="D2751" i="3"/>
  <c r="L2751" i="3" s="1"/>
  <c r="L2750" i="3"/>
  <c r="H2750" i="3"/>
  <c r="G2750" i="3"/>
  <c r="F2750" i="3"/>
  <c r="E2750" i="3"/>
  <c r="D2750" i="3"/>
  <c r="H2749" i="3"/>
  <c r="J2749" i="3" s="1"/>
  <c r="G2749" i="3"/>
  <c r="F2749" i="3"/>
  <c r="E2749" i="3"/>
  <c r="D2749" i="3"/>
  <c r="L2749" i="3" s="1"/>
  <c r="H2748" i="3"/>
  <c r="I2748" i="3" s="1"/>
  <c r="G2748" i="3"/>
  <c r="F2748" i="3"/>
  <c r="E2748" i="3"/>
  <c r="D2748" i="3"/>
  <c r="L2748" i="3" s="1"/>
  <c r="L2747" i="3"/>
  <c r="H2747" i="3"/>
  <c r="J2747" i="3" s="1"/>
  <c r="G2747" i="3"/>
  <c r="F2747" i="3"/>
  <c r="E2747" i="3"/>
  <c r="D2747" i="3"/>
  <c r="L2746" i="3"/>
  <c r="H2746" i="3"/>
  <c r="K2746" i="3" s="1"/>
  <c r="G2746" i="3"/>
  <c r="F2746" i="3"/>
  <c r="E2746" i="3"/>
  <c r="D2746" i="3"/>
  <c r="H2745" i="3"/>
  <c r="G2745" i="3"/>
  <c r="F2745" i="3"/>
  <c r="E2745" i="3"/>
  <c r="D2745" i="3"/>
  <c r="L2745" i="3" s="1"/>
  <c r="H2744" i="3"/>
  <c r="G2744" i="3"/>
  <c r="F2744" i="3"/>
  <c r="E2744" i="3"/>
  <c r="D2744" i="3"/>
  <c r="L2744" i="3" s="1"/>
  <c r="K2743" i="3"/>
  <c r="H2743" i="3"/>
  <c r="I2743" i="3" s="1"/>
  <c r="G2743" i="3"/>
  <c r="F2743" i="3"/>
  <c r="E2743" i="3"/>
  <c r="D2743" i="3"/>
  <c r="L2743" i="3" s="1"/>
  <c r="H2742" i="3"/>
  <c r="J2742" i="3" s="1"/>
  <c r="G2742" i="3"/>
  <c r="F2742" i="3"/>
  <c r="E2742" i="3"/>
  <c r="D2742" i="3"/>
  <c r="L2742" i="3" s="1"/>
  <c r="H2741" i="3"/>
  <c r="J2741" i="3" s="1"/>
  <c r="G2741" i="3"/>
  <c r="F2741" i="3"/>
  <c r="E2741" i="3"/>
  <c r="D2741" i="3"/>
  <c r="L2741" i="3" s="1"/>
  <c r="J2740" i="3"/>
  <c r="H2740" i="3"/>
  <c r="I2740" i="3" s="1"/>
  <c r="G2740" i="3"/>
  <c r="F2740" i="3"/>
  <c r="E2740" i="3"/>
  <c r="D2740" i="3"/>
  <c r="L2740" i="3" s="1"/>
  <c r="H2739" i="3"/>
  <c r="I2739" i="3" s="1"/>
  <c r="G2739" i="3"/>
  <c r="F2739" i="3"/>
  <c r="E2739" i="3"/>
  <c r="D2739" i="3"/>
  <c r="L2739" i="3" s="1"/>
  <c r="K2738" i="3"/>
  <c r="I2738" i="3"/>
  <c r="H2738" i="3"/>
  <c r="J2738" i="3" s="1"/>
  <c r="G2738" i="3"/>
  <c r="F2738" i="3"/>
  <c r="E2738" i="3"/>
  <c r="D2738" i="3"/>
  <c r="L2738" i="3" s="1"/>
  <c r="I2737" i="3"/>
  <c r="H2737" i="3"/>
  <c r="G2737" i="3"/>
  <c r="F2737" i="3"/>
  <c r="E2737" i="3"/>
  <c r="D2737" i="3"/>
  <c r="L2737" i="3" s="1"/>
  <c r="H2736" i="3"/>
  <c r="K2736" i="3" s="1"/>
  <c r="G2736" i="3"/>
  <c r="F2736" i="3"/>
  <c r="E2736" i="3"/>
  <c r="D2736" i="3"/>
  <c r="L2736" i="3" s="1"/>
  <c r="K2735" i="3"/>
  <c r="H2735" i="3"/>
  <c r="J2735" i="3" s="1"/>
  <c r="G2735" i="3"/>
  <c r="F2735" i="3"/>
  <c r="E2735" i="3"/>
  <c r="D2735" i="3"/>
  <c r="L2735" i="3" s="1"/>
  <c r="J2734" i="3"/>
  <c r="H2734" i="3"/>
  <c r="G2734" i="3"/>
  <c r="F2734" i="3"/>
  <c r="E2734" i="3"/>
  <c r="D2734" i="3"/>
  <c r="L2734" i="3" s="1"/>
  <c r="H2733" i="3"/>
  <c r="G2733" i="3"/>
  <c r="F2733" i="3"/>
  <c r="E2733" i="3"/>
  <c r="D2733" i="3"/>
  <c r="L2733" i="3" s="1"/>
  <c r="K2732" i="3"/>
  <c r="H2732" i="3"/>
  <c r="G2732" i="3"/>
  <c r="F2732" i="3"/>
  <c r="E2732" i="3"/>
  <c r="D2732" i="3"/>
  <c r="L2732" i="3" s="1"/>
  <c r="K2731" i="3"/>
  <c r="H2731" i="3"/>
  <c r="I2731" i="3" s="1"/>
  <c r="G2731" i="3"/>
  <c r="F2731" i="3"/>
  <c r="E2731" i="3"/>
  <c r="D2731" i="3"/>
  <c r="L2731" i="3" s="1"/>
  <c r="K2730" i="3"/>
  <c r="I2730" i="3"/>
  <c r="H2730" i="3"/>
  <c r="J2730" i="3" s="1"/>
  <c r="G2730" i="3"/>
  <c r="F2730" i="3"/>
  <c r="E2730" i="3"/>
  <c r="D2730" i="3"/>
  <c r="L2730" i="3" s="1"/>
  <c r="H2729" i="3"/>
  <c r="G2729" i="3"/>
  <c r="F2729" i="3"/>
  <c r="E2729" i="3"/>
  <c r="D2729" i="3"/>
  <c r="L2729" i="3" s="1"/>
  <c r="H2728" i="3"/>
  <c r="G2728" i="3"/>
  <c r="F2728" i="3"/>
  <c r="E2728" i="3"/>
  <c r="D2728" i="3"/>
  <c r="L2728" i="3" s="1"/>
  <c r="J2727" i="3"/>
  <c r="H2727" i="3"/>
  <c r="I2727" i="3" s="1"/>
  <c r="G2727" i="3"/>
  <c r="F2727" i="3"/>
  <c r="E2727" i="3"/>
  <c r="D2727" i="3"/>
  <c r="L2727" i="3" s="1"/>
  <c r="H2726" i="3"/>
  <c r="J2726" i="3" s="1"/>
  <c r="G2726" i="3"/>
  <c r="F2726" i="3"/>
  <c r="E2726" i="3"/>
  <c r="D2726" i="3"/>
  <c r="L2726" i="3" s="1"/>
  <c r="H2725" i="3"/>
  <c r="J2725" i="3" s="1"/>
  <c r="G2725" i="3"/>
  <c r="F2725" i="3"/>
  <c r="E2725" i="3"/>
  <c r="D2725" i="3"/>
  <c r="L2725" i="3" s="1"/>
  <c r="H2724" i="3"/>
  <c r="G2724" i="3"/>
  <c r="F2724" i="3"/>
  <c r="E2724" i="3"/>
  <c r="D2724" i="3"/>
  <c r="L2724" i="3" s="1"/>
  <c r="H2723" i="3"/>
  <c r="I2723" i="3" s="1"/>
  <c r="G2723" i="3"/>
  <c r="F2723" i="3"/>
  <c r="E2723" i="3"/>
  <c r="D2723" i="3"/>
  <c r="L2723" i="3" s="1"/>
  <c r="K2722" i="3"/>
  <c r="I2722" i="3"/>
  <c r="H2722" i="3"/>
  <c r="J2722" i="3" s="1"/>
  <c r="G2722" i="3"/>
  <c r="F2722" i="3"/>
  <c r="E2722" i="3"/>
  <c r="D2722" i="3"/>
  <c r="L2722" i="3" s="1"/>
  <c r="H2721" i="3"/>
  <c r="G2721" i="3"/>
  <c r="F2721" i="3"/>
  <c r="E2721" i="3"/>
  <c r="D2721" i="3"/>
  <c r="L2721" i="3" s="1"/>
  <c r="K2720" i="3"/>
  <c r="H2720" i="3"/>
  <c r="G2720" i="3"/>
  <c r="F2720" i="3"/>
  <c r="E2720" i="3"/>
  <c r="D2720" i="3"/>
  <c r="L2720" i="3" s="1"/>
  <c r="K2719" i="3"/>
  <c r="J2719" i="3"/>
  <c r="I2719" i="3"/>
  <c r="H2719" i="3"/>
  <c r="G2719" i="3"/>
  <c r="F2719" i="3"/>
  <c r="E2719" i="3"/>
  <c r="D2719" i="3"/>
  <c r="L2719" i="3" s="1"/>
  <c r="H2718" i="3"/>
  <c r="J2718" i="3" s="1"/>
  <c r="G2718" i="3"/>
  <c r="F2718" i="3"/>
  <c r="E2718" i="3"/>
  <c r="D2718" i="3"/>
  <c r="L2718" i="3" s="1"/>
  <c r="H2717" i="3"/>
  <c r="J2717" i="3" s="1"/>
  <c r="G2717" i="3"/>
  <c r="F2717" i="3"/>
  <c r="E2717" i="3"/>
  <c r="D2717" i="3"/>
  <c r="L2717" i="3" s="1"/>
  <c r="K2716" i="3"/>
  <c r="H2716" i="3"/>
  <c r="J2716" i="3" s="1"/>
  <c r="G2716" i="3"/>
  <c r="F2716" i="3"/>
  <c r="E2716" i="3"/>
  <c r="D2716" i="3"/>
  <c r="L2716" i="3" s="1"/>
  <c r="K2715" i="3"/>
  <c r="J2715" i="3"/>
  <c r="H2715" i="3"/>
  <c r="I2715" i="3" s="1"/>
  <c r="G2715" i="3"/>
  <c r="F2715" i="3"/>
  <c r="E2715" i="3"/>
  <c r="D2715" i="3"/>
  <c r="L2715" i="3" s="1"/>
  <c r="K2714" i="3"/>
  <c r="I2714" i="3"/>
  <c r="H2714" i="3"/>
  <c r="J2714" i="3" s="1"/>
  <c r="G2714" i="3"/>
  <c r="F2714" i="3"/>
  <c r="E2714" i="3"/>
  <c r="D2714" i="3"/>
  <c r="L2714" i="3" s="1"/>
  <c r="H2713" i="3"/>
  <c r="G2713" i="3"/>
  <c r="F2713" i="3"/>
  <c r="E2713" i="3"/>
  <c r="D2713" i="3"/>
  <c r="L2713" i="3" s="1"/>
  <c r="H2712" i="3"/>
  <c r="G2712" i="3"/>
  <c r="F2712" i="3"/>
  <c r="E2712" i="3"/>
  <c r="D2712" i="3"/>
  <c r="L2712" i="3" s="1"/>
  <c r="H2711" i="3"/>
  <c r="G2711" i="3"/>
  <c r="F2711" i="3"/>
  <c r="E2711" i="3"/>
  <c r="D2711" i="3"/>
  <c r="L2711" i="3" s="1"/>
  <c r="H2710" i="3"/>
  <c r="J2710" i="3" s="1"/>
  <c r="G2710" i="3"/>
  <c r="F2710" i="3"/>
  <c r="E2710" i="3"/>
  <c r="D2710" i="3"/>
  <c r="L2710" i="3" s="1"/>
  <c r="H2709" i="3"/>
  <c r="J2709" i="3" s="1"/>
  <c r="G2709" i="3"/>
  <c r="F2709" i="3"/>
  <c r="E2709" i="3"/>
  <c r="D2709" i="3"/>
  <c r="L2709" i="3" s="1"/>
  <c r="H2708" i="3"/>
  <c r="G2708" i="3"/>
  <c r="F2708" i="3"/>
  <c r="E2708" i="3"/>
  <c r="D2708" i="3"/>
  <c r="L2708" i="3" s="1"/>
  <c r="H2707" i="3"/>
  <c r="I2707" i="3" s="1"/>
  <c r="G2707" i="3"/>
  <c r="F2707" i="3"/>
  <c r="E2707" i="3"/>
  <c r="D2707" i="3"/>
  <c r="L2707" i="3" s="1"/>
  <c r="H2706" i="3"/>
  <c r="G2706" i="3"/>
  <c r="F2706" i="3"/>
  <c r="E2706" i="3"/>
  <c r="D2706" i="3"/>
  <c r="L2706" i="3" s="1"/>
  <c r="H2705" i="3"/>
  <c r="K2705" i="3" s="1"/>
  <c r="G2705" i="3"/>
  <c r="F2705" i="3"/>
  <c r="E2705" i="3"/>
  <c r="D2705" i="3"/>
  <c r="L2705" i="3" s="1"/>
  <c r="H2704" i="3"/>
  <c r="I2704" i="3" s="1"/>
  <c r="G2704" i="3"/>
  <c r="F2704" i="3"/>
  <c r="E2704" i="3"/>
  <c r="D2704" i="3"/>
  <c r="L2704" i="3" s="1"/>
  <c r="K2703" i="3"/>
  <c r="H2703" i="3"/>
  <c r="G2703" i="3"/>
  <c r="F2703" i="3"/>
  <c r="E2703" i="3"/>
  <c r="D2703" i="3"/>
  <c r="L2703" i="3" s="1"/>
  <c r="H2702" i="3"/>
  <c r="G2702" i="3"/>
  <c r="F2702" i="3"/>
  <c r="E2702" i="3"/>
  <c r="D2702" i="3"/>
  <c r="L2702" i="3" s="1"/>
  <c r="H2701" i="3"/>
  <c r="G2701" i="3"/>
  <c r="F2701" i="3"/>
  <c r="E2701" i="3"/>
  <c r="D2701" i="3"/>
  <c r="L2701" i="3" s="1"/>
  <c r="H2700" i="3"/>
  <c r="G2700" i="3"/>
  <c r="F2700" i="3"/>
  <c r="E2700" i="3"/>
  <c r="D2700" i="3"/>
  <c r="L2700" i="3" s="1"/>
  <c r="H2699" i="3"/>
  <c r="I2699" i="3" s="1"/>
  <c r="G2699" i="3"/>
  <c r="F2699" i="3"/>
  <c r="E2699" i="3"/>
  <c r="D2699" i="3"/>
  <c r="L2699" i="3" s="1"/>
  <c r="K2698" i="3"/>
  <c r="I2698" i="3"/>
  <c r="H2698" i="3"/>
  <c r="J2698" i="3" s="1"/>
  <c r="G2698" i="3"/>
  <c r="F2698" i="3"/>
  <c r="E2698" i="3"/>
  <c r="D2698" i="3"/>
  <c r="L2698" i="3" s="1"/>
  <c r="J2697" i="3"/>
  <c r="I2697" i="3"/>
  <c r="H2697" i="3"/>
  <c r="K2697" i="3" s="1"/>
  <c r="G2697" i="3"/>
  <c r="F2697" i="3"/>
  <c r="E2697" i="3"/>
  <c r="D2697" i="3"/>
  <c r="L2697" i="3" s="1"/>
  <c r="H2696" i="3"/>
  <c r="G2696" i="3"/>
  <c r="F2696" i="3"/>
  <c r="E2696" i="3"/>
  <c r="D2696" i="3"/>
  <c r="L2696" i="3" s="1"/>
  <c r="H2695" i="3"/>
  <c r="G2695" i="3"/>
  <c r="F2695" i="3"/>
  <c r="E2695" i="3"/>
  <c r="D2695" i="3"/>
  <c r="L2695" i="3" s="1"/>
  <c r="L2694" i="3"/>
  <c r="H2694" i="3"/>
  <c r="J2694" i="3" s="1"/>
  <c r="G2694" i="3"/>
  <c r="F2694" i="3"/>
  <c r="E2694" i="3"/>
  <c r="D2694" i="3"/>
  <c r="K2693" i="3"/>
  <c r="I2693" i="3"/>
  <c r="H2693" i="3"/>
  <c r="J2693" i="3" s="1"/>
  <c r="G2693" i="3"/>
  <c r="F2693" i="3"/>
  <c r="E2693" i="3"/>
  <c r="D2693" i="3"/>
  <c r="L2693" i="3" s="1"/>
  <c r="K2692" i="3"/>
  <c r="J2692" i="3"/>
  <c r="I2692" i="3"/>
  <c r="H2692" i="3"/>
  <c r="G2692" i="3"/>
  <c r="F2692" i="3"/>
  <c r="E2692" i="3"/>
  <c r="D2692" i="3"/>
  <c r="L2692" i="3" s="1"/>
  <c r="H2691" i="3"/>
  <c r="G2691" i="3"/>
  <c r="F2691" i="3"/>
  <c r="E2691" i="3"/>
  <c r="D2691" i="3"/>
  <c r="L2691" i="3" s="1"/>
  <c r="H2690" i="3"/>
  <c r="G2690" i="3"/>
  <c r="F2690" i="3"/>
  <c r="E2690" i="3"/>
  <c r="D2690" i="3"/>
  <c r="L2690" i="3" s="1"/>
  <c r="H2689" i="3"/>
  <c r="K2689" i="3" s="1"/>
  <c r="G2689" i="3"/>
  <c r="F2689" i="3"/>
  <c r="E2689" i="3"/>
  <c r="D2689" i="3"/>
  <c r="L2689" i="3" s="1"/>
  <c r="J2688" i="3"/>
  <c r="H2688" i="3"/>
  <c r="G2688" i="3"/>
  <c r="F2688" i="3"/>
  <c r="E2688" i="3"/>
  <c r="D2688" i="3"/>
  <c r="L2688" i="3" s="1"/>
  <c r="I2687" i="3"/>
  <c r="H2687" i="3"/>
  <c r="K2687" i="3" s="1"/>
  <c r="G2687" i="3"/>
  <c r="F2687" i="3"/>
  <c r="E2687" i="3"/>
  <c r="D2687" i="3"/>
  <c r="L2687" i="3" s="1"/>
  <c r="J2686" i="3"/>
  <c r="H2686" i="3"/>
  <c r="G2686" i="3"/>
  <c r="F2686" i="3"/>
  <c r="E2686" i="3"/>
  <c r="D2686" i="3"/>
  <c r="L2686" i="3" s="1"/>
  <c r="H2685" i="3"/>
  <c r="G2685" i="3"/>
  <c r="F2685" i="3"/>
  <c r="E2685" i="3"/>
  <c r="D2685" i="3"/>
  <c r="L2685" i="3" s="1"/>
  <c r="H2684" i="3"/>
  <c r="G2684" i="3"/>
  <c r="F2684" i="3"/>
  <c r="E2684" i="3"/>
  <c r="D2684" i="3"/>
  <c r="L2684" i="3" s="1"/>
  <c r="H2683" i="3"/>
  <c r="G2683" i="3"/>
  <c r="F2683" i="3"/>
  <c r="E2683" i="3"/>
  <c r="D2683" i="3"/>
  <c r="L2683" i="3" s="1"/>
  <c r="H2682" i="3"/>
  <c r="G2682" i="3"/>
  <c r="F2682" i="3"/>
  <c r="E2682" i="3"/>
  <c r="D2682" i="3"/>
  <c r="L2682" i="3" s="1"/>
  <c r="L2681" i="3"/>
  <c r="J2681" i="3"/>
  <c r="I2681" i="3"/>
  <c r="H2681" i="3"/>
  <c r="K2681" i="3" s="1"/>
  <c r="G2681" i="3"/>
  <c r="F2681" i="3"/>
  <c r="E2681" i="3"/>
  <c r="D2681" i="3"/>
  <c r="K2680" i="3"/>
  <c r="J2680" i="3"/>
  <c r="H2680" i="3"/>
  <c r="I2680" i="3" s="1"/>
  <c r="G2680" i="3"/>
  <c r="F2680" i="3"/>
  <c r="E2680" i="3"/>
  <c r="D2680" i="3"/>
  <c r="L2680" i="3" s="1"/>
  <c r="K2679" i="3"/>
  <c r="J2679" i="3"/>
  <c r="I2679" i="3"/>
  <c r="H2679" i="3"/>
  <c r="G2679" i="3"/>
  <c r="F2679" i="3"/>
  <c r="E2679" i="3"/>
  <c r="D2679" i="3"/>
  <c r="L2679" i="3" s="1"/>
  <c r="L2678" i="3"/>
  <c r="H2678" i="3"/>
  <c r="J2678" i="3" s="1"/>
  <c r="G2678" i="3"/>
  <c r="F2678" i="3"/>
  <c r="E2678" i="3"/>
  <c r="D2678" i="3"/>
  <c r="H2677" i="3"/>
  <c r="J2677" i="3" s="1"/>
  <c r="G2677" i="3"/>
  <c r="F2677" i="3"/>
  <c r="E2677" i="3"/>
  <c r="D2677" i="3"/>
  <c r="L2677" i="3" s="1"/>
  <c r="J2676" i="3"/>
  <c r="H2676" i="3"/>
  <c r="I2676" i="3" s="1"/>
  <c r="G2676" i="3"/>
  <c r="F2676" i="3"/>
  <c r="E2676" i="3"/>
  <c r="D2676" i="3"/>
  <c r="L2676" i="3" s="1"/>
  <c r="H2675" i="3"/>
  <c r="I2675" i="3" s="1"/>
  <c r="G2675" i="3"/>
  <c r="F2675" i="3"/>
  <c r="E2675" i="3"/>
  <c r="D2675" i="3"/>
  <c r="L2675" i="3" s="1"/>
  <c r="H2674" i="3"/>
  <c r="J2674" i="3" s="1"/>
  <c r="G2674" i="3"/>
  <c r="F2674" i="3"/>
  <c r="E2674" i="3"/>
  <c r="D2674" i="3"/>
  <c r="L2674" i="3" s="1"/>
  <c r="H2673" i="3"/>
  <c r="K2673" i="3" s="1"/>
  <c r="G2673" i="3"/>
  <c r="F2673" i="3"/>
  <c r="E2673" i="3"/>
  <c r="D2673" i="3"/>
  <c r="L2673" i="3" s="1"/>
  <c r="H2672" i="3"/>
  <c r="I2672" i="3" s="1"/>
  <c r="G2672" i="3"/>
  <c r="F2672" i="3"/>
  <c r="E2672" i="3"/>
  <c r="D2672" i="3"/>
  <c r="L2672" i="3" s="1"/>
  <c r="K2671" i="3"/>
  <c r="H2671" i="3"/>
  <c r="G2671" i="3"/>
  <c r="F2671" i="3"/>
  <c r="E2671" i="3"/>
  <c r="D2671" i="3"/>
  <c r="L2671" i="3" s="1"/>
  <c r="H2670" i="3"/>
  <c r="G2670" i="3"/>
  <c r="F2670" i="3"/>
  <c r="E2670" i="3"/>
  <c r="D2670" i="3"/>
  <c r="L2670" i="3" s="1"/>
  <c r="H2669" i="3"/>
  <c r="J2669" i="3" s="1"/>
  <c r="G2669" i="3"/>
  <c r="F2669" i="3"/>
  <c r="E2669" i="3"/>
  <c r="D2669" i="3"/>
  <c r="L2669" i="3" s="1"/>
  <c r="K2668" i="3"/>
  <c r="H2668" i="3"/>
  <c r="J2668" i="3" s="1"/>
  <c r="G2668" i="3"/>
  <c r="F2668" i="3"/>
  <c r="E2668" i="3"/>
  <c r="D2668" i="3"/>
  <c r="L2668" i="3" s="1"/>
  <c r="K2667" i="3"/>
  <c r="H2667" i="3"/>
  <c r="I2667" i="3" s="1"/>
  <c r="G2667" i="3"/>
  <c r="F2667" i="3"/>
  <c r="E2667" i="3"/>
  <c r="D2667" i="3"/>
  <c r="L2667" i="3" s="1"/>
  <c r="I2666" i="3"/>
  <c r="H2666" i="3"/>
  <c r="J2666" i="3" s="1"/>
  <c r="G2666" i="3"/>
  <c r="F2666" i="3"/>
  <c r="E2666" i="3"/>
  <c r="D2666" i="3"/>
  <c r="L2666" i="3" s="1"/>
  <c r="H2665" i="3"/>
  <c r="G2665" i="3"/>
  <c r="F2665" i="3"/>
  <c r="E2665" i="3"/>
  <c r="D2665" i="3"/>
  <c r="L2665" i="3" s="1"/>
  <c r="K2664" i="3"/>
  <c r="H2664" i="3"/>
  <c r="I2664" i="3" s="1"/>
  <c r="G2664" i="3"/>
  <c r="F2664" i="3"/>
  <c r="E2664" i="3"/>
  <c r="D2664" i="3"/>
  <c r="L2664" i="3" s="1"/>
  <c r="K2663" i="3"/>
  <c r="J2663" i="3"/>
  <c r="H2663" i="3"/>
  <c r="I2663" i="3" s="1"/>
  <c r="G2663" i="3"/>
  <c r="F2663" i="3"/>
  <c r="E2663" i="3"/>
  <c r="D2663" i="3"/>
  <c r="L2663" i="3" s="1"/>
  <c r="K2662" i="3"/>
  <c r="J2662" i="3"/>
  <c r="H2662" i="3"/>
  <c r="I2662" i="3" s="1"/>
  <c r="G2662" i="3"/>
  <c r="F2662" i="3"/>
  <c r="E2662" i="3"/>
  <c r="D2662" i="3"/>
  <c r="L2662" i="3" s="1"/>
  <c r="H2661" i="3"/>
  <c r="G2661" i="3"/>
  <c r="F2661" i="3"/>
  <c r="E2661" i="3"/>
  <c r="D2661" i="3"/>
  <c r="L2661" i="3" s="1"/>
  <c r="H2660" i="3"/>
  <c r="G2660" i="3"/>
  <c r="F2660" i="3"/>
  <c r="E2660" i="3"/>
  <c r="D2660" i="3"/>
  <c r="L2660" i="3" s="1"/>
  <c r="H2659" i="3"/>
  <c r="I2659" i="3" s="1"/>
  <c r="G2659" i="3"/>
  <c r="F2659" i="3"/>
  <c r="E2659" i="3"/>
  <c r="D2659" i="3"/>
  <c r="L2659" i="3" s="1"/>
  <c r="K2658" i="3"/>
  <c r="H2658" i="3"/>
  <c r="J2658" i="3" s="1"/>
  <c r="G2658" i="3"/>
  <c r="F2658" i="3"/>
  <c r="E2658" i="3"/>
  <c r="D2658" i="3"/>
  <c r="L2658" i="3" s="1"/>
  <c r="H2657" i="3"/>
  <c r="K2657" i="3" s="1"/>
  <c r="G2657" i="3"/>
  <c r="F2657" i="3"/>
  <c r="E2657" i="3"/>
  <c r="D2657" i="3"/>
  <c r="L2657" i="3" s="1"/>
  <c r="K2656" i="3"/>
  <c r="J2656" i="3"/>
  <c r="H2656" i="3"/>
  <c r="I2656" i="3" s="1"/>
  <c r="G2656" i="3"/>
  <c r="F2656" i="3"/>
  <c r="E2656" i="3"/>
  <c r="D2656" i="3"/>
  <c r="L2656" i="3" s="1"/>
  <c r="K2655" i="3"/>
  <c r="J2655" i="3"/>
  <c r="I2655" i="3"/>
  <c r="H2655" i="3"/>
  <c r="G2655" i="3"/>
  <c r="F2655" i="3"/>
  <c r="E2655" i="3"/>
  <c r="D2655" i="3"/>
  <c r="L2655" i="3" s="1"/>
  <c r="H2654" i="3"/>
  <c r="G2654" i="3"/>
  <c r="F2654" i="3"/>
  <c r="E2654" i="3"/>
  <c r="D2654" i="3"/>
  <c r="L2654" i="3" s="1"/>
  <c r="H2653" i="3"/>
  <c r="J2653" i="3" s="1"/>
  <c r="G2653" i="3"/>
  <c r="F2653" i="3"/>
  <c r="E2653" i="3"/>
  <c r="D2653" i="3"/>
  <c r="L2653" i="3" s="1"/>
  <c r="K2652" i="3"/>
  <c r="J2652" i="3"/>
  <c r="H2652" i="3"/>
  <c r="I2652" i="3" s="1"/>
  <c r="G2652" i="3"/>
  <c r="F2652" i="3"/>
  <c r="E2652" i="3"/>
  <c r="D2652" i="3"/>
  <c r="L2652" i="3" s="1"/>
  <c r="H2651" i="3"/>
  <c r="I2651" i="3" s="1"/>
  <c r="G2651" i="3"/>
  <c r="F2651" i="3"/>
  <c r="E2651" i="3"/>
  <c r="D2651" i="3"/>
  <c r="L2651" i="3" s="1"/>
  <c r="H2650" i="3"/>
  <c r="J2650" i="3" s="1"/>
  <c r="G2650" i="3"/>
  <c r="F2650" i="3"/>
  <c r="E2650" i="3"/>
  <c r="D2650" i="3"/>
  <c r="L2650" i="3" s="1"/>
  <c r="H2649" i="3"/>
  <c r="K2649" i="3" s="1"/>
  <c r="G2649" i="3"/>
  <c r="F2649" i="3"/>
  <c r="E2649" i="3"/>
  <c r="D2649" i="3"/>
  <c r="L2649" i="3" s="1"/>
  <c r="H2648" i="3"/>
  <c r="I2648" i="3" s="1"/>
  <c r="G2648" i="3"/>
  <c r="F2648" i="3"/>
  <c r="E2648" i="3"/>
  <c r="D2648" i="3"/>
  <c r="L2648" i="3" s="1"/>
  <c r="K2647" i="3"/>
  <c r="J2647" i="3"/>
  <c r="H2647" i="3"/>
  <c r="I2647" i="3" s="1"/>
  <c r="G2647" i="3"/>
  <c r="F2647" i="3"/>
  <c r="E2647" i="3"/>
  <c r="D2647" i="3"/>
  <c r="L2647" i="3" s="1"/>
  <c r="K2646" i="3"/>
  <c r="J2646" i="3"/>
  <c r="H2646" i="3"/>
  <c r="I2646" i="3" s="1"/>
  <c r="G2646" i="3"/>
  <c r="F2646" i="3"/>
  <c r="E2646" i="3"/>
  <c r="D2646" i="3"/>
  <c r="L2646" i="3" s="1"/>
  <c r="H2645" i="3"/>
  <c r="G2645" i="3"/>
  <c r="F2645" i="3"/>
  <c r="E2645" i="3"/>
  <c r="D2645" i="3"/>
  <c r="L2645" i="3" s="1"/>
  <c r="H2644" i="3"/>
  <c r="G2644" i="3"/>
  <c r="F2644" i="3"/>
  <c r="E2644" i="3"/>
  <c r="D2644" i="3"/>
  <c r="L2644" i="3" s="1"/>
  <c r="H2643" i="3"/>
  <c r="G2643" i="3"/>
  <c r="F2643" i="3"/>
  <c r="E2643" i="3"/>
  <c r="D2643" i="3"/>
  <c r="L2643" i="3" s="1"/>
  <c r="H2642" i="3"/>
  <c r="J2642" i="3" s="1"/>
  <c r="G2642" i="3"/>
  <c r="F2642" i="3"/>
  <c r="E2642" i="3"/>
  <c r="D2642" i="3"/>
  <c r="L2642" i="3" s="1"/>
  <c r="J2641" i="3"/>
  <c r="I2641" i="3"/>
  <c r="H2641" i="3"/>
  <c r="K2641" i="3" s="1"/>
  <c r="G2641" i="3"/>
  <c r="F2641" i="3"/>
  <c r="E2641" i="3"/>
  <c r="D2641" i="3"/>
  <c r="L2641" i="3" s="1"/>
  <c r="I2640" i="3"/>
  <c r="H2640" i="3"/>
  <c r="K2640" i="3" s="1"/>
  <c r="G2640" i="3"/>
  <c r="F2640" i="3"/>
  <c r="E2640" i="3"/>
  <c r="D2640" i="3"/>
  <c r="L2640" i="3" s="1"/>
  <c r="K2639" i="3"/>
  <c r="I2639" i="3"/>
  <c r="H2639" i="3"/>
  <c r="J2639" i="3" s="1"/>
  <c r="G2639" i="3"/>
  <c r="F2639" i="3"/>
  <c r="E2639" i="3"/>
  <c r="D2639" i="3"/>
  <c r="L2639" i="3" s="1"/>
  <c r="H2638" i="3"/>
  <c r="G2638" i="3"/>
  <c r="F2638" i="3"/>
  <c r="E2638" i="3"/>
  <c r="D2638" i="3"/>
  <c r="L2638" i="3" s="1"/>
  <c r="H2637" i="3"/>
  <c r="I2637" i="3" s="1"/>
  <c r="G2637" i="3"/>
  <c r="F2637" i="3"/>
  <c r="E2637" i="3"/>
  <c r="D2637" i="3"/>
  <c r="L2637" i="3" s="1"/>
  <c r="H2636" i="3"/>
  <c r="G2636" i="3"/>
  <c r="F2636" i="3"/>
  <c r="E2636" i="3"/>
  <c r="D2636" i="3"/>
  <c r="L2636" i="3" s="1"/>
  <c r="H2635" i="3"/>
  <c r="I2635" i="3" s="1"/>
  <c r="G2635" i="3"/>
  <c r="F2635" i="3"/>
  <c r="E2635" i="3"/>
  <c r="D2635" i="3"/>
  <c r="L2635" i="3" s="1"/>
  <c r="K2634" i="3"/>
  <c r="I2634" i="3"/>
  <c r="H2634" i="3"/>
  <c r="J2634" i="3" s="1"/>
  <c r="G2634" i="3"/>
  <c r="F2634" i="3"/>
  <c r="E2634" i="3"/>
  <c r="D2634" i="3"/>
  <c r="L2634" i="3" s="1"/>
  <c r="I2633" i="3"/>
  <c r="H2633" i="3"/>
  <c r="K2633" i="3" s="1"/>
  <c r="G2633" i="3"/>
  <c r="F2633" i="3"/>
  <c r="E2633" i="3"/>
  <c r="D2633" i="3"/>
  <c r="L2633" i="3" s="1"/>
  <c r="H2632" i="3"/>
  <c r="G2632" i="3"/>
  <c r="F2632" i="3"/>
  <c r="E2632" i="3"/>
  <c r="D2632" i="3"/>
  <c r="L2632" i="3" s="1"/>
  <c r="H2631" i="3"/>
  <c r="G2631" i="3"/>
  <c r="F2631" i="3"/>
  <c r="E2631" i="3"/>
  <c r="D2631" i="3"/>
  <c r="L2631" i="3" s="1"/>
  <c r="H2630" i="3"/>
  <c r="G2630" i="3"/>
  <c r="F2630" i="3"/>
  <c r="E2630" i="3"/>
  <c r="D2630" i="3"/>
  <c r="L2630" i="3" s="1"/>
  <c r="L2629" i="3"/>
  <c r="K2629" i="3"/>
  <c r="H2629" i="3"/>
  <c r="I2629" i="3" s="1"/>
  <c r="G2629" i="3"/>
  <c r="F2629" i="3"/>
  <c r="E2629" i="3"/>
  <c r="D2629" i="3"/>
  <c r="K2628" i="3"/>
  <c r="J2628" i="3"/>
  <c r="I2628" i="3"/>
  <c r="H2628" i="3"/>
  <c r="G2628" i="3"/>
  <c r="F2628" i="3"/>
  <c r="E2628" i="3"/>
  <c r="D2628" i="3"/>
  <c r="L2628" i="3" s="1"/>
  <c r="K2627" i="3"/>
  <c r="J2627" i="3"/>
  <c r="H2627" i="3"/>
  <c r="I2627" i="3" s="1"/>
  <c r="G2627" i="3"/>
  <c r="F2627" i="3"/>
  <c r="E2627" i="3"/>
  <c r="D2627" i="3"/>
  <c r="L2627" i="3" s="1"/>
  <c r="I2626" i="3"/>
  <c r="H2626" i="3"/>
  <c r="G2626" i="3"/>
  <c r="F2626" i="3"/>
  <c r="E2626" i="3"/>
  <c r="D2626" i="3"/>
  <c r="L2626" i="3" s="1"/>
  <c r="H2625" i="3"/>
  <c r="G2625" i="3"/>
  <c r="F2625" i="3"/>
  <c r="E2625" i="3"/>
  <c r="D2625" i="3"/>
  <c r="L2625" i="3" s="1"/>
  <c r="H2624" i="3"/>
  <c r="K2624" i="3" s="1"/>
  <c r="G2624" i="3"/>
  <c r="F2624" i="3"/>
  <c r="E2624" i="3"/>
  <c r="D2624" i="3"/>
  <c r="L2624" i="3" s="1"/>
  <c r="K2623" i="3"/>
  <c r="H2623" i="3"/>
  <c r="J2623" i="3" s="1"/>
  <c r="G2623" i="3"/>
  <c r="F2623" i="3"/>
  <c r="E2623" i="3"/>
  <c r="D2623" i="3"/>
  <c r="L2623" i="3" s="1"/>
  <c r="H2622" i="3"/>
  <c r="G2622" i="3"/>
  <c r="F2622" i="3"/>
  <c r="E2622" i="3"/>
  <c r="D2622" i="3"/>
  <c r="L2622" i="3" s="1"/>
  <c r="I2621" i="3"/>
  <c r="H2621" i="3"/>
  <c r="G2621" i="3"/>
  <c r="F2621" i="3"/>
  <c r="E2621" i="3"/>
  <c r="D2621" i="3"/>
  <c r="L2621" i="3" s="1"/>
  <c r="K2620" i="3"/>
  <c r="J2620" i="3"/>
  <c r="I2620" i="3"/>
  <c r="H2620" i="3"/>
  <c r="G2620" i="3"/>
  <c r="F2620" i="3"/>
  <c r="E2620" i="3"/>
  <c r="D2620" i="3"/>
  <c r="L2620" i="3" s="1"/>
  <c r="H2619" i="3"/>
  <c r="G2619" i="3"/>
  <c r="F2619" i="3"/>
  <c r="E2619" i="3"/>
  <c r="D2619" i="3"/>
  <c r="L2619" i="3" s="1"/>
  <c r="H2618" i="3"/>
  <c r="G2618" i="3"/>
  <c r="F2618" i="3"/>
  <c r="E2618" i="3"/>
  <c r="D2618" i="3"/>
  <c r="L2618" i="3" s="1"/>
  <c r="J2617" i="3"/>
  <c r="H2617" i="3"/>
  <c r="K2617" i="3" s="1"/>
  <c r="G2617" i="3"/>
  <c r="F2617" i="3"/>
  <c r="E2617" i="3"/>
  <c r="D2617" i="3"/>
  <c r="L2617" i="3" s="1"/>
  <c r="J2616" i="3"/>
  <c r="I2616" i="3"/>
  <c r="H2616" i="3"/>
  <c r="K2616" i="3" s="1"/>
  <c r="G2616" i="3"/>
  <c r="F2616" i="3"/>
  <c r="E2616" i="3"/>
  <c r="D2616" i="3"/>
  <c r="L2616" i="3" s="1"/>
  <c r="K2615" i="3"/>
  <c r="J2615" i="3"/>
  <c r="I2615" i="3"/>
  <c r="H2615" i="3"/>
  <c r="G2615" i="3"/>
  <c r="F2615" i="3"/>
  <c r="E2615" i="3"/>
  <c r="D2615" i="3"/>
  <c r="L2615" i="3" s="1"/>
  <c r="H2614" i="3"/>
  <c r="G2614" i="3"/>
  <c r="F2614" i="3"/>
  <c r="E2614" i="3"/>
  <c r="D2614" i="3"/>
  <c r="L2614" i="3" s="1"/>
  <c r="K2613" i="3"/>
  <c r="H2613" i="3"/>
  <c r="I2613" i="3" s="1"/>
  <c r="G2613" i="3"/>
  <c r="F2613" i="3"/>
  <c r="E2613" i="3"/>
  <c r="D2613" i="3"/>
  <c r="L2613" i="3" s="1"/>
  <c r="K2612" i="3"/>
  <c r="J2612" i="3"/>
  <c r="I2612" i="3"/>
  <c r="H2612" i="3"/>
  <c r="G2612" i="3"/>
  <c r="F2612" i="3"/>
  <c r="E2612" i="3"/>
  <c r="D2612" i="3"/>
  <c r="L2612" i="3" s="1"/>
  <c r="K2611" i="3"/>
  <c r="J2611" i="3"/>
  <c r="H2611" i="3"/>
  <c r="I2611" i="3" s="1"/>
  <c r="G2611" i="3"/>
  <c r="F2611" i="3"/>
  <c r="E2611" i="3"/>
  <c r="D2611" i="3"/>
  <c r="L2611" i="3" s="1"/>
  <c r="H2610" i="3"/>
  <c r="G2610" i="3"/>
  <c r="F2610" i="3"/>
  <c r="E2610" i="3"/>
  <c r="D2610" i="3"/>
  <c r="L2610" i="3" s="1"/>
  <c r="H2609" i="3"/>
  <c r="G2609" i="3"/>
  <c r="F2609" i="3"/>
  <c r="E2609" i="3"/>
  <c r="D2609" i="3"/>
  <c r="L2609" i="3" s="1"/>
  <c r="J2608" i="3"/>
  <c r="H2608" i="3"/>
  <c r="K2608" i="3" s="1"/>
  <c r="G2608" i="3"/>
  <c r="F2608" i="3"/>
  <c r="E2608" i="3"/>
  <c r="D2608" i="3"/>
  <c r="L2608" i="3" s="1"/>
  <c r="K2607" i="3"/>
  <c r="J2607" i="3"/>
  <c r="H2607" i="3"/>
  <c r="I2607" i="3" s="1"/>
  <c r="G2607" i="3"/>
  <c r="F2607" i="3"/>
  <c r="E2607" i="3"/>
  <c r="D2607" i="3"/>
  <c r="L2607" i="3" s="1"/>
  <c r="H2606" i="3"/>
  <c r="G2606" i="3"/>
  <c r="F2606" i="3"/>
  <c r="E2606" i="3"/>
  <c r="D2606" i="3"/>
  <c r="L2606" i="3" s="1"/>
  <c r="I2605" i="3"/>
  <c r="H2605" i="3"/>
  <c r="G2605" i="3"/>
  <c r="F2605" i="3"/>
  <c r="E2605" i="3"/>
  <c r="D2605" i="3"/>
  <c r="L2605" i="3" s="1"/>
  <c r="K2604" i="3"/>
  <c r="J2604" i="3"/>
  <c r="I2604" i="3"/>
  <c r="H2604" i="3"/>
  <c r="G2604" i="3"/>
  <c r="F2604" i="3"/>
  <c r="E2604" i="3"/>
  <c r="D2604" i="3"/>
  <c r="L2604" i="3" s="1"/>
  <c r="J2603" i="3"/>
  <c r="H2603" i="3"/>
  <c r="G2603" i="3"/>
  <c r="F2603" i="3"/>
  <c r="E2603" i="3"/>
  <c r="D2603" i="3"/>
  <c r="L2603" i="3" s="1"/>
  <c r="H2602" i="3"/>
  <c r="G2602" i="3"/>
  <c r="F2602" i="3"/>
  <c r="E2602" i="3"/>
  <c r="D2602" i="3"/>
  <c r="L2602" i="3" s="1"/>
  <c r="J2601" i="3"/>
  <c r="H2601" i="3"/>
  <c r="K2601" i="3" s="1"/>
  <c r="G2601" i="3"/>
  <c r="F2601" i="3"/>
  <c r="E2601" i="3"/>
  <c r="D2601" i="3"/>
  <c r="L2601" i="3" s="1"/>
  <c r="J2600" i="3"/>
  <c r="I2600" i="3"/>
  <c r="H2600" i="3"/>
  <c r="K2600" i="3" s="1"/>
  <c r="G2600" i="3"/>
  <c r="F2600" i="3"/>
  <c r="E2600" i="3"/>
  <c r="D2600" i="3"/>
  <c r="L2600" i="3" s="1"/>
  <c r="J2599" i="3"/>
  <c r="I2599" i="3"/>
  <c r="H2599" i="3"/>
  <c r="K2599" i="3" s="1"/>
  <c r="G2599" i="3"/>
  <c r="F2599" i="3"/>
  <c r="E2599" i="3"/>
  <c r="D2599" i="3"/>
  <c r="L2599" i="3" s="1"/>
  <c r="K2598" i="3"/>
  <c r="J2598" i="3"/>
  <c r="H2598" i="3"/>
  <c r="I2598" i="3" s="1"/>
  <c r="G2598" i="3"/>
  <c r="F2598" i="3"/>
  <c r="E2598" i="3"/>
  <c r="D2598" i="3"/>
  <c r="L2598" i="3" s="1"/>
  <c r="H2597" i="3"/>
  <c r="I2597" i="3" s="1"/>
  <c r="G2597" i="3"/>
  <c r="F2597" i="3"/>
  <c r="E2597" i="3"/>
  <c r="D2597" i="3"/>
  <c r="L2597" i="3" s="1"/>
  <c r="I2596" i="3"/>
  <c r="H2596" i="3"/>
  <c r="G2596" i="3"/>
  <c r="F2596" i="3"/>
  <c r="E2596" i="3"/>
  <c r="D2596" i="3"/>
  <c r="L2596" i="3" s="1"/>
  <c r="H2595" i="3"/>
  <c r="G2595" i="3"/>
  <c r="F2595" i="3"/>
  <c r="E2595" i="3"/>
  <c r="D2595" i="3"/>
  <c r="L2595" i="3" s="1"/>
  <c r="K2594" i="3"/>
  <c r="I2594" i="3"/>
  <c r="H2594" i="3"/>
  <c r="J2594" i="3" s="1"/>
  <c r="G2594" i="3"/>
  <c r="F2594" i="3"/>
  <c r="E2594" i="3"/>
  <c r="D2594" i="3"/>
  <c r="L2594" i="3" s="1"/>
  <c r="J2593" i="3"/>
  <c r="I2593" i="3"/>
  <c r="H2593" i="3"/>
  <c r="K2593" i="3" s="1"/>
  <c r="G2593" i="3"/>
  <c r="F2593" i="3"/>
  <c r="E2593" i="3"/>
  <c r="D2593" i="3"/>
  <c r="L2593" i="3" s="1"/>
  <c r="H2592" i="3"/>
  <c r="G2592" i="3"/>
  <c r="F2592" i="3"/>
  <c r="E2592" i="3"/>
  <c r="D2592" i="3"/>
  <c r="L2592" i="3" s="1"/>
  <c r="I2591" i="3"/>
  <c r="H2591" i="3"/>
  <c r="G2591" i="3"/>
  <c r="F2591" i="3"/>
  <c r="E2591" i="3"/>
  <c r="D2591" i="3"/>
  <c r="L2591" i="3" s="1"/>
  <c r="H2590" i="3"/>
  <c r="G2590" i="3"/>
  <c r="F2590" i="3"/>
  <c r="E2590" i="3"/>
  <c r="D2590" i="3"/>
  <c r="L2590" i="3" s="1"/>
  <c r="H2589" i="3"/>
  <c r="I2589" i="3" s="1"/>
  <c r="G2589" i="3"/>
  <c r="F2589" i="3"/>
  <c r="E2589" i="3"/>
  <c r="D2589" i="3"/>
  <c r="L2589" i="3" s="1"/>
  <c r="K2588" i="3"/>
  <c r="H2588" i="3"/>
  <c r="G2588" i="3"/>
  <c r="F2588" i="3"/>
  <c r="E2588" i="3"/>
  <c r="D2588" i="3"/>
  <c r="L2588" i="3" s="1"/>
  <c r="H2587" i="3"/>
  <c r="I2587" i="3" s="1"/>
  <c r="G2587" i="3"/>
  <c r="F2587" i="3"/>
  <c r="E2587" i="3"/>
  <c r="D2587" i="3"/>
  <c r="L2587" i="3" s="1"/>
  <c r="H2586" i="3"/>
  <c r="G2586" i="3"/>
  <c r="F2586" i="3"/>
  <c r="E2586" i="3"/>
  <c r="D2586" i="3"/>
  <c r="L2586" i="3" s="1"/>
  <c r="J2585" i="3"/>
  <c r="H2585" i="3"/>
  <c r="K2585" i="3" s="1"/>
  <c r="G2585" i="3"/>
  <c r="F2585" i="3"/>
  <c r="E2585" i="3"/>
  <c r="D2585" i="3"/>
  <c r="L2585" i="3" s="1"/>
  <c r="I2584" i="3"/>
  <c r="H2584" i="3"/>
  <c r="K2584" i="3" s="1"/>
  <c r="G2584" i="3"/>
  <c r="F2584" i="3"/>
  <c r="E2584" i="3"/>
  <c r="D2584" i="3"/>
  <c r="L2584" i="3" s="1"/>
  <c r="H2583" i="3"/>
  <c r="G2583" i="3"/>
  <c r="F2583" i="3"/>
  <c r="E2583" i="3"/>
  <c r="D2583" i="3"/>
  <c r="L2583" i="3" s="1"/>
  <c r="H2582" i="3"/>
  <c r="G2582" i="3"/>
  <c r="F2582" i="3"/>
  <c r="E2582" i="3"/>
  <c r="D2582" i="3"/>
  <c r="L2582" i="3" s="1"/>
  <c r="K2581" i="3"/>
  <c r="H2581" i="3"/>
  <c r="I2581" i="3" s="1"/>
  <c r="G2581" i="3"/>
  <c r="F2581" i="3"/>
  <c r="E2581" i="3"/>
  <c r="D2581" i="3"/>
  <c r="L2581" i="3" s="1"/>
  <c r="K2580" i="3"/>
  <c r="J2580" i="3"/>
  <c r="I2580" i="3"/>
  <c r="H2580" i="3"/>
  <c r="G2580" i="3"/>
  <c r="F2580" i="3"/>
  <c r="E2580" i="3"/>
  <c r="D2580" i="3"/>
  <c r="L2580" i="3" s="1"/>
  <c r="K2579" i="3"/>
  <c r="J2579" i="3"/>
  <c r="H2579" i="3"/>
  <c r="I2579" i="3" s="1"/>
  <c r="G2579" i="3"/>
  <c r="F2579" i="3"/>
  <c r="E2579" i="3"/>
  <c r="D2579" i="3"/>
  <c r="L2579" i="3" s="1"/>
  <c r="H2578" i="3"/>
  <c r="G2578" i="3"/>
  <c r="F2578" i="3"/>
  <c r="E2578" i="3"/>
  <c r="D2578" i="3"/>
  <c r="L2578" i="3" s="1"/>
  <c r="H2577" i="3"/>
  <c r="G2577" i="3"/>
  <c r="F2577" i="3"/>
  <c r="E2577" i="3"/>
  <c r="D2577" i="3"/>
  <c r="L2577" i="3" s="1"/>
  <c r="J2576" i="3"/>
  <c r="I2576" i="3"/>
  <c r="H2576" i="3"/>
  <c r="K2576" i="3" s="1"/>
  <c r="G2576" i="3"/>
  <c r="F2576" i="3"/>
  <c r="E2576" i="3"/>
  <c r="D2576" i="3"/>
  <c r="L2576" i="3" s="1"/>
  <c r="K2575" i="3"/>
  <c r="J2575" i="3"/>
  <c r="I2575" i="3"/>
  <c r="H2575" i="3"/>
  <c r="G2575" i="3"/>
  <c r="F2575" i="3"/>
  <c r="E2575" i="3"/>
  <c r="D2575" i="3"/>
  <c r="L2575" i="3" s="1"/>
  <c r="H2574" i="3"/>
  <c r="G2574" i="3"/>
  <c r="F2574" i="3"/>
  <c r="E2574" i="3"/>
  <c r="D2574" i="3"/>
  <c r="L2574" i="3" s="1"/>
  <c r="H2573" i="3"/>
  <c r="G2573" i="3"/>
  <c r="F2573" i="3"/>
  <c r="E2573" i="3"/>
  <c r="D2573" i="3"/>
  <c r="L2573" i="3" s="1"/>
  <c r="H2572" i="3"/>
  <c r="K2572" i="3" s="1"/>
  <c r="G2572" i="3"/>
  <c r="F2572" i="3"/>
  <c r="E2572" i="3"/>
  <c r="D2572" i="3"/>
  <c r="L2572" i="3" s="1"/>
  <c r="K2571" i="3"/>
  <c r="H2571" i="3"/>
  <c r="I2571" i="3" s="1"/>
  <c r="G2571" i="3"/>
  <c r="F2571" i="3"/>
  <c r="E2571" i="3"/>
  <c r="D2571" i="3"/>
  <c r="L2571" i="3" s="1"/>
  <c r="I2570" i="3"/>
  <c r="H2570" i="3"/>
  <c r="J2570" i="3" s="1"/>
  <c r="G2570" i="3"/>
  <c r="F2570" i="3"/>
  <c r="E2570" i="3"/>
  <c r="D2570" i="3"/>
  <c r="L2570" i="3" s="1"/>
  <c r="I2569" i="3"/>
  <c r="H2569" i="3"/>
  <c r="K2569" i="3" s="1"/>
  <c r="G2569" i="3"/>
  <c r="F2569" i="3"/>
  <c r="E2569" i="3"/>
  <c r="D2569" i="3"/>
  <c r="L2569" i="3" s="1"/>
  <c r="H2568" i="3"/>
  <c r="K2568" i="3" s="1"/>
  <c r="G2568" i="3"/>
  <c r="F2568" i="3"/>
  <c r="E2568" i="3"/>
  <c r="D2568" i="3"/>
  <c r="L2568" i="3" s="1"/>
  <c r="H2567" i="3"/>
  <c r="K2567" i="3" s="1"/>
  <c r="G2567" i="3"/>
  <c r="F2567" i="3"/>
  <c r="E2567" i="3"/>
  <c r="D2567" i="3"/>
  <c r="L2567" i="3" s="1"/>
  <c r="K2566" i="3"/>
  <c r="H2566" i="3"/>
  <c r="I2566" i="3" s="1"/>
  <c r="G2566" i="3"/>
  <c r="F2566" i="3"/>
  <c r="E2566" i="3"/>
  <c r="D2566" i="3"/>
  <c r="L2566" i="3" s="1"/>
  <c r="L2565" i="3"/>
  <c r="K2565" i="3"/>
  <c r="H2565" i="3"/>
  <c r="I2565" i="3" s="1"/>
  <c r="G2565" i="3"/>
  <c r="F2565" i="3"/>
  <c r="E2565" i="3"/>
  <c r="D2565" i="3"/>
  <c r="K2564" i="3"/>
  <c r="J2564" i="3"/>
  <c r="I2564" i="3"/>
  <c r="H2564" i="3"/>
  <c r="G2564" i="3"/>
  <c r="F2564" i="3"/>
  <c r="E2564" i="3"/>
  <c r="D2564" i="3"/>
  <c r="L2564" i="3" s="1"/>
  <c r="J2563" i="3"/>
  <c r="H2563" i="3"/>
  <c r="I2563" i="3" s="1"/>
  <c r="G2563" i="3"/>
  <c r="F2563" i="3"/>
  <c r="E2563" i="3"/>
  <c r="D2563" i="3"/>
  <c r="L2563" i="3" s="1"/>
  <c r="H2562" i="3"/>
  <c r="J2562" i="3" s="1"/>
  <c r="G2562" i="3"/>
  <c r="F2562" i="3"/>
  <c r="E2562" i="3"/>
  <c r="D2562" i="3"/>
  <c r="L2562" i="3" s="1"/>
  <c r="J2561" i="3"/>
  <c r="I2561" i="3"/>
  <c r="H2561" i="3"/>
  <c r="K2561" i="3" s="1"/>
  <c r="G2561" i="3"/>
  <c r="F2561" i="3"/>
  <c r="E2561" i="3"/>
  <c r="D2561" i="3"/>
  <c r="L2561" i="3" s="1"/>
  <c r="J2560" i="3"/>
  <c r="I2560" i="3"/>
  <c r="H2560" i="3"/>
  <c r="K2560" i="3" s="1"/>
  <c r="G2560" i="3"/>
  <c r="F2560" i="3"/>
  <c r="E2560" i="3"/>
  <c r="D2560" i="3"/>
  <c r="L2560" i="3" s="1"/>
  <c r="J2559" i="3"/>
  <c r="I2559" i="3"/>
  <c r="H2559" i="3"/>
  <c r="K2559" i="3" s="1"/>
  <c r="G2559" i="3"/>
  <c r="F2559" i="3"/>
  <c r="E2559" i="3"/>
  <c r="D2559" i="3"/>
  <c r="L2559" i="3" s="1"/>
  <c r="H2558" i="3"/>
  <c r="G2558" i="3"/>
  <c r="F2558" i="3"/>
  <c r="E2558" i="3"/>
  <c r="D2558" i="3"/>
  <c r="L2558" i="3" s="1"/>
  <c r="I2557" i="3"/>
  <c r="H2557" i="3"/>
  <c r="G2557" i="3"/>
  <c r="F2557" i="3"/>
  <c r="E2557" i="3"/>
  <c r="D2557" i="3"/>
  <c r="L2557" i="3" s="1"/>
  <c r="K2556" i="3"/>
  <c r="I2556" i="3"/>
  <c r="H2556" i="3"/>
  <c r="J2556" i="3" s="1"/>
  <c r="G2556" i="3"/>
  <c r="F2556" i="3"/>
  <c r="E2556" i="3"/>
  <c r="D2556" i="3"/>
  <c r="L2556" i="3" s="1"/>
  <c r="H2555" i="3"/>
  <c r="I2555" i="3" s="1"/>
  <c r="G2555" i="3"/>
  <c r="F2555" i="3"/>
  <c r="E2555" i="3"/>
  <c r="D2555" i="3"/>
  <c r="L2555" i="3" s="1"/>
  <c r="I2554" i="3"/>
  <c r="H2554" i="3"/>
  <c r="J2554" i="3" s="1"/>
  <c r="G2554" i="3"/>
  <c r="F2554" i="3"/>
  <c r="E2554" i="3"/>
  <c r="D2554" i="3"/>
  <c r="L2554" i="3" s="1"/>
  <c r="H2553" i="3"/>
  <c r="K2553" i="3" s="1"/>
  <c r="G2553" i="3"/>
  <c r="F2553" i="3"/>
  <c r="E2553" i="3"/>
  <c r="D2553" i="3"/>
  <c r="L2553" i="3" s="1"/>
  <c r="J2552" i="3"/>
  <c r="I2552" i="3"/>
  <c r="H2552" i="3"/>
  <c r="K2552" i="3" s="1"/>
  <c r="G2552" i="3"/>
  <c r="F2552" i="3"/>
  <c r="E2552" i="3"/>
  <c r="D2552" i="3"/>
  <c r="L2552" i="3" s="1"/>
  <c r="K2551" i="3"/>
  <c r="J2551" i="3"/>
  <c r="I2551" i="3"/>
  <c r="H2551" i="3"/>
  <c r="G2551" i="3"/>
  <c r="F2551" i="3"/>
  <c r="E2551" i="3"/>
  <c r="D2551" i="3"/>
  <c r="L2551" i="3" s="1"/>
  <c r="K2550" i="3"/>
  <c r="J2550" i="3"/>
  <c r="H2550" i="3"/>
  <c r="I2550" i="3" s="1"/>
  <c r="G2550" i="3"/>
  <c r="F2550" i="3"/>
  <c r="E2550" i="3"/>
  <c r="D2550" i="3"/>
  <c r="L2550" i="3" s="1"/>
  <c r="K2549" i="3"/>
  <c r="H2549" i="3"/>
  <c r="I2549" i="3" s="1"/>
  <c r="G2549" i="3"/>
  <c r="F2549" i="3"/>
  <c r="E2549" i="3"/>
  <c r="D2549" i="3"/>
  <c r="L2549" i="3" s="1"/>
  <c r="K2548" i="3"/>
  <c r="I2548" i="3"/>
  <c r="H2548" i="3"/>
  <c r="J2548" i="3" s="1"/>
  <c r="G2548" i="3"/>
  <c r="F2548" i="3"/>
  <c r="E2548" i="3"/>
  <c r="D2548" i="3"/>
  <c r="L2548" i="3" s="1"/>
  <c r="H2547" i="3"/>
  <c r="I2547" i="3" s="1"/>
  <c r="G2547" i="3"/>
  <c r="F2547" i="3"/>
  <c r="E2547" i="3"/>
  <c r="D2547" i="3"/>
  <c r="L2547" i="3" s="1"/>
  <c r="K2546" i="3"/>
  <c r="I2546" i="3"/>
  <c r="H2546" i="3"/>
  <c r="J2546" i="3" s="1"/>
  <c r="G2546" i="3"/>
  <c r="F2546" i="3"/>
  <c r="E2546" i="3"/>
  <c r="D2546" i="3"/>
  <c r="L2546" i="3" s="1"/>
  <c r="J2545" i="3"/>
  <c r="I2545" i="3"/>
  <c r="H2545" i="3"/>
  <c r="K2545" i="3" s="1"/>
  <c r="G2545" i="3"/>
  <c r="F2545" i="3"/>
  <c r="E2545" i="3"/>
  <c r="D2545" i="3"/>
  <c r="L2545" i="3" s="1"/>
  <c r="H2544" i="3"/>
  <c r="K2544" i="3" s="1"/>
  <c r="G2544" i="3"/>
  <c r="F2544" i="3"/>
  <c r="E2544" i="3"/>
  <c r="D2544" i="3"/>
  <c r="L2544" i="3" s="1"/>
  <c r="H2543" i="3"/>
  <c r="K2543" i="3" s="1"/>
  <c r="G2543" i="3"/>
  <c r="F2543" i="3"/>
  <c r="E2543" i="3"/>
  <c r="D2543" i="3"/>
  <c r="L2543" i="3" s="1"/>
  <c r="H2542" i="3"/>
  <c r="G2542" i="3"/>
  <c r="F2542" i="3"/>
  <c r="E2542" i="3"/>
  <c r="D2542" i="3"/>
  <c r="L2542" i="3" s="1"/>
  <c r="H2541" i="3"/>
  <c r="G2541" i="3"/>
  <c r="F2541" i="3"/>
  <c r="E2541" i="3"/>
  <c r="D2541" i="3"/>
  <c r="L2541" i="3" s="1"/>
  <c r="K2540" i="3"/>
  <c r="J2540" i="3"/>
  <c r="I2540" i="3"/>
  <c r="H2540" i="3"/>
  <c r="G2540" i="3"/>
  <c r="F2540" i="3"/>
  <c r="E2540" i="3"/>
  <c r="D2540" i="3"/>
  <c r="L2540" i="3" s="1"/>
  <c r="H2539" i="3"/>
  <c r="I2539" i="3" s="1"/>
  <c r="G2539" i="3"/>
  <c r="F2539" i="3"/>
  <c r="E2539" i="3"/>
  <c r="D2539" i="3"/>
  <c r="L2539" i="3" s="1"/>
  <c r="H2538" i="3"/>
  <c r="J2538" i="3" s="1"/>
  <c r="G2538" i="3"/>
  <c r="F2538" i="3"/>
  <c r="E2538" i="3"/>
  <c r="D2538" i="3"/>
  <c r="L2538" i="3" s="1"/>
  <c r="I2537" i="3"/>
  <c r="H2537" i="3"/>
  <c r="K2537" i="3" s="1"/>
  <c r="G2537" i="3"/>
  <c r="F2537" i="3"/>
  <c r="E2537" i="3"/>
  <c r="D2537" i="3"/>
  <c r="L2537" i="3" s="1"/>
  <c r="H2536" i="3"/>
  <c r="K2536" i="3" s="1"/>
  <c r="G2536" i="3"/>
  <c r="F2536" i="3"/>
  <c r="E2536" i="3"/>
  <c r="D2536" i="3"/>
  <c r="L2536" i="3" s="1"/>
  <c r="K2535" i="3"/>
  <c r="H2535" i="3"/>
  <c r="I2535" i="3" s="1"/>
  <c r="G2535" i="3"/>
  <c r="F2535" i="3"/>
  <c r="E2535" i="3"/>
  <c r="D2535" i="3"/>
  <c r="L2535" i="3" s="1"/>
  <c r="K2534" i="3"/>
  <c r="J2534" i="3"/>
  <c r="H2534" i="3"/>
  <c r="I2534" i="3" s="1"/>
  <c r="G2534" i="3"/>
  <c r="F2534" i="3"/>
  <c r="E2534" i="3"/>
  <c r="D2534" i="3"/>
  <c r="L2534" i="3" s="1"/>
  <c r="H2533" i="3"/>
  <c r="I2533" i="3" s="1"/>
  <c r="G2533" i="3"/>
  <c r="F2533" i="3"/>
  <c r="E2533" i="3"/>
  <c r="D2533" i="3"/>
  <c r="L2533" i="3" s="1"/>
  <c r="H2532" i="3"/>
  <c r="K2532" i="3" s="1"/>
  <c r="G2532" i="3"/>
  <c r="F2532" i="3"/>
  <c r="E2532" i="3"/>
  <c r="D2532" i="3"/>
  <c r="L2532" i="3" s="1"/>
  <c r="H2531" i="3"/>
  <c r="I2531" i="3" s="1"/>
  <c r="G2531" i="3"/>
  <c r="F2531" i="3"/>
  <c r="E2531" i="3"/>
  <c r="D2531" i="3"/>
  <c r="L2531" i="3" s="1"/>
  <c r="K2530" i="3"/>
  <c r="I2530" i="3"/>
  <c r="H2530" i="3"/>
  <c r="J2530" i="3" s="1"/>
  <c r="G2530" i="3"/>
  <c r="F2530" i="3"/>
  <c r="E2530" i="3"/>
  <c r="D2530" i="3"/>
  <c r="L2530" i="3" s="1"/>
  <c r="J2529" i="3"/>
  <c r="I2529" i="3"/>
  <c r="H2529" i="3"/>
  <c r="K2529" i="3" s="1"/>
  <c r="G2529" i="3"/>
  <c r="F2529" i="3"/>
  <c r="E2529" i="3"/>
  <c r="D2529" i="3"/>
  <c r="L2529" i="3" s="1"/>
  <c r="I2528" i="3"/>
  <c r="H2528" i="3"/>
  <c r="K2528" i="3" s="1"/>
  <c r="G2528" i="3"/>
  <c r="F2528" i="3"/>
  <c r="E2528" i="3"/>
  <c r="D2528" i="3"/>
  <c r="L2528" i="3" s="1"/>
  <c r="I2527" i="3"/>
  <c r="H2527" i="3"/>
  <c r="J2527" i="3" s="1"/>
  <c r="G2527" i="3"/>
  <c r="F2527" i="3"/>
  <c r="E2527" i="3"/>
  <c r="D2527" i="3"/>
  <c r="L2527" i="3" s="1"/>
  <c r="H2526" i="3"/>
  <c r="G2526" i="3"/>
  <c r="F2526" i="3"/>
  <c r="E2526" i="3"/>
  <c r="D2526" i="3"/>
  <c r="L2526" i="3" s="1"/>
  <c r="H2525" i="3"/>
  <c r="I2525" i="3" s="1"/>
  <c r="G2525" i="3"/>
  <c r="F2525" i="3"/>
  <c r="E2525" i="3"/>
  <c r="D2525" i="3"/>
  <c r="L2525" i="3" s="1"/>
  <c r="H2524" i="3"/>
  <c r="K2524" i="3" s="1"/>
  <c r="G2524" i="3"/>
  <c r="F2524" i="3"/>
  <c r="E2524" i="3"/>
  <c r="D2524" i="3"/>
  <c r="L2524" i="3" s="1"/>
  <c r="K2523" i="3"/>
  <c r="H2523" i="3"/>
  <c r="I2523" i="3" s="1"/>
  <c r="G2523" i="3"/>
  <c r="F2523" i="3"/>
  <c r="E2523" i="3"/>
  <c r="D2523" i="3"/>
  <c r="L2523" i="3" s="1"/>
  <c r="I2522" i="3"/>
  <c r="H2522" i="3"/>
  <c r="J2522" i="3" s="1"/>
  <c r="G2522" i="3"/>
  <c r="F2522" i="3"/>
  <c r="E2522" i="3"/>
  <c r="D2522" i="3"/>
  <c r="L2522" i="3" s="1"/>
  <c r="H2521" i="3"/>
  <c r="G2521" i="3"/>
  <c r="F2521" i="3"/>
  <c r="E2521" i="3"/>
  <c r="D2521" i="3"/>
  <c r="L2521" i="3" s="1"/>
  <c r="H2520" i="3"/>
  <c r="K2520" i="3" s="1"/>
  <c r="G2520" i="3"/>
  <c r="F2520" i="3"/>
  <c r="E2520" i="3"/>
  <c r="D2520" i="3"/>
  <c r="L2520" i="3" s="1"/>
  <c r="H2519" i="3"/>
  <c r="K2519" i="3" s="1"/>
  <c r="G2519" i="3"/>
  <c r="F2519" i="3"/>
  <c r="E2519" i="3"/>
  <c r="D2519" i="3"/>
  <c r="L2519" i="3" s="1"/>
  <c r="K2518" i="3"/>
  <c r="J2518" i="3"/>
  <c r="H2518" i="3"/>
  <c r="I2518" i="3" s="1"/>
  <c r="G2518" i="3"/>
  <c r="F2518" i="3"/>
  <c r="E2518" i="3"/>
  <c r="D2518" i="3"/>
  <c r="L2518" i="3" s="1"/>
  <c r="H2517" i="3"/>
  <c r="G2517" i="3"/>
  <c r="F2517" i="3"/>
  <c r="E2517" i="3"/>
  <c r="D2517" i="3"/>
  <c r="L2517" i="3" s="1"/>
  <c r="K2516" i="3"/>
  <c r="H2516" i="3"/>
  <c r="I2516" i="3" s="1"/>
  <c r="G2516" i="3"/>
  <c r="F2516" i="3"/>
  <c r="E2516" i="3"/>
  <c r="D2516" i="3"/>
  <c r="L2516" i="3" s="1"/>
  <c r="K2515" i="3"/>
  <c r="J2515" i="3"/>
  <c r="H2515" i="3"/>
  <c r="I2515" i="3" s="1"/>
  <c r="G2515" i="3"/>
  <c r="F2515" i="3"/>
  <c r="E2515" i="3"/>
  <c r="D2515" i="3"/>
  <c r="L2515" i="3" s="1"/>
  <c r="K2514" i="3"/>
  <c r="I2514" i="3"/>
  <c r="H2514" i="3"/>
  <c r="J2514" i="3" s="1"/>
  <c r="G2514" i="3"/>
  <c r="F2514" i="3"/>
  <c r="E2514" i="3"/>
  <c r="D2514" i="3"/>
  <c r="L2514" i="3" s="1"/>
  <c r="H2513" i="3"/>
  <c r="K2513" i="3" s="1"/>
  <c r="G2513" i="3"/>
  <c r="F2513" i="3"/>
  <c r="E2513" i="3"/>
  <c r="D2513" i="3"/>
  <c r="L2513" i="3" s="1"/>
  <c r="H2512" i="3"/>
  <c r="K2512" i="3" s="1"/>
  <c r="G2512" i="3"/>
  <c r="F2512" i="3"/>
  <c r="E2512" i="3"/>
  <c r="D2512" i="3"/>
  <c r="L2512" i="3" s="1"/>
  <c r="H2511" i="3"/>
  <c r="K2511" i="3" s="1"/>
  <c r="G2511" i="3"/>
  <c r="F2511" i="3"/>
  <c r="E2511" i="3"/>
  <c r="D2511" i="3"/>
  <c r="L2511" i="3" s="1"/>
  <c r="K2510" i="3"/>
  <c r="H2510" i="3"/>
  <c r="G2510" i="3"/>
  <c r="F2510" i="3"/>
  <c r="E2510" i="3"/>
  <c r="D2510" i="3"/>
  <c r="L2510" i="3" s="1"/>
  <c r="H2509" i="3"/>
  <c r="G2509" i="3"/>
  <c r="F2509" i="3"/>
  <c r="E2509" i="3"/>
  <c r="D2509" i="3"/>
  <c r="L2509" i="3" s="1"/>
  <c r="K2508" i="3"/>
  <c r="H2508" i="3"/>
  <c r="I2508" i="3" s="1"/>
  <c r="G2508" i="3"/>
  <c r="F2508" i="3"/>
  <c r="E2508" i="3"/>
  <c r="D2508" i="3"/>
  <c r="L2508" i="3" s="1"/>
  <c r="H2507" i="3"/>
  <c r="I2507" i="3" s="1"/>
  <c r="G2507" i="3"/>
  <c r="F2507" i="3"/>
  <c r="E2507" i="3"/>
  <c r="D2507" i="3"/>
  <c r="L2507" i="3" s="1"/>
  <c r="H2506" i="3"/>
  <c r="J2506" i="3" s="1"/>
  <c r="G2506" i="3"/>
  <c r="F2506" i="3"/>
  <c r="E2506" i="3"/>
  <c r="D2506" i="3"/>
  <c r="L2506" i="3" s="1"/>
  <c r="I2505" i="3"/>
  <c r="H2505" i="3"/>
  <c r="K2505" i="3" s="1"/>
  <c r="G2505" i="3"/>
  <c r="F2505" i="3"/>
  <c r="E2505" i="3"/>
  <c r="D2505" i="3"/>
  <c r="L2505" i="3" s="1"/>
  <c r="I2504" i="3"/>
  <c r="H2504" i="3"/>
  <c r="J2504" i="3" s="1"/>
  <c r="G2504" i="3"/>
  <c r="F2504" i="3"/>
  <c r="E2504" i="3"/>
  <c r="D2504" i="3"/>
  <c r="L2504" i="3" s="1"/>
  <c r="J2503" i="3"/>
  <c r="H2503" i="3"/>
  <c r="I2503" i="3" s="1"/>
  <c r="G2503" i="3"/>
  <c r="F2503" i="3"/>
  <c r="E2503" i="3"/>
  <c r="D2503" i="3"/>
  <c r="L2503" i="3" s="1"/>
  <c r="K2502" i="3"/>
  <c r="H2502" i="3"/>
  <c r="G2502" i="3"/>
  <c r="F2502" i="3"/>
  <c r="E2502" i="3"/>
  <c r="D2502" i="3"/>
  <c r="L2502" i="3" s="1"/>
  <c r="J2501" i="3"/>
  <c r="I2501" i="3"/>
  <c r="H2501" i="3"/>
  <c r="K2501" i="3" s="1"/>
  <c r="G2501" i="3"/>
  <c r="F2501" i="3"/>
  <c r="E2501" i="3"/>
  <c r="D2501" i="3"/>
  <c r="L2501" i="3" s="1"/>
  <c r="J2500" i="3"/>
  <c r="I2500" i="3"/>
  <c r="H2500" i="3"/>
  <c r="K2500" i="3" s="1"/>
  <c r="G2500" i="3"/>
  <c r="F2500" i="3"/>
  <c r="E2500" i="3"/>
  <c r="D2500" i="3"/>
  <c r="L2500" i="3" s="1"/>
  <c r="H2499" i="3"/>
  <c r="G2499" i="3"/>
  <c r="F2499" i="3"/>
  <c r="E2499" i="3"/>
  <c r="D2499" i="3"/>
  <c r="L2499" i="3" s="1"/>
  <c r="L2498" i="3"/>
  <c r="I2498" i="3"/>
  <c r="H2498" i="3"/>
  <c r="G2498" i="3"/>
  <c r="F2498" i="3"/>
  <c r="E2498" i="3"/>
  <c r="D2498" i="3"/>
  <c r="H2497" i="3"/>
  <c r="G2497" i="3"/>
  <c r="F2497" i="3"/>
  <c r="E2497" i="3"/>
  <c r="D2497" i="3"/>
  <c r="L2497" i="3" s="1"/>
  <c r="K2496" i="3"/>
  <c r="J2496" i="3"/>
  <c r="I2496" i="3"/>
  <c r="H2496" i="3"/>
  <c r="G2496" i="3"/>
  <c r="F2496" i="3"/>
  <c r="E2496" i="3"/>
  <c r="D2496" i="3"/>
  <c r="L2496" i="3" s="1"/>
  <c r="K2495" i="3"/>
  <c r="J2495" i="3"/>
  <c r="H2495" i="3"/>
  <c r="I2495" i="3" s="1"/>
  <c r="G2495" i="3"/>
  <c r="F2495" i="3"/>
  <c r="E2495" i="3"/>
  <c r="D2495" i="3"/>
  <c r="L2495" i="3" s="1"/>
  <c r="H2494" i="3"/>
  <c r="G2494" i="3"/>
  <c r="F2494" i="3"/>
  <c r="E2494" i="3"/>
  <c r="D2494" i="3"/>
  <c r="L2494" i="3" s="1"/>
  <c r="J2493" i="3"/>
  <c r="I2493" i="3"/>
  <c r="H2493" i="3"/>
  <c r="K2493" i="3" s="1"/>
  <c r="G2493" i="3"/>
  <c r="F2493" i="3"/>
  <c r="E2493" i="3"/>
  <c r="D2493" i="3"/>
  <c r="L2493" i="3" s="1"/>
  <c r="J2492" i="3"/>
  <c r="I2492" i="3"/>
  <c r="H2492" i="3"/>
  <c r="K2492" i="3" s="1"/>
  <c r="G2492" i="3"/>
  <c r="F2492" i="3"/>
  <c r="E2492" i="3"/>
  <c r="D2492" i="3"/>
  <c r="L2492" i="3" s="1"/>
  <c r="H2491" i="3"/>
  <c r="K2491" i="3" s="1"/>
  <c r="G2491" i="3"/>
  <c r="F2491" i="3"/>
  <c r="E2491" i="3"/>
  <c r="D2491" i="3"/>
  <c r="L2491" i="3" s="1"/>
  <c r="I2490" i="3"/>
  <c r="H2490" i="3"/>
  <c r="G2490" i="3"/>
  <c r="F2490" i="3"/>
  <c r="E2490" i="3"/>
  <c r="D2490" i="3"/>
  <c r="L2490" i="3" s="1"/>
  <c r="H2489" i="3"/>
  <c r="K2489" i="3" s="1"/>
  <c r="G2489" i="3"/>
  <c r="F2489" i="3"/>
  <c r="E2489" i="3"/>
  <c r="D2489" i="3"/>
  <c r="L2489" i="3" s="1"/>
  <c r="K2488" i="3"/>
  <c r="J2488" i="3"/>
  <c r="H2488" i="3"/>
  <c r="I2488" i="3" s="1"/>
  <c r="G2488" i="3"/>
  <c r="F2488" i="3"/>
  <c r="E2488" i="3"/>
  <c r="D2488" i="3"/>
  <c r="L2488" i="3" s="1"/>
  <c r="K2487" i="3"/>
  <c r="J2487" i="3"/>
  <c r="H2487" i="3"/>
  <c r="I2487" i="3" s="1"/>
  <c r="G2487" i="3"/>
  <c r="F2487" i="3"/>
  <c r="E2487" i="3"/>
  <c r="D2487" i="3"/>
  <c r="L2487" i="3" s="1"/>
  <c r="H2486" i="3"/>
  <c r="G2486" i="3"/>
  <c r="F2486" i="3"/>
  <c r="E2486" i="3"/>
  <c r="D2486" i="3"/>
  <c r="L2486" i="3" s="1"/>
  <c r="H2485" i="3"/>
  <c r="K2485" i="3" s="1"/>
  <c r="G2485" i="3"/>
  <c r="F2485" i="3"/>
  <c r="E2485" i="3"/>
  <c r="D2485" i="3"/>
  <c r="L2485" i="3" s="1"/>
  <c r="H2484" i="3"/>
  <c r="J2484" i="3" s="1"/>
  <c r="G2484" i="3"/>
  <c r="F2484" i="3"/>
  <c r="E2484" i="3"/>
  <c r="D2484" i="3"/>
  <c r="L2484" i="3" s="1"/>
  <c r="H2483" i="3"/>
  <c r="G2483" i="3"/>
  <c r="F2483" i="3"/>
  <c r="E2483" i="3"/>
  <c r="D2483" i="3"/>
  <c r="L2483" i="3" s="1"/>
  <c r="H2482" i="3"/>
  <c r="G2482" i="3"/>
  <c r="F2482" i="3"/>
  <c r="E2482" i="3"/>
  <c r="D2482" i="3"/>
  <c r="L2482" i="3" s="1"/>
  <c r="H2481" i="3"/>
  <c r="K2481" i="3" s="1"/>
  <c r="G2481" i="3"/>
  <c r="F2481" i="3"/>
  <c r="E2481" i="3"/>
  <c r="D2481" i="3"/>
  <c r="L2481" i="3" s="1"/>
  <c r="K2480" i="3"/>
  <c r="H2480" i="3"/>
  <c r="I2480" i="3" s="1"/>
  <c r="G2480" i="3"/>
  <c r="F2480" i="3"/>
  <c r="E2480" i="3"/>
  <c r="D2480" i="3"/>
  <c r="L2480" i="3" s="1"/>
  <c r="K2479" i="3"/>
  <c r="J2479" i="3"/>
  <c r="H2479" i="3"/>
  <c r="I2479" i="3" s="1"/>
  <c r="G2479" i="3"/>
  <c r="F2479" i="3"/>
  <c r="E2479" i="3"/>
  <c r="D2479" i="3"/>
  <c r="L2479" i="3" s="1"/>
  <c r="K2478" i="3"/>
  <c r="H2478" i="3"/>
  <c r="G2478" i="3"/>
  <c r="F2478" i="3"/>
  <c r="E2478" i="3"/>
  <c r="D2478" i="3"/>
  <c r="L2478" i="3" s="1"/>
  <c r="I2477" i="3"/>
  <c r="H2477" i="3"/>
  <c r="K2477" i="3" s="1"/>
  <c r="G2477" i="3"/>
  <c r="F2477" i="3"/>
  <c r="E2477" i="3"/>
  <c r="D2477" i="3"/>
  <c r="L2477" i="3" s="1"/>
  <c r="I2476" i="3"/>
  <c r="H2476" i="3"/>
  <c r="K2476" i="3" s="1"/>
  <c r="G2476" i="3"/>
  <c r="F2476" i="3"/>
  <c r="E2476" i="3"/>
  <c r="D2476" i="3"/>
  <c r="L2476" i="3" s="1"/>
  <c r="H2475" i="3"/>
  <c r="K2475" i="3" s="1"/>
  <c r="G2475" i="3"/>
  <c r="F2475" i="3"/>
  <c r="E2475" i="3"/>
  <c r="D2475" i="3"/>
  <c r="L2475" i="3" s="1"/>
  <c r="I2474" i="3"/>
  <c r="H2474" i="3"/>
  <c r="G2474" i="3"/>
  <c r="F2474" i="3"/>
  <c r="E2474" i="3"/>
  <c r="D2474" i="3"/>
  <c r="L2474" i="3" s="1"/>
  <c r="H2473" i="3"/>
  <c r="K2473" i="3" s="1"/>
  <c r="G2473" i="3"/>
  <c r="F2473" i="3"/>
  <c r="E2473" i="3"/>
  <c r="D2473" i="3"/>
  <c r="L2473" i="3" s="1"/>
  <c r="K2472" i="3"/>
  <c r="J2472" i="3"/>
  <c r="H2472" i="3"/>
  <c r="I2472" i="3" s="1"/>
  <c r="G2472" i="3"/>
  <c r="F2472" i="3"/>
  <c r="E2472" i="3"/>
  <c r="D2472" i="3"/>
  <c r="L2472" i="3" s="1"/>
  <c r="L2471" i="3"/>
  <c r="K2471" i="3"/>
  <c r="H2471" i="3"/>
  <c r="I2471" i="3" s="1"/>
  <c r="G2471" i="3"/>
  <c r="F2471" i="3"/>
  <c r="E2471" i="3"/>
  <c r="D2471" i="3"/>
  <c r="K2470" i="3"/>
  <c r="H2470" i="3"/>
  <c r="J2470" i="3" s="1"/>
  <c r="G2470" i="3"/>
  <c r="F2470" i="3"/>
  <c r="E2470" i="3"/>
  <c r="D2470" i="3"/>
  <c r="L2470" i="3" s="1"/>
  <c r="I2469" i="3"/>
  <c r="H2469" i="3"/>
  <c r="K2469" i="3" s="1"/>
  <c r="G2469" i="3"/>
  <c r="F2469" i="3"/>
  <c r="E2469" i="3"/>
  <c r="D2469" i="3"/>
  <c r="L2469" i="3" s="1"/>
  <c r="I2468" i="3"/>
  <c r="H2468" i="3"/>
  <c r="K2468" i="3" s="1"/>
  <c r="G2468" i="3"/>
  <c r="F2468" i="3"/>
  <c r="E2468" i="3"/>
  <c r="D2468" i="3"/>
  <c r="L2468" i="3" s="1"/>
  <c r="H2467" i="3"/>
  <c r="K2467" i="3" s="1"/>
  <c r="G2467" i="3"/>
  <c r="F2467" i="3"/>
  <c r="E2467" i="3"/>
  <c r="D2467" i="3"/>
  <c r="L2467" i="3" s="1"/>
  <c r="H2466" i="3"/>
  <c r="I2466" i="3" s="1"/>
  <c r="G2466" i="3"/>
  <c r="F2466" i="3"/>
  <c r="E2466" i="3"/>
  <c r="D2466" i="3"/>
  <c r="L2466" i="3" s="1"/>
  <c r="H2465" i="3"/>
  <c r="G2465" i="3"/>
  <c r="F2465" i="3"/>
  <c r="E2465" i="3"/>
  <c r="D2465" i="3"/>
  <c r="L2465" i="3" s="1"/>
  <c r="K2464" i="3"/>
  <c r="H2464" i="3"/>
  <c r="J2464" i="3" s="1"/>
  <c r="G2464" i="3"/>
  <c r="F2464" i="3"/>
  <c r="E2464" i="3"/>
  <c r="D2464" i="3"/>
  <c r="L2464" i="3" s="1"/>
  <c r="H2463" i="3"/>
  <c r="G2463" i="3"/>
  <c r="F2463" i="3"/>
  <c r="E2463" i="3"/>
  <c r="D2463" i="3"/>
  <c r="L2463" i="3" s="1"/>
  <c r="H2462" i="3"/>
  <c r="G2462" i="3"/>
  <c r="F2462" i="3"/>
  <c r="E2462" i="3"/>
  <c r="D2462" i="3"/>
  <c r="L2462" i="3" s="1"/>
  <c r="I2461" i="3"/>
  <c r="H2461" i="3"/>
  <c r="K2461" i="3" s="1"/>
  <c r="G2461" i="3"/>
  <c r="F2461" i="3"/>
  <c r="E2461" i="3"/>
  <c r="D2461" i="3"/>
  <c r="L2461" i="3" s="1"/>
  <c r="I2460" i="3"/>
  <c r="H2460" i="3"/>
  <c r="K2460" i="3" s="1"/>
  <c r="G2460" i="3"/>
  <c r="F2460" i="3"/>
  <c r="E2460" i="3"/>
  <c r="D2460" i="3"/>
  <c r="L2460" i="3" s="1"/>
  <c r="H2459" i="3"/>
  <c r="G2459" i="3"/>
  <c r="F2459" i="3"/>
  <c r="E2459" i="3"/>
  <c r="D2459" i="3"/>
  <c r="L2459" i="3" s="1"/>
  <c r="I2458" i="3"/>
  <c r="H2458" i="3"/>
  <c r="G2458" i="3"/>
  <c r="F2458" i="3"/>
  <c r="E2458" i="3"/>
  <c r="D2458" i="3"/>
  <c r="L2458" i="3" s="1"/>
  <c r="H2457" i="3"/>
  <c r="K2457" i="3" s="1"/>
  <c r="G2457" i="3"/>
  <c r="F2457" i="3"/>
  <c r="E2457" i="3"/>
  <c r="D2457" i="3"/>
  <c r="L2457" i="3" s="1"/>
  <c r="H2456" i="3"/>
  <c r="K2456" i="3" s="1"/>
  <c r="G2456" i="3"/>
  <c r="F2456" i="3"/>
  <c r="E2456" i="3"/>
  <c r="D2456" i="3"/>
  <c r="L2456" i="3" s="1"/>
  <c r="H2455" i="3"/>
  <c r="I2455" i="3" s="1"/>
  <c r="G2455" i="3"/>
  <c r="F2455" i="3"/>
  <c r="E2455" i="3"/>
  <c r="D2455" i="3"/>
  <c r="L2455" i="3" s="1"/>
  <c r="K2454" i="3"/>
  <c r="H2454" i="3"/>
  <c r="J2454" i="3" s="1"/>
  <c r="G2454" i="3"/>
  <c r="F2454" i="3"/>
  <c r="E2454" i="3"/>
  <c r="D2454" i="3"/>
  <c r="L2454" i="3" s="1"/>
  <c r="I2453" i="3"/>
  <c r="H2453" i="3"/>
  <c r="K2453" i="3" s="1"/>
  <c r="G2453" i="3"/>
  <c r="F2453" i="3"/>
  <c r="E2453" i="3"/>
  <c r="D2453" i="3"/>
  <c r="L2453" i="3" s="1"/>
  <c r="I2452" i="3"/>
  <c r="H2452" i="3"/>
  <c r="K2452" i="3" s="1"/>
  <c r="G2452" i="3"/>
  <c r="F2452" i="3"/>
  <c r="E2452" i="3"/>
  <c r="D2452" i="3"/>
  <c r="L2452" i="3" s="1"/>
  <c r="H2451" i="3"/>
  <c r="K2451" i="3" s="1"/>
  <c r="G2451" i="3"/>
  <c r="F2451" i="3"/>
  <c r="E2451" i="3"/>
  <c r="D2451" i="3"/>
  <c r="L2451" i="3" s="1"/>
  <c r="L2450" i="3"/>
  <c r="H2450" i="3"/>
  <c r="G2450" i="3"/>
  <c r="F2450" i="3"/>
  <c r="E2450" i="3"/>
  <c r="D2450" i="3"/>
  <c r="H2449" i="3"/>
  <c r="K2449" i="3" s="1"/>
  <c r="G2449" i="3"/>
  <c r="F2449" i="3"/>
  <c r="E2449" i="3"/>
  <c r="D2449" i="3"/>
  <c r="L2449" i="3" s="1"/>
  <c r="H2448" i="3"/>
  <c r="K2448" i="3" s="1"/>
  <c r="G2448" i="3"/>
  <c r="F2448" i="3"/>
  <c r="E2448" i="3"/>
  <c r="D2448" i="3"/>
  <c r="L2448" i="3" s="1"/>
  <c r="H2447" i="3"/>
  <c r="I2447" i="3" s="1"/>
  <c r="G2447" i="3"/>
  <c r="F2447" i="3"/>
  <c r="E2447" i="3"/>
  <c r="D2447" i="3"/>
  <c r="L2447" i="3" s="1"/>
  <c r="H2446" i="3"/>
  <c r="J2446" i="3" s="1"/>
  <c r="G2446" i="3"/>
  <c r="F2446" i="3"/>
  <c r="E2446" i="3"/>
  <c r="D2446" i="3"/>
  <c r="L2446" i="3" s="1"/>
  <c r="H2445" i="3"/>
  <c r="K2445" i="3" s="1"/>
  <c r="G2445" i="3"/>
  <c r="F2445" i="3"/>
  <c r="E2445" i="3"/>
  <c r="D2445" i="3"/>
  <c r="L2445" i="3" s="1"/>
  <c r="H2444" i="3"/>
  <c r="K2444" i="3" s="1"/>
  <c r="G2444" i="3"/>
  <c r="F2444" i="3"/>
  <c r="E2444" i="3"/>
  <c r="D2444" i="3"/>
  <c r="L2444" i="3" s="1"/>
  <c r="L2443" i="3"/>
  <c r="H2443" i="3"/>
  <c r="K2443" i="3" s="1"/>
  <c r="G2443" i="3"/>
  <c r="F2443" i="3"/>
  <c r="E2443" i="3"/>
  <c r="D2443" i="3"/>
  <c r="H2442" i="3"/>
  <c r="G2442" i="3"/>
  <c r="F2442" i="3"/>
  <c r="E2442" i="3"/>
  <c r="D2442" i="3"/>
  <c r="L2442" i="3" s="1"/>
  <c r="H2441" i="3"/>
  <c r="K2441" i="3" s="1"/>
  <c r="G2441" i="3"/>
  <c r="F2441" i="3"/>
  <c r="E2441" i="3"/>
  <c r="D2441" i="3"/>
  <c r="L2441" i="3" s="1"/>
  <c r="I2440" i="3"/>
  <c r="H2440" i="3"/>
  <c r="K2440" i="3" s="1"/>
  <c r="G2440" i="3"/>
  <c r="F2440" i="3"/>
  <c r="E2440" i="3"/>
  <c r="D2440" i="3"/>
  <c r="L2440" i="3" s="1"/>
  <c r="H2439" i="3"/>
  <c r="I2439" i="3" s="1"/>
  <c r="G2439" i="3"/>
  <c r="F2439" i="3"/>
  <c r="E2439" i="3"/>
  <c r="D2439" i="3"/>
  <c r="L2439" i="3" s="1"/>
  <c r="H2438" i="3"/>
  <c r="J2438" i="3" s="1"/>
  <c r="G2438" i="3"/>
  <c r="F2438" i="3"/>
  <c r="E2438" i="3"/>
  <c r="D2438" i="3"/>
  <c r="L2438" i="3" s="1"/>
  <c r="H2437" i="3"/>
  <c r="K2437" i="3" s="1"/>
  <c r="G2437" i="3"/>
  <c r="F2437" i="3"/>
  <c r="E2437" i="3"/>
  <c r="D2437" i="3"/>
  <c r="L2437" i="3" s="1"/>
  <c r="H2436" i="3"/>
  <c r="K2436" i="3" s="1"/>
  <c r="G2436" i="3"/>
  <c r="F2436" i="3"/>
  <c r="E2436" i="3"/>
  <c r="D2436" i="3"/>
  <c r="L2436" i="3" s="1"/>
  <c r="H2435" i="3"/>
  <c r="I2435" i="3" s="1"/>
  <c r="G2435" i="3"/>
  <c r="F2435" i="3"/>
  <c r="E2435" i="3"/>
  <c r="D2435" i="3"/>
  <c r="L2435" i="3" s="1"/>
  <c r="H2434" i="3"/>
  <c r="J2434" i="3" s="1"/>
  <c r="G2434" i="3"/>
  <c r="F2434" i="3"/>
  <c r="E2434" i="3"/>
  <c r="D2434" i="3"/>
  <c r="L2434" i="3" s="1"/>
  <c r="H2433" i="3"/>
  <c r="K2433" i="3" s="1"/>
  <c r="G2433" i="3"/>
  <c r="F2433" i="3"/>
  <c r="E2433" i="3"/>
  <c r="D2433" i="3"/>
  <c r="L2433" i="3" s="1"/>
  <c r="H2432" i="3"/>
  <c r="K2432" i="3" s="1"/>
  <c r="G2432" i="3"/>
  <c r="F2432" i="3"/>
  <c r="E2432" i="3"/>
  <c r="D2432" i="3"/>
  <c r="L2432" i="3" s="1"/>
  <c r="H2431" i="3"/>
  <c r="I2431" i="3" s="1"/>
  <c r="G2431" i="3"/>
  <c r="F2431" i="3"/>
  <c r="E2431" i="3"/>
  <c r="D2431" i="3"/>
  <c r="L2431" i="3" s="1"/>
  <c r="H2430" i="3"/>
  <c r="J2430" i="3" s="1"/>
  <c r="G2430" i="3"/>
  <c r="F2430" i="3"/>
  <c r="E2430" i="3"/>
  <c r="D2430" i="3"/>
  <c r="L2430" i="3" s="1"/>
  <c r="H2429" i="3"/>
  <c r="K2429" i="3" s="1"/>
  <c r="G2429" i="3"/>
  <c r="F2429" i="3"/>
  <c r="E2429" i="3"/>
  <c r="D2429" i="3"/>
  <c r="L2429" i="3" s="1"/>
  <c r="J2428" i="3"/>
  <c r="H2428" i="3"/>
  <c r="K2428" i="3" s="1"/>
  <c r="G2428" i="3"/>
  <c r="F2428" i="3"/>
  <c r="E2428" i="3"/>
  <c r="D2428" i="3"/>
  <c r="L2428" i="3" s="1"/>
  <c r="H2427" i="3"/>
  <c r="I2427" i="3" s="1"/>
  <c r="G2427" i="3"/>
  <c r="F2427" i="3"/>
  <c r="E2427" i="3"/>
  <c r="D2427" i="3"/>
  <c r="L2427" i="3" s="1"/>
  <c r="H2426" i="3"/>
  <c r="J2426" i="3" s="1"/>
  <c r="G2426" i="3"/>
  <c r="F2426" i="3"/>
  <c r="E2426" i="3"/>
  <c r="D2426" i="3"/>
  <c r="L2426" i="3" s="1"/>
  <c r="H2425" i="3"/>
  <c r="K2425" i="3" s="1"/>
  <c r="G2425" i="3"/>
  <c r="F2425" i="3"/>
  <c r="E2425" i="3"/>
  <c r="D2425" i="3"/>
  <c r="L2425" i="3" s="1"/>
  <c r="K2424" i="3"/>
  <c r="J2424" i="3"/>
  <c r="I2424" i="3"/>
  <c r="H2424" i="3"/>
  <c r="G2424" i="3"/>
  <c r="F2424" i="3"/>
  <c r="E2424" i="3"/>
  <c r="D2424" i="3"/>
  <c r="L2424" i="3" s="1"/>
  <c r="H2423" i="3"/>
  <c r="I2423" i="3" s="1"/>
  <c r="G2423" i="3"/>
  <c r="F2423" i="3"/>
  <c r="E2423" i="3"/>
  <c r="D2423" i="3"/>
  <c r="L2423" i="3" s="1"/>
  <c r="H2422" i="3"/>
  <c r="J2422" i="3" s="1"/>
  <c r="G2422" i="3"/>
  <c r="F2422" i="3"/>
  <c r="E2422" i="3"/>
  <c r="D2422" i="3"/>
  <c r="L2422" i="3" s="1"/>
  <c r="H2421" i="3"/>
  <c r="K2421" i="3" s="1"/>
  <c r="G2421" i="3"/>
  <c r="F2421" i="3"/>
  <c r="E2421" i="3"/>
  <c r="D2421" i="3"/>
  <c r="L2421" i="3" s="1"/>
  <c r="I2420" i="3"/>
  <c r="H2420" i="3"/>
  <c r="J2420" i="3" s="1"/>
  <c r="G2420" i="3"/>
  <c r="F2420" i="3"/>
  <c r="E2420" i="3"/>
  <c r="D2420" i="3"/>
  <c r="L2420" i="3" s="1"/>
  <c r="H2419" i="3"/>
  <c r="I2419" i="3" s="1"/>
  <c r="G2419" i="3"/>
  <c r="F2419" i="3"/>
  <c r="E2419" i="3"/>
  <c r="D2419" i="3"/>
  <c r="L2419" i="3" s="1"/>
  <c r="H2418" i="3"/>
  <c r="J2418" i="3" s="1"/>
  <c r="G2418" i="3"/>
  <c r="F2418" i="3"/>
  <c r="E2418" i="3"/>
  <c r="D2418" i="3"/>
  <c r="L2418" i="3" s="1"/>
  <c r="H2417" i="3"/>
  <c r="K2417" i="3" s="1"/>
  <c r="G2417" i="3"/>
  <c r="F2417" i="3"/>
  <c r="E2417" i="3"/>
  <c r="D2417" i="3"/>
  <c r="L2417" i="3" s="1"/>
  <c r="H2416" i="3"/>
  <c r="I2416" i="3" s="1"/>
  <c r="G2416" i="3"/>
  <c r="F2416" i="3"/>
  <c r="E2416" i="3"/>
  <c r="D2416" i="3"/>
  <c r="L2416" i="3" s="1"/>
  <c r="H2415" i="3"/>
  <c r="I2415" i="3" s="1"/>
  <c r="G2415" i="3"/>
  <c r="F2415" i="3"/>
  <c r="E2415" i="3"/>
  <c r="D2415" i="3"/>
  <c r="L2415" i="3" s="1"/>
  <c r="H2414" i="3"/>
  <c r="J2414" i="3" s="1"/>
  <c r="G2414" i="3"/>
  <c r="F2414" i="3"/>
  <c r="E2414" i="3"/>
  <c r="D2414" i="3"/>
  <c r="L2414" i="3" s="1"/>
  <c r="H2413" i="3"/>
  <c r="K2413" i="3" s="1"/>
  <c r="G2413" i="3"/>
  <c r="F2413" i="3"/>
  <c r="E2413" i="3"/>
  <c r="D2413" i="3"/>
  <c r="L2413" i="3" s="1"/>
  <c r="K2412" i="3"/>
  <c r="J2412" i="3"/>
  <c r="I2412" i="3"/>
  <c r="H2412" i="3"/>
  <c r="G2412" i="3"/>
  <c r="F2412" i="3"/>
  <c r="E2412" i="3"/>
  <c r="D2412" i="3"/>
  <c r="L2412" i="3" s="1"/>
  <c r="H2411" i="3"/>
  <c r="G2411" i="3"/>
  <c r="F2411" i="3"/>
  <c r="E2411" i="3"/>
  <c r="D2411" i="3"/>
  <c r="L2411" i="3" s="1"/>
  <c r="H2410" i="3"/>
  <c r="I2410" i="3" s="1"/>
  <c r="G2410" i="3"/>
  <c r="F2410" i="3"/>
  <c r="E2410" i="3"/>
  <c r="D2410" i="3"/>
  <c r="L2410" i="3" s="1"/>
  <c r="H2409" i="3"/>
  <c r="K2409" i="3" s="1"/>
  <c r="G2409" i="3"/>
  <c r="F2409" i="3"/>
  <c r="E2409" i="3"/>
  <c r="D2409" i="3"/>
  <c r="L2409" i="3" s="1"/>
  <c r="H2408" i="3"/>
  <c r="K2408" i="3" s="1"/>
  <c r="G2408" i="3"/>
  <c r="F2408" i="3"/>
  <c r="E2408" i="3"/>
  <c r="D2408" i="3"/>
  <c r="L2408" i="3" s="1"/>
  <c r="K2407" i="3"/>
  <c r="H2407" i="3"/>
  <c r="I2407" i="3" s="1"/>
  <c r="G2407" i="3"/>
  <c r="F2407" i="3"/>
  <c r="E2407" i="3"/>
  <c r="D2407" i="3"/>
  <c r="L2407" i="3" s="1"/>
  <c r="L2406" i="3"/>
  <c r="H2406" i="3"/>
  <c r="J2406" i="3" s="1"/>
  <c r="G2406" i="3"/>
  <c r="F2406" i="3"/>
  <c r="E2406" i="3"/>
  <c r="D2406" i="3"/>
  <c r="L2405" i="3"/>
  <c r="J2405" i="3"/>
  <c r="H2405" i="3"/>
  <c r="K2405" i="3" s="1"/>
  <c r="G2405" i="3"/>
  <c r="F2405" i="3"/>
  <c r="E2405" i="3"/>
  <c r="D2405" i="3"/>
  <c r="H2404" i="3"/>
  <c r="I2404" i="3" s="1"/>
  <c r="G2404" i="3"/>
  <c r="F2404" i="3"/>
  <c r="E2404" i="3"/>
  <c r="D2404" i="3"/>
  <c r="L2404" i="3" s="1"/>
  <c r="H2403" i="3"/>
  <c r="J2403" i="3" s="1"/>
  <c r="G2403" i="3"/>
  <c r="F2403" i="3"/>
  <c r="E2403" i="3"/>
  <c r="D2403" i="3"/>
  <c r="L2403" i="3" s="1"/>
  <c r="H2402" i="3"/>
  <c r="K2402" i="3" s="1"/>
  <c r="G2402" i="3"/>
  <c r="F2402" i="3"/>
  <c r="E2402" i="3"/>
  <c r="D2402" i="3"/>
  <c r="L2402" i="3" s="1"/>
  <c r="H2401" i="3"/>
  <c r="K2401" i="3" s="1"/>
  <c r="G2401" i="3"/>
  <c r="F2401" i="3"/>
  <c r="E2401" i="3"/>
  <c r="D2401" i="3"/>
  <c r="L2401" i="3" s="1"/>
  <c r="H2400" i="3"/>
  <c r="K2400" i="3" s="1"/>
  <c r="G2400" i="3"/>
  <c r="F2400" i="3"/>
  <c r="E2400" i="3"/>
  <c r="D2400" i="3"/>
  <c r="L2400" i="3" s="1"/>
  <c r="H2399" i="3"/>
  <c r="I2399" i="3" s="1"/>
  <c r="G2399" i="3"/>
  <c r="F2399" i="3"/>
  <c r="E2399" i="3"/>
  <c r="D2399" i="3"/>
  <c r="L2399" i="3" s="1"/>
  <c r="H2398" i="3"/>
  <c r="J2398" i="3" s="1"/>
  <c r="G2398" i="3"/>
  <c r="F2398" i="3"/>
  <c r="E2398" i="3"/>
  <c r="D2398" i="3"/>
  <c r="L2398" i="3" s="1"/>
  <c r="H2397" i="3"/>
  <c r="K2397" i="3" s="1"/>
  <c r="G2397" i="3"/>
  <c r="F2397" i="3"/>
  <c r="E2397" i="3"/>
  <c r="D2397" i="3"/>
  <c r="L2397" i="3" s="1"/>
  <c r="H2396" i="3"/>
  <c r="K2396" i="3" s="1"/>
  <c r="G2396" i="3"/>
  <c r="F2396" i="3"/>
  <c r="E2396" i="3"/>
  <c r="D2396" i="3"/>
  <c r="L2396" i="3" s="1"/>
  <c r="H2395" i="3"/>
  <c r="G2395" i="3"/>
  <c r="F2395" i="3"/>
  <c r="E2395" i="3"/>
  <c r="D2395" i="3"/>
  <c r="L2395" i="3" s="1"/>
  <c r="H2394" i="3"/>
  <c r="G2394" i="3"/>
  <c r="F2394" i="3"/>
  <c r="E2394" i="3"/>
  <c r="D2394" i="3"/>
  <c r="L2394" i="3" s="1"/>
  <c r="J2393" i="3"/>
  <c r="H2393" i="3"/>
  <c r="K2393" i="3" s="1"/>
  <c r="G2393" i="3"/>
  <c r="F2393" i="3"/>
  <c r="E2393" i="3"/>
  <c r="D2393" i="3"/>
  <c r="L2393" i="3" s="1"/>
  <c r="J2392" i="3"/>
  <c r="H2392" i="3"/>
  <c r="K2392" i="3" s="1"/>
  <c r="G2392" i="3"/>
  <c r="F2392" i="3"/>
  <c r="E2392" i="3"/>
  <c r="D2392" i="3"/>
  <c r="L2392" i="3" s="1"/>
  <c r="L2391" i="3"/>
  <c r="K2391" i="3"/>
  <c r="H2391" i="3"/>
  <c r="G2391" i="3"/>
  <c r="F2391" i="3"/>
  <c r="E2391" i="3"/>
  <c r="D2391" i="3"/>
  <c r="L2390" i="3"/>
  <c r="H2390" i="3"/>
  <c r="K2390" i="3" s="1"/>
  <c r="G2390" i="3"/>
  <c r="F2390" i="3"/>
  <c r="E2390" i="3"/>
  <c r="D2390" i="3"/>
  <c r="H2389" i="3"/>
  <c r="G2389" i="3"/>
  <c r="F2389" i="3"/>
  <c r="E2389" i="3"/>
  <c r="D2389" i="3"/>
  <c r="L2389" i="3" s="1"/>
  <c r="H2388" i="3"/>
  <c r="I2388" i="3" s="1"/>
  <c r="G2388" i="3"/>
  <c r="F2388" i="3"/>
  <c r="E2388" i="3"/>
  <c r="D2388" i="3"/>
  <c r="L2388" i="3" s="1"/>
  <c r="I2387" i="3"/>
  <c r="H2387" i="3"/>
  <c r="J2387" i="3" s="1"/>
  <c r="G2387" i="3"/>
  <c r="F2387" i="3"/>
  <c r="E2387" i="3"/>
  <c r="D2387" i="3"/>
  <c r="L2387" i="3" s="1"/>
  <c r="J2386" i="3"/>
  <c r="H2386" i="3"/>
  <c r="K2386" i="3" s="1"/>
  <c r="G2386" i="3"/>
  <c r="F2386" i="3"/>
  <c r="E2386" i="3"/>
  <c r="D2386" i="3"/>
  <c r="L2386" i="3" s="1"/>
  <c r="J2385" i="3"/>
  <c r="H2385" i="3"/>
  <c r="K2385" i="3" s="1"/>
  <c r="G2385" i="3"/>
  <c r="F2385" i="3"/>
  <c r="E2385" i="3"/>
  <c r="D2385" i="3"/>
  <c r="L2385" i="3" s="1"/>
  <c r="J2384" i="3"/>
  <c r="H2384" i="3"/>
  <c r="K2384" i="3" s="1"/>
  <c r="G2384" i="3"/>
  <c r="F2384" i="3"/>
  <c r="E2384" i="3"/>
  <c r="D2384" i="3"/>
  <c r="L2384" i="3" s="1"/>
  <c r="H2383" i="3"/>
  <c r="I2383" i="3" s="1"/>
  <c r="G2383" i="3"/>
  <c r="F2383" i="3"/>
  <c r="E2383" i="3"/>
  <c r="D2383" i="3"/>
  <c r="L2383" i="3" s="1"/>
  <c r="H2382" i="3"/>
  <c r="J2382" i="3" s="1"/>
  <c r="G2382" i="3"/>
  <c r="F2382" i="3"/>
  <c r="E2382" i="3"/>
  <c r="D2382" i="3"/>
  <c r="L2382" i="3" s="1"/>
  <c r="H2381" i="3"/>
  <c r="K2381" i="3" s="1"/>
  <c r="G2381" i="3"/>
  <c r="F2381" i="3"/>
  <c r="E2381" i="3"/>
  <c r="D2381" i="3"/>
  <c r="L2381" i="3" s="1"/>
  <c r="H2380" i="3"/>
  <c r="K2380" i="3" s="1"/>
  <c r="G2380" i="3"/>
  <c r="F2380" i="3"/>
  <c r="E2380" i="3"/>
  <c r="D2380" i="3"/>
  <c r="L2380" i="3" s="1"/>
  <c r="H2379" i="3"/>
  <c r="G2379" i="3"/>
  <c r="F2379" i="3"/>
  <c r="E2379" i="3"/>
  <c r="D2379" i="3"/>
  <c r="L2379" i="3" s="1"/>
  <c r="I2378" i="3"/>
  <c r="H2378" i="3"/>
  <c r="G2378" i="3"/>
  <c r="F2378" i="3"/>
  <c r="E2378" i="3"/>
  <c r="D2378" i="3"/>
  <c r="L2378" i="3" s="1"/>
  <c r="K2377" i="3"/>
  <c r="J2377" i="3"/>
  <c r="I2377" i="3"/>
  <c r="H2377" i="3"/>
  <c r="G2377" i="3"/>
  <c r="F2377" i="3"/>
  <c r="E2377" i="3"/>
  <c r="D2377" i="3"/>
  <c r="L2377" i="3" s="1"/>
  <c r="K2376" i="3"/>
  <c r="J2376" i="3"/>
  <c r="I2376" i="3"/>
  <c r="H2376" i="3"/>
  <c r="G2376" i="3"/>
  <c r="F2376" i="3"/>
  <c r="E2376" i="3"/>
  <c r="D2376" i="3"/>
  <c r="L2376" i="3" s="1"/>
  <c r="L2375" i="3"/>
  <c r="H2375" i="3"/>
  <c r="K2375" i="3" s="1"/>
  <c r="G2375" i="3"/>
  <c r="F2375" i="3"/>
  <c r="E2375" i="3"/>
  <c r="D2375" i="3"/>
  <c r="K2374" i="3"/>
  <c r="H2374" i="3"/>
  <c r="G2374" i="3"/>
  <c r="F2374" i="3"/>
  <c r="E2374" i="3"/>
  <c r="D2374" i="3"/>
  <c r="L2374" i="3" s="1"/>
  <c r="L2373" i="3"/>
  <c r="H2373" i="3"/>
  <c r="J2373" i="3" s="1"/>
  <c r="G2373" i="3"/>
  <c r="F2373" i="3"/>
  <c r="E2373" i="3"/>
  <c r="D2373" i="3"/>
  <c r="H2372" i="3"/>
  <c r="I2372" i="3" s="1"/>
  <c r="G2372" i="3"/>
  <c r="F2372" i="3"/>
  <c r="E2372" i="3"/>
  <c r="D2372" i="3"/>
  <c r="L2372" i="3" s="1"/>
  <c r="L2371" i="3"/>
  <c r="I2371" i="3"/>
  <c r="H2371" i="3"/>
  <c r="J2371" i="3" s="1"/>
  <c r="G2371" i="3"/>
  <c r="F2371" i="3"/>
  <c r="E2371" i="3"/>
  <c r="D2371" i="3"/>
  <c r="L2370" i="3"/>
  <c r="I2370" i="3"/>
  <c r="H2370" i="3"/>
  <c r="K2370" i="3" s="1"/>
  <c r="G2370" i="3"/>
  <c r="F2370" i="3"/>
  <c r="E2370" i="3"/>
  <c r="D2370" i="3"/>
  <c r="K2369" i="3"/>
  <c r="I2369" i="3"/>
  <c r="H2369" i="3"/>
  <c r="J2369" i="3" s="1"/>
  <c r="G2369" i="3"/>
  <c r="F2369" i="3"/>
  <c r="E2369" i="3"/>
  <c r="D2369" i="3"/>
  <c r="L2369" i="3" s="1"/>
  <c r="K2368" i="3"/>
  <c r="I2368" i="3"/>
  <c r="H2368" i="3"/>
  <c r="J2368" i="3" s="1"/>
  <c r="G2368" i="3"/>
  <c r="F2368" i="3"/>
  <c r="E2368" i="3"/>
  <c r="D2368" i="3"/>
  <c r="L2368" i="3" s="1"/>
  <c r="H2367" i="3"/>
  <c r="I2367" i="3" s="1"/>
  <c r="G2367" i="3"/>
  <c r="F2367" i="3"/>
  <c r="E2367" i="3"/>
  <c r="D2367" i="3"/>
  <c r="L2367" i="3" s="1"/>
  <c r="H2366" i="3"/>
  <c r="J2366" i="3" s="1"/>
  <c r="G2366" i="3"/>
  <c r="F2366" i="3"/>
  <c r="E2366" i="3"/>
  <c r="D2366" i="3"/>
  <c r="L2366" i="3" s="1"/>
  <c r="H2365" i="3"/>
  <c r="K2365" i="3" s="1"/>
  <c r="G2365" i="3"/>
  <c r="F2365" i="3"/>
  <c r="E2365" i="3"/>
  <c r="D2365" i="3"/>
  <c r="L2365" i="3" s="1"/>
  <c r="H2364" i="3"/>
  <c r="G2364" i="3"/>
  <c r="F2364" i="3"/>
  <c r="E2364" i="3"/>
  <c r="D2364" i="3"/>
  <c r="L2364" i="3" s="1"/>
  <c r="I2363" i="3"/>
  <c r="H2363" i="3"/>
  <c r="G2363" i="3"/>
  <c r="F2363" i="3"/>
  <c r="E2363" i="3"/>
  <c r="D2363" i="3"/>
  <c r="L2363" i="3" s="1"/>
  <c r="K2362" i="3"/>
  <c r="J2362" i="3"/>
  <c r="I2362" i="3"/>
  <c r="H2362" i="3"/>
  <c r="G2362" i="3"/>
  <c r="F2362" i="3"/>
  <c r="E2362" i="3"/>
  <c r="D2362" i="3"/>
  <c r="L2362" i="3" s="1"/>
  <c r="H2361" i="3"/>
  <c r="I2361" i="3" s="1"/>
  <c r="G2361" i="3"/>
  <c r="F2361" i="3"/>
  <c r="E2361" i="3"/>
  <c r="D2361" i="3"/>
  <c r="L2361" i="3" s="1"/>
  <c r="I2360" i="3"/>
  <c r="H2360" i="3"/>
  <c r="J2360" i="3" s="1"/>
  <c r="G2360" i="3"/>
  <c r="F2360" i="3"/>
  <c r="E2360" i="3"/>
  <c r="D2360" i="3"/>
  <c r="L2360" i="3" s="1"/>
  <c r="J2359" i="3"/>
  <c r="H2359" i="3"/>
  <c r="K2359" i="3" s="1"/>
  <c r="G2359" i="3"/>
  <c r="F2359" i="3"/>
  <c r="E2359" i="3"/>
  <c r="D2359" i="3"/>
  <c r="L2359" i="3" s="1"/>
  <c r="J2358" i="3"/>
  <c r="H2358" i="3"/>
  <c r="K2358" i="3" s="1"/>
  <c r="G2358" i="3"/>
  <c r="F2358" i="3"/>
  <c r="E2358" i="3"/>
  <c r="D2358" i="3"/>
  <c r="L2358" i="3" s="1"/>
  <c r="H2357" i="3"/>
  <c r="K2357" i="3" s="1"/>
  <c r="G2357" i="3"/>
  <c r="F2357" i="3"/>
  <c r="E2357" i="3"/>
  <c r="D2357" i="3"/>
  <c r="L2357" i="3" s="1"/>
  <c r="H2356" i="3"/>
  <c r="G2356" i="3"/>
  <c r="F2356" i="3"/>
  <c r="E2356" i="3"/>
  <c r="D2356" i="3"/>
  <c r="L2356" i="3" s="1"/>
  <c r="I2355" i="3"/>
  <c r="H2355" i="3"/>
  <c r="G2355" i="3"/>
  <c r="F2355" i="3"/>
  <c r="E2355" i="3"/>
  <c r="D2355" i="3"/>
  <c r="L2355" i="3" s="1"/>
  <c r="K2354" i="3"/>
  <c r="I2354" i="3"/>
  <c r="H2354" i="3"/>
  <c r="J2354" i="3" s="1"/>
  <c r="G2354" i="3"/>
  <c r="F2354" i="3"/>
  <c r="E2354" i="3"/>
  <c r="D2354" i="3"/>
  <c r="L2354" i="3" s="1"/>
  <c r="K2353" i="3"/>
  <c r="H2353" i="3"/>
  <c r="I2353" i="3" s="1"/>
  <c r="G2353" i="3"/>
  <c r="F2353" i="3"/>
  <c r="E2353" i="3"/>
  <c r="D2353" i="3"/>
  <c r="L2353" i="3" s="1"/>
  <c r="K2352" i="3"/>
  <c r="I2352" i="3"/>
  <c r="H2352" i="3"/>
  <c r="J2352" i="3" s="1"/>
  <c r="G2352" i="3"/>
  <c r="F2352" i="3"/>
  <c r="E2352" i="3"/>
  <c r="D2352" i="3"/>
  <c r="L2352" i="3" s="1"/>
  <c r="H2351" i="3"/>
  <c r="I2351" i="3" s="1"/>
  <c r="G2351" i="3"/>
  <c r="F2351" i="3"/>
  <c r="E2351" i="3"/>
  <c r="D2351" i="3"/>
  <c r="L2351" i="3" s="1"/>
  <c r="H2350" i="3"/>
  <c r="J2350" i="3" s="1"/>
  <c r="G2350" i="3"/>
  <c r="F2350" i="3"/>
  <c r="E2350" i="3"/>
  <c r="D2350" i="3"/>
  <c r="L2350" i="3" s="1"/>
  <c r="L2349" i="3"/>
  <c r="H2349" i="3"/>
  <c r="K2349" i="3" s="1"/>
  <c r="G2349" i="3"/>
  <c r="F2349" i="3"/>
  <c r="E2349" i="3"/>
  <c r="D2349" i="3"/>
  <c r="H2348" i="3"/>
  <c r="G2348" i="3"/>
  <c r="F2348" i="3"/>
  <c r="E2348" i="3"/>
  <c r="D2348" i="3"/>
  <c r="L2348" i="3" s="1"/>
  <c r="I2347" i="3"/>
  <c r="H2347" i="3"/>
  <c r="G2347" i="3"/>
  <c r="F2347" i="3"/>
  <c r="E2347" i="3"/>
  <c r="D2347" i="3"/>
  <c r="L2347" i="3" s="1"/>
  <c r="I2346" i="3"/>
  <c r="H2346" i="3"/>
  <c r="K2346" i="3" s="1"/>
  <c r="G2346" i="3"/>
  <c r="F2346" i="3"/>
  <c r="E2346" i="3"/>
  <c r="D2346" i="3"/>
  <c r="L2346" i="3" s="1"/>
  <c r="H2345" i="3"/>
  <c r="I2345" i="3" s="1"/>
  <c r="G2345" i="3"/>
  <c r="F2345" i="3"/>
  <c r="E2345" i="3"/>
  <c r="D2345" i="3"/>
  <c r="L2345" i="3" s="1"/>
  <c r="K2344" i="3"/>
  <c r="I2344" i="3"/>
  <c r="H2344" i="3"/>
  <c r="J2344" i="3" s="1"/>
  <c r="G2344" i="3"/>
  <c r="F2344" i="3"/>
  <c r="E2344" i="3"/>
  <c r="D2344" i="3"/>
  <c r="L2344" i="3" s="1"/>
  <c r="J2343" i="3"/>
  <c r="H2343" i="3"/>
  <c r="I2343" i="3" s="1"/>
  <c r="G2343" i="3"/>
  <c r="F2343" i="3"/>
  <c r="E2343" i="3"/>
  <c r="D2343" i="3"/>
  <c r="L2343" i="3" s="1"/>
  <c r="I2342" i="3"/>
  <c r="H2342" i="3"/>
  <c r="K2342" i="3" s="1"/>
  <c r="G2342" i="3"/>
  <c r="F2342" i="3"/>
  <c r="E2342" i="3"/>
  <c r="D2342" i="3"/>
  <c r="L2342" i="3" s="1"/>
  <c r="H2341" i="3"/>
  <c r="K2341" i="3" s="1"/>
  <c r="G2341" i="3"/>
  <c r="F2341" i="3"/>
  <c r="E2341" i="3"/>
  <c r="D2341" i="3"/>
  <c r="L2341" i="3" s="1"/>
  <c r="H2340" i="3"/>
  <c r="G2340" i="3"/>
  <c r="F2340" i="3"/>
  <c r="E2340" i="3"/>
  <c r="D2340" i="3"/>
  <c r="L2340" i="3" s="1"/>
  <c r="H2339" i="3"/>
  <c r="G2339" i="3"/>
  <c r="F2339" i="3"/>
  <c r="E2339" i="3"/>
  <c r="D2339" i="3"/>
  <c r="L2339" i="3" s="1"/>
  <c r="I2338" i="3"/>
  <c r="H2338" i="3"/>
  <c r="K2338" i="3" s="1"/>
  <c r="G2338" i="3"/>
  <c r="F2338" i="3"/>
  <c r="E2338" i="3"/>
  <c r="D2338" i="3"/>
  <c r="L2338" i="3" s="1"/>
  <c r="H2337" i="3"/>
  <c r="I2337" i="3" s="1"/>
  <c r="G2337" i="3"/>
  <c r="F2337" i="3"/>
  <c r="E2337" i="3"/>
  <c r="D2337" i="3"/>
  <c r="L2337" i="3" s="1"/>
  <c r="K2336" i="3"/>
  <c r="I2336" i="3"/>
  <c r="H2336" i="3"/>
  <c r="J2336" i="3" s="1"/>
  <c r="G2336" i="3"/>
  <c r="F2336" i="3"/>
  <c r="E2336" i="3"/>
  <c r="D2336" i="3"/>
  <c r="L2336" i="3" s="1"/>
  <c r="J2335" i="3"/>
  <c r="H2335" i="3"/>
  <c r="I2335" i="3" s="1"/>
  <c r="G2335" i="3"/>
  <c r="F2335" i="3"/>
  <c r="E2335" i="3"/>
  <c r="D2335" i="3"/>
  <c r="L2335" i="3" s="1"/>
  <c r="I2334" i="3"/>
  <c r="H2334" i="3"/>
  <c r="K2334" i="3" s="1"/>
  <c r="G2334" i="3"/>
  <c r="F2334" i="3"/>
  <c r="E2334" i="3"/>
  <c r="D2334" i="3"/>
  <c r="L2334" i="3" s="1"/>
  <c r="H2333" i="3"/>
  <c r="K2333" i="3" s="1"/>
  <c r="G2333" i="3"/>
  <c r="F2333" i="3"/>
  <c r="E2333" i="3"/>
  <c r="D2333" i="3"/>
  <c r="L2333" i="3" s="1"/>
  <c r="H2332" i="3"/>
  <c r="G2332" i="3"/>
  <c r="F2332" i="3"/>
  <c r="E2332" i="3"/>
  <c r="D2332" i="3"/>
  <c r="L2332" i="3" s="1"/>
  <c r="H2331" i="3"/>
  <c r="G2331" i="3"/>
  <c r="F2331" i="3"/>
  <c r="E2331" i="3"/>
  <c r="D2331" i="3"/>
  <c r="L2331" i="3" s="1"/>
  <c r="H2330" i="3"/>
  <c r="J2330" i="3" s="1"/>
  <c r="G2330" i="3"/>
  <c r="F2330" i="3"/>
  <c r="E2330" i="3"/>
  <c r="D2330" i="3"/>
  <c r="L2330" i="3" s="1"/>
  <c r="K2329" i="3"/>
  <c r="H2329" i="3"/>
  <c r="I2329" i="3" s="1"/>
  <c r="G2329" i="3"/>
  <c r="F2329" i="3"/>
  <c r="E2329" i="3"/>
  <c r="D2329" i="3"/>
  <c r="L2329" i="3" s="1"/>
  <c r="K2328" i="3"/>
  <c r="I2328" i="3"/>
  <c r="H2328" i="3"/>
  <c r="J2328" i="3" s="1"/>
  <c r="G2328" i="3"/>
  <c r="F2328" i="3"/>
  <c r="E2328" i="3"/>
  <c r="D2328" i="3"/>
  <c r="L2328" i="3" s="1"/>
  <c r="H2327" i="3"/>
  <c r="I2327" i="3" s="1"/>
  <c r="G2327" i="3"/>
  <c r="F2327" i="3"/>
  <c r="E2327" i="3"/>
  <c r="D2327" i="3"/>
  <c r="L2327" i="3" s="1"/>
  <c r="H2326" i="3"/>
  <c r="K2326" i="3" s="1"/>
  <c r="G2326" i="3"/>
  <c r="F2326" i="3"/>
  <c r="E2326" i="3"/>
  <c r="D2326" i="3"/>
  <c r="L2326" i="3" s="1"/>
  <c r="H2325" i="3"/>
  <c r="K2325" i="3" s="1"/>
  <c r="G2325" i="3"/>
  <c r="F2325" i="3"/>
  <c r="E2325" i="3"/>
  <c r="D2325" i="3"/>
  <c r="L2325" i="3" s="1"/>
  <c r="H2324" i="3"/>
  <c r="G2324" i="3"/>
  <c r="F2324" i="3"/>
  <c r="E2324" i="3"/>
  <c r="D2324" i="3"/>
  <c r="L2324" i="3" s="1"/>
  <c r="H2323" i="3"/>
  <c r="K2323" i="3" s="1"/>
  <c r="G2323" i="3"/>
  <c r="F2323" i="3"/>
  <c r="E2323" i="3"/>
  <c r="D2323" i="3"/>
  <c r="L2323" i="3" s="1"/>
  <c r="K2322" i="3"/>
  <c r="J2322" i="3"/>
  <c r="I2322" i="3"/>
  <c r="H2322" i="3"/>
  <c r="G2322" i="3"/>
  <c r="F2322" i="3"/>
  <c r="E2322" i="3"/>
  <c r="D2322" i="3"/>
  <c r="L2322" i="3" s="1"/>
  <c r="L2321" i="3"/>
  <c r="H2321" i="3"/>
  <c r="I2321" i="3" s="1"/>
  <c r="G2321" i="3"/>
  <c r="F2321" i="3"/>
  <c r="E2321" i="3"/>
  <c r="D2321" i="3"/>
  <c r="I2320" i="3"/>
  <c r="H2320" i="3"/>
  <c r="J2320" i="3" s="1"/>
  <c r="G2320" i="3"/>
  <c r="F2320" i="3"/>
  <c r="E2320" i="3"/>
  <c r="D2320" i="3"/>
  <c r="L2320" i="3" s="1"/>
  <c r="H2319" i="3"/>
  <c r="I2319" i="3" s="1"/>
  <c r="G2319" i="3"/>
  <c r="F2319" i="3"/>
  <c r="E2319" i="3"/>
  <c r="D2319" i="3"/>
  <c r="L2319" i="3" s="1"/>
  <c r="H2318" i="3"/>
  <c r="J2318" i="3" s="1"/>
  <c r="G2318" i="3"/>
  <c r="F2318" i="3"/>
  <c r="E2318" i="3"/>
  <c r="D2318" i="3"/>
  <c r="L2318" i="3" s="1"/>
  <c r="H2317" i="3"/>
  <c r="G2317" i="3"/>
  <c r="F2317" i="3"/>
  <c r="E2317" i="3"/>
  <c r="D2317" i="3"/>
  <c r="L2317" i="3" s="1"/>
  <c r="I2316" i="3"/>
  <c r="H2316" i="3"/>
  <c r="G2316" i="3"/>
  <c r="F2316" i="3"/>
  <c r="E2316" i="3"/>
  <c r="D2316" i="3"/>
  <c r="L2316" i="3" s="1"/>
  <c r="J2315" i="3"/>
  <c r="I2315" i="3"/>
  <c r="H2315" i="3"/>
  <c r="K2315" i="3" s="1"/>
  <c r="G2315" i="3"/>
  <c r="F2315" i="3"/>
  <c r="E2315" i="3"/>
  <c r="D2315" i="3"/>
  <c r="L2315" i="3" s="1"/>
  <c r="K2314" i="3"/>
  <c r="J2314" i="3"/>
  <c r="I2314" i="3"/>
  <c r="H2314" i="3"/>
  <c r="G2314" i="3"/>
  <c r="F2314" i="3"/>
  <c r="E2314" i="3"/>
  <c r="D2314" i="3"/>
  <c r="L2314" i="3" s="1"/>
  <c r="J2313" i="3"/>
  <c r="H2313" i="3"/>
  <c r="I2313" i="3" s="1"/>
  <c r="G2313" i="3"/>
  <c r="F2313" i="3"/>
  <c r="E2313" i="3"/>
  <c r="D2313" i="3"/>
  <c r="L2313" i="3" s="1"/>
  <c r="H2312" i="3"/>
  <c r="J2312" i="3" s="1"/>
  <c r="G2312" i="3"/>
  <c r="F2312" i="3"/>
  <c r="E2312" i="3"/>
  <c r="D2312" i="3"/>
  <c r="L2312" i="3" s="1"/>
  <c r="H2311" i="3"/>
  <c r="I2311" i="3" s="1"/>
  <c r="G2311" i="3"/>
  <c r="F2311" i="3"/>
  <c r="E2311" i="3"/>
  <c r="D2311" i="3"/>
  <c r="L2311" i="3" s="1"/>
  <c r="J2310" i="3"/>
  <c r="H2310" i="3"/>
  <c r="K2310" i="3" s="1"/>
  <c r="G2310" i="3"/>
  <c r="F2310" i="3"/>
  <c r="E2310" i="3"/>
  <c r="D2310" i="3"/>
  <c r="L2310" i="3" s="1"/>
  <c r="H2309" i="3"/>
  <c r="G2309" i="3"/>
  <c r="F2309" i="3"/>
  <c r="E2309" i="3"/>
  <c r="D2309" i="3"/>
  <c r="L2309" i="3" s="1"/>
  <c r="H2308" i="3"/>
  <c r="G2308" i="3"/>
  <c r="F2308" i="3"/>
  <c r="E2308" i="3"/>
  <c r="D2308" i="3"/>
  <c r="L2308" i="3" s="1"/>
  <c r="H2307" i="3"/>
  <c r="K2307" i="3" s="1"/>
  <c r="G2307" i="3"/>
  <c r="F2307" i="3"/>
  <c r="E2307" i="3"/>
  <c r="D2307" i="3"/>
  <c r="L2307" i="3" s="1"/>
  <c r="H2306" i="3"/>
  <c r="J2306" i="3" s="1"/>
  <c r="G2306" i="3"/>
  <c r="F2306" i="3"/>
  <c r="E2306" i="3"/>
  <c r="D2306" i="3"/>
  <c r="L2306" i="3" s="1"/>
  <c r="H2305" i="3"/>
  <c r="I2305" i="3" s="1"/>
  <c r="G2305" i="3"/>
  <c r="F2305" i="3"/>
  <c r="E2305" i="3"/>
  <c r="D2305" i="3"/>
  <c r="L2305" i="3" s="1"/>
  <c r="H2304" i="3"/>
  <c r="J2304" i="3" s="1"/>
  <c r="G2304" i="3"/>
  <c r="F2304" i="3"/>
  <c r="E2304" i="3"/>
  <c r="D2304" i="3"/>
  <c r="L2304" i="3" s="1"/>
  <c r="J2303" i="3"/>
  <c r="H2303" i="3"/>
  <c r="I2303" i="3" s="1"/>
  <c r="G2303" i="3"/>
  <c r="F2303" i="3"/>
  <c r="E2303" i="3"/>
  <c r="D2303" i="3"/>
  <c r="L2303" i="3" s="1"/>
  <c r="K2302" i="3"/>
  <c r="J2302" i="3"/>
  <c r="I2302" i="3"/>
  <c r="H2302" i="3"/>
  <c r="G2302" i="3"/>
  <c r="F2302" i="3"/>
  <c r="E2302" i="3"/>
  <c r="D2302" i="3"/>
  <c r="L2302" i="3" s="1"/>
  <c r="H2301" i="3"/>
  <c r="G2301" i="3"/>
  <c r="F2301" i="3"/>
  <c r="E2301" i="3"/>
  <c r="D2301" i="3"/>
  <c r="L2301" i="3" s="1"/>
  <c r="H2300" i="3"/>
  <c r="I2300" i="3" s="1"/>
  <c r="G2300" i="3"/>
  <c r="F2300" i="3"/>
  <c r="E2300" i="3"/>
  <c r="D2300" i="3"/>
  <c r="L2300" i="3" s="1"/>
  <c r="H2299" i="3"/>
  <c r="K2299" i="3" s="1"/>
  <c r="G2299" i="3"/>
  <c r="F2299" i="3"/>
  <c r="E2299" i="3"/>
  <c r="D2299" i="3"/>
  <c r="L2299" i="3" s="1"/>
  <c r="H2298" i="3"/>
  <c r="J2298" i="3" s="1"/>
  <c r="G2298" i="3"/>
  <c r="F2298" i="3"/>
  <c r="E2298" i="3"/>
  <c r="D2298" i="3"/>
  <c r="L2298" i="3" s="1"/>
  <c r="J2297" i="3"/>
  <c r="H2297" i="3"/>
  <c r="I2297" i="3" s="1"/>
  <c r="G2297" i="3"/>
  <c r="F2297" i="3"/>
  <c r="E2297" i="3"/>
  <c r="D2297" i="3"/>
  <c r="L2297" i="3" s="1"/>
  <c r="K2296" i="3"/>
  <c r="I2296" i="3"/>
  <c r="H2296" i="3"/>
  <c r="J2296" i="3" s="1"/>
  <c r="G2296" i="3"/>
  <c r="F2296" i="3"/>
  <c r="E2296" i="3"/>
  <c r="D2296" i="3"/>
  <c r="L2296" i="3" s="1"/>
  <c r="J2295" i="3"/>
  <c r="H2295" i="3"/>
  <c r="I2295" i="3" s="1"/>
  <c r="G2295" i="3"/>
  <c r="F2295" i="3"/>
  <c r="E2295" i="3"/>
  <c r="D2295" i="3"/>
  <c r="L2295" i="3" s="1"/>
  <c r="K2294" i="3"/>
  <c r="J2294" i="3"/>
  <c r="I2294" i="3"/>
  <c r="H2294" i="3"/>
  <c r="G2294" i="3"/>
  <c r="F2294" i="3"/>
  <c r="E2294" i="3"/>
  <c r="D2294" i="3"/>
  <c r="L2294" i="3" s="1"/>
  <c r="L2293" i="3"/>
  <c r="H2293" i="3"/>
  <c r="G2293" i="3"/>
  <c r="F2293" i="3"/>
  <c r="E2293" i="3"/>
  <c r="D2293" i="3"/>
  <c r="H2292" i="3"/>
  <c r="G2292" i="3"/>
  <c r="F2292" i="3"/>
  <c r="E2292" i="3"/>
  <c r="D2292" i="3"/>
  <c r="L2292" i="3" s="1"/>
  <c r="H2291" i="3"/>
  <c r="K2291" i="3" s="1"/>
  <c r="G2291" i="3"/>
  <c r="F2291" i="3"/>
  <c r="E2291" i="3"/>
  <c r="D2291" i="3"/>
  <c r="L2291" i="3" s="1"/>
  <c r="K2290" i="3"/>
  <c r="J2290" i="3"/>
  <c r="I2290" i="3"/>
  <c r="H2290" i="3"/>
  <c r="G2290" i="3"/>
  <c r="F2290" i="3"/>
  <c r="E2290" i="3"/>
  <c r="D2290" i="3"/>
  <c r="L2290" i="3" s="1"/>
  <c r="L2289" i="3"/>
  <c r="H2289" i="3"/>
  <c r="I2289" i="3" s="1"/>
  <c r="G2289" i="3"/>
  <c r="F2289" i="3"/>
  <c r="E2289" i="3"/>
  <c r="D2289" i="3"/>
  <c r="I2288" i="3"/>
  <c r="H2288" i="3"/>
  <c r="J2288" i="3" s="1"/>
  <c r="G2288" i="3"/>
  <c r="F2288" i="3"/>
  <c r="E2288" i="3"/>
  <c r="D2288" i="3"/>
  <c r="L2288" i="3" s="1"/>
  <c r="H2287" i="3"/>
  <c r="I2287" i="3" s="1"/>
  <c r="G2287" i="3"/>
  <c r="F2287" i="3"/>
  <c r="E2287" i="3"/>
  <c r="D2287" i="3"/>
  <c r="L2287" i="3" s="1"/>
  <c r="H2286" i="3"/>
  <c r="J2286" i="3" s="1"/>
  <c r="G2286" i="3"/>
  <c r="F2286" i="3"/>
  <c r="E2286" i="3"/>
  <c r="D2286" i="3"/>
  <c r="L2286" i="3" s="1"/>
  <c r="H2285" i="3"/>
  <c r="G2285" i="3"/>
  <c r="F2285" i="3"/>
  <c r="E2285" i="3"/>
  <c r="D2285" i="3"/>
  <c r="L2285" i="3" s="1"/>
  <c r="I2284" i="3"/>
  <c r="H2284" i="3"/>
  <c r="G2284" i="3"/>
  <c r="F2284" i="3"/>
  <c r="E2284" i="3"/>
  <c r="D2284" i="3"/>
  <c r="L2284" i="3" s="1"/>
  <c r="H2283" i="3"/>
  <c r="K2283" i="3" s="1"/>
  <c r="G2283" i="3"/>
  <c r="F2283" i="3"/>
  <c r="E2283" i="3"/>
  <c r="D2283" i="3"/>
  <c r="L2283" i="3" s="1"/>
  <c r="H2282" i="3"/>
  <c r="K2282" i="3" s="1"/>
  <c r="G2282" i="3"/>
  <c r="F2282" i="3"/>
  <c r="E2282" i="3"/>
  <c r="D2282" i="3"/>
  <c r="L2282" i="3" s="1"/>
  <c r="J2281" i="3"/>
  <c r="H2281" i="3"/>
  <c r="I2281" i="3" s="1"/>
  <c r="G2281" i="3"/>
  <c r="F2281" i="3"/>
  <c r="E2281" i="3"/>
  <c r="D2281" i="3"/>
  <c r="L2281" i="3" s="1"/>
  <c r="H2280" i="3"/>
  <c r="J2280" i="3" s="1"/>
  <c r="G2280" i="3"/>
  <c r="F2280" i="3"/>
  <c r="E2280" i="3"/>
  <c r="D2280" i="3"/>
  <c r="L2280" i="3" s="1"/>
  <c r="H2279" i="3"/>
  <c r="I2279" i="3" s="1"/>
  <c r="G2279" i="3"/>
  <c r="F2279" i="3"/>
  <c r="E2279" i="3"/>
  <c r="D2279" i="3"/>
  <c r="L2279" i="3" s="1"/>
  <c r="K2278" i="3"/>
  <c r="J2278" i="3"/>
  <c r="H2278" i="3"/>
  <c r="I2278" i="3" s="1"/>
  <c r="G2278" i="3"/>
  <c r="F2278" i="3"/>
  <c r="E2278" i="3"/>
  <c r="D2278" i="3"/>
  <c r="L2278" i="3" s="1"/>
  <c r="H2277" i="3"/>
  <c r="G2277" i="3"/>
  <c r="F2277" i="3"/>
  <c r="E2277" i="3"/>
  <c r="D2277" i="3"/>
  <c r="L2277" i="3" s="1"/>
  <c r="H2276" i="3"/>
  <c r="G2276" i="3"/>
  <c r="F2276" i="3"/>
  <c r="E2276" i="3"/>
  <c r="D2276" i="3"/>
  <c r="L2276" i="3" s="1"/>
  <c r="H2275" i="3"/>
  <c r="K2275" i="3" s="1"/>
  <c r="G2275" i="3"/>
  <c r="F2275" i="3"/>
  <c r="E2275" i="3"/>
  <c r="D2275" i="3"/>
  <c r="L2275" i="3" s="1"/>
  <c r="K2274" i="3"/>
  <c r="H2274" i="3"/>
  <c r="I2274" i="3" s="1"/>
  <c r="G2274" i="3"/>
  <c r="F2274" i="3"/>
  <c r="E2274" i="3"/>
  <c r="D2274" i="3"/>
  <c r="L2274" i="3" s="1"/>
  <c r="L2273" i="3"/>
  <c r="K2273" i="3"/>
  <c r="H2273" i="3"/>
  <c r="I2273" i="3" s="1"/>
  <c r="G2273" i="3"/>
  <c r="F2273" i="3"/>
  <c r="E2273" i="3"/>
  <c r="D2273" i="3"/>
  <c r="K2272" i="3"/>
  <c r="I2272" i="3"/>
  <c r="H2272" i="3"/>
  <c r="J2272" i="3" s="1"/>
  <c r="G2272" i="3"/>
  <c r="F2272" i="3"/>
  <c r="E2272" i="3"/>
  <c r="D2272" i="3"/>
  <c r="L2272" i="3" s="1"/>
  <c r="J2271" i="3"/>
  <c r="H2271" i="3"/>
  <c r="I2271" i="3" s="1"/>
  <c r="G2271" i="3"/>
  <c r="F2271" i="3"/>
  <c r="E2271" i="3"/>
  <c r="D2271" i="3"/>
  <c r="L2271" i="3" s="1"/>
  <c r="K2270" i="3"/>
  <c r="J2270" i="3"/>
  <c r="I2270" i="3"/>
  <c r="H2270" i="3"/>
  <c r="G2270" i="3"/>
  <c r="F2270" i="3"/>
  <c r="E2270" i="3"/>
  <c r="D2270" i="3"/>
  <c r="L2270" i="3" s="1"/>
  <c r="H2269" i="3"/>
  <c r="G2269" i="3"/>
  <c r="F2269" i="3"/>
  <c r="E2269" i="3"/>
  <c r="D2269" i="3"/>
  <c r="L2269" i="3" s="1"/>
  <c r="H2268" i="3"/>
  <c r="I2268" i="3" s="1"/>
  <c r="G2268" i="3"/>
  <c r="F2268" i="3"/>
  <c r="E2268" i="3"/>
  <c r="D2268" i="3"/>
  <c r="L2268" i="3" s="1"/>
  <c r="I2267" i="3"/>
  <c r="H2267" i="3"/>
  <c r="K2267" i="3" s="1"/>
  <c r="G2267" i="3"/>
  <c r="F2267" i="3"/>
  <c r="E2267" i="3"/>
  <c r="D2267" i="3"/>
  <c r="L2267" i="3" s="1"/>
  <c r="K2266" i="3"/>
  <c r="J2266" i="3"/>
  <c r="H2266" i="3"/>
  <c r="I2266" i="3" s="1"/>
  <c r="G2266" i="3"/>
  <c r="F2266" i="3"/>
  <c r="E2266" i="3"/>
  <c r="D2266" i="3"/>
  <c r="L2266" i="3" s="1"/>
  <c r="H2265" i="3"/>
  <c r="I2265" i="3" s="1"/>
  <c r="G2265" i="3"/>
  <c r="F2265" i="3"/>
  <c r="E2265" i="3"/>
  <c r="D2265" i="3"/>
  <c r="L2265" i="3" s="1"/>
  <c r="I2264" i="3"/>
  <c r="H2264" i="3"/>
  <c r="J2264" i="3" s="1"/>
  <c r="G2264" i="3"/>
  <c r="F2264" i="3"/>
  <c r="E2264" i="3"/>
  <c r="D2264" i="3"/>
  <c r="L2264" i="3" s="1"/>
  <c r="H2263" i="3"/>
  <c r="I2263" i="3" s="1"/>
  <c r="G2263" i="3"/>
  <c r="F2263" i="3"/>
  <c r="E2263" i="3"/>
  <c r="D2263" i="3"/>
  <c r="L2263" i="3" s="1"/>
  <c r="J2262" i="3"/>
  <c r="H2262" i="3"/>
  <c r="K2262" i="3" s="1"/>
  <c r="G2262" i="3"/>
  <c r="F2262" i="3"/>
  <c r="E2262" i="3"/>
  <c r="D2262" i="3"/>
  <c r="L2262" i="3" s="1"/>
  <c r="H2261" i="3"/>
  <c r="G2261" i="3"/>
  <c r="F2261" i="3"/>
  <c r="E2261" i="3"/>
  <c r="D2261" i="3"/>
  <c r="L2261" i="3" s="1"/>
  <c r="H2260" i="3"/>
  <c r="G2260" i="3"/>
  <c r="F2260" i="3"/>
  <c r="E2260" i="3"/>
  <c r="D2260" i="3"/>
  <c r="L2260" i="3" s="1"/>
  <c r="H2259" i="3"/>
  <c r="K2259" i="3" s="1"/>
  <c r="G2259" i="3"/>
  <c r="F2259" i="3"/>
  <c r="E2259" i="3"/>
  <c r="D2259" i="3"/>
  <c r="L2259" i="3" s="1"/>
  <c r="H2258" i="3"/>
  <c r="K2258" i="3" s="1"/>
  <c r="G2258" i="3"/>
  <c r="F2258" i="3"/>
  <c r="E2258" i="3"/>
  <c r="D2258" i="3"/>
  <c r="L2258" i="3" s="1"/>
  <c r="L2257" i="3"/>
  <c r="H2257" i="3"/>
  <c r="I2257" i="3" s="1"/>
  <c r="G2257" i="3"/>
  <c r="F2257" i="3"/>
  <c r="E2257" i="3"/>
  <c r="D2257" i="3"/>
  <c r="K2256" i="3"/>
  <c r="H2256" i="3"/>
  <c r="J2256" i="3" s="1"/>
  <c r="G2256" i="3"/>
  <c r="F2256" i="3"/>
  <c r="E2256" i="3"/>
  <c r="D2256" i="3"/>
  <c r="L2256" i="3" s="1"/>
  <c r="J2255" i="3"/>
  <c r="H2255" i="3"/>
  <c r="I2255" i="3" s="1"/>
  <c r="G2255" i="3"/>
  <c r="F2255" i="3"/>
  <c r="E2255" i="3"/>
  <c r="D2255" i="3"/>
  <c r="L2255" i="3" s="1"/>
  <c r="I2254" i="3"/>
  <c r="H2254" i="3"/>
  <c r="J2254" i="3" s="1"/>
  <c r="G2254" i="3"/>
  <c r="F2254" i="3"/>
  <c r="E2254" i="3"/>
  <c r="D2254" i="3"/>
  <c r="L2254" i="3" s="1"/>
  <c r="H2253" i="3"/>
  <c r="G2253" i="3"/>
  <c r="F2253" i="3"/>
  <c r="E2253" i="3"/>
  <c r="D2253" i="3"/>
  <c r="L2253" i="3" s="1"/>
  <c r="I2252" i="3"/>
  <c r="H2252" i="3"/>
  <c r="G2252" i="3"/>
  <c r="F2252" i="3"/>
  <c r="E2252" i="3"/>
  <c r="D2252" i="3"/>
  <c r="L2252" i="3" s="1"/>
  <c r="H2251" i="3"/>
  <c r="K2251" i="3" s="1"/>
  <c r="G2251" i="3"/>
  <c r="F2251" i="3"/>
  <c r="E2251" i="3"/>
  <c r="D2251" i="3"/>
  <c r="L2251" i="3" s="1"/>
  <c r="H2250" i="3"/>
  <c r="K2250" i="3" s="1"/>
  <c r="G2250" i="3"/>
  <c r="F2250" i="3"/>
  <c r="E2250" i="3"/>
  <c r="D2250" i="3"/>
  <c r="L2250" i="3" s="1"/>
  <c r="K2249" i="3"/>
  <c r="H2249" i="3"/>
  <c r="I2249" i="3" s="1"/>
  <c r="G2249" i="3"/>
  <c r="F2249" i="3"/>
  <c r="E2249" i="3"/>
  <c r="D2249" i="3"/>
  <c r="L2249" i="3" s="1"/>
  <c r="I2248" i="3"/>
  <c r="H2248" i="3"/>
  <c r="J2248" i="3" s="1"/>
  <c r="G2248" i="3"/>
  <c r="F2248" i="3"/>
  <c r="E2248" i="3"/>
  <c r="D2248" i="3"/>
  <c r="L2248" i="3" s="1"/>
  <c r="J2247" i="3"/>
  <c r="H2247" i="3"/>
  <c r="I2247" i="3" s="1"/>
  <c r="G2247" i="3"/>
  <c r="F2247" i="3"/>
  <c r="E2247" i="3"/>
  <c r="D2247" i="3"/>
  <c r="L2247" i="3" s="1"/>
  <c r="K2246" i="3"/>
  <c r="J2246" i="3"/>
  <c r="I2246" i="3"/>
  <c r="H2246" i="3"/>
  <c r="G2246" i="3"/>
  <c r="F2246" i="3"/>
  <c r="E2246" i="3"/>
  <c r="D2246" i="3"/>
  <c r="L2246" i="3" s="1"/>
  <c r="H2245" i="3"/>
  <c r="G2245" i="3"/>
  <c r="F2245" i="3"/>
  <c r="E2245" i="3"/>
  <c r="D2245" i="3"/>
  <c r="L2245" i="3" s="1"/>
  <c r="H2244" i="3"/>
  <c r="G2244" i="3"/>
  <c r="F2244" i="3"/>
  <c r="E2244" i="3"/>
  <c r="D2244" i="3"/>
  <c r="L2244" i="3" s="1"/>
  <c r="H2243" i="3"/>
  <c r="K2243" i="3" s="1"/>
  <c r="G2243" i="3"/>
  <c r="F2243" i="3"/>
  <c r="E2243" i="3"/>
  <c r="D2243" i="3"/>
  <c r="L2243" i="3" s="1"/>
  <c r="H2242" i="3"/>
  <c r="K2242" i="3" s="1"/>
  <c r="G2242" i="3"/>
  <c r="F2242" i="3"/>
  <c r="E2242" i="3"/>
  <c r="D2242" i="3"/>
  <c r="L2242" i="3" s="1"/>
  <c r="L2241" i="3"/>
  <c r="H2241" i="3"/>
  <c r="G2241" i="3"/>
  <c r="F2241" i="3"/>
  <c r="E2241" i="3"/>
  <c r="D2241" i="3"/>
  <c r="L2240" i="3"/>
  <c r="H2240" i="3"/>
  <c r="G2240" i="3"/>
  <c r="F2240" i="3"/>
  <c r="E2240" i="3"/>
  <c r="D2240" i="3"/>
  <c r="L2239" i="3"/>
  <c r="H2239" i="3"/>
  <c r="I2239" i="3" s="1"/>
  <c r="G2239" i="3"/>
  <c r="F2239" i="3"/>
  <c r="E2239" i="3"/>
  <c r="D2239" i="3"/>
  <c r="I2238" i="3"/>
  <c r="H2238" i="3"/>
  <c r="J2238" i="3" s="1"/>
  <c r="G2238" i="3"/>
  <c r="F2238" i="3"/>
  <c r="E2238" i="3"/>
  <c r="D2238" i="3"/>
  <c r="L2238" i="3" s="1"/>
  <c r="H2237" i="3"/>
  <c r="G2237" i="3"/>
  <c r="F2237" i="3"/>
  <c r="E2237" i="3"/>
  <c r="D2237" i="3"/>
  <c r="L2237" i="3" s="1"/>
  <c r="I2236" i="3"/>
  <c r="H2236" i="3"/>
  <c r="G2236" i="3"/>
  <c r="F2236" i="3"/>
  <c r="E2236" i="3"/>
  <c r="D2236" i="3"/>
  <c r="L2236" i="3" s="1"/>
  <c r="H2235" i="3"/>
  <c r="G2235" i="3"/>
  <c r="F2235" i="3"/>
  <c r="E2235" i="3"/>
  <c r="D2235" i="3"/>
  <c r="L2235" i="3" s="1"/>
  <c r="I2234" i="3"/>
  <c r="H2234" i="3"/>
  <c r="K2234" i="3" s="1"/>
  <c r="G2234" i="3"/>
  <c r="F2234" i="3"/>
  <c r="E2234" i="3"/>
  <c r="D2234" i="3"/>
  <c r="L2234" i="3" s="1"/>
  <c r="H2233" i="3"/>
  <c r="G2233" i="3"/>
  <c r="F2233" i="3"/>
  <c r="E2233" i="3"/>
  <c r="D2233" i="3"/>
  <c r="L2233" i="3" s="1"/>
  <c r="K2232" i="3"/>
  <c r="H2232" i="3"/>
  <c r="G2232" i="3"/>
  <c r="F2232" i="3"/>
  <c r="E2232" i="3"/>
  <c r="D2232" i="3"/>
  <c r="L2232" i="3" s="1"/>
  <c r="H2231" i="3"/>
  <c r="G2231" i="3"/>
  <c r="F2231" i="3"/>
  <c r="E2231" i="3"/>
  <c r="D2231" i="3"/>
  <c r="L2231" i="3" s="1"/>
  <c r="K2230" i="3"/>
  <c r="H2230" i="3"/>
  <c r="J2230" i="3" s="1"/>
  <c r="G2230" i="3"/>
  <c r="F2230" i="3"/>
  <c r="E2230" i="3"/>
  <c r="D2230" i="3"/>
  <c r="L2230" i="3" s="1"/>
  <c r="H2229" i="3"/>
  <c r="G2229" i="3"/>
  <c r="F2229" i="3"/>
  <c r="E2229" i="3"/>
  <c r="D2229" i="3"/>
  <c r="L2229" i="3" s="1"/>
  <c r="H2228" i="3"/>
  <c r="I2228" i="3" s="1"/>
  <c r="G2228" i="3"/>
  <c r="F2228" i="3"/>
  <c r="E2228" i="3"/>
  <c r="D2228" i="3"/>
  <c r="L2228" i="3" s="1"/>
  <c r="H2227" i="3"/>
  <c r="G2227" i="3"/>
  <c r="F2227" i="3"/>
  <c r="E2227" i="3"/>
  <c r="D2227" i="3"/>
  <c r="L2227" i="3" s="1"/>
  <c r="K2226" i="3"/>
  <c r="H2226" i="3"/>
  <c r="G2226" i="3"/>
  <c r="F2226" i="3"/>
  <c r="E2226" i="3"/>
  <c r="D2226" i="3"/>
  <c r="L2226" i="3" s="1"/>
  <c r="J2225" i="3"/>
  <c r="H2225" i="3"/>
  <c r="I2225" i="3" s="1"/>
  <c r="G2225" i="3"/>
  <c r="F2225" i="3"/>
  <c r="E2225" i="3"/>
  <c r="D2225" i="3"/>
  <c r="L2225" i="3" s="1"/>
  <c r="H2224" i="3"/>
  <c r="G2224" i="3"/>
  <c r="F2224" i="3"/>
  <c r="E2224" i="3"/>
  <c r="D2224" i="3"/>
  <c r="L2224" i="3" s="1"/>
  <c r="J2223" i="3"/>
  <c r="H2223" i="3"/>
  <c r="I2223" i="3" s="1"/>
  <c r="G2223" i="3"/>
  <c r="F2223" i="3"/>
  <c r="E2223" i="3"/>
  <c r="D2223" i="3"/>
  <c r="L2223" i="3" s="1"/>
  <c r="H2222" i="3"/>
  <c r="K2222" i="3" s="1"/>
  <c r="G2222" i="3"/>
  <c r="F2222" i="3"/>
  <c r="E2222" i="3"/>
  <c r="D2222" i="3"/>
  <c r="L2222" i="3" s="1"/>
  <c r="H2221" i="3"/>
  <c r="G2221" i="3"/>
  <c r="F2221" i="3"/>
  <c r="E2221" i="3"/>
  <c r="D2221" i="3"/>
  <c r="L2221" i="3" s="1"/>
  <c r="H2220" i="3"/>
  <c r="G2220" i="3"/>
  <c r="F2220" i="3"/>
  <c r="E2220" i="3"/>
  <c r="D2220" i="3"/>
  <c r="L2220" i="3" s="1"/>
  <c r="I2219" i="3"/>
  <c r="H2219" i="3"/>
  <c r="K2219" i="3" s="1"/>
  <c r="G2219" i="3"/>
  <c r="F2219" i="3"/>
  <c r="E2219" i="3"/>
  <c r="D2219" i="3"/>
  <c r="L2219" i="3" s="1"/>
  <c r="K2218" i="3"/>
  <c r="I2218" i="3"/>
  <c r="H2218" i="3"/>
  <c r="J2218" i="3" s="1"/>
  <c r="G2218" i="3"/>
  <c r="F2218" i="3"/>
  <c r="E2218" i="3"/>
  <c r="D2218" i="3"/>
  <c r="L2218" i="3" s="1"/>
  <c r="H2217" i="3"/>
  <c r="G2217" i="3"/>
  <c r="F2217" i="3"/>
  <c r="E2217" i="3"/>
  <c r="D2217" i="3"/>
  <c r="L2217" i="3" s="1"/>
  <c r="K2216" i="3"/>
  <c r="I2216" i="3"/>
  <c r="H2216" i="3"/>
  <c r="J2216" i="3" s="1"/>
  <c r="G2216" i="3"/>
  <c r="F2216" i="3"/>
  <c r="E2216" i="3"/>
  <c r="D2216" i="3"/>
  <c r="L2216" i="3" s="1"/>
  <c r="H2215" i="3"/>
  <c r="G2215" i="3"/>
  <c r="F2215" i="3"/>
  <c r="E2215" i="3"/>
  <c r="D2215" i="3"/>
  <c r="L2215" i="3" s="1"/>
  <c r="K2214" i="3"/>
  <c r="I2214" i="3"/>
  <c r="H2214" i="3"/>
  <c r="J2214" i="3" s="1"/>
  <c r="G2214" i="3"/>
  <c r="F2214" i="3"/>
  <c r="E2214" i="3"/>
  <c r="D2214" i="3"/>
  <c r="L2214" i="3" s="1"/>
  <c r="H2213" i="3"/>
  <c r="G2213" i="3"/>
  <c r="F2213" i="3"/>
  <c r="E2213" i="3"/>
  <c r="D2213" i="3"/>
  <c r="L2213" i="3" s="1"/>
  <c r="H2212" i="3"/>
  <c r="G2212" i="3"/>
  <c r="F2212" i="3"/>
  <c r="E2212" i="3"/>
  <c r="D2212" i="3"/>
  <c r="L2212" i="3" s="1"/>
  <c r="H2211" i="3"/>
  <c r="G2211" i="3"/>
  <c r="F2211" i="3"/>
  <c r="E2211" i="3"/>
  <c r="D2211" i="3"/>
  <c r="L2211" i="3" s="1"/>
  <c r="H2210" i="3"/>
  <c r="G2210" i="3"/>
  <c r="F2210" i="3"/>
  <c r="E2210" i="3"/>
  <c r="D2210" i="3"/>
  <c r="L2210" i="3" s="1"/>
  <c r="K2209" i="3"/>
  <c r="H2209" i="3"/>
  <c r="I2209" i="3" s="1"/>
  <c r="G2209" i="3"/>
  <c r="F2209" i="3"/>
  <c r="E2209" i="3"/>
  <c r="D2209" i="3"/>
  <c r="L2209" i="3" s="1"/>
  <c r="L2208" i="3"/>
  <c r="K2208" i="3"/>
  <c r="I2208" i="3"/>
  <c r="H2208" i="3"/>
  <c r="J2208" i="3" s="1"/>
  <c r="G2208" i="3"/>
  <c r="F2208" i="3"/>
  <c r="E2208" i="3"/>
  <c r="D2208" i="3"/>
  <c r="L2207" i="3"/>
  <c r="H2207" i="3"/>
  <c r="G2207" i="3"/>
  <c r="F2207" i="3"/>
  <c r="E2207" i="3"/>
  <c r="D2207" i="3"/>
  <c r="K2206" i="3"/>
  <c r="I2206" i="3"/>
  <c r="H2206" i="3"/>
  <c r="J2206" i="3" s="1"/>
  <c r="G2206" i="3"/>
  <c r="F2206" i="3"/>
  <c r="E2206" i="3"/>
  <c r="D2206" i="3"/>
  <c r="L2206" i="3" s="1"/>
  <c r="H2205" i="3"/>
  <c r="G2205" i="3"/>
  <c r="F2205" i="3"/>
  <c r="E2205" i="3"/>
  <c r="D2205" i="3"/>
  <c r="L2205" i="3" s="1"/>
  <c r="H2204" i="3"/>
  <c r="I2204" i="3" s="1"/>
  <c r="G2204" i="3"/>
  <c r="F2204" i="3"/>
  <c r="E2204" i="3"/>
  <c r="D2204" i="3"/>
  <c r="L2204" i="3" s="1"/>
  <c r="H2203" i="3"/>
  <c r="K2203" i="3" s="1"/>
  <c r="G2203" i="3"/>
  <c r="F2203" i="3"/>
  <c r="E2203" i="3"/>
  <c r="D2203" i="3"/>
  <c r="L2203" i="3" s="1"/>
  <c r="H2202" i="3"/>
  <c r="K2202" i="3" s="1"/>
  <c r="G2202" i="3"/>
  <c r="F2202" i="3"/>
  <c r="E2202" i="3"/>
  <c r="D2202" i="3"/>
  <c r="L2202" i="3" s="1"/>
  <c r="H2201" i="3"/>
  <c r="I2201" i="3" s="1"/>
  <c r="G2201" i="3"/>
  <c r="F2201" i="3"/>
  <c r="E2201" i="3"/>
  <c r="D2201" i="3"/>
  <c r="L2201" i="3" s="1"/>
  <c r="I2200" i="3"/>
  <c r="H2200" i="3"/>
  <c r="G2200" i="3"/>
  <c r="F2200" i="3"/>
  <c r="E2200" i="3"/>
  <c r="D2200" i="3"/>
  <c r="L2200" i="3" s="1"/>
  <c r="L2199" i="3"/>
  <c r="H2199" i="3"/>
  <c r="I2199" i="3" s="1"/>
  <c r="G2199" i="3"/>
  <c r="F2199" i="3"/>
  <c r="E2199" i="3"/>
  <c r="D2199" i="3"/>
  <c r="K2198" i="3"/>
  <c r="I2198" i="3"/>
  <c r="H2198" i="3"/>
  <c r="J2198" i="3" s="1"/>
  <c r="G2198" i="3"/>
  <c r="F2198" i="3"/>
  <c r="E2198" i="3"/>
  <c r="D2198" i="3"/>
  <c r="L2198" i="3" s="1"/>
  <c r="H2197" i="3"/>
  <c r="J2197" i="3" s="1"/>
  <c r="G2197" i="3"/>
  <c r="F2197" i="3"/>
  <c r="E2197" i="3"/>
  <c r="D2197" i="3"/>
  <c r="L2197" i="3" s="1"/>
  <c r="H2196" i="3"/>
  <c r="G2196" i="3"/>
  <c r="F2196" i="3"/>
  <c r="E2196" i="3"/>
  <c r="D2196" i="3"/>
  <c r="L2196" i="3" s="1"/>
  <c r="H2195" i="3"/>
  <c r="G2195" i="3"/>
  <c r="F2195" i="3"/>
  <c r="E2195" i="3"/>
  <c r="D2195" i="3"/>
  <c r="L2195" i="3" s="1"/>
  <c r="J2194" i="3"/>
  <c r="I2194" i="3"/>
  <c r="H2194" i="3"/>
  <c r="K2194" i="3" s="1"/>
  <c r="G2194" i="3"/>
  <c r="F2194" i="3"/>
  <c r="E2194" i="3"/>
  <c r="D2194" i="3"/>
  <c r="L2194" i="3" s="1"/>
  <c r="H2193" i="3"/>
  <c r="G2193" i="3"/>
  <c r="F2193" i="3"/>
  <c r="E2193" i="3"/>
  <c r="D2193" i="3"/>
  <c r="L2193" i="3" s="1"/>
  <c r="K2192" i="3"/>
  <c r="J2192" i="3"/>
  <c r="H2192" i="3"/>
  <c r="I2192" i="3" s="1"/>
  <c r="G2192" i="3"/>
  <c r="F2192" i="3"/>
  <c r="E2192" i="3"/>
  <c r="D2192" i="3"/>
  <c r="L2192" i="3" s="1"/>
  <c r="H2191" i="3"/>
  <c r="G2191" i="3"/>
  <c r="F2191" i="3"/>
  <c r="E2191" i="3"/>
  <c r="D2191" i="3"/>
  <c r="L2191" i="3" s="1"/>
  <c r="K2190" i="3"/>
  <c r="H2190" i="3"/>
  <c r="J2190" i="3" s="1"/>
  <c r="G2190" i="3"/>
  <c r="F2190" i="3"/>
  <c r="E2190" i="3"/>
  <c r="D2190" i="3"/>
  <c r="L2190" i="3" s="1"/>
  <c r="L2189" i="3"/>
  <c r="J2189" i="3"/>
  <c r="H2189" i="3"/>
  <c r="G2189" i="3"/>
  <c r="F2189" i="3"/>
  <c r="E2189" i="3"/>
  <c r="D2189" i="3"/>
  <c r="H2188" i="3"/>
  <c r="J2188" i="3" s="1"/>
  <c r="G2188" i="3"/>
  <c r="F2188" i="3"/>
  <c r="E2188" i="3"/>
  <c r="D2188" i="3"/>
  <c r="L2188" i="3" s="1"/>
  <c r="H2187" i="3"/>
  <c r="K2187" i="3" s="1"/>
  <c r="G2187" i="3"/>
  <c r="F2187" i="3"/>
  <c r="E2187" i="3"/>
  <c r="D2187" i="3"/>
  <c r="L2187" i="3" s="1"/>
  <c r="H2186" i="3"/>
  <c r="K2186" i="3" s="1"/>
  <c r="G2186" i="3"/>
  <c r="F2186" i="3"/>
  <c r="E2186" i="3"/>
  <c r="D2186" i="3"/>
  <c r="L2186" i="3" s="1"/>
  <c r="K2185" i="3"/>
  <c r="H2185" i="3"/>
  <c r="I2185" i="3" s="1"/>
  <c r="G2185" i="3"/>
  <c r="F2185" i="3"/>
  <c r="E2185" i="3"/>
  <c r="D2185" i="3"/>
  <c r="L2185" i="3" s="1"/>
  <c r="K2184" i="3"/>
  <c r="J2184" i="3"/>
  <c r="H2184" i="3"/>
  <c r="I2184" i="3" s="1"/>
  <c r="G2184" i="3"/>
  <c r="F2184" i="3"/>
  <c r="E2184" i="3"/>
  <c r="D2184" i="3"/>
  <c r="L2184" i="3" s="1"/>
  <c r="H2183" i="3"/>
  <c r="J2183" i="3" s="1"/>
  <c r="G2183" i="3"/>
  <c r="F2183" i="3"/>
  <c r="E2183" i="3"/>
  <c r="D2183" i="3"/>
  <c r="L2183" i="3" s="1"/>
  <c r="K2182" i="3"/>
  <c r="I2182" i="3"/>
  <c r="H2182" i="3"/>
  <c r="J2182" i="3" s="1"/>
  <c r="G2182" i="3"/>
  <c r="F2182" i="3"/>
  <c r="E2182" i="3"/>
  <c r="D2182" i="3"/>
  <c r="L2182" i="3" s="1"/>
  <c r="L2181" i="3"/>
  <c r="H2181" i="3"/>
  <c r="G2181" i="3"/>
  <c r="F2181" i="3"/>
  <c r="E2181" i="3"/>
  <c r="D2181" i="3"/>
  <c r="H2180" i="3"/>
  <c r="J2180" i="3" s="1"/>
  <c r="G2180" i="3"/>
  <c r="F2180" i="3"/>
  <c r="E2180" i="3"/>
  <c r="D2180" i="3"/>
  <c r="L2180" i="3" s="1"/>
  <c r="H2179" i="3"/>
  <c r="K2179" i="3" s="1"/>
  <c r="G2179" i="3"/>
  <c r="F2179" i="3"/>
  <c r="E2179" i="3"/>
  <c r="D2179" i="3"/>
  <c r="L2179" i="3" s="1"/>
  <c r="H2178" i="3"/>
  <c r="K2178" i="3" s="1"/>
  <c r="G2178" i="3"/>
  <c r="F2178" i="3"/>
  <c r="E2178" i="3"/>
  <c r="D2178" i="3"/>
  <c r="L2178" i="3" s="1"/>
  <c r="K2177" i="3"/>
  <c r="J2177" i="3"/>
  <c r="H2177" i="3"/>
  <c r="I2177" i="3" s="1"/>
  <c r="G2177" i="3"/>
  <c r="F2177" i="3"/>
  <c r="E2177" i="3"/>
  <c r="D2177" i="3"/>
  <c r="L2177" i="3" s="1"/>
  <c r="K2176" i="3"/>
  <c r="J2176" i="3"/>
  <c r="H2176" i="3"/>
  <c r="I2176" i="3" s="1"/>
  <c r="G2176" i="3"/>
  <c r="F2176" i="3"/>
  <c r="E2176" i="3"/>
  <c r="D2176" i="3"/>
  <c r="L2176" i="3" s="1"/>
  <c r="J2175" i="3"/>
  <c r="H2175" i="3"/>
  <c r="G2175" i="3"/>
  <c r="F2175" i="3"/>
  <c r="E2175" i="3"/>
  <c r="D2175" i="3"/>
  <c r="L2175" i="3" s="1"/>
  <c r="H2174" i="3"/>
  <c r="J2174" i="3" s="1"/>
  <c r="G2174" i="3"/>
  <c r="F2174" i="3"/>
  <c r="E2174" i="3"/>
  <c r="D2174" i="3"/>
  <c r="L2174" i="3" s="1"/>
  <c r="H2173" i="3"/>
  <c r="G2173" i="3"/>
  <c r="F2173" i="3"/>
  <c r="E2173" i="3"/>
  <c r="D2173" i="3"/>
  <c r="L2173" i="3" s="1"/>
  <c r="H2172" i="3"/>
  <c r="J2172" i="3" s="1"/>
  <c r="G2172" i="3"/>
  <c r="F2172" i="3"/>
  <c r="E2172" i="3"/>
  <c r="D2172" i="3"/>
  <c r="L2172" i="3" s="1"/>
  <c r="H2171" i="3"/>
  <c r="K2171" i="3" s="1"/>
  <c r="G2171" i="3"/>
  <c r="F2171" i="3"/>
  <c r="E2171" i="3"/>
  <c r="D2171" i="3"/>
  <c r="L2171" i="3" s="1"/>
  <c r="H2170" i="3"/>
  <c r="K2170" i="3" s="1"/>
  <c r="G2170" i="3"/>
  <c r="F2170" i="3"/>
  <c r="E2170" i="3"/>
  <c r="D2170" i="3"/>
  <c r="L2170" i="3" s="1"/>
  <c r="H2169" i="3"/>
  <c r="I2169" i="3" s="1"/>
  <c r="G2169" i="3"/>
  <c r="F2169" i="3"/>
  <c r="E2169" i="3"/>
  <c r="D2169" i="3"/>
  <c r="L2169" i="3" s="1"/>
  <c r="H2168" i="3"/>
  <c r="K2168" i="3" s="1"/>
  <c r="G2168" i="3"/>
  <c r="F2168" i="3"/>
  <c r="E2168" i="3"/>
  <c r="D2168" i="3"/>
  <c r="L2168" i="3" s="1"/>
  <c r="J2167" i="3"/>
  <c r="H2167" i="3"/>
  <c r="G2167" i="3"/>
  <c r="F2167" i="3"/>
  <c r="E2167" i="3"/>
  <c r="D2167" i="3"/>
  <c r="L2167" i="3" s="1"/>
  <c r="K2166" i="3"/>
  <c r="I2166" i="3"/>
  <c r="H2166" i="3"/>
  <c r="J2166" i="3" s="1"/>
  <c r="G2166" i="3"/>
  <c r="F2166" i="3"/>
  <c r="E2166" i="3"/>
  <c r="D2166" i="3"/>
  <c r="L2166" i="3" s="1"/>
  <c r="J2165" i="3"/>
  <c r="H2165" i="3"/>
  <c r="G2165" i="3"/>
  <c r="F2165" i="3"/>
  <c r="E2165" i="3"/>
  <c r="D2165" i="3"/>
  <c r="L2165" i="3" s="1"/>
  <c r="H2164" i="3"/>
  <c r="J2164" i="3" s="1"/>
  <c r="G2164" i="3"/>
  <c r="F2164" i="3"/>
  <c r="E2164" i="3"/>
  <c r="D2164" i="3"/>
  <c r="L2164" i="3" s="1"/>
  <c r="H2163" i="3"/>
  <c r="K2163" i="3" s="1"/>
  <c r="G2163" i="3"/>
  <c r="F2163" i="3"/>
  <c r="E2163" i="3"/>
  <c r="D2163" i="3"/>
  <c r="L2163" i="3" s="1"/>
  <c r="K2162" i="3"/>
  <c r="J2162" i="3"/>
  <c r="I2162" i="3"/>
  <c r="H2162" i="3"/>
  <c r="G2162" i="3"/>
  <c r="F2162" i="3"/>
  <c r="E2162" i="3"/>
  <c r="D2162" i="3"/>
  <c r="L2162" i="3" s="1"/>
  <c r="H2161" i="3"/>
  <c r="I2161" i="3" s="1"/>
  <c r="G2161" i="3"/>
  <c r="F2161" i="3"/>
  <c r="E2161" i="3"/>
  <c r="D2161" i="3"/>
  <c r="L2161" i="3" s="1"/>
  <c r="K2160" i="3"/>
  <c r="J2160" i="3"/>
  <c r="I2160" i="3"/>
  <c r="H2160" i="3"/>
  <c r="G2160" i="3"/>
  <c r="F2160" i="3"/>
  <c r="E2160" i="3"/>
  <c r="D2160" i="3"/>
  <c r="L2160" i="3" s="1"/>
  <c r="H2159" i="3"/>
  <c r="G2159" i="3"/>
  <c r="F2159" i="3"/>
  <c r="E2159" i="3"/>
  <c r="D2159" i="3"/>
  <c r="L2159" i="3" s="1"/>
  <c r="H2158" i="3"/>
  <c r="J2158" i="3" s="1"/>
  <c r="G2158" i="3"/>
  <c r="F2158" i="3"/>
  <c r="E2158" i="3"/>
  <c r="D2158" i="3"/>
  <c r="L2158" i="3" s="1"/>
  <c r="L2157" i="3"/>
  <c r="H2157" i="3"/>
  <c r="J2157" i="3" s="1"/>
  <c r="G2157" i="3"/>
  <c r="F2157" i="3"/>
  <c r="E2157" i="3"/>
  <c r="D2157" i="3"/>
  <c r="H2156" i="3"/>
  <c r="G2156" i="3"/>
  <c r="F2156" i="3"/>
  <c r="E2156" i="3"/>
  <c r="D2156" i="3"/>
  <c r="L2156" i="3" s="1"/>
  <c r="I2155" i="3"/>
  <c r="H2155" i="3"/>
  <c r="G2155" i="3"/>
  <c r="F2155" i="3"/>
  <c r="E2155" i="3"/>
  <c r="D2155" i="3"/>
  <c r="L2155" i="3" s="1"/>
  <c r="J2154" i="3"/>
  <c r="I2154" i="3"/>
  <c r="H2154" i="3"/>
  <c r="K2154" i="3" s="1"/>
  <c r="G2154" i="3"/>
  <c r="F2154" i="3"/>
  <c r="E2154" i="3"/>
  <c r="D2154" i="3"/>
  <c r="L2154" i="3" s="1"/>
  <c r="H2153" i="3"/>
  <c r="G2153" i="3"/>
  <c r="F2153" i="3"/>
  <c r="E2153" i="3"/>
  <c r="D2153" i="3"/>
  <c r="L2153" i="3" s="1"/>
  <c r="K2152" i="3"/>
  <c r="J2152" i="3"/>
  <c r="I2152" i="3"/>
  <c r="H2152" i="3"/>
  <c r="G2152" i="3"/>
  <c r="F2152" i="3"/>
  <c r="E2152" i="3"/>
  <c r="D2152" i="3"/>
  <c r="L2152" i="3" s="1"/>
  <c r="H2151" i="3"/>
  <c r="J2151" i="3" s="1"/>
  <c r="G2151" i="3"/>
  <c r="F2151" i="3"/>
  <c r="E2151" i="3"/>
  <c r="D2151" i="3"/>
  <c r="L2151" i="3" s="1"/>
  <c r="K2150" i="3"/>
  <c r="H2150" i="3"/>
  <c r="J2150" i="3" s="1"/>
  <c r="G2150" i="3"/>
  <c r="F2150" i="3"/>
  <c r="E2150" i="3"/>
  <c r="D2150" i="3"/>
  <c r="L2150" i="3" s="1"/>
  <c r="L2149" i="3"/>
  <c r="J2149" i="3"/>
  <c r="H2149" i="3"/>
  <c r="G2149" i="3"/>
  <c r="F2149" i="3"/>
  <c r="E2149" i="3"/>
  <c r="D2149" i="3"/>
  <c r="H2148" i="3"/>
  <c r="J2148" i="3" s="1"/>
  <c r="G2148" i="3"/>
  <c r="F2148" i="3"/>
  <c r="E2148" i="3"/>
  <c r="D2148" i="3"/>
  <c r="L2148" i="3" s="1"/>
  <c r="H2147" i="3"/>
  <c r="K2147" i="3" s="1"/>
  <c r="G2147" i="3"/>
  <c r="F2147" i="3"/>
  <c r="E2147" i="3"/>
  <c r="D2147" i="3"/>
  <c r="L2147" i="3" s="1"/>
  <c r="H2146" i="3"/>
  <c r="K2146" i="3" s="1"/>
  <c r="G2146" i="3"/>
  <c r="F2146" i="3"/>
  <c r="E2146" i="3"/>
  <c r="D2146" i="3"/>
  <c r="L2146" i="3" s="1"/>
  <c r="H2145" i="3"/>
  <c r="I2145" i="3" s="1"/>
  <c r="G2145" i="3"/>
  <c r="F2145" i="3"/>
  <c r="E2145" i="3"/>
  <c r="D2145" i="3"/>
  <c r="L2145" i="3" s="1"/>
  <c r="H2144" i="3"/>
  <c r="K2144" i="3" s="1"/>
  <c r="G2144" i="3"/>
  <c r="F2144" i="3"/>
  <c r="E2144" i="3"/>
  <c r="D2144" i="3"/>
  <c r="L2144" i="3" s="1"/>
  <c r="H2143" i="3"/>
  <c r="J2143" i="3" s="1"/>
  <c r="G2143" i="3"/>
  <c r="F2143" i="3"/>
  <c r="E2143" i="3"/>
  <c r="D2143" i="3"/>
  <c r="L2143" i="3" s="1"/>
  <c r="K2142" i="3"/>
  <c r="I2142" i="3"/>
  <c r="H2142" i="3"/>
  <c r="J2142" i="3" s="1"/>
  <c r="G2142" i="3"/>
  <c r="F2142" i="3"/>
  <c r="E2142" i="3"/>
  <c r="D2142" i="3"/>
  <c r="L2142" i="3" s="1"/>
  <c r="H2141" i="3"/>
  <c r="G2141" i="3"/>
  <c r="F2141" i="3"/>
  <c r="E2141" i="3"/>
  <c r="D2141" i="3"/>
  <c r="L2141" i="3" s="1"/>
  <c r="K2140" i="3"/>
  <c r="H2140" i="3"/>
  <c r="J2140" i="3" s="1"/>
  <c r="G2140" i="3"/>
  <c r="F2140" i="3"/>
  <c r="E2140" i="3"/>
  <c r="D2140" i="3"/>
  <c r="L2140" i="3" s="1"/>
  <c r="H2139" i="3"/>
  <c r="K2139" i="3" s="1"/>
  <c r="G2139" i="3"/>
  <c r="F2139" i="3"/>
  <c r="E2139" i="3"/>
  <c r="D2139" i="3"/>
  <c r="L2139" i="3" s="1"/>
  <c r="H2138" i="3"/>
  <c r="K2138" i="3" s="1"/>
  <c r="G2138" i="3"/>
  <c r="F2138" i="3"/>
  <c r="E2138" i="3"/>
  <c r="D2138" i="3"/>
  <c r="L2138" i="3" s="1"/>
  <c r="H2137" i="3"/>
  <c r="I2137" i="3" s="1"/>
  <c r="G2137" i="3"/>
  <c r="F2137" i="3"/>
  <c r="E2137" i="3"/>
  <c r="D2137" i="3"/>
  <c r="L2137" i="3" s="1"/>
  <c r="H2136" i="3"/>
  <c r="K2136" i="3" s="1"/>
  <c r="G2136" i="3"/>
  <c r="F2136" i="3"/>
  <c r="E2136" i="3"/>
  <c r="D2136" i="3"/>
  <c r="L2136" i="3" s="1"/>
  <c r="L2135" i="3"/>
  <c r="H2135" i="3"/>
  <c r="G2135" i="3"/>
  <c r="F2135" i="3"/>
  <c r="E2135" i="3"/>
  <c r="D2135" i="3"/>
  <c r="H2134" i="3"/>
  <c r="J2134" i="3" s="1"/>
  <c r="G2134" i="3"/>
  <c r="F2134" i="3"/>
  <c r="E2134" i="3"/>
  <c r="D2134" i="3"/>
  <c r="L2134" i="3" s="1"/>
  <c r="H2133" i="3"/>
  <c r="J2133" i="3" s="1"/>
  <c r="G2133" i="3"/>
  <c r="F2133" i="3"/>
  <c r="E2133" i="3"/>
  <c r="D2133" i="3"/>
  <c r="L2133" i="3" s="1"/>
  <c r="H2132" i="3"/>
  <c r="G2132" i="3"/>
  <c r="F2132" i="3"/>
  <c r="E2132" i="3"/>
  <c r="D2132" i="3"/>
  <c r="L2132" i="3" s="1"/>
  <c r="H2131" i="3"/>
  <c r="G2131" i="3"/>
  <c r="F2131" i="3"/>
  <c r="E2131" i="3"/>
  <c r="D2131" i="3"/>
  <c r="L2131" i="3" s="1"/>
  <c r="K2130" i="3"/>
  <c r="H2130" i="3"/>
  <c r="I2130" i="3" s="1"/>
  <c r="G2130" i="3"/>
  <c r="F2130" i="3"/>
  <c r="E2130" i="3"/>
  <c r="D2130" i="3"/>
  <c r="L2130" i="3" s="1"/>
  <c r="H2129" i="3"/>
  <c r="G2129" i="3"/>
  <c r="F2129" i="3"/>
  <c r="E2129" i="3"/>
  <c r="D2129" i="3"/>
  <c r="L2129" i="3" s="1"/>
  <c r="H2128" i="3"/>
  <c r="K2128" i="3" s="1"/>
  <c r="G2128" i="3"/>
  <c r="F2128" i="3"/>
  <c r="E2128" i="3"/>
  <c r="D2128" i="3"/>
  <c r="L2128" i="3" s="1"/>
  <c r="H2127" i="3"/>
  <c r="G2127" i="3"/>
  <c r="F2127" i="3"/>
  <c r="E2127" i="3"/>
  <c r="D2127" i="3"/>
  <c r="L2127" i="3" s="1"/>
  <c r="I2126" i="3"/>
  <c r="H2126" i="3"/>
  <c r="J2126" i="3" s="1"/>
  <c r="G2126" i="3"/>
  <c r="F2126" i="3"/>
  <c r="E2126" i="3"/>
  <c r="D2126" i="3"/>
  <c r="L2126" i="3" s="1"/>
  <c r="H2125" i="3"/>
  <c r="J2125" i="3" s="1"/>
  <c r="G2125" i="3"/>
  <c r="F2125" i="3"/>
  <c r="E2125" i="3"/>
  <c r="D2125" i="3"/>
  <c r="L2125" i="3" s="1"/>
  <c r="I2124" i="3"/>
  <c r="H2124" i="3"/>
  <c r="J2124" i="3" s="1"/>
  <c r="G2124" i="3"/>
  <c r="F2124" i="3"/>
  <c r="E2124" i="3"/>
  <c r="D2124" i="3"/>
  <c r="L2124" i="3" s="1"/>
  <c r="H2123" i="3"/>
  <c r="K2123" i="3" s="1"/>
  <c r="G2123" i="3"/>
  <c r="F2123" i="3"/>
  <c r="E2123" i="3"/>
  <c r="D2123" i="3"/>
  <c r="L2123" i="3" s="1"/>
  <c r="H2122" i="3"/>
  <c r="K2122" i="3" s="1"/>
  <c r="G2122" i="3"/>
  <c r="F2122" i="3"/>
  <c r="E2122" i="3"/>
  <c r="D2122" i="3"/>
  <c r="L2122" i="3" s="1"/>
  <c r="J2121" i="3"/>
  <c r="H2121" i="3"/>
  <c r="I2121" i="3" s="1"/>
  <c r="G2121" i="3"/>
  <c r="F2121" i="3"/>
  <c r="E2121" i="3"/>
  <c r="D2121" i="3"/>
  <c r="L2121" i="3" s="1"/>
  <c r="K2120" i="3"/>
  <c r="J2120" i="3"/>
  <c r="I2120" i="3"/>
  <c r="H2120" i="3"/>
  <c r="G2120" i="3"/>
  <c r="F2120" i="3"/>
  <c r="E2120" i="3"/>
  <c r="D2120" i="3"/>
  <c r="L2120" i="3" s="1"/>
  <c r="H2119" i="3"/>
  <c r="J2119" i="3" s="1"/>
  <c r="G2119" i="3"/>
  <c r="F2119" i="3"/>
  <c r="E2119" i="3"/>
  <c r="D2119" i="3"/>
  <c r="L2119" i="3" s="1"/>
  <c r="H2118" i="3"/>
  <c r="J2118" i="3" s="1"/>
  <c r="G2118" i="3"/>
  <c r="F2118" i="3"/>
  <c r="E2118" i="3"/>
  <c r="D2118" i="3"/>
  <c r="L2118" i="3" s="1"/>
  <c r="H2117" i="3"/>
  <c r="K2117" i="3" s="1"/>
  <c r="G2117" i="3"/>
  <c r="F2117" i="3"/>
  <c r="E2117" i="3"/>
  <c r="D2117" i="3"/>
  <c r="L2117" i="3" s="1"/>
  <c r="H2116" i="3"/>
  <c r="J2116" i="3" s="1"/>
  <c r="G2116" i="3"/>
  <c r="F2116" i="3"/>
  <c r="E2116" i="3"/>
  <c r="D2116" i="3"/>
  <c r="L2116" i="3" s="1"/>
  <c r="I2115" i="3"/>
  <c r="H2115" i="3"/>
  <c r="K2115" i="3" s="1"/>
  <c r="G2115" i="3"/>
  <c r="F2115" i="3"/>
  <c r="E2115" i="3"/>
  <c r="D2115" i="3"/>
  <c r="L2115" i="3" s="1"/>
  <c r="J2114" i="3"/>
  <c r="I2114" i="3"/>
  <c r="H2114" i="3"/>
  <c r="K2114" i="3" s="1"/>
  <c r="G2114" i="3"/>
  <c r="F2114" i="3"/>
  <c r="E2114" i="3"/>
  <c r="D2114" i="3"/>
  <c r="L2114" i="3" s="1"/>
  <c r="K2113" i="3"/>
  <c r="J2113" i="3"/>
  <c r="H2113" i="3"/>
  <c r="I2113" i="3" s="1"/>
  <c r="G2113" i="3"/>
  <c r="F2113" i="3"/>
  <c r="E2113" i="3"/>
  <c r="D2113" i="3"/>
  <c r="L2113" i="3" s="1"/>
  <c r="J2112" i="3"/>
  <c r="I2112" i="3"/>
  <c r="H2112" i="3"/>
  <c r="K2112" i="3" s="1"/>
  <c r="G2112" i="3"/>
  <c r="F2112" i="3"/>
  <c r="E2112" i="3"/>
  <c r="D2112" i="3"/>
  <c r="L2112" i="3" s="1"/>
  <c r="H2111" i="3"/>
  <c r="J2111" i="3" s="1"/>
  <c r="G2111" i="3"/>
  <c r="F2111" i="3"/>
  <c r="E2111" i="3"/>
  <c r="D2111" i="3"/>
  <c r="L2111" i="3" s="1"/>
  <c r="I2110" i="3"/>
  <c r="H2110" i="3"/>
  <c r="J2110" i="3" s="1"/>
  <c r="G2110" i="3"/>
  <c r="F2110" i="3"/>
  <c r="E2110" i="3"/>
  <c r="D2110" i="3"/>
  <c r="L2110" i="3" s="1"/>
  <c r="I2109" i="3"/>
  <c r="H2109" i="3"/>
  <c r="K2109" i="3" s="1"/>
  <c r="G2109" i="3"/>
  <c r="F2109" i="3"/>
  <c r="E2109" i="3"/>
  <c r="D2109" i="3"/>
  <c r="L2109" i="3" s="1"/>
  <c r="H2108" i="3"/>
  <c r="K2108" i="3" s="1"/>
  <c r="G2108" i="3"/>
  <c r="F2108" i="3"/>
  <c r="E2108" i="3"/>
  <c r="D2108" i="3"/>
  <c r="L2108" i="3" s="1"/>
  <c r="K2107" i="3"/>
  <c r="J2107" i="3"/>
  <c r="H2107" i="3"/>
  <c r="I2107" i="3" s="1"/>
  <c r="G2107" i="3"/>
  <c r="F2107" i="3"/>
  <c r="E2107" i="3"/>
  <c r="D2107" i="3"/>
  <c r="L2107" i="3" s="1"/>
  <c r="K2106" i="3"/>
  <c r="J2106" i="3"/>
  <c r="H2106" i="3"/>
  <c r="I2106" i="3" s="1"/>
  <c r="G2106" i="3"/>
  <c r="F2106" i="3"/>
  <c r="E2106" i="3"/>
  <c r="D2106" i="3"/>
  <c r="L2106" i="3" s="1"/>
  <c r="H2105" i="3"/>
  <c r="G2105" i="3"/>
  <c r="F2105" i="3"/>
  <c r="E2105" i="3"/>
  <c r="D2105" i="3"/>
  <c r="L2105" i="3" s="1"/>
  <c r="H2104" i="3"/>
  <c r="K2104" i="3" s="1"/>
  <c r="G2104" i="3"/>
  <c r="F2104" i="3"/>
  <c r="E2104" i="3"/>
  <c r="D2104" i="3"/>
  <c r="L2104" i="3" s="1"/>
  <c r="H2103" i="3"/>
  <c r="G2103" i="3"/>
  <c r="F2103" i="3"/>
  <c r="E2103" i="3"/>
  <c r="D2103" i="3"/>
  <c r="L2103" i="3" s="1"/>
  <c r="H2102" i="3"/>
  <c r="I2102" i="3" s="1"/>
  <c r="G2102" i="3"/>
  <c r="F2102" i="3"/>
  <c r="E2102" i="3"/>
  <c r="D2102" i="3"/>
  <c r="L2102" i="3" s="1"/>
  <c r="H2101" i="3"/>
  <c r="G2101" i="3"/>
  <c r="F2101" i="3"/>
  <c r="E2101" i="3"/>
  <c r="D2101" i="3"/>
  <c r="L2101" i="3" s="1"/>
  <c r="H2100" i="3"/>
  <c r="I2100" i="3" s="1"/>
  <c r="G2100" i="3"/>
  <c r="F2100" i="3"/>
  <c r="E2100" i="3"/>
  <c r="D2100" i="3"/>
  <c r="L2100" i="3" s="1"/>
  <c r="H2099" i="3"/>
  <c r="K2099" i="3" s="1"/>
  <c r="G2099" i="3"/>
  <c r="F2099" i="3"/>
  <c r="E2099" i="3"/>
  <c r="D2099" i="3"/>
  <c r="L2099" i="3" s="1"/>
  <c r="K2098" i="3"/>
  <c r="H2098" i="3"/>
  <c r="I2098" i="3" s="1"/>
  <c r="G2098" i="3"/>
  <c r="F2098" i="3"/>
  <c r="E2098" i="3"/>
  <c r="D2098" i="3"/>
  <c r="L2098" i="3" s="1"/>
  <c r="L2097" i="3"/>
  <c r="K2097" i="3"/>
  <c r="H2097" i="3"/>
  <c r="J2097" i="3" s="1"/>
  <c r="G2097" i="3"/>
  <c r="F2097" i="3"/>
  <c r="E2097" i="3"/>
  <c r="D2097" i="3"/>
  <c r="J2096" i="3"/>
  <c r="I2096" i="3"/>
  <c r="H2096" i="3"/>
  <c r="K2096" i="3" s="1"/>
  <c r="G2096" i="3"/>
  <c r="F2096" i="3"/>
  <c r="E2096" i="3"/>
  <c r="D2096" i="3"/>
  <c r="L2096" i="3" s="1"/>
  <c r="H2095" i="3"/>
  <c r="I2095" i="3" s="1"/>
  <c r="G2095" i="3"/>
  <c r="F2095" i="3"/>
  <c r="E2095" i="3"/>
  <c r="D2095" i="3"/>
  <c r="L2095" i="3" s="1"/>
  <c r="I2094" i="3"/>
  <c r="H2094" i="3"/>
  <c r="J2094" i="3" s="1"/>
  <c r="G2094" i="3"/>
  <c r="F2094" i="3"/>
  <c r="E2094" i="3"/>
  <c r="D2094" i="3"/>
  <c r="L2094" i="3" s="1"/>
  <c r="H2093" i="3"/>
  <c r="K2093" i="3" s="1"/>
  <c r="G2093" i="3"/>
  <c r="F2093" i="3"/>
  <c r="E2093" i="3"/>
  <c r="D2093" i="3"/>
  <c r="L2093" i="3" s="1"/>
  <c r="I2092" i="3"/>
  <c r="H2092" i="3"/>
  <c r="K2092" i="3" s="1"/>
  <c r="G2092" i="3"/>
  <c r="F2092" i="3"/>
  <c r="E2092" i="3"/>
  <c r="D2092" i="3"/>
  <c r="L2092" i="3" s="1"/>
  <c r="H2091" i="3"/>
  <c r="K2091" i="3" s="1"/>
  <c r="G2091" i="3"/>
  <c r="F2091" i="3"/>
  <c r="E2091" i="3"/>
  <c r="D2091" i="3"/>
  <c r="L2091" i="3" s="1"/>
  <c r="H2090" i="3"/>
  <c r="K2090" i="3" s="1"/>
  <c r="G2090" i="3"/>
  <c r="F2090" i="3"/>
  <c r="E2090" i="3"/>
  <c r="D2090" i="3"/>
  <c r="L2090" i="3" s="1"/>
  <c r="H2089" i="3"/>
  <c r="G2089" i="3"/>
  <c r="F2089" i="3"/>
  <c r="E2089" i="3"/>
  <c r="D2089" i="3"/>
  <c r="L2089" i="3" s="1"/>
  <c r="K2088" i="3"/>
  <c r="J2088" i="3"/>
  <c r="I2088" i="3"/>
  <c r="H2088" i="3"/>
  <c r="G2088" i="3"/>
  <c r="F2088" i="3"/>
  <c r="E2088" i="3"/>
  <c r="D2088" i="3"/>
  <c r="L2088" i="3" s="1"/>
  <c r="H2087" i="3"/>
  <c r="J2087" i="3" s="1"/>
  <c r="G2087" i="3"/>
  <c r="F2087" i="3"/>
  <c r="E2087" i="3"/>
  <c r="D2087" i="3"/>
  <c r="L2087" i="3" s="1"/>
  <c r="H2086" i="3"/>
  <c r="G2086" i="3"/>
  <c r="F2086" i="3"/>
  <c r="E2086" i="3"/>
  <c r="D2086" i="3"/>
  <c r="L2086" i="3" s="1"/>
  <c r="I2085" i="3"/>
  <c r="H2085" i="3"/>
  <c r="G2085" i="3"/>
  <c r="F2085" i="3"/>
  <c r="E2085" i="3"/>
  <c r="D2085" i="3"/>
  <c r="L2085" i="3" s="1"/>
  <c r="H2084" i="3"/>
  <c r="G2084" i="3"/>
  <c r="F2084" i="3"/>
  <c r="E2084" i="3"/>
  <c r="D2084" i="3"/>
  <c r="L2084" i="3" s="1"/>
  <c r="J2083" i="3"/>
  <c r="I2083" i="3"/>
  <c r="H2083" i="3"/>
  <c r="K2083" i="3" s="1"/>
  <c r="G2083" i="3"/>
  <c r="F2083" i="3"/>
  <c r="E2083" i="3"/>
  <c r="D2083" i="3"/>
  <c r="L2083" i="3" s="1"/>
  <c r="H2082" i="3"/>
  <c r="I2082" i="3" s="1"/>
  <c r="G2082" i="3"/>
  <c r="F2082" i="3"/>
  <c r="E2082" i="3"/>
  <c r="D2082" i="3"/>
  <c r="L2082" i="3" s="1"/>
  <c r="H2081" i="3"/>
  <c r="J2081" i="3" s="1"/>
  <c r="G2081" i="3"/>
  <c r="F2081" i="3"/>
  <c r="E2081" i="3"/>
  <c r="D2081" i="3"/>
  <c r="L2081" i="3" s="1"/>
  <c r="K2080" i="3"/>
  <c r="J2080" i="3"/>
  <c r="H2080" i="3"/>
  <c r="I2080" i="3" s="1"/>
  <c r="G2080" i="3"/>
  <c r="F2080" i="3"/>
  <c r="E2080" i="3"/>
  <c r="D2080" i="3"/>
  <c r="L2080" i="3" s="1"/>
  <c r="J2079" i="3"/>
  <c r="H2079" i="3"/>
  <c r="I2079" i="3" s="1"/>
  <c r="G2079" i="3"/>
  <c r="F2079" i="3"/>
  <c r="E2079" i="3"/>
  <c r="D2079" i="3"/>
  <c r="L2079" i="3" s="1"/>
  <c r="H2078" i="3"/>
  <c r="J2078" i="3" s="1"/>
  <c r="G2078" i="3"/>
  <c r="F2078" i="3"/>
  <c r="E2078" i="3"/>
  <c r="D2078" i="3"/>
  <c r="L2078" i="3" s="1"/>
  <c r="H2077" i="3"/>
  <c r="K2077" i="3" s="1"/>
  <c r="G2077" i="3"/>
  <c r="F2077" i="3"/>
  <c r="E2077" i="3"/>
  <c r="D2077" i="3"/>
  <c r="L2077" i="3" s="1"/>
  <c r="I2076" i="3"/>
  <c r="H2076" i="3"/>
  <c r="K2076" i="3" s="1"/>
  <c r="G2076" i="3"/>
  <c r="F2076" i="3"/>
  <c r="E2076" i="3"/>
  <c r="D2076" i="3"/>
  <c r="L2076" i="3" s="1"/>
  <c r="I2075" i="3"/>
  <c r="H2075" i="3"/>
  <c r="K2075" i="3" s="1"/>
  <c r="G2075" i="3"/>
  <c r="F2075" i="3"/>
  <c r="E2075" i="3"/>
  <c r="D2075" i="3"/>
  <c r="L2075" i="3" s="1"/>
  <c r="H2074" i="3"/>
  <c r="G2074" i="3"/>
  <c r="F2074" i="3"/>
  <c r="E2074" i="3"/>
  <c r="D2074" i="3"/>
  <c r="L2074" i="3" s="1"/>
  <c r="H2073" i="3"/>
  <c r="I2073" i="3" s="1"/>
  <c r="G2073" i="3"/>
  <c r="F2073" i="3"/>
  <c r="E2073" i="3"/>
  <c r="D2073" i="3"/>
  <c r="L2073" i="3" s="1"/>
  <c r="J2072" i="3"/>
  <c r="I2072" i="3"/>
  <c r="H2072" i="3"/>
  <c r="K2072" i="3" s="1"/>
  <c r="G2072" i="3"/>
  <c r="F2072" i="3"/>
  <c r="E2072" i="3"/>
  <c r="D2072" i="3"/>
  <c r="L2072" i="3" s="1"/>
  <c r="H2071" i="3"/>
  <c r="I2071" i="3" s="1"/>
  <c r="G2071" i="3"/>
  <c r="F2071" i="3"/>
  <c r="E2071" i="3"/>
  <c r="D2071" i="3"/>
  <c r="L2071" i="3" s="1"/>
  <c r="H2070" i="3"/>
  <c r="J2070" i="3" s="1"/>
  <c r="G2070" i="3"/>
  <c r="F2070" i="3"/>
  <c r="E2070" i="3"/>
  <c r="D2070" i="3"/>
  <c r="L2070" i="3" s="1"/>
  <c r="L2069" i="3"/>
  <c r="H2069" i="3"/>
  <c r="K2069" i="3" s="1"/>
  <c r="G2069" i="3"/>
  <c r="F2069" i="3"/>
  <c r="E2069" i="3"/>
  <c r="D2069" i="3"/>
  <c r="J2068" i="3"/>
  <c r="I2068" i="3"/>
  <c r="H2068" i="3"/>
  <c r="K2068" i="3" s="1"/>
  <c r="G2068" i="3"/>
  <c r="F2068" i="3"/>
  <c r="E2068" i="3"/>
  <c r="D2068" i="3"/>
  <c r="L2068" i="3" s="1"/>
  <c r="J2067" i="3"/>
  <c r="I2067" i="3"/>
  <c r="H2067" i="3"/>
  <c r="K2067" i="3" s="1"/>
  <c r="G2067" i="3"/>
  <c r="F2067" i="3"/>
  <c r="E2067" i="3"/>
  <c r="D2067" i="3"/>
  <c r="L2067" i="3" s="1"/>
  <c r="H2066" i="3"/>
  <c r="G2066" i="3"/>
  <c r="F2066" i="3"/>
  <c r="E2066" i="3"/>
  <c r="D2066" i="3"/>
  <c r="L2066" i="3" s="1"/>
  <c r="H2065" i="3"/>
  <c r="G2065" i="3"/>
  <c r="F2065" i="3"/>
  <c r="E2065" i="3"/>
  <c r="D2065" i="3"/>
  <c r="L2065" i="3" s="1"/>
  <c r="J2064" i="3"/>
  <c r="H2064" i="3"/>
  <c r="K2064" i="3" s="1"/>
  <c r="G2064" i="3"/>
  <c r="F2064" i="3"/>
  <c r="E2064" i="3"/>
  <c r="D2064" i="3"/>
  <c r="L2064" i="3" s="1"/>
  <c r="K2063" i="3"/>
  <c r="J2063" i="3"/>
  <c r="H2063" i="3"/>
  <c r="I2063" i="3" s="1"/>
  <c r="G2063" i="3"/>
  <c r="F2063" i="3"/>
  <c r="E2063" i="3"/>
  <c r="D2063" i="3"/>
  <c r="L2063" i="3" s="1"/>
  <c r="H2062" i="3"/>
  <c r="J2062" i="3" s="1"/>
  <c r="G2062" i="3"/>
  <c r="F2062" i="3"/>
  <c r="E2062" i="3"/>
  <c r="D2062" i="3"/>
  <c r="L2062" i="3" s="1"/>
  <c r="H2061" i="3"/>
  <c r="K2061" i="3" s="1"/>
  <c r="G2061" i="3"/>
  <c r="F2061" i="3"/>
  <c r="E2061" i="3"/>
  <c r="D2061" i="3"/>
  <c r="L2061" i="3" s="1"/>
  <c r="I2060" i="3"/>
  <c r="H2060" i="3"/>
  <c r="K2060" i="3" s="1"/>
  <c r="G2060" i="3"/>
  <c r="F2060" i="3"/>
  <c r="E2060" i="3"/>
  <c r="D2060" i="3"/>
  <c r="L2060" i="3" s="1"/>
  <c r="I2059" i="3"/>
  <c r="H2059" i="3"/>
  <c r="K2059" i="3" s="1"/>
  <c r="G2059" i="3"/>
  <c r="F2059" i="3"/>
  <c r="E2059" i="3"/>
  <c r="D2059" i="3"/>
  <c r="L2059" i="3" s="1"/>
  <c r="H2058" i="3"/>
  <c r="G2058" i="3"/>
  <c r="F2058" i="3"/>
  <c r="E2058" i="3"/>
  <c r="D2058" i="3"/>
  <c r="L2058" i="3" s="1"/>
  <c r="H2057" i="3"/>
  <c r="I2057" i="3" s="1"/>
  <c r="G2057" i="3"/>
  <c r="F2057" i="3"/>
  <c r="E2057" i="3"/>
  <c r="D2057" i="3"/>
  <c r="L2057" i="3" s="1"/>
  <c r="H2056" i="3"/>
  <c r="K2056" i="3" s="1"/>
  <c r="G2056" i="3"/>
  <c r="F2056" i="3"/>
  <c r="E2056" i="3"/>
  <c r="D2056" i="3"/>
  <c r="L2056" i="3" s="1"/>
  <c r="J2055" i="3"/>
  <c r="H2055" i="3"/>
  <c r="I2055" i="3" s="1"/>
  <c r="G2055" i="3"/>
  <c r="F2055" i="3"/>
  <c r="E2055" i="3"/>
  <c r="D2055" i="3"/>
  <c r="L2055" i="3" s="1"/>
  <c r="H2054" i="3"/>
  <c r="J2054" i="3" s="1"/>
  <c r="G2054" i="3"/>
  <c r="F2054" i="3"/>
  <c r="E2054" i="3"/>
  <c r="D2054" i="3"/>
  <c r="L2054" i="3" s="1"/>
  <c r="L2053" i="3"/>
  <c r="H2053" i="3"/>
  <c r="K2053" i="3" s="1"/>
  <c r="G2053" i="3"/>
  <c r="F2053" i="3"/>
  <c r="E2053" i="3"/>
  <c r="D2053" i="3"/>
  <c r="H2052" i="3"/>
  <c r="K2052" i="3" s="1"/>
  <c r="G2052" i="3"/>
  <c r="F2052" i="3"/>
  <c r="E2052" i="3"/>
  <c r="D2052" i="3"/>
  <c r="L2052" i="3" s="1"/>
  <c r="H2051" i="3"/>
  <c r="I2051" i="3" s="1"/>
  <c r="G2051" i="3"/>
  <c r="F2051" i="3"/>
  <c r="E2051" i="3"/>
  <c r="D2051" i="3"/>
  <c r="L2051" i="3" s="1"/>
  <c r="H2050" i="3"/>
  <c r="G2050" i="3"/>
  <c r="F2050" i="3"/>
  <c r="E2050" i="3"/>
  <c r="D2050" i="3"/>
  <c r="L2050" i="3" s="1"/>
  <c r="H2049" i="3"/>
  <c r="G2049" i="3"/>
  <c r="F2049" i="3"/>
  <c r="E2049" i="3"/>
  <c r="D2049" i="3"/>
  <c r="L2049" i="3" s="1"/>
  <c r="J2048" i="3"/>
  <c r="I2048" i="3"/>
  <c r="H2048" i="3"/>
  <c r="K2048" i="3" s="1"/>
  <c r="G2048" i="3"/>
  <c r="F2048" i="3"/>
  <c r="E2048" i="3"/>
  <c r="D2048" i="3"/>
  <c r="L2048" i="3" s="1"/>
  <c r="H2047" i="3"/>
  <c r="I2047" i="3" s="1"/>
  <c r="G2047" i="3"/>
  <c r="F2047" i="3"/>
  <c r="E2047" i="3"/>
  <c r="D2047" i="3"/>
  <c r="L2047" i="3" s="1"/>
  <c r="H2046" i="3"/>
  <c r="J2046" i="3" s="1"/>
  <c r="G2046" i="3"/>
  <c r="F2046" i="3"/>
  <c r="E2046" i="3"/>
  <c r="D2046" i="3"/>
  <c r="L2046" i="3" s="1"/>
  <c r="I2045" i="3"/>
  <c r="H2045" i="3"/>
  <c r="K2045" i="3" s="1"/>
  <c r="G2045" i="3"/>
  <c r="F2045" i="3"/>
  <c r="E2045" i="3"/>
  <c r="D2045" i="3"/>
  <c r="L2045" i="3" s="1"/>
  <c r="H2044" i="3"/>
  <c r="K2044" i="3" s="1"/>
  <c r="G2044" i="3"/>
  <c r="F2044" i="3"/>
  <c r="E2044" i="3"/>
  <c r="D2044" i="3"/>
  <c r="L2044" i="3" s="1"/>
  <c r="K2043" i="3"/>
  <c r="J2043" i="3"/>
  <c r="H2043" i="3"/>
  <c r="I2043" i="3" s="1"/>
  <c r="G2043" i="3"/>
  <c r="F2043" i="3"/>
  <c r="E2043" i="3"/>
  <c r="D2043" i="3"/>
  <c r="L2043" i="3" s="1"/>
  <c r="H2042" i="3"/>
  <c r="G2042" i="3"/>
  <c r="F2042" i="3"/>
  <c r="E2042" i="3"/>
  <c r="D2042" i="3"/>
  <c r="L2042" i="3" s="1"/>
  <c r="H2041" i="3"/>
  <c r="G2041" i="3"/>
  <c r="F2041" i="3"/>
  <c r="E2041" i="3"/>
  <c r="D2041" i="3"/>
  <c r="L2041" i="3" s="1"/>
  <c r="H2040" i="3"/>
  <c r="K2040" i="3" s="1"/>
  <c r="G2040" i="3"/>
  <c r="F2040" i="3"/>
  <c r="E2040" i="3"/>
  <c r="D2040" i="3"/>
  <c r="L2040" i="3" s="1"/>
  <c r="K2039" i="3"/>
  <c r="H2039" i="3"/>
  <c r="I2039" i="3" s="1"/>
  <c r="G2039" i="3"/>
  <c r="F2039" i="3"/>
  <c r="E2039" i="3"/>
  <c r="D2039" i="3"/>
  <c r="L2039" i="3" s="1"/>
  <c r="H2038" i="3"/>
  <c r="J2038" i="3" s="1"/>
  <c r="G2038" i="3"/>
  <c r="F2038" i="3"/>
  <c r="E2038" i="3"/>
  <c r="D2038" i="3"/>
  <c r="L2038" i="3" s="1"/>
  <c r="H2037" i="3"/>
  <c r="K2037" i="3" s="1"/>
  <c r="G2037" i="3"/>
  <c r="F2037" i="3"/>
  <c r="E2037" i="3"/>
  <c r="D2037" i="3"/>
  <c r="L2037" i="3" s="1"/>
  <c r="H2036" i="3"/>
  <c r="G2036" i="3"/>
  <c r="F2036" i="3"/>
  <c r="E2036" i="3"/>
  <c r="D2036" i="3"/>
  <c r="L2036" i="3" s="1"/>
  <c r="K2035" i="3"/>
  <c r="I2035" i="3"/>
  <c r="H2035" i="3"/>
  <c r="J2035" i="3" s="1"/>
  <c r="G2035" i="3"/>
  <c r="F2035" i="3"/>
  <c r="E2035" i="3"/>
  <c r="D2035" i="3"/>
  <c r="L2035" i="3" s="1"/>
  <c r="H2034" i="3"/>
  <c r="G2034" i="3"/>
  <c r="F2034" i="3"/>
  <c r="E2034" i="3"/>
  <c r="D2034" i="3"/>
  <c r="L2034" i="3" s="1"/>
  <c r="H2033" i="3"/>
  <c r="J2033" i="3" s="1"/>
  <c r="G2033" i="3"/>
  <c r="F2033" i="3"/>
  <c r="E2033" i="3"/>
  <c r="D2033" i="3"/>
  <c r="L2033" i="3" s="1"/>
  <c r="H2032" i="3"/>
  <c r="K2032" i="3" s="1"/>
  <c r="G2032" i="3"/>
  <c r="F2032" i="3"/>
  <c r="E2032" i="3"/>
  <c r="D2032" i="3"/>
  <c r="L2032" i="3" s="1"/>
  <c r="H2031" i="3"/>
  <c r="I2031" i="3" s="1"/>
  <c r="G2031" i="3"/>
  <c r="F2031" i="3"/>
  <c r="E2031" i="3"/>
  <c r="D2031" i="3"/>
  <c r="L2031" i="3" s="1"/>
  <c r="H2030" i="3"/>
  <c r="J2030" i="3" s="1"/>
  <c r="G2030" i="3"/>
  <c r="F2030" i="3"/>
  <c r="E2030" i="3"/>
  <c r="D2030" i="3"/>
  <c r="L2030" i="3" s="1"/>
  <c r="L2029" i="3"/>
  <c r="H2029" i="3"/>
  <c r="K2029" i="3" s="1"/>
  <c r="G2029" i="3"/>
  <c r="F2029" i="3"/>
  <c r="E2029" i="3"/>
  <c r="D2029" i="3"/>
  <c r="H2028" i="3"/>
  <c r="G2028" i="3"/>
  <c r="F2028" i="3"/>
  <c r="E2028" i="3"/>
  <c r="D2028" i="3"/>
  <c r="L2028" i="3" s="1"/>
  <c r="H2027" i="3"/>
  <c r="K2027" i="3" s="1"/>
  <c r="G2027" i="3"/>
  <c r="F2027" i="3"/>
  <c r="E2027" i="3"/>
  <c r="D2027" i="3"/>
  <c r="L2027" i="3" s="1"/>
  <c r="H2026" i="3"/>
  <c r="J2026" i="3" s="1"/>
  <c r="G2026" i="3"/>
  <c r="F2026" i="3"/>
  <c r="E2026" i="3"/>
  <c r="D2026" i="3"/>
  <c r="L2026" i="3" s="1"/>
  <c r="H2025" i="3"/>
  <c r="J2025" i="3" s="1"/>
  <c r="G2025" i="3"/>
  <c r="F2025" i="3"/>
  <c r="E2025" i="3"/>
  <c r="D2025" i="3"/>
  <c r="L2025" i="3" s="1"/>
  <c r="J2024" i="3"/>
  <c r="H2024" i="3"/>
  <c r="K2024" i="3" s="1"/>
  <c r="G2024" i="3"/>
  <c r="F2024" i="3"/>
  <c r="E2024" i="3"/>
  <c r="D2024" i="3"/>
  <c r="L2024" i="3" s="1"/>
  <c r="K2023" i="3"/>
  <c r="J2023" i="3"/>
  <c r="H2023" i="3"/>
  <c r="I2023" i="3" s="1"/>
  <c r="G2023" i="3"/>
  <c r="F2023" i="3"/>
  <c r="E2023" i="3"/>
  <c r="D2023" i="3"/>
  <c r="L2023" i="3" s="1"/>
  <c r="L2022" i="3"/>
  <c r="H2022" i="3"/>
  <c r="J2022" i="3" s="1"/>
  <c r="G2022" i="3"/>
  <c r="F2022" i="3"/>
  <c r="E2022" i="3"/>
  <c r="D2022" i="3"/>
  <c r="L2021" i="3"/>
  <c r="H2021" i="3"/>
  <c r="K2021" i="3" s="1"/>
  <c r="G2021" i="3"/>
  <c r="F2021" i="3"/>
  <c r="E2021" i="3"/>
  <c r="D2021" i="3"/>
  <c r="H2020" i="3"/>
  <c r="G2020" i="3"/>
  <c r="F2020" i="3"/>
  <c r="E2020" i="3"/>
  <c r="D2020" i="3"/>
  <c r="L2020" i="3" s="1"/>
  <c r="J2019" i="3"/>
  <c r="I2019" i="3"/>
  <c r="H2019" i="3"/>
  <c r="K2019" i="3" s="1"/>
  <c r="G2019" i="3"/>
  <c r="F2019" i="3"/>
  <c r="E2019" i="3"/>
  <c r="D2019" i="3"/>
  <c r="L2019" i="3" s="1"/>
  <c r="H2018" i="3"/>
  <c r="J2018" i="3" s="1"/>
  <c r="G2018" i="3"/>
  <c r="F2018" i="3"/>
  <c r="E2018" i="3"/>
  <c r="D2018" i="3"/>
  <c r="L2018" i="3" s="1"/>
  <c r="H2017" i="3"/>
  <c r="G2017" i="3"/>
  <c r="F2017" i="3"/>
  <c r="E2017" i="3"/>
  <c r="D2017" i="3"/>
  <c r="L2017" i="3" s="1"/>
  <c r="I2016" i="3"/>
  <c r="H2016" i="3"/>
  <c r="K2016" i="3" s="1"/>
  <c r="G2016" i="3"/>
  <c r="F2016" i="3"/>
  <c r="E2016" i="3"/>
  <c r="D2016" i="3"/>
  <c r="L2016" i="3" s="1"/>
  <c r="H2015" i="3"/>
  <c r="I2015" i="3" s="1"/>
  <c r="G2015" i="3"/>
  <c r="F2015" i="3"/>
  <c r="E2015" i="3"/>
  <c r="D2015" i="3"/>
  <c r="L2015" i="3" s="1"/>
  <c r="L2014" i="3"/>
  <c r="H2014" i="3"/>
  <c r="K2014" i="3" s="1"/>
  <c r="G2014" i="3"/>
  <c r="F2014" i="3"/>
  <c r="E2014" i="3"/>
  <c r="D2014" i="3"/>
  <c r="H2013" i="3"/>
  <c r="K2013" i="3" s="1"/>
  <c r="G2013" i="3"/>
  <c r="F2013" i="3"/>
  <c r="E2013" i="3"/>
  <c r="D2013" i="3"/>
  <c r="L2013" i="3" s="1"/>
  <c r="H2012" i="3"/>
  <c r="G2012" i="3"/>
  <c r="F2012" i="3"/>
  <c r="E2012" i="3"/>
  <c r="D2012" i="3"/>
  <c r="L2012" i="3" s="1"/>
  <c r="K2011" i="3"/>
  <c r="J2011" i="3"/>
  <c r="I2011" i="3"/>
  <c r="H2011" i="3"/>
  <c r="G2011" i="3"/>
  <c r="F2011" i="3"/>
  <c r="E2011" i="3"/>
  <c r="D2011" i="3"/>
  <c r="L2011" i="3" s="1"/>
  <c r="L2010" i="3"/>
  <c r="H2010" i="3"/>
  <c r="J2010" i="3" s="1"/>
  <c r="G2010" i="3"/>
  <c r="F2010" i="3"/>
  <c r="E2010" i="3"/>
  <c r="D2010" i="3"/>
  <c r="H2009" i="3"/>
  <c r="J2009" i="3" s="1"/>
  <c r="G2009" i="3"/>
  <c r="F2009" i="3"/>
  <c r="E2009" i="3"/>
  <c r="D2009" i="3"/>
  <c r="L2009" i="3" s="1"/>
  <c r="H2008" i="3"/>
  <c r="K2008" i="3" s="1"/>
  <c r="G2008" i="3"/>
  <c r="F2008" i="3"/>
  <c r="E2008" i="3"/>
  <c r="D2008" i="3"/>
  <c r="L2008" i="3" s="1"/>
  <c r="J2007" i="3"/>
  <c r="H2007" i="3"/>
  <c r="I2007" i="3" s="1"/>
  <c r="G2007" i="3"/>
  <c r="F2007" i="3"/>
  <c r="E2007" i="3"/>
  <c r="D2007" i="3"/>
  <c r="L2007" i="3" s="1"/>
  <c r="H2006" i="3"/>
  <c r="G2006" i="3"/>
  <c r="F2006" i="3"/>
  <c r="E2006" i="3"/>
  <c r="D2006" i="3"/>
  <c r="L2006" i="3" s="1"/>
  <c r="I2005" i="3"/>
  <c r="H2005" i="3"/>
  <c r="K2005" i="3" s="1"/>
  <c r="G2005" i="3"/>
  <c r="F2005" i="3"/>
  <c r="E2005" i="3"/>
  <c r="D2005" i="3"/>
  <c r="L2005" i="3" s="1"/>
  <c r="H2004" i="3"/>
  <c r="G2004" i="3"/>
  <c r="F2004" i="3"/>
  <c r="E2004" i="3"/>
  <c r="D2004" i="3"/>
  <c r="L2004" i="3" s="1"/>
  <c r="J2003" i="3"/>
  <c r="H2003" i="3"/>
  <c r="K2003" i="3" s="1"/>
  <c r="G2003" i="3"/>
  <c r="F2003" i="3"/>
  <c r="E2003" i="3"/>
  <c r="D2003" i="3"/>
  <c r="L2003" i="3" s="1"/>
  <c r="H2002" i="3"/>
  <c r="G2002" i="3"/>
  <c r="F2002" i="3"/>
  <c r="E2002" i="3"/>
  <c r="D2002" i="3"/>
  <c r="L2002" i="3" s="1"/>
  <c r="K2001" i="3"/>
  <c r="H2001" i="3"/>
  <c r="J2001" i="3" s="1"/>
  <c r="G2001" i="3"/>
  <c r="F2001" i="3"/>
  <c r="E2001" i="3"/>
  <c r="D2001" i="3"/>
  <c r="L2001" i="3" s="1"/>
  <c r="L2000" i="3"/>
  <c r="J2000" i="3"/>
  <c r="I2000" i="3"/>
  <c r="H2000" i="3"/>
  <c r="K2000" i="3" s="1"/>
  <c r="G2000" i="3"/>
  <c r="F2000" i="3"/>
  <c r="E2000" i="3"/>
  <c r="D2000" i="3"/>
  <c r="H1999" i="3"/>
  <c r="I1999" i="3" s="1"/>
  <c r="G1999" i="3"/>
  <c r="F1999" i="3"/>
  <c r="E1999" i="3"/>
  <c r="D1999" i="3"/>
  <c r="L1999" i="3" s="1"/>
  <c r="H1998" i="3"/>
  <c r="G1998" i="3"/>
  <c r="F1998" i="3"/>
  <c r="E1998" i="3"/>
  <c r="D1998" i="3"/>
  <c r="L1998" i="3" s="1"/>
  <c r="L1997" i="3"/>
  <c r="H1997" i="3"/>
  <c r="G1997" i="3"/>
  <c r="F1997" i="3"/>
  <c r="E1997" i="3"/>
  <c r="D1997" i="3"/>
  <c r="H1996" i="3"/>
  <c r="G1996" i="3"/>
  <c r="F1996" i="3"/>
  <c r="E1996" i="3"/>
  <c r="D1996" i="3"/>
  <c r="L1996" i="3" s="1"/>
  <c r="K1995" i="3"/>
  <c r="J1995" i="3"/>
  <c r="I1995" i="3"/>
  <c r="H1995" i="3"/>
  <c r="G1995" i="3"/>
  <c r="F1995" i="3"/>
  <c r="E1995" i="3"/>
  <c r="D1995" i="3"/>
  <c r="L1995" i="3" s="1"/>
  <c r="H1994" i="3"/>
  <c r="G1994" i="3"/>
  <c r="F1994" i="3"/>
  <c r="E1994" i="3"/>
  <c r="D1994" i="3"/>
  <c r="L1994" i="3" s="1"/>
  <c r="H1993" i="3"/>
  <c r="J1993" i="3" s="1"/>
  <c r="G1993" i="3"/>
  <c r="F1993" i="3"/>
  <c r="E1993" i="3"/>
  <c r="D1993" i="3"/>
  <c r="L1993" i="3" s="1"/>
  <c r="L1992" i="3"/>
  <c r="I1992" i="3"/>
  <c r="H1992" i="3"/>
  <c r="K1992" i="3" s="1"/>
  <c r="G1992" i="3"/>
  <c r="F1992" i="3"/>
  <c r="E1992" i="3"/>
  <c r="D1992" i="3"/>
  <c r="H1991" i="3"/>
  <c r="I1991" i="3" s="1"/>
  <c r="G1991" i="3"/>
  <c r="F1991" i="3"/>
  <c r="E1991" i="3"/>
  <c r="D1991" i="3"/>
  <c r="L1991" i="3" s="1"/>
  <c r="H1990" i="3"/>
  <c r="K1990" i="3" s="1"/>
  <c r="G1990" i="3"/>
  <c r="F1990" i="3"/>
  <c r="E1990" i="3"/>
  <c r="D1990" i="3"/>
  <c r="L1990" i="3" s="1"/>
  <c r="H1989" i="3"/>
  <c r="K1989" i="3" s="1"/>
  <c r="G1989" i="3"/>
  <c r="F1989" i="3"/>
  <c r="E1989" i="3"/>
  <c r="D1989" i="3"/>
  <c r="L1989" i="3" s="1"/>
  <c r="H1988" i="3"/>
  <c r="J1988" i="3" s="1"/>
  <c r="G1988" i="3"/>
  <c r="F1988" i="3"/>
  <c r="E1988" i="3"/>
  <c r="D1988" i="3"/>
  <c r="L1988" i="3" s="1"/>
  <c r="H1987" i="3"/>
  <c r="G1987" i="3"/>
  <c r="F1987" i="3"/>
  <c r="E1987" i="3"/>
  <c r="D1987" i="3"/>
  <c r="L1987" i="3" s="1"/>
  <c r="H1986" i="3"/>
  <c r="G1986" i="3"/>
  <c r="F1986" i="3"/>
  <c r="E1986" i="3"/>
  <c r="D1986" i="3"/>
  <c r="L1986" i="3" s="1"/>
  <c r="H1985" i="3"/>
  <c r="J1985" i="3" s="1"/>
  <c r="G1985" i="3"/>
  <c r="F1985" i="3"/>
  <c r="E1985" i="3"/>
  <c r="D1985" i="3"/>
  <c r="L1985" i="3" s="1"/>
  <c r="J1984" i="3"/>
  <c r="H1984" i="3"/>
  <c r="K1984" i="3" s="1"/>
  <c r="G1984" i="3"/>
  <c r="F1984" i="3"/>
  <c r="E1984" i="3"/>
  <c r="D1984" i="3"/>
  <c r="L1984" i="3" s="1"/>
  <c r="K1983" i="3"/>
  <c r="J1983" i="3"/>
  <c r="H1983" i="3"/>
  <c r="I1983" i="3" s="1"/>
  <c r="G1983" i="3"/>
  <c r="F1983" i="3"/>
  <c r="E1983" i="3"/>
  <c r="D1983" i="3"/>
  <c r="L1983" i="3" s="1"/>
  <c r="L1982" i="3"/>
  <c r="H1982" i="3"/>
  <c r="K1982" i="3" s="1"/>
  <c r="G1982" i="3"/>
  <c r="F1982" i="3"/>
  <c r="E1982" i="3"/>
  <c r="D1982" i="3"/>
  <c r="I1981" i="3"/>
  <c r="H1981" i="3"/>
  <c r="K1981" i="3" s="1"/>
  <c r="G1981" i="3"/>
  <c r="F1981" i="3"/>
  <c r="E1981" i="3"/>
  <c r="D1981" i="3"/>
  <c r="L1981" i="3" s="1"/>
  <c r="H1980" i="3"/>
  <c r="G1980" i="3"/>
  <c r="F1980" i="3"/>
  <c r="E1980" i="3"/>
  <c r="D1980" i="3"/>
  <c r="L1980" i="3" s="1"/>
  <c r="J1979" i="3"/>
  <c r="H1979" i="3"/>
  <c r="K1979" i="3" s="1"/>
  <c r="G1979" i="3"/>
  <c r="F1979" i="3"/>
  <c r="E1979" i="3"/>
  <c r="D1979" i="3"/>
  <c r="L1979" i="3" s="1"/>
  <c r="H1978" i="3"/>
  <c r="J1978" i="3" s="1"/>
  <c r="G1978" i="3"/>
  <c r="F1978" i="3"/>
  <c r="E1978" i="3"/>
  <c r="D1978" i="3"/>
  <c r="L1978" i="3" s="1"/>
  <c r="H1977" i="3"/>
  <c r="J1977" i="3" s="1"/>
  <c r="G1977" i="3"/>
  <c r="F1977" i="3"/>
  <c r="E1977" i="3"/>
  <c r="D1977" i="3"/>
  <c r="L1977" i="3" s="1"/>
  <c r="H1976" i="3"/>
  <c r="K1976" i="3" s="1"/>
  <c r="G1976" i="3"/>
  <c r="F1976" i="3"/>
  <c r="E1976" i="3"/>
  <c r="D1976" i="3"/>
  <c r="L1976" i="3" s="1"/>
  <c r="K1975" i="3"/>
  <c r="J1975" i="3"/>
  <c r="H1975" i="3"/>
  <c r="I1975" i="3" s="1"/>
  <c r="G1975" i="3"/>
  <c r="F1975" i="3"/>
  <c r="E1975" i="3"/>
  <c r="D1975" i="3"/>
  <c r="L1975" i="3" s="1"/>
  <c r="K1974" i="3"/>
  <c r="H1974" i="3"/>
  <c r="G1974" i="3"/>
  <c r="F1974" i="3"/>
  <c r="E1974" i="3"/>
  <c r="D1974" i="3"/>
  <c r="L1974" i="3" s="1"/>
  <c r="L1973" i="3"/>
  <c r="H1973" i="3"/>
  <c r="K1973" i="3" s="1"/>
  <c r="G1973" i="3"/>
  <c r="F1973" i="3"/>
  <c r="E1973" i="3"/>
  <c r="D1973" i="3"/>
  <c r="H1972" i="3"/>
  <c r="G1972" i="3"/>
  <c r="F1972" i="3"/>
  <c r="E1972" i="3"/>
  <c r="D1972" i="3"/>
  <c r="L1972" i="3" s="1"/>
  <c r="K1971" i="3"/>
  <c r="I1971" i="3"/>
  <c r="H1971" i="3"/>
  <c r="J1971" i="3" s="1"/>
  <c r="G1971" i="3"/>
  <c r="F1971" i="3"/>
  <c r="E1971" i="3"/>
  <c r="D1971" i="3"/>
  <c r="L1971" i="3" s="1"/>
  <c r="H1970" i="3"/>
  <c r="G1970" i="3"/>
  <c r="F1970" i="3"/>
  <c r="E1970" i="3"/>
  <c r="D1970" i="3"/>
  <c r="L1970" i="3" s="1"/>
  <c r="H1969" i="3"/>
  <c r="J1969" i="3" s="1"/>
  <c r="G1969" i="3"/>
  <c r="F1969" i="3"/>
  <c r="E1969" i="3"/>
  <c r="D1969" i="3"/>
  <c r="L1969" i="3" s="1"/>
  <c r="J1968" i="3"/>
  <c r="H1968" i="3"/>
  <c r="K1968" i="3" s="1"/>
  <c r="G1968" i="3"/>
  <c r="F1968" i="3"/>
  <c r="E1968" i="3"/>
  <c r="D1968" i="3"/>
  <c r="L1968" i="3" s="1"/>
  <c r="J1967" i="3"/>
  <c r="H1967" i="3"/>
  <c r="I1967" i="3" s="1"/>
  <c r="G1967" i="3"/>
  <c r="F1967" i="3"/>
  <c r="E1967" i="3"/>
  <c r="D1967" i="3"/>
  <c r="L1967" i="3" s="1"/>
  <c r="K1966" i="3"/>
  <c r="H1966" i="3"/>
  <c r="G1966" i="3"/>
  <c r="F1966" i="3"/>
  <c r="E1966" i="3"/>
  <c r="D1966" i="3"/>
  <c r="L1966" i="3" s="1"/>
  <c r="I1965" i="3"/>
  <c r="H1965" i="3"/>
  <c r="G1965" i="3"/>
  <c r="F1965" i="3"/>
  <c r="E1965" i="3"/>
  <c r="D1965" i="3"/>
  <c r="L1965" i="3" s="1"/>
  <c r="H1964" i="3"/>
  <c r="K1964" i="3" s="1"/>
  <c r="G1964" i="3"/>
  <c r="F1964" i="3"/>
  <c r="E1964" i="3"/>
  <c r="D1964" i="3"/>
  <c r="L1964" i="3" s="1"/>
  <c r="K1963" i="3"/>
  <c r="J1963" i="3"/>
  <c r="H1963" i="3"/>
  <c r="I1963" i="3" s="1"/>
  <c r="G1963" i="3"/>
  <c r="F1963" i="3"/>
  <c r="E1963" i="3"/>
  <c r="D1963" i="3"/>
  <c r="L1963" i="3" s="1"/>
  <c r="L1962" i="3"/>
  <c r="K1962" i="3"/>
  <c r="H1962" i="3"/>
  <c r="I1962" i="3" s="1"/>
  <c r="G1962" i="3"/>
  <c r="F1962" i="3"/>
  <c r="E1962" i="3"/>
  <c r="D1962" i="3"/>
  <c r="L1961" i="3"/>
  <c r="K1961" i="3"/>
  <c r="H1961" i="3"/>
  <c r="J1961" i="3" s="1"/>
  <c r="G1961" i="3"/>
  <c r="F1961" i="3"/>
  <c r="E1961" i="3"/>
  <c r="D1961" i="3"/>
  <c r="L1960" i="3"/>
  <c r="I1960" i="3"/>
  <c r="H1960" i="3"/>
  <c r="G1960" i="3"/>
  <c r="F1960" i="3"/>
  <c r="E1960" i="3"/>
  <c r="D1960" i="3"/>
  <c r="H1959" i="3"/>
  <c r="G1959" i="3"/>
  <c r="F1959" i="3"/>
  <c r="E1959" i="3"/>
  <c r="D1959" i="3"/>
  <c r="L1959" i="3" s="1"/>
  <c r="H1958" i="3"/>
  <c r="G1958" i="3"/>
  <c r="F1958" i="3"/>
  <c r="E1958" i="3"/>
  <c r="D1958" i="3"/>
  <c r="L1958" i="3" s="1"/>
  <c r="H1957" i="3"/>
  <c r="G1957" i="3"/>
  <c r="F1957" i="3"/>
  <c r="E1957" i="3"/>
  <c r="D1957" i="3"/>
  <c r="L1957" i="3" s="1"/>
  <c r="J1956" i="3"/>
  <c r="I1956" i="3"/>
  <c r="H1956" i="3"/>
  <c r="K1956" i="3" s="1"/>
  <c r="G1956" i="3"/>
  <c r="F1956" i="3"/>
  <c r="E1956" i="3"/>
  <c r="D1956" i="3"/>
  <c r="L1956" i="3" s="1"/>
  <c r="K1955" i="3"/>
  <c r="J1955" i="3"/>
  <c r="I1955" i="3"/>
  <c r="H1955" i="3"/>
  <c r="G1955" i="3"/>
  <c r="F1955" i="3"/>
  <c r="E1955" i="3"/>
  <c r="D1955" i="3"/>
  <c r="L1955" i="3" s="1"/>
  <c r="H1954" i="3"/>
  <c r="G1954" i="3"/>
  <c r="F1954" i="3"/>
  <c r="E1954" i="3"/>
  <c r="D1954" i="3"/>
  <c r="L1954" i="3" s="1"/>
  <c r="H1953" i="3"/>
  <c r="J1953" i="3" s="1"/>
  <c r="G1953" i="3"/>
  <c r="F1953" i="3"/>
  <c r="E1953" i="3"/>
  <c r="D1953" i="3"/>
  <c r="L1953" i="3" s="1"/>
  <c r="J1952" i="3"/>
  <c r="I1952" i="3"/>
  <c r="H1952" i="3"/>
  <c r="K1952" i="3" s="1"/>
  <c r="G1952" i="3"/>
  <c r="F1952" i="3"/>
  <c r="E1952" i="3"/>
  <c r="D1952" i="3"/>
  <c r="L1952" i="3" s="1"/>
  <c r="H1951" i="3"/>
  <c r="I1951" i="3" s="1"/>
  <c r="G1951" i="3"/>
  <c r="F1951" i="3"/>
  <c r="E1951" i="3"/>
  <c r="D1951" i="3"/>
  <c r="L1951" i="3" s="1"/>
  <c r="K1950" i="3"/>
  <c r="I1950" i="3"/>
  <c r="H1950" i="3"/>
  <c r="J1950" i="3" s="1"/>
  <c r="G1950" i="3"/>
  <c r="F1950" i="3"/>
  <c r="E1950" i="3"/>
  <c r="D1950" i="3"/>
  <c r="L1950" i="3" s="1"/>
  <c r="J1949" i="3"/>
  <c r="I1949" i="3"/>
  <c r="H1949" i="3"/>
  <c r="K1949" i="3" s="1"/>
  <c r="G1949" i="3"/>
  <c r="F1949" i="3"/>
  <c r="E1949" i="3"/>
  <c r="D1949" i="3"/>
  <c r="L1949" i="3" s="1"/>
  <c r="J1948" i="3"/>
  <c r="I1948" i="3"/>
  <c r="H1948" i="3"/>
  <c r="K1948" i="3" s="1"/>
  <c r="G1948" i="3"/>
  <c r="F1948" i="3"/>
  <c r="E1948" i="3"/>
  <c r="D1948" i="3"/>
  <c r="L1948" i="3" s="1"/>
  <c r="I1947" i="3"/>
  <c r="H1947" i="3"/>
  <c r="K1947" i="3" s="1"/>
  <c r="G1947" i="3"/>
  <c r="F1947" i="3"/>
  <c r="E1947" i="3"/>
  <c r="D1947" i="3"/>
  <c r="L1947" i="3" s="1"/>
  <c r="H1946" i="3"/>
  <c r="G1946" i="3"/>
  <c r="F1946" i="3"/>
  <c r="E1946" i="3"/>
  <c r="D1946" i="3"/>
  <c r="L1946" i="3" s="1"/>
  <c r="H1945" i="3"/>
  <c r="J1945" i="3" s="1"/>
  <c r="G1945" i="3"/>
  <c r="F1945" i="3"/>
  <c r="E1945" i="3"/>
  <c r="D1945" i="3"/>
  <c r="L1945" i="3" s="1"/>
  <c r="J1944" i="3"/>
  <c r="I1944" i="3"/>
  <c r="H1944" i="3"/>
  <c r="K1944" i="3" s="1"/>
  <c r="G1944" i="3"/>
  <c r="F1944" i="3"/>
  <c r="E1944" i="3"/>
  <c r="D1944" i="3"/>
  <c r="L1944" i="3" s="1"/>
  <c r="K1943" i="3"/>
  <c r="H1943" i="3"/>
  <c r="I1943" i="3" s="1"/>
  <c r="G1943" i="3"/>
  <c r="F1943" i="3"/>
  <c r="E1943" i="3"/>
  <c r="D1943" i="3"/>
  <c r="L1943" i="3" s="1"/>
  <c r="K1942" i="3"/>
  <c r="I1942" i="3"/>
  <c r="H1942" i="3"/>
  <c r="J1942" i="3" s="1"/>
  <c r="G1942" i="3"/>
  <c r="F1942" i="3"/>
  <c r="E1942" i="3"/>
  <c r="D1942" i="3"/>
  <c r="L1942" i="3" s="1"/>
  <c r="I1941" i="3"/>
  <c r="H1941" i="3"/>
  <c r="K1941" i="3" s="1"/>
  <c r="G1941" i="3"/>
  <c r="F1941" i="3"/>
  <c r="E1941" i="3"/>
  <c r="D1941" i="3"/>
  <c r="L1941" i="3" s="1"/>
  <c r="J1940" i="3"/>
  <c r="H1940" i="3"/>
  <c r="K1940" i="3" s="1"/>
  <c r="G1940" i="3"/>
  <c r="F1940" i="3"/>
  <c r="E1940" i="3"/>
  <c r="D1940" i="3"/>
  <c r="L1940" i="3" s="1"/>
  <c r="J1939" i="3"/>
  <c r="I1939" i="3"/>
  <c r="H1939" i="3"/>
  <c r="K1939" i="3" s="1"/>
  <c r="G1939" i="3"/>
  <c r="F1939" i="3"/>
  <c r="E1939" i="3"/>
  <c r="D1939" i="3"/>
  <c r="L1939" i="3" s="1"/>
  <c r="H1938" i="3"/>
  <c r="G1938" i="3"/>
  <c r="F1938" i="3"/>
  <c r="E1938" i="3"/>
  <c r="D1938" i="3"/>
  <c r="L1938" i="3" s="1"/>
  <c r="H1937" i="3"/>
  <c r="J1937" i="3" s="1"/>
  <c r="G1937" i="3"/>
  <c r="F1937" i="3"/>
  <c r="E1937" i="3"/>
  <c r="D1937" i="3"/>
  <c r="L1937" i="3" s="1"/>
  <c r="I1936" i="3"/>
  <c r="H1936" i="3"/>
  <c r="K1936" i="3" s="1"/>
  <c r="G1936" i="3"/>
  <c r="F1936" i="3"/>
  <c r="E1936" i="3"/>
  <c r="D1936" i="3"/>
  <c r="L1936" i="3" s="1"/>
  <c r="K1935" i="3"/>
  <c r="H1935" i="3"/>
  <c r="G1935" i="3"/>
  <c r="F1935" i="3"/>
  <c r="E1935" i="3"/>
  <c r="D1935" i="3"/>
  <c r="L1935" i="3" s="1"/>
  <c r="K1934" i="3"/>
  <c r="I1934" i="3"/>
  <c r="H1934" i="3"/>
  <c r="J1934" i="3" s="1"/>
  <c r="G1934" i="3"/>
  <c r="F1934" i="3"/>
  <c r="E1934" i="3"/>
  <c r="D1934" i="3"/>
  <c r="L1934" i="3" s="1"/>
  <c r="H1933" i="3"/>
  <c r="K1933" i="3" s="1"/>
  <c r="G1933" i="3"/>
  <c r="F1933" i="3"/>
  <c r="E1933" i="3"/>
  <c r="D1933" i="3"/>
  <c r="L1933" i="3" s="1"/>
  <c r="H1932" i="3"/>
  <c r="K1932" i="3" s="1"/>
  <c r="G1932" i="3"/>
  <c r="F1932" i="3"/>
  <c r="E1932" i="3"/>
  <c r="D1932" i="3"/>
  <c r="L1932" i="3" s="1"/>
  <c r="I1931" i="3"/>
  <c r="H1931" i="3"/>
  <c r="K1931" i="3" s="1"/>
  <c r="G1931" i="3"/>
  <c r="F1931" i="3"/>
  <c r="E1931" i="3"/>
  <c r="D1931" i="3"/>
  <c r="L1931" i="3" s="1"/>
  <c r="H1930" i="3"/>
  <c r="G1930" i="3"/>
  <c r="F1930" i="3"/>
  <c r="E1930" i="3"/>
  <c r="D1930" i="3"/>
  <c r="L1930" i="3" s="1"/>
  <c r="H1929" i="3"/>
  <c r="G1929" i="3"/>
  <c r="F1929" i="3"/>
  <c r="E1929" i="3"/>
  <c r="D1929" i="3"/>
  <c r="L1929" i="3" s="1"/>
  <c r="I1928" i="3"/>
  <c r="H1928" i="3"/>
  <c r="K1928" i="3" s="1"/>
  <c r="G1928" i="3"/>
  <c r="F1928" i="3"/>
  <c r="E1928" i="3"/>
  <c r="D1928" i="3"/>
  <c r="L1928" i="3" s="1"/>
  <c r="K1927" i="3"/>
  <c r="H1927" i="3"/>
  <c r="G1927" i="3"/>
  <c r="F1927" i="3"/>
  <c r="E1927" i="3"/>
  <c r="D1927" i="3"/>
  <c r="L1927" i="3" s="1"/>
  <c r="K1926" i="3"/>
  <c r="I1926" i="3"/>
  <c r="H1926" i="3"/>
  <c r="J1926" i="3" s="1"/>
  <c r="G1926" i="3"/>
  <c r="F1926" i="3"/>
  <c r="E1926" i="3"/>
  <c r="D1926" i="3"/>
  <c r="L1926" i="3" s="1"/>
  <c r="J1925" i="3"/>
  <c r="I1925" i="3"/>
  <c r="H1925" i="3"/>
  <c r="K1925" i="3" s="1"/>
  <c r="G1925" i="3"/>
  <c r="F1925" i="3"/>
  <c r="E1925" i="3"/>
  <c r="D1925" i="3"/>
  <c r="L1925" i="3" s="1"/>
  <c r="I1924" i="3"/>
  <c r="H1924" i="3"/>
  <c r="K1924" i="3" s="1"/>
  <c r="G1924" i="3"/>
  <c r="F1924" i="3"/>
  <c r="E1924" i="3"/>
  <c r="D1924" i="3"/>
  <c r="L1924" i="3" s="1"/>
  <c r="H1923" i="3"/>
  <c r="K1923" i="3" s="1"/>
  <c r="G1923" i="3"/>
  <c r="F1923" i="3"/>
  <c r="E1923" i="3"/>
  <c r="D1923" i="3"/>
  <c r="L1923" i="3" s="1"/>
  <c r="H1922" i="3"/>
  <c r="G1922" i="3"/>
  <c r="F1922" i="3"/>
  <c r="E1922" i="3"/>
  <c r="D1922" i="3"/>
  <c r="L1922" i="3" s="1"/>
  <c r="H1921" i="3"/>
  <c r="G1921" i="3"/>
  <c r="F1921" i="3"/>
  <c r="E1921" i="3"/>
  <c r="D1921" i="3"/>
  <c r="L1921" i="3" s="1"/>
  <c r="J1920" i="3"/>
  <c r="I1920" i="3"/>
  <c r="H1920" i="3"/>
  <c r="K1920" i="3" s="1"/>
  <c r="G1920" i="3"/>
  <c r="F1920" i="3"/>
  <c r="E1920" i="3"/>
  <c r="D1920" i="3"/>
  <c r="L1920" i="3" s="1"/>
  <c r="H1919" i="3"/>
  <c r="G1919" i="3"/>
  <c r="F1919" i="3"/>
  <c r="E1919" i="3"/>
  <c r="D1919" i="3"/>
  <c r="L1919" i="3" s="1"/>
  <c r="K1918" i="3"/>
  <c r="I1918" i="3"/>
  <c r="H1918" i="3"/>
  <c r="J1918" i="3" s="1"/>
  <c r="G1918" i="3"/>
  <c r="F1918" i="3"/>
  <c r="E1918" i="3"/>
  <c r="D1918" i="3"/>
  <c r="L1918" i="3" s="1"/>
  <c r="J1917" i="3"/>
  <c r="H1917" i="3"/>
  <c r="K1917" i="3" s="1"/>
  <c r="G1917" i="3"/>
  <c r="F1917" i="3"/>
  <c r="E1917" i="3"/>
  <c r="D1917" i="3"/>
  <c r="L1917" i="3" s="1"/>
  <c r="J1916" i="3"/>
  <c r="I1916" i="3"/>
  <c r="H1916" i="3"/>
  <c r="K1916" i="3" s="1"/>
  <c r="G1916" i="3"/>
  <c r="F1916" i="3"/>
  <c r="E1916" i="3"/>
  <c r="D1916" i="3"/>
  <c r="L1916" i="3" s="1"/>
  <c r="J1915" i="3"/>
  <c r="I1915" i="3"/>
  <c r="H1915" i="3"/>
  <c r="K1915" i="3" s="1"/>
  <c r="G1915" i="3"/>
  <c r="F1915" i="3"/>
  <c r="E1915" i="3"/>
  <c r="D1915" i="3"/>
  <c r="L1915" i="3" s="1"/>
  <c r="H1914" i="3"/>
  <c r="G1914" i="3"/>
  <c r="F1914" i="3"/>
  <c r="E1914" i="3"/>
  <c r="D1914" i="3"/>
  <c r="L1914" i="3" s="1"/>
  <c r="H1913" i="3"/>
  <c r="G1913" i="3"/>
  <c r="F1913" i="3"/>
  <c r="E1913" i="3"/>
  <c r="D1913" i="3"/>
  <c r="L1913" i="3" s="1"/>
  <c r="J1912" i="3"/>
  <c r="I1912" i="3"/>
  <c r="H1912" i="3"/>
  <c r="K1912" i="3" s="1"/>
  <c r="G1912" i="3"/>
  <c r="F1912" i="3"/>
  <c r="E1912" i="3"/>
  <c r="D1912" i="3"/>
  <c r="L1912" i="3" s="1"/>
  <c r="K1911" i="3"/>
  <c r="H1911" i="3"/>
  <c r="G1911" i="3"/>
  <c r="F1911" i="3"/>
  <c r="E1911" i="3"/>
  <c r="D1911" i="3"/>
  <c r="L1911" i="3" s="1"/>
  <c r="K1910" i="3"/>
  <c r="I1910" i="3"/>
  <c r="H1910" i="3"/>
  <c r="J1910" i="3" s="1"/>
  <c r="G1910" i="3"/>
  <c r="F1910" i="3"/>
  <c r="E1910" i="3"/>
  <c r="D1910" i="3"/>
  <c r="L1910" i="3" s="1"/>
  <c r="H1909" i="3"/>
  <c r="K1909" i="3" s="1"/>
  <c r="G1909" i="3"/>
  <c r="F1909" i="3"/>
  <c r="E1909" i="3"/>
  <c r="D1909" i="3"/>
  <c r="L1909" i="3" s="1"/>
  <c r="H1908" i="3"/>
  <c r="K1908" i="3" s="1"/>
  <c r="G1908" i="3"/>
  <c r="F1908" i="3"/>
  <c r="E1908" i="3"/>
  <c r="D1908" i="3"/>
  <c r="L1908" i="3" s="1"/>
  <c r="J1907" i="3"/>
  <c r="I1907" i="3"/>
  <c r="H1907" i="3"/>
  <c r="K1907" i="3" s="1"/>
  <c r="G1907" i="3"/>
  <c r="F1907" i="3"/>
  <c r="E1907" i="3"/>
  <c r="D1907" i="3"/>
  <c r="L1907" i="3" s="1"/>
  <c r="H1906" i="3"/>
  <c r="G1906" i="3"/>
  <c r="F1906" i="3"/>
  <c r="E1906" i="3"/>
  <c r="D1906" i="3"/>
  <c r="L1906" i="3" s="1"/>
  <c r="H1905" i="3"/>
  <c r="G1905" i="3"/>
  <c r="F1905" i="3"/>
  <c r="E1905" i="3"/>
  <c r="D1905" i="3"/>
  <c r="L1905" i="3" s="1"/>
  <c r="J1904" i="3"/>
  <c r="I1904" i="3"/>
  <c r="H1904" i="3"/>
  <c r="K1904" i="3" s="1"/>
  <c r="G1904" i="3"/>
  <c r="F1904" i="3"/>
  <c r="E1904" i="3"/>
  <c r="D1904" i="3"/>
  <c r="L1904" i="3" s="1"/>
  <c r="H1903" i="3"/>
  <c r="G1903" i="3"/>
  <c r="F1903" i="3"/>
  <c r="E1903" i="3"/>
  <c r="D1903" i="3"/>
  <c r="L1903" i="3" s="1"/>
  <c r="K1902" i="3"/>
  <c r="I1902" i="3"/>
  <c r="H1902" i="3"/>
  <c r="J1902" i="3" s="1"/>
  <c r="G1902" i="3"/>
  <c r="F1902" i="3"/>
  <c r="E1902" i="3"/>
  <c r="D1902" i="3"/>
  <c r="L1902" i="3" s="1"/>
  <c r="J1901" i="3"/>
  <c r="I1901" i="3"/>
  <c r="H1901" i="3"/>
  <c r="K1901" i="3" s="1"/>
  <c r="G1901" i="3"/>
  <c r="F1901" i="3"/>
  <c r="E1901" i="3"/>
  <c r="D1901" i="3"/>
  <c r="L1901" i="3" s="1"/>
  <c r="J1900" i="3"/>
  <c r="I1900" i="3"/>
  <c r="H1900" i="3"/>
  <c r="K1900" i="3" s="1"/>
  <c r="G1900" i="3"/>
  <c r="F1900" i="3"/>
  <c r="E1900" i="3"/>
  <c r="D1900" i="3"/>
  <c r="L1900" i="3" s="1"/>
  <c r="I1899" i="3"/>
  <c r="H1899" i="3"/>
  <c r="K1899" i="3" s="1"/>
  <c r="G1899" i="3"/>
  <c r="F1899" i="3"/>
  <c r="E1899" i="3"/>
  <c r="D1899" i="3"/>
  <c r="L1899" i="3" s="1"/>
  <c r="H1898" i="3"/>
  <c r="G1898" i="3"/>
  <c r="F1898" i="3"/>
  <c r="E1898" i="3"/>
  <c r="D1898" i="3"/>
  <c r="L1898" i="3" s="1"/>
  <c r="H1897" i="3"/>
  <c r="G1897" i="3"/>
  <c r="F1897" i="3"/>
  <c r="E1897" i="3"/>
  <c r="D1897" i="3"/>
  <c r="L1897" i="3" s="1"/>
  <c r="J1896" i="3"/>
  <c r="I1896" i="3"/>
  <c r="H1896" i="3"/>
  <c r="K1896" i="3" s="1"/>
  <c r="G1896" i="3"/>
  <c r="F1896" i="3"/>
  <c r="E1896" i="3"/>
  <c r="D1896" i="3"/>
  <c r="L1896" i="3" s="1"/>
  <c r="J1895" i="3"/>
  <c r="H1895" i="3"/>
  <c r="I1895" i="3" s="1"/>
  <c r="G1895" i="3"/>
  <c r="F1895" i="3"/>
  <c r="E1895" i="3"/>
  <c r="D1895" i="3"/>
  <c r="L1895" i="3" s="1"/>
  <c r="H1894" i="3"/>
  <c r="J1894" i="3" s="1"/>
  <c r="G1894" i="3"/>
  <c r="F1894" i="3"/>
  <c r="E1894" i="3"/>
  <c r="D1894" i="3"/>
  <c r="L1894" i="3" s="1"/>
  <c r="H1893" i="3"/>
  <c r="K1893" i="3" s="1"/>
  <c r="G1893" i="3"/>
  <c r="F1893" i="3"/>
  <c r="E1893" i="3"/>
  <c r="D1893" i="3"/>
  <c r="L1893" i="3" s="1"/>
  <c r="I1892" i="3"/>
  <c r="H1892" i="3"/>
  <c r="K1892" i="3" s="1"/>
  <c r="G1892" i="3"/>
  <c r="F1892" i="3"/>
  <c r="E1892" i="3"/>
  <c r="D1892" i="3"/>
  <c r="L1892" i="3" s="1"/>
  <c r="J1891" i="3"/>
  <c r="H1891" i="3"/>
  <c r="K1891" i="3" s="1"/>
  <c r="G1891" i="3"/>
  <c r="F1891" i="3"/>
  <c r="E1891" i="3"/>
  <c r="D1891" i="3"/>
  <c r="L1891" i="3" s="1"/>
  <c r="H1890" i="3"/>
  <c r="G1890" i="3"/>
  <c r="F1890" i="3"/>
  <c r="E1890" i="3"/>
  <c r="D1890" i="3"/>
  <c r="L1890" i="3" s="1"/>
  <c r="H1889" i="3"/>
  <c r="J1889" i="3" s="1"/>
  <c r="G1889" i="3"/>
  <c r="F1889" i="3"/>
  <c r="E1889" i="3"/>
  <c r="D1889" i="3"/>
  <c r="L1889" i="3" s="1"/>
  <c r="H1888" i="3"/>
  <c r="K1888" i="3" s="1"/>
  <c r="G1888" i="3"/>
  <c r="F1888" i="3"/>
  <c r="E1888" i="3"/>
  <c r="D1888" i="3"/>
  <c r="L1888" i="3" s="1"/>
  <c r="H1887" i="3"/>
  <c r="I1887" i="3" s="1"/>
  <c r="G1887" i="3"/>
  <c r="F1887" i="3"/>
  <c r="E1887" i="3"/>
  <c r="D1887" i="3"/>
  <c r="L1887" i="3" s="1"/>
  <c r="I1886" i="3"/>
  <c r="H1886" i="3"/>
  <c r="J1886" i="3" s="1"/>
  <c r="G1886" i="3"/>
  <c r="F1886" i="3"/>
  <c r="E1886" i="3"/>
  <c r="D1886" i="3"/>
  <c r="L1886" i="3" s="1"/>
  <c r="I1885" i="3"/>
  <c r="H1885" i="3"/>
  <c r="K1885" i="3" s="1"/>
  <c r="G1885" i="3"/>
  <c r="F1885" i="3"/>
  <c r="E1885" i="3"/>
  <c r="D1885" i="3"/>
  <c r="L1885" i="3" s="1"/>
  <c r="H1884" i="3"/>
  <c r="K1884" i="3" s="1"/>
  <c r="G1884" i="3"/>
  <c r="F1884" i="3"/>
  <c r="E1884" i="3"/>
  <c r="D1884" i="3"/>
  <c r="L1884" i="3" s="1"/>
  <c r="H1883" i="3"/>
  <c r="K1883" i="3" s="1"/>
  <c r="G1883" i="3"/>
  <c r="F1883" i="3"/>
  <c r="E1883" i="3"/>
  <c r="D1883" i="3"/>
  <c r="L1883" i="3" s="1"/>
  <c r="H1882" i="3"/>
  <c r="I1882" i="3" s="1"/>
  <c r="G1882" i="3"/>
  <c r="F1882" i="3"/>
  <c r="E1882" i="3"/>
  <c r="D1882" i="3"/>
  <c r="L1882" i="3" s="1"/>
  <c r="K1881" i="3"/>
  <c r="H1881" i="3"/>
  <c r="J1881" i="3" s="1"/>
  <c r="G1881" i="3"/>
  <c r="F1881" i="3"/>
  <c r="E1881" i="3"/>
  <c r="D1881" i="3"/>
  <c r="L1881" i="3" s="1"/>
  <c r="J1880" i="3"/>
  <c r="H1880" i="3"/>
  <c r="G1880" i="3"/>
  <c r="F1880" i="3"/>
  <c r="E1880" i="3"/>
  <c r="D1880" i="3"/>
  <c r="L1880" i="3" s="1"/>
  <c r="H1879" i="3"/>
  <c r="I1879" i="3" s="1"/>
  <c r="G1879" i="3"/>
  <c r="F1879" i="3"/>
  <c r="E1879" i="3"/>
  <c r="D1879" i="3"/>
  <c r="L1879" i="3" s="1"/>
  <c r="H1878" i="3"/>
  <c r="J1878" i="3" s="1"/>
  <c r="G1878" i="3"/>
  <c r="F1878" i="3"/>
  <c r="E1878" i="3"/>
  <c r="D1878" i="3"/>
  <c r="L1878" i="3" s="1"/>
  <c r="I1877" i="3"/>
  <c r="H1877" i="3"/>
  <c r="K1877" i="3" s="1"/>
  <c r="G1877" i="3"/>
  <c r="F1877" i="3"/>
  <c r="E1877" i="3"/>
  <c r="D1877" i="3"/>
  <c r="L1877" i="3" s="1"/>
  <c r="H1876" i="3"/>
  <c r="G1876" i="3"/>
  <c r="F1876" i="3"/>
  <c r="E1876" i="3"/>
  <c r="D1876" i="3"/>
  <c r="L1876" i="3" s="1"/>
  <c r="H1875" i="3"/>
  <c r="G1875" i="3"/>
  <c r="F1875" i="3"/>
  <c r="E1875" i="3"/>
  <c r="D1875" i="3"/>
  <c r="L1875" i="3" s="1"/>
  <c r="I1874" i="3"/>
  <c r="H1874" i="3"/>
  <c r="K1874" i="3" s="1"/>
  <c r="G1874" i="3"/>
  <c r="F1874" i="3"/>
  <c r="E1874" i="3"/>
  <c r="D1874" i="3"/>
  <c r="L1874" i="3" s="1"/>
  <c r="J1873" i="3"/>
  <c r="H1873" i="3"/>
  <c r="K1873" i="3" s="1"/>
  <c r="G1873" i="3"/>
  <c r="F1873" i="3"/>
  <c r="E1873" i="3"/>
  <c r="D1873" i="3"/>
  <c r="L1873" i="3" s="1"/>
  <c r="H1872" i="3"/>
  <c r="J1872" i="3" s="1"/>
  <c r="G1872" i="3"/>
  <c r="F1872" i="3"/>
  <c r="E1872" i="3"/>
  <c r="D1872" i="3"/>
  <c r="L1872" i="3" s="1"/>
  <c r="H1871" i="3"/>
  <c r="K1871" i="3" s="1"/>
  <c r="G1871" i="3"/>
  <c r="F1871" i="3"/>
  <c r="E1871" i="3"/>
  <c r="D1871" i="3"/>
  <c r="L1871" i="3" s="1"/>
  <c r="K1870" i="3"/>
  <c r="H1870" i="3"/>
  <c r="J1870" i="3" s="1"/>
  <c r="G1870" i="3"/>
  <c r="F1870" i="3"/>
  <c r="E1870" i="3"/>
  <c r="D1870" i="3"/>
  <c r="L1870" i="3" s="1"/>
  <c r="I1869" i="3"/>
  <c r="H1869" i="3"/>
  <c r="K1869" i="3" s="1"/>
  <c r="G1869" i="3"/>
  <c r="F1869" i="3"/>
  <c r="E1869" i="3"/>
  <c r="D1869" i="3"/>
  <c r="L1869" i="3" s="1"/>
  <c r="J1868" i="3"/>
  <c r="H1868" i="3"/>
  <c r="K1868" i="3" s="1"/>
  <c r="G1868" i="3"/>
  <c r="F1868" i="3"/>
  <c r="E1868" i="3"/>
  <c r="D1868" i="3"/>
  <c r="L1868" i="3" s="1"/>
  <c r="H1867" i="3"/>
  <c r="G1867" i="3"/>
  <c r="F1867" i="3"/>
  <c r="E1867" i="3"/>
  <c r="D1867" i="3"/>
  <c r="L1867" i="3" s="1"/>
  <c r="I1866" i="3"/>
  <c r="H1866" i="3"/>
  <c r="K1866" i="3" s="1"/>
  <c r="G1866" i="3"/>
  <c r="F1866" i="3"/>
  <c r="E1866" i="3"/>
  <c r="D1866" i="3"/>
  <c r="L1866" i="3" s="1"/>
  <c r="J1865" i="3"/>
  <c r="H1865" i="3"/>
  <c r="K1865" i="3" s="1"/>
  <c r="G1865" i="3"/>
  <c r="F1865" i="3"/>
  <c r="E1865" i="3"/>
  <c r="D1865" i="3"/>
  <c r="L1865" i="3" s="1"/>
  <c r="K1864" i="3"/>
  <c r="J1864" i="3"/>
  <c r="I1864" i="3"/>
  <c r="H1864" i="3"/>
  <c r="G1864" i="3"/>
  <c r="F1864" i="3"/>
  <c r="E1864" i="3"/>
  <c r="D1864" i="3"/>
  <c r="L1864" i="3" s="1"/>
  <c r="K1863" i="3"/>
  <c r="J1863" i="3"/>
  <c r="I1863" i="3"/>
  <c r="H1863" i="3"/>
  <c r="G1863" i="3"/>
  <c r="F1863" i="3"/>
  <c r="E1863" i="3"/>
  <c r="D1863" i="3"/>
  <c r="L1863" i="3" s="1"/>
  <c r="K1862" i="3"/>
  <c r="H1862" i="3"/>
  <c r="J1862" i="3" s="1"/>
  <c r="G1862" i="3"/>
  <c r="F1862" i="3"/>
  <c r="E1862" i="3"/>
  <c r="D1862" i="3"/>
  <c r="L1862" i="3" s="1"/>
  <c r="H1861" i="3"/>
  <c r="K1861" i="3" s="1"/>
  <c r="G1861" i="3"/>
  <c r="F1861" i="3"/>
  <c r="E1861" i="3"/>
  <c r="D1861" i="3"/>
  <c r="L1861" i="3" s="1"/>
  <c r="J1860" i="3"/>
  <c r="H1860" i="3"/>
  <c r="K1860" i="3" s="1"/>
  <c r="G1860" i="3"/>
  <c r="F1860" i="3"/>
  <c r="E1860" i="3"/>
  <c r="D1860" i="3"/>
  <c r="L1860" i="3" s="1"/>
  <c r="H1859" i="3"/>
  <c r="G1859" i="3"/>
  <c r="F1859" i="3"/>
  <c r="E1859" i="3"/>
  <c r="D1859" i="3"/>
  <c r="L1859" i="3" s="1"/>
  <c r="H1858" i="3"/>
  <c r="K1858" i="3" s="1"/>
  <c r="G1858" i="3"/>
  <c r="F1858" i="3"/>
  <c r="E1858" i="3"/>
  <c r="D1858" i="3"/>
  <c r="L1858" i="3" s="1"/>
  <c r="J1857" i="3"/>
  <c r="H1857" i="3"/>
  <c r="K1857" i="3" s="1"/>
  <c r="G1857" i="3"/>
  <c r="F1857" i="3"/>
  <c r="E1857" i="3"/>
  <c r="D1857" i="3"/>
  <c r="L1857" i="3" s="1"/>
  <c r="K1856" i="3"/>
  <c r="J1856" i="3"/>
  <c r="I1856" i="3"/>
  <c r="H1856" i="3"/>
  <c r="G1856" i="3"/>
  <c r="F1856" i="3"/>
  <c r="E1856" i="3"/>
  <c r="D1856" i="3"/>
  <c r="L1856" i="3" s="1"/>
  <c r="K1855" i="3"/>
  <c r="J1855" i="3"/>
  <c r="I1855" i="3"/>
  <c r="H1855" i="3"/>
  <c r="G1855" i="3"/>
  <c r="F1855" i="3"/>
  <c r="E1855" i="3"/>
  <c r="D1855" i="3"/>
  <c r="L1855" i="3" s="1"/>
  <c r="H1854" i="3"/>
  <c r="J1854" i="3" s="1"/>
  <c r="G1854" i="3"/>
  <c r="F1854" i="3"/>
  <c r="E1854" i="3"/>
  <c r="D1854" i="3"/>
  <c r="L1854" i="3" s="1"/>
  <c r="I1853" i="3"/>
  <c r="H1853" i="3"/>
  <c r="K1853" i="3" s="1"/>
  <c r="G1853" i="3"/>
  <c r="F1853" i="3"/>
  <c r="E1853" i="3"/>
  <c r="D1853" i="3"/>
  <c r="L1853" i="3" s="1"/>
  <c r="H1852" i="3"/>
  <c r="K1852" i="3" s="1"/>
  <c r="G1852" i="3"/>
  <c r="F1852" i="3"/>
  <c r="E1852" i="3"/>
  <c r="D1852" i="3"/>
  <c r="L1852" i="3" s="1"/>
  <c r="H1851" i="3"/>
  <c r="G1851" i="3"/>
  <c r="F1851" i="3"/>
  <c r="E1851" i="3"/>
  <c r="D1851" i="3"/>
  <c r="L1851" i="3" s="1"/>
  <c r="I1850" i="3"/>
  <c r="H1850" i="3"/>
  <c r="K1850" i="3" s="1"/>
  <c r="G1850" i="3"/>
  <c r="F1850" i="3"/>
  <c r="E1850" i="3"/>
  <c r="D1850" i="3"/>
  <c r="L1850" i="3" s="1"/>
  <c r="J1849" i="3"/>
  <c r="H1849" i="3"/>
  <c r="K1849" i="3" s="1"/>
  <c r="G1849" i="3"/>
  <c r="F1849" i="3"/>
  <c r="E1849" i="3"/>
  <c r="D1849" i="3"/>
  <c r="L1849" i="3" s="1"/>
  <c r="K1848" i="3"/>
  <c r="I1848" i="3"/>
  <c r="H1848" i="3"/>
  <c r="J1848" i="3" s="1"/>
  <c r="G1848" i="3"/>
  <c r="F1848" i="3"/>
  <c r="E1848" i="3"/>
  <c r="D1848" i="3"/>
  <c r="L1848" i="3" s="1"/>
  <c r="K1847" i="3"/>
  <c r="I1847" i="3"/>
  <c r="H1847" i="3"/>
  <c r="J1847" i="3" s="1"/>
  <c r="G1847" i="3"/>
  <c r="F1847" i="3"/>
  <c r="E1847" i="3"/>
  <c r="D1847" i="3"/>
  <c r="L1847" i="3" s="1"/>
  <c r="K1846" i="3"/>
  <c r="H1846" i="3"/>
  <c r="J1846" i="3" s="1"/>
  <c r="G1846" i="3"/>
  <c r="F1846" i="3"/>
  <c r="E1846" i="3"/>
  <c r="D1846" i="3"/>
  <c r="L1846" i="3" s="1"/>
  <c r="H1845" i="3"/>
  <c r="J1845" i="3" s="1"/>
  <c r="G1845" i="3"/>
  <c r="F1845" i="3"/>
  <c r="E1845" i="3"/>
  <c r="D1845" i="3"/>
  <c r="L1845" i="3" s="1"/>
  <c r="H1844" i="3"/>
  <c r="K1844" i="3" s="1"/>
  <c r="G1844" i="3"/>
  <c r="F1844" i="3"/>
  <c r="E1844" i="3"/>
  <c r="D1844" i="3"/>
  <c r="L1844" i="3" s="1"/>
  <c r="H1843" i="3"/>
  <c r="G1843" i="3"/>
  <c r="F1843" i="3"/>
  <c r="E1843" i="3"/>
  <c r="D1843" i="3"/>
  <c r="L1843" i="3" s="1"/>
  <c r="I1842" i="3"/>
  <c r="H1842" i="3"/>
  <c r="K1842" i="3" s="1"/>
  <c r="G1842" i="3"/>
  <c r="F1842" i="3"/>
  <c r="E1842" i="3"/>
  <c r="D1842" i="3"/>
  <c r="L1842" i="3" s="1"/>
  <c r="H1841" i="3"/>
  <c r="K1841" i="3" s="1"/>
  <c r="G1841" i="3"/>
  <c r="F1841" i="3"/>
  <c r="E1841" i="3"/>
  <c r="D1841" i="3"/>
  <c r="L1841" i="3" s="1"/>
  <c r="H1840" i="3"/>
  <c r="K1840" i="3" s="1"/>
  <c r="G1840" i="3"/>
  <c r="F1840" i="3"/>
  <c r="E1840" i="3"/>
  <c r="D1840" i="3"/>
  <c r="L1840" i="3" s="1"/>
  <c r="H1839" i="3"/>
  <c r="K1839" i="3" s="1"/>
  <c r="G1839" i="3"/>
  <c r="F1839" i="3"/>
  <c r="E1839" i="3"/>
  <c r="D1839" i="3"/>
  <c r="L1839" i="3" s="1"/>
  <c r="K1838" i="3"/>
  <c r="H1838" i="3"/>
  <c r="J1838" i="3" s="1"/>
  <c r="G1838" i="3"/>
  <c r="F1838" i="3"/>
  <c r="E1838" i="3"/>
  <c r="D1838" i="3"/>
  <c r="L1838" i="3" s="1"/>
  <c r="K1837" i="3"/>
  <c r="I1837" i="3"/>
  <c r="H1837" i="3"/>
  <c r="J1837" i="3" s="1"/>
  <c r="G1837" i="3"/>
  <c r="F1837" i="3"/>
  <c r="E1837" i="3"/>
  <c r="D1837" i="3"/>
  <c r="L1837" i="3" s="1"/>
  <c r="H1836" i="3"/>
  <c r="K1836" i="3" s="1"/>
  <c r="G1836" i="3"/>
  <c r="F1836" i="3"/>
  <c r="E1836" i="3"/>
  <c r="D1836" i="3"/>
  <c r="L1836" i="3" s="1"/>
  <c r="H1835" i="3"/>
  <c r="G1835" i="3"/>
  <c r="F1835" i="3"/>
  <c r="E1835" i="3"/>
  <c r="D1835" i="3"/>
  <c r="L1835" i="3" s="1"/>
  <c r="I1834" i="3"/>
  <c r="H1834" i="3"/>
  <c r="K1834" i="3" s="1"/>
  <c r="G1834" i="3"/>
  <c r="F1834" i="3"/>
  <c r="E1834" i="3"/>
  <c r="D1834" i="3"/>
  <c r="L1834" i="3" s="1"/>
  <c r="J1833" i="3"/>
  <c r="H1833" i="3"/>
  <c r="K1833" i="3" s="1"/>
  <c r="G1833" i="3"/>
  <c r="F1833" i="3"/>
  <c r="E1833" i="3"/>
  <c r="D1833" i="3"/>
  <c r="L1833" i="3" s="1"/>
  <c r="K1832" i="3"/>
  <c r="I1832" i="3"/>
  <c r="H1832" i="3"/>
  <c r="J1832" i="3" s="1"/>
  <c r="G1832" i="3"/>
  <c r="F1832" i="3"/>
  <c r="E1832" i="3"/>
  <c r="D1832" i="3"/>
  <c r="L1832" i="3" s="1"/>
  <c r="K1831" i="3"/>
  <c r="I1831" i="3"/>
  <c r="H1831" i="3"/>
  <c r="J1831" i="3" s="1"/>
  <c r="G1831" i="3"/>
  <c r="F1831" i="3"/>
  <c r="E1831" i="3"/>
  <c r="D1831" i="3"/>
  <c r="L1831" i="3" s="1"/>
  <c r="K1830" i="3"/>
  <c r="H1830" i="3"/>
  <c r="J1830" i="3" s="1"/>
  <c r="G1830" i="3"/>
  <c r="F1830" i="3"/>
  <c r="E1830" i="3"/>
  <c r="D1830" i="3"/>
  <c r="L1830" i="3" s="1"/>
  <c r="H1829" i="3"/>
  <c r="J1829" i="3" s="1"/>
  <c r="G1829" i="3"/>
  <c r="F1829" i="3"/>
  <c r="E1829" i="3"/>
  <c r="D1829" i="3"/>
  <c r="L1829" i="3" s="1"/>
  <c r="J1828" i="3"/>
  <c r="H1828" i="3"/>
  <c r="K1828" i="3" s="1"/>
  <c r="G1828" i="3"/>
  <c r="F1828" i="3"/>
  <c r="E1828" i="3"/>
  <c r="D1828" i="3"/>
  <c r="L1828" i="3" s="1"/>
  <c r="H1827" i="3"/>
  <c r="G1827" i="3"/>
  <c r="F1827" i="3"/>
  <c r="E1827" i="3"/>
  <c r="D1827" i="3"/>
  <c r="L1827" i="3" s="1"/>
  <c r="I1826" i="3"/>
  <c r="H1826" i="3"/>
  <c r="K1826" i="3" s="1"/>
  <c r="G1826" i="3"/>
  <c r="F1826" i="3"/>
  <c r="E1826" i="3"/>
  <c r="D1826" i="3"/>
  <c r="L1826" i="3" s="1"/>
  <c r="H1825" i="3"/>
  <c r="K1825" i="3" s="1"/>
  <c r="G1825" i="3"/>
  <c r="F1825" i="3"/>
  <c r="E1825" i="3"/>
  <c r="D1825" i="3"/>
  <c r="L1825" i="3" s="1"/>
  <c r="H1824" i="3"/>
  <c r="K1824" i="3" s="1"/>
  <c r="G1824" i="3"/>
  <c r="F1824" i="3"/>
  <c r="E1824" i="3"/>
  <c r="D1824" i="3"/>
  <c r="L1824" i="3" s="1"/>
  <c r="H1823" i="3"/>
  <c r="K1823" i="3" s="1"/>
  <c r="G1823" i="3"/>
  <c r="F1823" i="3"/>
  <c r="E1823" i="3"/>
  <c r="D1823" i="3"/>
  <c r="L1823" i="3" s="1"/>
  <c r="K1822" i="3"/>
  <c r="H1822" i="3"/>
  <c r="J1822" i="3" s="1"/>
  <c r="G1822" i="3"/>
  <c r="F1822" i="3"/>
  <c r="E1822" i="3"/>
  <c r="D1822" i="3"/>
  <c r="L1822" i="3" s="1"/>
  <c r="K1821" i="3"/>
  <c r="I1821" i="3"/>
  <c r="H1821" i="3"/>
  <c r="J1821" i="3" s="1"/>
  <c r="G1821" i="3"/>
  <c r="F1821" i="3"/>
  <c r="E1821" i="3"/>
  <c r="D1821" i="3"/>
  <c r="L1821" i="3" s="1"/>
  <c r="H1820" i="3"/>
  <c r="K1820" i="3" s="1"/>
  <c r="G1820" i="3"/>
  <c r="F1820" i="3"/>
  <c r="E1820" i="3"/>
  <c r="D1820" i="3"/>
  <c r="L1820" i="3" s="1"/>
  <c r="H1819" i="3"/>
  <c r="G1819" i="3"/>
  <c r="F1819" i="3"/>
  <c r="E1819" i="3"/>
  <c r="D1819" i="3"/>
  <c r="L1819" i="3" s="1"/>
  <c r="H1818" i="3"/>
  <c r="K1818" i="3" s="1"/>
  <c r="G1818" i="3"/>
  <c r="F1818" i="3"/>
  <c r="E1818" i="3"/>
  <c r="D1818" i="3"/>
  <c r="L1818" i="3" s="1"/>
  <c r="J1817" i="3"/>
  <c r="H1817" i="3"/>
  <c r="K1817" i="3" s="1"/>
  <c r="G1817" i="3"/>
  <c r="F1817" i="3"/>
  <c r="E1817" i="3"/>
  <c r="D1817" i="3"/>
  <c r="L1817" i="3" s="1"/>
  <c r="K1816" i="3"/>
  <c r="I1816" i="3"/>
  <c r="H1816" i="3"/>
  <c r="J1816" i="3" s="1"/>
  <c r="G1816" i="3"/>
  <c r="F1816" i="3"/>
  <c r="E1816" i="3"/>
  <c r="D1816" i="3"/>
  <c r="L1816" i="3" s="1"/>
  <c r="K1815" i="3"/>
  <c r="I1815" i="3"/>
  <c r="H1815" i="3"/>
  <c r="J1815" i="3" s="1"/>
  <c r="G1815" i="3"/>
  <c r="F1815" i="3"/>
  <c r="E1815" i="3"/>
  <c r="D1815" i="3"/>
  <c r="L1815" i="3" s="1"/>
  <c r="K1814" i="3"/>
  <c r="H1814" i="3"/>
  <c r="J1814" i="3" s="1"/>
  <c r="G1814" i="3"/>
  <c r="F1814" i="3"/>
  <c r="E1814" i="3"/>
  <c r="D1814" i="3"/>
  <c r="L1814" i="3" s="1"/>
  <c r="I1813" i="3"/>
  <c r="H1813" i="3"/>
  <c r="J1813" i="3" s="1"/>
  <c r="G1813" i="3"/>
  <c r="F1813" i="3"/>
  <c r="E1813" i="3"/>
  <c r="D1813" i="3"/>
  <c r="L1813" i="3" s="1"/>
  <c r="J1812" i="3"/>
  <c r="H1812" i="3"/>
  <c r="K1812" i="3" s="1"/>
  <c r="G1812" i="3"/>
  <c r="F1812" i="3"/>
  <c r="E1812" i="3"/>
  <c r="D1812" i="3"/>
  <c r="L1812" i="3" s="1"/>
  <c r="H1811" i="3"/>
  <c r="G1811" i="3"/>
  <c r="F1811" i="3"/>
  <c r="E1811" i="3"/>
  <c r="D1811" i="3"/>
  <c r="L1811" i="3" s="1"/>
  <c r="H1810" i="3"/>
  <c r="K1810" i="3" s="1"/>
  <c r="G1810" i="3"/>
  <c r="F1810" i="3"/>
  <c r="E1810" i="3"/>
  <c r="D1810" i="3"/>
  <c r="L1810" i="3" s="1"/>
  <c r="H1809" i="3"/>
  <c r="K1809" i="3" s="1"/>
  <c r="G1809" i="3"/>
  <c r="F1809" i="3"/>
  <c r="E1809" i="3"/>
  <c r="D1809" i="3"/>
  <c r="L1809" i="3" s="1"/>
  <c r="J1808" i="3"/>
  <c r="H1808" i="3"/>
  <c r="K1808" i="3" s="1"/>
  <c r="G1808" i="3"/>
  <c r="F1808" i="3"/>
  <c r="E1808" i="3"/>
  <c r="D1808" i="3"/>
  <c r="L1808" i="3" s="1"/>
  <c r="J1807" i="3"/>
  <c r="H1807" i="3"/>
  <c r="K1807" i="3" s="1"/>
  <c r="G1807" i="3"/>
  <c r="F1807" i="3"/>
  <c r="E1807" i="3"/>
  <c r="D1807" i="3"/>
  <c r="L1807" i="3" s="1"/>
  <c r="H1806" i="3"/>
  <c r="J1806" i="3" s="1"/>
  <c r="G1806" i="3"/>
  <c r="F1806" i="3"/>
  <c r="E1806" i="3"/>
  <c r="D1806" i="3"/>
  <c r="L1806" i="3" s="1"/>
  <c r="K1805" i="3"/>
  <c r="I1805" i="3"/>
  <c r="H1805" i="3"/>
  <c r="J1805" i="3" s="1"/>
  <c r="G1805" i="3"/>
  <c r="F1805" i="3"/>
  <c r="E1805" i="3"/>
  <c r="D1805" i="3"/>
  <c r="L1805" i="3" s="1"/>
  <c r="H1804" i="3"/>
  <c r="K1804" i="3" s="1"/>
  <c r="G1804" i="3"/>
  <c r="F1804" i="3"/>
  <c r="E1804" i="3"/>
  <c r="D1804" i="3"/>
  <c r="L1804" i="3" s="1"/>
  <c r="H1803" i="3"/>
  <c r="G1803" i="3"/>
  <c r="F1803" i="3"/>
  <c r="E1803" i="3"/>
  <c r="D1803" i="3"/>
  <c r="L1803" i="3" s="1"/>
  <c r="H1802" i="3"/>
  <c r="K1802" i="3" s="1"/>
  <c r="G1802" i="3"/>
  <c r="F1802" i="3"/>
  <c r="E1802" i="3"/>
  <c r="D1802" i="3"/>
  <c r="L1802" i="3" s="1"/>
  <c r="J1801" i="3"/>
  <c r="H1801" i="3"/>
  <c r="K1801" i="3" s="1"/>
  <c r="G1801" i="3"/>
  <c r="F1801" i="3"/>
  <c r="E1801" i="3"/>
  <c r="D1801" i="3"/>
  <c r="L1801" i="3" s="1"/>
  <c r="K1800" i="3"/>
  <c r="J1800" i="3"/>
  <c r="I1800" i="3"/>
  <c r="H1800" i="3"/>
  <c r="G1800" i="3"/>
  <c r="F1800" i="3"/>
  <c r="E1800" i="3"/>
  <c r="D1800" i="3"/>
  <c r="L1800" i="3" s="1"/>
  <c r="H1799" i="3"/>
  <c r="K1799" i="3" s="1"/>
  <c r="G1799" i="3"/>
  <c r="F1799" i="3"/>
  <c r="E1799" i="3"/>
  <c r="D1799" i="3"/>
  <c r="L1799" i="3" s="1"/>
  <c r="H1798" i="3"/>
  <c r="J1798" i="3" s="1"/>
  <c r="G1798" i="3"/>
  <c r="F1798" i="3"/>
  <c r="E1798" i="3"/>
  <c r="D1798" i="3"/>
  <c r="L1798" i="3" s="1"/>
  <c r="H1797" i="3"/>
  <c r="J1797" i="3" s="1"/>
  <c r="G1797" i="3"/>
  <c r="F1797" i="3"/>
  <c r="E1797" i="3"/>
  <c r="D1797" i="3"/>
  <c r="L1797" i="3" s="1"/>
  <c r="J1796" i="3"/>
  <c r="H1796" i="3"/>
  <c r="K1796" i="3" s="1"/>
  <c r="G1796" i="3"/>
  <c r="F1796" i="3"/>
  <c r="E1796" i="3"/>
  <c r="D1796" i="3"/>
  <c r="L1796" i="3" s="1"/>
  <c r="H1795" i="3"/>
  <c r="G1795" i="3"/>
  <c r="F1795" i="3"/>
  <c r="E1795" i="3"/>
  <c r="D1795" i="3"/>
  <c r="L1795" i="3" s="1"/>
  <c r="I1794" i="3"/>
  <c r="H1794" i="3"/>
  <c r="K1794" i="3" s="1"/>
  <c r="G1794" i="3"/>
  <c r="F1794" i="3"/>
  <c r="E1794" i="3"/>
  <c r="D1794" i="3"/>
  <c r="L1794" i="3" s="1"/>
  <c r="H1793" i="3"/>
  <c r="K1793" i="3" s="1"/>
  <c r="G1793" i="3"/>
  <c r="F1793" i="3"/>
  <c r="E1793" i="3"/>
  <c r="D1793" i="3"/>
  <c r="L1793" i="3" s="1"/>
  <c r="J1792" i="3"/>
  <c r="H1792" i="3"/>
  <c r="K1792" i="3" s="1"/>
  <c r="G1792" i="3"/>
  <c r="F1792" i="3"/>
  <c r="E1792" i="3"/>
  <c r="D1792" i="3"/>
  <c r="L1792" i="3" s="1"/>
  <c r="J1791" i="3"/>
  <c r="H1791" i="3"/>
  <c r="K1791" i="3" s="1"/>
  <c r="G1791" i="3"/>
  <c r="F1791" i="3"/>
  <c r="E1791" i="3"/>
  <c r="D1791" i="3"/>
  <c r="L1791" i="3" s="1"/>
  <c r="H1790" i="3"/>
  <c r="J1790" i="3" s="1"/>
  <c r="G1790" i="3"/>
  <c r="F1790" i="3"/>
  <c r="E1790" i="3"/>
  <c r="D1790" i="3"/>
  <c r="L1790" i="3" s="1"/>
  <c r="I1789" i="3"/>
  <c r="H1789" i="3"/>
  <c r="J1789" i="3" s="1"/>
  <c r="G1789" i="3"/>
  <c r="F1789" i="3"/>
  <c r="E1789" i="3"/>
  <c r="D1789" i="3"/>
  <c r="L1789" i="3" s="1"/>
  <c r="H1788" i="3"/>
  <c r="K1788" i="3" s="1"/>
  <c r="G1788" i="3"/>
  <c r="F1788" i="3"/>
  <c r="E1788" i="3"/>
  <c r="D1788" i="3"/>
  <c r="L1788" i="3" s="1"/>
  <c r="H1787" i="3"/>
  <c r="G1787" i="3"/>
  <c r="F1787" i="3"/>
  <c r="E1787" i="3"/>
  <c r="D1787" i="3"/>
  <c r="L1787" i="3" s="1"/>
  <c r="I1786" i="3"/>
  <c r="H1786" i="3"/>
  <c r="K1786" i="3" s="1"/>
  <c r="G1786" i="3"/>
  <c r="F1786" i="3"/>
  <c r="E1786" i="3"/>
  <c r="D1786" i="3"/>
  <c r="L1786" i="3" s="1"/>
  <c r="J1785" i="3"/>
  <c r="H1785" i="3"/>
  <c r="K1785" i="3" s="1"/>
  <c r="G1785" i="3"/>
  <c r="F1785" i="3"/>
  <c r="E1785" i="3"/>
  <c r="D1785" i="3"/>
  <c r="L1785" i="3" s="1"/>
  <c r="I1784" i="3"/>
  <c r="H1784" i="3"/>
  <c r="K1784" i="3" s="1"/>
  <c r="G1784" i="3"/>
  <c r="F1784" i="3"/>
  <c r="E1784" i="3"/>
  <c r="D1784" i="3"/>
  <c r="L1784" i="3" s="1"/>
  <c r="I1783" i="3"/>
  <c r="H1783" i="3"/>
  <c r="K1783" i="3" s="1"/>
  <c r="G1783" i="3"/>
  <c r="F1783" i="3"/>
  <c r="E1783" i="3"/>
  <c r="D1783" i="3"/>
  <c r="L1783" i="3" s="1"/>
  <c r="H1782" i="3"/>
  <c r="J1782" i="3" s="1"/>
  <c r="G1782" i="3"/>
  <c r="F1782" i="3"/>
  <c r="E1782" i="3"/>
  <c r="D1782" i="3"/>
  <c r="L1782" i="3" s="1"/>
  <c r="I1781" i="3"/>
  <c r="H1781" i="3"/>
  <c r="J1781" i="3" s="1"/>
  <c r="G1781" i="3"/>
  <c r="F1781" i="3"/>
  <c r="E1781" i="3"/>
  <c r="D1781" i="3"/>
  <c r="L1781" i="3" s="1"/>
  <c r="J1780" i="3"/>
  <c r="I1780" i="3"/>
  <c r="H1780" i="3"/>
  <c r="K1780" i="3" s="1"/>
  <c r="G1780" i="3"/>
  <c r="F1780" i="3"/>
  <c r="E1780" i="3"/>
  <c r="D1780" i="3"/>
  <c r="L1780" i="3" s="1"/>
  <c r="H1779" i="3"/>
  <c r="G1779" i="3"/>
  <c r="F1779" i="3"/>
  <c r="E1779" i="3"/>
  <c r="D1779" i="3"/>
  <c r="L1779" i="3" s="1"/>
  <c r="I1778" i="3"/>
  <c r="H1778" i="3"/>
  <c r="K1778" i="3" s="1"/>
  <c r="G1778" i="3"/>
  <c r="F1778" i="3"/>
  <c r="E1778" i="3"/>
  <c r="D1778" i="3"/>
  <c r="L1778" i="3" s="1"/>
  <c r="H1777" i="3"/>
  <c r="K1777" i="3" s="1"/>
  <c r="G1777" i="3"/>
  <c r="F1777" i="3"/>
  <c r="E1777" i="3"/>
  <c r="D1777" i="3"/>
  <c r="L1777" i="3" s="1"/>
  <c r="H1776" i="3"/>
  <c r="K1776" i="3" s="1"/>
  <c r="G1776" i="3"/>
  <c r="F1776" i="3"/>
  <c r="E1776" i="3"/>
  <c r="D1776" i="3"/>
  <c r="L1776" i="3" s="1"/>
  <c r="H1775" i="3"/>
  <c r="K1775" i="3" s="1"/>
  <c r="G1775" i="3"/>
  <c r="F1775" i="3"/>
  <c r="E1775" i="3"/>
  <c r="D1775" i="3"/>
  <c r="L1775" i="3" s="1"/>
  <c r="H1774" i="3"/>
  <c r="J1774" i="3" s="1"/>
  <c r="G1774" i="3"/>
  <c r="F1774" i="3"/>
  <c r="E1774" i="3"/>
  <c r="D1774" i="3"/>
  <c r="L1774" i="3" s="1"/>
  <c r="H1773" i="3"/>
  <c r="J1773" i="3" s="1"/>
  <c r="G1773" i="3"/>
  <c r="F1773" i="3"/>
  <c r="E1773" i="3"/>
  <c r="D1773" i="3"/>
  <c r="L1773" i="3" s="1"/>
  <c r="K1772" i="3"/>
  <c r="H1772" i="3"/>
  <c r="J1772" i="3" s="1"/>
  <c r="G1772" i="3"/>
  <c r="F1772" i="3"/>
  <c r="E1772" i="3"/>
  <c r="D1772" i="3"/>
  <c r="L1772" i="3" s="1"/>
  <c r="H1771" i="3"/>
  <c r="G1771" i="3"/>
  <c r="F1771" i="3"/>
  <c r="E1771" i="3"/>
  <c r="D1771" i="3"/>
  <c r="L1771" i="3" s="1"/>
  <c r="H1770" i="3"/>
  <c r="K1770" i="3" s="1"/>
  <c r="G1770" i="3"/>
  <c r="F1770" i="3"/>
  <c r="E1770" i="3"/>
  <c r="D1770" i="3"/>
  <c r="L1770" i="3" s="1"/>
  <c r="H1769" i="3"/>
  <c r="K1769" i="3" s="1"/>
  <c r="G1769" i="3"/>
  <c r="F1769" i="3"/>
  <c r="E1769" i="3"/>
  <c r="D1769" i="3"/>
  <c r="L1769" i="3" s="1"/>
  <c r="H1768" i="3"/>
  <c r="K1768" i="3" s="1"/>
  <c r="G1768" i="3"/>
  <c r="F1768" i="3"/>
  <c r="E1768" i="3"/>
  <c r="D1768" i="3"/>
  <c r="L1768" i="3" s="1"/>
  <c r="H1767" i="3"/>
  <c r="K1767" i="3" s="1"/>
  <c r="G1767" i="3"/>
  <c r="F1767" i="3"/>
  <c r="E1767" i="3"/>
  <c r="D1767" i="3"/>
  <c r="L1767" i="3" s="1"/>
  <c r="K1766" i="3"/>
  <c r="H1766" i="3"/>
  <c r="J1766" i="3" s="1"/>
  <c r="G1766" i="3"/>
  <c r="F1766" i="3"/>
  <c r="E1766" i="3"/>
  <c r="D1766" i="3"/>
  <c r="L1766" i="3" s="1"/>
  <c r="K1765" i="3"/>
  <c r="I1765" i="3"/>
  <c r="H1765" i="3"/>
  <c r="J1765" i="3" s="1"/>
  <c r="G1765" i="3"/>
  <c r="F1765" i="3"/>
  <c r="E1765" i="3"/>
  <c r="D1765" i="3"/>
  <c r="L1765" i="3" s="1"/>
  <c r="K1764" i="3"/>
  <c r="J1764" i="3"/>
  <c r="I1764" i="3"/>
  <c r="H1764" i="3"/>
  <c r="G1764" i="3"/>
  <c r="F1764" i="3"/>
  <c r="E1764" i="3"/>
  <c r="D1764" i="3"/>
  <c r="L1764" i="3" s="1"/>
  <c r="H1763" i="3"/>
  <c r="G1763" i="3"/>
  <c r="F1763" i="3"/>
  <c r="E1763" i="3"/>
  <c r="D1763" i="3"/>
  <c r="L1763" i="3" s="1"/>
  <c r="H1762" i="3"/>
  <c r="K1762" i="3" s="1"/>
  <c r="G1762" i="3"/>
  <c r="F1762" i="3"/>
  <c r="E1762" i="3"/>
  <c r="D1762" i="3"/>
  <c r="L1762" i="3" s="1"/>
  <c r="J1761" i="3"/>
  <c r="H1761" i="3"/>
  <c r="K1761" i="3" s="1"/>
  <c r="G1761" i="3"/>
  <c r="F1761" i="3"/>
  <c r="E1761" i="3"/>
  <c r="D1761" i="3"/>
  <c r="L1761" i="3" s="1"/>
  <c r="K1760" i="3"/>
  <c r="J1760" i="3"/>
  <c r="I1760" i="3"/>
  <c r="H1760" i="3"/>
  <c r="G1760" i="3"/>
  <c r="F1760" i="3"/>
  <c r="E1760" i="3"/>
  <c r="D1760" i="3"/>
  <c r="L1760" i="3" s="1"/>
  <c r="K1759" i="3"/>
  <c r="J1759" i="3"/>
  <c r="I1759" i="3"/>
  <c r="H1759" i="3"/>
  <c r="G1759" i="3"/>
  <c r="F1759" i="3"/>
  <c r="E1759" i="3"/>
  <c r="D1759" i="3"/>
  <c r="L1759" i="3" s="1"/>
  <c r="K1758" i="3"/>
  <c r="H1758" i="3"/>
  <c r="J1758" i="3" s="1"/>
  <c r="G1758" i="3"/>
  <c r="F1758" i="3"/>
  <c r="E1758" i="3"/>
  <c r="D1758" i="3"/>
  <c r="L1758" i="3" s="1"/>
  <c r="I1757" i="3"/>
  <c r="H1757" i="3"/>
  <c r="K1757" i="3" s="1"/>
  <c r="G1757" i="3"/>
  <c r="F1757" i="3"/>
  <c r="E1757" i="3"/>
  <c r="D1757" i="3"/>
  <c r="L1757" i="3" s="1"/>
  <c r="I1756" i="3"/>
  <c r="H1756" i="3"/>
  <c r="K1756" i="3" s="1"/>
  <c r="G1756" i="3"/>
  <c r="F1756" i="3"/>
  <c r="E1756" i="3"/>
  <c r="D1756" i="3"/>
  <c r="L1756" i="3" s="1"/>
  <c r="H1755" i="3"/>
  <c r="G1755" i="3"/>
  <c r="F1755" i="3"/>
  <c r="E1755" i="3"/>
  <c r="D1755" i="3"/>
  <c r="L1755" i="3" s="1"/>
  <c r="H1754" i="3"/>
  <c r="K1754" i="3" s="1"/>
  <c r="G1754" i="3"/>
  <c r="F1754" i="3"/>
  <c r="E1754" i="3"/>
  <c r="D1754" i="3"/>
  <c r="L1754" i="3" s="1"/>
  <c r="J1753" i="3"/>
  <c r="H1753" i="3"/>
  <c r="K1753" i="3" s="1"/>
  <c r="G1753" i="3"/>
  <c r="F1753" i="3"/>
  <c r="E1753" i="3"/>
  <c r="D1753" i="3"/>
  <c r="L1753" i="3" s="1"/>
  <c r="K1752" i="3"/>
  <c r="J1752" i="3"/>
  <c r="I1752" i="3"/>
  <c r="H1752" i="3"/>
  <c r="G1752" i="3"/>
  <c r="F1752" i="3"/>
  <c r="E1752" i="3"/>
  <c r="D1752" i="3"/>
  <c r="L1752" i="3" s="1"/>
  <c r="K1751" i="3"/>
  <c r="J1751" i="3"/>
  <c r="I1751" i="3"/>
  <c r="H1751" i="3"/>
  <c r="G1751" i="3"/>
  <c r="F1751" i="3"/>
  <c r="E1751" i="3"/>
  <c r="D1751" i="3"/>
  <c r="L1751" i="3" s="1"/>
  <c r="J1750" i="3"/>
  <c r="H1750" i="3"/>
  <c r="I1750" i="3" s="1"/>
  <c r="G1750" i="3"/>
  <c r="F1750" i="3"/>
  <c r="E1750" i="3"/>
  <c r="D1750" i="3"/>
  <c r="L1750" i="3" s="1"/>
  <c r="I1749" i="3"/>
  <c r="H1749" i="3"/>
  <c r="K1749" i="3" s="1"/>
  <c r="G1749" i="3"/>
  <c r="F1749" i="3"/>
  <c r="E1749" i="3"/>
  <c r="D1749" i="3"/>
  <c r="L1749" i="3" s="1"/>
  <c r="I1748" i="3"/>
  <c r="H1748" i="3"/>
  <c r="K1748" i="3" s="1"/>
  <c r="G1748" i="3"/>
  <c r="F1748" i="3"/>
  <c r="E1748" i="3"/>
  <c r="D1748" i="3"/>
  <c r="L1748" i="3" s="1"/>
  <c r="H1747" i="3"/>
  <c r="G1747" i="3"/>
  <c r="F1747" i="3"/>
  <c r="E1747" i="3"/>
  <c r="D1747" i="3"/>
  <c r="L1747" i="3" s="1"/>
  <c r="H1746" i="3"/>
  <c r="K1746" i="3" s="1"/>
  <c r="G1746" i="3"/>
  <c r="F1746" i="3"/>
  <c r="E1746" i="3"/>
  <c r="D1746" i="3"/>
  <c r="L1746" i="3" s="1"/>
  <c r="J1745" i="3"/>
  <c r="H1745" i="3"/>
  <c r="K1745" i="3" s="1"/>
  <c r="G1745" i="3"/>
  <c r="F1745" i="3"/>
  <c r="E1745" i="3"/>
  <c r="D1745" i="3"/>
  <c r="L1745" i="3" s="1"/>
  <c r="K1744" i="3"/>
  <c r="J1744" i="3"/>
  <c r="I1744" i="3"/>
  <c r="H1744" i="3"/>
  <c r="G1744" i="3"/>
  <c r="F1744" i="3"/>
  <c r="E1744" i="3"/>
  <c r="D1744" i="3"/>
  <c r="L1744" i="3" s="1"/>
  <c r="K1743" i="3"/>
  <c r="J1743" i="3"/>
  <c r="I1743" i="3"/>
  <c r="H1743" i="3"/>
  <c r="G1743" i="3"/>
  <c r="F1743" i="3"/>
  <c r="E1743" i="3"/>
  <c r="D1743" i="3"/>
  <c r="L1743" i="3" s="1"/>
  <c r="J1742" i="3"/>
  <c r="H1742" i="3"/>
  <c r="I1742" i="3" s="1"/>
  <c r="G1742" i="3"/>
  <c r="F1742" i="3"/>
  <c r="E1742" i="3"/>
  <c r="D1742" i="3"/>
  <c r="L1742" i="3" s="1"/>
  <c r="I1741" i="3"/>
  <c r="H1741" i="3"/>
  <c r="K1741" i="3" s="1"/>
  <c r="G1741" i="3"/>
  <c r="F1741" i="3"/>
  <c r="E1741" i="3"/>
  <c r="D1741" i="3"/>
  <c r="L1741" i="3" s="1"/>
  <c r="I1740" i="3"/>
  <c r="H1740" i="3"/>
  <c r="K1740" i="3" s="1"/>
  <c r="G1740" i="3"/>
  <c r="F1740" i="3"/>
  <c r="E1740" i="3"/>
  <c r="D1740" i="3"/>
  <c r="L1740" i="3" s="1"/>
  <c r="H1739" i="3"/>
  <c r="G1739" i="3"/>
  <c r="F1739" i="3"/>
  <c r="E1739" i="3"/>
  <c r="D1739" i="3"/>
  <c r="L1739" i="3" s="1"/>
  <c r="H1738" i="3"/>
  <c r="K1738" i="3" s="1"/>
  <c r="G1738" i="3"/>
  <c r="F1738" i="3"/>
  <c r="E1738" i="3"/>
  <c r="D1738" i="3"/>
  <c r="L1738" i="3" s="1"/>
  <c r="J1737" i="3"/>
  <c r="H1737" i="3"/>
  <c r="K1737" i="3" s="1"/>
  <c r="G1737" i="3"/>
  <c r="F1737" i="3"/>
  <c r="E1737" i="3"/>
  <c r="D1737" i="3"/>
  <c r="L1737" i="3" s="1"/>
  <c r="J1736" i="3"/>
  <c r="I1736" i="3"/>
  <c r="H1736" i="3"/>
  <c r="K1736" i="3" s="1"/>
  <c r="G1736" i="3"/>
  <c r="F1736" i="3"/>
  <c r="E1736" i="3"/>
  <c r="D1736" i="3"/>
  <c r="L1736" i="3" s="1"/>
  <c r="J1735" i="3"/>
  <c r="I1735" i="3"/>
  <c r="H1735" i="3"/>
  <c r="K1735" i="3" s="1"/>
  <c r="G1735" i="3"/>
  <c r="F1735" i="3"/>
  <c r="E1735" i="3"/>
  <c r="D1735" i="3"/>
  <c r="L1735" i="3" s="1"/>
  <c r="J1734" i="3"/>
  <c r="H1734" i="3"/>
  <c r="I1734" i="3" s="1"/>
  <c r="G1734" i="3"/>
  <c r="F1734" i="3"/>
  <c r="E1734" i="3"/>
  <c r="D1734" i="3"/>
  <c r="L1734" i="3" s="1"/>
  <c r="H1733" i="3"/>
  <c r="J1733" i="3" s="1"/>
  <c r="G1733" i="3"/>
  <c r="F1733" i="3"/>
  <c r="E1733" i="3"/>
  <c r="D1733" i="3"/>
  <c r="L1733" i="3" s="1"/>
  <c r="H1732" i="3"/>
  <c r="K1732" i="3" s="1"/>
  <c r="G1732" i="3"/>
  <c r="F1732" i="3"/>
  <c r="E1732" i="3"/>
  <c r="D1732" i="3"/>
  <c r="L1732" i="3" s="1"/>
  <c r="H1731" i="3"/>
  <c r="G1731" i="3"/>
  <c r="F1731" i="3"/>
  <c r="E1731" i="3"/>
  <c r="D1731" i="3"/>
  <c r="L1731" i="3" s="1"/>
  <c r="I1730" i="3"/>
  <c r="H1730" i="3"/>
  <c r="K1730" i="3" s="1"/>
  <c r="G1730" i="3"/>
  <c r="F1730" i="3"/>
  <c r="E1730" i="3"/>
  <c r="D1730" i="3"/>
  <c r="L1730" i="3" s="1"/>
  <c r="J1729" i="3"/>
  <c r="H1729" i="3"/>
  <c r="K1729" i="3" s="1"/>
  <c r="G1729" i="3"/>
  <c r="F1729" i="3"/>
  <c r="E1729" i="3"/>
  <c r="D1729" i="3"/>
  <c r="L1729" i="3" s="1"/>
  <c r="I1728" i="3"/>
  <c r="H1728" i="3"/>
  <c r="K1728" i="3" s="1"/>
  <c r="G1728" i="3"/>
  <c r="F1728" i="3"/>
  <c r="E1728" i="3"/>
  <c r="D1728" i="3"/>
  <c r="L1728" i="3" s="1"/>
  <c r="I1727" i="3"/>
  <c r="H1727" i="3"/>
  <c r="K1727" i="3" s="1"/>
  <c r="G1727" i="3"/>
  <c r="F1727" i="3"/>
  <c r="E1727" i="3"/>
  <c r="D1727" i="3"/>
  <c r="L1727" i="3" s="1"/>
  <c r="H1726" i="3"/>
  <c r="I1726" i="3" s="1"/>
  <c r="G1726" i="3"/>
  <c r="F1726" i="3"/>
  <c r="E1726" i="3"/>
  <c r="D1726" i="3"/>
  <c r="L1726" i="3" s="1"/>
  <c r="H1725" i="3"/>
  <c r="J1725" i="3" s="1"/>
  <c r="G1725" i="3"/>
  <c r="F1725" i="3"/>
  <c r="E1725" i="3"/>
  <c r="D1725" i="3"/>
  <c r="L1725" i="3" s="1"/>
  <c r="H1724" i="3"/>
  <c r="K1724" i="3" s="1"/>
  <c r="G1724" i="3"/>
  <c r="F1724" i="3"/>
  <c r="E1724" i="3"/>
  <c r="D1724" i="3"/>
  <c r="L1724" i="3" s="1"/>
  <c r="H1723" i="3"/>
  <c r="G1723" i="3"/>
  <c r="F1723" i="3"/>
  <c r="E1723" i="3"/>
  <c r="D1723" i="3"/>
  <c r="L1723" i="3" s="1"/>
  <c r="I1722" i="3"/>
  <c r="H1722" i="3"/>
  <c r="K1722" i="3" s="1"/>
  <c r="G1722" i="3"/>
  <c r="F1722" i="3"/>
  <c r="E1722" i="3"/>
  <c r="D1722" i="3"/>
  <c r="L1722" i="3" s="1"/>
  <c r="H1721" i="3"/>
  <c r="K1721" i="3" s="1"/>
  <c r="G1721" i="3"/>
  <c r="F1721" i="3"/>
  <c r="E1721" i="3"/>
  <c r="D1721" i="3"/>
  <c r="L1721" i="3" s="1"/>
  <c r="H1720" i="3"/>
  <c r="K1720" i="3" s="1"/>
  <c r="G1720" i="3"/>
  <c r="F1720" i="3"/>
  <c r="E1720" i="3"/>
  <c r="D1720" i="3"/>
  <c r="L1720" i="3" s="1"/>
  <c r="H1719" i="3"/>
  <c r="K1719" i="3" s="1"/>
  <c r="G1719" i="3"/>
  <c r="F1719" i="3"/>
  <c r="E1719" i="3"/>
  <c r="D1719" i="3"/>
  <c r="L1719" i="3" s="1"/>
  <c r="H1718" i="3"/>
  <c r="I1718" i="3" s="1"/>
  <c r="G1718" i="3"/>
  <c r="F1718" i="3"/>
  <c r="E1718" i="3"/>
  <c r="D1718" i="3"/>
  <c r="L1718" i="3" s="1"/>
  <c r="H1717" i="3"/>
  <c r="J1717" i="3" s="1"/>
  <c r="G1717" i="3"/>
  <c r="F1717" i="3"/>
  <c r="E1717" i="3"/>
  <c r="D1717" i="3"/>
  <c r="L1717" i="3" s="1"/>
  <c r="H1716" i="3"/>
  <c r="K1716" i="3" s="1"/>
  <c r="G1716" i="3"/>
  <c r="F1716" i="3"/>
  <c r="E1716" i="3"/>
  <c r="D1716" i="3"/>
  <c r="L1716" i="3" s="1"/>
  <c r="H1715" i="3"/>
  <c r="G1715" i="3"/>
  <c r="F1715" i="3"/>
  <c r="E1715" i="3"/>
  <c r="D1715" i="3"/>
  <c r="L1715" i="3" s="1"/>
  <c r="I1714" i="3"/>
  <c r="H1714" i="3"/>
  <c r="K1714" i="3" s="1"/>
  <c r="G1714" i="3"/>
  <c r="F1714" i="3"/>
  <c r="E1714" i="3"/>
  <c r="D1714" i="3"/>
  <c r="L1714" i="3" s="1"/>
  <c r="J1713" i="3"/>
  <c r="H1713" i="3"/>
  <c r="K1713" i="3" s="1"/>
  <c r="G1713" i="3"/>
  <c r="F1713" i="3"/>
  <c r="E1713" i="3"/>
  <c r="D1713" i="3"/>
  <c r="L1713" i="3" s="1"/>
  <c r="H1712" i="3"/>
  <c r="K1712" i="3" s="1"/>
  <c r="G1712" i="3"/>
  <c r="F1712" i="3"/>
  <c r="E1712" i="3"/>
  <c r="D1712" i="3"/>
  <c r="L1712" i="3" s="1"/>
  <c r="H1711" i="3"/>
  <c r="K1711" i="3" s="1"/>
  <c r="G1711" i="3"/>
  <c r="F1711" i="3"/>
  <c r="E1711" i="3"/>
  <c r="D1711" i="3"/>
  <c r="L1711" i="3" s="1"/>
  <c r="H1710" i="3"/>
  <c r="I1710" i="3" s="1"/>
  <c r="G1710" i="3"/>
  <c r="F1710" i="3"/>
  <c r="E1710" i="3"/>
  <c r="D1710" i="3"/>
  <c r="L1710" i="3" s="1"/>
  <c r="H1709" i="3"/>
  <c r="K1709" i="3" s="1"/>
  <c r="G1709" i="3"/>
  <c r="F1709" i="3"/>
  <c r="E1709" i="3"/>
  <c r="D1709" i="3"/>
  <c r="L1709" i="3" s="1"/>
  <c r="H1708" i="3"/>
  <c r="K1708" i="3" s="1"/>
  <c r="G1708" i="3"/>
  <c r="F1708" i="3"/>
  <c r="E1708" i="3"/>
  <c r="D1708" i="3"/>
  <c r="L1708" i="3" s="1"/>
  <c r="H1707" i="3"/>
  <c r="G1707" i="3"/>
  <c r="F1707" i="3"/>
  <c r="E1707" i="3"/>
  <c r="D1707" i="3"/>
  <c r="L1707" i="3" s="1"/>
  <c r="I1706" i="3"/>
  <c r="H1706" i="3"/>
  <c r="K1706" i="3" s="1"/>
  <c r="G1706" i="3"/>
  <c r="F1706" i="3"/>
  <c r="E1706" i="3"/>
  <c r="D1706" i="3"/>
  <c r="L1706" i="3" s="1"/>
  <c r="H1705" i="3"/>
  <c r="K1705" i="3" s="1"/>
  <c r="G1705" i="3"/>
  <c r="F1705" i="3"/>
  <c r="E1705" i="3"/>
  <c r="D1705" i="3"/>
  <c r="L1705" i="3" s="1"/>
  <c r="H1704" i="3"/>
  <c r="K1704" i="3" s="1"/>
  <c r="G1704" i="3"/>
  <c r="F1704" i="3"/>
  <c r="E1704" i="3"/>
  <c r="D1704" i="3"/>
  <c r="L1704" i="3" s="1"/>
  <c r="H1703" i="3"/>
  <c r="K1703" i="3" s="1"/>
  <c r="G1703" i="3"/>
  <c r="F1703" i="3"/>
  <c r="E1703" i="3"/>
  <c r="D1703" i="3"/>
  <c r="L1703" i="3" s="1"/>
  <c r="H1702" i="3"/>
  <c r="I1702" i="3" s="1"/>
  <c r="G1702" i="3"/>
  <c r="F1702" i="3"/>
  <c r="E1702" i="3"/>
  <c r="D1702" i="3"/>
  <c r="L1702" i="3" s="1"/>
  <c r="K1701" i="3"/>
  <c r="H1701" i="3"/>
  <c r="J1701" i="3" s="1"/>
  <c r="G1701" i="3"/>
  <c r="F1701" i="3"/>
  <c r="E1701" i="3"/>
  <c r="D1701" i="3"/>
  <c r="L1701" i="3" s="1"/>
  <c r="K1700" i="3"/>
  <c r="H1700" i="3"/>
  <c r="J1700" i="3" s="1"/>
  <c r="G1700" i="3"/>
  <c r="F1700" i="3"/>
  <c r="E1700" i="3"/>
  <c r="D1700" i="3"/>
  <c r="L1700" i="3" s="1"/>
  <c r="H1699" i="3"/>
  <c r="G1699" i="3"/>
  <c r="F1699" i="3"/>
  <c r="E1699" i="3"/>
  <c r="D1699" i="3"/>
  <c r="L1699" i="3" s="1"/>
  <c r="I1698" i="3"/>
  <c r="H1698" i="3"/>
  <c r="K1698" i="3" s="1"/>
  <c r="G1698" i="3"/>
  <c r="F1698" i="3"/>
  <c r="E1698" i="3"/>
  <c r="D1698" i="3"/>
  <c r="L1698" i="3" s="1"/>
  <c r="H1697" i="3"/>
  <c r="K1697" i="3" s="1"/>
  <c r="G1697" i="3"/>
  <c r="F1697" i="3"/>
  <c r="E1697" i="3"/>
  <c r="D1697" i="3"/>
  <c r="L1697" i="3" s="1"/>
  <c r="I1696" i="3"/>
  <c r="H1696" i="3"/>
  <c r="K1696" i="3" s="1"/>
  <c r="G1696" i="3"/>
  <c r="F1696" i="3"/>
  <c r="E1696" i="3"/>
  <c r="D1696" i="3"/>
  <c r="L1696" i="3" s="1"/>
  <c r="I1695" i="3"/>
  <c r="H1695" i="3"/>
  <c r="K1695" i="3" s="1"/>
  <c r="G1695" i="3"/>
  <c r="F1695" i="3"/>
  <c r="E1695" i="3"/>
  <c r="D1695" i="3"/>
  <c r="L1695" i="3" s="1"/>
  <c r="H1694" i="3"/>
  <c r="I1694" i="3" s="1"/>
  <c r="G1694" i="3"/>
  <c r="F1694" i="3"/>
  <c r="E1694" i="3"/>
  <c r="D1694" i="3"/>
  <c r="L1694" i="3" s="1"/>
  <c r="H1693" i="3"/>
  <c r="K1693" i="3" s="1"/>
  <c r="G1693" i="3"/>
  <c r="F1693" i="3"/>
  <c r="E1693" i="3"/>
  <c r="D1693" i="3"/>
  <c r="L1693" i="3" s="1"/>
  <c r="H1692" i="3"/>
  <c r="K1692" i="3" s="1"/>
  <c r="G1692" i="3"/>
  <c r="F1692" i="3"/>
  <c r="E1692" i="3"/>
  <c r="D1692" i="3"/>
  <c r="L1692" i="3" s="1"/>
  <c r="H1691" i="3"/>
  <c r="G1691" i="3"/>
  <c r="F1691" i="3"/>
  <c r="E1691" i="3"/>
  <c r="D1691" i="3"/>
  <c r="L1691" i="3" s="1"/>
  <c r="I1690" i="3"/>
  <c r="H1690" i="3"/>
  <c r="K1690" i="3" s="1"/>
  <c r="G1690" i="3"/>
  <c r="F1690" i="3"/>
  <c r="E1690" i="3"/>
  <c r="D1690" i="3"/>
  <c r="L1690" i="3" s="1"/>
  <c r="J1689" i="3"/>
  <c r="H1689" i="3"/>
  <c r="K1689" i="3" s="1"/>
  <c r="G1689" i="3"/>
  <c r="F1689" i="3"/>
  <c r="E1689" i="3"/>
  <c r="D1689" i="3"/>
  <c r="L1689" i="3" s="1"/>
  <c r="I1688" i="3"/>
  <c r="H1688" i="3"/>
  <c r="K1688" i="3" s="1"/>
  <c r="G1688" i="3"/>
  <c r="F1688" i="3"/>
  <c r="E1688" i="3"/>
  <c r="D1688" i="3"/>
  <c r="L1688" i="3" s="1"/>
  <c r="I1687" i="3"/>
  <c r="H1687" i="3"/>
  <c r="K1687" i="3" s="1"/>
  <c r="G1687" i="3"/>
  <c r="F1687" i="3"/>
  <c r="E1687" i="3"/>
  <c r="D1687" i="3"/>
  <c r="L1687" i="3" s="1"/>
  <c r="H1686" i="3"/>
  <c r="I1686" i="3" s="1"/>
  <c r="G1686" i="3"/>
  <c r="F1686" i="3"/>
  <c r="E1686" i="3"/>
  <c r="D1686" i="3"/>
  <c r="L1686" i="3" s="1"/>
  <c r="H1685" i="3"/>
  <c r="K1685" i="3" s="1"/>
  <c r="G1685" i="3"/>
  <c r="F1685" i="3"/>
  <c r="E1685" i="3"/>
  <c r="D1685" i="3"/>
  <c r="L1685" i="3" s="1"/>
  <c r="H1684" i="3"/>
  <c r="K1684" i="3" s="1"/>
  <c r="G1684" i="3"/>
  <c r="F1684" i="3"/>
  <c r="E1684" i="3"/>
  <c r="D1684" i="3"/>
  <c r="L1684" i="3" s="1"/>
  <c r="H1683" i="3"/>
  <c r="G1683" i="3"/>
  <c r="F1683" i="3"/>
  <c r="E1683" i="3"/>
  <c r="D1683" i="3"/>
  <c r="L1683" i="3" s="1"/>
  <c r="I1682" i="3"/>
  <c r="H1682" i="3"/>
  <c r="K1682" i="3" s="1"/>
  <c r="G1682" i="3"/>
  <c r="F1682" i="3"/>
  <c r="E1682" i="3"/>
  <c r="D1682" i="3"/>
  <c r="L1682" i="3" s="1"/>
  <c r="H1681" i="3"/>
  <c r="K1681" i="3" s="1"/>
  <c r="G1681" i="3"/>
  <c r="F1681" i="3"/>
  <c r="E1681" i="3"/>
  <c r="D1681" i="3"/>
  <c r="L1681" i="3" s="1"/>
  <c r="H1680" i="3"/>
  <c r="K1680" i="3" s="1"/>
  <c r="G1680" i="3"/>
  <c r="F1680" i="3"/>
  <c r="E1680" i="3"/>
  <c r="D1680" i="3"/>
  <c r="L1680" i="3" s="1"/>
  <c r="H1679" i="3"/>
  <c r="K1679" i="3" s="1"/>
  <c r="G1679" i="3"/>
  <c r="F1679" i="3"/>
  <c r="E1679" i="3"/>
  <c r="D1679" i="3"/>
  <c r="L1679" i="3" s="1"/>
  <c r="H1678" i="3"/>
  <c r="I1678" i="3" s="1"/>
  <c r="G1678" i="3"/>
  <c r="F1678" i="3"/>
  <c r="E1678" i="3"/>
  <c r="D1678" i="3"/>
  <c r="L1678" i="3" s="1"/>
  <c r="H1677" i="3"/>
  <c r="K1677" i="3" s="1"/>
  <c r="G1677" i="3"/>
  <c r="F1677" i="3"/>
  <c r="E1677" i="3"/>
  <c r="D1677" i="3"/>
  <c r="L1677" i="3" s="1"/>
  <c r="H1676" i="3"/>
  <c r="K1676" i="3" s="1"/>
  <c r="G1676" i="3"/>
  <c r="F1676" i="3"/>
  <c r="E1676" i="3"/>
  <c r="D1676" i="3"/>
  <c r="L1676" i="3" s="1"/>
  <c r="H1675" i="3"/>
  <c r="G1675" i="3"/>
  <c r="F1675" i="3"/>
  <c r="E1675" i="3"/>
  <c r="D1675" i="3"/>
  <c r="L1675" i="3" s="1"/>
  <c r="I1674" i="3"/>
  <c r="H1674" i="3"/>
  <c r="K1674" i="3" s="1"/>
  <c r="G1674" i="3"/>
  <c r="F1674" i="3"/>
  <c r="E1674" i="3"/>
  <c r="D1674" i="3"/>
  <c r="L1674" i="3" s="1"/>
  <c r="H1673" i="3"/>
  <c r="J1673" i="3" s="1"/>
  <c r="G1673" i="3"/>
  <c r="F1673" i="3"/>
  <c r="E1673" i="3"/>
  <c r="D1673" i="3"/>
  <c r="L1673" i="3" s="1"/>
  <c r="H1672" i="3"/>
  <c r="K1672" i="3" s="1"/>
  <c r="G1672" i="3"/>
  <c r="F1672" i="3"/>
  <c r="E1672" i="3"/>
  <c r="D1672" i="3"/>
  <c r="L1672" i="3" s="1"/>
  <c r="H1671" i="3"/>
  <c r="K1671" i="3" s="1"/>
  <c r="G1671" i="3"/>
  <c r="F1671" i="3"/>
  <c r="E1671" i="3"/>
  <c r="D1671" i="3"/>
  <c r="L1671" i="3" s="1"/>
  <c r="H1670" i="3"/>
  <c r="I1670" i="3" s="1"/>
  <c r="G1670" i="3"/>
  <c r="F1670" i="3"/>
  <c r="E1670" i="3"/>
  <c r="D1670" i="3"/>
  <c r="L1670" i="3" s="1"/>
  <c r="H1669" i="3"/>
  <c r="K1669" i="3" s="1"/>
  <c r="G1669" i="3"/>
  <c r="F1669" i="3"/>
  <c r="E1669" i="3"/>
  <c r="D1669" i="3"/>
  <c r="L1669" i="3" s="1"/>
  <c r="H1668" i="3"/>
  <c r="K1668" i="3" s="1"/>
  <c r="G1668" i="3"/>
  <c r="F1668" i="3"/>
  <c r="E1668" i="3"/>
  <c r="D1668" i="3"/>
  <c r="L1668" i="3" s="1"/>
  <c r="H1667" i="3"/>
  <c r="G1667" i="3"/>
  <c r="F1667" i="3"/>
  <c r="E1667" i="3"/>
  <c r="D1667" i="3"/>
  <c r="L1667" i="3" s="1"/>
  <c r="I1666" i="3"/>
  <c r="H1666" i="3"/>
  <c r="K1666" i="3" s="1"/>
  <c r="G1666" i="3"/>
  <c r="F1666" i="3"/>
  <c r="E1666" i="3"/>
  <c r="D1666" i="3"/>
  <c r="L1666" i="3" s="1"/>
  <c r="H1665" i="3"/>
  <c r="J1665" i="3" s="1"/>
  <c r="G1665" i="3"/>
  <c r="F1665" i="3"/>
  <c r="E1665" i="3"/>
  <c r="D1665" i="3"/>
  <c r="L1665" i="3" s="1"/>
  <c r="H1664" i="3"/>
  <c r="K1664" i="3" s="1"/>
  <c r="G1664" i="3"/>
  <c r="F1664" i="3"/>
  <c r="E1664" i="3"/>
  <c r="D1664" i="3"/>
  <c r="L1664" i="3" s="1"/>
  <c r="H1663" i="3"/>
  <c r="K1663" i="3" s="1"/>
  <c r="G1663" i="3"/>
  <c r="F1663" i="3"/>
  <c r="E1663" i="3"/>
  <c r="D1663" i="3"/>
  <c r="L1663" i="3" s="1"/>
  <c r="H1662" i="3"/>
  <c r="K1662" i="3" s="1"/>
  <c r="G1662" i="3"/>
  <c r="F1662" i="3"/>
  <c r="E1662" i="3"/>
  <c r="D1662" i="3"/>
  <c r="L1662" i="3" s="1"/>
  <c r="H1661" i="3"/>
  <c r="K1661" i="3" s="1"/>
  <c r="G1661" i="3"/>
  <c r="F1661" i="3"/>
  <c r="E1661" i="3"/>
  <c r="D1661" i="3"/>
  <c r="L1661" i="3" s="1"/>
  <c r="H1660" i="3"/>
  <c r="K1660" i="3" s="1"/>
  <c r="G1660" i="3"/>
  <c r="F1660" i="3"/>
  <c r="E1660" i="3"/>
  <c r="D1660" i="3"/>
  <c r="L1660" i="3" s="1"/>
  <c r="H1659" i="3"/>
  <c r="G1659" i="3"/>
  <c r="F1659" i="3"/>
  <c r="E1659" i="3"/>
  <c r="D1659" i="3"/>
  <c r="L1659" i="3" s="1"/>
  <c r="I1658" i="3"/>
  <c r="H1658" i="3"/>
  <c r="K1658" i="3" s="1"/>
  <c r="G1658" i="3"/>
  <c r="F1658" i="3"/>
  <c r="E1658" i="3"/>
  <c r="D1658" i="3"/>
  <c r="L1658" i="3" s="1"/>
  <c r="H1657" i="3"/>
  <c r="G1657" i="3"/>
  <c r="F1657" i="3"/>
  <c r="E1657" i="3"/>
  <c r="D1657" i="3"/>
  <c r="L1657" i="3" s="1"/>
  <c r="H1656" i="3"/>
  <c r="K1656" i="3" s="1"/>
  <c r="G1656" i="3"/>
  <c r="F1656" i="3"/>
  <c r="E1656" i="3"/>
  <c r="D1656" i="3"/>
  <c r="L1656" i="3" s="1"/>
  <c r="H1655" i="3"/>
  <c r="K1655" i="3" s="1"/>
  <c r="G1655" i="3"/>
  <c r="F1655" i="3"/>
  <c r="E1655" i="3"/>
  <c r="D1655" i="3"/>
  <c r="L1655" i="3" s="1"/>
  <c r="H1654" i="3"/>
  <c r="K1654" i="3" s="1"/>
  <c r="G1654" i="3"/>
  <c r="F1654" i="3"/>
  <c r="E1654" i="3"/>
  <c r="D1654" i="3"/>
  <c r="L1654" i="3" s="1"/>
  <c r="H1653" i="3"/>
  <c r="K1653" i="3" s="1"/>
  <c r="G1653" i="3"/>
  <c r="F1653" i="3"/>
  <c r="E1653" i="3"/>
  <c r="D1653" i="3"/>
  <c r="L1653" i="3" s="1"/>
  <c r="H1652" i="3"/>
  <c r="K1652" i="3" s="1"/>
  <c r="G1652" i="3"/>
  <c r="F1652" i="3"/>
  <c r="E1652" i="3"/>
  <c r="D1652" i="3"/>
  <c r="L1652" i="3" s="1"/>
  <c r="H1651" i="3"/>
  <c r="G1651" i="3"/>
  <c r="F1651" i="3"/>
  <c r="E1651" i="3"/>
  <c r="D1651" i="3"/>
  <c r="L1651" i="3" s="1"/>
  <c r="I1650" i="3"/>
  <c r="H1650" i="3"/>
  <c r="K1650" i="3" s="1"/>
  <c r="G1650" i="3"/>
  <c r="F1650" i="3"/>
  <c r="E1650" i="3"/>
  <c r="D1650" i="3"/>
  <c r="L1650" i="3" s="1"/>
  <c r="H1649" i="3"/>
  <c r="J1649" i="3" s="1"/>
  <c r="G1649" i="3"/>
  <c r="F1649" i="3"/>
  <c r="E1649" i="3"/>
  <c r="D1649" i="3"/>
  <c r="L1649" i="3" s="1"/>
  <c r="J1648" i="3"/>
  <c r="H1648" i="3"/>
  <c r="K1648" i="3" s="1"/>
  <c r="G1648" i="3"/>
  <c r="F1648" i="3"/>
  <c r="E1648" i="3"/>
  <c r="D1648" i="3"/>
  <c r="L1648" i="3" s="1"/>
  <c r="J1647" i="3"/>
  <c r="H1647" i="3"/>
  <c r="K1647" i="3" s="1"/>
  <c r="G1647" i="3"/>
  <c r="F1647" i="3"/>
  <c r="E1647" i="3"/>
  <c r="D1647" i="3"/>
  <c r="L1647" i="3" s="1"/>
  <c r="J1646" i="3"/>
  <c r="H1646" i="3"/>
  <c r="K1646" i="3" s="1"/>
  <c r="G1646" i="3"/>
  <c r="F1646" i="3"/>
  <c r="E1646" i="3"/>
  <c r="D1646" i="3"/>
  <c r="L1646" i="3" s="1"/>
  <c r="J1645" i="3"/>
  <c r="H1645" i="3"/>
  <c r="K1645" i="3" s="1"/>
  <c r="G1645" i="3"/>
  <c r="F1645" i="3"/>
  <c r="E1645" i="3"/>
  <c r="D1645" i="3"/>
  <c r="L1645" i="3" s="1"/>
  <c r="J1644" i="3"/>
  <c r="H1644" i="3"/>
  <c r="K1644" i="3" s="1"/>
  <c r="G1644" i="3"/>
  <c r="F1644" i="3"/>
  <c r="E1644" i="3"/>
  <c r="D1644" i="3"/>
  <c r="L1644" i="3" s="1"/>
  <c r="H1643" i="3"/>
  <c r="G1643" i="3"/>
  <c r="F1643" i="3"/>
  <c r="E1643" i="3"/>
  <c r="D1643" i="3"/>
  <c r="L1643" i="3" s="1"/>
  <c r="H1642" i="3"/>
  <c r="G1642" i="3"/>
  <c r="F1642" i="3"/>
  <c r="E1642" i="3"/>
  <c r="D1642" i="3"/>
  <c r="L1642" i="3" s="1"/>
  <c r="H1641" i="3"/>
  <c r="K1641" i="3" s="1"/>
  <c r="G1641" i="3"/>
  <c r="F1641" i="3"/>
  <c r="E1641" i="3"/>
  <c r="D1641" i="3"/>
  <c r="L1641" i="3" s="1"/>
  <c r="K1640" i="3"/>
  <c r="H1640" i="3"/>
  <c r="J1640" i="3" s="1"/>
  <c r="G1640" i="3"/>
  <c r="F1640" i="3"/>
  <c r="E1640" i="3"/>
  <c r="D1640" i="3"/>
  <c r="L1640" i="3" s="1"/>
  <c r="K1639" i="3"/>
  <c r="H1639" i="3"/>
  <c r="J1639" i="3" s="1"/>
  <c r="G1639" i="3"/>
  <c r="F1639" i="3"/>
  <c r="E1639" i="3"/>
  <c r="D1639" i="3"/>
  <c r="L1639" i="3" s="1"/>
  <c r="K1638" i="3"/>
  <c r="H1638" i="3"/>
  <c r="J1638" i="3" s="1"/>
  <c r="G1638" i="3"/>
  <c r="F1638" i="3"/>
  <c r="E1638" i="3"/>
  <c r="D1638" i="3"/>
  <c r="L1638" i="3" s="1"/>
  <c r="K1637" i="3"/>
  <c r="H1637" i="3"/>
  <c r="J1637" i="3" s="1"/>
  <c r="G1637" i="3"/>
  <c r="F1637" i="3"/>
  <c r="E1637" i="3"/>
  <c r="D1637" i="3"/>
  <c r="L1637" i="3" s="1"/>
  <c r="K1636" i="3"/>
  <c r="H1636" i="3"/>
  <c r="J1636" i="3" s="1"/>
  <c r="G1636" i="3"/>
  <c r="F1636" i="3"/>
  <c r="E1636" i="3"/>
  <c r="D1636" i="3"/>
  <c r="L1636" i="3" s="1"/>
  <c r="H1635" i="3"/>
  <c r="G1635" i="3"/>
  <c r="F1635" i="3"/>
  <c r="E1635" i="3"/>
  <c r="D1635" i="3"/>
  <c r="L1635" i="3" s="1"/>
  <c r="H1634" i="3"/>
  <c r="I1634" i="3" s="1"/>
  <c r="G1634" i="3"/>
  <c r="F1634" i="3"/>
  <c r="E1634" i="3"/>
  <c r="D1634" i="3"/>
  <c r="L1634" i="3" s="1"/>
  <c r="J1633" i="3"/>
  <c r="H1633" i="3"/>
  <c r="K1633" i="3" s="1"/>
  <c r="G1633" i="3"/>
  <c r="F1633" i="3"/>
  <c r="E1633" i="3"/>
  <c r="D1633" i="3"/>
  <c r="L1633" i="3" s="1"/>
  <c r="J1632" i="3"/>
  <c r="I1632" i="3"/>
  <c r="H1632" i="3"/>
  <c r="K1632" i="3" s="1"/>
  <c r="G1632" i="3"/>
  <c r="F1632" i="3"/>
  <c r="E1632" i="3"/>
  <c r="D1632" i="3"/>
  <c r="L1632" i="3" s="1"/>
  <c r="J1631" i="3"/>
  <c r="I1631" i="3"/>
  <c r="H1631" i="3"/>
  <c r="K1631" i="3" s="1"/>
  <c r="G1631" i="3"/>
  <c r="F1631" i="3"/>
  <c r="E1631" i="3"/>
  <c r="D1631" i="3"/>
  <c r="L1631" i="3" s="1"/>
  <c r="J1630" i="3"/>
  <c r="I1630" i="3"/>
  <c r="H1630" i="3"/>
  <c r="K1630" i="3" s="1"/>
  <c r="G1630" i="3"/>
  <c r="F1630" i="3"/>
  <c r="E1630" i="3"/>
  <c r="D1630" i="3"/>
  <c r="L1630" i="3" s="1"/>
  <c r="J1629" i="3"/>
  <c r="I1629" i="3"/>
  <c r="H1629" i="3"/>
  <c r="K1629" i="3" s="1"/>
  <c r="G1629" i="3"/>
  <c r="F1629" i="3"/>
  <c r="E1629" i="3"/>
  <c r="D1629" i="3"/>
  <c r="L1629" i="3" s="1"/>
  <c r="J1628" i="3"/>
  <c r="I1628" i="3"/>
  <c r="H1628" i="3"/>
  <c r="K1628" i="3" s="1"/>
  <c r="G1628" i="3"/>
  <c r="F1628" i="3"/>
  <c r="E1628" i="3"/>
  <c r="D1628" i="3"/>
  <c r="L1628" i="3" s="1"/>
  <c r="H1627" i="3"/>
  <c r="G1627" i="3"/>
  <c r="F1627" i="3"/>
  <c r="E1627" i="3"/>
  <c r="D1627" i="3"/>
  <c r="L1627" i="3" s="1"/>
  <c r="H1626" i="3"/>
  <c r="G1626" i="3"/>
  <c r="F1626" i="3"/>
  <c r="E1626" i="3"/>
  <c r="D1626" i="3"/>
  <c r="L1626" i="3" s="1"/>
  <c r="H1625" i="3"/>
  <c r="K1625" i="3" s="1"/>
  <c r="G1625" i="3"/>
  <c r="F1625" i="3"/>
  <c r="E1625" i="3"/>
  <c r="D1625" i="3"/>
  <c r="L1625" i="3" s="1"/>
  <c r="K1624" i="3"/>
  <c r="H1624" i="3"/>
  <c r="J1624" i="3" s="1"/>
  <c r="G1624" i="3"/>
  <c r="F1624" i="3"/>
  <c r="E1624" i="3"/>
  <c r="D1624" i="3"/>
  <c r="L1624" i="3" s="1"/>
  <c r="K1623" i="3"/>
  <c r="H1623" i="3"/>
  <c r="J1623" i="3" s="1"/>
  <c r="G1623" i="3"/>
  <c r="F1623" i="3"/>
  <c r="E1623" i="3"/>
  <c r="D1623" i="3"/>
  <c r="L1623" i="3" s="1"/>
  <c r="K1622" i="3"/>
  <c r="H1622" i="3"/>
  <c r="J1622" i="3" s="1"/>
  <c r="G1622" i="3"/>
  <c r="F1622" i="3"/>
  <c r="E1622" i="3"/>
  <c r="D1622" i="3"/>
  <c r="L1622" i="3" s="1"/>
  <c r="K1621" i="3"/>
  <c r="H1621" i="3"/>
  <c r="J1621" i="3" s="1"/>
  <c r="G1621" i="3"/>
  <c r="F1621" i="3"/>
  <c r="E1621" i="3"/>
  <c r="D1621" i="3"/>
  <c r="L1621" i="3" s="1"/>
  <c r="K1620" i="3"/>
  <c r="H1620" i="3"/>
  <c r="J1620" i="3" s="1"/>
  <c r="G1620" i="3"/>
  <c r="F1620" i="3"/>
  <c r="E1620" i="3"/>
  <c r="D1620" i="3"/>
  <c r="L1620" i="3" s="1"/>
  <c r="H1619" i="3"/>
  <c r="G1619" i="3"/>
  <c r="F1619" i="3"/>
  <c r="E1619" i="3"/>
  <c r="D1619" i="3"/>
  <c r="L1619" i="3" s="1"/>
  <c r="H1618" i="3"/>
  <c r="G1618" i="3"/>
  <c r="F1618" i="3"/>
  <c r="E1618" i="3"/>
  <c r="D1618" i="3"/>
  <c r="L1618" i="3" s="1"/>
  <c r="J1617" i="3"/>
  <c r="I1617" i="3"/>
  <c r="H1617" i="3"/>
  <c r="K1617" i="3" s="1"/>
  <c r="G1617" i="3"/>
  <c r="F1617" i="3"/>
  <c r="E1617" i="3"/>
  <c r="D1617" i="3"/>
  <c r="L1617" i="3" s="1"/>
  <c r="H1616" i="3"/>
  <c r="J1616" i="3" s="1"/>
  <c r="G1616" i="3"/>
  <c r="F1616" i="3"/>
  <c r="E1616" i="3"/>
  <c r="D1616" i="3"/>
  <c r="L1616" i="3" s="1"/>
  <c r="K1615" i="3"/>
  <c r="H1615" i="3"/>
  <c r="J1615" i="3" s="1"/>
  <c r="G1615" i="3"/>
  <c r="F1615" i="3"/>
  <c r="E1615" i="3"/>
  <c r="D1615" i="3"/>
  <c r="L1615" i="3" s="1"/>
  <c r="K1614" i="3"/>
  <c r="H1614" i="3"/>
  <c r="J1614" i="3" s="1"/>
  <c r="G1614" i="3"/>
  <c r="F1614" i="3"/>
  <c r="E1614" i="3"/>
  <c r="D1614" i="3"/>
  <c r="L1614" i="3" s="1"/>
  <c r="K1613" i="3"/>
  <c r="H1613" i="3"/>
  <c r="J1613" i="3" s="1"/>
  <c r="G1613" i="3"/>
  <c r="F1613" i="3"/>
  <c r="E1613" i="3"/>
  <c r="D1613" i="3"/>
  <c r="L1613" i="3" s="1"/>
  <c r="K1612" i="3"/>
  <c r="H1612" i="3"/>
  <c r="J1612" i="3" s="1"/>
  <c r="G1612" i="3"/>
  <c r="F1612" i="3"/>
  <c r="E1612" i="3"/>
  <c r="D1612" i="3"/>
  <c r="L1612" i="3" s="1"/>
  <c r="L1611" i="3"/>
  <c r="H1611" i="3"/>
  <c r="G1611" i="3"/>
  <c r="F1611" i="3"/>
  <c r="E1611" i="3"/>
  <c r="D1611" i="3"/>
  <c r="H1610" i="3"/>
  <c r="I1610" i="3" s="1"/>
  <c r="G1610" i="3"/>
  <c r="F1610" i="3"/>
  <c r="E1610" i="3"/>
  <c r="D1610" i="3"/>
  <c r="L1610" i="3" s="1"/>
  <c r="H1609" i="3"/>
  <c r="K1609" i="3" s="1"/>
  <c r="G1609" i="3"/>
  <c r="F1609" i="3"/>
  <c r="E1609" i="3"/>
  <c r="D1609" i="3"/>
  <c r="L1609" i="3" s="1"/>
  <c r="H1608" i="3"/>
  <c r="K1608" i="3" s="1"/>
  <c r="G1608" i="3"/>
  <c r="F1608" i="3"/>
  <c r="E1608" i="3"/>
  <c r="D1608" i="3"/>
  <c r="L1608" i="3" s="1"/>
  <c r="I1607" i="3"/>
  <c r="H1607" i="3"/>
  <c r="J1607" i="3" s="1"/>
  <c r="G1607" i="3"/>
  <c r="F1607" i="3"/>
  <c r="E1607" i="3"/>
  <c r="D1607" i="3"/>
  <c r="L1607" i="3" s="1"/>
  <c r="I1606" i="3"/>
  <c r="H1606" i="3"/>
  <c r="K1606" i="3" s="1"/>
  <c r="G1606" i="3"/>
  <c r="F1606" i="3"/>
  <c r="E1606" i="3"/>
  <c r="D1606" i="3"/>
  <c r="L1606" i="3" s="1"/>
  <c r="J1605" i="3"/>
  <c r="I1605" i="3"/>
  <c r="H1605" i="3"/>
  <c r="K1605" i="3" s="1"/>
  <c r="G1605" i="3"/>
  <c r="F1605" i="3"/>
  <c r="E1605" i="3"/>
  <c r="D1605" i="3"/>
  <c r="L1605" i="3" s="1"/>
  <c r="J1604" i="3"/>
  <c r="I1604" i="3"/>
  <c r="H1604" i="3"/>
  <c r="K1604" i="3" s="1"/>
  <c r="G1604" i="3"/>
  <c r="F1604" i="3"/>
  <c r="E1604" i="3"/>
  <c r="D1604" i="3"/>
  <c r="L1604" i="3" s="1"/>
  <c r="H1603" i="3"/>
  <c r="G1603" i="3"/>
  <c r="F1603" i="3"/>
  <c r="E1603" i="3"/>
  <c r="D1603" i="3"/>
  <c r="L1603" i="3" s="1"/>
  <c r="H1602" i="3"/>
  <c r="G1602" i="3"/>
  <c r="F1602" i="3"/>
  <c r="E1602" i="3"/>
  <c r="D1602" i="3"/>
  <c r="L1602" i="3" s="1"/>
  <c r="I1601" i="3"/>
  <c r="H1601" i="3"/>
  <c r="K1601" i="3" s="1"/>
  <c r="G1601" i="3"/>
  <c r="F1601" i="3"/>
  <c r="E1601" i="3"/>
  <c r="D1601" i="3"/>
  <c r="L1601" i="3" s="1"/>
  <c r="H1600" i="3"/>
  <c r="G1600" i="3"/>
  <c r="F1600" i="3"/>
  <c r="E1600" i="3"/>
  <c r="D1600" i="3"/>
  <c r="L1600" i="3" s="1"/>
  <c r="H1599" i="3"/>
  <c r="K1599" i="3" s="1"/>
  <c r="G1599" i="3"/>
  <c r="F1599" i="3"/>
  <c r="E1599" i="3"/>
  <c r="D1599" i="3"/>
  <c r="L1599" i="3" s="1"/>
  <c r="J1598" i="3"/>
  <c r="I1598" i="3"/>
  <c r="H1598" i="3"/>
  <c r="K1598" i="3" s="1"/>
  <c r="G1598" i="3"/>
  <c r="F1598" i="3"/>
  <c r="E1598" i="3"/>
  <c r="D1598" i="3"/>
  <c r="L1598" i="3" s="1"/>
  <c r="J1597" i="3"/>
  <c r="I1597" i="3"/>
  <c r="H1597" i="3"/>
  <c r="K1597" i="3" s="1"/>
  <c r="G1597" i="3"/>
  <c r="F1597" i="3"/>
  <c r="E1597" i="3"/>
  <c r="D1597" i="3"/>
  <c r="L1597" i="3" s="1"/>
  <c r="J1596" i="3"/>
  <c r="I1596" i="3"/>
  <c r="H1596" i="3"/>
  <c r="K1596" i="3" s="1"/>
  <c r="G1596" i="3"/>
  <c r="F1596" i="3"/>
  <c r="E1596" i="3"/>
  <c r="D1596" i="3"/>
  <c r="L1596" i="3" s="1"/>
  <c r="H1595" i="3"/>
  <c r="G1595" i="3"/>
  <c r="F1595" i="3"/>
  <c r="E1595" i="3"/>
  <c r="D1595" i="3"/>
  <c r="L1595" i="3" s="1"/>
  <c r="I1594" i="3"/>
  <c r="H1594" i="3"/>
  <c r="G1594" i="3"/>
  <c r="F1594" i="3"/>
  <c r="E1594" i="3"/>
  <c r="D1594" i="3"/>
  <c r="L1594" i="3" s="1"/>
  <c r="H1593" i="3"/>
  <c r="K1593" i="3" s="1"/>
  <c r="G1593" i="3"/>
  <c r="F1593" i="3"/>
  <c r="E1593" i="3"/>
  <c r="D1593" i="3"/>
  <c r="L1593" i="3" s="1"/>
  <c r="J1592" i="3"/>
  <c r="H1592" i="3"/>
  <c r="I1592" i="3" s="1"/>
  <c r="G1592" i="3"/>
  <c r="F1592" i="3"/>
  <c r="E1592" i="3"/>
  <c r="D1592" i="3"/>
  <c r="L1592" i="3" s="1"/>
  <c r="H1591" i="3"/>
  <c r="J1591" i="3" s="1"/>
  <c r="G1591" i="3"/>
  <c r="F1591" i="3"/>
  <c r="E1591" i="3"/>
  <c r="D1591" i="3"/>
  <c r="L1591" i="3" s="1"/>
  <c r="K1590" i="3"/>
  <c r="J1590" i="3"/>
  <c r="H1590" i="3"/>
  <c r="I1590" i="3" s="1"/>
  <c r="G1590" i="3"/>
  <c r="F1590" i="3"/>
  <c r="E1590" i="3"/>
  <c r="D1590" i="3"/>
  <c r="L1590" i="3" s="1"/>
  <c r="K1589" i="3"/>
  <c r="J1589" i="3"/>
  <c r="H1589" i="3"/>
  <c r="I1589" i="3" s="1"/>
  <c r="G1589" i="3"/>
  <c r="F1589" i="3"/>
  <c r="E1589" i="3"/>
  <c r="D1589" i="3"/>
  <c r="L1589" i="3" s="1"/>
  <c r="K1588" i="3"/>
  <c r="J1588" i="3"/>
  <c r="H1588" i="3"/>
  <c r="I1588" i="3" s="1"/>
  <c r="G1588" i="3"/>
  <c r="F1588" i="3"/>
  <c r="E1588" i="3"/>
  <c r="D1588" i="3"/>
  <c r="L1588" i="3" s="1"/>
  <c r="K1587" i="3"/>
  <c r="H1587" i="3"/>
  <c r="G1587" i="3"/>
  <c r="F1587" i="3"/>
  <c r="E1587" i="3"/>
  <c r="D1587" i="3"/>
  <c r="L1587" i="3" s="1"/>
  <c r="H1586" i="3"/>
  <c r="G1586" i="3"/>
  <c r="F1586" i="3"/>
  <c r="E1586" i="3"/>
  <c r="D1586" i="3"/>
  <c r="L1586" i="3" s="1"/>
  <c r="I1585" i="3"/>
  <c r="H1585" i="3"/>
  <c r="K1585" i="3" s="1"/>
  <c r="G1585" i="3"/>
  <c r="F1585" i="3"/>
  <c r="E1585" i="3"/>
  <c r="D1585" i="3"/>
  <c r="L1585" i="3" s="1"/>
  <c r="K1584" i="3"/>
  <c r="I1584" i="3"/>
  <c r="H1584" i="3"/>
  <c r="J1584" i="3" s="1"/>
  <c r="G1584" i="3"/>
  <c r="F1584" i="3"/>
  <c r="E1584" i="3"/>
  <c r="D1584" i="3"/>
  <c r="L1584" i="3" s="1"/>
  <c r="H1583" i="3"/>
  <c r="K1583" i="3" s="1"/>
  <c r="G1583" i="3"/>
  <c r="F1583" i="3"/>
  <c r="E1583" i="3"/>
  <c r="D1583" i="3"/>
  <c r="L1583" i="3" s="1"/>
  <c r="K1582" i="3"/>
  <c r="J1582" i="3"/>
  <c r="I1582" i="3"/>
  <c r="H1582" i="3"/>
  <c r="G1582" i="3"/>
  <c r="F1582" i="3"/>
  <c r="E1582" i="3"/>
  <c r="D1582" i="3"/>
  <c r="L1582" i="3" s="1"/>
  <c r="K1581" i="3"/>
  <c r="J1581" i="3"/>
  <c r="I1581" i="3"/>
  <c r="H1581" i="3"/>
  <c r="G1581" i="3"/>
  <c r="F1581" i="3"/>
  <c r="E1581" i="3"/>
  <c r="D1581" i="3"/>
  <c r="L1581" i="3" s="1"/>
  <c r="K1580" i="3"/>
  <c r="J1580" i="3"/>
  <c r="I1580" i="3"/>
  <c r="H1580" i="3"/>
  <c r="G1580" i="3"/>
  <c r="F1580" i="3"/>
  <c r="E1580" i="3"/>
  <c r="D1580" i="3"/>
  <c r="L1580" i="3" s="1"/>
  <c r="L1579" i="3"/>
  <c r="H1579" i="3"/>
  <c r="K1579" i="3" s="1"/>
  <c r="G1579" i="3"/>
  <c r="F1579" i="3"/>
  <c r="E1579" i="3"/>
  <c r="D1579" i="3"/>
  <c r="L1578" i="3"/>
  <c r="I1578" i="3"/>
  <c r="H1578" i="3"/>
  <c r="G1578" i="3"/>
  <c r="F1578" i="3"/>
  <c r="E1578" i="3"/>
  <c r="D1578" i="3"/>
  <c r="H1577" i="3"/>
  <c r="K1577" i="3" s="1"/>
  <c r="G1577" i="3"/>
  <c r="F1577" i="3"/>
  <c r="E1577" i="3"/>
  <c r="D1577" i="3"/>
  <c r="L1577" i="3" s="1"/>
  <c r="H1576" i="3"/>
  <c r="K1576" i="3" s="1"/>
  <c r="G1576" i="3"/>
  <c r="F1576" i="3"/>
  <c r="E1576" i="3"/>
  <c r="D1576" i="3"/>
  <c r="L1576" i="3" s="1"/>
  <c r="K1575" i="3"/>
  <c r="J1575" i="3"/>
  <c r="I1575" i="3"/>
  <c r="H1575" i="3"/>
  <c r="G1575" i="3"/>
  <c r="F1575" i="3"/>
  <c r="E1575" i="3"/>
  <c r="D1575" i="3"/>
  <c r="L1575" i="3" s="1"/>
  <c r="K1574" i="3"/>
  <c r="J1574" i="3"/>
  <c r="I1574" i="3"/>
  <c r="H1574" i="3"/>
  <c r="G1574" i="3"/>
  <c r="F1574" i="3"/>
  <c r="E1574" i="3"/>
  <c r="D1574" i="3"/>
  <c r="L1574" i="3" s="1"/>
  <c r="K1573" i="3"/>
  <c r="J1573" i="3"/>
  <c r="I1573" i="3"/>
  <c r="H1573" i="3"/>
  <c r="G1573" i="3"/>
  <c r="F1573" i="3"/>
  <c r="E1573" i="3"/>
  <c r="D1573" i="3"/>
  <c r="L1573" i="3" s="1"/>
  <c r="K1572" i="3"/>
  <c r="J1572" i="3"/>
  <c r="I1572" i="3"/>
  <c r="H1572" i="3"/>
  <c r="G1572" i="3"/>
  <c r="F1572" i="3"/>
  <c r="E1572" i="3"/>
  <c r="D1572" i="3"/>
  <c r="L1572" i="3" s="1"/>
  <c r="K1571" i="3"/>
  <c r="H1571" i="3"/>
  <c r="G1571" i="3"/>
  <c r="F1571" i="3"/>
  <c r="E1571" i="3"/>
  <c r="D1571" i="3"/>
  <c r="L1571" i="3" s="1"/>
  <c r="H1570" i="3"/>
  <c r="I1570" i="3" s="1"/>
  <c r="G1570" i="3"/>
  <c r="F1570" i="3"/>
  <c r="E1570" i="3"/>
  <c r="D1570" i="3"/>
  <c r="L1570" i="3" s="1"/>
  <c r="H1569" i="3"/>
  <c r="G1569" i="3"/>
  <c r="F1569" i="3"/>
  <c r="E1569" i="3"/>
  <c r="D1569" i="3"/>
  <c r="L1569" i="3" s="1"/>
  <c r="K1568" i="3"/>
  <c r="I1568" i="3"/>
  <c r="H1568" i="3"/>
  <c r="J1568" i="3" s="1"/>
  <c r="G1568" i="3"/>
  <c r="F1568" i="3"/>
  <c r="E1568" i="3"/>
  <c r="D1568" i="3"/>
  <c r="L1568" i="3" s="1"/>
  <c r="K1567" i="3"/>
  <c r="J1567" i="3"/>
  <c r="I1567" i="3"/>
  <c r="H1567" i="3"/>
  <c r="G1567" i="3"/>
  <c r="F1567" i="3"/>
  <c r="E1567" i="3"/>
  <c r="D1567" i="3"/>
  <c r="L1567" i="3" s="1"/>
  <c r="K1566" i="3"/>
  <c r="J1566" i="3"/>
  <c r="I1566" i="3"/>
  <c r="H1566" i="3"/>
  <c r="G1566" i="3"/>
  <c r="F1566" i="3"/>
  <c r="E1566" i="3"/>
  <c r="D1566" i="3"/>
  <c r="L1566" i="3" s="1"/>
  <c r="K1565" i="3"/>
  <c r="J1565" i="3"/>
  <c r="I1565" i="3"/>
  <c r="H1565" i="3"/>
  <c r="G1565" i="3"/>
  <c r="F1565" i="3"/>
  <c r="E1565" i="3"/>
  <c r="D1565" i="3"/>
  <c r="L1565" i="3" s="1"/>
  <c r="K1564" i="3"/>
  <c r="J1564" i="3"/>
  <c r="I1564" i="3"/>
  <c r="H1564" i="3"/>
  <c r="G1564" i="3"/>
  <c r="F1564" i="3"/>
  <c r="E1564" i="3"/>
  <c r="D1564" i="3"/>
  <c r="L1564" i="3" s="1"/>
  <c r="H1563" i="3"/>
  <c r="G1563" i="3"/>
  <c r="F1563" i="3"/>
  <c r="E1563" i="3"/>
  <c r="D1563" i="3"/>
  <c r="L1563" i="3" s="1"/>
  <c r="I1562" i="3"/>
  <c r="H1562" i="3"/>
  <c r="G1562" i="3"/>
  <c r="F1562" i="3"/>
  <c r="E1562" i="3"/>
  <c r="D1562" i="3"/>
  <c r="L1562" i="3" s="1"/>
  <c r="J1561" i="3"/>
  <c r="I1561" i="3"/>
  <c r="H1561" i="3"/>
  <c r="K1561" i="3" s="1"/>
  <c r="G1561" i="3"/>
  <c r="F1561" i="3"/>
  <c r="E1561" i="3"/>
  <c r="D1561" i="3"/>
  <c r="L1561" i="3" s="1"/>
  <c r="J1560" i="3"/>
  <c r="I1560" i="3"/>
  <c r="H1560" i="3"/>
  <c r="K1560" i="3" s="1"/>
  <c r="G1560" i="3"/>
  <c r="F1560" i="3"/>
  <c r="E1560" i="3"/>
  <c r="D1560" i="3"/>
  <c r="L1560" i="3" s="1"/>
  <c r="H1559" i="3"/>
  <c r="G1559" i="3"/>
  <c r="F1559" i="3"/>
  <c r="E1559" i="3"/>
  <c r="D1559" i="3"/>
  <c r="L1559" i="3" s="1"/>
  <c r="K1558" i="3"/>
  <c r="J1558" i="3"/>
  <c r="I1558" i="3"/>
  <c r="H1558" i="3"/>
  <c r="G1558" i="3"/>
  <c r="F1558" i="3"/>
  <c r="E1558" i="3"/>
  <c r="D1558" i="3"/>
  <c r="L1558" i="3" s="1"/>
  <c r="H1557" i="3"/>
  <c r="I1557" i="3" s="1"/>
  <c r="G1557" i="3"/>
  <c r="F1557" i="3"/>
  <c r="E1557" i="3"/>
  <c r="D1557" i="3"/>
  <c r="L1557" i="3" s="1"/>
  <c r="K1556" i="3"/>
  <c r="J1556" i="3"/>
  <c r="H1556" i="3"/>
  <c r="I1556" i="3" s="1"/>
  <c r="G1556" i="3"/>
  <c r="F1556" i="3"/>
  <c r="E1556" i="3"/>
  <c r="D1556" i="3"/>
  <c r="L1556" i="3" s="1"/>
  <c r="J1555" i="3"/>
  <c r="H1555" i="3"/>
  <c r="I1555" i="3" s="1"/>
  <c r="G1555" i="3"/>
  <c r="F1555" i="3"/>
  <c r="E1555" i="3"/>
  <c r="D1555" i="3"/>
  <c r="L1555" i="3" s="1"/>
  <c r="L1554" i="3"/>
  <c r="H1554" i="3"/>
  <c r="G1554" i="3"/>
  <c r="F1554" i="3"/>
  <c r="E1554" i="3"/>
  <c r="D1554" i="3"/>
  <c r="L1553" i="3"/>
  <c r="I1553" i="3"/>
  <c r="H1553" i="3"/>
  <c r="K1553" i="3" s="1"/>
  <c r="G1553" i="3"/>
  <c r="F1553" i="3"/>
  <c r="E1553" i="3"/>
  <c r="D1553" i="3"/>
  <c r="I1552" i="3"/>
  <c r="H1552" i="3"/>
  <c r="G1552" i="3"/>
  <c r="F1552" i="3"/>
  <c r="E1552" i="3"/>
  <c r="D1552" i="3"/>
  <c r="L1552" i="3" s="1"/>
  <c r="H1551" i="3"/>
  <c r="K1551" i="3" s="1"/>
  <c r="G1551" i="3"/>
  <c r="F1551" i="3"/>
  <c r="E1551" i="3"/>
  <c r="D1551" i="3"/>
  <c r="L1551" i="3" s="1"/>
  <c r="H1550" i="3"/>
  <c r="K1550" i="3" s="1"/>
  <c r="G1550" i="3"/>
  <c r="F1550" i="3"/>
  <c r="E1550" i="3"/>
  <c r="D1550" i="3"/>
  <c r="L1550" i="3" s="1"/>
  <c r="H1549" i="3"/>
  <c r="I1549" i="3" s="1"/>
  <c r="G1549" i="3"/>
  <c r="F1549" i="3"/>
  <c r="E1549" i="3"/>
  <c r="D1549" i="3"/>
  <c r="L1549" i="3" s="1"/>
  <c r="K1548" i="3"/>
  <c r="J1548" i="3"/>
  <c r="H1548" i="3"/>
  <c r="I1548" i="3" s="1"/>
  <c r="G1548" i="3"/>
  <c r="F1548" i="3"/>
  <c r="E1548" i="3"/>
  <c r="D1548" i="3"/>
  <c r="L1548" i="3" s="1"/>
  <c r="L1547" i="3"/>
  <c r="H1547" i="3"/>
  <c r="G1547" i="3"/>
  <c r="F1547" i="3"/>
  <c r="E1547" i="3"/>
  <c r="D1547" i="3"/>
  <c r="L1546" i="3"/>
  <c r="K1546" i="3"/>
  <c r="H1546" i="3"/>
  <c r="G1546" i="3"/>
  <c r="F1546" i="3"/>
  <c r="E1546" i="3"/>
  <c r="D1546" i="3"/>
  <c r="L1545" i="3"/>
  <c r="J1545" i="3"/>
  <c r="H1545" i="3"/>
  <c r="G1545" i="3"/>
  <c r="F1545" i="3"/>
  <c r="E1545" i="3"/>
  <c r="D1545" i="3"/>
  <c r="K1544" i="3"/>
  <c r="H1544" i="3"/>
  <c r="I1544" i="3" s="1"/>
  <c r="G1544" i="3"/>
  <c r="F1544" i="3"/>
  <c r="E1544" i="3"/>
  <c r="D1544" i="3"/>
  <c r="L1544" i="3" s="1"/>
  <c r="H1543" i="3"/>
  <c r="G1543" i="3"/>
  <c r="F1543" i="3"/>
  <c r="E1543" i="3"/>
  <c r="D1543" i="3"/>
  <c r="L1543" i="3" s="1"/>
  <c r="H1542" i="3"/>
  <c r="G1542" i="3"/>
  <c r="F1542" i="3"/>
  <c r="E1542" i="3"/>
  <c r="D1542" i="3"/>
  <c r="L1542" i="3" s="1"/>
  <c r="J1541" i="3"/>
  <c r="H1541" i="3"/>
  <c r="I1541" i="3" s="1"/>
  <c r="G1541" i="3"/>
  <c r="F1541" i="3"/>
  <c r="E1541" i="3"/>
  <c r="D1541" i="3"/>
  <c r="L1541" i="3" s="1"/>
  <c r="K1540" i="3"/>
  <c r="J1540" i="3"/>
  <c r="I1540" i="3"/>
  <c r="H1540" i="3"/>
  <c r="G1540" i="3"/>
  <c r="F1540" i="3"/>
  <c r="E1540" i="3"/>
  <c r="D1540" i="3"/>
  <c r="L1540" i="3" s="1"/>
  <c r="L1539" i="3"/>
  <c r="H1539" i="3"/>
  <c r="I1539" i="3" s="1"/>
  <c r="G1539" i="3"/>
  <c r="F1539" i="3"/>
  <c r="E1539" i="3"/>
  <c r="D1539" i="3"/>
  <c r="I1538" i="3"/>
  <c r="H1538" i="3"/>
  <c r="J1538" i="3" s="1"/>
  <c r="G1538" i="3"/>
  <c r="F1538" i="3"/>
  <c r="E1538" i="3"/>
  <c r="D1538" i="3"/>
  <c r="L1538" i="3" s="1"/>
  <c r="L1537" i="3"/>
  <c r="H1537" i="3"/>
  <c r="G1537" i="3"/>
  <c r="F1537" i="3"/>
  <c r="E1537" i="3"/>
  <c r="D1537" i="3"/>
  <c r="K1536" i="3"/>
  <c r="I1536" i="3"/>
  <c r="H1536" i="3"/>
  <c r="J1536" i="3" s="1"/>
  <c r="G1536" i="3"/>
  <c r="F1536" i="3"/>
  <c r="E1536" i="3"/>
  <c r="D1536" i="3"/>
  <c r="L1536" i="3" s="1"/>
  <c r="H1535" i="3"/>
  <c r="K1535" i="3" s="1"/>
  <c r="G1535" i="3"/>
  <c r="F1535" i="3"/>
  <c r="E1535" i="3"/>
  <c r="D1535" i="3"/>
  <c r="L1535" i="3" s="1"/>
  <c r="H1534" i="3"/>
  <c r="K1534" i="3" s="1"/>
  <c r="G1534" i="3"/>
  <c r="F1534" i="3"/>
  <c r="E1534" i="3"/>
  <c r="D1534" i="3"/>
  <c r="L1534" i="3" s="1"/>
  <c r="K1533" i="3"/>
  <c r="J1533" i="3"/>
  <c r="H1533" i="3"/>
  <c r="I1533" i="3" s="1"/>
  <c r="G1533" i="3"/>
  <c r="F1533" i="3"/>
  <c r="E1533" i="3"/>
  <c r="D1533" i="3"/>
  <c r="L1533" i="3" s="1"/>
  <c r="K1532" i="3"/>
  <c r="J1532" i="3"/>
  <c r="H1532" i="3"/>
  <c r="I1532" i="3" s="1"/>
  <c r="G1532" i="3"/>
  <c r="F1532" i="3"/>
  <c r="E1532" i="3"/>
  <c r="D1532" i="3"/>
  <c r="L1532" i="3" s="1"/>
  <c r="K1531" i="3"/>
  <c r="H1531" i="3"/>
  <c r="I1531" i="3" s="1"/>
  <c r="G1531" i="3"/>
  <c r="F1531" i="3"/>
  <c r="E1531" i="3"/>
  <c r="D1531" i="3"/>
  <c r="L1531" i="3" s="1"/>
  <c r="K1530" i="3"/>
  <c r="H1530" i="3"/>
  <c r="J1530" i="3" s="1"/>
  <c r="G1530" i="3"/>
  <c r="F1530" i="3"/>
  <c r="E1530" i="3"/>
  <c r="D1530" i="3"/>
  <c r="L1530" i="3" s="1"/>
  <c r="J1529" i="3"/>
  <c r="H1529" i="3"/>
  <c r="K1529" i="3" s="1"/>
  <c r="G1529" i="3"/>
  <c r="F1529" i="3"/>
  <c r="E1529" i="3"/>
  <c r="D1529" i="3"/>
  <c r="L1529" i="3" s="1"/>
  <c r="K1528" i="3"/>
  <c r="J1528" i="3"/>
  <c r="H1528" i="3"/>
  <c r="I1528" i="3" s="1"/>
  <c r="G1528" i="3"/>
  <c r="F1528" i="3"/>
  <c r="E1528" i="3"/>
  <c r="D1528" i="3"/>
  <c r="L1528" i="3" s="1"/>
  <c r="H1527" i="3"/>
  <c r="G1527" i="3"/>
  <c r="F1527" i="3"/>
  <c r="E1527" i="3"/>
  <c r="D1527" i="3"/>
  <c r="L1527" i="3" s="1"/>
  <c r="H1526" i="3"/>
  <c r="K1526" i="3" s="1"/>
  <c r="G1526" i="3"/>
  <c r="F1526" i="3"/>
  <c r="E1526" i="3"/>
  <c r="D1526" i="3"/>
  <c r="L1526" i="3" s="1"/>
  <c r="H1525" i="3"/>
  <c r="G1525" i="3"/>
  <c r="F1525" i="3"/>
  <c r="E1525" i="3"/>
  <c r="D1525" i="3"/>
  <c r="L1525" i="3" s="1"/>
  <c r="K1524" i="3"/>
  <c r="I1524" i="3"/>
  <c r="H1524" i="3"/>
  <c r="J1524" i="3" s="1"/>
  <c r="G1524" i="3"/>
  <c r="F1524" i="3"/>
  <c r="E1524" i="3"/>
  <c r="D1524" i="3"/>
  <c r="L1524" i="3" s="1"/>
  <c r="H1523" i="3"/>
  <c r="K1523" i="3" s="1"/>
  <c r="G1523" i="3"/>
  <c r="F1523" i="3"/>
  <c r="E1523" i="3"/>
  <c r="D1523" i="3"/>
  <c r="L1523" i="3" s="1"/>
  <c r="H1522" i="3"/>
  <c r="K1522" i="3" s="1"/>
  <c r="G1522" i="3"/>
  <c r="F1522" i="3"/>
  <c r="E1522" i="3"/>
  <c r="D1522" i="3"/>
  <c r="L1522" i="3" s="1"/>
  <c r="I1521" i="3"/>
  <c r="H1521" i="3"/>
  <c r="G1521" i="3"/>
  <c r="F1521" i="3"/>
  <c r="E1521" i="3"/>
  <c r="D1521" i="3"/>
  <c r="L1521" i="3" s="1"/>
  <c r="H1520" i="3"/>
  <c r="G1520" i="3"/>
  <c r="F1520" i="3"/>
  <c r="E1520" i="3"/>
  <c r="D1520" i="3"/>
  <c r="L1520" i="3" s="1"/>
  <c r="H1519" i="3"/>
  <c r="G1519" i="3"/>
  <c r="F1519" i="3"/>
  <c r="E1519" i="3"/>
  <c r="D1519" i="3"/>
  <c r="L1519" i="3" s="1"/>
  <c r="H1518" i="3"/>
  <c r="G1518" i="3"/>
  <c r="F1518" i="3"/>
  <c r="E1518" i="3"/>
  <c r="D1518" i="3"/>
  <c r="L1518" i="3" s="1"/>
  <c r="J1517" i="3"/>
  <c r="H1517" i="3"/>
  <c r="I1517" i="3" s="1"/>
  <c r="G1517" i="3"/>
  <c r="F1517" i="3"/>
  <c r="E1517" i="3"/>
  <c r="D1517" i="3"/>
  <c r="L1517" i="3" s="1"/>
  <c r="H1516" i="3"/>
  <c r="J1516" i="3" s="1"/>
  <c r="G1516" i="3"/>
  <c r="F1516" i="3"/>
  <c r="E1516" i="3"/>
  <c r="D1516" i="3"/>
  <c r="L1516" i="3" s="1"/>
  <c r="H1515" i="3"/>
  <c r="K1515" i="3" s="1"/>
  <c r="G1515" i="3"/>
  <c r="F1515" i="3"/>
  <c r="E1515" i="3"/>
  <c r="D1515" i="3"/>
  <c r="L1515" i="3" s="1"/>
  <c r="H1514" i="3"/>
  <c r="K1514" i="3" s="1"/>
  <c r="G1514" i="3"/>
  <c r="F1514" i="3"/>
  <c r="E1514" i="3"/>
  <c r="D1514" i="3"/>
  <c r="L1514" i="3" s="1"/>
  <c r="J1513" i="3"/>
  <c r="I1513" i="3"/>
  <c r="H1513" i="3"/>
  <c r="K1513" i="3" s="1"/>
  <c r="G1513" i="3"/>
  <c r="F1513" i="3"/>
  <c r="E1513" i="3"/>
  <c r="D1513" i="3"/>
  <c r="L1513" i="3" s="1"/>
  <c r="K1512" i="3"/>
  <c r="J1512" i="3"/>
  <c r="I1512" i="3"/>
  <c r="H1512" i="3"/>
  <c r="G1512" i="3"/>
  <c r="F1512" i="3"/>
  <c r="E1512" i="3"/>
  <c r="D1512" i="3"/>
  <c r="L1512" i="3" s="1"/>
  <c r="H1511" i="3"/>
  <c r="G1511" i="3"/>
  <c r="F1511" i="3"/>
  <c r="E1511" i="3"/>
  <c r="D1511" i="3"/>
  <c r="L1511" i="3" s="1"/>
  <c r="K1510" i="3"/>
  <c r="H1510" i="3"/>
  <c r="G1510" i="3"/>
  <c r="F1510" i="3"/>
  <c r="E1510" i="3"/>
  <c r="D1510" i="3"/>
  <c r="L1510" i="3" s="1"/>
  <c r="J1509" i="3"/>
  <c r="H1509" i="3"/>
  <c r="I1509" i="3" s="1"/>
  <c r="G1509" i="3"/>
  <c r="F1509" i="3"/>
  <c r="E1509" i="3"/>
  <c r="D1509" i="3"/>
  <c r="L1509" i="3" s="1"/>
  <c r="K1508" i="3"/>
  <c r="I1508" i="3"/>
  <c r="H1508" i="3"/>
  <c r="J1508" i="3" s="1"/>
  <c r="G1508" i="3"/>
  <c r="F1508" i="3"/>
  <c r="E1508" i="3"/>
  <c r="D1508" i="3"/>
  <c r="L1508" i="3" s="1"/>
  <c r="L1507" i="3"/>
  <c r="H1507" i="3"/>
  <c r="K1507" i="3" s="1"/>
  <c r="G1507" i="3"/>
  <c r="F1507" i="3"/>
  <c r="E1507" i="3"/>
  <c r="D1507" i="3"/>
  <c r="H1506" i="3"/>
  <c r="K1506" i="3" s="1"/>
  <c r="G1506" i="3"/>
  <c r="F1506" i="3"/>
  <c r="E1506" i="3"/>
  <c r="D1506" i="3"/>
  <c r="L1506" i="3" s="1"/>
  <c r="J1505" i="3"/>
  <c r="I1505" i="3"/>
  <c r="H1505" i="3"/>
  <c r="K1505" i="3" s="1"/>
  <c r="G1505" i="3"/>
  <c r="F1505" i="3"/>
  <c r="E1505" i="3"/>
  <c r="D1505" i="3"/>
  <c r="L1505" i="3" s="1"/>
  <c r="K1504" i="3"/>
  <c r="J1504" i="3"/>
  <c r="I1504" i="3"/>
  <c r="H1504" i="3"/>
  <c r="G1504" i="3"/>
  <c r="F1504" i="3"/>
  <c r="E1504" i="3"/>
  <c r="D1504" i="3"/>
  <c r="L1504" i="3" s="1"/>
  <c r="H1503" i="3"/>
  <c r="G1503" i="3"/>
  <c r="F1503" i="3"/>
  <c r="E1503" i="3"/>
  <c r="D1503" i="3"/>
  <c r="L1503" i="3" s="1"/>
  <c r="I1502" i="3"/>
  <c r="H1502" i="3"/>
  <c r="J1502" i="3" s="1"/>
  <c r="G1502" i="3"/>
  <c r="F1502" i="3"/>
  <c r="E1502" i="3"/>
  <c r="D1502" i="3"/>
  <c r="L1502" i="3" s="1"/>
  <c r="H1501" i="3"/>
  <c r="I1501" i="3" s="1"/>
  <c r="G1501" i="3"/>
  <c r="F1501" i="3"/>
  <c r="E1501" i="3"/>
  <c r="D1501" i="3"/>
  <c r="L1501" i="3" s="1"/>
  <c r="K1500" i="3"/>
  <c r="H1500" i="3"/>
  <c r="G1500" i="3"/>
  <c r="F1500" i="3"/>
  <c r="E1500" i="3"/>
  <c r="D1500" i="3"/>
  <c r="L1500" i="3" s="1"/>
  <c r="L1499" i="3"/>
  <c r="H1499" i="3"/>
  <c r="K1499" i="3" s="1"/>
  <c r="G1499" i="3"/>
  <c r="F1499" i="3"/>
  <c r="E1499" i="3"/>
  <c r="D1499" i="3"/>
  <c r="H1498" i="3"/>
  <c r="K1498" i="3" s="1"/>
  <c r="G1498" i="3"/>
  <c r="F1498" i="3"/>
  <c r="E1498" i="3"/>
  <c r="D1498" i="3"/>
  <c r="L1498" i="3" s="1"/>
  <c r="H1497" i="3"/>
  <c r="K1497" i="3" s="1"/>
  <c r="G1497" i="3"/>
  <c r="F1497" i="3"/>
  <c r="E1497" i="3"/>
  <c r="D1497" i="3"/>
  <c r="L1497" i="3" s="1"/>
  <c r="J1496" i="3"/>
  <c r="I1496" i="3"/>
  <c r="H1496" i="3"/>
  <c r="K1496" i="3" s="1"/>
  <c r="G1496" i="3"/>
  <c r="F1496" i="3"/>
  <c r="E1496" i="3"/>
  <c r="D1496" i="3"/>
  <c r="L1496" i="3" s="1"/>
  <c r="H1495" i="3"/>
  <c r="G1495" i="3"/>
  <c r="F1495" i="3"/>
  <c r="E1495" i="3"/>
  <c r="D1495" i="3"/>
  <c r="L1495" i="3" s="1"/>
  <c r="H1494" i="3"/>
  <c r="J1494" i="3" s="1"/>
  <c r="G1494" i="3"/>
  <c r="F1494" i="3"/>
  <c r="E1494" i="3"/>
  <c r="D1494" i="3"/>
  <c r="L1494" i="3" s="1"/>
  <c r="H1493" i="3"/>
  <c r="I1493" i="3" s="1"/>
  <c r="G1493" i="3"/>
  <c r="F1493" i="3"/>
  <c r="E1493" i="3"/>
  <c r="D1493" i="3"/>
  <c r="L1493" i="3" s="1"/>
  <c r="H1492" i="3"/>
  <c r="K1492" i="3" s="1"/>
  <c r="G1492" i="3"/>
  <c r="F1492" i="3"/>
  <c r="E1492" i="3"/>
  <c r="D1492" i="3"/>
  <c r="L1492" i="3" s="1"/>
  <c r="H1491" i="3"/>
  <c r="K1491" i="3" s="1"/>
  <c r="G1491" i="3"/>
  <c r="F1491" i="3"/>
  <c r="E1491" i="3"/>
  <c r="D1491" i="3"/>
  <c r="L1491" i="3" s="1"/>
  <c r="H1490" i="3"/>
  <c r="K1490" i="3" s="1"/>
  <c r="G1490" i="3"/>
  <c r="F1490" i="3"/>
  <c r="E1490" i="3"/>
  <c r="D1490" i="3"/>
  <c r="L1490" i="3" s="1"/>
  <c r="I1489" i="3"/>
  <c r="H1489" i="3"/>
  <c r="K1489" i="3" s="1"/>
  <c r="G1489" i="3"/>
  <c r="F1489" i="3"/>
  <c r="E1489" i="3"/>
  <c r="D1489" i="3"/>
  <c r="L1489" i="3" s="1"/>
  <c r="I1488" i="3"/>
  <c r="H1488" i="3"/>
  <c r="K1488" i="3" s="1"/>
  <c r="G1488" i="3"/>
  <c r="F1488" i="3"/>
  <c r="E1488" i="3"/>
  <c r="D1488" i="3"/>
  <c r="L1488" i="3" s="1"/>
  <c r="H1487" i="3"/>
  <c r="G1487" i="3"/>
  <c r="F1487" i="3"/>
  <c r="E1487" i="3"/>
  <c r="D1487" i="3"/>
  <c r="L1487" i="3" s="1"/>
  <c r="H1486" i="3"/>
  <c r="G1486" i="3"/>
  <c r="F1486" i="3"/>
  <c r="E1486" i="3"/>
  <c r="D1486" i="3"/>
  <c r="L1486" i="3" s="1"/>
  <c r="J1485" i="3"/>
  <c r="H1485" i="3"/>
  <c r="I1485" i="3" s="1"/>
  <c r="G1485" i="3"/>
  <c r="F1485" i="3"/>
  <c r="E1485" i="3"/>
  <c r="D1485" i="3"/>
  <c r="L1485" i="3" s="1"/>
  <c r="K1484" i="3"/>
  <c r="J1484" i="3"/>
  <c r="I1484" i="3"/>
  <c r="H1484" i="3"/>
  <c r="G1484" i="3"/>
  <c r="F1484" i="3"/>
  <c r="E1484" i="3"/>
  <c r="D1484" i="3"/>
  <c r="L1484" i="3" s="1"/>
  <c r="H1483" i="3"/>
  <c r="K1483" i="3" s="1"/>
  <c r="G1483" i="3"/>
  <c r="F1483" i="3"/>
  <c r="E1483" i="3"/>
  <c r="D1483" i="3"/>
  <c r="L1483" i="3" s="1"/>
  <c r="H1482" i="3"/>
  <c r="K1482" i="3" s="1"/>
  <c r="G1482" i="3"/>
  <c r="F1482" i="3"/>
  <c r="E1482" i="3"/>
  <c r="D1482" i="3"/>
  <c r="L1482" i="3" s="1"/>
  <c r="I1481" i="3"/>
  <c r="H1481" i="3"/>
  <c r="G1481" i="3"/>
  <c r="F1481" i="3"/>
  <c r="E1481" i="3"/>
  <c r="D1481" i="3"/>
  <c r="L1481" i="3" s="1"/>
  <c r="H1480" i="3"/>
  <c r="J1480" i="3" s="1"/>
  <c r="G1480" i="3"/>
  <c r="F1480" i="3"/>
  <c r="E1480" i="3"/>
  <c r="D1480" i="3"/>
  <c r="L1480" i="3" s="1"/>
  <c r="H1479" i="3"/>
  <c r="G1479" i="3"/>
  <c r="F1479" i="3"/>
  <c r="E1479" i="3"/>
  <c r="D1479" i="3"/>
  <c r="L1479" i="3" s="1"/>
  <c r="K1478" i="3"/>
  <c r="I1478" i="3"/>
  <c r="H1478" i="3"/>
  <c r="J1478" i="3" s="1"/>
  <c r="G1478" i="3"/>
  <c r="F1478" i="3"/>
  <c r="E1478" i="3"/>
  <c r="D1478" i="3"/>
  <c r="L1478" i="3" s="1"/>
  <c r="H1477" i="3"/>
  <c r="I1477" i="3" s="1"/>
  <c r="G1477" i="3"/>
  <c r="F1477" i="3"/>
  <c r="E1477" i="3"/>
  <c r="D1477" i="3"/>
  <c r="L1477" i="3" s="1"/>
  <c r="J1476" i="3"/>
  <c r="H1476" i="3"/>
  <c r="I1476" i="3" s="1"/>
  <c r="G1476" i="3"/>
  <c r="F1476" i="3"/>
  <c r="E1476" i="3"/>
  <c r="D1476" i="3"/>
  <c r="L1476" i="3" s="1"/>
  <c r="H1475" i="3"/>
  <c r="K1475" i="3" s="1"/>
  <c r="G1475" i="3"/>
  <c r="F1475" i="3"/>
  <c r="E1475" i="3"/>
  <c r="D1475" i="3"/>
  <c r="L1475" i="3" s="1"/>
  <c r="H1474" i="3"/>
  <c r="K1474" i="3" s="1"/>
  <c r="G1474" i="3"/>
  <c r="F1474" i="3"/>
  <c r="E1474" i="3"/>
  <c r="D1474" i="3"/>
  <c r="L1474" i="3" s="1"/>
  <c r="H1473" i="3"/>
  <c r="K1473" i="3" s="1"/>
  <c r="G1473" i="3"/>
  <c r="F1473" i="3"/>
  <c r="E1473" i="3"/>
  <c r="D1473" i="3"/>
  <c r="L1473" i="3" s="1"/>
  <c r="K1472" i="3"/>
  <c r="H1472" i="3"/>
  <c r="J1472" i="3" s="1"/>
  <c r="G1472" i="3"/>
  <c r="F1472" i="3"/>
  <c r="E1472" i="3"/>
  <c r="D1472" i="3"/>
  <c r="L1472" i="3" s="1"/>
  <c r="H1471" i="3"/>
  <c r="G1471" i="3"/>
  <c r="F1471" i="3"/>
  <c r="E1471" i="3"/>
  <c r="D1471" i="3"/>
  <c r="L1471" i="3" s="1"/>
  <c r="H1470" i="3"/>
  <c r="G1470" i="3"/>
  <c r="F1470" i="3"/>
  <c r="E1470" i="3"/>
  <c r="D1470" i="3"/>
  <c r="L1470" i="3" s="1"/>
  <c r="J1469" i="3"/>
  <c r="H1469" i="3"/>
  <c r="I1469" i="3" s="1"/>
  <c r="G1469" i="3"/>
  <c r="F1469" i="3"/>
  <c r="E1469" i="3"/>
  <c r="D1469" i="3"/>
  <c r="L1469" i="3" s="1"/>
  <c r="J1468" i="3"/>
  <c r="I1468" i="3"/>
  <c r="H1468" i="3"/>
  <c r="K1468" i="3" s="1"/>
  <c r="G1468" i="3"/>
  <c r="F1468" i="3"/>
  <c r="E1468" i="3"/>
  <c r="D1468" i="3"/>
  <c r="L1468" i="3" s="1"/>
  <c r="H1467" i="3"/>
  <c r="K1467" i="3" s="1"/>
  <c r="G1467" i="3"/>
  <c r="F1467" i="3"/>
  <c r="E1467" i="3"/>
  <c r="D1467" i="3"/>
  <c r="L1467" i="3" s="1"/>
  <c r="H1466" i="3"/>
  <c r="K1466" i="3" s="1"/>
  <c r="G1466" i="3"/>
  <c r="F1466" i="3"/>
  <c r="E1466" i="3"/>
  <c r="D1466" i="3"/>
  <c r="L1466" i="3" s="1"/>
  <c r="H1465" i="3"/>
  <c r="G1465" i="3"/>
  <c r="F1465" i="3"/>
  <c r="E1465" i="3"/>
  <c r="D1465" i="3"/>
  <c r="L1465" i="3" s="1"/>
  <c r="K1464" i="3"/>
  <c r="J1464" i="3"/>
  <c r="H1464" i="3"/>
  <c r="I1464" i="3" s="1"/>
  <c r="G1464" i="3"/>
  <c r="F1464" i="3"/>
  <c r="E1464" i="3"/>
  <c r="D1464" i="3"/>
  <c r="L1464" i="3" s="1"/>
  <c r="H1463" i="3"/>
  <c r="G1463" i="3"/>
  <c r="F1463" i="3"/>
  <c r="E1463" i="3"/>
  <c r="D1463" i="3"/>
  <c r="L1463" i="3" s="1"/>
  <c r="H1462" i="3"/>
  <c r="J1462" i="3" s="1"/>
  <c r="G1462" i="3"/>
  <c r="F1462" i="3"/>
  <c r="E1462" i="3"/>
  <c r="D1462" i="3"/>
  <c r="L1462" i="3" s="1"/>
  <c r="H1461" i="3"/>
  <c r="I1461" i="3" s="1"/>
  <c r="G1461" i="3"/>
  <c r="F1461" i="3"/>
  <c r="E1461" i="3"/>
  <c r="D1461" i="3"/>
  <c r="L1461" i="3" s="1"/>
  <c r="J1460" i="3"/>
  <c r="I1460" i="3"/>
  <c r="H1460" i="3"/>
  <c r="K1460" i="3" s="1"/>
  <c r="G1460" i="3"/>
  <c r="F1460" i="3"/>
  <c r="E1460" i="3"/>
  <c r="D1460" i="3"/>
  <c r="L1460" i="3" s="1"/>
  <c r="H1459" i="3"/>
  <c r="K1459" i="3" s="1"/>
  <c r="G1459" i="3"/>
  <c r="F1459" i="3"/>
  <c r="E1459" i="3"/>
  <c r="D1459" i="3"/>
  <c r="L1459" i="3" s="1"/>
  <c r="H1458" i="3"/>
  <c r="K1458" i="3" s="1"/>
  <c r="G1458" i="3"/>
  <c r="F1458" i="3"/>
  <c r="E1458" i="3"/>
  <c r="D1458" i="3"/>
  <c r="L1458" i="3" s="1"/>
  <c r="H1457" i="3"/>
  <c r="K1457" i="3" s="1"/>
  <c r="G1457" i="3"/>
  <c r="F1457" i="3"/>
  <c r="E1457" i="3"/>
  <c r="D1457" i="3"/>
  <c r="L1457" i="3" s="1"/>
  <c r="H1456" i="3"/>
  <c r="K1456" i="3" s="1"/>
  <c r="G1456" i="3"/>
  <c r="F1456" i="3"/>
  <c r="E1456" i="3"/>
  <c r="D1456" i="3"/>
  <c r="L1456" i="3" s="1"/>
  <c r="H1455" i="3"/>
  <c r="G1455" i="3"/>
  <c r="F1455" i="3"/>
  <c r="E1455" i="3"/>
  <c r="D1455" i="3"/>
  <c r="L1455" i="3" s="1"/>
  <c r="K1454" i="3"/>
  <c r="H1454" i="3"/>
  <c r="J1454" i="3" s="1"/>
  <c r="G1454" i="3"/>
  <c r="F1454" i="3"/>
  <c r="E1454" i="3"/>
  <c r="D1454" i="3"/>
  <c r="L1454" i="3" s="1"/>
  <c r="H1453" i="3"/>
  <c r="I1453" i="3" s="1"/>
  <c r="G1453" i="3"/>
  <c r="F1453" i="3"/>
  <c r="E1453" i="3"/>
  <c r="D1453" i="3"/>
  <c r="L1453" i="3" s="1"/>
  <c r="H1452" i="3"/>
  <c r="K1452" i="3" s="1"/>
  <c r="G1452" i="3"/>
  <c r="F1452" i="3"/>
  <c r="E1452" i="3"/>
  <c r="D1452" i="3"/>
  <c r="L1452" i="3" s="1"/>
  <c r="H1451" i="3"/>
  <c r="K1451" i="3" s="1"/>
  <c r="G1451" i="3"/>
  <c r="F1451" i="3"/>
  <c r="E1451" i="3"/>
  <c r="D1451" i="3"/>
  <c r="L1451" i="3" s="1"/>
  <c r="H1450" i="3"/>
  <c r="K1450" i="3" s="1"/>
  <c r="G1450" i="3"/>
  <c r="F1450" i="3"/>
  <c r="E1450" i="3"/>
  <c r="D1450" i="3"/>
  <c r="L1450" i="3" s="1"/>
  <c r="I1449" i="3"/>
  <c r="H1449" i="3"/>
  <c r="K1449" i="3" s="1"/>
  <c r="G1449" i="3"/>
  <c r="F1449" i="3"/>
  <c r="E1449" i="3"/>
  <c r="D1449" i="3"/>
  <c r="L1449" i="3" s="1"/>
  <c r="K1448" i="3"/>
  <c r="I1448" i="3"/>
  <c r="H1448" i="3"/>
  <c r="J1448" i="3" s="1"/>
  <c r="G1448" i="3"/>
  <c r="F1448" i="3"/>
  <c r="E1448" i="3"/>
  <c r="D1448" i="3"/>
  <c r="L1448" i="3" s="1"/>
  <c r="H1447" i="3"/>
  <c r="G1447" i="3"/>
  <c r="F1447" i="3"/>
  <c r="E1447" i="3"/>
  <c r="D1447" i="3"/>
  <c r="L1447" i="3" s="1"/>
  <c r="K1446" i="3"/>
  <c r="H1446" i="3"/>
  <c r="J1446" i="3" s="1"/>
  <c r="G1446" i="3"/>
  <c r="F1446" i="3"/>
  <c r="E1446" i="3"/>
  <c r="D1446" i="3"/>
  <c r="L1446" i="3" s="1"/>
  <c r="H1445" i="3"/>
  <c r="I1445" i="3" s="1"/>
  <c r="G1445" i="3"/>
  <c r="F1445" i="3"/>
  <c r="E1445" i="3"/>
  <c r="D1445" i="3"/>
  <c r="L1445" i="3" s="1"/>
  <c r="K1444" i="3"/>
  <c r="H1444" i="3"/>
  <c r="J1444" i="3" s="1"/>
  <c r="G1444" i="3"/>
  <c r="F1444" i="3"/>
  <c r="E1444" i="3"/>
  <c r="D1444" i="3"/>
  <c r="L1444" i="3" s="1"/>
  <c r="H1443" i="3"/>
  <c r="K1443" i="3" s="1"/>
  <c r="G1443" i="3"/>
  <c r="F1443" i="3"/>
  <c r="E1443" i="3"/>
  <c r="D1443" i="3"/>
  <c r="L1443" i="3" s="1"/>
  <c r="H1442" i="3"/>
  <c r="K1442" i="3" s="1"/>
  <c r="G1442" i="3"/>
  <c r="F1442" i="3"/>
  <c r="E1442" i="3"/>
  <c r="D1442" i="3"/>
  <c r="L1442" i="3" s="1"/>
  <c r="J1441" i="3"/>
  <c r="I1441" i="3"/>
  <c r="H1441" i="3"/>
  <c r="K1441" i="3" s="1"/>
  <c r="G1441" i="3"/>
  <c r="F1441" i="3"/>
  <c r="E1441" i="3"/>
  <c r="D1441" i="3"/>
  <c r="L1441" i="3" s="1"/>
  <c r="J1440" i="3"/>
  <c r="I1440" i="3"/>
  <c r="H1440" i="3"/>
  <c r="K1440" i="3" s="1"/>
  <c r="G1440" i="3"/>
  <c r="F1440" i="3"/>
  <c r="E1440" i="3"/>
  <c r="D1440" i="3"/>
  <c r="L1440" i="3" s="1"/>
  <c r="H1439" i="3"/>
  <c r="G1439" i="3"/>
  <c r="F1439" i="3"/>
  <c r="E1439" i="3"/>
  <c r="D1439" i="3"/>
  <c r="L1439" i="3" s="1"/>
  <c r="H1438" i="3"/>
  <c r="J1438" i="3" s="1"/>
  <c r="G1438" i="3"/>
  <c r="F1438" i="3"/>
  <c r="E1438" i="3"/>
  <c r="D1438" i="3"/>
  <c r="L1438" i="3" s="1"/>
  <c r="H1437" i="3"/>
  <c r="I1437" i="3" s="1"/>
  <c r="G1437" i="3"/>
  <c r="F1437" i="3"/>
  <c r="E1437" i="3"/>
  <c r="D1437" i="3"/>
  <c r="L1437" i="3" s="1"/>
  <c r="H1436" i="3"/>
  <c r="K1436" i="3" s="1"/>
  <c r="G1436" i="3"/>
  <c r="F1436" i="3"/>
  <c r="E1436" i="3"/>
  <c r="D1436" i="3"/>
  <c r="L1436" i="3" s="1"/>
  <c r="H1435" i="3"/>
  <c r="K1435" i="3" s="1"/>
  <c r="G1435" i="3"/>
  <c r="F1435" i="3"/>
  <c r="E1435" i="3"/>
  <c r="D1435" i="3"/>
  <c r="L1435" i="3" s="1"/>
  <c r="H1434" i="3"/>
  <c r="K1434" i="3" s="1"/>
  <c r="G1434" i="3"/>
  <c r="F1434" i="3"/>
  <c r="E1434" i="3"/>
  <c r="D1434" i="3"/>
  <c r="L1434" i="3" s="1"/>
  <c r="J1433" i="3"/>
  <c r="I1433" i="3"/>
  <c r="H1433" i="3"/>
  <c r="K1433" i="3" s="1"/>
  <c r="G1433" i="3"/>
  <c r="F1433" i="3"/>
  <c r="E1433" i="3"/>
  <c r="D1433" i="3"/>
  <c r="L1433" i="3" s="1"/>
  <c r="J1432" i="3"/>
  <c r="I1432" i="3"/>
  <c r="H1432" i="3"/>
  <c r="K1432" i="3" s="1"/>
  <c r="G1432" i="3"/>
  <c r="F1432" i="3"/>
  <c r="E1432" i="3"/>
  <c r="D1432" i="3"/>
  <c r="L1432" i="3" s="1"/>
  <c r="H1431" i="3"/>
  <c r="G1431" i="3"/>
  <c r="F1431" i="3"/>
  <c r="E1431" i="3"/>
  <c r="D1431" i="3"/>
  <c r="L1431" i="3" s="1"/>
  <c r="K1430" i="3"/>
  <c r="H1430" i="3"/>
  <c r="J1430" i="3" s="1"/>
  <c r="G1430" i="3"/>
  <c r="F1430" i="3"/>
  <c r="E1430" i="3"/>
  <c r="D1430" i="3"/>
  <c r="L1430" i="3" s="1"/>
  <c r="J1429" i="3"/>
  <c r="H1429" i="3"/>
  <c r="I1429" i="3" s="1"/>
  <c r="G1429" i="3"/>
  <c r="F1429" i="3"/>
  <c r="E1429" i="3"/>
  <c r="D1429" i="3"/>
  <c r="L1429" i="3" s="1"/>
  <c r="K1428" i="3"/>
  <c r="I1428" i="3"/>
  <c r="H1428" i="3"/>
  <c r="J1428" i="3" s="1"/>
  <c r="G1428" i="3"/>
  <c r="F1428" i="3"/>
  <c r="E1428" i="3"/>
  <c r="D1428" i="3"/>
  <c r="L1428" i="3" s="1"/>
  <c r="H1427" i="3"/>
  <c r="K1427" i="3" s="1"/>
  <c r="G1427" i="3"/>
  <c r="F1427" i="3"/>
  <c r="E1427" i="3"/>
  <c r="D1427" i="3"/>
  <c r="L1427" i="3" s="1"/>
  <c r="H1426" i="3"/>
  <c r="G1426" i="3"/>
  <c r="F1426" i="3"/>
  <c r="E1426" i="3"/>
  <c r="D1426" i="3"/>
  <c r="L1426" i="3" s="1"/>
  <c r="J1425" i="3"/>
  <c r="I1425" i="3"/>
  <c r="H1425" i="3"/>
  <c r="K1425" i="3" s="1"/>
  <c r="G1425" i="3"/>
  <c r="F1425" i="3"/>
  <c r="E1425" i="3"/>
  <c r="D1425" i="3"/>
  <c r="L1425" i="3" s="1"/>
  <c r="J1424" i="3"/>
  <c r="I1424" i="3"/>
  <c r="H1424" i="3"/>
  <c r="K1424" i="3" s="1"/>
  <c r="G1424" i="3"/>
  <c r="F1424" i="3"/>
  <c r="E1424" i="3"/>
  <c r="D1424" i="3"/>
  <c r="L1424" i="3" s="1"/>
  <c r="H1423" i="3"/>
  <c r="K1423" i="3" s="1"/>
  <c r="G1423" i="3"/>
  <c r="F1423" i="3"/>
  <c r="E1423" i="3"/>
  <c r="D1423" i="3"/>
  <c r="L1423" i="3" s="1"/>
  <c r="K1422" i="3"/>
  <c r="I1422" i="3"/>
  <c r="H1422" i="3"/>
  <c r="J1422" i="3" s="1"/>
  <c r="G1422" i="3"/>
  <c r="F1422" i="3"/>
  <c r="E1422" i="3"/>
  <c r="D1422" i="3"/>
  <c r="L1422" i="3" s="1"/>
  <c r="H1421" i="3"/>
  <c r="K1421" i="3" s="1"/>
  <c r="G1421" i="3"/>
  <c r="F1421" i="3"/>
  <c r="E1421" i="3"/>
  <c r="D1421" i="3"/>
  <c r="L1421" i="3" s="1"/>
  <c r="H1420" i="3"/>
  <c r="K1420" i="3" s="1"/>
  <c r="G1420" i="3"/>
  <c r="F1420" i="3"/>
  <c r="E1420" i="3"/>
  <c r="D1420" i="3"/>
  <c r="L1420" i="3" s="1"/>
  <c r="H1419" i="3"/>
  <c r="K1419" i="3" s="1"/>
  <c r="G1419" i="3"/>
  <c r="F1419" i="3"/>
  <c r="E1419" i="3"/>
  <c r="D1419" i="3"/>
  <c r="L1419" i="3" s="1"/>
  <c r="H1418" i="3"/>
  <c r="G1418" i="3"/>
  <c r="F1418" i="3"/>
  <c r="E1418" i="3"/>
  <c r="D1418" i="3"/>
  <c r="L1418" i="3" s="1"/>
  <c r="J1417" i="3"/>
  <c r="I1417" i="3"/>
  <c r="H1417" i="3"/>
  <c r="K1417" i="3" s="1"/>
  <c r="G1417" i="3"/>
  <c r="F1417" i="3"/>
  <c r="E1417" i="3"/>
  <c r="D1417" i="3"/>
  <c r="L1417" i="3" s="1"/>
  <c r="J1416" i="3"/>
  <c r="I1416" i="3"/>
  <c r="H1416" i="3"/>
  <c r="K1416" i="3" s="1"/>
  <c r="G1416" i="3"/>
  <c r="F1416" i="3"/>
  <c r="E1416" i="3"/>
  <c r="D1416" i="3"/>
  <c r="L1416" i="3" s="1"/>
  <c r="H1415" i="3"/>
  <c r="K1415" i="3" s="1"/>
  <c r="G1415" i="3"/>
  <c r="F1415" i="3"/>
  <c r="E1415" i="3"/>
  <c r="D1415" i="3"/>
  <c r="L1415" i="3" s="1"/>
  <c r="H1414" i="3"/>
  <c r="J1414" i="3" s="1"/>
  <c r="G1414" i="3"/>
  <c r="F1414" i="3"/>
  <c r="E1414" i="3"/>
  <c r="D1414" i="3"/>
  <c r="L1414" i="3" s="1"/>
  <c r="H1413" i="3"/>
  <c r="K1413" i="3" s="1"/>
  <c r="G1413" i="3"/>
  <c r="F1413" i="3"/>
  <c r="E1413" i="3"/>
  <c r="D1413" i="3"/>
  <c r="L1413" i="3" s="1"/>
  <c r="K1412" i="3"/>
  <c r="J1412" i="3"/>
  <c r="H1412" i="3"/>
  <c r="I1412" i="3" s="1"/>
  <c r="G1412" i="3"/>
  <c r="F1412" i="3"/>
  <c r="E1412" i="3"/>
  <c r="D1412" i="3"/>
  <c r="L1412" i="3" s="1"/>
  <c r="H1411" i="3"/>
  <c r="K1411" i="3" s="1"/>
  <c r="G1411" i="3"/>
  <c r="F1411" i="3"/>
  <c r="E1411" i="3"/>
  <c r="D1411" i="3"/>
  <c r="L1411" i="3" s="1"/>
  <c r="H1410" i="3"/>
  <c r="G1410" i="3"/>
  <c r="F1410" i="3"/>
  <c r="E1410" i="3"/>
  <c r="D1410" i="3"/>
  <c r="L1410" i="3" s="1"/>
  <c r="H1409" i="3"/>
  <c r="K1409" i="3" s="1"/>
  <c r="G1409" i="3"/>
  <c r="F1409" i="3"/>
  <c r="E1409" i="3"/>
  <c r="D1409" i="3"/>
  <c r="L1409" i="3" s="1"/>
  <c r="H1408" i="3"/>
  <c r="K1408" i="3" s="1"/>
  <c r="G1408" i="3"/>
  <c r="F1408" i="3"/>
  <c r="E1408" i="3"/>
  <c r="D1408" i="3"/>
  <c r="L1408" i="3" s="1"/>
  <c r="H1407" i="3"/>
  <c r="G1407" i="3"/>
  <c r="F1407" i="3"/>
  <c r="E1407" i="3"/>
  <c r="D1407" i="3"/>
  <c r="L1407" i="3" s="1"/>
  <c r="K1406" i="3"/>
  <c r="I1406" i="3"/>
  <c r="H1406" i="3"/>
  <c r="J1406" i="3" s="1"/>
  <c r="G1406" i="3"/>
  <c r="F1406" i="3"/>
  <c r="E1406" i="3"/>
  <c r="D1406" i="3"/>
  <c r="L1406" i="3" s="1"/>
  <c r="I1405" i="3"/>
  <c r="H1405" i="3"/>
  <c r="K1405" i="3" s="1"/>
  <c r="G1405" i="3"/>
  <c r="F1405" i="3"/>
  <c r="E1405" i="3"/>
  <c r="D1405" i="3"/>
  <c r="L1405" i="3" s="1"/>
  <c r="K1404" i="3"/>
  <c r="I1404" i="3"/>
  <c r="H1404" i="3"/>
  <c r="J1404" i="3" s="1"/>
  <c r="G1404" i="3"/>
  <c r="F1404" i="3"/>
  <c r="E1404" i="3"/>
  <c r="D1404" i="3"/>
  <c r="L1404" i="3" s="1"/>
  <c r="L1403" i="3"/>
  <c r="H1403" i="3"/>
  <c r="K1403" i="3" s="1"/>
  <c r="G1403" i="3"/>
  <c r="F1403" i="3"/>
  <c r="E1403" i="3"/>
  <c r="D1403" i="3"/>
  <c r="H1402" i="3"/>
  <c r="G1402" i="3"/>
  <c r="F1402" i="3"/>
  <c r="E1402" i="3"/>
  <c r="D1402" i="3"/>
  <c r="L1402" i="3" s="1"/>
  <c r="J1401" i="3"/>
  <c r="I1401" i="3"/>
  <c r="H1401" i="3"/>
  <c r="K1401" i="3" s="1"/>
  <c r="G1401" i="3"/>
  <c r="F1401" i="3"/>
  <c r="E1401" i="3"/>
  <c r="D1401" i="3"/>
  <c r="L1401" i="3" s="1"/>
  <c r="K1400" i="3"/>
  <c r="J1400" i="3"/>
  <c r="I1400" i="3"/>
  <c r="H1400" i="3"/>
  <c r="G1400" i="3"/>
  <c r="F1400" i="3"/>
  <c r="E1400" i="3"/>
  <c r="D1400" i="3"/>
  <c r="L1400" i="3" s="1"/>
  <c r="K1399" i="3"/>
  <c r="H1399" i="3"/>
  <c r="G1399" i="3"/>
  <c r="F1399" i="3"/>
  <c r="E1399" i="3"/>
  <c r="D1399" i="3"/>
  <c r="L1399" i="3" s="1"/>
  <c r="L1398" i="3"/>
  <c r="I1398" i="3"/>
  <c r="H1398" i="3"/>
  <c r="J1398" i="3" s="1"/>
  <c r="G1398" i="3"/>
  <c r="F1398" i="3"/>
  <c r="E1398" i="3"/>
  <c r="D1398" i="3"/>
  <c r="H1397" i="3"/>
  <c r="K1397" i="3" s="1"/>
  <c r="G1397" i="3"/>
  <c r="F1397" i="3"/>
  <c r="E1397" i="3"/>
  <c r="D1397" i="3"/>
  <c r="L1397" i="3" s="1"/>
  <c r="H1396" i="3"/>
  <c r="K1396" i="3" s="1"/>
  <c r="G1396" i="3"/>
  <c r="F1396" i="3"/>
  <c r="E1396" i="3"/>
  <c r="D1396" i="3"/>
  <c r="L1396" i="3" s="1"/>
  <c r="H1395" i="3"/>
  <c r="K1395" i="3" s="1"/>
  <c r="G1395" i="3"/>
  <c r="F1395" i="3"/>
  <c r="E1395" i="3"/>
  <c r="D1395" i="3"/>
  <c r="L1395" i="3" s="1"/>
  <c r="H1394" i="3"/>
  <c r="G1394" i="3"/>
  <c r="F1394" i="3"/>
  <c r="E1394" i="3"/>
  <c r="D1394" i="3"/>
  <c r="L1394" i="3" s="1"/>
  <c r="I1393" i="3"/>
  <c r="H1393" i="3"/>
  <c r="K1393" i="3" s="1"/>
  <c r="G1393" i="3"/>
  <c r="F1393" i="3"/>
  <c r="E1393" i="3"/>
  <c r="D1393" i="3"/>
  <c r="L1393" i="3" s="1"/>
  <c r="K1392" i="3"/>
  <c r="I1392" i="3"/>
  <c r="H1392" i="3"/>
  <c r="J1392" i="3" s="1"/>
  <c r="G1392" i="3"/>
  <c r="F1392" i="3"/>
  <c r="E1392" i="3"/>
  <c r="D1392" i="3"/>
  <c r="L1392" i="3" s="1"/>
  <c r="H1391" i="3"/>
  <c r="G1391" i="3"/>
  <c r="F1391" i="3"/>
  <c r="E1391" i="3"/>
  <c r="D1391" i="3"/>
  <c r="L1391" i="3" s="1"/>
  <c r="I1390" i="3"/>
  <c r="H1390" i="3"/>
  <c r="K1390" i="3" s="1"/>
  <c r="G1390" i="3"/>
  <c r="F1390" i="3"/>
  <c r="E1390" i="3"/>
  <c r="D1390" i="3"/>
  <c r="L1390" i="3" s="1"/>
  <c r="H1389" i="3"/>
  <c r="K1389" i="3" s="1"/>
  <c r="G1389" i="3"/>
  <c r="F1389" i="3"/>
  <c r="E1389" i="3"/>
  <c r="D1389" i="3"/>
  <c r="L1389" i="3" s="1"/>
  <c r="H1388" i="3"/>
  <c r="K1388" i="3" s="1"/>
  <c r="G1388" i="3"/>
  <c r="F1388" i="3"/>
  <c r="E1388" i="3"/>
  <c r="D1388" i="3"/>
  <c r="L1388" i="3" s="1"/>
  <c r="H1387" i="3"/>
  <c r="K1387" i="3" s="1"/>
  <c r="G1387" i="3"/>
  <c r="F1387" i="3"/>
  <c r="E1387" i="3"/>
  <c r="D1387" i="3"/>
  <c r="L1387" i="3" s="1"/>
  <c r="H1386" i="3"/>
  <c r="G1386" i="3"/>
  <c r="F1386" i="3"/>
  <c r="E1386" i="3"/>
  <c r="D1386" i="3"/>
  <c r="L1386" i="3" s="1"/>
  <c r="I1385" i="3"/>
  <c r="H1385" i="3"/>
  <c r="K1385" i="3" s="1"/>
  <c r="G1385" i="3"/>
  <c r="F1385" i="3"/>
  <c r="E1385" i="3"/>
  <c r="D1385" i="3"/>
  <c r="L1385" i="3" s="1"/>
  <c r="I1384" i="3"/>
  <c r="H1384" i="3"/>
  <c r="K1384" i="3" s="1"/>
  <c r="G1384" i="3"/>
  <c r="F1384" i="3"/>
  <c r="E1384" i="3"/>
  <c r="D1384" i="3"/>
  <c r="L1384" i="3" s="1"/>
  <c r="H1383" i="3"/>
  <c r="G1383" i="3"/>
  <c r="F1383" i="3"/>
  <c r="E1383" i="3"/>
  <c r="D1383" i="3"/>
  <c r="L1383" i="3" s="1"/>
  <c r="I1382" i="3"/>
  <c r="H1382" i="3"/>
  <c r="K1382" i="3" s="1"/>
  <c r="G1382" i="3"/>
  <c r="F1382" i="3"/>
  <c r="E1382" i="3"/>
  <c r="D1382" i="3"/>
  <c r="L1382" i="3" s="1"/>
  <c r="H1381" i="3"/>
  <c r="K1381" i="3" s="1"/>
  <c r="G1381" i="3"/>
  <c r="F1381" i="3"/>
  <c r="E1381" i="3"/>
  <c r="D1381" i="3"/>
  <c r="L1381" i="3" s="1"/>
  <c r="K1380" i="3"/>
  <c r="H1380" i="3"/>
  <c r="J1380" i="3" s="1"/>
  <c r="G1380" i="3"/>
  <c r="F1380" i="3"/>
  <c r="E1380" i="3"/>
  <c r="D1380" i="3"/>
  <c r="L1380" i="3" s="1"/>
  <c r="H1379" i="3"/>
  <c r="K1379" i="3" s="1"/>
  <c r="G1379" i="3"/>
  <c r="F1379" i="3"/>
  <c r="E1379" i="3"/>
  <c r="D1379" i="3"/>
  <c r="L1379" i="3" s="1"/>
  <c r="H1378" i="3"/>
  <c r="G1378" i="3"/>
  <c r="F1378" i="3"/>
  <c r="E1378" i="3"/>
  <c r="D1378" i="3"/>
  <c r="L1378" i="3" s="1"/>
  <c r="J1377" i="3"/>
  <c r="I1377" i="3"/>
  <c r="H1377" i="3"/>
  <c r="K1377" i="3" s="1"/>
  <c r="G1377" i="3"/>
  <c r="F1377" i="3"/>
  <c r="E1377" i="3"/>
  <c r="D1377" i="3"/>
  <c r="L1377" i="3" s="1"/>
  <c r="K1376" i="3"/>
  <c r="J1376" i="3"/>
  <c r="I1376" i="3"/>
  <c r="H1376" i="3"/>
  <c r="G1376" i="3"/>
  <c r="F1376" i="3"/>
  <c r="E1376" i="3"/>
  <c r="D1376" i="3"/>
  <c r="L1376" i="3" s="1"/>
  <c r="H1375" i="3"/>
  <c r="G1375" i="3"/>
  <c r="F1375" i="3"/>
  <c r="E1375" i="3"/>
  <c r="D1375" i="3"/>
  <c r="L1375" i="3" s="1"/>
  <c r="H1374" i="3"/>
  <c r="K1374" i="3" s="1"/>
  <c r="G1374" i="3"/>
  <c r="F1374" i="3"/>
  <c r="E1374" i="3"/>
  <c r="D1374" i="3"/>
  <c r="L1374" i="3" s="1"/>
  <c r="J1373" i="3"/>
  <c r="I1373" i="3"/>
  <c r="H1373" i="3"/>
  <c r="K1373" i="3" s="1"/>
  <c r="G1373" i="3"/>
  <c r="F1373" i="3"/>
  <c r="E1373" i="3"/>
  <c r="D1373" i="3"/>
  <c r="L1373" i="3" s="1"/>
  <c r="K1372" i="3"/>
  <c r="J1372" i="3"/>
  <c r="I1372" i="3"/>
  <c r="H1372" i="3"/>
  <c r="G1372" i="3"/>
  <c r="F1372" i="3"/>
  <c r="E1372" i="3"/>
  <c r="D1372" i="3"/>
  <c r="L1372" i="3" s="1"/>
  <c r="H1371" i="3"/>
  <c r="K1371" i="3" s="1"/>
  <c r="G1371" i="3"/>
  <c r="F1371" i="3"/>
  <c r="E1371" i="3"/>
  <c r="D1371" i="3"/>
  <c r="L1371" i="3" s="1"/>
  <c r="H1370" i="3"/>
  <c r="G1370" i="3"/>
  <c r="F1370" i="3"/>
  <c r="E1370" i="3"/>
  <c r="D1370" i="3"/>
  <c r="L1370" i="3" s="1"/>
  <c r="I1369" i="3"/>
  <c r="H1369" i="3"/>
  <c r="K1369" i="3" s="1"/>
  <c r="G1369" i="3"/>
  <c r="F1369" i="3"/>
  <c r="E1369" i="3"/>
  <c r="D1369" i="3"/>
  <c r="L1369" i="3" s="1"/>
  <c r="I1368" i="3"/>
  <c r="H1368" i="3"/>
  <c r="K1368" i="3" s="1"/>
  <c r="G1368" i="3"/>
  <c r="F1368" i="3"/>
  <c r="E1368" i="3"/>
  <c r="D1368" i="3"/>
  <c r="L1368" i="3" s="1"/>
  <c r="H1367" i="3"/>
  <c r="G1367" i="3"/>
  <c r="F1367" i="3"/>
  <c r="E1367" i="3"/>
  <c r="D1367" i="3"/>
  <c r="L1367" i="3" s="1"/>
  <c r="H1366" i="3"/>
  <c r="K1366" i="3" s="1"/>
  <c r="G1366" i="3"/>
  <c r="F1366" i="3"/>
  <c r="E1366" i="3"/>
  <c r="D1366" i="3"/>
  <c r="L1366" i="3" s="1"/>
  <c r="J1365" i="3"/>
  <c r="H1365" i="3"/>
  <c r="K1365" i="3" s="1"/>
  <c r="G1365" i="3"/>
  <c r="F1365" i="3"/>
  <c r="E1365" i="3"/>
  <c r="D1365" i="3"/>
  <c r="L1365" i="3" s="1"/>
  <c r="K1364" i="3"/>
  <c r="J1364" i="3"/>
  <c r="H1364" i="3"/>
  <c r="I1364" i="3" s="1"/>
  <c r="G1364" i="3"/>
  <c r="F1364" i="3"/>
  <c r="E1364" i="3"/>
  <c r="D1364" i="3"/>
  <c r="L1364" i="3" s="1"/>
  <c r="H1363" i="3"/>
  <c r="K1363" i="3" s="1"/>
  <c r="G1363" i="3"/>
  <c r="F1363" i="3"/>
  <c r="E1363" i="3"/>
  <c r="D1363" i="3"/>
  <c r="L1363" i="3" s="1"/>
  <c r="H1362" i="3"/>
  <c r="G1362" i="3"/>
  <c r="F1362" i="3"/>
  <c r="E1362" i="3"/>
  <c r="D1362" i="3"/>
  <c r="L1362" i="3" s="1"/>
  <c r="H1361" i="3"/>
  <c r="K1361" i="3" s="1"/>
  <c r="G1361" i="3"/>
  <c r="F1361" i="3"/>
  <c r="E1361" i="3"/>
  <c r="D1361" i="3"/>
  <c r="L1361" i="3" s="1"/>
  <c r="K1360" i="3"/>
  <c r="H1360" i="3"/>
  <c r="J1360" i="3" s="1"/>
  <c r="G1360" i="3"/>
  <c r="F1360" i="3"/>
  <c r="E1360" i="3"/>
  <c r="D1360" i="3"/>
  <c r="L1360" i="3" s="1"/>
  <c r="H1359" i="3"/>
  <c r="G1359" i="3"/>
  <c r="F1359" i="3"/>
  <c r="E1359" i="3"/>
  <c r="D1359" i="3"/>
  <c r="L1359" i="3" s="1"/>
  <c r="H1358" i="3"/>
  <c r="K1358" i="3" s="1"/>
  <c r="G1358" i="3"/>
  <c r="F1358" i="3"/>
  <c r="E1358" i="3"/>
  <c r="D1358" i="3"/>
  <c r="L1358" i="3" s="1"/>
  <c r="H1357" i="3"/>
  <c r="K1357" i="3" s="1"/>
  <c r="G1357" i="3"/>
  <c r="F1357" i="3"/>
  <c r="E1357" i="3"/>
  <c r="D1357" i="3"/>
  <c r="L1357" i="3" s="1"/>
  <c r="K1356" i="3"/>
  <c r="H1356" i="3"/>
  <c r="J1356" i="3" s="1"/>
  <c r="G1356" i="3"/>
  <c r="F1356" i="3"/>
  <c r="E1356" i="3"/>
  <c r="D1356" i="3"/>
  <c r="L1356" i="3" s="1"/>
  <c r="H1355" i="3"/>
  <c r="K1355" i="3" s="1"/>
  <c r="G1355" i="3"/>
  <c r="F1355" i="3"/>
  <c r="E1355" i="3"/>
  <c r="D1355" i="3"/>
  <c r="L1355" i="3" s="1"/>
  <c r="H1354" i="3"/>
  <c r="G1354" i="3"/>
  <c r="F1354" i="3"/>
  <c r="E1354" i="3"/>
  <c r="D1354" i="3"/>
  <c r="L1354" i="3" s="1"/>
  <c r="H1353" i="3"/>
  <c r="K1353" i="3" s="1"/>
  <c r="G1353" i="3"/>
  <c r="F1353" i="3"/>
  <c r="E1353" i="3"/>
  <c r="D1353" i="3"/>
  <c r="L1353" i="3" s="1"/>
  <c r="H1352" i="3"/>
  <c r="K1352" i="3" s="1"/>
  <c r="G1352" i="3"/>
  <c r="F1352" i="3"/>
  <c r="E1352" i="3"/>
  <c r="D1352" i="3"/>
  <c r="L1352" i="3" s="1"/>
  <c r="H1351" i="3"/>
  <c r="G1351" i="3"/>
  <c r="F1351" i="3"/>
  <c r="E1351" i="3"/>
  <c r="D1351" i="3"/>
  <c r="L1351" i="3" s="1"/>
  <c r="H1350" i="3"/>
  <c r="K1350" i="3" s="1"/>
  <c r="G1350" i="3"/>
  <c r="F1350" i="3"/>
  <c r="E1350" i="3"/>
  <c r="D1350" i="3"/>
  <c r="L1350" i="3" s="1"/>
  <c r="J1349" i="3"/>
  <c r="I1349" i="3"/>
  <c r="H1349" i="3"/>
  <c r="K1349" i="3" s="1"/>
  <c r="G1349" i="3"/>
  <c r="F1349" i="3"/>
  <c r="E1349" i="3"/>
  <c r="D1349" i="3"/>
  <c r="L1349" i="3" s="1"/>
  <c r="J1348" i="3"/>
  <c r="I1348" i="3"/>
  <c r="H1348" i="3"/>
  <c r="K1348" i="3" s="1"/>
  <c r="G1348" i="3"/>
  <c r="F1348" i="3"/>
  <c r="E1348" i="3"/>
  <c r="D1348" i="3"/>
  <c r="L1348" i="3" s="1"/>
  <c r="H1347" i="3"/>
  <c r="K1347" i="3" s="1"/>
  <c r="G1347" i="3"/>
  <c r="F1347" i="3"/>
  <c r="E1347" i="3"/>
  <c r="D1347" i="3"/>
  <c r="L1347" i="3" s="1"/>
  <c r="H1346" i="3"/>
  <c r="G1346" i="3"/>
  <c r="F1346" i="3"/>
  <c r="E1346" i="3"/>
  <c r="D1346" i="3"/>
  <c r="L1346" i="3" s="1"/>
  <c r="J1345" i="3"/>
  <c r="H1345" i="3"/>
  <c r="K1345" i="3" s="1"/>
  <c r="G1345" i="3"/>
  <c r="F1345" i="3"/>
  <c r="E1345" i="3"/>
  <c r="D1345" i="3"/>
  <c r="L1345" i="3" s="1"/>
  <c r="K1344" i="3"/>
  <c r="J1344" i="3"/>
  <c r="H1344" i="3"/>
  <c r="I1344" i="3" s="1"/>
  <c r="G1344" i="3"/>
  <c r="F1344" i="3"/>
  <c r="E1344" i="3"/>
  <c r="D1344" i="3"/>
  <c r="L1344" i="3" s="1"/>
  <c r="H1343" i="3"/>
  <c r="G1343" i="3"/>
  <c r="F1343" i="3"/>
  <c r="E1343" i="3"/>
  <c r="D1343" i="3"/>
  <c r="L1343" i="3" s="1"/>
  <c r="H1342" i="3"/>
  <c r="K1342" i="3" s="1"/>
  <c r="G1342" i="3"/>
  <c r="F1342" i="3"/>
  <c r="E1342" i="3"/>
  <c r="D1342" i="3"/>
  <c r="L1342" i="3" s="1"/>
  <c r="J1341" i="3"/>
  <c r="I1341" i="3"/>
  <c r="H1341" i="3"/>
  <c r="K1341" i="3" s="1"/>
  <c r="G1341" i="3"/>
  <c r="F1341" i="3"/>
  <c r="E1341" i="3"/>
  <c r="D1341" i="3"/>
  <c r="L1341" i="3" s="1"/>
  <c r="J1340" i="3"/>
  <c r="I1340" i="3"/>
  <c r="H1340" i="3"/>
  <c r="K1340" i="3" s="1"/>
  <c r="G1340" i="3"/>
  <c r="F1340" i="3"/>
  <c r="E1340" i="3"/>
  <c r="D1340" i="3"/>
  <c r="L1340" i="3" s="1"/>
  <c r="H1339" i="3"/>
  <c r="K1339" i="3" s="1"/>
  <c r="G1339" i="3"/>
  <c r="F1339" i="3"/>
  <c r="E1339" i="3"/>
  <c r="D1339" i="3"/>
  <c r="L1339" i="3" s="1"/>
  <c r="H1338" i="3"/>
  <c r="G1338" i="3"/>
  <c r="F1338" i="3"/>
  <c r="E1338" i="3"/>
  <c r="D1338" i="3"/>
  <c r="L1338" i="3" s="1"/>
  <c r="J1337" i="3"/>
  <c r="I1337" i="3"/>
  <c r="H1337" i="3"/>
  <c r="K1337" i="3" s="1"/>
  <c r="G1337" i="3"/>
  <c r="F1337" i="3"/>
  <c r="E1337" i="3"/>
  <c r="D1337" i="3"/>
  <c r="L1337" i="3" s="1"/>
  <c r="I1336" i="3"/>
  <c r="H1336" i="3"/>
  <c r="K1336" i="3" s="1"/>
  <c r="G1336" i="3"/>
  <c r="F1336" i="3"/>
  <c r="E1336" i="3"/>
  <c r="D1336" i="3"/>
  <c r="L1336" i="3" s="1"/>
  <c r="H1335" i="3"/>
  <c r="G1335" i="3"/>
  <c r="F1335" i="3"/>
  <c r="E1335" i="3"/>
  <c r="D1335" i="3"/>
  <c r="L1335" i="3" s="1"/>
  <c r="H1334" i="3"/>
  <c r="K1334" i="3" s="1"/>
  <c r="G1334" i="3"/>
  <c r="F1334" i="3"/>
  <c r="E1334" i="3"/>
  <c r="D1334" i="3"/>
  <c r="L1334" i="3" s="1"/>
  <c r="H1333" i="3"/>
  <c r="K1333" i="3" s="1"/>
  <c r="G1333" i="3"/>
  <c r="F1333" i="3"/>
  <c r="E1333" i="3"/>
  <c r="D1333" i="3"/>
  <c r="L1333" i="3" s="1"/>
  <c r="H1332" i="3"/>
  <c r="K1332" i="3" s="1"/>
  <c r="G1332" i="3"/>
  <c r="F1332" i="3"/>
  <c r="E1332" i="3"/>
  <c r="D1332" i="3"/>
  <c r="L1332" i="3" s="1"/>
  <c r="H1331" i="3"/>
  <c r="K1331" i="3" s="1"/>
  <c r="G1331" i="3"/>
  <c r="F1331" i="3"/>
  <c r="E1331" i="3"/>
  <c r="D1331" i="3"/>
  <c r="L1331" i="3" s="1"/>
  <c r="H1330" i="3"/>
  <c r="G1330" i="3"/>
  <c r="F1330" i="3"/>
  <c r="E1330" i="3"/>
  <c r="D1330" i="3"/>
  <c r="L1330" i="3" s="1"/>
  <c r="H1329" i="3"/>
  <c r="K1329" i="3" s="1"/>
  <c r="G1329" i="3"/>
  <c r="F1329" i="3"/>
  <c r="E1329" i="3"/>
  <c r="D1329" i="3"/>
  <c r="L1329" i="3" s="1"/>
  <c r="H1328" i="3"/>
  <c r="K1328" i="3" s="1"/>
  <c r="G1328" i="3"/>
  <c r="F1328" i="3"/>
  <c r="E1328" i="3"/>
  <c r="D1328" i="3"/>
  <c r="L1328" i="3" s="1"/>
  <c r="H1327" i="3"/>
  <c r="G1327" i="3"/>
  <c r="F1327" i="3"/>
  <c r="E1327" i="3"/>
  <c r="D1327" i="3"/>
  <c r="L1327" i="3" s="1"/>
  <c r="H1326" i="3"/>
  <c r="K1326" i="3" s="1"/>
  <c r="G1326" i="3"/>
  <c r="F1326" i="3"/>
  <c r="E1326" i="3"/>
  <c r="D1326" i="3"/>
  <c r="L1326" i="3" s="1"/>
  <c r="H1325" i="3"/>
  <c r="K1325" i="3" s="1"/>
  <c r="G1325" i="3"/>
  <c r="F1325" i="3"/>
  <c r="E1325" i="3"/>
  <c r="D1325" i="3"/>
  <c r="L1325" i="3" s="1"/>
  <c r="K1324" i="3"/>
  <c r="H1324" i="3"/>
  <c r="J1324" i="3" s="1"/>
  <c r="G1324" i="3"/>
  <c r="F1324" i="3"/>
  <c r="E1324" i="3"/>
  <c r="D1324" i="3"/>
  <c r="L1324" i="3" s="1"/>
  <c r="H1323" i="3"/>
  <c r="G1323" i="3"/>
  <c r="F1323" i="3"/>
  <c r="E1323" i="3"/>
  <c r="D1323" i="3"/>
  <c r="L1323" i="3" s="1"/>
  <c r="H1322" i="3"/>
  <c r="G1322" i="3"/>
  <c r="F1322" i="3"/>
  <c r="E1322" i="3"/>
  <c r="D1322" i="3"/>
  <c r="L1322" i="3" s="1"/>
  <c r="H1321" i="3"/>
  <c r="K1321" i="3" s="1"/>
  <c r="G1321" i="3"/>
  <c r="F1321" i="3"/>
  <c r="E1321" i="3"/>
  <c r="D1321" i="3"/>
  <c r="L1321" i="3" s="1"/>
  <c r="H1320" i="3"/>
  <c r="K1320" i="3" s="1"/>
  <c r="G1320" i="3"/>
  <c r="F1320" i="3"/>
  <c r="E1320" i="3"/>
  <c r="D1320" i="3"/>
  <c r="L1320" i="3" s="1"/>
  <c r="H1319" i="3"/>
  <c r="G1319" i="3"/>
  <c r="F1319" i="3"/>
  <c r="E1319" i="3"/>
  <c r="D1319" i="3"/>
  <c r="L1319" i="3" s="1"/>
  <c r="H1318" i="3"/>
  <c r="I1318" i="3" s="1"/>
  <c r="G1318" i="3"/>
  <c r="F1318" i="3"/>
  <c r="E1318" i="3"/>
  <c r="D1318" i="3"/>
  <c r="L1318" i="3" s="1"/>
  <c r="J1317" i="3"/>
  <c r="H1317" i="3"/>
  <c r="K1317" i="3" s="1"/>
  <c r="G1317" i="3"/>
  <c r="F1317" i="3"/>
  <c r="E1317" i="3"/>
  <c r="D1317" i="3"/>
  <c r="L1317" i="3" s="1"/>
  <c r="J1316" i="3"/>
  <c r="H1316" i="3"/>
  <c r="K1316" i="3" s="1"/>
  <c r="G1316" i="3"/>
  <c r="F1316" i="3"/>
  <c r="E1316" i="3"/>
  <c r="D1316" i="3"/>
  <c r="L1316" i="3" s="1"/>
  <c r="L1315" i="3"/>
  <c r="K1315" i="3"/>
  <c r="H1315" i="3"/>
  <c r="G1315" i="3"/>
  <c r="F1315" i="3"/>
  <c r="E1315" i="3"/>
  <c r="D1315" i="3"/>
  <c r="H1314" i="3"/>
  <c r="G1314" i="3"/>
  <c r="F1314" i="3"/>
  <c r="E1314" i="3"/>
  <c r="D1314" i="3"/>
  <c r="L1314" i="3" s="1"/>
  <c r="J1313" i="3"/>
  <c r="H1313" i="3"/>
  <c r="K1313" i="3" s="1"/>
  <c r="G1313" i="3"/>
  <c r="F1313" i="3"/>
  <c r="E1313" i="3"/>
  <c r="D1313" i="3"/>
  <c r="L1313" i="3" s="1"/>
  <c r="K1312" i="3"/>
  <c r="J1312" i="3"/>
  <c r="H1312" i="3"/>
  <c r="I1312" i="3" s="1"/>
  <c r="G1312" i="3"/>
  <c r="F1312" i="3"/>
  <c r="E1312" i="3"/>
  <c r="D1312" i="3"/>
  <c r="L1312" i="3" s="1"/>
  <c r="H1311" i="3"/>
  <c r="G1311" i="3"/>
  <c r="F1311" i="3"/>
  <c r="E1311" i="3"/>
  <c r="D1311" i="3"/>
  <c r="L1311" i="3" s="1"/>
  <c r="I1310" i="3"/>
  <c r="H1310" i="3"/>
  <c r="G1310" i="3"/>
  <c r="F1310" i="3"/>
  <c r="E1310" i="3"/>
  <c r="D1310" i="3"/>
  <c r="L1310" i="3" s="1"/>
  <c r="I1309" i="3"/>
  <c r="H1309" i="3"/>
  <c r="K1309" i="3" s="1"/>
  <c r="G1309" i="3"/>
  <c r="F1309" i="3"/>
  <c r="E1309" i="3"/>
  <c r="D1309" i="3"/>
  <c r="L1309" i="3" s="1"/>
  <c r="I1308" i="3"/>
  <c r="H1308" i="3"/>
  <c r="K1308" i="3" s="1"/>
  <c r="G1308" i="3"/>
  <c r="F1308" i="3"/>
  <c r="E1308" i="3"/>
  <c r="D1308" i="3"/>
  <c r="L1308" i="3" s="1"/>
  <c r="H1307" i="3"/>
  <c r="K1307" i="3" s="1"/>
  <c r="G1307" i="3"/>
  <c r="F1307" i="3"/>
  <c r="E1307" i="3"/>
  <c r="D1307" i="3"/>
  <c r="L1307" i="3" s="1"/>
  <c r="L1306" i="3"/>
  <c r="H1306" i="3"/>
  <c r="G1306" i="3"/>
  <c r="F1306" i="3"/>
  <c r="E1306" i="3"/>
  <c r="D1306" i="3"/>
  <c r="J1305" i="3"/>
  <c r="I1305" i="3"/>
  <c r="H1305" i="3"/>
  <c r="K1305" i="3" s="1"/>
  <c r="G1305" i="3"/>
  <c r="F1305" i="3"/>
  <c r="E1305" i="3"/>
  <c r="D1305" i="3"/>
  <c r="L1305" i="3" s="1"/>
  <c r="H1304" i="3"/>
  <c r="K1304" i="3" s="1"/>
  <c r="G1304" i="3"/>
  <c r="F1304" i="3"/>
  <c r="E1304" i="3"/>
  <c r="D1304" i="3"/>
  <c r="L1304" i="3" s="1"/>
  <c r="H1303" i="3"/>
  <c r="G1303" i="3"/>
  <c r="F1303" i="3"/>
  <c r="E1303" i="3"/>
  <c r="D1303" i="3"/>
  <c r="L1303" i="3" s="1"/>
  <c r="I1302" i="3"/>
  <c r="H1302" i="3"/>
  <c r="G1302" i="3"/>
  <c r="F1302" i="3"/>
  <c r="E1302" i="3"/>
  <c r="D1302" i="3"/>
  <c r="L1302" i="3" s="1"/>
  <c r="H1301" i="3"/>
  <c r="K1301" i="3" s="1"/>
  <c r="G1301" i="3"/>
  <c r="F1301" i="3"/>
  <c r="E1301" i="3"/>
  <c r="D1301" i="3"/>
  <c r="L1301" i="3" s="1"/>
  <c r="K1300" i="3"/>
  <c r="I1300" i="3"/>
  <c r="H1300" i="3"/>
  <c r="J1300" i="3" s="1"/>
  <c r="G1300" i="3"/>
  <c r="F1300" i="3"/>
  <c r="E1300" i="3"/>
  <c r="D1300" i="3"/>
  <c r="L1300" i="3" s="1"/>
  <c r="K1299" i="3"/>
  <c r="H1299" i="3"/>
  <c r="G1299" i="3"/>
  <c r="F1299" i="3"/>
  <c r="E1299" i="3"/>
  <c r="D1299" i="3"/>
  <c r="L1299" i="3" s="1"/>
  <c r="H1298" i="3"/>
  <c r="G1298" i="3"/>
  <c r="F1298" i="3"/>
  <c r="E1298" i="3"/>
  <c r="D1298" i="3"/>
  <c r="L1298" i="3" s="1"/>
  <c r="J1297" i="3"/>
  <c r="I1297" i="3"/>
  <c r="H1297" i="3"/>
  <c r="K1297" i="3" s="1"/>
  <c r="G1297" i="3"/>
  <c r="F1297" i="3"/>
  <c r="E1297" i="3"/>
  <c r="D1297" i="3"/>
  <c r="L1297" i="3" s="1"/>
  <c r="K1296" i="3"/>
  <c r="J1296" i="3"/>
  <c r="I1296" i="3"/>
  <c r="H1296" i="3"/>
  <c r="G1296" i="3"/>
  <c r="F1296" i="3"/>
  <c r="E1296" i="3"/>
  <c r="D1296" i="3"/>
  <c r="L1296" i="3" s="1"/>
  <c r="L1295" i="3"/>
  <c r="H1295" i="3"/>
  <c r="G1295" i="3"/>
  <c r="F1295" i="3"/>
  <c r="E1295" i="3"/>
  <c r="D1295" i="3"/>
  <c r="L1294" i="3"/>
  <c r="H1294" i="3"/>
  <c r="I1294" i="3" s="1"/>
  <c r="G1294" i="3"/>
  <c r="F1294" i="3"/>
  <c r="E1294" i="3"/>
  <c r="D1294" i="3"/>
  <c r="H1293" i="3"/>
  <c r="K1293" i="3" s="1"/>
  <c r="G1293" i="3"/>
  <c r="F1293" i="3"/>
  <c r="E1293" i="3"/>
  <c r="D1293" i="3"/>
  <c r="L1293" i="3" s="1"/>
  <c r="H1292" i="3"/>
  <c r="K1292" i="3" s="1"/>
  <c r="G1292" i="3"/>
  <c r="F1292" i="3"/>
  <c r="E1292" i="3"/>
  <c r="D1292" i="3"/>
  <c r="L1292" i="3" s="1"/>
  <c r="H1291" i="3"/>
  <c r="I1291" i="3" s="1"/>
  <c r="G1291" i="3"/>
  <c r="F1291" i="3"/>
  <c r="E1291" i="3"/>
  <c r="D1291" i="3"/>
  <c r="L1291" i="3" s="1"/>
  <c r="H1290" i="3"/>
  <c r="J1290" i="3" s="1"/>
  <c r="G1290" i="3"/>
  <c r="F1290" i="3"/>
  <c r="E1290" i="3"/>
  <c r="D1290" i="3"/>
  <c r="L1290" i="3" s="1"/>
  <c r="H1289" i="3"/>
  <c r="K1289" i="3" s="1"/>
  <c r="G1289" i="3"/>
  <c r="F1289" i="3"/>
  <c r="E1289" i="3"/>
  <c r="D1289" i="3"/>
  <c r="L1289" i="3" s="1"/>
  <c r="H1288" i="3"/>
  <c r="K1288" i="3" s="1"/>
  <c r="G1288" i="3"/>
  <c r="F1288" i="3"/>
  <c r="E1288" i="3"/>
  <c r="D1288" i="3"/>
  <c r="L1288" i="3" s="1"/>
  <c r="H1287" i="3"/>
  <c r="I1287" i="3" s="1"/>
  <c r="G1287" i="3"/>
  <c r="F1287" i="3"/>
  <c r="E1287" i="3"/>
  <c r="D1287" i="3"/>
  <c r="L1287" i="3" s="1"/>
  <c r="H1286" i="3"/>
  <c r="J1286" i="3" s="1"/>
  <c r="G1286" i="3"/>
  <c r="F1286" i="3"/>
  <c r="E1286" i="3"/>
  <c r="D1286" i="3"/>
  <c r="L1286" i="3" s="1"/>
  <c r="H1285" i="3"/>
  <c r="K1285" i="3" s="1"/>
  <c r="G1285" i="3"/>
  <c r="F1285" i="3"/>
  <c r="E1285" i="3"/>
  <c r="D1285" i="3"/>
  <c r="L1285" i="3" s="1"/>
  <c r="J1284" i="3"/>
  <c r="I1284" i="3"/>
  <c r="H1284" i="3"/>
  <c r="K1284" i="3" s="1"/>
  <c r="G1284" i="3"/>
  <c r="F1284" i="3"/>
  <c r="E1284" i="3"/>
  <c r="D1284" i="3"/>
  <c r="L1284" i="3" s="1"/>
  <c r="H1283" i="3"/>
  <c r="I1283" i="3" s="1"/>
  <c r="G1283" i="3"/>
  <c r="F1283" i="3"/>
  <c r="E1283" i="3"/>
  <c r="D1283" i="3"/>
  <c r="L1283" i="3" s="1"/>
  <c r="H1282" i="3"/>
  <c r="J1282" i="3" s="1"/>
  <c r="G1282" i="3"/>
  <c r="F1282" i="3"/>
  <c r="E1282" i="3"/>
  <c r="D1282" i="3"/>
  <c r="L1282" i="3" s="1"/>
  <c r="H1281" i="3"/>
  <c r="K1281" i="3" s="1"/>
  <c r="G1281" i="3"/>
  <c r="F1281" i="3"/>
  <c r="E1281" i="3"/>
  <c r="D1281" i="3"/>
  <c r="L1281" i="3" s="1"/>
  <c r="H1280" i="3"/>
  <c r="K1280" i="3" s="1"/>
  <c r="G1280" i="3"/>
  <c r="F1280" i="3"/>
  <c r="E1280" i="3"/>
  <c r="D1280" i="3"/>
  <c r="L1280" i="3" s="1"/>
  <c r="H1279" i="3"/>
  <c r="I1279" i="3" s="1"/>
  <c r="G1279" i="3"/>
  <c r="F1279" i="3"/>
  <c r="E1279" i="3"/>
  <c r="D1279" i="3"/>
  <c r="L1279" i="3" s="1"/>
  <c r="H1278" i="3"/>
  <c r="J1278" i="3" s="1"/>
  <c r="G1278" i="3"/>
  <c r="F1278" i="3"/>
  <c r="E1278" i="3"/>
  <c r="D1278" i="3"/>
  <c r="L1278" i="3" s="1"/>
  <c r="H1277" i="3"/>
  <c r="K1277" i="3" s="1"/>
  <c r="G1277" i="3"/>
  <c r="F1277" i="3"/>
  <c r="E1277" i="3"/>
  <c r="D1277" i="3"/>
  <c r="L1277" i="3" s="1"/>
  <c r="K1276" i="3"/>
  <c r="H1276" i="3"/>
  <c r="J1276" i="3" s="1"/>
  <c r="G1276" i="3"/>
  <c r="F1276" i="3"/>
  <c r="E1276" i="3"/>
  <c r="D1276" i="3"/>
  <c r="L1276" i="3" s="1"/>
  <c r="H1275" i="3"/>
  <c r="I1275" i="3" s="1"/>
  <c r="G1275" i="3"/>
  <c r="F1275" i="3"/>
  <c r="E1275" i="3"/>
  <c r="D1275" i="3"/>
  <c r="L1275" i="3" s="1"/>
  <c r="H1274" i="3"/>
  <c r="J1274" i="3" s="1"/>
  <c r="G1274" i="3"/>
  <c r="F1274" i="3"/>
  <c r="E1274" i="3"/>
  <c r="D1274" i="3"/>
  <c r="L1274" i="3" s="1"/>
  <c r="H1273" i="3"/>
  <c r="K1273" i="3" s="1"/>
  <c r="G1273" i="3"/>
  <c r="F1273" i="3"/>
  <c r="E1273" i="3"/>
  <c r="D1273" i="3"/>
  <c r="L1273" i="3" s="1"/>
  <c r="K1272" i="3"/>
  <c r="H1272" i="3"/>
  <c r="I1272" i="3" s="1"/>
  <c r="G1272" i="3"/>
  <c r="F1272" i="3"/>
  <c r="E1272" i="3"/>
  <c r="D1272" i="3"/>
  <c r="L1272" i="3" s="1"/>
  <c r="H1271" i="3"/>
  <c r="I1271" i="3" s="1"/>
  <c r="G1271" i="3"/>
  <c r="F1271" i="3"/>
  <c r="E1271" i="3"/>
  <c r="D1271" i="3"/>
  <c r="L1271" i="3" s="1"/>
  <c r="H1270" i="3"/>
  <c r="J1270" i="3" s="1"/>
  <c r="G1270" i="3"/>
  <c r="F1270" i="3"/>
  <c r="E1270" i="3"/>
  <c r="D1270" i="3"/>
  <c r="L1270" i="3" s="1"/>
  <c r="H1269" i="3"/>
  <c r="K1269" i="3" s="1"/>
  <c r="G1269" i="3"/>
  <c r="F1269" i="3"/>
  <c r="E1269" i="3"/>
  <c r="D1269" i="3"/>
  <c r="L1269" i="3" s="1"/>
  <c r="K1268" i="3"/>
  <c r="J1268" i="3"/>
  <c r="H1268" i="3"/>
  <c r="I1268" i="3" s="1"/>
  <c r="G1268" i="3"/>
  <c r="F1268" i="3"/>
  <c r="E1268" i="3"/>
  <c r="D1268" i="3"/>
  <c r="L1268" i="3" s="1"/>
  <c r="H1267" i="3"/>
  <c r="I1267" i="3" s="1"/>
  <c r="G1267" i="3"/>
  <c r="F1267" i="3"/>
  <c r="E1267" i="3"/>
  <c r="D1267" i="3"/>
  <c r="L1267" i="3" s="1"/>
  <c r="H1266" i="3"/>
  <c r="J1266" i="3" s="1"/>
  <c r="G1266" i="3"/>
  <c r="F1266" i="3"/>
  <c r="E1266" i="3"/>
  <c r="D1266" i="3"/>
  <c r="L1266" i="3" s="1"/>
  <c r="H1265" i="3"/>
  <c r="K1265" i="3" s="1"/>
  <c r="G1265" i="3"/>
  <c r="F1265" i="3"/>
  <c r="E1265" i="3"/>
  <c r="D1265" i="3"/>
  <c r="L1265" i="3" s="1"/>
  <c r="J1264" i="3"/>
  <c r="I1264" i="3"/>
  <c r="H1264" i="3"/>
  <c r="K1264" i="3" s="1"/>
  <c r="G1264" i="3"/>
  <c r="F1264" i="3"/>
  <c r="E1264" i="3"/>
  <c r="D1264" i="3"/>
  <c r="L1264" i="3" s="1"/>
  <c r="H1263" i="3"/>
  <c r="I1263" i="3" s="1"/>
  <c r="G1263" i="3"/>
  <c r="F1263" i="3"/>
  <c r="E1263" i="3"/>
  <c r="D1263" i="3"/>
  <c r="L1263" i="3" s="1"/>
  <c r="H1262" i="3"/>
  <c r="J1262" i="3" s="1"/>
  <c r="G1262" i="3"/>
  <c r="F1262" i="3"/>
  <c r="E1262" i="3"/>
  <c r="D1262" i="3"/>
  <c r="L1262" i="3" s="1"/>
  <c r="H1261" i="3"/>
  <c r="K1261" i="3" s="1"/>
  <c r="G1261" i="3"/>
  <c r="F1261" i="3"/>
  <c r="E1261" i="3"/>
  <c r="D1261" i="3"/>
  <c r="L1261" i="3" s="1"/>
  <c r="H1260" i="3"/>
  <c r="K1260" i="3" s="1"/>
  <c r="G1260" i="3"/>
  <c r="F1260" i="3"/>
  <c r="E1260" i="3"/>
  <c r="D1260" i="3"/>
  <c r="L1260" i="3" s="1"/>
  <c r="H1259" i="3"/>
  <c r="I1259" i="3" s="1"/>
  <c r="G1259" i="3"/>
  <c r="F1259" i="3"/>
  <c r="E1259" i="3"/>
  <c r="D1259" i="3"/>
  <c r="L1259" i="3" s="1"/>
  <c r="H1258" i="3"/>
  <c r="J1258" i="3" s="1"/>
  <c r="G1258" i="3"/>
  <c r="F1258" i="3"/>
  <c r="E1258" i="3"/>
  <c r="D1258" i="3"/>
  <c r="L1258" i="3" s="1"/>
  <c r="H1257" i="3"/>
  <c r="K1257" i="3" s="1"/>
  <c r="G1257" i="3"/>
  <c r="F1257" i="3"/>
  <c r="E1257" i="3"/>
  <c r="D1257" i="3"/>
  <c r="L1257" i="3" s="1"/>
  <c r="H1256" i="3"/>
  <c r="K1256" i="3" s="1"/>
  <c r="G1256" i="3"/>
  <c r="F1256" i="3"/>
  <c r="E1256" i="3"/>
  <c r="D1256" i="3"/>
  <c r="L1256" i="3" s="1"/>
  <c r="H1255" i="3"/>
  <c r="I1255" i="3" s="1"/>
  <c r="G1255" i="3"/>
  <c r="F1255" i="3"/>
  <c r="E1255" i="3"/>
  <c r="D1255" i="3"/>
  <c r="L1255" i="3" s="1"/>
  <c r="H1254" i="3"/>
  <c r="J1254" i="3" s="1"/>
  <c r="G1254" i="3"/>
  <c r="F1254" i="3"/>
  <c r="E1254" i="3"/>
  <c r="D1254" i="3"/>
  <c r="L1254" i="3" s="1"/>
  <c r="H1253" i="3"/>
  <c r="K1253" i="3" s="1"/>
  <c r="G1253" i="3"/>
  <c r="F1253" i="3"/>
  <c r="E1253" i="3"/>
  <c r="D1253" i="3"/>
  <c r="L1253" i="3" s="1"/>
  <c r="K1252" i="3"/>
  <c r="J1252" i="3"/>
  <c r="I1252" i="3"/>
  <c r="H1252" i="3"/>
  <c r="G1252" i="3"/>
  <c r="F1252" i="3"/>
  <c r="E1252" i="3"/>
  <c r="D1252" i="3"/>
  <c r="L1252" i="3" s="1"/>
  <c r="H1251" i="3"/>
  <c r="I1251" i="3" s="1"/>
  <c r="G1251" i="3"/>
  <c r="F1251" i="3"/>
  <c r="E1251" i="3"/>
  <c r="D1251" i="3"/>
  <c r="L1251" i="3" s="1"/>
  <c r="H1250" i="3"/>
  <c r="J1250" i="3" s="1"/>
  <c r="G1250" i="3"/>
  <c r="F1250" i="3"/>
  <c r="E1250" i="3"/>
  <c r="D1250" i="3"/>
  <c r="L1250" i="3" s="1"/>
  <c r="H1249" i="3"/>
  <c r="K1249" i="3" s="1"/>
  <c r="G1249" i="3"/>
  <c r="F1249" i="3"/>
  <c r="E1249" i="3"/>
  <c r="D1249" i="3"/>
  <c r="L1249" i="3" s="1"/>
  <c r="I1248" i="3"/>
  <c r="H1248" i="3"/>
  <c r="K1248" i="3" s="1"/>
  <c r="G1248" i="3"/>
  <c r="F1248" i="3"/>
  <c r="E1248" i="3"/>
  <c r="D1248" i="3"/>
  <c r="L1248" i="3" s="1"/>
  <c r="H1247" i="3"/>
  <c r="I1247" i="3" s="1"/>
  <c r="G1247" i="3"/>
  <c r="F1247" i="3"/>
  <c r="E1247" i="3"/>
  <c r="D1247" i="3"/>
  <c r="L1247" i="3" s="1"/>
  <c r="H1246" i="3"/>
  <c r="J1246" i="3" s="1"/>
  <c r="G1246" i="3"/>
  <c r="F1246" i="3"/>
  <c r="E1246" i="3"/>
  <c r="D1246" i="3"/>
  <c r="L1246" i="3" s="1"/>
  <c r="H1245" i="3"/>
  <c r="K1245" i="3" s="1"/>
  <c r="G1245" i="3"/>
  <c r="F1245" i="3"/>
  <c r="E1245" i="3"/>
  <c r="D1245" i="3"/>
  <c r="L1245" i="3" s="1"/>
  <c r="H1244" i="3"/>
  <c r="J1244" i="3" s="1"/>
  <c r="G1244" i="3"/>
  <c r="F1244" i="3"/>
  <c r="E1244" i="3"/>
  <c r="D1244" i="3"/>
  <c r="L1244" i="3" s="1"/>
  <c r="H1243" i="3"/>
  <c r="I1243" i="3" s="1"/>
  <c r="G1243" i="3"/>
  <c r="F1243" i="3"/>
  <c r="E1243" i="3"/>
  <c r="D1243" i="3"/>
  <c r="L1243" i="3" s="1"/>
  <c r="H1242" i="3"/>
  <c r="J1242" i="3" s="1"/>
  <c r="G1242" i="3"/>
  <c r="F1242" i="3"/>
  <c r="E1242" i="3"/>
  <c r="D1242" i="3"/>
  <c r="L1242" i="3" s="1"/>
  <c r="H1241" i="3"/>
  <c r="K1241" i="3" s="1"/>
  <c r="G1241" i="3"/>
  <c r="F1241" i="3"/>
  <c r="E1241" i="3"/>
  <c r="D1241" i="3"/>
  <c r="L1241" i="3" s="1"/>
  <c r="K1240" i="3"/>
  <c r="H1240" i="3"/>
  <c r="I1240" i="3" s="1"/>
  <c r="G1240" i="3"/>
  <c r="F1240" i="3"/>
  <c r="E1240" i="3"/>
  <c r="D1240" i="3"/>
  <c r="L1240" i="3" s="1"/>
  <c r="H1239" i="3"/>
  <c r="I1239" i="3" s="1"/>
  <c r="G1239" i="3"/>
  <c r="F1239" i="3"/>
  <c r="E1239" i="3"/>
  <c r="D1239" i="3"/>
  <c r="L1239" i="3" s="1"/>
  <c r="H1238" i="3"/>
  <c r="J1238" i="3" s="1"/>
  <c r="G1238" i="3"/>
  <c r="F1238" i="3"/>
  <c r="E1238" i="3"/>
  <c r="D1238" i="3"/>
  <c r="L1238" i="3" s="1"/>
  <c r="H1237" i="3"/>
  <c r="K1237" i="3" s="1"/>
  <c r="G1237" i="3"/>
  <c r="F1237" i="3"/>
  <c r="E1237" i="3"/>
  <c r="D1237" i="3"/>
  <c r="L1237" i="3" s="1"/>
  <c r="K1236" i="3"/>
  <c r="J1236" i="3"/>
  <c r="H1236" i="3"/>
  <c r="I1236" i="3" s="1"/>
  <c r="G1236" i="3"/>
  <c r="F1236" i="3"/>
  <c r="E1236" i="3"/>
  <c r="D1236" i="3"/>
  <c r="L1236" i="3" s="1"/>
  <c r="H1235" i="3"/>
  <c r="I1235" i="3" s="1"/>
  <c r="G1235" i="3"/>
  <c r="F1235" i="3"/>
  <c r="E1235" i="3"/>
  <c r="D1235" i="3"/>
  <c r="L1235" i="3" s="1"/>
  <c r="H1234" i="3"/>
  <c r="J1234" i="3" s="1"/>
  <c r="G1234" i="3"/>
  <c r="F1234" i="3"/>
  <c r="E1234" i="3"/>
  <c r="D1234" i="3"/>
  <c r="L1234" i="3" s="1"/>
  <c r="H1233" i="3"/>
  <c r="K1233" i="3" s="1"/>
  <c r="G1233" i="3"/>
  <c r="F1233" i="3"/>
  <c r="E1233" i="3"/>
  <c r="D1233" i="3"/>
  <c r="L1233" i="3" s="1"/>
  <c r="K1232" i="3"/>
  <c r="J1232" i="3"/>
  <c r="I1232" i="3"/>
  <c r="H1232" i="3"/>
  <c r="G1232" i="3"/>
  <c r="F1232" i="3"/>
  <c r="E1232" i="3"/>
  <c r="D1232" i="3"/>
  <c r="L1232" i="3" s="1"/>
  <c r="H1231" i="3"/>
  <c r="I1231" i="3" s="1"/>
  <c r="G1231" i="3"/>
  <c r="F1231" i="3"/>
  <c r="E1231" i="3"/>
  <c r="D1231" i="3"/>
  <c r="L1231" i="3" s="1"/>
  <c r="H1230" i="3"/>
  <c r="J1230" i="3" s="1"/>
  <c r="G1230" i="3"/>
  <c r="F1230" i="3"/>
  <c r="E1230" i="3"/>
  <c r="D1230" i="3"/>
  <c r="L1230" i="3" s="1"/>
  <c r="H1229" i="3"/>
  <c r="K1229" i="3" s="1"/>
  <c r="G1229" i="3"/>
  <c r="F1229" i="3"/>
  <c r="E1229" i="3"/>
  <c r="D1229" i="3"/>
  <c r="L1229" i="3" s="1"/>
  <c r="K1228" i="3"/>
  <c r="I1228" i="3"/>
  <c r="H1228" i="3"/>
  <c r="J1228" i="3" s="1"/>
  <c r="G1228" i="3"/>
  <c r="F1228" i="3"/>
  <c r="E1228" i="3"/>
  <c r="D1228" i="3"/>
  <c r="L1228" i="3" s="1"/>
  <c r="J1227" i="3"/>
  <c r="H1227" i="3"/>
  <c r="K1227" i="3" s="1"/>
  <c r="G1227" i="3"/>
  <c r="F1227" i="3"/>
  <c r="E1227" i="3"/>
  <c r="D1227" i="3"/>
  <c r="L1227" i="3" s="1"/>
  <c r="J1226" i="3"/>
  <c r="I1226" i="3"/>
  <c r="H1226" i="3"/>
  <c r="K1226" i="3" s="1"/>
  <c r="G1226" i="3"/>
  <c r="F1226" i="3"/>
  <c r="E1226" i="3"/>
  <c r="D1226" i="3"/>
  <c r="L1226" i="3" s="1"/>
  <c r="J1225" i="3"/>
  <c r="H1225" i="3"/>
  <c r="I1225" i="3" s="1"/>
  <c r="G1225" i="3"/>
  <c r="F1225" i="3"/>
  <c r="E1225" i="3"/>
  <c r="D1225" i="3"/>
  <c r="L1225" i="3" s="1"/>
  <c r="I1224" i="3"/>
  <c r="H1224" i="3"/>
  <c r="J1224" i="3" s="1"/>
  <c r="G1224" i="3"/>
  <c r="F1224" i="3"/>
  <c r="E1224" i="3"/>
  <c r="D1224" i="3"/>
  <c r="L1224" i="3" s="1"/>
  <c r="H1223" i="3"/>
  <c r="I1223" i="3" s="1"/>
  <c r="G1223" i="3"/>
  <c r="F1223" i="3"/>
  <c r="E1223" i="3"/>
  <c r="D1223" i="3"/>
  <c r="L1223" i="3" s="1"/>
  <c r="K1222" i="3"/>
  <c r="I1222" i="3"/>
  <c r="H1222" i="3"/>
  <c r="J1222" i="3" s="1"/>
  <c r="G1222" i="3"/>
  <c r="F1222" i="3"/>
  <c r="E1222" i="3"/>
  <c r="D1222" i="3"/>
  <c r="L1222" i="3" s="1"/>
  <c r="H1221" i="3"/>
  <c r="K1221" i="3" s="1"/>
  <c r="G1221" i="3"/>
  <c r="F1221" i="3"/>
  <c r="E1221" i="3"/>
  <c r="D1221" i="3"/>
  <c r="L1221" i="3" s="1"/>
  <c r="I1220" i="3"/>
  <c r="H1220" i="3"/>
  <c r="J1220" i="3" s="1"/>
  <c r="G1220" i="3"/>
  <c r="F1220" i="3"/>
  <c r="E1220" i="3"/>
  <c r="D1220" i="3"/>
  <c r="L1220" i="3" s="1"/>
  <c r="J1219" i="3"/>
  <c r="H1219" i="3"/>
  <c r="K1219" i="3" s="1"/>
  <c r="G1219" i="3"/>
  <c r="F1219" i="3"/>
  <c r="E1219" i="3"/>
  <c r="D1219" i="3"/>
  <c r="L1219" i="3" s="1"/>
  <c r="K1218" i="3"/>
  <c r="J1218" i="3"/>
  <c r="I1218" i="3"/>
  <c r="H1218" i="3"/>
  <c r="G1218" i="3"/>
  <c r="F1218" i="3"/>
  <c r="E1218" i="3"/>
  <c r="D1218" i="3"/>
  <c r="L1218" i="3" s="1"/>
  <c r="K1217" i="3"/>
  <c r="J1217" i="3"/>
  <c r="H1217" i="3"/>
  <c r="I1217" i="3" s="1"/>
  <c r="G1217" i="3"/>
  <c r="F1217" i="3"/>
  <c r="E1217" i="3"/>
  <c r="D1217" i="3"/>
  <c r="L1217" i="3" s="1"/>
  <c r="K1216" i="3"/>
  <c r="J1216" i="3"/>
  <c r="I1216" i="3"/>
  <c r="H1216" i="3"/>
  <c r="G1216" i="3"/>
  <c r="F1216" i="3"/>
  <c r="E1216" i="3"/>
  <c r="D1216" i="3"/>
  <c r="L1216" i="3" s="1"/>
  <c r="H1215" i="3"/>
  <c r="I1215" i="3" s="1"/>
  <c r="G1215" i="3"/>
  <c r="F1215" i="3"/>
  <c r="E1215" i="3"/>
  <c r="D1215" i="3"/>
  <c r="L1215" i="3" s="1"/>
  <c r="K1214" i="3"/>
  <c r="I1214" i="3"/>
  <c r="H1214" i="3"/>
  <c r="J1214" i="3" s="1"/>
  <c r="G1214" i="3"/>
  <c r="F1214" i="3"/>
  <c r="E1214" i="3"/>
  <c r="D1214" i="3"/>
  <c r="L1214" i="3" s="1"/>
  <c r="H1213" i="3"/>
  <c r="K1213" i="3" s="1"/>
  <c r="G1213" i="3"/>
  <c r="F1213" i="3"/>
  <c r="E1213" i="3"/>
  <c r="D1213" i="3"/>
  <c r="L1213" i="3" s="1"/>
  <c r="K1212" i="3"/>
  <c r="I1212" i="3"/>
  <c r="H1212" i="3"/>
  <c r="J1212" i="3" s="1"/>
  <c r="G1212" i="3"/>
  <c r="F1212" i="3"/>
  <c r="E1212" i="3"/>
  <c r="D1212" i="3"/>
  <c r="L1212" i="3" s="1"/>
  <c r="H1211" i="3"/>
  <c r="K1211" i="3" s="1"/>
  <c r="G1211" i="3"/>
  <c r="F1211" i="3"/>
  <c r="E1211" i="3"/>
  <c r="D1211" i="3"/>
  <c r="L1211" i="3" s="1"/>
  <c r="H1210" i="3"/>
  <c r="K1210" i="3" s="1"/>
  <c r="G1210" i="3"/>
  <c r="F1210" i="3"/>
  <c r="E1210" i="3"/>
  <c r="D1210" i="3"/>
  <c r="L1210" i="3" s="1"/>
  <c r="K1209" i="3"/>
  <c r="J1209" i="3"/>
  <c r="H1209" i="3"/>
  <c r="I1209" i="3" s="1"/>
  <c r="G1209" i="3"/>
  <c r="F1209" i="3"/>
  <c r="E1209" i="3"/>
  <c r="D1209" i="3"/>
  <c r="L1209" i="3" s="1"/>
  <c r="K1208" i="3"/>
  <c r="I1208" i="3"/>
  <c r="H1208" i="3"/>
  <c r="J1208" i="3" s="1"/>
  <c r="G1208" i="3"/>
  <c r="F1208" i="3"/>
  <c r="E1208" i="3"/>
  <c r="D1208" i="3"/>
  <c r="L1208" i="3" s="1"/>
  <c r="H1207" i="3"/>
  <c r="I1207" i="3" s="1"/>
  <c r="G1207" i="3"/>
  <c r="F1207" i="3"/>
  <c r="E1207" i="3"/>
  <c r="D1207" i="3"/>
  <c r="L1207" i="3" s="1"/>
  <c r="H1206" i="3"/>
  <c r="J1206" i="3" s="1"/>
  <c r="G1206" i="3"/>
  <c r="F1206" i="3"/>
  <c r="E1206" i="3"/>
  <c r="D1206" i="3"/>
  <c r="L1206" i="3" s="1"/>
  <c r="H1205" i="3"/>
  <c r="K1205" i="3" s="1"/>
  <c r="G1205" i="3"/>
  <c r="F1205" i="3"/>
  <c r="E1205" i="3"/>
  <c r="D1205" i="3"/>
  <c r="L1205" i="3" s="1"/>
  <c r="I1204" i="3"/>
  <c r="H1204" i="3"/>
  <c r="J1204" i="3" s="1"/>
  <c r="G1204" i="3"/>
  <c r="F1204" i="3"/>
  <c r="E1204" i="3"/>
  <c r="D1204" i="3"/>
  <c r="L1204" i="3" s="1"/>
  <c r="J1203" i="3"/>
  <c r="H1203" i="3"/>
  <c r="K1203" i="3" s="1"/>
  <c r="G1203" i="3"/>
  <c r="F1203" i="3"/>
  <c r="E1203" i="3"/>
  <c r="D1203" i="3"/>
  <c r="L1203" i="3" s="1"/>
  <c r="I1202" i="3"/>
  <c r="H1202" i="3"/>
  <c r="J1202" i="3" s="1"/>
  <c r="G1202" i="3"/>
  <c r="F1202" i="3"/>
  <c r="E1202" i="3"/>
  <c r="D1202" i="3"/>
  <c r="L1202" i="3" s="1"/>
  <c r="H1201" i="3"/>
  <c r="I1201" i="3" s="1"/>
  <c r="G1201" i="3"/>
  <c r="F1201" i="3"/>
  <c r="E1201" i="3"/>
  <c r="D1201" i="3"/>
  <c r="L1201" i="3" s="1"/>
  <c r="H1200" i="3"/>
  <c r="I1200" i="3" s="1"/>
  <c r="G1200" i="3"/>
  <c r="F1200" i="3"/>
  <c r="E1200" i="3"/>
  <c r="D1200" i="3"/>
  <c r="L1200" i="3" s="1"/>
  <c r="H1199" i="3"/>
  <c r="I1199" i="3" s="1"/>
  <c r="G1199" i="3"/>
  <c r="F1199" i="3"/>
  <c r="E1199" i="3"/>
  <c r="D1199" i="3"/>
  <c r="L1199" i="3" s="1"/>
  <c r="H1198" i="3"/>
  <c r="J1198" i="3" s="1"/>
  <c r="G1198" i="3"/>
  <c r="F1198" i="3"/>
  <c r="E1198" i="3"/>
  <c r="D1198" i="3"/>
  <c r="L1198" i="3" s="1"/>
  <c r="H1197" i="3"/>
  <c r="K1197" i="3" s="1"/>
  <c r="G1197" i="3"/>
  <c r="F1197" i="3"/>
  <c r="E1197" i="3"/>
  <c r="D1197" i="3"/>
  <c r="L1197" i="3" s="1"/>
  <c r="H1196" i="3"/>
  <c r="J1196" i="3" s="1"/>
  <c r="G1196" i="3"/>
  <c r="F1196" i="3"/>
  <c r="E1196" i="3"/>
  <c r="D1196" i="3"/>
  <c r="L1196" i="3" s="1"/>
  <c r="H1195" i="3"/>
  <c r="K1195" i="3" s="1"/>
  <c r="G1195" i="3"/>
  <c r="F1195" i="3"/>
  <c r="E1195" i="3"/>
  <c r="D1195" i="3"/>
  <c r="L1195" i="3" s="1"/>
  <c r="J1194" i="3"/>
  <c r="H1194" i="3"/>
  <c r="K1194" i="3" s="1"/>
  <c r="G1194" i="3"/>
  <c r="F1194" i="3"/>
  <c r="E1194" i="3"/>
  <c r="D1194" i="3"/>
  <c r="L1194" i="3" s="1"/>
  <c r="K1193" i="3"/>
  <c r="J1193" i="3"/>
  <c r="H1193" i="3"/>
  <c r="I1193" i="3" s="1"/>
  <c r="G1193" i="3"/>
  <c r="F1193" i="3"/>
  <c r="E1193" i="3"/>
  <c r="D1193" i="3"/>
  <c r="L1193" i="3" s="1"/>
  <c r="K1192" i="3"/>
  <c r="I1192" i="3"/>
  <c r="H1192" i="3"/>
  <c r="J1192" i="3" s="1"/>
  <c r="G1192" i="3"/>
  <c r="F1192" i="3"/>
  <c r="E1192" i="3"/>
  <c r="D1192" i="3"/>
  <c r="L1192" i="3" s="1"/>
  <c r="H1191" i="3"/>
  <c r="I1191" i="3" s="1"/>
  <c r="G1191" i="3"/>
  <c r="F1191" i="3"/>
  <c r="E1191" i="3"/>
  <c r="D1191" i="3"/>
  <c r="L1191" i="3" s="1"/>
  <c r="I1190" i="3"/>
  <c r="H1190" i="3"/>
  <c r="J1190" i="3" s="1"/>
  <c r="G1190" i="3"/>
  <c r="F1190" i="3"/>
  <c r="E1190" i="3"/>
  <c r="D1190" i="3"/>
  <c r="L1190" i="3" s="1"/>
  <c r="H1189" i="3"/>
  <c r="K1189" i="3" s="1"/>
  <c r="G1189" i="3"/>
  <c r="F1189" i="3"/>
  <c r="E1189" i="3"/>
  <c r="D1189" i="3"/>
  <c r="L1189" i="3" s="1"/>
  <c r="H1188" i="3"/>
  <c r="J1188" i="3" s="1"/>
  <c r="G1188" i="3"/>
  <c r="F1188" i="3"/>
  <c r="E1188" i="3"/>
  <c r="D1188" i="3"/>
  <c r="L1188" i="3" s="1"/>
  <c r="J1187" i="3"/>
  <c r="H1187" i="3"/>
  <c r="K1187" i="3" s="1"/>
  <c r="G1187" i="3"/>
  <c r="F1187" i="3"/>
  <c r="E1187" i="3"/>
  <c r="D1187" i="3"/>
  <c r="L1187" i="3" s="1"/>
  <c r="K1186" i="3"/>
  <c r="J1186" i="3"/>
  <c r="I1186" i="3"/>
  <c r="H1186" i="3"/>
  <c r="G1186" i="3"/>
  <c r="F1186" i="3"/>
  <c r="E1186" i="3"/>
  <c r="D1186" i="3"/>
  <c r="L1186" i="3" s="1"/>
  <c r="H1185" i="3"/>
  <c r="I1185" i="3" s="1"/>
  <c r="G1185" i="3"/>
  <c r="F1185" i="3"/>
  <c r="E1185" i="3"/>
  <c r="D1185" i="3"/>
  <c r="L1185" i="3" s="1"/>
  <c r="H1184" i="3"/>
  <c r="K1184" i="3" s="1"/>
  <c r="G1184" i="3"/>
  <c r="F1184" i="3"/>
  <c r="E1184" i="3"/>
  <c r="D1184" i="3"/>
  <c r="L1184" i="3" s="1"/>
  <c r="H1183" i="3"/>
  <c r="I1183" i="3" s="1"/>
  <c r="G1183" i="3"/>
  <c r="F1183" i="3"/>
  <c r="E1183" i="3"/>
  <c r="D1183" i="3"/>
  <c r="L1183" i="3" s="1"/>
  <c r="K1182" i="3"/>
  <c r="I1182" i="3"/>
  <c r="H1182" i="3"/>
  <c r="J1182" i="3" s="1"/>
  <c r="G1182" i="3"/>
  <c r="F1182" i="3"/>
  <c r="E1182" i="3"/>
  <c r="D1182" i="3"/>
  <c r="L1182" i="3" s="1"/>
  <c r="H1181" i="3"/>
  <c r="K1181" i="3" s="1"/>
  <c r="G1181" i="3"/>
  <c r="F1181" i="3"/>
  <c r="E1181" i="3"/>
  <c r="D1181" i="3"/>
  <c r="L1181" i="3" s="1"/>
  <c r="H1180" i="3"/>
  <c r="J1180" i="3" s="1"/>
  <c r="G1180" i="3"/>
  <c r="F1180" i="3"/>
  <c r="E1180" i="3"/>
  <c r="D1180" i="3"/>
  <c r="L1180" i="3" s="1"/>
  <c r="H1179" i="3"/>
  <c r="K1179" i="3" s="1"/>
  <c r="G1179" i="3"/>
  <c r="F1179" i="3"/>
  <c r="E1179" i="3"/>
  <c r="D1179" i="3"/>
  <c r="L1179" i="3" s="1"/>
  <c r="K1178" i="3"/>
  <c r="H1178" i="3"/>
  <c r="I1178" i="3" s="1"/>
  <c r="G1178" i="3"/>
  <c r="F1178" i="3"/>
  <c r="E1178" i="3"/>
  <c r="D1178" i="3"/>
  <c r="L1178" i="3" s="1"/>
  <c r="K1177" i="3"/>
  <c r="H1177" i="3"/>
  <c r="I1177" i="3" s="1"/>
  <c r="G1177" i="3"/>
  <c r="F1177" i="3"/>
  <c r="E1177" i="3"/>
  <c r="D1177" i="3"/>
  <c r="L1177" i="3" s="1"/>
  <c r="J1176" i="3"/>
  <c r="H1176" i="3"/>
  <c r="K1176" i="3" s="1"/>
  <c r="G1176" i="3"/>
  <c r="F1176" i="3"/>
  <c r="E1176" i="3"/>
  <c r="D1176" i="3"/>
  <c r="L1176" i="3" s="1"/>
  <c r="H1175" i="3"/>
  <c r="I1175" i="3" s="1"/>
  <c r="G1175" i="3"/>
  <c r="F1175" i="3"/>
  <c r="E1175" i="3"/>
  <c r="D1175" i="3"/>
  <c r="L1175" i="3" s="1"/>
  <c r="K1174" i="3"/>
  <c r="I1174" i="3"/>
  <c r="H1174" i="3"/>
  <c r="J1174" i="3" s="1"/>
  <c r="G1174" i="3"/>
  <c r="F1174" i="3"/>
  <c r="E1174" i="3"/>
  <c r="D1174" i="3"/>
  <c r="L1174" i="3" s="1"/>
  <c r="H1173" i="3"/>
  <c r="K1173" i="3" s="1"/>
  <c r="G1173" i="3"/>
  <c r="F1173" i="3"/>
  <c r="E1173" i="3"/>
  <c r="D1173" i="3"/>
  <c r="L1173" i="3" s="1"/>
  <c r="K1172" i="3"/>
  <c r="H1172" i="3"/>
  <c r="J1172" i="3" s="1"/>
  <c r="G1172" i="3"/>
  <c r="F1172" i="3"/>
  <c r="E1172" i="3"/>
  <c r="D1172" i="3"/>
  <c r="L1172" i="3" s="1"/>
  <c r="H1171" i="3"/>
  <c r="K1171" i="3" s="1"/>
  <c r="G1171" i="3"/>
  <c r="F1171" i="3"/>
  <c r="E1171" i="3"/>
  <c r="D1171" i="3"/>
  <c r="L1171" i="3" s="1"/>
  <c r="H1170" i="3"/>
  <c r="K1170" i="3" s="1"/>
  <c r="G1170" i="3"/>
  <c r="F1170" i="3"/>
  <c r="E1170" i="3"/>
  <c r="D1170" i="3"/>
  <c r="L1170" i="3" s="1"/>
  <c r="K1169" i="3"/>
  <c r="H1169" i="3"/>
  <c r="I1169" i="3" s="1"/>
  <c r="G1169" i="3"/>
  <c r="F1169" i="3"/>
  <c r="E1169" i="3"/>
  <c r="D1169" i="3"/>
  <c r="L1169" i="3" s="1"/>
  <c r="K1168" i="3"/>
  <c r="J1168" i="3"/>
  <c r="H1168" i="3"/>
  <c r="I1168" i="3" s="1"/>
  <c r="G1168" i="3"/>
  <c r="F1168" i="3"/>
  <c r="E1168" i="3"/>
  <c r="D1168" i="3"/>
  <c r="L1168" i="3" s="1"/>
  <c r="H1167" i="3"/>
  <c r="I1167" i="3" s="1"/>
  <c r="G1167" i="3"/>
  <c r="F1167" i="3"/>
  <c r="E1167" i="3"/>
  <c r="D1167" i="3"/>
  <c r="L1167" i="3" s="1"/>
  <c r="H1166" i="3"/>
  <c r="J1166" i="3" s="1"/>
  <c r="G1166" i="3"/>
  <c r="F1166" i="3"/>
  <c r="E1166" i="3"/>
  <c r="D1166" i="3"/>
  <c r="L1166" i="3" s="1"/>
  <c r="H1165" i="3"/>
  <c r="K1165" i="3" s="1"/>
  <c r="G1165" i="3"/>
  <c r="F1165" i="3"/>
  <c r="E1165" i="3"/>
  <c r="D1165" i="3"/>
  <c r="L1165" i="3" s="1"/>
  <c r="H1164" i="3"/>
  <c r="J1164" i="3" s="1"/>
  <c r="G1164" i="3"/>
  <c r="F1164" i="3"/>
  <c r="E1164" i="3"/>
  <c r="D1164" i="3"/>
  <c r="L1164" i="3" s="1"/>
  <c r="J1163" i="3"/>
  <c r="H1163" i="3"/>
  <c r="K1163" i="3" s="1"/>
  <c r="G1163" i="3"/>
  <c r="F1163" i="3"/>
  <c r="E1163" i="3"/>
  <c r="D1163" i="3"/>
  <c r="L1163" i="3" s="1"/>
  <c r="I1162" i="3"/>
  <c r="H1162" i="3"/>
  <c r="K1162" i="3" s="1"/>
  <c r="G1162" i="3"/>
  <c r="F1162" i="3"/>
  <c r="E1162" i="3"/>
  <c r="D1162" i="3"/>
  <c r="L1162" i="3" s="1"/>
  <c r="H1161" i="3"/>
  <c r="I1161" i="3" s="1"/>
  <c r="G1161" i="3"/>
  <c r="F1161" i="3"/>
  <c r="E1161" i="3"/>
  <c r="D1161" i="3"/>
  <c r="L1161" i="3" s="1"/>
  <c r="H1160" i="3"/>
  <c r="J1160" i="3" s="1"/>
  <c r="G1160" i="3"/>
  <c r="F1160" i="3"/>
  <c r="E1160" i="3"/>
  <c r="D1160" i="3"/>
  <c r="L1160" i="3" s="1"/>
  <c r="H1159" i="3"/>
  <c r="I1159" i="3" s="1"/>
  <c r="G1159" i="3"/>
  <c r="F1159" i="3"/>
  <c r="E1159" i="3"/>
  <c r="D1159" i="3"/>
  <c r="L1159" i="3" s="1"/>
  <c r="I1158" i="3"/>
  <c r="H1158" i="3"/>
  <c r="J1158" i="3" s="1"/>
  <c r="G1158" i="3"/>
  <c r="F1158" i="3"/>
  <c r="E1158" i="3"/>
  <c r="D1158" i="3"/>
  <c r="L1158" i="3" s="1"/>
  <c r="H1157" i="3"/>
  <c r="K1157" i="3" s="1"/>
  <c r="G1157" i="3"/>
  <c r="F1157" i="3"/>
  <c r="E1157" i="3"/>
  <c r="D1157" i="3"/>
  <c r="L1157" i="3" s="1"/>
  <c r="H1156" i="3"/>
  <c r="J1156" i="3" s="1"/>
  <c r="G1156" i="3"/>
  <c r="F1156" i="3"/>
  <c r="E1156" i="3"/>
  <c r="D1156" i="3"/>
  <c r="L1156" i="3" s="1"/>
  <c r="H1155" i="3"/>
  <c r="K1155" i="3" s="1"/>
  <c r="G1155" i="3"/>
  <c r="F1155" i="3"/>
  <c r="E1155" i="3"/>
  <c r="D1155" i="3"/>
  <c r="L1155" i="3" s="1"/>
  <c r="K1154" i="3"/>
  <c r="J1154" i="3"/>
  <c r="I1154" i="3"/>
  <c r="H1154" i="3"/>
  <c r="G1154" i="3"/>
  <c r="F1154" i="3"/>
  <c r="E1154" i="3"/>
  <c r="D1154" i="3"/>
  <c r="L1154" i="3" s="1"/>
  <c r="K1153" i="3"/>
  <c r="H1153" i="3"/>
  <c r="I1153" i="3" s="1"/>
  <c r="G1153" i="3"/>
  <c r="F1153" i="3"/>
  <c r="E1153" i="3"/>
  <c r="D1153" i="3"/>
  <c r="L1153" i="3" s="1"/>
  <c r="J1152" i="3"/>
  <c r="H1152" i="3"/>
  <c r="K1152" i="3" s="1"/>
  <c r="G1152" i="3"/>
  <c r="F1152" i="3"/>
  <c r="E1152" i="3"/>
  <c r="D1152" i="3"/>
  <c r="L1152" i="3" s="1"/>
  <c r="H1151" i="3"/>
  <c r="I1151" i="3" s="1"/>
  <c r="G1151" i="3"/>
  <c r="F1151" i="3"/>
  <c r="E1151" i="3"/>
  <c r="D1151" i="3"/>
  <c r="L1151" i="3" s="1"/>
  <c r="I1150" i="3"/>
  <c r="H1150" i="3"/>
  <c r="J1150" i="3" s="1"/>
  <c r="G1150" i="3"/>
  <c r="F1150" i="3"/>
  <c r="E1150" i="3"/>
  <c r="D1150" i="3"/>
  <c r="L1150" i="3" s="1"/>
  <c r="H1149" i="3"/>
  <c r="K1149" i="3" s="1"/>
  <c r="G1149" i="3"/>
  <c r="F1149" i="3"/>
  <c r="E1149" i="3"/>
  <c r="D1149" i="3"/>
  <c r="L1149" i="3" s="1"/>
  <c r="H1148" i="3"/>
  <c r="J1148" i="3" s="1"/>
  <c r="G1148" i="3"/>
  <c r="F1148" i="3"/>
  <c r="E1148" i="3"/>
  <c r="D1148" i="3"/>
  <c r="L1148" i="3" s="1"/>
  <c r="H1147" i="3"/>
  <c r="K1147" i="3" s="1"/>
  <c r="G1147" i="3"/>
  <c r="F1147" i="3"/>
  <c r="E1147" i="3"/>
  <c r="D1147" i="3"/>
  <c r="L1147" i="3" s="1"/>
  <c r="H1146" i="3"/>
  <c r="K1146" i="3" s="1"/>
  <c r="G1146" i="3"/>
  <c r="F1146" i="3"/>
  <c r="E1146" i="3"/>
  <c r="D1146" i="3"/>
  <c r="L1146" i="3" s="1"/>
  <c r="J1145" i="3"/>
  <c r="H1145" i="3"/>
  <c r="I1145" i="3" s="1"/>
  <c r="G1145" i="3"/>
  <c r="F1145" i="3"/>
  <c r="E1145" i="3"/>
  <c r="D1145" i="3"/>
  <c r="L1145" i="3" s="1"/>
  <c r="I1144" i="3"/>
  <c r="H1144" i="3"/>
  <c r="K1144" i="3" s="1"/>
  <c r="G1144" i="3"/>
  <c r="F1144" i="3"/>
  <c r="E1144" i="3"/>
  <c r="D1144" i="3"/>
  <c r="L1144" i="3" s="1"/>
  <c r="H1143" i="3"/>
  <c r="I1143" i="3" s="1"/>
  <c r="G1143" i="3"/>
  <c r="F1143" i="3"/>
  <c r="E1143" i="3"/>
  <c r="D1143" i="3"/>
  <c r="L1143" i="3" s="1"/>
  <c r="H1142" i="3"/>
  <c r="J1142" i="3" s="1"/>
  <c r="G1142" i="3"/>
  <c r="F1142" i="3"/>
  <c r="E1142" i="3"/>
  <c r="D1142" i="3"/>
  <c r="L1142" i="3" s="1"/>
  <c r="H1141" i="3"/>
  <c r="K1141" i="3" s="1"/>
  <c r="G1141" i="3"/>
  <c r="F1141" i="3"/>
  <c r="E1141" i="3"/>
  <c r="D1141" i="3"/>
  <c r="L1141" i="3" s="1"/>
  <c r="I1140" i="3"/>
  <c r="H1140" i="3"/>
  <c r="J1140" i="3" s="1"/>
  <c r="G1140" i="3"/>
  <c r="F1140" i="3"/>
  <c r="E1140" i="3"/>
  <c r="D1140" i="3"/>
  <c r="L1140" i="3" s="1"/>
  <c r="J1139" i="3"/>
  <c r="H1139" i="3"/>
  <c r="K1139" i="3" s="1"/>
  <c r="G1139" i="3"/>
  <c r="F1139" i="3"/>
  <c r="E1139" i="3"/>
  <c r="D1139" i="3"/>
  <c r="L1139" i="3" s="1"/>
  <c r="K1138" i="3"/>
  <c r="J1138" i="3"/>
  <c r="I1138" i="3"/>
  <c r="H1138" i="3"/>
  <c r="G1138" i="3"/>
  <c r="F1138" i="3"/>
  <c r="E1138" i="3"/>
  <c r="D1138" i="3"/>
  <c r="L1138" i="3" s="1"/>
  <c r="H1137" i="3"/>
  <c r="I1137" i="3" s="1"/>
  <c r="G1137" i="3"/>
  <c r="F1137" i="3"/>
  <c r="E1137" i="3"/>
  <c r="D1137" i="3"/>
  <c r="L1137" i="3" s="1"/>
  <c r="H1136" i="3"/>
  <c r="I1136" i="3" s="1"/>
  <c r="G1136" i="3"/>
  <c r="F1136" i="3"/>
  <c r="E1136" i="3"/>
  <c r="D1136" i="3"/>
  <c r="L1136" i="3" s="1"/>
  <c r="H1135" i="3"/>
  <c r="I1135" i="3" s="1"/>
  <c r="G1135" i="3"/>
  <c r="F1135" i="3"/>
  <c r="E1135" i="3"/>
  <c r="D1135" i="3"/>
  <c r="L1135" i="3" s="1"/>
  <c r="H1134" i="3"/>
  <c r="J1134" i="3" s="1"/>
  <c r="G1134" i="3"/>
  <c r="F1134" i="3"/>
  <c r="E1134" i="3"/>
  <c r="D1134" i="3"/>
  <c r="L1134" i="3" s="1"/>
  <c r="H1133" i="3"/>
  <c r="K1133" i="3" s="1"/>
  <c r="G1133" i="3"/>
  <c r="F1133" i="3"/>
  <c r="E1133" i="3"/>
  <c r="D1133" i="3"/>
  <c r="L1133" i="3" s="1"/>
  <c r="H1132" i="3"/>
  <c r="J1132" i="3" s="1"/>
  <c r="G1132" i="3"/>
  <c r="F1132" i="3"/>
  <c r="E1132" i="3"/>
  <c r="D1132" i="3"/>
  <c r="L1132" i="3" s="1"/>
  <c r="J1131" i="3"/>
  <c r="H1131" i="3"/>
  <c r="K1131" i="3" s="1"/>
  <c r="G1131" i="3"/>
  <c r="F1131" i="3"/>
  <c r="E1131" i="3"/>
  <c r="D1131" i="3"/>
  <c r="L1131" i="3" s="1"/>
  <c r="K1130" i="3"/>
  <c r="J1130" i="3"/>
  <c r="I1130" i="3"/>
  <c r="H1130" i="3"/>
  <c r="G1130" i="3"/>
  <c r="F1130" i="3"/>
  <c r="E1130" i="3"/>
  <c r="D1130" i="3"/>
  <c r="L1130" i="3" s="1"/>
  <c r="J1129" i="3"/>
  <c r="H1129" i="3"/>
  <c r="I1129" i="3" s="1"/>
  <c r="G1129" i="3"/>
  <c r="F1129" i="3"/>
  <c r="E1129" i="3"/>
  <c r="D1129" i="3"/>
  <c r="L1129" i="3" s="1"/>
  <c r="I1128" i="3"/>
  <c r="H1128" i="3"/>
  <c r="K1128" i="3" s="1"/>
  <c r="G1128" i="3"/>
  <c r="F1128" i="3"/>
  <c r="E1128" i="3"/>
  <c r="D1128" i="3"/>
  <c r="L1128" i="3" s="1"/>
  <c r="H1127" i="3"/>
  <c r="I1127" i="3" s="1"/>
  <c r="G1127" i="3"/>
  <c r="F1127" i="3"/>
  <c r="E1127" i="3"/>
  <c r="D1127" i="3"/>
  <c r="L1127" i="3" s="1"/>
  <c r="H1126" i="3"/>
  <c r="J1126" i="3" s="1"/>
  <c r="G1126" i="3"/>
  <c r="F1126" i="3"/>
  <c r="E1126" i="3"/>
  <c r="D1126" i="3"/>
  <c r="L1126" i="3" s="1"/>
  <c r="H1125" i="3"/>
  <c r="K1125" i="3" s="1"/>
  <c r="G1125" i="3"/>
  <c r="F1125" i="3"/>
  <c r="E1125" i="3"/>
  <c r="D1125" i="3"/>
  <c r="L1125" i="3" s="1"/>
  <c r="H1124" i="3"/>
  <c r="J1124" i="3" s="1"/>
  <c r="G1124" i="3"/>
  <c r="F1124" i="3"/>
  <c r="E1124" i="3"/>
  <c r="D1124" i="3"/>
  <c r="L1124" i="3" s="1"/>
  <c r="H1123" i="3"/>
  <c r="K1123" i="3" s="1"/>
  <c r="G1123" i="3"/>
  <c r="F1123" i="3"/>
  <c r="E1123" i="3"/>
  <c r="D1123" i="3"/>
  <c r="L1123" i="3" s="1"/>
  <c r="J1122" i="3"/>
  <c r="H1122" i="3"/>
  <c r="K1122" i="3" s="1"/>
  <c r="G1122" i="3"/>
  <c r="F1122" i="3"/>
  <c r="E1122" i="3"/>
  <c r="D1122" i="3"/>
  <c r="L1122" i="3" s="1"/>
  <c r="J1121" i="3"/>
  <c r="H1121" i="3"/>
  <c r="I1121" i="3" s="1"/>
  <c r="G1121" i="3"/>
  <c r="F1121" i="3"/>
  <c r="E1121" i="3"/>
  <c r="D1121" i="3"/>
  <c r="L1121" i="3" s="1"/>
  <c r="I1120" i="3"/>
  <c r="H1120" i="3"/>
  <c r="K1120" i="3" s="1"/>
  <c r="G1120" i="3"/>
  <c r="F1120" i="3"/>
  <c r="E1120" i="3"/>
  <c r="D1120" i="3"/>
  <c r="L1120" i="3" s="1"/>
  <c r="H1119" i="3"/>
  <c r="I1119" i="3" s="1"/>
  <c r="G1119" i="3"/>
  <c r="F1119" i="3"/>
  <c r="E1119" i="3"/>
  <c r="D1119" i="3"/>
  <c r="L1119" i="3" s="1"/>
  <c r="K1118" i="3"/>
  <c r="I1118" i="3"/>
  <c r="H1118" i="3"/>
  <c r="J1118" i="3" s="1"/>
  <c r="G1118" i="3"/>
  <c r="F1118" i="3"/>
  <c r="E1118" i="3"/>
  <c r="D1118" i="3"/>
  <c r="L1118" i="3" s="1"/>
  <c r="H1117" i="3"/>
  <c r="K1117" i="3" s="1"/>
  <c r="G1117" i="3"/>
  <c r="F1117" i="3"/>
  <c r="E1117" i="3"/>
  <c r="D1117" i="3"/>
  <c r="L1117" i="3" s="1"/>
  <c r="I1116" i="3"/>
  <c r="H1116" i="3"/>
  <c r="J1116" i="3" s="1"/>
  <c r="G1116" i="3"/>
  <c r="F1116" i="3"/>
  <c r="E1116" i="3"/>
  <c r="D1116" i="3"/>
  <c r="L1116" i="3" s="1"/>
  <c r="H1115" i="3"/>
  <c r="K1115" i="3" s="1"/>
  <c r="G1115" i="3"/>
  <c r="F1115" i="3"/>
  <c r="E1115" i="3"/>
  <c r="D1115" i="3"/>
  <c r="L1115" i="3" s="1"/>
  <c r="H1114" i="3"/>
  <c r="I1114" i="3" s="1"/>
  <c r="G1114" i="3"/>
  <c r="F1114" i="3"/>
  <c r="E1114" i="3"/>
  <c r="D1114" i="3"/>
  <c r="L1114" i="3" s="1"/>
  <c r="K1113" i="3"/>
  <c r="J1113" i="3"/>
  <c r="H1113" i="3"/>
  <c r="I1113" i="3" s="1"/>
  <c r="G1113" i="3"/>
  <c r="F1113" i="3"/>
  <c r="E1113" i="3"/>
  <c r="D1113" i="3"/>
  <c r="L1113" i="3" s="1"/>
  <c r="K1112" i="3"/>
  <c r="J1112" i="3"/>
  <c r="I1112" i="3"/>
  <c r="H1112" i="3"/>
  <c r="G1112" i="3"/>
  <c r="F1112" i="3"/>
  <c r="E1112" i="3"/>
  <c r="D1112" i="3"/>
  <c r="L1112" i="3" s="1"/>
  <c r="H1111" i="3"/>
  <c r="I1111" i="3" s="1"/>
  <c r="G1111" i="3"/>
  <c r="F1111" i="3"/>
  <c r="E1111" i="3"/>
  <c r="D1111" i="3"/>
  <c r="L1111" i="3" s="1"/>
  <c r="I1110" i="3"/>
  <c r="H1110" i="3"/>
  <c r="J1110" i="3" s="1"/>
  <c r="G1110" i="3"/>
  <c r="F1110" i="3"/>
  <c r="E1110" i="3"/>
  <c r="D1110" i="3"/>
  <c r="L1110" i="3" s="1"/>
  <c r="H1109" i="3"/>
  <c r="K1109" i="3" s="1"/>
  <c r="G1109" i="3"/>
  <c r="F1109" i="3"/>
  <c r="E1109" i="3"/>
  <c r="D1109" i="3"/>
  <c r="L1109" i="3" s="1"/>
  <c r="K1108" i="3"/>
  <c r="H1108" i="3"/>
  <c r="J1108" i="3" s="1"/>
  <c r="G1108" i="3"/>
  <c r="F1108" i="3"/>
  <c r="E1108" i="3"/>
  <c r="D1108" i="3"/>
  <c r="L1108" i="3" s="1"/>
  <c r="H1107" i="3"/>
  <c r="K1107" i="3" s="1"/>
  <c r="G1107" i="3"/>
  <c r="F1107" i="3"/>
  <c r="E1107" i="3"/>
  <c r="D1107" i="3"/>
  <c r="L1107" i="3" s="1"/>
  <c r="K1106" i="3"/>
  <c r="H1106" i="3"/>
  <c r="J1106" i="3" s="1"/>
  <c r="G1106" i="3"/>
  <c r="F1106" i="3"/>
  <c r="E1106" i="3"/>
  <c r="D1106" i="3"/>
  <c r="L1106" i="3" s="1"/>
  <c r="K1105" i="3"/>
  <c r="J1105" i="3"/>
  <c r="H1105" i="3"/>
  <c r="I1105" i="3" s="1"/>
  <c r="G1105" i="3"/>
  <c r="F1105" i="3"/>
  <c r="E1105" i="3"/>
  <c r="D1105" i="3"/>
  <c r="L1105" i="3" s="1"/>
  <c r="K1104" i="3"/>
  <c r="J1104" i="3"/>
  <c r="I1104" i="3"/>
  <c r="H1104" i="3"/>
  <c r="G1104" i="3"/>
  <c r="F1104" i="3"/>
  <c r="E1104" i="3"/>
  <c r="D1104" i="3"/>
  <c r="L1104" i="3" s="1"/>
  <c r="H1103" i="3"/>
  <c r="I1103" i="3" s="1"/>
  <c r="G1103" i="3"/>
  <c r="F1103" i="3"/>
  <c r="E1103" i="3"/>
  <c r="D1103" i="3"/>
  <c r="L1103" i="3" s="1"/>
  <c r="H1102" i="3"/>
  <c r="J1102" i="3" s="1"/>
  <c r="G1102" i="3"/>
  <c r="F1102" i="3"/>
  <c r="E1102" i="3"/>
  <c r="D1102" i="3"/>
  <c r="L1102" i="3" s="1"/>
  <c r="H1101" i="3"/>
  <c r="K1101" i="3" s="1"/>
  <c r="G1101" i="3"/>
  <c r="F1101" i="3"/>
  <c r="E1101" i="3"/>
  <c r="D1101" i="3"/>
  <c r="L1101" i="3" s="1"/>
  <c r="K1100" i="3"/>
  <c r="I1100" i="3"/>
  <c r="H1100" i="3"/>
  <c r="J1100" i="3" s="1"/>
  <c r="G1100" i="3"/>
  <c r="F1100" i="3"/>
  <c r="E1100" i="3"/>
  <c r="D1100" i="3"/>
  <c r="L1100" i="3" s="1"/>
  <c r="H1099" i="3"/>
  <c r="K1099" i="3" s="1"/>
  <c r="G1099" i="3"/>
  <c r="F1099" i="3"/>
  <c r="E1099" i="3"/>
  <c r="D1099" i="3"/>
  <c r="L1099" i="3" s="1"/>
  <c r="H1098" i="3"/>
  <c r="K1098" i="3" s="1"/>
  <c r="G1098" i="3"/>
  <c r="F1098" i="3"/>
  <c r="E1098" i="3"/>
  <c r="D1098" i="3"/>
  <c r="L1098" i="3" s="1"/>
  <c r="H1097" i="3"/>
  <c r="I1097" i="3" s="1"/>
  <c r="G1097" i="3"/>
  <c r="F1097" i="3"/>
  <c r="E1097" i="3"/>
  <c r="D1097" i="3"/>
  <c r="L1097" i="3" s="1"/>
  <c r="H1096" i="3"/>
  <c r="J1096" i="3" s="1"/>
  <c r="G1096" i="3"/>
  <c r="F1096" i="3"/>
  <c r="E1096" i="3"/>
  <c r="D1096" i="3"/>
  <c r="L1096" i="3" s="1"/>
  <c r="H1095" i="3"/>
  <c r="I1095" i="3" s="1"/>
  <c r="G1095" i="3"/>
  <c r="F1095" i="3"/>
  <c r="E1095" i="3"/>
  <c r="D1095" i="3"/>
  <c r="L1095" i="3" s="1"/>
  <c r="K1094" i="3"/>
  <c r="I1094" i="3"/>
  <c r="H1094" i="3"/>
  <c r="J1094" i="3" s="1"/>
  <c r="G1094" i="3"/>
  <c r="F1094" i="3"/>
  <c r="E1094" i="3"/>
  <c r="D1094" i="3"/>
  <c r="L1094" i="3" s="1"/>
  <c r="H1093" i="3"/>
  <c r="K1093" i="3" s="1"/>
  <c r="G1093" i="3"/>
  <c r="F1093" i="3"/>
  <c r="E1093" i="3"/>
  <c r="D1093" i="3"/>
  <c r="L1093" i="3" s="1"/>
  <c r="H1092" i="3"/>
  <c r="J1092" i="3" s="1"/>
  <c r="G1092" i="3"/>
  <c r="F1092" i="3"/>
  <c r="E1092" i="3"/>
  <c r="D1092" i="3"/>
  <c r="L1092" i="3" s="1"/>
  <c r="J1091" i="3"/>
  <c r="H1091" i="3"/>
  <c r="K1091" i="3" s="1"/>
  <c r="G1091" i="3"/>
  <c r="F1091" i="3"/>
  <c r="E1091" i="3"/>
  <c r="D1091" i="3"/>
  <c r="L1091" i="3" s="1"/>
  <c r="I1090" i="3"/>
  <c r="H1090" i="3"/>
  <c r="K1090" i="3" s="1"/>
  <c r="G1090" i="3"/>
  <c r="F1090" i="3"/>
  <c r="E1090" i="3"/>
  <c r="D1090" i="3"/>
  <c r="L1090" i="3" s="1"/>
  <c r="H1089" i="3"/>
  <c r="I1089" i="3" s="1"/>
  <c r="G1089" i="3"/>
  <c r="F1089" i="3"/>
  <c r="E1089" i="3"/>
  <c r="D1089" i="3"/>
  <c r="L1089" i="3" s="1"/>
  <c r="K1088" i="3"/>
  <c r="H1088" i="3"/>
  <c r="J1088" i="3" s="1"/>
  <c r="G1088" i="3"/>
  <c r="F1088" i="3"/>
  <c r="E1088" i="3"/>
  <c r="D1088" i="3"/>
  <c r="L1088" i="3" s="1"/>
  <c r="H1087" i="3"/>
  <c r="I1087" i="3" s="1"/>
  <c r="G1087" i="3"/>
  <c r="F1087" i="3"/>
  <c r="E1087" i="3"/>
  <c r="D1087" i="3"/>
  <c r="L1087" i="3" s="1"/>
  <c r="H1086" i="3"/>
  <c r="J1086" i="3" s="1"/>
  <c r="G1086" i="3"/>
  <c r="F1086" i="3"/>
  <c r="E1086" i="3"/>
  <c r="D1086" i="3"/>
  <c r="L1086" i="3" s="1"/>
  <c r="H1085" i="3"/>
  <c r="K1085" i="3" s="1"/>
  <c r="G1085" i="3"/>
  <c r="F1085" i="3"/>
  <c r="E1085" i="3"/>
  <c r="D1085" i="3"/>
  <c r="L1085" i="3" s="1"/>
  <c r="H1084" i="3"/>
  <c r="J1084" i="3" s="1"/>
  <c r="G1084" i="3"/>
  <c r="F1084" i="3"/>
  <c r="E1084" i="3"/>
  <c r="D1084" i="3"/>
  <c r="L1084" i="3" s="1"/>
  <c r="J1083" i="3"/>
  <c r="H1083" i="3"/>
  <c r="K1083" i="3" s="1"/>
  <c r="G1083" i="3"/>
  <c r="F1083" i="3"/>
  <c r="E1083" i="3"/>
  <c r="D1083" i="3"/>
  <c r="L1083" i="3" s="1"/>
  <c r="J1082" i="3"/>
  <c r="H1082" i="3"/>
  <c r="K1082" i="3" s="1"/>
  <c r="G1082" i="3"/>
  <c r="F1082" i="3"/>
  <c r="E1082" i="3"/>
  <c r="D1082" i="3"/>
  <c r="L1082" i="3" s="1"/>
  <c r="J1081" i="3"/>
  <c r="H1081" i="3"/>
  <c r="I1081" i="3" s="1"/>
  <c r="G1081" i="3"/>
  <c r="F1081" i="3"/>
  <c r="E1081" i="3"/>
  <c r="D1081" i="3"/>
  <c r="L1081" i="3" s="1"/>
  <c r="J1080" i="3"/>
  <c r="I1080" i="3"/>
  <c r="H1080" i="3"/>
  <c r="K1080" i="3" s="1"/>
  <c r="G1080" i="3"/>
  <c r="F1080" i="3"/>
  <c r="E1080" i="3"/>
  <c r="D1080" i="3"/>
  <c r="L1080" i="3" s="1"/>
  <c r="H1079" i="3"/>
  <c r="I1079" i="3" s="1"/>
  <c r="G1079" i="3"/>
  <c r="F1079" i="3"/>
  <c r="E1079" i="3"/>
  <c r="D1079" i="3"/>
  <c r="L1079" i="3" s="1"/>
  <c r="H1078" i="3"/>
  <c r="J1078" i="3" s="1"/>
  <c r="G1078" i="3"/>
  <c r="F1078" i="3"/>
  <c r="E1078" i="3"/>
  <c r="D1078" i="3"/>
  <c r="L1078" i="3" s="1"/>
  <c r="H1077" i="3"/>
  <c r="K1077" i="3" s="1"/>
  <c r="G1077" i="3"/>
  <c r="F1077" i="3"/>
  <c r="E1077" i="3"/>
  <c r="D1077" i="3"/>
  <c r="L1077" i="3" s="1"/>
  <c r="K1076" i="3"/>
  <c r="I1076" i="3"/>
  <c r="H1076" i="3"/>
  <c r="J1076" i="3" s="1"/>
  <c r="G1076" i="3"/>
  <c r="F1076" i="3"/>
  <c r="E1076" i="3"/>
  <c r="D1076" i="3"/>
  <c r="L1076" i="3" s="1"/>
  <c r="H1075" i="3"/>
  <c r="K1075" i="3" s="1"/>
  <c r="G1075" i="3"/>
  <c r="F1075" i="3"/>
  <c r="E1075" i="3"/>
  <c r="D1075" i="3"/>
  <c r="L1075" i="3" s="1"/>
  <c r="H1074" i="3"/>
  <c r="J1074" i="3" s="1"/>
  <c r="G1074" i="3"/>
  <c r="F1074" i="3"/>
  <c r="E1074" i="3"/>
  <c r="D1074" i="3"/>
  <c r="L1074" i="3" s="1"/>
  <c r="J1073" i="3"/>
  <c r="H1073" i="3"/>
  <c r="I1073" i="3" s="1"/>
  <c r="G1073" i="3"/>
  <c r="F1073" i="3"/>
  <c r="E1073" i="3"/>
  <c r="D1073" i="3"/>
  <c r="L1073" i="3" s="1"/>
  <c r="I1072" i="3"/>
  <c r="H1072" i="3"/>
  <c r="K1072" i="3" s="1"/>
  <c r="G1072" i="3"/>
  <c r="F1072" i="3"/>
  <c r="E1072" i="3"/>
  <c r="D1072" i="3"/>
  <c r="L1072" i="3" s="1"/>
  <c r="H1071" i="3"/>
  <c r="I1071" i="3" s="1"/>
  <c r="G1071" i="3"/>
  <c r="F1071" i="3"/>
  <c r="E1071" i="3"/>
  <c r="D1071" i="3"/>
  <c r="L1071" i="3" s="1"/>
  <c r="K1070" i="3"/>
  <c r="I1070" i="3"/>
  <c r="H1070" i="3"/>
  <c r="J1070" i="3" s="1"/>
  <c r="G1070" i="3"/>
  <c r="F1070" i="3"/>
  <c r="E1070" i="3"/>
  <c r="D1070" i="3"/>
  <c r="L1070" i="3" s="1"/>
  <c r="H1069" i="3"/>
  <c r="K1069" i="3" s="1"/>
  <c r="G1069" i="3"/>
  <c r="F1069" i="3"/>
  <c r="E1069" i="3"/>
  <c r="D1069" i="3"/>
  <c r="L1069" i="3" s="1"/>
  <c r="I1068" i="3"/>
  <c r="H1068" i="3"/>
  <c r="J1068" i="3" s="1"/>
  <c r="G1068" i="3"/>
  <c r="F1068" i="3"/>
  <c r="E1068" i="3"/>
  <c r="D1068" i="3"/>
  <c r="L1068" i="3" s="1"/>
  <c r="J1067" i="3"/>
  <c r="H1067" i="3"/>
  <c r="K1067" i="3" s="1"/>
  <c r="G1067" i="3"/>
  <c r="F1067" i="3"/>
  <c r="E1067" i="3"/>
  <c r="D1067" i="3"/>
  <c r="L1067" i="3" s="1"/>
  <c r="K1066" i="3"/>
  <c r="J1066" i="3"/>
  <c r="I1066" i="3"/>
  <c r="H1066" i="3"/>
  <c r="G1066" i="3"/>
  <c r="F1066" i="3"/>
  <c r="E1066" i="3"/>
  <c r="D1066" i="3"/>
  <c r="L1066" i="3" s="1"/>
  <c r="K1065" i="3"/>
  <c r="J1065" i="3"/>
  <c r="H1065" i="3"/>
  <c r="I1065" i="3" s="1"/>
  <c r="G1065" i="3"/>
  <c r="F1065" i="3"/>
  <c r="E1065" i="3"/>
  <c r="D1065" i="3"/>
  <c r="L1065" i="3" s="1"/>
  <c r="K1064" i="3"/>
  <c r="J1064" i="3"/>
  <c r="I1064" i="3"/>
  <c r="H1064" i="3"/>
  <c r="G1064" i="3"/>
  <c r="F1064" i="3"/>
  <c r="E1064" i="3"/>
  <c r="D1064" i="3"/>
  <c r="L1064" i="3" s="1"/>
  <c r="H1063" i="3"/>
  <c r="I1063" i="3" s="1"/>
  <c r="G1063" i="3"/>
  <c r="F1063" i="3"/>
  <c r="E1063" i="3"/>
  <c r="D1063" i="3"/>
  <c r="L1063" i="3" s="1"/>
  <c r="H1062" i="3"/>
  <c r="J1062" i="3" s="1"/>
  <c r="G1062" i="3"/>
  <c r="F1062" i="3"/>
  <c r="E1062" i="3"/>
  <c r="D1062" i="3"/>
  <c r="L1062" i="3" s="1"/>
  <c r="H1061" i="3"/>
  <c r="K1061" i="3" s="1"/>
  <c r="G1061" i="3"/>
  <c r="F1061" i="3"/>
  <c r="E1061" i="3"/>
  <c r="D1061" i="3"/>
  <c r="L1061" i="3" s="1"/>
  <c r="H1060" i="3"/>
  <c r="J1060" i="3" s="1"/>
  <c r="G1060" i="3"/>
  <c r="F1060" i="3"/>
  <c r="E1060" i="3"/>
  <c r="D1060" i="3"/>
  <c r="L1060" i="3" s="1"/>
  <c r="H1059" i="3"/>
  <c r="K1059" i="3" s="1"/>
  <c r="G1059" i="3"/>
  <c r="F1059" i="3"/>
  <c r="E1059" i="3"/>
  <c r="D1059" i="3"/>
  <c r="L1059" i="3" s="1"/>
  <c r="H1058" i="3"/>
  <c r="K1058" i="3" s="1"/>
  <c r="G1058" i="3"/>
  <c r="F1058" i="3"/>
  <c r="E1058" i="3"/>
  <c r="D1058" i="3"/>
  <c r="L1058" i="3" s="1"/>
  <c r="H1057" i="3"/>
  <c r="I1057" i="3" s="1"/>
  <c r="G1057" i="3"/>
  <c r="F1057" i="3"/>
  <c r="E1057" i="3"/>
  <c r="D1057" i="3"/>
  <c r="L1057" i="3" s="1"/>
  <c r="J1056" i="3"/>
  <c r="H1056" i="3"/>
  <c r="K1056" i="3" s="1"/>
  <c r="G1056" i="3"/>
  <c r="F1056" i="3"/>
  <c r="E1056" i="3"/>
  <c r="D1056" i="3"/>
  <c r="L1056" i="3" s="1"/>
  <c r="H1055" i="3"/>
  <c r="I1055" i="3" s="1"/>
  <c r="G1055" i="3"/>
  <c r="F1055" i="3"/>
  <c r="E1055" i="3"/>
  <c r="D1055" i="3"/>
  <c r="L1055" i="3" s="1"/>
  <c r="K1054" i="3"/>
  <c r="I1054" i="3"/>
  <c r="H1054" i="3"/>
  <c r="J1054" i="3" s="1"/>
  <c r="G1054" i="3"/>
  <c r="F1054" i="3"/>
  <c r="E1054" i="3"/>
  <c r="D1054" i="3"/>
  <c r="L1054" i="3" s="1"/>
  <c r="H1053" i="3"/>
  <c r="K1053" i="3" s="1"/>
  <c r="G1053" i="3"/>
  <c r="F1053" i="3"/>
  <c r="E1053" i="3"/>
  <c r="D1053" i="3"/>
  <c r="L1053" i="3" s="1"/>
  <c r="K1052" i="3"/>
  <c r="H1052" i="3"/>
  <c r="J1052" i="3" s="1"/>
  <c r="G1052" i="3"/>
  <c r="F1052" i="3"/>
  <c r="E1052" i="3"/>
  <c r="D1052" i="3"/>
  <c r="L1052" i="3" s="1"/>
  <c r="H1051" i="3"/>
  <c r="K1051" i="3" s="1"/>
  <c r="G1051" i="3"/>
  <c r="F1051" i="3"/>
  <c r="E1051" i="3"/>
  <c r="D1051" i="3"/>
  <c r="L1051" i="3" s="1"/>
  <c r="K1050" i="3"/>
  <c r="H1050" i="3"/>
  <c r="I1050" i="3" s="1"/>
  <c r="G1050" i="3"/>
  <c r="F1050" i="3"/>
  <c r="E1050" i="3"/>
  <c r="D1050" i="3"/>
  <c r="L1050" i="3" s="1"/>
  <c r="K1049" i="3"/>
  <c r="H1049" i="3"/>
  <c r="I1049" i="3" s="1"/>
  <c r="G1049" i="3"/>
  <c r="F1049" i="3"/>
  <c r="E1049" i="3"/>
  <c r="D1049" i="3"/>
  <c r="L1049" i="3" s="1"/>
  <c r="J1048" i="3"/>
  <c r="H1048" i="3"/>
  <c r="K1048" i="3" s="1"/>
  <c r="G1048" i="3"/>
  <c r="F1048" i="3"/>
  <c r="E1048" i="3"/>
  <c r="D1048" i="3"/>
  <c r="L1048" i="3" s="1"/>
  <c r="H1047" i="3"/>
  <c r="I1047" i="3" s="1"/>
  <c r="G1047" i="3"/>
  <c r="F1047" i="3"/>
  <c r="E1047" i="3"/>
  <c r="D1047" i="3"/>
  <c r="L1047" i="3" s="1"/>
  <c r="H1046" i="3"/>
  <c r="J1046" i="3" s="1"/>
  <c r="G1046" i="3"/>
  <c r="F1046" i="3"/>
  <c r="E1046" i="3"/>
  <c r="D1046" i="3"/>
  <c r="L1046" i="3" s="1"/>
  <c r="H1045" i="3"/>
  <c r="K1045" i="3" s="1"/>
  <c r="G1045" i="3"/>
  <c r="F1045" i="3"/>
  <c r="E1045" i="3"/>
  <c r="D1045" i="3"/>
  <c r="L1045" i="3" s="1"/>
  <c r="K1044" i="3"/>
  <c r="H1044" i="3"/>
  <c r="J1044" i="3" s="1"/>
  <c r="G1044" i="3"/>
  <c r="F1044" i="3"/>
  <c r="E1044" i="3"/>
  <c r="D1044" i="3"/>
  <c r="L1044" i="3" s="1"/>
  <c r="H1043" i="3"/>
  <c r="K1043" i="3" s="1"/>
  <c r="G1043" i="3"/>
  <c r="F1043" i="3"/>
  <c r="E1043" i="3"/>
  <c r="D1043" i="3"/>
  <c r="L1043" i="3" s="1"/>
  <c r="H1042" i="3"/>
  <c r="K1042" i="3" s="1"/>
  <c r="G1042" i="3"/>
  <c r="F1042" i="3"/>
  <c r="E1042" i="3"/>
  <c r="D1042" i="3"/>
  <c r="L1042" i="3" s="1"/>
  <c r="K1041" i="3"/>
  <c r="J1041" i="3"/>
  <c r="H1041" i="3"/>
  <c r="I1041" i="3" s="1"/>
  <c r="G1041" i="3"/>
  <c r="F1041" i="3"/>
  <c r="E1041" i="3"/>
  <c r="D1041" i="3"/>
  <c r="L1041" i="3" s="1"/>
  <c r="K1040" i="3"/>
  <c r="J1040" i="3"/>
  <c r="I1040" i="3"/>
  <c r="H1040" i="3"/>
  <c r="G1040" i="3"/>
  <c r="F1040" i="3"/>
  <c r="E1040" i="3"/>
  <c r="D1040" i="3"/>
  <c r="L1040" i="3" s="1"/>
  <c r="H1039" i="3"/>
  <c r="I1039" i="3" s="1"/>
  <c r="G1039" i="3"/>
  <c r="F1039" i="3"/>
  <c r="E1039" i="3"/>
  <c r="D1039" i="3"/>
  <c r="L1039" i="3" s="1"/>
  <c r="H1038" i="3"/>
  <c r="J1038" i="3" s="1"/>
  <c r="G1038" i="3"/>
  <c r="F1038" i="3"/>
  <c r="E1038" i="3"/>
  <c r="D1038" i="3"/>
  <c r="L1038" i="3" s="1"/>
  <c r="H1037" i="3"/>
  <c r="K1037" i="3" s="1"/>
  <c r="G1037" i="3"/>
  <c r="F1037" i="3"/>
  <c r="E1037" i="3"/>
  <c r="D1037" i="3"/>
  <c r="L1037" i="3" s="1"/>
  <c r="I1036" i="3"/>
  <c r="H1036" i="3"/>
  <c r="J1036" i="3" s="1"/>
  <c r="G1036" i="3"/>
  <c r="F1036" i="3"/>
  <c r="E1036" i="3"/>
  <c r="D1036" i="3"/>
  <c r="L1036" i="3" s="1"/>
  <c r="J1035" i="3"/>
  <c r="H1035" i="3"/>
  <c r="K1035" i="3" s="1"/>
  <c r="G1035" i="3"/>
  <c r="F1035" i="3"/>
  <c r="E1035" i="3"/>
  <c r="D1035" i="3"/>
  <c r="L1035" i="3" s="1"/>
  <c r="J1034" i="3"/>
  <c r="I1034" i="3"/>
  <c r="H1034" i="3"/>
  <c r="K1034" i="3" s="1"/>
  <c r="G1034" i="3"/>
  <c r="F1034" i="3"/>
  <c r="E1034" i="3"/>
  <c r="D1034" i="3"/>
  <c r="L1034" i="3" s="1"/>
  <c r="H1033" i="3"/>
  <c r="I1033" i="3" s="1"/>
  <c r="G1033" i="3"/>
  <c r="F1033" i="3"/>
  <c r="E1033" i="3"/>
  <c r="D1033" i="3"/>
  <c r="L1033" i="3" s="1"/>
  <c r="H1032" i="3"/>
  <c r="J1032" i="3" s="1"/>
  <c r="G1032" i="3"/>
  <c r="F1032" i="3"/>
  <c r="E1032" i="3"/>
  <c r="D1032" i="3"/>
  <c r="L1032" i="3" s="1"/>
  <c r="H1031" i="3"/>
  <c r="I1031" i="3" s="1"/>
  <c r="G1031" i="3"/>
  <c r="F1031" i="3"/>
  <c r="E1031" i="3"/>
  <c r="D1031" i="3"/>
  <c r="L1031" i="3" s="1"/>
  <c r="I1030" i="3"/>
  <c r="H1030" i="3"/>
  <c r="J1030" i="3" s="1"/>
  <c r="G1030" i="3"/>
  <c r="F1030" i="3"/>
  <c r="E1030" i="3"/>
  <c r="D1030" i="3"/>
  <c r="L1030" i="3" s="1"/>
  <c r="H1029" i="3"/>
  <c r="K1029" i="3" s="1"/>
  <c r="G1029" i="3"/>
  <c r="F1029" i="3"/>
  <c r="E1029" i="3"/>
  <c r="D1029" i="3"/>
  <c r="L1029" i="3" s="1"/>
  <c r="H1028" i="3"/>
  <c r="J1028" i="3" s="1"/>
  <c r="G1028" i="3"/>
  <c r="F1028" i="3"/>
  <c r="E1028" i="3"/>
  <c r="D1028" i="3"/>
  <c r="L1028" i="3" s="1"/>
  <c r="J1027" i="3"/>
  <c r="H1027" i="3"/>
  <c r="K1027" i="3" s="1"/>
  <c r="G1027" i="3"/>
  <c r="F1027" i="3"/>
  <c r="E1027" i="3"/>
  <c r="D1027" i="3"/>
  <c r="L1027" i="3" s="1"/>
  <c r="K1026" i="3"/>
  <c r="J1026" i="3"/>
  <c r="I1026" i="3"/>
  <c r="H1026" i="3"/>
  <c r="G1026" i="3"/>
  <c r="F1026" i="3"/>
  <c r="E1026" i="3"/>
  <c r="D1026" i="3"/>
  <c r="L1026" i="3" s="1"/>
  <c r="K1025" i="3"/>
  <c r="J1025" i="3"/>
  <c r="H1025" i="3"/>
  <c r="I1025" i="3" s="1"/>
  <c r="G1025" i="3"/>
  <c r="F1025" i="3"/>
  <c r="E1025" i="3"/>
  <c r="D1025" i="3"/>
  <c r="L1025" i="3" s="1"/>
  <c r="J1024" i="3"/>
  <c r="H1024" i="3"/>
  <c r="K1024" i="3" s="1"/>
  <c r="G1024" i="3"/>
  <c r="F1024" i="3"/>
  <c r="E1024" i="3"/>
  <c r="D1024" i="3"/>
  <c r="L1024" i="3" s="1"/>
  <c r="H1023" i="3"/>
  <c r="I1023" i="3" s="1"/>
  <c r="G1023" i="3"/>
  <c r="F1023" i="3"/>
  <c r="E1023" i="3"/>
  <c r="D1023" i="3"/>
  <c r="L1023" i="3" s="1"/>
  <c r="H1022" i="3"/>
  <c r="J1022" i="3" s="1"/>
  <c r="G1022" i="3"/>
  <c r="F1022" i="3"/>
  <c r="E1022" i="3"/>
  <c r="D1022" i="3"/>
  <c r="L1022" i="3" s="1"/>
  <c r="H1021" i="3"/>
  <c r="K1021" i="3" s="1"/>
  <c r="G1021" i="3"/>
  <c r="F1021" i="3"/>
  <c r="E1021" i="3"/>
  <c r="D1021" i="3"/>
  <c r="L1021" i="3" s="1"/>
  <c r="K1020" i="3"/>
  <c r="H1020" i="3"/>
  <c r="J1020" i="3" s="1"/>
  <c r="G1020" i="3"/>
  <c r="F1020" i="3"/>
  <c r="E1020" i="3"/>
  <c r="D1020" i="3"/>
  <c r="L1020" i="3" s="1"/>
  <c r="H1019" i="3"/>
  <c r="K1019" i="3" s="1"/>
  <c r="G1019" i="3"/>
  <c r="F1019" i="3"/>
  <c r="E1019" i="3"/>
  <c r="D1019" i="3"/>
  <c r="L1019" i="3" s="1"/>
  <c r="J1018" i="3"/>
  <c r="H1018" i="3"/>
  <c r="K1018" i="3" s="1"/>
  <c r="G1018" i="3"/>
  <c r="F1018" i="3"/>
  <c r="E1018" i="3"/>
  <c r="D1018" i="3"/>
  <c r="L1018" i="3" s="1"/>
  <c r="K1017" i="3"/>
  <c r="J1017" i="3"/>
  <c r="H1017" i="3"/>
  <c r="I1017" i="3" s="1"/>
  <c r="G1017" i="3"/>
  <c r="F1017" i="3"/>
  <c r="E1017" i="3"/>
  <c r="D1017" i="3"/>
  <c r="L1017" i="3" s="1"/>
  <c r="J1016" i="3"/>
  <c r="I1016" i="3"/>
  <c r="H1016" i="3"/>
  <c r="K1016" i="3" s="1"/>
  <c r="G1016" i="3"/>
  <c r="F1016" i="3"/>
  <c r="E1016" i="3"/>
  <c r="D1016" i="3"/>
  <c r="L1016" i="3" s="1"/>
  <c r="H1015" i="3"/>
  <c r="I1015" i="3" s="1"/>
  <c r="G1015" i="3"/>
  <c r="F1015" i="3"/>
  <c r="E1015" i="3"/>
  <c r="D1015" i="3"/>
  <c r="L1015" i="3" s="1"/>
  <c r="H1014" i="3"/>
  <c r="J1014" i="3" s="1"/>
  <c r="G1014" i="3"/>
  <c r="F1014" i="3"/>
  <c r="E1014" i="3"/>
  <c r="D1014" i="3"/>
  <c r="L1014" i="3" s="1"/>
  <c r="H1013" i="3"/>
  <c r="K1013" i="3" s="1"/>
  <c r="G1013" i="3"/>
  <c r="F1013" i="3"/>
  <c r="E1013" i="3"/>
  <c r="D1013" i="3"/>
  <c r="L1013" i="3" s="1"/>
  <c r="K1012" i="3"/>
  <c r="I1012" i="3"/>
  <c r="H1012" i="3"/>
  <c r="J1012" i="3" s="1"/>
  <c r="G1012" i="3"/>
  <c r="F1012" i="3"/>
  <c r="E1012" i="3"/>
  <c r="D1012" i="3"/>
  <c r="L1012" i="3" s="1"/>
  <c r="J1011" i="3"/>
  <c r="H1011" i="3"/>
  <c r="K1011" i="3" s="1"/>
  <c r="G1011" i="3"/>
  <c r="F1011" i="3"/>
  <c r="E1011" i="3"/>
  <c r="D1011" i="3"/>
  <c r="L1011" i="3" s="1"/>
  <c r="K1010" i="3"/>
  <c r="J1010" i="3"/>
  <c r="I1010" i="3"/>
  <c r="H1010" i="3"/>
  <c r="G1010" i="3"/>
  <c r="F1010" i="3"/>
  <c r="E1010" i="3"/>
  <c r="D1010" i="3"/>
  <c r="L1010" i="3" s="1"/>
  <c r="H1009" i="3"/>
  <c r="I1009" i="3" s="1"/>
  <c r="G1009" i="3"/>
  <c r="F1009" i="3"/>
  <c r="E1009" i="3"/>
  <c r="D1009" i="3"/>
  <c r="L1009" i="3" s="1"/>
  <c r="H1008" i="3"/>
  <c r="I1008" i="3" s="1"/>
  <c r="G1008" i="3"/>
  <c r="F1008" i="3"/>
  <c r="E1008" i="3"/>
  <c r="D1008" i="3"/>
  <c r="L1008" i="3" s="1"/>
  <c r="H1007" i="3"/>
  <c r="I1007" i="3" s="1"/>
  <c r="G1007" i="3"/>
  <c r="F1007" i="3"/>
  <c r="E1007" i="3"/>
  <c r="D1007" i="3"/>
  <c r="L1007" i="3" s="1"/>
  <c r="H1006" i="3"/>
  <c r="J1006" i="3" s="1"/>
  <c r="G1006" i="3"/>
  <c r="F1006" i="3"/>
  <c r="E1006" i="3"/>
  <c r="D1006" i="3"/>
  <c r="L1006" i="3" s="1"/>
  <c r="H1005" i="3"/>
  <c r="K1005" i="3" s="1"/>
  <c r="G1005" i="3"/>
  <c r="F1005" i="3"/>
  <c r="E1005" i="3"/>
  <c r="D1005" i="3"/>
  <c r="L1005" i="3" s="1"/>
  <c r="H1004" i="3"/>
  <c r="J1004" i="3" s="1"/>
  <c r="G1004" i="3"/>
  <c r="F1004" i="3"/>
  <c r="E1004" i="3"/>
  <c r="D1004" i="3"/>
  <c r="L1004" i="3" s="1"/>
  <c r="J1003" i="3"/>
  <c r="H1003" i="3"/>
  <c r="K1003" i="3" s="1"/>
  <c r="G1003" i="3"/>
  <c r="F1003" i="3"/>
  <c r="E1003" i="3"/>
  <c r="D1003" i="3"/>
  <c r="L1003" i="3" s="1"/>
  <c r="J1002" i="3"/>
  <c r="I1002" i="3"/>
  <c r="H1002" i="3"/>
  <c r="K1002" i="3" s="1"/>
  <c r="G1002" i="3"/>
  <c r="F1002" i="3"/>
  <c r="E1002" i="3"/>
  <c r="D1002" i="3"/>
  <c r="L1002" i="3" s="1"/>
  <c r="J1001" i="3"/>
  <c r="H1001" i="3"/>
  <c r="I1001" i="3" s="1"/>
  <c r="G1001" i="3"/>
  <c r="F1001" i="3"/>
  <c r="E1001" i="3"/>
  <c r="D1001" i="3"/>
  <c r="L1001" i="3" s="1"/>
  <c r="I1000" i="3"/>
  <c r="H1000" i="3"/>
  <c r="K1000" i="3" s="1"/>
  <c r="G1000" i="3"/>
  <c r="F1000" i="3"/>
  <c r="E1000" i="3"/>
  <c r="D1000" i="3"/>
  <c r="L1000" i="3" s="1"/>
  <c r="H999" i="3"/>
  <c r="I999" i="3" s="1"/>
  <c r="G999" i="3"/>
  <c r="F999" i="3"/>
  <c r="E999" i="3"/>
  <c r="D999" i="3"/>
  <c r="L999" i="3" s="1"/>
  <c r="I998" i="3"/>
  <c r="H998" i="3"/>
  <c r="J998" i="3" s="1"/>
  <c r="G998" i="3"/>
  <c r="F998" i="3"/>
  <c r="E998" i="3"/>
  <c r="D998" i="3"/>
  <c r="L998" i="3" s="1"/>
  <c r="H997" i="3"/>
  <c r="K997" i="3" s="1"/>
  <c r="G997" i="3"/>
  <c r="F997" i="3"/>
  <c r="E997" i="3"/>
  <c r="D997" i="3"/>
  <c r="L997" i="3" s="1"/>
  <c r="I996" i="3"/>
  <c r="H996" i="3"/>
  <c r="J996" i="3" s="1"/>
  <c r="G996" i="3"/>
  <c r="F996" i="3"/>
  <c r="E996" i="3"/>
  <c r="D996" i="3"/>
  <c r="L996" i="3" s="1"/>
  <c r="J995" i="3"/>
  <c r="H995" i="3"/>
  <c r="K995" i="3" s="1"/>
  <c r="G995" i="3"/>
  <c r="F995" i="3"/>
  <c r="E995" i="3"/>
  <c r="D995" i="3"/>
  <c r="L995" i="3" s="1"/>
  <c r="K994" i="3"/>
  <c r="J994" i="3"/>
  <c r="I994" i="3"/>
  <c r="H994" i="3"/>
  <c r="G994" i="3"/>
  <c r="F994" i="3"/>
  <c r="E994" i="3"/>
  <c r="D994" i="3"/>
  <c r="L994" i="3" s="1"/>
  <c r="K993" i="3"/>
  <c r="J993" i="3"/>
  <c r="H993" i="3"/>
  <c r="I993" i="3" s="1"/>
  <c r="G993" i="3"/>
  <c r="F993" i="3"/>
  <c r="E993" i="3"/>
  <c r="D993" i="3"/>
  <c r="L993" i="3" s="1"/>
  <c r="K992" i="3"/>
  <c r="J992" i="3"/>
  <c r="I992" i="3"/>
  <c r="H992" i="3"/>
  <c r="G992" i="3"/>
  <c r="F992" i="3"/>
  <c r="E992" i="3"/>
  <c r="D992" i="3"/>
  <c r="L992" i="3" s="1"/>
  <c r="H991" i="3"/>
  <c r="I991" i="3" s="1"/>
  <c r="G991" i="3"/>
  <c r="F991" i="3"/>
  <c r="E991" i="3"/>
  <c r="D991" i="3"/>
  <c r="L991" i="3" s="1"/>
  <c r="K990" i="3"/>
  <c r="I990" i="3"/>
  <c r="H990" i="3"/>
  <c r="J990" i="3" s="1"/>
  <c r="G990" i="3"/>
  <c r="F990" i="3"/>
  <c r="E990" i="3"/>
  <c r="D990" i="3"/>
  <c r="L990" i="3" s="1"/>
  <c r="H989" i="3"/>
  <c r="K989" i="3" s="1"/>
  <c r="G989" i="3"/>
  <c r="F989" i="3"/>
  <c r="E989" i="3"/>
  <c r="D989" i="3"/>
  <c r="L989" i="3" s="1"/>
  <c r="K988" i="3"/>
  <c r="I988" i="3"/>
  <c r="H988" i="3"/>
  <c r="J988" i="3" s="1"/>
  <c r="G988" i="3"/>
  <c r="F988" i="3"/>
  <c r="E988" i="3"/>
  <c r="D988" i="3"/>
  <c r="L988" i="3" s="1"/>
  <c r="H987" i="3"/>
  <c r="K987" i="3" s="1"/>
  <c r="G987" i="3"/>
  <c r="F987" i="3"/>
  <c r="E987" i="3"/>
  <c r="D987" i="3"/>
  <c r="L987" i="3" s="1"/>
  <c r="H986" i="3"/>
  <c r="I986" i="3" s="1"/>
  <c r="G986" i="3"/>
  <c r="F986" i="3"/>
  <c r="E986" i="3"/>
  <c r="D986" i="3"/>
  <c r="L986" i="3" s="1"/>
  <c r="K985" i="3"/>
  <c r="J985" i="3"/>
  <c r="H985" i="3"/>
  <c r="I985" i="3" s="1"/>
  <c r="G985" i="3"/>
  <c r="F985" i="3"/>
  <c r="E985" i="3"/>
  <c r="D985" i="3"/>
  <c r="L985" i="3" s="1"/>
  <c r="K984" i="3"/>
  <c r="J984" i="3"/>
  <c r="I984" i="3"/>
  <c r="H984" i="3"/>
  <c r="G984" i="3"/>
  <c r="F984" i="3"/>
  <c r="E984" i="3"/>
  <c r="D984" i="3"/>
  <c r="L984" i="3" s="1"/>
  <c r="H983" i="3"/>
  <c r="I983" i="3" s="1"/>
  <c r="G983" i="3"/>
  <c r="F983" i="3"/>
  <c r="E983" i="3"/>
  <c r="D983" i="3"/>
  <c r="L983" i="3" s="1"/>
  <c r="K982" i="3"/>
  <c r="I982" i="3"/>
  <c r="H982" i="3"/>
  <c r="J982" i="3" s="1"/>
  <c r="G982" i="3"/>
  <c r="F982" i="3"/>
  <c r="E982" i="3"/>
  <c r="D982" i="3"/>
  <c r="L982" i="3" s="1"/>
  <c r="H981" i="3"/>
  <c r="K981" i="3" s="1"/>
  <c r="G981" i="3"/>
  <c r="F981" i="3"/>
  <c r="E981" i="3"/>
  <c r="D981" i="3"/>
  <c r="L981" i="3" s="1"/>
  <c r="K980" i="3"/>
  <c r="I980" i="3"/>
  <c r="H980" i="3"/>
  <c r="J980" i="3" s="1"/>
  <c r="G980" i="3"/>
  <c r="F980" i="3"/>
  <c r="E980" i="3"/>
  <c r="D980" i="3"/>
  <c r="L980" i="3" s="1"/>
  <c r="H979" i="3"/>
  <c r="K979" i="3" s="1"/>
  <c r="G979" i="3"/>
  <c r="F979" i="3"/>
  <c r="E979" i="3"/>
  <c r="D979" i="3"/>
  <c r="L979" i="3" s="1"/>
  <c r="H978" i="3"/>
  <c r="K978" i="3" s="1"/>
  <c r="G978" i="3"/>
  <c r="F978" i="3"/>
  <c r="E978" i="3"/>
  <c r="D978" i="3"/>
  <c r="L978" i="3" s="1"/>
  <c r="H977" i="3"/>
  <c r="I977" i="3" s="1"/>
  <c r="G977" i="3"/>
  <c r="F977" i="3"/>
  <c r="E977" i="3"/>
  <c r="D977" i="3"/>
  <c r="L977" i="3" s="1"/>
  <c r="J976" i="3"/>
  <c r="H976" i="3"/>
  <c r="K976" i="3" s="1"/>
  <c r="G976" i="3"/>
  <c r="F976" i="3"/>
  <c r="E976" i="3"/>
  <c r="D976" i="3"/>
  <c r="L976" i="3" s="1"/>
  <c r="H975" i="3"/>
  <c r="I975" i="3" s="1"/>
  <c r="G975" i="3"/>
  <c r="F975" i="3"/>
  <c r="E975" i="3"/>
  <c r="D975" i="3"/>
  <c r="L975" i="3" s="1"/>
  <c r="I974" i="3"/>
  <c r="H974" i="3"/>
  <c r="J974" i="3" s="1"/>
  <c r="G974" i="3"/>
  <c r="F974" i="3"/>
  <c r="E974" i="3"/>
  <c r="D974" i="3"/>
  <c r="L974" i="3" s="1"/>
  <c r="H973" i="3"/>
  <c r="K973" i="3" s="1"/>
  <c r="G973" i="3"/>
  <c r="F973" i="3"/>
  <c r="E973" i="3"/>
  <c r="D973" i="3"/>
  <c r="L973" i="3" s="1"/>
  <c r="K972" i="3"/>
  <c r="H972" i="3"/>
  <c r="J972" i="3" s="1"/>
  <c r="G972" i="3"/>
  <c r="F972" i="3"/>
  <c r="E972" i="3"/>
  <c r="D972" i="3"/>
  <c r="L972" i="3" s="1"/>
  <c r="H971" i="3"/>
  <c r="K971" i="3" s="1"/>
  <c r="G971" i="3"/>
  <c r="F971" i="3"/>
  <c r="E971" i="3"/>
  <c r="D971" i="3"/>
  <c r="L971" i="3" s="1"/>
  <c r="H970" i="3"/>
  <c r="K970" i="3" s="1"/>
  <c r="G970" i="3"/>
  <c r="F970" i="3"/>
  <c r="E970" i="3"/>
  <c r="D970" i="3"/>
  <c r="L970" i="3" s="1"/>
  <c r="K969" i="3"/>
  <c r="J969" i="3"/>
  <c r="H969" i="3"/>
  <c r="I969" i="3" s="1"/>
  <c r="G969" i="3"/>
  <c r="F969" i="3"/>
  <c r="E969" i="3"/>
  <c r="D969" i="3"/>
  <c r="L969" i="3" s="1"/>
  <c r="J968" i="3"/>
  <c r="I968" i="3"/>
  <c r="H968" i="3"/>
  <c r="K968" i="3" s="1"/>
  <c r="G968" i="3"/>
  <c r="F968" i="3"/>
  <c r="E968" i="3"/>
  <c r="D968" i="3"/>
  <c r="L968" i="3" s="1"/>
  <c r="H967" i="3"/>
  <c r="I967" i="3" s="1"/>
  <c r="G967" i="3"/>
  <c r="F967" i="3"/>
  <c r="E967" i="3"/>
  <c r="D967" i="3"/>
  <c r="L967" i="3" s="1"/>
  <c r="H966" i="3"/>
  <c r="J966" i="3" s="1"/>
  <c r="G966" i="3"/>
  <c r="F966" i="3"/>
  <c r="E966" i="3"/>
  <c r="D966" i="3"/>
  <c r="L966" i="3" s="1"/>
  <c r="H965" i="3"/>
  <c r="K965" i="3" s="1"/>
  <c r="G965" i="3"/>
  <c r="F965" i="3"/>
  <c r="E965" i="3"/>
  <c r="D965" i="3"/>
  <c r="L965" i="3" s="1"/>
  <c r="K964" i="3"/>
  <c r="H964" i="3"/>
  <c r="J964" i="3" s="1"/>
  <c r="G964" i="3"/>
  <c r="F964" i="3"/>
  <c r="E964" i="3"/>
  <c r="D964" i="3"/>
  <c r="L964" i="3" s="1"/>
  <c r="H963" i="3"/>
  <c r="K963" i="3" s="1"/>
  <c r="G963" i="3"/>
  <c r="F963" i="3"/>
  <c r="E963" i="3"/>
  <c r="D963" i="3"/>
  <c r="L963" i="3" s="1"/>
  <c r="H962" i="3"/>
  <c r="K962" i="3" s="1"/>
  <c r="G962" i="3"/>
  <c r="F962" i="3"/>
  <c r="E962" i="3"/>
  <c r="D962" i="3"/>
  <c r="L962" i="3" s="1"/>
  <c r="K961" i="3"/>
  <c r="J961" i="3"/>
  <c r="H961" i="3"/>
  <c r="I961" i="3" s="1"/>
  <c r="G961" i="3"/>
  <c r="F961" i="3"/>
  <c r="E961" i="3"/>
  <c r="D961" i="3"/>
  <c r="L961" i="3" s="1"/>
  <c r="K960" i="3"/>
  <c r="J960" i="3"/>
  <c r="I960" i="3"/>
  <c r="H960" i="3"/>
  <c r="G960" i="3"/>
  <c r="F960" i="3"/>
  <c r="E960" i="3"/>
  <c r="D960" i="3"/>
  <c r="L960" i="3" s="1"/>
  <c r="H959" i="3"/>
  <c r="I959" i="3" s="1"/>
  <c r="G959" i="3"/>
  <c r="F959" i="3"/>
  <c r="E959" i="3"/>
  <c r="D959" i="3"/>
  <c r="L959" i="3" s="1"/>
  <c r="H958" i="3"/>
  <c r="J958" i="3" s="1"/>
  <c r="G958" i="3"/>
  <c r="F958" i="3"/>
  <c r="E958" i="3"/>
  <c r="D958" i="3"/>
  <c r="L958" i="3" s="1"/>
  <c r="H957" i="3"/>
  <c r="K957" i="3" s="1"/>
  <c r="G957" i="3"/>
  <c r="F957" i="3"/>
  <c r="E957" i="3"/>
  <c r="D957" i="3"/>
  <c r="L957" i="3" s="1"/>
  <c r="I956" i="3"/>
  <c r="H956" i="3"/>
  <c r="J956" i="3" s="1"/>
  <c r="G956" i="3"/>
  <c r="F956" i="3"/>
  <c r="E956" i="3"/>
  <c r="D956" i="3"/>
  <c r="L956" i="3" s="1"/>
  <c r="J955" i="3"/>
  <c r="H955" i="3"/>
  <c r="K955" i="3" s="1"/>
  <c r="G955" i="3"/>
  <c r="F955" i="3"/>
  <c r="E955" i="3"/>
  <c r="D955" i="3"/>
  <c r="L955" i="3" s="1"/>
  <c r="J954" i="3"/>
  <c r="I954" i="3"/>
  <c r="H954" i="3"/>
  <c r="K954" i="3" s="1"/>
  <c r="G954" i="3"/>
  <c r="F954" i="3"/>
  <c r="E954" i="3"/>
  <c r="D954" i="3"/>
  <c r="L954" i="3" s="1"/>
  <c r="J953" i="3"/>
  <c r="H953" i="3"/>
  <c r="I953" i="3" s="1"/>
  <c r="G953" i="3"/>
  <c r="F953" i="3"/>
  <c r="E953" i="3"/>
  <c r="D953" i="3"/>
  <c r="L953" i="3" s="1"/>
  <c r="I952" i="3"/>
  <c r="H952" i="3"/>
  <c r="K952" i="3" s="1"/>
  <c r="G952" i="3"/>
  <c r="F952" i="3"/>
  <c r="E952" i="3"/>
  <c r="D952" i="3"/>
  <c r="L952" i="3" s="1"/>
  <c r="H951" i="3"/>
  <c r="I951" i="3" s="1"/>
  <c r="G951" i="3"/>
  <c r="F951" i="3"/>
  <c r="E951" i="3"/>
  <c r="D951" i="3"/>
  <c r="L951" i="3" s="1"/>
  <c r="H950" i="3"/>
  <c r="J950" i="3" s="1"/>
  <c r="G950" i="3"/>
  <c r="F950" i="3"/>
  <c r="E950" i="3"/>
  <c r="D950" i="3"/>
  <c r="L950" i="3" s="1"/>
  <c r="H949" i="3"/>
  <c r="K949" i="3" s="1"/>
  <c r="G949" i="3"/>
  <c r="F949" i="3"/>
  <c r="E949" i="3"/>
  <c r="D949" i="3"/>
  <c r="L949" i="3" s="1"/>
  <c r="H948" i="3"/>
  <c r="J948" i="3" s="1"/>
  <c r="G948" i="3"/>
  <c r="F948" i="3"/>
  <c r="E948" i="3"/>
  <c r="D948" i="3"/>
  <c r="L948" i="3" s="1"/>
  <c r="J947" i="3"/>
  <c r="H947" i="3"/>
  <c r="K947" i="3" s="1"/>
  <c r="G947" i="3"/>
  <c r="F947" i="3"/>
  <c r="E947" i="3"/>
  <c r="D947" i="3"/>
  <c r="L947" i="3" s="1"/>
  <c r="K946" i="3"/>
  <c r="J946" i="3"/>
  <c r="I946" i="3"/>
  <c r="H946" i="3"/>
  <c r="G946" i="3"/>
  <c r="F946" i="3"/>
  <c r="E946" i="3"/>
  <c r="D946" i="3"/>
  <c r="L946" i="3" s="1"/>
  <c r="J945" i="3"/>
  <c r="H945" i="3"/>
  <c r="I945" i="3" s="1"/>
  <c r="G945" i="3"/>
  <c r="F945" i="3"/>
  <c r="E945" i="3"/>
  <c r="D945" i="3"/>
  <c r="L945" i="3" s="1"/>
  <c r="K944" i="3"/>
  <c r="I944" i="3"/>
  <c r="H944" i="3"/>
  <c r="J944" i="3" s="1"/>
  <c r="G944" i="3"/>
  <c r="F944" i="3"/>
  <c r="E944" i="3"/>
  <c r="D944" i="3"/>
  <c r="L944" i="3" s="1"/>
  <c r="H943" i="3"/>
  <c r="I943" i="3" s="1"/>
  <c r="G943" i="3"/>
  <c r="F943" i="3"/>
  <c r="E943" i="3"/>
  <c r="D943" i="3"/>
  <c r="L943" i="3" s="1"/>
  <c r="H942" i="3"/>
  <c r="J942" i="3" s="1"/>
  <c r="G942" i="3"/>
  <c r="F942" i="3"/>
  <c r="E942" i="3"/>
  <c r="D942" i="3"/>
  <c r="L942" i="3" s="1"/>
  <c r="H941" i="3"/>
  <c r="K941" i="3" s="1"/>
  <c r="G941" i="3"/>
  <c r="F941" i="3"/>
  <c r="E941" i="3"/>
  <c r="D941" i="3"/>
  <c r="L941" i="3" s="1"/>
  <c r="I940" i="3"/>
  <c r="H940" i="3"/>
  <c r="J940" i="3" s="1"/>
  <c r="G940" i="3"/>
  <c r="F940" i="3"/>
  <c r="E940" i="3"/>
  <c r="D940" i="3"/>
  <c r="L940" i="3" s="1"/>
  <c r="J939" i="3"/>
  <c r="H939" i="3"/>
  <c r="K939" i="3" s="1"/>
  <c r="G939" i="3"/>
  <c r="F939" i="3"/>
  <c r="E939" i="3"/>
  <c r="D939" i="3"/>
  <c r="L939" i="3" s="1"/>
  <c r="K938" i="3"/>
  <c r="J938" i="3"/>
  <c r="I938" i="3"/>
  <c r="H938" i="3"/>
  <c r="G938" i="3"/>
  <c r="F938" i="3"/>
  <c r="E938" i="3"/>
  <c r="D938" i="3"/>
  <c r="L938" i="3" s="1"/>
  <c r="K937" i="3"/>
  <c r="J937" i="3"/>
  <c r="H937" i="3"/>
  <c r="I937" i="3" s="1"/>
  <c r="G937" i="3"/>
  <c r="F937" i="3"/>
  <c r="E937" i="3"/>
  <c r="D937" i="3"/>
  <c r="L937" i="3" s="1"/>
  <c r="K936" i="3"/>
  <c r="J936" i="3"/>
  <c r="I936" i="3"/>
  <c r="H936" i="3"/>
  <c r="G936" i="3"/>
  <c r="F936" i="3"/>
  <c r="E936" i="3"/>
  <c r="D936" i="3"/>
  <c r="L936" i="3" s="1"/>
  <c r="H935" i="3"/>
  <c r="I935" i="3" s="1"/>
  <c r="G935" i="3"/>
  <c r="F935" i="3"/>
  <c r="E935" i="3"/>
  <c r="D935" i="3"/>
  <c r="L935" i="3" s="1"/>
  <c r="K934" i="3"/>
  <c r="H934" i="3"/>
  <c r="J934" i="3" s="1"/>
  <c r="G934" i="3"/>
  <c r="F934" i="3"/>
  <c r="E934" i="3"/>
  <c r="D934" i="3"/>
  <c r="L934" i="3" s="1"/>
  <c r="H933" i="3"/>
  <c r="K933" i="3" s="1"/>
  <c r="G933" i="3"/>
  <c r="F933" i="3"/>
  <c r="E933" i="3"/>
  <c r="D933" i="3"/>
  <c r="L933" i="3" s="1"/>
  <c r="K932" i="3"/>
  <c r="I932" i="3"/>
  <c r="H932" i="3"/>
  <c r="J932" i="3" s="1"/>
  <c r="G932" i="3"/>
  <c r="F932" i="3"/>
  <c r="E932" i="3"/>
  <c r="D932" i="3"/>
  <c r="L932" i="3" s="1"/>
  <c r="H931" i="3"/>
  <c r="K931" i="3" s="1"/>
  <c r="G931" i="3"/>
  <c r="F931" i="3"/>
  <c r="E931" i="3"/>
  <c r="D931" i="3"/>
  <c r="L931" i="3" s="1"/>
  <c r="H930" i="3"/>
  <c r="K930" i="3" s="1"/>
  <c r="G930" i="3"/>
  <c r="F930" i="3"/>
  <c r="E930" i="3"/>
  <c r="D930" i="3"/>
  <c r="L930" i="3" s="1"/>
  <c r="H929" i="3"/>
  <c r="I929" i="3" s="1"/>
  <c r="G929" i="3"/>
  <c r="F929" i="3"/>
  <c r="E929" i="3"/>
  <c r="D929" i="3"/>
  <c r="L929" i="3" s="1"/>
  <c r="H928" i="3"/>
  <c r="K928" i="3" s="1"/>
  <c r="G928" i="3"/>
  <c r="F928" i="3"/>
  <c r="E928" i="3"/>
  <c r="D928" i="3"/>
  <c r="L928" i="3" s="1"/>
  <c r="H927" i="3"/>
  <c r="I927" i="3" s="1"/>
  <c r="G927" i="3"/>
  <c r="F927" i="3"/>
  <c r="E927" i="3"/>
  <c r="D927" i="3"/>
  <c r="L927" i="3" s="1"/>
  <c r="K926" i="3"/>
  <c r="I926" i="3"/>
  <c r="H926" i="3"/>
  <c r="J926" i="3" s="1"/>
  <c r="G926" i="3"/>
  <c r="F926" i="3"/>
  <c r="E926" i="3"/>
  <c r="D926" i="3"/>
  <c r="L926" i="3" s="1"/>
  <c r="H925" i="3"/>
  <c r="K925" i="3" s="1"/>
  <c r="G925" i="3"/>
  <c r="F925" i="3"/>
  <c r="E925" i="3"/>
  <c r="D925" i="3"/>
  <c r="L925" i="3" s="1"/>
  <c r="H924" i="3"/>
  <c r="J924" i="3" s="1"/>
  <c r="G924" i="3"/>
  <c r="F924" i="3"/>
  <c r="E924" i="3"/>
  <c r="D924" i="3"/>
  <c r="L924" i="3" s="1"/>
  <c r="G923" i="3"/>
  <c r="H923" i="3" s="1"/>
  <c r="F923" i="3"/>
  <c r="E923" i="3"/>
  <c r="D923" i="3"/>
  <c r="L923" i="3" s="1"/>
  <c r="G922" i="3"/>
  <c r="F922" i="3"/>
  <c r="E922" i="3"/>
  <c r="D922" i="3"/>
  <c r="L922" i="3" s="1"/>
  <c r="G921" i="3"/>
  <c r="F921" i="3"/>
  <c r="E921" i="3"/>
  <c r="D921" i="3"/>
  <c r="L921" i="3" s="1"/>
  <c r="G920" i="3"/>
  <c r="F920" i="3"/>
  <c r="E920" i="3"/>
  <c r="D920" i="3"/>
  <c r="L920" i="3" s="1"/>
  <c r="G919" i="3"/>
  <c r="F919" i="3"/>
  <c r="E919" i="3"/>
  <c r="D919" i="3"/>
  <c r="L919" i="3" s="1"/>
  <c r="G918" i="3"/>
  <c r="F918" i="3"/>
  <c r="E918" i="3"/>
  <c r="D918" i="3"/>
  <c r="L918" i="3" s="1"/>
  <c r="H917" i="3"/>
  <c r="G917" i="3"/>
  <c r="F917" i="3"/>
  <c r="E917" i="3"/>
  <c r="D917" i="3"/>
  <c r="L917" i="3" s="1"/>
  <c r="G916" i="3"/>
  <c r="F916" i="3"/>
  <c r="E916" i="3"/>
  <c r="D916" i="3"/>
  <c r="L916" i="3" s="1"/>
  <c r="G915" i="3"/>
  <c r="F915" i="3"/>
  <c r="E915" i="3"/>
  <c r="H915" i="3" s="1"/>
  <c r="D915" i="3"/>
  <c r="L915" i="3" s="1"/>
  <c r="G914" i="3"/>
  <c r="F914" i="3"/>
  <c r="E914" i="3"/>
  <c r="D914" i="3"/>
  <c r="L914" i="3" s="1"/>
  <c r="G913" i="3"/>
  <c r="F913" i="3"/>
  <c r="H913" i="3" s="1"/>
  <c r="E913" i="3"/>
  <c r="D913" i="3"/>
  <c r="L913" i="3" s="1"/>
  <c r="G912" i="3"/>
  <c r="F912" i="3"/>
  <c r="E912" i="3"/>
  <c r="D912" i="3"/>
  <c r="L912" i="3" s="1"/>
  <c r="G911" i="3"/>
  <c r="F911" i="3"/>
  <c r="H911" i="3" s="1"/>
  <c r="E911" i="3"/>
  <c r="D911" i="3"/>
  <c r="L911" i="3" s="1"/>
  <c r="G910" i="3"/>
  <c r="F910" i="3"/>
  <c r="E910" i="3"/>
  <c r="D910" i="3"/>
  <c r="L910" i="3" s="1"/>
  <c r="G909" i="3"/>
  <c r="H909" i="3" s="1"/>
  <c r="F909" i="3"/>
  <c r="E909" i="3"/>
  <c r="D909" i="3"/>
  <c r="L909" i="3" s="1"/>
  <c r="G908" i="3"/>
  <c r="F908" i="3"/>
  <c r="E908" i="3"/>
  <c r="D908" i="3"/>
  <c r="L908" i="3" s="1"/>
  <c r="G907" i="3"/>
  <c r="F907" i="3"/>
  <c r="E907" i="3"/>
  <c r="H907" i="3" s="1"/>
  <c r="D907" i="3"/>
  <c r="L907" i="3" s="1"/>
  <c r="G906" i="3"/>
  <c r="H906" i="3" s="1"/>
  <c r="F906" i="3"/>
  <c r="E906" i="3"/>
  <c r="D906" i="3"/>
  <c r="L906" i="3" s="1"/>
  <c r="G905" i="3"/>
  <c r="F905" i="3"/>
  <c r="E905" i="3"/>
  <c r="D905" i="3"/>
  <c r="L905" i="3" s="1"/>
  <c r="G904" i="3"/>
  <c r="H904" i="3" s="1"/>
  <c r="F904" i="3"/>
  <c r="E904" i="3"/>
  <c r="D904" i="3"/>
  <c r="L904" i="3" s="1"/>
  <c r="G903" i="3"/>
  <c r="F903" i="3"/>
  <c r="E903" i="3"/>
  <c r="D903" i="3"/>
  <c r="L903" i="3" s="1"/>
  <c r="G902" i="3"/>
  <c r="H902" i="3" s="1"/>
  <c r="F902" i="3"/>
  <c r="E902" i="3"/>
  <c r="D902" i="3"/>
  <c r="L902" i="3" s="1"/>
  <c r="G901" i="3"/>
  <c r="F901" i="3"/>
  <c r="E901" i="3"/>
  <c r="D901" i="3"/>
  <c r="L901" i="3" s="1"/>
  <c r="G900" i="3"/>
  <c r="F900" i="3"/>
  <c r="E900" i="3"/>
  <c r="D900" i="3"/>
  <c r="L900" i="3" s="1"/>
  <c r="G899" i="3"/>
  <c r="F899" i="3"/>
  <c r="E899" i="3"/>
  <c r="D899" i="3"/>
  <c r="L899" i="3" s="1"/>
  <c r="G898" i="3"/>
  <c r="F898" i="3"/>
  <c r="E898" i="3"/>
  <c r="D898" i="3"/>
  <c r="L898" i="3" s="1"/>
  <c r="G897" i="3"/>
  <c r="F897" i="3"/>
  <c r="H897" i="3" s="1"/>
  <c r="E897" i="3"/>
  <c r="D897" i="3"/>
  <c r="L897" i="3" s="1"/>
  <c r="G896" i="3"/>
  <c r="F896" i="3"/>
  <c r="E896" i="3"/>
  <c r="D896" i="3"/>
  <c r="L896" i="3" s="1"/>
  <c r="G895" i="3"/>
  <c r="F895" i="3"/>
  <c r="H895" i="3" s="1"/>
  <c r="E895" i="3"/>
  <c r="D895" i="3"/>
  <c r="L895" i="3" s="1"/>
  <c r="G894" i="3"/>
  <c r="F894" i="3"/>
  <c r="E894" i="3"/>
  <c r="D894" i="3"/>
  <c r="L894" i="3" s="1"/>
  <c r="G893" i="3"/>
  <c r="F893" i="3"/>
  <c r="E893" i="3"/>
  <c r="D893" i="3"/>
  <c r="L893" i="3" s="1"/>
  <c r="G892" i="3"/>
  <c r="H892" i="3" s="1"/>
  <c r="F892" i="3"/>
  <c r="E892" i="3"/>
  <c r="D892" i="3"/>
  <c r="L892" i="3" s="1"/>
  <c r="G891" i="3"/>
  <c r="H891" i="3" s="1"/>
  <c r="F891" i="3"/>
  <c r="E891" i="3"/>
  <c r="D891" i="3"/>
  <c r="L891" i="3" s="1"/>
  <c r="G890" i="3"/>
  <c r="F890" i="3"/>
  <c r="E890" i="3"/>
  <c r="D890" i="3"/>
  <c r="L890" i="3" s="1"/>
  <c r="G889" i="3"/>
  <c r="F889" i="3"/>
  <c r="E889" i="3"/>
  <c r="D889" i="3"/>
  <c r="L889" i="3" s="1"/>
  <c r="G888" i="3"/>
  <c r="F888" i="3"/>
  <c r="E888" i="3"/>
  <c r="D888" i="3"/>
  <c r="L888" i="3" s="1"/>
  <c r="G887" i="3"/>
  <c r="F887" i="3"/>
  <c r="E887" i="3"/>
  <c r="D887" i="3"/>
  <c r="L887" i="3" s="1"/>
  <c r="G886" i="3"/>
  <c r="F886" i="3"/>
  <c r="E886" i="3"/>
  <c r="D886" i="3"/>
  <c r="L886" i="3" s="1"/>
  <c r="H885" i="3"/>
  <c r="G885" i="3"/>
  <c r="F885" i="3"/>
  <c r="E885" i="3"/>
  <c r="D885" i="3"/>
  <c r="L885" i="3" s="1"/>
  <c r="G884" i="3"/>
  <c r="F884" i="3"/>
  <c r="E884" i="3"/>
  <c r="D884" i="3"/>
  <c r="L884" i="3" s="1"/>
  <c r="G883" i="3"/>
  <c r="F883" i="3"/>
  <c r="E883" i="3"/>
  <c r="H883" i="3" s="1"/>
  <c r="D883" i="3"/>
  <c r="L883" i="3" s="1"/>
  <c r="G882" i="3"/>
  <c r="F882" i="3"/>
  <c r="E882" i="3"/>
  <c r="D882" i="3"/>
  <c r="L882" i="3" s="1"/>
  <c r="G881" i="3"/>
  <c r="F881" i="3"/>
  <c r="E881" i="3"/>
  <c r="D881" i="3"/>
  <c r="L881" i="3" s="1"/>
  <c r="G880" i="3"/>
  <c r="F880" i="3"/>
  <c r="E880" i="3"/>
  <c r="D880" i="3"/>
  <c r="L880" i="3" s="1"/>
  <c r="G879" i="3"/>
  <c r="F879" i="3"/>
  <c r="E879" i="3"/>
  <c r="D879" i="3"/>
  <c r="L879" i="3" s="1"/>
  <c r="G878" i="3"/>
  <c r="F878" i="3"/>
  <c r="E878" i="3"/>
  <c r="D878" i="3"/>
  <c r="L878" i="3" s="1"/>
  <c r="G877" i="3"/>
  <c r="H877" i="3" s="1"/>
  <c r="F877" i="3"/>
  <c r="E877" i="3"/>
  <c r="D877" i="3"/>
  <c r="L877" i="3" s="1"/>
  <c r="G876" i="3"/>
  <c r="H876" i="3" s="1"/>
  <c r="F876" i="3"/>
  <c r="E876" i="3"/>
  <c r="D876" i="3"/>
  <c r="L876" i="3" s="1"/>
  <c r="G875" i="3"/>
  <c r="H875" i="3" s="1"/>
  <c r="F875" i="3"/>
  <c r="E875" i="3"/>
  <c r="D875" i="3"/>
  <c r="L875" i="3" s="1"/>
  <c r="G874" i="3"/>
  <c r="H874" i="3" s="1"/>
  <c r="F874" i="3"/>
  <c r="E874" i="3"/>
  <c r="D874" i="3"/>
  <c r="L874" i="3" s="1"/>
  <c r="G873" i="3"/>
  <c r="F873" i="3"/>
  <c r="E873" i="3"/>
  <c r="D873" i="3"/>
  <c r="L873" i="3" s="1"/>
  <c r="G872" i="3"/>
  <c r="H872" i="3" s="1"/>
  <c r="F872" i="3"/>
  <c r="E872" i="3"/>
  <c r="D872" i="3"/>
  <c r="L872" i="3" s="1"/>
  <c r="G871" i="3"/>
  <c r="F871" i="3"/>
  <c r="E871" i="3"/>
  <c r="D871" i="3"/>
  <c r="L871" i="3" s="1"/>
  <c r="G870" i="3"/>
  <c r="H870" i="3" s="1"/>
  <c r="F870" i="3"/>
  <c r="E870" i="3"/>
  <c r="D870" i="3"/>
  <c r="L870" i="3" s="1"/>
  <c r="G869" i="3"/>
  <c r="F869" i="3"/>
  <c r="E869" i="3"/>
  <c r="D869" i="3"/>
  <c r="L869" i="3" s="1"/>
  <c r="G868" i="3"/>
  <c r="H868" i="3" s="1"/>
  <c r="F868" i="3"/>
  <c r="E868" i="3"/>
  <c r="D868" i="3"/>
  <c r="L868" i="3" s="1"/>
  <c r="G867" i="3"/>
  <c r="F867" i="3"/>
  <c r="E867" i="3"/>
  <c r="D867" i="3"/>
  <c r="L867" i="3" s="1"/>
  <c r="G866" i="3"/>
  <c r="F866" i="3"/>
  <c r="E866" i="3"/>
  <c r="D866" i="3"/>
  <c r="L866" i="3" s="1"/>
  <c r="G865" i="3"/>
  <c r="F865" i="3"/>
  <c r="E865" i="3"/>
  <c r="D865" i="3"/>
  <c r="L865" i="3" s="1"/>
  <c r="G864" i="3"/>
  <c r="F864" i="3"/>
  <c r="E864" i="3"/>
  <c r="D864" i="3"/>
  <c r="L864" i="3" s="1"/>
  <c r="G863" i="3"/>
  <c r="F863" i="3"/>
  <c r="H863" i="3" s="1"/>
  <c r="E863" i="3"/>
  <c r="D863" i="3"/>
  <c r="L863" i="3" s="1"/>
  <c r="G862" i="3"/>
  <c r="F862" i="3"/>
  <c r="E862" i="3"/>
  <c r="D862" i="3"/>
  <c r="L862" i="3" s="1"/>
  <c r="G861" i="3"/>
  <c r="F861" i="3"/>
  <c r="E861" i="3"/>
  <c r="D861" i="3"/>
  <c r="L861" i="3" s="1"/>
  <c r="G860" i="3"/>
  <c r="F860" i="3"/>
  <c r="E860" i="3"/>
  <c r="D860" i="3"/>
  <c r="L860" i="3" s="1"/>
  <c r="G859" i="3"/>
  <c r="H859" i="3" s="1"/>
  <c r="F859" i="3"/>
  <c r="E859" i="3"/>
  <c r="D859" i="3"/>
  <c r="L859" i="3" s="1"/>
  <c r="G858" i="3"/>
  <c r="F858" i="3"/>
  <c r="E858" i="3"/>
  <c r="D858" i="3"/>
  <c r="L858" i="3" s="1"/>
  <c r="G857" i="3"/>
  <c r="F857" i="3"/>
  <c r="E857" i="3"/>
  <c r="D857" i="3"/>
  <c r="L857" i="3" s="1"/>
  <c r="G856" i="3"/>
  <c r="F856" i="3"/>
  <c r="E856" i="3"/>
  <c r="D856" i="3"/>
  <c r="L856" i="3" s="1"/>
  <c r="G855" i="3"/>
  <c r="F855" i="3"/>
  <c r="E855" i="3"/>
  <c r="D855" i="3"/>
  <c r="L855" i="3" s="1"/>
  <c r="G854" i="3"/>
  <c r="F854" i="3"/>
  <c r="E854" i="3"/>
  <c r="D854" i="3"/>
  <c r="L854" i="3" s="1"/>
  <c r="H853" i="3"/>
  <c r="G853" i="3"/>
  <c r="F853" i="3"/>
  <c r="E853" i="3"/>
  <c r="D853" i="3"/>
  <c r="L853" i="3" s="1"/>
  <c r="G852" i="3"/>
  <c r="F852" i="3"/>
  <c r="E852" i="3"/>
  <c r="D852" i="3"/>
  <c r="L852" i="3" s="1"/>
  <c r="H851" i="3"/>
  <c r="G851" i="3"/>
  <c r="F851" i="3"/>
  <c r="E851" i="3"/>
  <c r="D851" i="3"/>
  <c r="L851" i="3" s="1"/>
  <c r="G850" i="3"/>
  <c r="F850" i="3"/>
  <c r="E850" i="3"/>
  <c r="D850" i="3"/>
  <c r="L850" i="3" s="1"/>
  <c r="G849" i="3"/>
  <c r="F849" i="3"/>
  <c r="H849" i="3" s="1"/>
  <c r="E849" i="3"/>
  <c r="D849" i="3"/>
  <c r="L849" i="3" s="1"/>
  <c r="G848" i="3"/>
  <c r="F848" i="3"/>
  <c r="E848" i="3"/>
  <c r="D848" i="3"/>
  <c r="L848" i="3" s="1"/>
  <c r="G847" i="3"/>
  <c r="F847" i="3"/>
  <c r="E847" i="3"/>
  <c r="D847" i="3"/>
  <c r="L847" i="3" s="1"/>
  <c r="G846" i="3"/>
  <c r="F846" i="3"/>
  <c r="E846" i="3"/>
  <c r="D846" i="3"/>
  <c r="L846" i="3" s="1"/>
  <c r="G845" i="3"/>
  <c r="F845" i="3"/>
  <c r="E845" i="3"/>
  <c r="D845" i="3"/>
  <c r="L845" i="3" s="1"/>
  <c r="G844" i="3"/>
  <c r="H844" i="3" s="1"/>
  <c r="F844" i="3"/>
  <c r="E844" i="3"/>
  <c r="D844" i="3"/>
  <c r="L844" i="3" s="1"/>
  <c r="G843" i="3"/>
  <c r="H843" i="3" s="1"/>
  <c r="F843" i="3"/>
  <c r="E843" i="3"/>
  <c r="D843" i="3"/>
  <c r="L843" i="3" s="1"/>
  <c r="G842" i="3"/>
  <c r="F842" i="3"/>
  <c r="E842" i="3"/>
  <c r="D842" i="3"/>
  <c r="L842" i="3" s="1"/>
  <c r="G841" i="3"/>
  <c r="F841" i="3"/>
  <c r="E841" i="3"/>
  <c r="D841" i="3"/>
  <c r="L841" i="3" s="1"/>
  <c r="G840" i="3"/>
  <c r="F840" i="3"/>
  <c r="E840" i="3"/>
  <c r="D840" i="3"/>
  <c r="L840" i="3" s="1"/>
  <c r="L839" i="3"/>
  <c r="G839" i="3"/>
  <c r="H839" i="3" s="1"/>
  <c r="F839" i="3"/>
  <c r="E839" i="3"/>
  <c r="D839" i="3"/>
  <c r="G838" i="3"/>
  <c r="F838" i="3"/>
  <c r="E838" i="3"/>
  <c r="D838" i="3"/>
  <c r="L838" i="3" s="1"/>
  <c r="H837" i="3"/>
  <c r="G837" i="3"/>
  <c r="F837" i="3"/>
  <c r="E837" i="3"/>
  <c r="D837" i="3"/>
  <c r="L837" i="3" s="1"/>
  <c r="G836" i="3"/>
  <c r="F836" i="3"/>
  <c r="E836" i="3"/>
  <c r="D836" i="3"/>
  <c r="L836" i="3" s="1"/>
  <c r="L835" i="3"/>
  <c r="G835" i="3"/>
  <c r="F835" i="3"/>
  <c r="H835" i="3" s="1"/>
  <c r="E835" i="3"/>
  <c r="D835" i="3"/>
  <c r="G834" i="3"/>
  <c r="F834" i="3"/>
  <c r="E834" i="3"/>
  <c r="D834" i="3"/>
  <c r="L834" i="3" s="1"/>
  <c r="G833" i="3"/>
  <c r="F833" i="3"/>
  <c r="E833" i="3"/>
  <c r="D833" i="3"/>
  <c r="L833" i="3" s="1"/>
  <c r="G832" i="3"/>
  <c r="F832" i="3"/>
  <c r="E832" i="3"/>
  <c r="D832" i="3"/>
  <c r="L832" i="3" s="1"/>
  <c r="G831" i="3"/>
  <c r="F831" i="3"/>
  <c r="E831" i="3"/>
  <c r="H831" i="3" s="1"/>
  <c r="D831" i="3"/>
  <c r="L831" i="3" s="1"/>
  <c r="G830" i="3"/>
  <c r="F830" i="3"/>
  <c r="E830" i="3"/>
  <c r="D830" i="3"/>
  <c r="L830" i="3" s="1"/>
  <c r="G829" i="3"/>
  <c r="F829" i="3"/>
  <c r="E829" i="3"/>
  <c r="H829" i="3" s="1"/>
  <c r="D829" i="3"/>
  <c r="L829" i="3" s="1"/>
  <c r="G828" i="3"/>
  <c r="F828" i="3"/>
  <c r="E828" i="3"/>
  <c r="D828" i="3"/>
  <c r="L828" i="3" s="1"/>
  <c r="G827" i="3"/>
  <c r="F827" i="3"/>
  <c r="E827" i="3"/>
  <c r="D827" i="3"/>
  <c r="L827" i="3" s="1"/>
  <c r="G826" i="3"/>
  <c r="F826" i="3"/>
  <c r="E826" i="3"/>
  <c r="D826" i="3"/>
  <c r="L826" i="3" s="1"/>
  <c r="G825" i="3"/>
  <c r="F825" i="3"/>
  <c r="H825" i="3" s="1"/>
  <c r="E825" i="3"/>
  <c r="D825" i="3"/>
  <c r="L825" i="3" s="1"/>
  <c r="G824" i="3"/>
  <c r="F824" i="3"/>
  <c r="E824" i="3"/>
  <c r="D824" i="3"/>
  <c r="L824" i="3" s="1"/>
  <c r="L823" i="3"/>
  <c r="G823" i="3"/>
  <c r="F823" i="3"/>
  <c r="E823" i="3"/>
  <c r="D823" i="3"/>
  <c r="G822" i="3"/>
  <c r="F822" i="3"/>
  <c r="E822" i="3"/>
  <c r="D822" i="3"/>
  <c r="L822" i="3" s="1"/>
  <c r="G821" i="3"/>
  <c r="F821" i="3"/>
  <c r="E821" i="3"/>
  <c r="D821" i="3"/>
  <c r="L821" i="3" s="1"/>
  <c r="G820" i="3"/>
  <c r="H820" i="3" s="1"/>
  <c r="F820" i="3"/>
  <c r="E820" i="3"/>
  <c r="D820" i="3"/>
  <c r="L820" i="3" s="1"/>
  <c r="L819" i="3"/>
  <c r="H819" i="3"/>
  <c r="G819" i="3"/>
  <c r="F819" i="3"/>
  <c r="E819" i="3"/>
  <c r="D819" i="3"/>
  <c r="G818" i="3"/>
  <c r="F818" i="3"/>
  <c r="E818" i="3"/>
  <c r="D818" i="3"/>
  <c r="L818" i="3" s="1"/>
  <c r="L817" i="3"/>
  <c r="G817" i="3"/>
  <c r="F817" i="3"/>
  <c r="H817" i="3" s="1"/>
  <c r="E817" i="3"/>
  <c r="D817" i="3"/>
  <c r="G816" i="3"/>
  <c r="F816" i="3"/>
  <c r="E816" i="3"/>
  <c r="D816" i="3"/>
  <c r="L816" i="3" s="1"/>
  <c r="G815" i="3"/>
  <c r="F815" i="3"/>
  <c r="H815" i="3" s="1"/>
  <c r="E815" i="3"/>
  <c r="D815" i="3"/>
  <c r="L815" i="3" s="1"/>
  <c r="G814" i="3"/>
  <c r="F814" i="3"/>
  <c r="E814" i="3"/>
  <c r="D814" i="3"/>
  <c r="L814" i="3" s="1"/>
  <c r="G813" i="3"/>
  <c r="H813" i="3" s="1"/>
  <c r="F813" i="3"/>
  <c r="E813" i="3"/>
  <c r="D813" i="3"/>
  <c r="L813" i="3" s="1"/>
  <c r="G812" i="3"/>
  <c r="F812" i="3"/>
  <c r="E812" i="3"/>
  <c r="D812" i="3"/>
  <c r="L812" i="3" s="1"/>
  <c r="G811" i="3"/>
  <c r="F811" i="3"/>
  <c r="E811" i="3"/>
  <c r="D811" i="3"/>
  <c r="L811" i="3" s="1"/>
  <c r="G810" i="3"/>
  <c r="F810" i="3"/>
  <c r="E810" i="3"/>
  <c r="D810" i="3"/>
  <c r="L810" i="3" s="1"/>
  <c r="G809" i="3"/>
  <c r="F809" i="3"/>
  <c r="E809" i="3"/>
  <c r="D809" i="3"/>
  <c r="L809" i="3" s="1"/>
  <c r="G808" i="3"/>
  <c r="F808" i="3"/>
  <c r="E808" i="3"/>
  <c r="D808" i="3"/>
  <c r="L808" i="3" s="1"/>
  <c r="G807" i="3"/>
  <c r="F807" i="3"/>
  <c r="E807" i="3"/>
  <c r="D807" i="3"/>
  <c r="L807" i="3" s="1"/>
  <c r="G806" i="3"/>
  <c r="F806" i="3"/>
  <c r="E806" i="3"/>
  <c r="D806" i="3"/>
  <c r="L806" i="3" s="1"/>
  <c r="G805" i="3"/>
  <c r="H805" i="3" s="1"/>
  <c r="F805" i="3"/>
  <c r="E805" i="3"/>
  <c r="D805" i="3"/>
  <c r="L805" i="3" s="1"/>
  <c r="G804" i="3"/>
  <c r="F804" i="3"/>
  <c r="E804" i="3"/>
  <c r="D804" i="3"/>
  <c r="L804" i="3" s="1"/>
  <c r="L803" i="3"/>
  <c r="H803" i="3"/>
  <c r="G803" i="3"/>
  <c r="F803" i="3"/>
  <c r="E803" i="3"/>
  <c r="D803" i="3"/>
  <c r="G802" i="3"/>
  <c r="F802" i="3"/>
  <c r="E802" i="3"/>
  <c r="D802" i="3"/>
  <c r="L802" i="3" s="1"/>
  <c r="L801" i="3"/>
  <c r="G801" i="3"/>
  <c r="F801" i="3"/>
  <c r="H801" i="3" s="1"/>
  <c r="E801" i="3"/>
  <c r="D801" i="3"/>
  <c r="G800" i="3"/>
  <c r="F800" i="3"/>
  <c r="E800" i="3"/>
  <c r="D800" i="3"/>
  <c r="L800" i="3" s="1"/>
  <c r="G799" i="3"/>
  <c r="F799" i="3"/>
  <c r="E799" i="3"/>
  <c r="D799" i="3"/>
  <c r="L799" i="3" s="1"/>
  <c r="G798" i="3"/>
  <c r="F798" i="3"/>
  <c r="E798" i="3"/>
  <c r="D798" i="3"/>
  <c r="L798" i="3" s="1"/>
  <c r="H797" i="3"/>
  <c r="G797" i="3"/>
  <c r="F797" i="3"/>
  <c r="E797" i="3"/>
  <c r="D797" i="3"/>
  <c r="L797" i="3" s="1"/>
  <c r="G796" i="3"/>
  <c r="F796" i="3"/>
  <c r="E796" i="3"/>
  <c r="D796" i="3"/>
  <c r="L796" i="3" s="1"/>
  <c r="G795" i="3"/>
  <c r="F795" i="3"/>
  <c r="E795" i="3"/>
  <c r="D795" i="3"/>
  <c r="L795" i="3" s="1"/>
  <c r="G794" i="3"/>
  <c r="H794" i="3" s="1"/>
  <c r="F794" i="3"/>
  <c r="E794" i="3"/>
  <c r="D794" i="3"/>
  <c r="L794" i="3" s="1"/>
  <c r="G793" i="3"/>
  <c r="F793" i="3"/>
  <c r="H793" i="3" s="1"/>
  <c r="E793" i="3"/>
  <c r="D793" i="3"/>
  <c r="L793" i="3" s="1"/>
  <c r="G792" i="3"/>
  <c r="F792" i="3"/>
  <c r="E792" i="3"/>
  <c r="D792" i="3"/>
  <c r="L792" i="3" s="1"/>
  <c r="G791" i="3"/>
  <c r="F791" i="3"/>
  <c r="E791" i="3"/>
  <c r="D791" i="3"/>
  <c r="L791" i="3" s="1"/>
  <c r="G790" i="3"/>
  <c r="F790" i="3"/>
  <c r="E790" i="3"/>
  <c r="D790" i="3"/>
  <c r="L790" i="3" s="1"/>
  <c r="H789" i="3"/>
  <c r="G789" i="3"/>
  <c r="F789" i="3"/>
  <c r="E789" i="3"/>
  <c r="D789" i="3"/>
  <c r="L789" i="3" s="1"/>
  <c r="G788" i="3"/>
  <c r="F788" i="3"/>
  <c r="E788" i="3"/>
  <c r="D788" i="3"/>
  <c r="L788" i="3" s="1"/>
  <c r="L787" i="3"/>
  <c r="G787" i="3"/>
  <c r="F787" i="3"/>
  <c r="E787" i="3"/>
  <c r="H787" i="3" s="1"/>
  <c r="D787" i="3"/>
  <c r="G786" i="3"/>
  <c r="F786" i="3"/>
  <c r="E786" i="3"/>
  <c r="D786" i="3"/>
  <c r="L786" i="3" s="1"/>
  <c r="L785" i="3"/>
  <c r="G785" i="3"/>
  <c r="F785" i="3"/>
  <c r="H785" i="3" s="1"/>
  <c r="E785" i="3"/>
  <c r="D785" i="3"/>
  <c r="G784" i="3"/>
  <c r="F784" i="3"/>
  <c r="E784" i="3"/>
  <c r="D784" i="3"/>
  <c r="L784" i="3" s="1"/>
  <c r="G783" i="3"/>
  <c r="F783" i="3"/>
  <c r="E783" i="3"/>
  <c r="D783" i="3"/>
  <c r="L783" i="3" s="1"/>
  <c r="G782" i="3"/>
  <c r="F782" i="3"/>
  <c r="E782" i="3"/>
  <c r="D782" i="3"/>
  <c r="L782" i="3" s="1"/>
  <c r="H781" i="3"/>
  <c r="G781" i="3"/>
  <c r="F781" i="3"/>
  <c r="E781" i="3"/>
  <c r="D781" i="3"/>
  <c r="L781" i="3" s="1"/>
  <c r="G780" i="3"/>
  <c r="F780" i="3"/>
  <c r="E780" i="3"/>
  <c r="D780" i="3"/>
  <c r="L780" i="3" s="1"/>
  <c r="G779" i="3"/>
  <c r="F779" i="3"/>
  <c r="E779" i="3"/>
  <c r="D779" i="3"/>
  <c r="L779" i="3" s="1"/>
  <c r="G778" i="3"/>
  <c r="H778" i="3" s="1"/>
  <c r="F778" i="3"/>
  <c r="E778" i="3"/>
  <c r="D778" i="3"/>
  <c r="L778" i="3" s="1"/>
  <c r="G777" i="3"/>
  <c r="F777" i="3"/>
  <c r="E777" i="3"/>
  <c r="D777" i="3"/>
  <c r="L777" i="3" s="1"/>
  <c r="G776" i="3"/>
  <c r="F776" i="3"/>
  <c r="E776" i="3"/>
  <c r="D776" i="3"/>
  <c r="L776" i="3" s="1"/>
  <c r="G775" i="3"/>
  <c r="F775" i="3"/>
  <c r="E775" i="3"/>
  <c r="D775" i="3"/>
  <c r="L775" i="3" s="1"/>
  <c r="G774" i="3"/>
  <c r="F774" i="3"/>
  <c r="E774" i="3"/>
  <c r="D774" i="3"/>
  <c r="L774" i="3" s="1"/>
  <c r="H773" i="3"/>
  <c r="G773" i="3"/>
  <c r="F773" i="3"/>
  <c r="E773" i="3"/>
  <c r="D773" i="3"/>
  <c r="L773" i="3" s="1"/>
  <c r="G772" i="3"/>
  <c r="F772" i="3"/>
  <c r="E772" i="3"/>
  <c r="D772" i="3"/>
  <c r="L772" i="3" s="1"/>
  <c r="L771" i="3"/>
  <c r="H771" i="3"/>
  <c r="G771" i="3"/>
  <c r="F771" i="3"/>
  <c r="E771" i="3"/>
  <c r="D771" i="3"/>
  <c r="G770" i="3"/>
  <c r="F770" i="3"/>
  <c r="E770" i="3"/>
  <c r="D770" i="3"/>
  <c r="L770" i="3" s="1"/>
  <c r="L769" i="3"/>
  <c r="G769" i="3"/>
  <c r="F769" i="3"/>
  <c r="H769" i="3" s="1"/>
  <c r="E769" i="3"/>
  <c r="D769" i="3"/>
  <c r="G768" i="3"/>
  <c r="F768" i="3"/>
  <c r="E768" i="3"/>
  <c r="D768" i="3"/>
  <c r="L768" i="3" s="1"/>
  <c r="G767" i="3"/>
  <c r="F767" i="3"/>
  <c r="E767" i="3"/>
  <c r="D767" i="3"/>
  <c r="L767" i="3" s="1"/>
  <c r="G766" i="3"/>
  <c r="F766" i="3"/>
  <c r="E766" i="3"/>
  <c r="D766" i="3"/>
  <c r="L766" i="3" s="1"/>
  <c r="G765" i="3"/>
  <c r="F765" i="3"/>
  <c r="E765" i="3"/>
  <c r="H765" i="3" s="1"/>
  <c r="D765" i="3"/>
  <c r="L765" i="3" s="1"/>
  <c r="G764" i="3"/>
  <c r="F764" i="3"/>
  <c r="E764" i="3"/>
  <c r="D764" i="3"/>
  <c r="L764" i="3" s="1"/>
  <c r="G763" i="3"/>
  <c r="F763" i="3"/>
  <c r="E763" i="3"/>
  <c r="D763" i="3"/>
  <c r="L763" i="3" s="1"/>
  <c r="G762" i="3"/>
  <c r="F762" i="3"/>
  <c r="E762" i="3"/>
  <c r="D762" i="3"/>
  <c r="L762" i="3" s="1"/>
  <c r="G761" i="3"/>
  <c r="F761" i="3"/>
  <c r="E761" i="3"/>
  <c r="D761" i="3"/>
  <c r="L761" i="3" s="1"/>
  <c r="G760" i="3"/>
  <c r="F760" i="3"/>
  <c r="E760" i="3"/>
  <c r="D760" i="3"/>
  <c r="L760" i="3" s="1"/>
  <c r="G759" i="3"/>
  <c r="F759" i="3"/>
  <c r="E759" i="3"/>
  <c r="D759" i="3"/>
  <c r="L759" i="3" s="1"/>
  <c r="G758" i="3"/>
  <c r="F758" i="3"/>
  <c r="E758" i="3"/>
  <c r="D758" i="3"/>
  <c r="L758" i="3" s="1"/>
  <c r="G757" i="3"/>
  <c r="H757" i="3" s="1"/>
  <c r="F757" i="3"/>
  <c r="E757" i="3"/>
  <c r="D757" i="3"/>
  <c r="L757" i="3" s="1"/>
  <c r="G756" i="3"/>
  <c r="F756" i="3"/>
  <c r="E756" i="3"/>
  <c r="D756" i="3"/>
  <c r="L756" i="3" s="1"/>
  <c r="L755" i="3"/>
  <c r="G755" i="3"/>
  <c r="H755" i="3" s="1"/>
  <c r="F755" i="3"/>
  <c r="E755" i="3"/>
  <c r="D755" i="3"/>
  <c r="G754" i="3"/>
  <c r="F754" i="3"/>
  <c r="E754" i="3"/>
  <c r="D754" i="3"/>
  <c r="L754" i="3" s="1"/>
  <c r="L753" i="3"/>
  <c r="G753" i="3"/>
  <c r="F753" i="3"/>
  <c r="H753" i="3" s="1"/>
  <c r="E753" i="3"/>
  <c r="D753" i="3"/>
  <c r="G752" i="3"/>
  <c r="F752" i="3"/>
  <c r="E752" i="3"/>
  <c r="D752" i="3"/>
  <c r="L752" i="3" s="1"/>
  <c r="G751" i="3"/>
  <c r="F751" i="3"/>
  <c r="E751" i="3"/>
  <c r="D751" i="3"/>
  <c r="L751" i="3" s="1"/>
  <c r="G750" i="3"/>
  <c r="F750" i="3"/>
  <c r="E750" i="3"/>
  <c r="D750" i="3"/>
  <c r="L750" i="3" s="1"/>
  <c r="G749" i="3"/>
  <c r="F749" i="3"/>
  <c r="E749" i="3"/>
  <c r="H749" i="3" s="1"/>
  <c r="D749" i="3"/>
  <c r="L749" i="3" s="1"/>
  <c r="G748" i="3"/>
  <c r="F748" i="3"/>
  <c r="E748" i="3"/>
  <c r="D748" i="3"/>
  <c r="L748" i="3" s="1"/>
  <c r="G747" i="3"/>
  <c r="F747" i="3"/>
  <c r="H747" i="3" s="1"/>
  <c r="E747" i="3"/>
  <c r="D747" i="3"/>
  <c r="L747" i="3" s="1"/>
  <c r="G746" i="3"/>
  <c r="F746" i="3"/>
  <c r="E746" i="3"/>
  <c r="D746" i="3"/>
  <c r="L746" i="3" s="1"/>
  <c r="G745" i="3"/>
  <c r="F745" i="3"/>
  <c r="H745" i="3" s="1"/>
  <c r="E745" i="3"/>
  <c r="D745" i="3"/>
  <c r="L745" i="3" s="1"/>
  <c r="G744" i="3"/>
  <c r="F744" i="3"/>
  <c r="E744" i="3"/>
  <c r="D744" i="3"/>
  <c r="L744" i="3" s="1"/>
  <c r="L743" i="3"/>
  <c r="G743" i="3"/>
  <c r="F743" i="3"/>
  <c r="E743" i="3"/>
  <c r="D743" i="3"/>
  <c r="G742" i="3"/>
  <c r="F742" i="3"/>
  <c r="E742" i="3"/>
  <c r="D742" i="3"/>
  <c r="L742" i="3" s="1"/>
  <c r="H741" i="3"/>
  <c r="G741" i="3"/>
  <c r="F741" i="3"/>
  <c r="E741" i="3"/>
  <c r="D741" i="3"/>
  <c r="L741" i="3" s="1"/>
  <c r="G740" i="3"/>
  <c r="F740" i="3"/>
  <c r="E740" i="3"/>
  <c r="D740" i="3"/>
  <c r="L740" i="3" s="1"/>
  <c r="L739" i="3"/>
  <c r="G739" i="3"/>
  <c r="H739" i="3" s="1"/>
  <c r="F739" i="3"/>
  <c r="E739" i="3"/>
  <c r="D739" i="3"/>
  <c r="G738" i="3"/>
  <c r="H738" i="3" s="1"/>
  <c r="F738" i="3"/>
  <c r="E738" i="3"/>
  <c r="D738" i="3"/>
  <c r="L738" i="3" s="1"/>
  <c r="G737" i="3"/>
  <c r="F737" i="3"/>
  <c r="H737" i="3" s="1"/>
  <c r="E737" i="3"/>
  <c r="D737" i="3"/>
  <c r="L737" i="3" s="1"/>
  <c r="G736" i="3"/>
  <c r="F736" i="3"/>
  <c r="E736" i="3"/>
  <c r="D736" i="3"/>
  <c r="L736" i="3" s="1"/>
  <c r="G735" i="3"/>
  <c r="F735" i="3"/>
  <c r="H735" i="3" s="1"/>
  <c r="E735" i="3"/>
  <c r="D735" i="3"/>
  <c r="L735" i="3" s="1"/>
  <c r="G734" i="3"/>
  <c r="F734" i="3"/>
  <c r="E734" i="3"/>
  <c r="D734" i="3"/>
  <c r="L734" i="3" s="1"/>
  <c r="G733" i="3"/>
  <c r="H733" i="3" s="1"/>
  <c r="F733" i="3"/>
  <c r="E733" i="3"/>
  <c r="D733" i="3"/>
  <c r="L733" i="3" s="1"/>
  <c r="G732" i="3"/>
  <c r="F732" i="3"/>
  <c r="E732" i="3"/>
  <c r="D732" i="3"/>
  <c r="L732" i="3" s="1"/>
  <c r="G731" i="3"/>
  <c r="F731" i="3"/>
  <c r="E731" i="3"/>
  <c r="D731" i="3"/>
  <c r="L731" i="3" s="1"/>
  <c r="G730" i="3"/>
  <c r="H730" i="3" s="1"/>
  <c r="F730" i="3"/>
  <c r="E730" i="3"/>
  <c r="D730" i="3"/>
  <c r="L730" i="3" s="1"/>
  <c r="L729" i="3"/>
  <c r="G729" i="3"/>
  <c r="F729" i="3"/>
  <c r="H729" i="3" s="1"/>
  <c r="E729" i="3"/>
  <c r="D729" i="3"/>
  <c r="G728" i="3"/>
  <c r="F728" i="3"/>
  <c r="E728" i="3"/>
  <c r="D728" i="3"/>
  <c r="L728" i="3" s="1"/>
  <c r="G727" i="3"/>
  <c r="H727" i="3" s="1"/>
  <c r="F727" i="3"/>
  <c r="E727" i="3"/>
  <c r="D727" i="3"/>
  <c r="L727" i="3" s="1"/>
  <c r="G726" i="3"/>
  <c r="F726" i="3"/>
  <c r="E726" i="3"/>
  <c r="D726" i="3"/>
  <c r="L726" i="3" s="1"/>
  <c r="H725" i="3"/>
  <c r="G725" i="3"/>
  <c r="F725" i="3"/>
  <c r="E725" i="3"/>
  <c r="D725" i="3"/>
  <c r="L725" i="3" s="1"/>
  <c r="G724" i="3"/>
  <c r="F724" i="3"/>
  <c r="E724" i="3"/>
  <c r="D724" i="3"/>
  <c r="L724" i="3" s="1"/>
  <c r="G723" i="3"/>
  <c r="F723" i="3"/>
  <c r="E723" i="3"/>
  <c r="D723" i="3"/>
  <c r="L723" i="3" s="1"/>
  <c r="G722" i="3"/>
  <c r="F722" i="3"/>
  <c r="E722" i="3"/>
  <c r="D722" i="3"/>
  <c r="L722" i="3" s="1"/>
  <c r="H721" i="3"/>
  <c r="G721" i="3"/>
  <c r="F721" i="3"/>
  <c r="E721" i="3"/>
  <c r="D721" i="3"/>
  <c r="L721" i="3" s="1"/>
  <c r="G720" i="3"/>
  <c r="H720" i="3" s="1"/>
  <c r="F720" i="3"/>
  <c r="E720" i="3"/>
  <c r="D720" i="3"/>
  <c r="L720" i="3" s="1"/>
  <c r="G719" i="3"/>
  <c r="F719" i="3"/>
  <c r="E719" i="3"/>
  <c r="D719" i="3"/>
  <c r="L719" i="3" s="1"/>
  <c r="G718" i="3"/>
  <c r="H718" i="3" s="1"/>
  <c r="F718" i="3"/>
  <c r="E718" i="3"/>
  <c r="D718" i="3"/>
  <c r="L718" i="3" s="1"/>
  <c r="G717" i="3"/>
  <c r="F717" i="3"/>
  <c r="E717" i="3"/>
  <c r="H717" i="3" s="1"/>
  <c r="D717" i="3"/>
  <c r="L717" i="3" s="1"/>
  <c r="G716" i="3"/>
  <c r="F716" i="3"/>
  <c r="E716" i="3"/>
  <c r="D716" i="3"/>
  <c r="L716" i="3" s="1"/>
  <c r="G715" i="3"/>
  <c r="F715" i="3"/>
  <c r="E715" i="3"/>
  <c r="D715" i="3"/>
  <c r="L715" i="3" s="1"/>
  <c r="G714" i="3"/>
  <c r="F714" i="3"/>
  <c r="E714" i="3"/>
  <c r="D714" i="3"/>
  <c r="L714" i="3" s="1"/>
  <c r="G713" i="3"/>
  <c r="H713" i="3" s="1"/>
  <c r="F713" i="3"/>
  <c r="E713" i="3"/>
  <c r="D713" i="3"/>
  <c r="L713" i="3" s="1"/>
  <c r="G712" i="3"/>
  <c r="H712" i="3" s="1"/>
  <c r="F712" i="3"/>
  <c r="E712" i="3"/>
  <c r="D712" i="3"/>
  <c r="L712" i="3" s="1"/>
  <c r="G711" i="3"/>
  <c r="F711" i="3"/>
  <c r="E711" i="3"/>
  <c r="H711" i="3" s="1"/>
  <c r="D711" i="3"/>
  <c r="L711" i="3" s="1"/>
  <c r="G710" i="3"/>
  <c r="H710" i="3" s="1"/>
  <c r="F710" i="3"/>
  <c r="E710" i="3"/>
  <c r="D710" i="3"/>
  <c r="L710" i="3" s="1"/>
  <c r="G709" i="3"/>
  <c r="H709" i="3" s="1"/>
  <c r="F709" i="3"/>
  <c r="E709" i="3"/>
  <c r="D709" i="3"/>
  <c r="L709" i="3" s="1"/>
  <c r="G708" i="3"/>
  <c r="F708" i="3"/>
  <c r="E708" i="3"/>
  <c r="D708" i="3"/>
  <c r="L708" i="3" s="1"/>
  <c r="G707" i="3"/>
  <c r="F707" i="3"/>
  <c r="H707" i="3" s="1"/>
  <c r="E707" i="3"/>
  <c r="D707" i="3"/>
  <c r="L707" i="3" s="1"/>
  <c r="G706" i="3"/>
  <c r="H706" i="3" s="1"/>
  <c r="F706" i="3"/>
  <c r="E706" i="3"/>
  <c r="D706" i="3"/>
  <c r="L706" i="3" s="1"/>
  <c r="G705" i="3"/>
  <c r="H705" i="3" s="1"/>
  <c r="F705" i="3"/>
  <c r="E705" i="3"/>
  <c r="D705" i="3"/>
  <c r="L705" i="3" s="1"/>
  <c r="G704" i="3"/>
  <c r="H704" i="3" s="1"/>
  <c r="F704" i="3"/>
  <c r="E704" i="3"/>
  <c r="D704" i="3"/>
  <c r="L704" i="3" s="1"/>
  <c r="G703" i="3"/>
  <c r="F703" i="3"/>
  <c r="E703" i="3"/>
  <c r="D703" i="3"/>
  <c r="L703" i="3" s="1"/>
  <c r="G702" i="3"/>
  <c r="H702" i="3" s="1"/>
  <c r="F702" i="3"/>
  <c r="E702" i="3"/>
  <c r="D702" i="3"/>
  <c r="L702" i="3" s="1"/>
  <c r="H701" i="3"/>
  <c r="G701" i="3"/>
  <c r="F701" i="3"/>
  <c r="E701" i="3"/>
  <c r="D701" i="3"/>
  <c r="L701" i="3" s="1"/>
  <c r="G700" i="3"/>
  <c r="F700" i="3"/>
  <c r="E700" i="3"/>
  <c r="H700" i="3" s="1"/>
  <c r="D700" i="3"/>
  <c r="L700" i="3" s="1"/>
  <c r="G699" i="3"/>
  <c r="F699" i="3"/>
  <c r="H699" i="3" s="1"/>
  <c r="E699" i="3"/>
  <c r="D699" i="3"/>
  <c r="L699" i="3" s="1"/>
  <c r="G698" i="3"/>
  <c r="F698" i="3"/>
  <c r="E698" i="3"/>
  <c r="D698" i="3"/>
  <c r="L698" i="3" s="1"/>
  <c r="G697" i="3"/>
  <c r="H697" i="3" s="1"/>
  <c r="F697" i="3"/>
  <c r="E697" i="3"/>
  <c r="D697" i="3"/>
  <c r="L697" i="3" s="1"/>
  <c r="G696" i="3"/>
  <c r="F696" i="3"/>
  <c r="E696" i="3"/>
  <c r="D696" i="3"/>
  <c r="L696" i="3" s="1"/>
  <c r="G695" i="3"/>
  <c r="F695" i="3"/>
  <c r="E695" i="3"/>
  <c r="D695" i="3"/>
  <c r="L695" i="3" s="1"/>
  <c r="G694" i="3"/>
  <c r="F694" i="3"/>
  <c r="E694" i="3"/>
  <c r="D694" i="3"/>
  <c r="L694" i="3" s="1"/>
  <c r="H693" i="3"/>
  <c r="G693" i="3"/>
  <c r="F693" i="3"/>
  <c r="E693" i="3"/>
  <c r="D693" i="3"/>
  <c r="L693" i="3" s="1"/>
  <c r="G692" i="3"/>
  <c r="F692" i="3"/>
  <c r="E692" i="3"/>
  <c r="D692" i="3"/>
  <c r="L692" i="3" s="1"/>
  <c r="G691" i="3"/>
  <c r="F691" i="3"/>
  <c r="E691" i="3"/>
  <c r="D691" i="3"/>
  <c r="L691" i="3" s="1"/>
  <c r="G690" i="3"/>
  <c r="F690" i="3"/>
  <c r="E690" i="3"/>
  <c r="D690" i="3"/>
  <c r="L690" i="3" s="1"/>
  <c r="H689" i="3"/>
  <c r="G689" i="3"/>
  <c r="F689" i="3"/>
  <c r="E689" i="3"/>
  <c r="D689" i="3"/>
  <c r="L689" i="3" s="1"/>
  <c r="G688" i="3"/>
  <c r="H688" i="3" s="1"/>
  <c r="F688" i="3"/>
  <c r="E688" i="3"/>
  <c r="D688" i="3"/>
  <c r="L688" i="3" s="1"/>
  <c r="G687" i="3"/>
  <c r="F687" i="3"/>
  <c r="E687" i="3"/>
  <c r="D687" i="3"/>
  <c r="L687" i="3" s="1"/>
  <c r="G686" i="3"/>
  <c r="H686" i="3" s="1"/>
  <c r="F686" i="3"/>
  <c r="E686" i="3"/>
  <c r="D686" i="3"/>
  <c r="L686" i="3" s="1"/>
  <c r="G685" i="3"/>
  <c r="F685" i="3"/>
  <c r="E685" i="3"/>
  <c r="H685" i="3" s="1"/>
  <c r="D685" i="3"/>
  <c r="L685" i="3" s="1"/>
  <c r="G684" i="3"/>
  <c r="F684" i="3"/>
  <c r="E684" i="3"/>
  <c r="D684" i="3"/>
  <c r="L684" i="3" s="1"/>
  <c r="G683" i="3"/>
  <c r="F683" i="3"/>
  <c r="E683" i="3"/>
  <c r="D683" i="3"/>
  <c r="L683" i="3" s="1"/>
  <c r="G682" i="3"/>
  <c r="F682" i="3"/>
  <c r="E682" i="3"/>
  <c r="D682" i="3"/>
  <c r="L682" i="3" s="1"/>
  <c r="G681" i="3"/>
  <c r="H681" i="3" s="1"/>
  <c r="F681" i="3"/>
  <c r="E681" i="3"/>
  <c r="D681" i="3"/>
  <c r="L681" i="3" s="1"/>
  <c r="G680" i="3"/>
  <c r="H680" i="3" s="1"/>
  <c r="F680" i="3"/>
  <c r="E680" i="3"/>
  <c r="D680" i="3"/>
  <c r="L680" i="3" s="1"/>
  <c r="G679" i="3"/>
  <c r="F679" i="3"/>
  <c r="E679" i="3"/>
  <c r="H679" i="3" s="1"/>
  <c r="D679" i="3"/>
  <c r="L679" i="3" s="1"/>
  <c r="G678" i="3"/>
  <c r="H678" i="3" s="1"/>
  <c r="F678" i="3"/>
  <c r="E678" i="3"/>
  <c r="D678" i="3"/>
  <c r="L678" i="3" s="1"/>
  <c r="G677" i="3"/>
  <c r="H677" i="3" s="1"/>
  <c r="F677" i="3"/>
  <c r="E677" i="3"/>
  <c r="D677" i="3"/>
  <c r="L677" i="3" s="1"/>
  <c r="G676" i="3"/>
  <c r="F676" i="3"/>
  <c r="E676" i="3"/>
  <c r="D676" i="3"/>
  <c r="L676" i="3" s="1"/>
  <c r="G675" i="3"/>
  <c r="F675" i="3"/>
  <c r="H675" i="3" s="1"/>
  <c r="E675" i="3"/>
  <c r="D675" i="3"/>
  <c r="L675" i="3" s="1"/>
  <c r="G674" i="3"/>
  <c r="H674" i="3" s="1"/>
  <c r="F674" i="3"/>
  <c r="E674" i="3"/>
  <c r="D674" i="3"/>
  <c r="L674" i="3" s="1"/>
  <c r="G673" i="3"/>
  <c r="H673" i="3" s="1"/>
  <c r="F673" i="3"/>
  <c r="E673" i="3"/>
  <c r="D673" i="3"/>
  <c r="L673" i="3" s="1"/>
  <c r="G672" i="3"/>
  <c r="F672" i="3"/>
  <c r="E672" i="3"/>
  <c r="D672" i="3"/>
  <c r="L672" i="3" s="1"/>
  <c r="G671" i="3"/>
  <c r="F671" i="3"/>
  <c r="E671" i="3"/>
  <c r="D671" i="3"/>
  <c r="L671" i="3" s="1"/>
  <c r="G670" i="3"/>
  <c r="F670" i="3"/>
  <c r="E670" i="3"/>
  <c r="D670" i="3"/>
  <c r="L670" i="3" s="1"/>
  <c r="H669" i="3"/>
  <c r="G669" i="3"/>
  <c r="F669" i="3"/>
  <c r="E669" i="3"/>
  <c r="D669" i="3"/>
  <c r="L669" i="3" s="1"/>
  <c r="G668" i="3"/>
  <c r="F668" i="3"/>
  <c r="E668" i="3"/>
  <c r="H668" i="3" s="1"/>
  <c r="D668" i="3"/>
  <c r="L668" i="3" s="1"/>
  <c r="G667" i="3"/>
  <c r="F667" i="3"/>
  <c r="E667" i="3"/>
  <c r="D667" i="3"/>
  <c r="L667" i="3" s="1"/>
  <c r="G666" i="3"/>
  <c r="F666" i="3"/>
  <c r="E666" i="3"/>
  <c r="D666" i="3"/>
  <c r="L666" i="3" s="1"/>
  <c r="G665" i="3"/>
  <c r="H665" i="3" s="1"/>
  <c r="F665" i="3"/>
  <c r="E665" i="3"/>
  <c r="D665" i="3"/>
  <c r="L665" i="3" s="1"/>
  <c r="G664" i="3"/>
  <c r="F664" i="3"/>
  <c r="E664" i="3"/>
  <c r="D664" i="3"/>
  <c r="L664" i="3" s="1"/>
  <c r="G663" i="3"/>
  <c r="F663" i="3"/>
  <c r="E663" i="3"/>
  <c r="D663" i="3"/>
  <c r="L663" i="3" s="1"/>
  <c r="G662" i="3"/>
  <c r="F662" i="3"/>
  <c r="E662" i="3"/>
  <c r="D662" i="3"/>
  <c r="L662" i="3" s="1"/>
  <c r="G661" i="3"/>
  <c r="H661" i="3" s="1"/>
  <c r="F661" i="3"/>
  <c r="E661" i="3"/>
  <c r="D661" i="3"/>
  <c r="L661" i="3" s="1"/>
  <c r="G660" i="3"/>
  <c r="F660" i="3"/>
  <c r="E660" i="3"/>
  <c r="D660" i="3"/>
  <c r="L660" i="3" s="1"/>
  <c r="G659" i="3"/>
  <c r="F659" i="3"/>
  <c r="E659" i="3"/>
  <c r="D659" i="3"/>
  <c r="L659" i="3" s="1"/>
  <c r="G658" i="3"/>
  <c r="F658" i="3"/>
  <c r="E658" i="3"/>
  <c r="D658" i="3"/>
  <c r="L658" i="3" s="1"/>
  <c r="H657" i="3"/>
  <c r="G657" i="3"/>
  <c r="F657" i="3"/>
  <c r="E657" i="3"/>
  <c r="D657" i="3"/>
  <c r="L657" i="3" s="1"/>
  <c r="G656" i="3"/>
  <c r="H656" i="3" s="1"/>
  <c r="F656" i="3"/>
  <c r="E656" i="3"/>
  <c r="D656" i="3"/>
  <c r="L656" i="3" s="1"/>
  <c r="G655" i="3"/>
  <c r="F655" i="3"/>
  <c r="E655" i="3"/>
  <c r="D655" i="3"/>
  <c r="L655" i="3" s="1"/>
  <c r="G654" i="3"/>
  <c r="H654" i="3" s="1"/>
  <c r="F654" i="3"/>
  <c r="E654" i="3"/>
  <c r="D654" i="3"/>
  <c r="L654" i="3" s="1"/>
  <c r="G653" i="3"/>
  <c r="F653" i="3"/>
  <c r="E653" i="3"/>
  <c r="H653" i="3" s="1"/>
  <c r="D653" i="3"/>
  <c r="L653" i="3" s="1"/>
  <c r="G652" i="3"/>
  <c r="F652" i="3"/>
  <c r="E652" i="3"/>
  <c r="H652" i="3" s="1"/>
  <c r="D652" i="3"/>
  <c r="L652" i="3" s="1"/>
  <c r="G651" i="3"/>
  <c r="F651" i="3"/>
  <c r="E651" i="3"/>
  <c r="D651" i="3"/>
  <c r="L651" i="3" s="1"/>
  <c r="G650" i="3"/>
  <c r="F650" i="3"/>
  <c r="E650" i="3"/>
  <c r="D650" i="3"/>
  <c r="L650" i="3" s="1"/>
  <c r="G649" i="3"/>
  <c r="H649" i="3" s="1"/>
  <c r="F649" i="3"/>
  <c r="E649" i="3"/>
  <c r="D649" i="3"/>
  <c r="L649" i="3" s="1"/>
  <c r="G648" i="3"/>
  <c r="F648" i="3"/>
  <c r="E648" i="3"/>
  <c r="D648" i="3"/>
  <c r="L648" i="3" s="1"/>
  <c r="G647" i="3"/>
  <c r="F647" i="3"/>
  <c r="E647" i="3"/>
  <c r="H647" i="3" s="1"/>
  <c r="D647" i="3"/>
  <c r="L647" i="3" s="1"/>
  <c r="G646" i="3"/>
  <c r="F646" i="3"/>
  <c r="E646" i="3"/>
  <c r="D646" i="3"/>
  <c r="L646" i="3" s="1"/>
  <c r="G645" i="3"/>
  <c r="H645" i="3" s="1"/>
  <c r="F645" i="3"/>
  <c r="E645" i="3"/>
  <c r="D645" i="3"/>
  <c r="L645" i="3" s="1"/>
  <c r="G644" i="3"/>
  <c r="H644" i="3" s="1"/>
  <c r="F644" i="3"/>
  <c r="E644" i="3"/>
  <c r="D644" i="3"/>
  <c r="L644" i="3" s="1"/>
  <c r="G643" i="3"/>
  <c r="F643" i="3"/>
  <c r="H643" i="3" s="1"/>
  <c r="E643" i="3"/>
  <c r="D643" i="3"/>
  <c r="L643" i="3" s="1"/>
  <c r="G642" i="3"/>
  <c r="H642" i="3" s="1"/>
  <c r="F642" i="3"/>
  <c r="E642" i="3"/>
  <c r="D642" i="3"/>
  <c r="L642" i="3" s="1"/>
  <c r="G641" i="3"/>
  <c r="H641" i="3" s="1"/>
  <c r="F641" i="3"/>
  <c r="E641" i="3"/>
  <c r="D641" i="3"/>
  <c r="L641" i="3" s="1"/>
  <c r="G640" i="3"/>
  <c r="F640" i="3"/>
  <c r="E640" i="3"/>
  <c r="D640" i="3"/>
  <c r="L640" i="3" s="1"/>
  <c r="G639" i="3"/>
  <c r="F639" i="3"/>
  <c r="E639" i="3"/>
  <c r="D639" i="3"/>
  <c r="L639" i="3" s="1"/>
  <c r="G638" i="3"/>
  <c r="F638" i="3"/>
  <c r="E638" i="3"/>
  <c r="D638" i="3"/>
  <c r="L638" i="3" s="1"/>
  <c r="H637" i="3"/>
  <c r="G637" i="3"/>
  <c r="F637" i="3"/>
  <c r="E637" i="3"/>
  <c r="D637" i="3"/>
  <c r="L637" i="3" s="1"/>
  <c r="G636" i="3"/>
  <c r="F636" i="3"/>
  <c r="E636" i="3"/>
  <c r="D636" i="3"/>
  <c r="L636" i="3" s="1"/>
  <c r="G635" i="3"/>
  <c r="F635" i="3"/>
  <c r="E635" i="3"/>
  <c r="D635" i="3"/>
  <c r="L635" i="3" s="1"/>
  <c r="G634" i="3"/>
  <c r="F634" i="3"/>
  <c r="E634" i="3"/>
  <c r="D634" i="3"/>
  <c r="L634" i="3" s="1"/>
  <c r="G633" i="3"/>
  <c r="H633" i="3" s="1"/>
  <c r="F633" i="3"/>
  <c r="E633" i="3"/>
  <c r="D633" i="3"/>
  <c r="L633" i="3" s="1"/>
  <c r="G632" i="3"/>
  <c r="F632" i="3"/>
  <c r="E632" i="3"/>
  <c r="D632" i="3"/>
  <c r="L632" i="3" s="1"/>
  <c r="G631" i="3"/>
  <c r="F631" i="3"/>
  <c r="E631" i="3"/>
  <c r="D631" i="3"/>
  <c r="L631" i="3" s="1"/>
  <c r="G630" i="3"/>
  <c r="F630" i="3"/>
  <c r="E630" i="3"/>
  <c r="D630" i="3"/>
  <c r="L630" i="3" s="1"/>
  <c r="G629" i="3"/>
  <c r="H629" i="3" s="1"/>
  <c r="F629" i="3"/>
  <c r="E629" i="3"/>
  <c r="D629" i="3"/>
  <c r="L629" i="3" s="1"/>
  <c r="G628" i="3"/>
  <c r="F628" i="3"/>
  <c r="E628" i="3"/>
  <c r="D628" i="3"/>
  <c r="L628" i="3" s="1"/>
  <c r="G627" i="3"/>
  <c r="F627" i="3"/>
  <c r="E627" i="3"/>
  <c r="D627" i="3"/>
  <c r="L627" i="3" s="1"/>
  <c r="G626" i="3"/>
  <c r="F626" i="3"/>
  <c r="E626" i="3"/>
  <c r="D626" i="3"/>
  <c r="L626" i="3" s="1"/>
  <c r="H625" i="3"/>
  <c r="G625" i="3"/>
  <c r="F625" i="3"/>
  <c r="E625" i="3"/>
  <c r="D625" i="3"/>
  <c r="L625" i="3" s="1"/>
  <c r="G624" i="3"/>
  <c r="H624" i="3" s="1"/>
  <c r="F624" i="3"/>
  <c r="E624" i="3"/>
  <c r="D624" i="3"/>
  <c r="L624" i="3" s="1"/>
  <c r="G623" i="3"/>
  <c r="F623" i="3"/>
  <c r="E623" i="3"/>
  <c r="H623" i="3" s="1"/>
  <c r="D623" i="3"/>
  <c r="L623" i="3" s="1"/>
  <c r="G622" i="3"/>
  <c r="H622" i="3" s="1"/>
  <c r="F622" i="3"/>
  <c r="E622" i="3"/>
  <c r="D622" i="3"/>
  <c r="L622" i="3" s="1"/>
  <c r="G621" i="3"/>
  <c r="F621" i="3"/>
  <c r="E621" i="3"/>
  <c r="H621" i="3" s="1"/>
  <c r="D621" i="3"/>
  <c r="L621" i="3" s="1"/>
  <c r="G620" i="3"/>
  <c r="F620" i="3"/>
  <c r="E620" i="3"/>
  <c r="D620" i="3"/>
  <c r="L620" i="3" s="1"/>
  <c r="G619" i="3"/>
  <c r="F619" i="3"/>
  <c r="E619" i="3"/>
  <c r="D619" i="3"/>
  <c r="L619" i="3" s="1"/>
  <c r="G618" i="3"/>
  <c r="F618" i="3"/>
  <c r="E618" i="3"/>
  <c r="D618" i="3"/>
  <c r="L618" i="3" s="1"/>
  <c r="G617" i="3"/>
  <c r="H617" i="3" s="1"/>
  <c r="F617" i="3"/>
  <c r="E617" i="3"/>
  <c r="D617" i="3"/>
  <c r="L617" i="3" s="1"/>
  <c r="G616" i="3"/>
  <c r="F616" i="3"/>
  <c r="E616" i="3"/>
  <c r="D616" i="3"/>
  <c r="L616" i="3" s="1"/>
  <c r="G615" i="3"/>
  <c r="F615" i="3"/>
  <c r="E615" i="3"/>
  <c r="H615" i="3" s="1"/>
  <c r="D615" i="3"/>
  <c r="L615" i="3" s="1"/>
  <c r="G614" i="3"/>
  <c r="F614" i="3"/>
  <c r="E614" i="3"/>
  <c r="D614" i="3"/>
  <c r="L614" i="3" s="1"/>
  <c r="G613" i="3"/>
  <c r="H613" i="3" s="1"/>
  <c r="F613" i="3"/>
  <c r="E613" i="3"/>
  <c r="D613" i="3"/>
  <c r="L613" i="3" s="1"/>
  <c r="G612" i="3"/>
  <c r="F612" i="3"/>
  <c r="E612" i="3"/>
  <c r="D612" i="3"/>
  <c r="L612" i="3" s="1"/>
  <c r="G611" i="3"/>
  <c r="F611" i="3"/>
  <c r="H611" i="3" s="1"/>
  <c r="E611" i="3"/>
  <c r="D611" i="3"/>
  <c r="L611" i="3" s="1"/>
  <c r="G610" i="3"/>
  <c r="H610" i="3" s="1"/>
  <c r="F610" i="3"/>
  <c r="E610" i="3"/>
  <c r="D610" i="3"/>
  <c r="L610" i="3" s="1"/>
  <c r="G609" i="3"/>
  <c r="H609" i="3" s="1"/>
  <c r="F609" i="3"/>
  <c r="E609" i="3"/>
  <c r="D609" i="3"/>
  <c r="L609" i="3" s="1"/>
  <c r="G608" i="3"/>
  <c r="F608" i="3"/>
  <c r="E608" i="3"/>
  <c r="D608" i="3"/>
  <c r="L608" i="3" s="1"/>
  <c r="G607" i="3"/>
  <c r="F607" i="3"/>
  <c r="E607" i="3"/>
  <c r="D607" i="3"/>
  <c r="L607" i="3" s="1"/>
  <c r="G606" i="3"/>
  <c r="F606" i="3"/>
  <c r="E606" i="3"/>
  <c r="D606" i="3"/>
  <c r="L606" i="3" s="1"/>
  <c r="H605" i="3"/>
  <c r="G605" i="3"/>
  <c r="F605" i="3"/>
  <c r="E605" i="3"/>
  <c r="D605" i="3"/>
  <c r="L605" i="3" s="1"/>
  <c r="G604" i="3"/>
  <c r="F604" i="3"/>
  <c r="E604" i="3"/>
  <c r="D604" i="3"/>
  <c r="L604" i="3" s="1"/>
  <c r="G603" i="3"/>
  <c r="F603" i="3"/>
  <c r="E603" i="3"/>
  <c r="D603" i="3"/>
  <c r="L603" i="3" s="1"/>
  <c r="G602" i="3"/>
  <c r="F602" i="3"/>
  <c r="E602" i="3"/>
  <c r="D602" i="3"/>
  <c r="L602" i="3" s="1"/>
  <c r="G601" i="3"/>
  <c r="H601" i="3" s="1"/>
  <c r="F601" i="3"/>
  <c r="E601" i="3"/>
  <c r="D601" i="3"/>
  <c r="L601" i="3" s="1"/>
  <c r="G600" i="3"/>
  <c r="F600" i="3"/>
  <c r="E600" i="3"/>
  <c r="D600" i="3"/>
  <c r="L600" i="3" s="1"/>
  <c r="G599" i="3"/>
  <c r="F599" i="3"/>
  <c r="E599" i="3"/>
  <c r="D599" i="3"/>
  <c r="L599" i="3" s="1"/>
  <c r="G598" i="3"/>
  <c r="F598" i="3"/>
  <c r="E598" i="3"/>
  <c r="D598" i="3"/>
  <c r="L598" i="3" s="1"/>
  <c r="G597" i="3"/>
  <c r="H597" i="3" s="1"/>
  <c r="F597" i="3"/>
  <c r="E597" i="3"/>
  <c r="D597" i="3"/>
  <c r="L597" i="3" s="1"/>
  <c r="G596" i="3"/>
  <c r="F596" i="3"/>
  <c r="E596" i="3"/>
  <c r="D596" i="3"/>
  <c r="L596" i="3" s="1"/>
  <c r="G595" i="3"/>
  <c r="F595" i="3"/>
  <c r="E595" i="3"/>
  <c r="D595" i="3"/>
  <c r="L595" i="3" s="1"/>
  <c r="G594" i="3"/>
  <c r="F594" i="3"/>
  <c r="E594" i="3"/>
  <c r="D594" i="3"/>
  <c r="L594" i="3" s="1"/>
  <c r="G593" i="3"/>
  <c r="F593" i="3"/>
  <c r="E593" i="3"/>
  <c r="H593" i="3" s="1"/>
  <c r="D593" i="3"/>
  <c r="L593" i="3" s="1"/>
  <c r="G592" i="3"/>
  <c r="F592" i="3"/>
  <c r="E592" i="3"/>
  <c r="H592" i="3" s="1"/>
  <c r="D592" i="3"/>
  <c r="L592" i="3" s="1"/>
  <c r="G591" i="3"/>
  <c r="F591" i="3"/>
  <c r="E591" i="3"/>
  <c r="H591" i="3" s="1"/>
  <c r="D591" i="3"/>
  <c r="L591" i="3" s="1"/>
  <c r="G590" i="3"/>
  <c r="F590" i="3"/>
  <c r="E590" i="3"/>
  <c r="D590" i="3"/>
  <c r="L590" i="3" s="1"/>
  <c r="G589" i="3"/>
  <c r="H589" i="3" s="1"/>
  <c r="F589" i="3"/>
  <c r="E589" i="3"/>
  <c r="D589" i="3"/>
  <c r="L589" i="3" s="1"/>
  <c r="G588" i="3"/>
  <c r="F588" i="3"/>
  <c r="E588" i="3"/>
  <c r="D588" i="3"/>
  <c r="L588" i="3" s="1"/>
  <c r="G587" i="3"/>
  <c r="F587" i="3"/>
  <c r="E587" i="3"/>
  <c r="D587" i="3"/>
  <c r="L587" i="3" s="1"/>
  <c r="G586" i="3"/>
  <c r="F586" i="3"/>
  <c r="E586" i="3"/>
  <c r="D586" i="3"/>
  <c r="L586" i="3" s="1"/>
  <c r="G585" i="3"/>
  <c r="H585" i="3" s="1"/>
  <c r="F585" i="3"/>
  <c r="E585" i="3"/>
  <c r="D585" i="3"/>
  <c r="L585" i="3" s="1"/>
  <c r="G584" i="3"/>
  <c r="F584" i="3"/>
  <c r="E584" i="3"/>
  <c r="D584" i="3"/>
  <c r="L584" i="3" s="1"/>
  <c r="G583" i="3"/>
  <c r="F583" i="3"/>
  <c r="E583" i="3"/>
  <c r="D583" i="3"/>
  <c r="L583" i="3" s="1"/>
  <c r="G582" i="3"/>
  <c r="F582" i="3"/>
  <c r="E582" i="3"/>
  <c r="D582" i="3"/>
  <c r="L582" i="3" s="1"/>
  <c r="H581" i="3"/>
  <c r="G581" i="3"/>
  <c r="F581" i="3"/>
  <c r="E581" i="3"/>
  <c r="D581" i="3"/>
  <c r="L581" i="3" s="1"/>
  <c r="G580" i="3"/>
  <c r="F580" i="3"/>
  <c r="E580" i="3"/>
  <c r="D580" i="3"/>
  <c r="L580" i="3" s="1"/>
  <c r="G579" i="3"/>
  <c r="F579" i="3"/>
  <c r="E579" i="3"/>
  <c r="D579" i="3"/>
  <c r="L579" i="3" s="1"/>
  <c r="G578" i="3"/>
  <c r="F578" i="3"/>
  <c r="E578" i="3"/>
  <c r="D578" i="3"/>
  <c r="L578" i="3" s="1"/>
  <c r="G577" i="3"/>
  <c r="H577" i="3" s="1"/>
  <c r="F577" i="3"/>
  <c r="E577" i="3"/>
  <c r="D577" i="3"/>
  <c r="L577" i="3" s="1"/>
  <c r="G576" i="3"/>
  <c r="F576" i="3"/>
  <c r="E576" i="3"/>
  <c r="H576" i="3" s="1"/>
  <c r="D576" i="3"/>
  <c r="L576" i="3" s="1"/>
  <c r="G575" i="3"/>
  <c r="F575" i="3"/>
  <c r="E575" i="3"/>
  <c r="D575" i="3"/>
  <c r="L575" i="3" s="1"/>
  <c r="G574" i="3"/>
  <c r="F574" i="3"/>
  <c r="E574" i="3"/>
  <c r="D574" i="3"/>
  <c r="L574" i="3" s="1"/>
  <c r="H573" i="3"/>
  <c r="G573" i="3"/>
  <c r="F573" i="3"/>
  <c r="E573" i="3"/>
  <c r="D573" i="3"/>
  <c r="L573" i="3" s="1"/>
  <c r="G572" i="3"/>
  <c r="F572" i="3"/>
  <c r="E572" i="3"/>
  <c r="D572" i="3"/>
  <c r="L572" i="3" s="1"/>
  <c r="G571" i="3"/>
  <c r="F571" i="3"/>
  <c r="H571" i="3" s="1"/>
  <c r="E571" i="3"/>
  <c r="D571" i="3"/>
  <c r="L571" i="3" s="1"/>
  <c r="G570" i="3"/>
  <c r="H570" i="3" s="1"/>
  <c r="F570" i="3"/>
  <c r="E570" i="3"/>
  <c r="D570" i="3"/>
  <c r="L570" i="3" s="1"/>
  <c r="G569" i="3"/>
  <c r="F569" i="3"/>
  <c r="E569" i="3"/>
  <c r="H569" i="3" s="1"/>
  <c r="D569" i="3"/>
  <c r="L569" i="3" s="1"/>
  <c r="G568" i="3"/>
  <c r="F568" i="3"/>
  <c r="E568" i="3"/>
  <c r="D568" i="3"/>
  <c r="L568" i="3" s="1"/>
  <c r="G567" i="3"/>
  <c r="F567" i="3"/>
  <c r="E567" i="3"/>
  <c r="H567" i="3" s="1"/>
  <c r="D567" i="3"/>
  <c r="L567" i="3" s="1"/>
  <c r="G566" i="3"/>
  <c r="F566" i="3"/>
  <c r="E566" i="3"/>
  <c r="D566" i="3"/>
  <c r="L566" i="3" s="1"/>
  <c r="G565" i="3"/>
  <c r="H565" i="3" s="1"/>
  <c r="F565" i="3"/>
  <c r="E565" i="3"/>
  <c r="D565" i="3"/>
  <c r="L565" i="3" s="1"/>
  <c r="G564" i="3"/>
  <c r="F564" i="3"/>
  <c r="E564" i="3"/>
  <c r="D564" i="3"/>
  <c r="L564" i="3" s="1"/>
  <c r="G563" i="3"/>
  <c r="F563" i="3"/>
  <c r="H563" i="3" s="1"/>
  <c r="E563" i="3"/>
  <c r="D563" i="3"/>
  <c r="L563" i="3" s="1"/>
  <c r="G562" i="3"/>
  <c r="H562" i="3" s="1"/>
  <c r="F562" i="3"/>
  <c r="E562" i="3"/>
  <c r="D562" i="3"/>
  <c r="L562" i="3" s="1"/>
  <c r="L561" i="3"/>
  <c r="H561" i="3"/>
  <c r="G561" i="3"/>
  <c r="F561" i="3"/>
  <c r="E561" i="3"/>
  <c r="D561" i="3"/>
  <c r="G560" i="3"/>
  <c r="F560" i="3"/>
  <c r="E560" i="3"/>
  <c r="H560" i="3" s="1"/>
  <c r="D560" i="3"/>
  <c r="L560" i="3" s="1"/>
  <c r="G559" i="3"/>
  <c r="F559" i="3"/>
  <c r="E559" i="3"/>
  <c r="H559" i="3" s="1"/>
  <c r="D559" i="3"/>
  <c r="L559" i="3" s="1"/>
  <c r="G558" i="3"/>
  <c r="F558" i="3"/>
  <c r="E558" i="3"/>
  <c r="D558" i="3"/>
  <c r="L558" i="3" s="1"/>
  <c r="G557" i="3"/>
  <c r="H557" i="3" s="1"/>
  <c r="F557" i="3"/>
  <c r="E557" i="3"/>
  <c r="D557" i="3"/>
  <c r="L557" i="3" s="1"/>
  <c r="G556" i="3"/>
  <c r="F556" i="3"/>
  <c r="E556" i="3"/>
  <c r="D556" i="3"/>
  <c r="L556" i="3" s="1"/>
  <c r="G555" i="3"/>
  <c r="F555" i="3"/>
  <c r="H555" i="3" s="1"/>
  <c r="E555" i="3"/>
  <c r="D555" i="3"/>
  <c r="L555" i="3" s="1"/>
  <c r="G554" i="3"/>
  <c r="F554" i="3"/>
  <c r="E554" i="3"/>
  <c r="D554" i="3"/>
  <c r="L554" i="3" s="1"/>
  <c r="H553" i="3"/>
  <c r="G553" i="3"/>
  <c r="F553" i="3"/>
  <c r="E553" i="3"/>
  <c r="D553" i="3"/>
  <c r="L553" i="3" s="1"/>
  <c r="G552" i="3"/>
  <c r="F552" i="3"/>
  <c r="E552" i="3"/>
  <c r="D552" i="3"/>
  <c r="L552" i="3" s="1"/>
  <c r="G551" i="3"/>
  <c r="F551" i="3"/>
  <c r="E551" i="3"/>
  <c r="D551" i="3"/>
  <c r="L551" i="3" s="1"/>
  <c r="G550" i="3"/>
  <c r="H550" i="3" s="1"/>
  <c r="F550" i="3"/>
  <c r="E550" i="3"/>
  <c r="D550" i="3"/>
  <c r="L550" i="3" s="1"/>
  <c r="G549" i="3"/>
  <c r="H549" i="3" s="1"/>
  <c r="F549" i="3"/>
  <c r="E549" i="3"/>
  <c r="D549" i="3"/>
  <c r="L549" i="3" s="1"/>
  <c r="G548" i="3"/>
  <c r="F548" i="3"/>
  <c r="E548" i="3"/>
  <c r="D548" i="3"/>
  <c r="L548" i="3" s="1"/>
  <c r="G547" i="3"/>
  <c r="F547" i="3"/>
  <c r="E547" i="3"/>
  <c r="D547" i="3"/>
  <c r="L547" i="3" s="1"/>
  <c r="G546" i="3"/>
  <c r="F546" i="3"/>
  <c r="E546" i="3"/>
  <c r="D546" i="3"/>
  <c r="L546" i="3" s="1"/>
  <c r="G545" i="3"/>
  <c r="F545" i="3"/>
  <c r="E545" i="3"/>
  <c r="H545" i="3" s="1"/>
  <c r="D545" i="3"/>
  <c r="L545" i="3" s="1"/>
  <c r="G544" i="3"/>
  <c r="F544" i="3"/>
  <c r="E544" i="3"/>
  <c r="D544" i="3"/>
  <c r="L544" i="3" s="1"/>
  <c r="G543" i="3"/>
  <c r="F543" i="3"/>
  <c r="E543" i="3"/>
  <c r="D543" i="3"/>
  <c r="L543" i="3" s="1"/>
  <c r="G542" i="3"/>
  <c r="F542" i="3"/>
  <c r="E542" i="3"/>
  <c r="D542" i="3"/>
  <c r="L542" i="3" s="1"/>
  <c r="G541" i="3"/>
  <c r="H541" i="3" s="1"/>
  <c r="F541" i="3"/>
  <c r="E541" i="3"/>
  <c r="D541" i="3"/>
  <c r="L541" i="3" s="1"/>
  <c r="G540" i="3"/>
  <c r="F540" i="3"/>
  <c r="E540" i="3"/>
  <c r="D540" i="3"/>
  <c r="L540" i="3" s="1"/>
  <c r="G539" i="3"/>
  <c r="F539" i="3"/>
  <c r="E539" i="3"/>
  <c r="D539" i="3"/>
  <c r="L539" i="3" s="1"/>
  <c r="G538" i="3"/>
  <c r="F538" i="3"/>
  <c r="E538" i="3"/>
  <c r="D538" i="3"/>
  <c r="L538" i="3" s="1"/>
  <c r="L537" i="3"/>
  <c r="G537" i="3"/>
  <c r="H537" i="3" s="1"/>
  <c r="F537" i="3"/>
  <c r="E537" i="3"/>
  <c r="D537" i="3"/>
  <c r="G536" i="3"/>
  <c r="F536" i="3"/>
  <c r="E536" i="3"/>
  <c r="H536" i="3" s="1"/>
  <c r="D536" i="3"/>
  <c r="L536" i="3" s="1"/>
  <c r="G535" i="3"/>
  <c r="F535" i="3"/>
  <c r="E535" i="3"/>
  <c r="D535" i="3"/>
  <c r="L535" i="3" s="1"/>
  <c r="G534" i="3"/>
  <c r="F534" i="3"/>
  <c r="E534" i="3"/>
  <c r="D534" i="3"/>
  <c r="L534" i="3" s="1"/>
  <c r="G533" i="3"/>
  <c r="H533" i="3" s="1"/>
  <c r="F533" i="3"/>
  <c r="E533" i="3"/>
  <c r="D533" i="3"/>
  <c r="L533" i="3" s="1"/>
  <c r="G532" i="3"/>
  <c r="F532" i="3"/>
  <c r="E532" i="3"/>
  <c r="D532" i="3"/>
  <c r="L532" i="3" s="1"/>
  <c r="G531" i="3"/>
  <c r="F531" i="3"/>
  <c r="E531" i="3"/>
  <c r="D531" i="3"/>
  <c r="L531" i="3" s="1"/>
  <c r="G530" i="3"/>
  <c r="F530" i="3"/>
  <c r="E530" i="3"/>
  <c r="D530" i="3"/>
  <c r="L530" i="3" s="1"/>
  <c r="G529" i="3"/>
  <c r="H529" i="3" s="1"/>
  <c r="F529" i="3"/>
  <c r="E529" i="3"/>
  <c r="D529" i="3"/>
  <c r="L529" i="3" s="1"/>
  <c r="G528" i="3"/>
  <c r="F528" i="3"/>
  <c r="E528" i="3"/>
  <c r="H528" i="3" s="1"/>
  <c r="D528" i="3"/>
  <c r="L528" i="3" s="1"/>
  <c r="G527" i="3"/>
  <c r="F527" i="3"/>
  <c r="E527" i="3"/>
  <c r="D527" i="3"/>
  <c r="L527" i="3" s="1"/>
  <c r="G526" i="3"/>
  <c r="F526" i="3"/>
  <c r="E526" i="3"/>
  <c r="D526" i="3"/>
  <c r="L526" i="3" s="1"/>
  <c r="L525" i="3"/>
  <c r="G525" i="3"/>
  <c r="F525" i="3"/>
  <c r="E525" i="3"/>
  <c r="D525" i="3"/>
  <c r="G524" i="3"/>
  <c r="F524" i="3"/>
  <c r="E524" i="3"/>
  <c r="D524" i="3"/>
  <c r="L524" i="3" s="1"/>
  <c r="G523" i="3"/>
  <c r="H523" i="3" s="1"/>
  <c r="F523" i="3"/>
  <c r="E523" i="3"/>
  <c r="D523" i="3"/>
  <c r="L523" i="3" s="1"/>
  <c r="G522" i="3"/>
  <c r="H522" i="3" s="1"/>
  <c r="F522" i="3"/>
  <c r="E522" i="3"/>
  <c r="D522" i="3"/>
  <c r="L522" i="3" s="1"/>
  <c r="L521" i="3"/>
  <c r="H521" i="3"/>
  <c r="G521" i="3"/>
  <c r="F521" i="3"/>
  <c r="E521" i="3"/>
  <c r="D521" i="3"/>
  <c r="G520" i="3"/>
  <c r="F520" i="3"/>
  <c r="E520" i="3"/>
  <c r="H520" i="3" s="1"/>
  <c r="D520" i="3"/>
  <c r="L520" i="3" s="1"/>
  <c r="G519" i="3"/>
  <c r="F519" i="3"/>
  <c r="E519" i="3"/>
  <c r="D519" i="3"/>
  <c r="L519" i="3" s="1"/>
  <c r="G518" i="3"/>
  <c r="F518" i="3"/>
  <c r="E518" i="3"/>
  <c r="D518" i="3"/>
  <c r="L518" i="3" s="1"/>
  <c r="G517" i="3"/>
  <c r="H517" i="3" s="1"/>
  <c r="F517" i="3"/>
  <c r="E517" i="3"/>
  <c r="D517" i="3"/>
  <c r="L517" i="3" s="1"/>
  <c r="G516" i="3"/>
  <c r="F516" i="3"/>
  <c r="E516" i="3"/>
  <c r="D516" i="3"/>
  <c r="L516" i="3" s="1"/>
  <c r="H515" i="3"/>
  <c r="G515" i="3"/>
  <c r="F515" i="3"/>
  <c r="E515" i="3"/>
  <c r="D515" i="3"/>
  <c r="L515" i="3" s="1"/>
  <c r="G514" i="3"/>
  <c r="H514" i="3" s="1"/>
  <c r="F514" i="3"/>
  <c r="E514" i="3"/>
  <c r="D514" i="3"/>
  <c r="L514" i="3" s="1"/>
  <c r="G513" i="3"/>
  <c r="H513" i="3" s="1"/>
  <c r="F513" i="3"/>
  <c r="E513" i="3"/>
  <c r="D513" i="3"/>
  <c r="L513" i="3" s="1"/>
  <c r="G512" i="3"/>
  <c r="F512" i="3"/>
  <c r="E512" i="3"/>
  <c r="H512" i="3" s="1"/>
  <c r="D512" i="3"/>
  <c r="L512" i="3" s="1"/>
  <c r="L511" i="3"/>
  <c r="G511" i="3"/>
  <c r="F511" i="3"/>
  <c r="E511" i="3"/>
  <c r="D511" i="3"/>
  <c r="G510" i="3"/>
  <c r="F510" i="3"/>
  <c r="E510" i="3"/>
  <c r="D510" i="3"/>
  <c r="L510" i="3" s="1"/>
  <c r="G509" i="3"/>
  <c r="H509" i="3" s="1"/>
  <c r="F509" i="3"/>
  <c r="E509" i="3"/>
  <c r="D509" i="3"/>
  <c r="L509" i="3" s="1"/>
  <c r="G508" i="3"/>
  <c r="F508" i="3"/>
  <c r="E508" i="3"/>
  <c r="D508" i="3"/>
  <c r="L508" i="3" s="1"/>
  <c r="G507" i="3"/>
  <c r="H507" i="3" s="1"/>
  <c r="F507" i="3"/>
  <c r="E507" i="3"/>
  <c r="D507" i="3"/>
  <c r="L507" i="3" s="1"/>
  <c r="G506" i="3"/>
  <c r="F506" i="3"/>
  <c r="E506" i="3"/>
  <c r="D506" i="3"/>
  <c r="L506" i="3" s="1"/>
  <c r="H505" i="3"/>
  <c r="G505" i="3"/>
  <c r="F505" i="3"/>
  <c r="E505" i="3"/>
  <c r="D505" i="3"/>
  <c r="L505" i="3" s="1"/>
  <c r="G504" i="3"/>
  <c r="F504" i="3"/>
  <c r="E504" i="3"/>
  <c r="H504" i="3" s="1"/>
  <c r="D504" i="3"/>
  <c r="L504" i="3" s="1"/>
  <c r="G503" i="3"/>
  <c r="F503" i="3"/>
  <c r="E503" i="3"/>
  <c r="D503" i="3"/>
  <c r="L503" i="3" s="1"/>
  <c r="G502" i="3"/>
  <c r="F502" i="3"/>
  <c r="E502" i="3"/>
  <c r="D502" i="3"/>
  <c r="L502" i="3" s="1"/>
  <c r="G501" i="3"/>
  <c r="F501" i="3"/>
  <c r="E501" i="3"/>
  <c r="D501" i="3"/>
  <c r="L501" i="3" s="1"/>
  <c r="G500" i="3"/>
  <c r="F500" i="3"/>
  <c r="E500" i="3"/>
  <c r="D500" i="3"/>
  <c r="L500" i="3" s="1"/>
  <c r="G499" i="3"/>
  <c r="F499" i="3"/>
  <c r="E499" i="3"/>
  <c r="D499" i="3"/>
  <c r="L499" i="3" s="1"/>
  <c r="G498" i="3"/>
  <c r="F498" i="3"/>
  <c r="E498" i="3"/>
  <c r="D498" i="3"/>
  <c r="L498" i="3" s="1"/>
  <c r="L497" i="3"/>
  <c r="H497" i="3"/>
  <c r="G497" i="3"/>
  <c r="F497" i="3"/>
  <c r="E497" i="3"/>
  <c r="D497" i="3"/>
  <c r="G496" i="3"/>
  <c r="F496" i="3"/>
  <c r="E496" i="3"/>
  <c r="D496" i="3"/>
  <c r="L496" i="3" s="1"/>
  <c r="G495" i="3"/>
  <c r="F495" i="3"/>
  <c r="E495" i="3"/>
  <c r="D495" i="3"/>
  <c r="L495" i="3" s="1"/>
  <c r="G494" i="3"/>
  <c r="H494" i="3" s="1"/>
  <c r="F494" i="3"/>
  <c r="E494" i="3"/>
  <c r="D494" i="3"/>
  <c r="L494" i="3" s="1"/>
  <c r="G493" i="3"/>
  <c r="F493" i="3"/>
  <c r="E493" i="3"/>
  <c r="D493" i="3"/>
  <c r="L493" i="3" s="1"/>
  <c r="G492" i="3"/>
  <c r="F492" i="3"/>
  <c r="E492" i="3"/>
  <c r="D492" i="3"/>
  <c r="L492" i="3" s="1"/>
  <c r="G491" i="3"/>
  <c r="F491" i="3"/>
  <c r="E491" i="3"/>
  <c r="H491" i="3" s="1"/>
  <c r="D491" i="3"/>
  <c r="L491" i="3" s="1"/>
  <c r="G490" i="3"/>
  <c r="H490" i="3" s="1"/>
  <c r="F490" i="3"/>
  <c r="E490" i="3"/>
  <c r="D490" i="3"/>
  <c r="L490" i="3" s="1"/>
  <c r="G489" i="3"/>
  <c r="H489" i="3" s="1"/>
  <c r="F489" i="3"/>
  <c r="E489" i="3"/>
  <c r="D489" i="3"/>
  <c r="L489" i="3" s="1"/>
  <c r="G488" i="3"/>
  <c r="F488" i="3"/>
  <c r="E488" i="3"/>
  <c r="D488" i="3"/>
  <c r="L488" i="3" s="1"/>
  <c r="L487" i="3"/>
  <c r="G487" i="3"/>
  <c r="F487" i="3"/>
  <c r="E487" i="3"/>
  <c r="D487" i="3"/>
  <c r="G486" i="3"/>
  <c r="F486" i="3"/>
  <c r="E486" i="3"/>
  <c r="D486" i="3"/>
  <c r="L486" i="3" s="1"/>
  <c r="G485" i="3"/>
  <c r="H485" i="3" s="1"/>
  <c r="F485" i="3"/>
  <c r="E485" i="3"/>
  <c r="D485" i="3"/>
  <c r="L485" i="3" s="1"/>
  <c r="G484" i="3"/>
  <c r="F484" i="3"/>
  <c r="E484" i="3"/>
  <c r="D484" i="3"/>
  <c r="L484" i="3" s="1"/>
  <c r="H483" i="3"/>
  <c r="G483" i="3"/>
  <c r="F483" i="3"/>
  <c r="E483" i="3"/>
  <c r="D483" i="3"/>
  <c r="L483" i="3" s="1"/>
  <c r="G482" i="3"/>
  <c r="F482" i="3"/>
  <c r="E482" i="3"/>
  <c r="D482" i="3"/>
  <c r="L482" i="3" s="1"/>
  <c r="H481" i="3"/>
  <c r="G481" i="3"/>
  <c r="F481" i="3"/>
  <c r="E481" i="3"/>
  <c r="D481" i="3"/>
  <c r="L481" i="3" s="1"/>
  <c r="G480" i="3"/>
  <c r="F480" i="3"/>
  <c r="E480" i="3"/>
  <c r="D480" i="3"/>
  <c r="L480" i="3" s="1"/>
  <c r="G479" i="3"/>
  <c r="F479" i="3"/>
  <c r="E479" i="3"/>
  <c r="D479" i="3"/>
  <c r="L479" i="3" s="1"/>
  <c r="G478" i="3"/>
  <c r="F478" i="3"/>
  <c r="E478" i="3"/>
  <c r="D478" i="3"/>
  <c r="L478" i="3" s="1"/>
  <c r="G477" i="3"/>
  <c r="F477" i="3"/>
  <c r="E477" i="3"/>
  <c r="H477" i="3" s="1"/>
  <c r="D477" i="3"/>
  <c r="L477" i="3" s="1"/>
  <c r="G476" i="3"/>
  <c r="H476" i="3" s="1"/>
  <c r="F476" i="3"/>
  <c r="E476" i="3"/>
  <c r="D476" i="3"/>
  <c r="L476" i="3" s="1"/>
  <c r="G475" i="3"/>
  <c r="H475" i="3" s="1"/>
  <c r="F475" i="3"/>
  <c r="E475" i="3"/>
  <c r="D475" i="3"/>
  <c r="L475" i="3" s="1"/>
  <c r="G474" i="3"/>
  <c r="H474" i="3" s="1"/>
  <c r="F474" i="3"/>
  <c r="E474" i="3"/>
  <c r="D474" i="3"/>
  <c r="L474" i="3" s="1"/>
  <c r="G473" i="3"/>
  <c r="H473" i="3" s="1"/>
  <c r="F473" i="3"/>
  <c r="E473" i="3"/>
  <c r="D473" i="3"/>
  <c r="L473" i="3" s="1"/>
  <c r="G472" i="3"/>
  <c r="F472" i="3"/>
  <c r="E472" i="3"/>
  <c r="H472" i="3" s="1"/>
  <c r="D472" i="3"/>
  <c r="L472" i="3" s="1"/>
  <c r="G471" i="3"/>
  <c r="F471" i="3"/>
  <c r="E471" i="3"/>
  <c r="D471" i="3"/>
  <c r="L471" i="3" s="1"/>
  <c r="G470" i="3"/>
  <c r="F470" i="3"/>
  <c r="E470" i="3"/>
  <c r="D470" i="3"/>
  <c r="L470" i="3" s="1"/>
  <c r="G469" i="3"/>
  <c r="H469" i="3" s="1"/>
  <c r="F469" i="3"/>
  <c r="E469" i="3"/>
  <c r="D469" i="3"/>
  <c r="L469" i="3" s="1"/>
  <c r="G468" i="3"/>
  <c r="F468" i="3"/>
  <c r="E468" i="3"/>
  <c r="D468" i="3"/>
  <c r="L468" i="3" s="1"/>
  <c r="H467" i="3"/>
  <c r="G467" i="3"/>
  <c r="F467" i="3"/>
  <c r="E467" i="3"/>
  <c r="D467" i="3"/>
  <c r="L467" i="3" s="1"/>
  <c r="G466" i="3"/>
  <c r="F466" i="3"/>
  <c r="E466" i="3"/>
  <c r="D466" i="3"/>
  <c r="L466" i="3" s="1"/>
  <c r="G465" i="3"/>
  <c r="H465" i="3" s="1"/>
  <c r="F465" i="3"/>
  <c r="E465" i="3"/>
  <c r="D465" i="3"/>
  <c r="L465" i="3" s="1"/>
  <c r="G464" i="3"/>
  <c r="F464" i="3"/>
  <c r="E464" i="3"/>
  <c r="D464" i="3"/>
  <c r="L464" i="3" s="1"/>
  <c r="G463" i="3"/>
  <c r="F463" i="3"/>
  <c r="E463" i="3"/>
  <c r="H463" i="3" s="1"/>
  <c r="D463" i="3"/>
  <c r="L463" i="3" s="1"/>
  <c r="G462" i="3"/>
  <c r="F462" i="3"/>
  <c r="E462" i="3"/>
  <c r="D462" i="3"/>
  <c r="L462" i="3" s="1"/>
  <c r="G461" i="3"/>
  <c r="H461" i="3" s="1"/>
  <c r="F461" i="3"/>
  <c r="E461" i="3"/>
  <c r="D461" i="3"/>
  <c r="L461" i="3" s="1"/>
  <c r="G460" i="3"/>
  <c r="F460" i="3"/>
  <c r="E460" i="3"/>
  <c r="D460" i="3"/>
  <c r="L460" i="3" s="1"/>
  <c r="H459" i="3"/>
  <c r="G459" i="3"/>
  <c r="F459" i="3"/>
  <c r="E459" i="3"/>
  <c r="D459" i="3"/>
  <c r="L459" i="3" s="1"/>
  <c r="G458" i="3"/>
  <c r="F458" i="3"/>
  <c r="E458" i="3"/>
  <c r="D458" i="3"/>
  <c r="L458" i="3" s="1"/>
  <c r="G457" i="3"/>
  <c r="H457" i="3" s="1"/>
  <c r="F457" i="3"/>
  <c r="E457" i="3"/>
  <c r="D457" i="3"/>
  <c r="L457" i="3" s="1"/>
  <c r="G456" i="3"/>
  <c r="F456" i="3"/>
  <c r="E456" i="3"/>
  <c r="D456" i="3"/>
  <c r="L456" i="3" s="1"/>
  <c r="L455" i="3"/>
  <c r="G455" i="3"/>
  <c r="F455" i="3"/>
  <c r="E455" i="3"/>
  <c r="D455" i="3"/>
  <c r="G454" i="3"/>
  <c r="F454" i="3"/>
  <c r="E454" i="3"/>
  <c r="D454" i="3"/>
  <c r="L454" i="3" s="1"/>
  <c r="G453" i="3"/>
  <c r="F453" i="3"/>
  <c r="E453" i="3"/>
  <c r="D453" i="3"/>
  <c r="L453" i="3" s="1"/>
  <c r="G452" i="3"/>
  <c r="H452" i="3" s="1"/>
  <c r="F452" i="3"/>
  <c r="E452" i="3"/>
  <c r="D452" i="3"/>
  <c r="L452" i="3" s="1"/>
  <c r="G451" i="3"/>
  <c r="H451" i="3" s="1"/>
  <c r="F451" i="3"/>
  <c r="E451" i="3"/>
  <c r="D451" i="3"/>
  <c r="L451" i="3" s="1"/>
  <c r="G450" i="3"/>
  <c r="H450" i="3" s="1"/>
  <c r="F450" i="3"/>
  <c r="E450" i="3"/>
  <c r="D450" i="3"/>
  <c r="L450" i="3" s="1"/>
  <c r="G449" i="3"/>
  <c r="H449" i="3" s="1"/>
  <c r="F449" i="3"/>
  <c r="E449" i="3"/>
  <c r="D449" i="3"/>
  <c r="L449" i="3" s="1"/>
  <c r="G448" i="3"/>
  <c r="H448" i="3" s="1"/>
  <c r="F448" i="3"/>
  <c r="E448" i="3"/>
  <c r="D448" i="3"/>
  <c r="L448" i="3" s="1"/>
  <c r="L447" i="3"/>
  <c r="G447" i="3"/>
  <c r="F447" i="3"/>
  <c r="E447" i="3"/>
  <c r="D447" i="3"/>
  <c r="G446" i="3"/>
  <c r="F446" i="3"/>
  <c r="E446" i="3"/>
  <c r="D446" i="3"/>
  <c r="L446" i="3" s="1"/>
  <c r="G445" i="3"/>
  <c r="F445" i="3"/>
  <c r="E445" i="3"/>
  <c r="D445" i="3"/>
  <c r="L445" i="3" s="1"/>
  <c r="G444" i="3"/>
  <c r="H444" i="3" s="1"/>
  <c r="F444" i="3"/>
  <c r="E444" i="3"/>
  <c r="D444" i="3"/>
  <c r="L444" i="3" s="1"/>
  <c r="G443" i="3"/>
  <c r="F443" i="3"/>
  <c r="E443" i="3"/>
  <c r="D443" i="3"/>
  <c r="L443" i="3" s="1"/>
  <c r="G442" i="3"/>
  <c r="F442" i="3"/>
  <c r="E442" i="3"/>
  <c r="D442" i="3"/>
  <c r="L442" i="3" s="1"/>
  <c r="G441" i="3"/>
  <c r="H441" i="3" s="1"/>
  <c r="F441" i="3"/>
  <c r="E441" i="3"/>
  <c r="D441" i="3"/>
  <c r="L441" i="3" s="1"/>
  <c r="H440" i="3"/>
  <c r="G440" i="3"/>
  <c r="F440" i="3"/>
  <c r="E440" i="3"/>
  <c r="D440" i="3"/>
  <c r="G439" i="3"/>
  <c r="F439" i="3"/>
  <c r="E439" i="3"/>
  <c r="H439" i="3" s="1"/>
  <c r="D439" i="3"/>
  <c r="L439" i="3" s="1"/>
  <c r="G438" i="3"/>
  <c r="F438" i="3"/>
  <c r="E438" i="3"/>
  <c r="D438" i="3"/>
  <c r="L438" i="3" s="1"/>
  <c r="G437" i="3"/>
  <c r="H437" i="3" s="1"/>
  <c r="F437" i="3"/>
  <c r="E437" i="3"/>
  <c r="D437" i="3"/>
  <c r="L437" i="3" s="1"/>
  <c r="G436" i="3"/>
  <c r="H436" i="3" s="1"/>
  <c r="F436" i="3"/>
  <c r="E436" i="3"/>
  <c r="D436" i="3"/>
  <c r="L436" i="3" s="1"/>
  <c r="G435" i="3"/>
  <c r="F435" i="3"/>
  <c r="E435" i="3"/>
  <c r="D435" i="3"/>
  <c r="L435" i="3" s="1"/>
  <c r="G434" i="3"/>
  <c r="H434" i="3" s="1"/>
  <c r="F434" i="3"/>
  <c r="E434" i="3"/>
  <c r="D434" i="3"/>
  <c r="L434" i="3" s="1"/>
  <c r="G433" i="3"/>
  <c r="F433" i="3"/>
  <c r="E433" i="3"/>
  <c r="D433" i="3"/>
  <c r="L433" i="3" s="1"/>
  <c r="G432" i="3"/>
  <c r="F432" i="3"/>
  <c r="E432" i="3"/>
  <c r="H432" i="3" s="1"/>
  <c r="D432" i="3"/>
  <c r="L432" i="3" s="1"/>
  <c r="G431" i="3"/>
  <c r="F431" i="3"/>
  <c r="E431" i="3"/>
  <c r="D431" i="3"/>
  <c r="L431" i="3" s="1"/>
  <c r="G430" i="3"/>
  <c r="F430" i="3"/>
  <c r="E430" i="3"/>
  <c r="D430" i="3"/>
  <c r="L430" i="3" s="1"/>
  <c r="L429" i="3"/>
  <c r="G429" i="3"/>
  <c r="H429" i="3" s="1"/>
  <c r="F429" i="3"/>
  <c r="E429" i="3"/>
  <c r="D429" i="3"/>
  <c r="L428" i="3"/>
  <c r="G428" i="3"/>
  <c r="H428" i="3" s="1"/>
  <c r="F428" i="3"/>
  <c r="E428" i="3"/>
  <c r="D428" i="3"/>
  <c r="G427" i="3"/>
  <c r="H427" i="3" s="1"/>
  <c r="F427" i="3"/>
  <c r="E427" i="3"/>
  <c r="D427" i="3"/>
  <c r="L427" i="3" s="1"/>
  <c r="G426" i="3"/>
  <c r="H426" i="3" s="1"/>
  <c r="F426" i="3"/>
  <c r="E426" i="3"/>
  <c r="D426" i="3"/>
  <c r="L426" i="3" s="1"/>
  <c r="G425" i="3"/>
  <c r="F425" i="3"/>
  <c r="E425" i="3"/>
  <c r="D425" i="3"/>
  <c r="L425" i="3" s="1"/>
  <c r="G424" i="3"/>
  <c r="H424" i="3" s="1"/>
  <c r="F424" i="3"/>
  <c r="E424" i="3"/>
  <c r="D424" i="3"/>
  <c r="L424" i="3" s="1"/>
  <c r="G423" i="3"/>
  <c r="F423" i="3"/>
  <c r="E423" i="3"/>
  <c r="D423" i="3"/>
  <c r="L423" i="3" s="1"/>
  <c r="G422" i="3"/>
  <c r="H422" i="3" s="1"/>
  <c r="F422" i="3"/>
  <c r="E422" i="3"/>
  <c r="D422" i="3"/>
  <c r="L422" i="3" s="1"/>
  <c r="G421" i="3"/>
  <c r="H421" i="3" s="1"/>
  <c r="F421" i="3"/>
  <c r="E421" i="3"/>
  <c r="D421" i="3"/>
  <c r="L421" i="3" s="1"/>
  <c r="G420" i="3"/>
  <c r="H420" i="3" s="1"/>
  <c r="F420" i="3"/>
  <c r="E420" i="3"/>
  <c r="D420" i="3"/>
  <c r="G419" i="3"/>
  <c r="F419" i="3"/>
  <c r="E419" i="3"/>
  <c r="D419" i="3"/>
  <c r="L419" i="3" s="1"/>
  <c r="G418" i="3"/>
  <c r="F418" i="3"/>
  <c r="E418" i="3"/>
  <c r="D418" i="3"/>
  <c r="L418" i="3" s="1"/>
  <c r="L417" i="3"/>
  <c r="G417" i="3"/>
  <c r="H417" i="3" s="1"/>
  <c r="F417" i="3"/>
  <c r="E417" i="3"/>
  <c r="D417" i="3"/>
  <c r="G416" i="3"/>
  <c r="F416" i="3"/>
  <c r="E416" i="3"/>
  <c r="D416" i="3"/>
  <c r="L416" i="3" s="1"/>
  <c r="G415" i="3"/>
  <c r="F415" i="3"/>
  <c r="E415" i="3"/>
  <c r="D415" i="3"/>
  <c r="L415" i="3" s="1"/>
  <c r="G414" i="3"/>
  <c r="H414" i="3" s="1"/>
  <c r="F414" i="3"/>
  <c r="E414" i="3"/>
  <c r="D414" i="3"/>
  <c r="L414" i="3" s="1"/>
  <c r="G413" i="3"/>
  <c r="F413" i="3"/>
  <c r="E413" i="3"/>
  <c r="D413" i="3"/>
  <c r="L413" i="3" s="1"/>
  <c r="G412" i="3"/>
  <c r="H412" i="3" s="1"/>
  <c r="F412" i="3"/>
  <c r="E412" i="3"/>
  <c r="D412" i="3"/>
  <c r="L412" i="3" s="1"/>
  <c r="G411" i="3"/>
  <c r="F411" i="3"/>
  <c r="E411" i="3"/>
  <c r="H411" i="3" s="1"/>
  <c r="D411" i="3"/>
  <c r="L411" i="3" s="1"/>
  <c r="G410" i="3"/>
  <c r="F410" i="3"/>
  <c r="E410" i="3"/>
  <c r="D410" i="3"/>
  <c r="L410" i="3" s="1"/>
  <c r="G409" i="3"/>
  <c r="H409" i="3" s="1"/>
  <c r="F409" i="3"/>
  <c r="E409" i="3"/>
  <c r="D409" i="3"/>
  <c r="L409" i="3" s="1"/>
  <c r="H408" i="3"/>
  <c r="G408" i="3"/>
  <c r="F408" i="3"/>
  <c r="E408" i="3"/>
  <c r="D408" i="3"/>
  <c r="L408" i="3" s="1"/>
  <c r="G407" i="3"/>
  <c r="H407" i="3" s="1"/>
  <c r="F407" i="3"/>
  <c r="E407" i="3"/>
  <c r="D407" i="3"/>
  <c r="L407" i="3" s="1"/>
  <c r="G406" i="3"/>
  <c r="F406" i="3"/>
  <c r="E406" i="3"/>
  <c r="H406" i="3" s="1"/>
  <c r="D406" i="3"/>
  <c r="L406" i="3" s="1"/>
  <c r="G405" i="3"/>
  <c r="F405" i="3"/>
  <c r="E405" i="3"/>
  <c r="D405" i="3"/>
  <c r="L405" i="3" s="1"/>
  <c r="G404" i="3"/>
  <c r="F404" i="3"/>
  <c r="E404" i="3"/>
  <c r="D404" i="3"/>
  <c r="L404" i="3" s="1"/>
  <c r="G403" i="3"/>
  <c r="H403" i="3" s="1"/>
  <c r="F403" i="3"/>
  <c r="E403" i="3"/>
  <c r="D403" i="3"/>
  <c r="L403" i="3" s="1"/>
  <c r="G402" i="3"/>
  <c r="H402" i="3" s="1"/>
  <c r="F402" i="3"/>
  <c r="E402" i="3"/>
  <c r="D402" i="3"/>
  <c r="G401" i="3"/>
  <c r="F401" i="3"/>
  <c r="E401" i="3"/>
  <c r="D401" i="3"/>
  <c r="L401" i="3" s="1"/>
  <c r="G400" i="3"/>
  <c r="F400" i="3"/>
  <c r="H400" i="3" s="1"/>
  <c r="E400" i="3"/>
  <c r="D400" i="3"/>
  <c r="L400" i="3" s="1"/>
  <c r="G399" i="3"/>
  <c r="F399" i="3"/>
  <c r="E399" i="3"/>
  <c r="D399" i="3"/>
  <c r="L399" i="3" s="1"/>
  <c r="G398" i="3"/>
  <c r="H398" i="3" s="1"/>
  <c r="F398" i="3"/>
  <c r="E398" i="3"/>
  <c r="D398" i="3"/>
  <c r="L398" i="3" s="1"/>
  <c r="G397" i="3"/>
  <c r="F397" i="3"/>
  <c r="E397" i="3"/>
  <c r="D397" i="3"/>
  <c r="L397" i="3" s="1"/>
  <c r="G396" i="3"/>
  <c r="H396" i="3" s="1"/>
  <c r="F396" i="3"/>
  <c r="E396" i="3"/>
  <c r="D396" i="3"/>
  <c r="L396" i="3" s="1"/>
  <c r="G395" i="3"/>
  <c r="F395" i="3"/>
  <c r="E395" i="3"/>
  <c r="H395" i="3" s="1"/>
  <c r="D395" i="3"/>
  <c r="L395" i="3" s="1"/>
  <c r="G394" i="3"/>
  <c r="H394" i="3" s="1"/>
  <c r="F394" i="3"/>
  <c r="E394" i="3"/>
  <c r="D394" i="3"/>
  <c r="G393" i="3"/>
  <c r="F393" i="3"/>
  <c r="E393" i="3"/>
  <c r="D393" i="3"/>
  <c r="L393" i="3" s="1"/>
  <c r="G392" i="3"/>
  <c r="F392" i="3"/>
  <c r="E392" i="3"/>
  <c r="D392" i="3"/>
  <c r="L392" i="3" s="1"/>
  <c r="G391" i="3"/>
  <c r="F391" i="3"/>
  <c r="E391" i="3"/>
  <c r="D391" i="3"/>
  <c r="L391" i="3" s="1"/>
  <c r="H390" i="3"/>
  <c r="G390" i="3"/>
  <c r="F390" i="3"/>
  <c r="E390" i="3"/>
  <c r="D390" i="3"/>
  <c r="L390" i="3" s="1"/>
  <c r="G389" i="3"/>
  <c r="F389" i="3"/>
  <c r="E389" i="3"/>
  <c r="D389" i="3"/>
  <c r="L389" i="3" s="1"/>
  <c r="G388" i="3"/>
  <c r="F388" i="3"/>
  <c r="E388" i="3"/>
  <c r="D388" i="3"/>
  <c r="L388" i="3" s="1"/>
  <c r="G387" i="3"/>
  <c r="H387" i="3" s="1"/>
  <c r="F387" i="3"/>
  <c r="E387" i="3"/>
  <c r="D387" i="3"/>
  <c r="L387" i="3" s="1"/>
  <c r="G386" i="3"/>
  <c r="F386" i="3"/>
  <c r="E386" i="3"/>
  <c r="H386" i="3" s="1"/>
  <c r="D386" i="3"/>
  <c r="G385" i="3"/>
  <c r="F385" i="3"/>
  <c r="E385" i="3"/>
  <c r="D385" i="3"/>
  <c r="L385" i="3" s="1"/>
  <c r="G384" i="3"/>
  <c r="F384" i="3"/>
  <c r="E384" i="3"/>
  <c r="D384" i="3"/>
  <c r="L384" i="3" s="1"/>
  <c r="G383" i="3"/>
  <c r="F383" i="3"/>
  <c r="E383" i="3"/>
  <c r="D383" i="3"/>
  <c r="L383" i="3" s="1"/>
  <c r="G382" i="3"/>
  <c r="H382" i="3" s="1"/>
  <c r="F382" i="3"/>
  <c r="E382" i="3"/>
  <c r="D382" i="3"/>
  <c r="L382" i="3" s="1"/>
  <c r="G381" i="3"/>
  <c r="H381" i="3" s="1"/>
  <c r="F381" i="3"/>
  <c r="E381" i="3"/>
  <c r="D381" i="3"/>
  <c r="L381" i="3" s="1"/>
  <c r="G380" i="3"/>
  <c r="F380" i="3"/>
  <c r="E380" i="3"/>
  <c r="D380" i="3"/>
  <c r="L380" i="3" s="1"/>
  <c r="H379" i="3"/>
  <c r="G379" i="3"/>
  <c r="F379" i="3"/>
  <c r="E379" i="3"/>
  <c r="D379" i="3"/>
  <c r="L379" i="3" s="1"/>
  <c r="G378" i="3"/>
  <c r="H378" i="3" s="1"/>
  <c r="F378" i="3"/>
  <c r="E378" i="3"/>
  <c r="D378" i="3"/>
  <c r="G377" i="3"/>
  <c r="F377" i="3"/>
  <c r="E377" i="3"/>
  <c r="D377" i="3"/>
  <c r="L377" i="3" s="1"/>
  <c r="G376" i="3"/>
  <c r="F376" i="3"/>
  <c r="E376" i="3"/>
  <c r="D376" i="3"/>
  <c r="L376" i="3" s="1"/>
  <c r="G375" i="3"/>
  <c r="F375" i="3"/>
  <c r="E375" i="3"/>
  <c r="D375" i="3"/>
  <c r="L375" i="3" s="1"/>
  <c r="H374" i="3"/>
  <c r="G374" i="3"/>
  <c r="F374" i="3"/>
  <c r="E374" i="3"/>
  <c r="D374" i="3"/>
  <c r="L374" i="3" s="1"/>
  <c r="G373" i="3"/>
  <c r="F373" i="3"/>
  <c r="E373" i="3"/>
  <c r="D373" i="3"/>
  <c r="L373" i="3" s="1"/>
  <c r="G372" i="3"/>
  <c r="F372" i="3"/>
  <c r="E372" i="3"/>
  <c r="D372" i="3"/>
  <c r="L372" i="3" s="1"/>
  <c r="G371" i="3"/>
  <c r="H371" i="3" s="1"/>
  <c r="F371" i="3"/>
  <c r="E371" i="3"/>
  <c r="D371" i="3"/>
  <c r="L371" i="3" s="1"/>
  <c r="H370" i="3"/>
  <c r="G370" i="3"/>
  <c r="F370" i="3"/>
  <c r="E370" i="3"/>
  <c r="D370" i="3"/>
  <c r="G369" i="3"/>
  <c r="F369" i="3"/>
  <c r="E369" i="3"/>
  <c r="D369" i="3"/>
  <c r="L369" i="3" s="1"/>
  <c r="G368" i="3"/>
  <c r="F368" i="3"/>
  <c r="H368" i="3" s="1"/>
  <c r="E368" i="3"/>
  <c r="D368" i="3"/>
  <c r="L368" i="3" s="1"/>
  <c r="G367" i="3"/>
  <c r="F367" i="3"/>
  <c r="E367" i="3"/>
  <c r="D367" i="3"/>
  <c r="L367" i="3" s="1"/>
  <c r="G366" i="3"/>
  <c r="H366" i="3" s="1"/>
  <c r="F366" i="3"/>
  <c r="E366" i="3"/>
  <c r="D366" i="3"/>
  <c r="L366" i="3" s="1"/>
  <c r="G365" i="3"/>
  <c r="H365" i="3" s="1"/>
  <c r="F365" i="3"/>
  <c r="E365" i="3"/>
  <c r="D365" i="3"/>
  <c r="L365" i="3" s="1"/>
  <c r="G364" i="3"/>
  <c r="F364" i="3"/>
  <c r="E364" i="3"/>
  <c r="D364" i="3"/>
  <c r="L364" i="3" s="1"/>
  <c r="H363" i="3"/>
  <c r="G363" i="3"/>
  <c r="F363" i="3"/>
  <c r="E363" i="3"/>
  <c r="D363" i="3"/>
  <c r="L363" i="3" s="1"/>
  <c r="G362" i="3"/>
  <c r="H362" i="3" s="1"/>
  <c r="F362" i="3"/>
  <c r="E362" i="3"/>
  <c r="D362" i="3"/>
  <c r="G361" i="3"/>
  <c r="H361" i="3" s="1"/>
  <c r="F361" i="3"/>
  <c r="E361" i="3"/>
  <c r="D361" i="3"/>
  <c r="L361" i="3" s="1"/>
  <c r="G360" i="3"/>
  <c r="F360" i="3"/>
  <c r="E360" i="3"/>
  <c r="D360" i="3"/>
  <c r="L360" i="3" s="1"/>
  <c r="G359" i="3"/>
  <c r="H359" i="3" s="1"/>
  <c r="F359" i="3"/>
  <c r="E359" i="3"/>
  <c r="D359" i="3"/>
  <c r="L359" i="3" s="1"/>
  <c r="G358" i="3"/>
  <c r="H358" i="3" s="1"/>
  <c r="F358" i="3"/>
  <c r="E358" i="3"/>
  <c r="D358" i="3"/>
  <c r="L358" i="3" s="1"/>
  <c r="G357" i="3"/>
  <c r="F357" i="3"/>
  <c r="E357" i="3"/>
  <c r="D357" i="3"/>
  <c r="L357" i="3" s="1"/>
  <c r="G356" i="3"/>
  <c r="F356" i="3"/>
  <c r="E356" i="3"/>
  <c r="D356" i="3"/>
  <c r="L356" i="3" s="1"/>
  <c r="G355" i="3"/>
  <c r="H355" i="3" s="1"/>
  <c r="F355" i="3"/>
  <c r="E355" i="3"/>
  <c r="D355" i="3"/>
  <c r="L355" i="3" s="1"/>
  <c r="H354" i="3"/>
  <c r="G354" i="3"/>
  <c r="F354" i="3"/>
  <c r="E354" i="3"/>
  <c r="D354" i="3"/>
  <c r="G353" i="3"/>
  <c r="F353" i="3"/>
  <c r="E353" i="3"/>
  <c r="D353" i="3"/>
  <c r="L353" i="3" s="1"/>
  <c r="G352" i="3"/>
  <c r="F352" i="3"/>
  <c r="H352" i="3" s="1"/>
  <c r="E352" i="3"/>
  <c r="D352" i="3"/>
  <c r="L352" i="3" s="1"/>
  <c r="G351" i="3"/>
  <c r="F351" i="3"/>
  <c r="E351" i="3"/>
  <c r="D351" i="3"/>
  <c r="L351" i="3" s="1"/>
  <c r="G350" i="3"/>
  <c r="H350" i="3" s="1"/>
  <c r="F350" i="3"/>
  <c r="E350" i="3"/>
  <c r="D350" i="3"/>
  <c r="L350" i="3" s="1"/>
  <c r="G349" i="3"/>
  <c r="F349" i="3"/>
  <c r="E349" i="3"/>
  <c r="D349" i="3"/>
  <c r="L349" i="3" s="1"/>
  <c r="G348" i="3"/>
  <c r="H348" i="3" s="1"/>
  <c r="F348" i="3"/>
  <c r="E348" i="3"/>
  <c r="D348" i="3"/>
  <c r="L348" i="3" s="1"/>
  <c r="G347" i="3"/>
  <c r="H347" i="3" s="1"/>
  <c r="F347" i="3"/>
  <c r="E347" i="3"/>
  <c r="D347" i="3"/>
  <c r="L347" i="3" s="1"/>
  <c r="G346" i="3"/>
  <c r="H346" i="3" s="1"/>
  <c r="F346" i="3"/>
  <c r="E346" i="3"/>
  <c r="D346" i="3"/>
  <c r="G345" i="3"/>
  <c r="H345" i="3" s="1"/>
  <c r="F345" i="3"/>
  <c r="E345" i="3"/>
  <c r="D345" i="3"/>
  <c r="L345" i="3" s="1"/>
  <c r="G344" i="3"/>
  <c r="F344" i="3"/>
  <c r="E344" i="3"/>
  <c r="D344" i="3"/>
  <c r="L344" i="3" s="1"/>
  <c r="G343" i="3"/>
  <c r="H343" i="3" s="1"/>
  <c r="F343" i="3"/>
  <c r="E343" i="3"/>
  <c r="D343" i="3"/>
  <c r="L343" i="3" s="1"/>
  <c r="G342" i="3"/>
  <c r="F342" i="3"/>
  <c r="E342" i="3"/>
  <c r="H342" i="3" s="1"/>
  <c r="D342" i="3"/>
  <c r="L342" i="3" s="1"/>
  <c r="G341" i="3"/>
  <c r="F341" i="3"/>
  <c r="E341" i="3"/>
  <c r="D341" i="3"/>
  <c r="L341" i="3" s="1"/>
  <c r="G340" i="3"/>
  <c r="F340" i="3"/>
  <c r="E340" i="3"/>
  <c r="D340" i="3"/>
  <c r="L340" i="3" s="1"/>
  <c r="G339" i="3"/>
  <c r="H339" i="3" s="1"/>
  <c r="F339" i="3"/>
  <c r="E339" i="3"/>
  <c r="D339" i="3"/>
  <c r="L339" i="3" s="1"/>
  <c r="G338" i="3"/>
  <c r="H338" i="3" s="1"/>
  <c r="F338" i="3"/>
  <c r="E338" i="3"/>
  <c r="D338" i="3"/>
  <c r="G337" i="3"/>
  <c r="F337" i="3"/>
  <c r="E337" i="3"/>
  <c r="D337" i="3"/>
  <c r="L337" i="3" s="1"/>
  <c r="G336" i="3"/>
  <c r="F336" i="3"/>
  <c r="H336" i="3" s="1"/>
  <c r="E336" i="3"/>
  <c r="D336" i="3"/>
  <c r="L336" i="3" s="1"/>
  <c r="G335" i="3"/>
  <c r="F335" i="3"/>
  <c r="E335" i="3"/>
  <c r="D335" i="3"/>
  <c r="L335" i="3" s="1"/>
  <c r="G334" i="3"/>
  <c r="H334" i="3" s="1"/>
  <c r="F334" i="3"/>
  <c r="E334" i="3"/>
  <c r="D334" i="3"/>
  <c r="L334" i="3" s="1"/>
  <c r="G333" i="3"/>
  <c r="F333" i="3"/>
  <c r="E333" i="3"/>
  <c r="D333" i="3"/>
  <c r="L333" i="3" s="1"/>
  <c r="G332" i="3"/>
  <c r="H332" i="3" s="1"/>
  <c r="F332" i="3"/>
  <c r="E332" i="3"/>
  <c r="D332" i="3"/>
  <c r="L332" i="3" s="1"/>
  <c r="G331" i="3"/>
  <c r="F331" i="3"/>
  <c r="E331" i="3"/>
  <c r="H331" i="3" s="1"/>
  <c r="D331" i="3"/>
  <c r="L331" i="3" s="1"/>
  <c r="G330" i="3"/>
  <c r="H330" i="3" s="1"/>
  <c r="F330" i="3"/>
  <c r="E330" i="3"/>
  <c r="D330" i="3"/>
  <c r="G329" i="3"/>
  <c r="F329" i="3"/>
  <c r="E329" i="3"/>
  <c r="D329" i="3"/>
  <c r="L329" i="3" s="1"/>
  <c r="G328" i="3"/>
  <c r="F328" i="3"/>
  <c r="E328" i="3"/>
  <c r="D328" i="3"/>
  <c r="L328" i="3" s="1"/>
  <c r="G327" i="3"/>
  <c r="F327" i="3"/>
  <c r="E327" i="3"/>
  <c r="D327" i="3"/>
  <c r="L327" i="3" s="1"/>
  <c r="H326" i="3"/>
  <c r="G326" i="3"/>
  <c r="F326" i="3"/>
  <c r="E326" i="3"/>
  <c r="D326" i="3"/>
  <c r="L326" i="3" s="1"/>
  <c r="G325" i="3"/>
  <c r="F325" i="3"/>
  <c r="E325" i="3"/>
  <c r="D325" i="3"/>
  <c r="L325" i="3" s="1"/>
  <c r="G324" i="3"/>
  <c r="F324" i="3"/>
  <c r="E324" i="3"/>
  <c r="D324" i="3"/>
  <c r="L324" i="3" s="1"/>
  <c r="G323" i="3"/>
  <c r="H323" i="3" s="1"/>
  <c r="F323" i="3"/>
  <c r="E323" i="3"/>
  <c r="D323" i="3"/>
  <c r="L323" i="3" s="1"/>
  <c r="G322" i="3"/>
  <c r="F322" i="3"/>
  <c r="E322" i="3"/>
  <c r="H322" i="3" s="1"/>
  <c r="D322" i="3"/>
  <c r="G321" i="3"/>
  <c r="F321" i="3"/>
  <c r="E321" i="3"/>
  <c r="D321" i="3"/>
  <c r="L321" i="3" s="1"/>
  <c r="G320" i="3"/>
  <c r="F320" i="3"/>
  <c r="E320" i="3"/>
  <c r="D320" i="3"/>
  <c r="L320" i="3" s="1"/>
  <c r="G319" i="3"/>
  <c r="F319" i="3"/>
  <c r="E319" i="3"/>
  <c r="D319" i="3"/>
  <c r="L319" i="3" s="1"/>
  <c r="G318" i="3"/>
  <c r="H318" i="3" s="1"/>
  <c r="F318" i="3"/>
  <c r="E318" i="3"/>
  <c r="D318" i="3"/>
  <c r="L318" i="3" s="1"/>
  <c r="G317" i="3"/>
  <c r="H317" i="3" s="1"/>
  <c r="F317" i="3"/>
  <c r="E317" i="3"/>
  <c r="D317" i="3"/>
  <c r="L317" i="3" s="1"/>
  <c r="G316" i="3"/>
  <c r="F316" i="3"/>
  <c r="E316" i="3"/>
  <c r="D316" i="3"/>
  <c r="L316" i="3" s="1"/>
  <c r="H315" i="3"/>
  <c r="G315" i="3"/>
  <c r="F315" i="3"/>
  <c r="E315" i="3"/>
  <c r="D315" i="3"/>
  <c r="L315" i="3" s="1"/>
  <c r="G314" i="3"/>
  <c r="H314" i="3" s="1"/>
  <c r="F314" i="3"/>
  <c r="E314" i="3"/>
  <c r="D314" i="3"/>
  <c r="G313" i="3"/>
  <c r="F313" i="3"/>
  <c r="E313" i="3"/>
  <c r="D313" i="3"/>
  <c r="L313" i="3" s="1"/>
  <c r="G312" i="3"/>
  <c r="F312" i="3"/>
  <c r="E312" i="3"/>
  <c r="D312" i="3"/>
  <c r="L312" i="3" s="1"/>
  <c r="G311" i="3"/>
  <c r="F311" i="3"/>
  <c r="E311" i="3"/>
  <c r="D311" i="3"/>
  <c r="L311" i="3" s="1"/>
  <c r="H310" i="3"/>
  <c r="G310" i="3"/>
  <c r="F310" i="3"/>
  <c r="E310" i="3"/>
  <c r="D310" i="3"/>
  <c r="L310" i="3" s="1"/>
  <c r="G309" i="3"/>
  <c r="F309" i="3"/>
  <c r="E309" i="3"/>
  <c r="D309" i="3"/>
  <c r="L309" i="3" s="1"/>
  <c r="G308" i="3"/>
  <c r="F308" i="3"/>
  <c r="E308" i="3"/>
  <c r="D308" i="3"/>
  <c r="L308" i="3" s="1"/>
  <c r="G307" i="3"/>
  <c r="H307" i="3" s="1"/>
  <c r="F307" i="3"/>
  <c r="E307" i="3"/>
  <c r="D307" i="3"/>
  <c r="L307" i="3" s="1"/>
  <c r="H306" i="3"/>
  <c r="G306" i="3"/>
  <c r="F306" i="3"/>
  <c r="E306" i="3"/>
  <c r="D306" i="3"/>
  <c r="G305" i="3"/>
  <c r="F305" i="3"/>
  <c r="E305" i="3"/>
  <c r="D305" i="3"/>
  <c r="L305" i="3" s="1"/>
  <c r="G304" i="3"/>
  <c r="F304" i="3"/>
  <c r="H304" i="3" s="1"/>
  <c r="E304" i="3"/>
  <c r="D304" i="3"/>
  <c r="L304" i="3" s="1"/>
  <c r="G303" i="3"/>
  <c r="F303" i="3"/>
  <c r="E303" i="3"/>
  <c r="D303" i="3"/>
  <c r="L303" i="3" s="1"/>
  <c r="G302" i="3"/>
  <c r="H302" i="3" s="1"/>
  <c r="F302" i="3"/>
  <c r="E302" i="3"/>
  <c r="D302" i="3"/>
  <c r="L302" i="3" s="1"/>
  <c r="G301" i="3"/>
  <c r="H301" i="3" s="1"/>
  <c r="F301" i="3"/>
  <c r="E301" i="3"/>
  <c r="D301" i="3"/>
  <c r="L301" i="3" s="1"/>
  <c r="G300" i="3"/>
  <c r="F300" i="3"/>
  <c r="E300" i="3"/>
  <c r="D300" i="3"/>
  <c r="L300" i="3" s="1"/>
  <c r="H299" i="3"/>
  <c r="G299" i="3"/>
  <c r="F299" i="3"/>
  <c r="E299" i="3"/>
  <c r="D299" i="3"/>
  <c r="L299" i="3" s="1"/>
  <c r="G298" i="3"/>
  <c r="H298" i="3" s="1"/>
  <c r="F298" i="3"/>
  <c r="E298" i="3"/>
  <c r="D298" i="3"/>
  <c r="G297" i="3"/>
  <c r="H297" i="3" s="1"/>
  <c r="F297" i="3"/>
  <c r="E297" i="3"/>
  <c r="D297" i="3"/>
  <c r="L297" i="3" s="1"/>
  <c r="G296" i="3"/>
  <c r="F296" i="3"/>
  <c r="E296" i="3"/>
  <c r="D296" i="3"/>
  <c r="L296" i="3" s="1"/>
  <c r="G295" i="3"/>
  <c r="H295" i="3" s="1"/>
  <c r="F295" i="3"/>
  <c r="E295" i="3"/>
  <c r="D295" i="3"/>
  <c r="L295" i="3" s="1"/>
  <c r="G294" i="3"/>
  <c r="H294" i="3" s="1"/>
  <c r="F294" i="3"/>
  <c r="E294" i="3"/>
  <c r="D294" i="3"/>
  <c r="L294" i="3" s="1"/>
  <c r="G293" i="3"/>
  <c r="F293" i="3"/>
  <c r="E293" i="3"/>
  <c r="D293" i="3"/>
  <c r="L293" i="3" s="1"/>
  <c r="G292" i="3"/>
  <c r="F292" i="3"/>
  <c r="E292" i="3"/>
  <c r="D292" i="3"/>
  <c r="L292" i="3" s="1"/>
  <c r="G291" i="3"/>
  <c r="H291" i="3" s="1"/>
  <c r="F291" i="3"/>
  <c r="E291" i="3"/>
  <c r="D291" i="3"/>
  <c r="L291" i="3" s="1"/>
  <c r="H290" i="3"/>
  <c r="G290" i="3"/>
  <c r="F290" i="3"/>
  <c r="E290" i="3"/>
  <c r="D290" i="3"/>
  <c r="G289" i="3"/>
  <c r="F289" i="3"/>
  <c r="E289" i="3"/>
  <c r="D289" i="3"/>
  <c r="L289" i="3" s="1"/>
  <c r="G288" i="3"/>
  <c r="F288" i="3"/>
  <c r="H288" i="3" s="1"/>
  <c r="E288" i="3"/>
  <c r="D288" i="3"/>
  <c r="L288" i="3" s="1"/>
  <c r="G287" i="3"/>
  <c r="F287" i="3"/>
  <c r="E287" i="3"/>
  <c r="D287" i="3"/>
  <c r="L287" i="3" s="1"/>
  <c r="G286" i="3"/>
  <c r="H286" i="3" s="1"/>
  <c r="F286" i="3"/>
  <c r="E286" i="3"/>
  <c r="D286" i="3"/>
  <c r="L286" i="3" s="1"/>
  <c r="G285" i="3"/>
  <c r="F285" i="3"/>
  <c r="E285" i="3"/>
  <c r="D285" i="3"/>
  <c r="L285" i="3" s="1"/>
  <c r="G284" i="3"/>
  <c r="H284" i="3" s="1"/>
  <c r="F284" i="3"/>
  <c r="E284" i="3"/>
  <c r="D284" i="3"/>
  <c r="L284" i="3" s="1"/>
  <c r="G283" i="3"/>
  <c r="H283" i="3" s="1"/>
  <c r="F283" i="3"/>
  <c r="E283" i="3"/>
  <c r="D283" i="3"/>
  <c r="L283" i="3" s="1"/>
  <c r="G282" i="3"/>
  <c r="H282" i="3" s="1"/>
  <c r="F282" i="3"/>
  <c r="E282" i="3"/>
  <c r="D282" i="3"/>
  <c r="G281" i="3"/>
  <c r="H281" i="3" s="1"/>
  <c r="F281" i="3"/>
  <c r="E281" i="3"/>
  <c r="D281" i="3"/>
  <c r="L281" i="3" s="1"/>
  <c r="G280" i="3"/>
  <c r="F280" i="3"/>
  <c r="E280" i="3"/>
  <c r="D280" i="3"/>
  <c r="L280" i="3" s="1"/>
  <c r="G279" i="3"/>
  <c r="H279" i="3" s="1"/>
  <c r="F279" i="3"/>
  <c r="E279" i="3"/>
  <c r="D279" i="3"/>
  <c r="L279" i="3" s="1"/>
  <c r="G278" i="3"/>
  <c r="F278" i="3"/>
  <c r="E278" i="3"/>
  <c r="H278" i="3" s="1"/>
  <c r="D278" i="3"/>
  <c r="L278" i="3" s="1"/>
  <c r="G277" i="3"/>
  <c r="F277" i="3"/>
  <c r="E277" i="3"/>
  <c r="D277" i="3"/>
  <c r="L277" i="3" s="1"/>
  <c r="G276" i="3"/>
  <c r="F276" i="3"/>
  <c r="E276" i="3"/>
  <c r="D276" i="3"/>
  <c r="L276" i="3" s="1"/>
  <c r="G275" i="3"/>
  <c r="H275" i="3" s="1"/>
  <c r="F275" i="3"/>
  <c r="E275" i="3"/>
  <c r="D275" i="3"/>
  <c r="L275" i="3" s="1"/>
  <c r="G274" i="3"/>
  <c r="H274" i="3" s="1"/>
  <c r="F274" i="3"/>
  <c r="E274" i="3"/>
  <c r="D274" i="3"/>
  <c r="G273" i="3"/>
  <c r="F273" i="3"/>
  <c r="E273" i="3"/>
  <c r="D273" i="3"/>
  <c r="L273" i="3" s="1"/>
  <c r="G272" i="3"/>
  <c r="F272" i="3"/>
  <c r="H272" i="3" s="1"/>
  <c r="E272" i="3"/>
  <c r="D272" i="3"/>
  <c r="L272" i="3" s="1"/>
  <c r="G271" i="3"/>
  <c r="F271" i="3"/>
  <c r="E271" i="3"/>
  <c r="D271" i="3"/>
  <c r="L271" i="3" s="1"/>
  <c r="G270" i="3"/>
  <c r="H270" i="3" s="1"/>
  <c r="F270" i="3"/>
  <c r="E270" i="3"/>
  <c r="D270" i="3"/>
  <c r="L270" i="3" s="1"/>
  <c r="G269" i="3"/>
  <c r="F269" i="3"/>
  <c r="E269" i="3"/>
  <c r="D269" i="3"/>
  <c r="L269" i="3" s="1"/>
  <c r="G268" i="3"/>
  <c r="H268" i="3" s="1"/>
  <c r="F268" i="3"/>
  <c r="E268" i="3"/>
  <c r="D268" i="3"/>
  <c r="L268" i="3" s="1"/>
  <c r="G267" i="3"/>
  <c r="F267" i="3"/>
  <c r="E267" i="3"/>
  <c r="H267" i="3" s="1"/>
  <c r="D267" i="3"/>
  <c r="L267" i="3" s="1"/>
  <c r="G266" i="3"/>
  <c r="H266" i="3" s="1"/>
  <c r="F266" i="3"/>
  <c r="E266" i="3"/>
  <c r="D266" i="3"/>
  <c r="G265" i="3"/>
  <c r="F265" i="3"/>
  <c r="E265" i="3"/>
  <c r="D265" i="3"/>
  <c r="L265" i="3" s="1"/>
  <c r="G264" i="3"/>
  <c r="F264" i="3"/>
  <c r="E264" i="3"/>
  <c r="D264" i="3"/>
  <c r="L264" i="3" s="1"/>
  <c r="G263" i="3"/>
  <c r="F263" i="3"/>
  <c r="E263" i="3"/>
  <c r="D263" i="3"/>
  <c r="L263" i="3" s="1"/>
  <c r="H262" i="3"/>
  <c r="G262" i="3"/>
  <c r="F262" i="3"/>
  <c r="E262" i="3"/>
  <c r="D262" i="3"/>
  <c r="L262" i="3" s="1"/>
  <c r="G261" i="3"/>
  <c r="F261" i="3"/>
  <c r="E261" i="3"/>
  <c r="D261" i="3"/>
  <c r="L261" i="3" s="1"/>
  <c r="G260" i="3"/>
  <c r="F260" i="3"/>
  <c r="E260" i="3"/>
  <c r="D260" i="3"/>
  <c r="L260" i="3" s="1"/>
  <c r="G259" i="3"/>
  <c r="H259" i="3" s="1"/>
  <c r="F259" i="3"/>
  <c r="E259" i="3"/>
  <c r="D259" i="3"/>
  <c r="L259" i="3" s="1"/>
  <c r="G258" i="3"/>
  <c r="F258" i="3"/>
  <c r="E258" i="3"/>
  <c r="H258" i="3" s="1"/>
  <c r="D258" i="3"/>
  <c r="G257" i="3"/>
  <c r="F257" i="3"/>
  <c r="E257" i="3"/>
  <c r="D257" i="3"/>
  <c r="L257" i="3" s="1"/>
  <c r="G256" i="3"/>
  <c r="F256" i="3"/>
  <c r="E256" i="3"/>
  <c r="D256" i="3"/>
  <c r="L256" i="3" s="1"/>
  <c r="G255" i="3"/>
  <c r="F255" i="3"/>
  <c r="E255" i="3"/>
  <c r="D255" i="3"/>
  <c r="L255" i="3" s="1"/>
  <c r="G254" i="3"/>
  <c r="H254" i="3" s="1"/>
  <c r="F254" i="3"/>
  <c r="E254" i="3"/>
  <c r="D254" i="3"/>
  <c r="L254" i="3" s="1"/>
  <c r="G253" i="3"/>
  <c r="H253" i="3" s="1"/>
  <c r="F253" i="3"/>
  <c r="E253" i="3"/>
  <c r="D253" i="3"/>
  <c r="L253" i="3" s="1"/>
  <c r="G252" i="3"/>
  <c r="F252" i="3"/>
  <c r="E252" i="3"/>
  <c r="D252" i="3"/>
  <c r="L252" i="3" s="1"/>
  <c r="H251" i="3"/>
  <c r="G251" i="3"/>
  <c r="F251" i="3"/>
  <c r="E251" i="3"/>
  <c r="D251" i="3"/>
  <c r="L251" i="3" s="1"/>
  <c r="G250" i="3"/>
  <c r="H250" i="3" s="1"/>
  <c r="F250" i="3"/>
  <c r="E250" i="3"/>
  <c r="D250" i="3"/>
  <c r="G249" i="3"/>
  <c r="F249" i="3"/>
  <c r="E249" i="3"/>
  <c r="D249" i="3"/>
  <c r="L249" i="3" s="1"/>
  <c r="G248" i="3"/>
  <c r="F248" i="3"/>
  <c r="E248" i="3"/>
  <c r="D248" i="3"/>
  <c r="L248" i="3" s="1"/>
  <c r="G247" i="3"/>
  <c r="F247" i="3"/>
  <c r="E247" i="3"/>
  <c r="D247" i="3"/>
  <c r="L247" i="3" s="1"/>
  <c r="H246" i="3"/>
  <c r="G246" i="3"/>
  <c r="F246" i="3"/>
  <c r="E246" i="3"/>
  <c r="D246" i="3"/>
  <c r="L246" i="3" s="1"/>
  <c r="G245" i="3"/>
  <c r="F245" i="3"/>
  <c r="E245" i="3"/>
  <c r="D245" i="3"/>
  <c r="L245" i="3" s="1"/>
  <c r="G244" i="3"/>
  <c r="F244" i="3"/>
  <c r="E244" i="3"/>
  <c r="D244" i="3"/>
  <c r="L244" i="3" s="1"/>
  <c r="G243" i="3"/>
  <c r="H243" i="3" s="1"/>
  <c r="F243" i="3"/>
  <c r="E243" i="3"/>
  <c r="D243" i="3"/>
  <c r="L243" i="3" s="1"/>
  <c r="H242" i="3"/>
  <c r="G242" i="3"/>
  <c r="F242" i="3"/>
  <c r="E242" i="3"/>
  <c r="D242" i="3"/>
  <c r="G241" i="3"/>
  <c r="F241" i="3"/>
  <c r="E241" i="3"/>
  <c r="D241" i="3"/>
  <c r="L241" i="3" s="1"/>
  <c r="G240" i="3"/>
  <c r="F240" i="3"/>
  <c r="H240" i="3" s="1"/>
  <c r="E240" i="3"/>
  <c r="D240" i="3"/>
  <c r="L240" i="3" s="1"/>
  <c r="G239" i="3"/>
  <c r="F239" i="3"/>
  <c r="E239" i="3"/>
  <c r="D239" i="3"/>
  <c r="L239" i="3" s="1"/>
  <c r="G238" i="3"/>
  <c r="H238" i="3" s="1"/>
  <c r="F238" i="3"/>
  <c r="E238" i="3"/>
  <c r="D238" i="3"/>
  <c r="L238" i="3" s="1"/>
  <c r="G237" i="3"/>
  <c r="H237" i="3" s="1"/>
  <c r="F237" i="3"/>
  <c r="E237" i="3"/>
  <c r="D237" i="3"/>
  <c r="L237" i="3" s="1"/>
  <c r="G236" i="3"/>
  <c r="F236" i="3"/>
  <c r="E236" i="3"/>
  <c r="D236" i="3"/>
  <c r="L236" i="3" s="1"/>
  <c r="H235" i="3"/>
  <c r="G235" i="3"/>
  <c r="F235" i="3"/>
  <c r="E235" i="3"/>
  <c r="D235" i="3"/>
  <c r="L235" i="3" s="1"/>
  <c r="G234" i="3"/>
  <c r="H234" i="3" s="1"/>
  <c r="F234" i="3"/>
  <c r="E234" i="3"/>
  <c r="D234" i="3"/>
  <c r="G233" i="3"/>
  <c r="H233" i="3" s="1"/>
  <c r="F233" i="3"/>
  <c r="E233" i="3"/>
  <c r="D233" i="3"/>
  <c r="L233" i="3" s="1"/>
  <c r="G232" i="3"/>
  <c r="F232" i="3"/>
  <c r="E232" i="3"/>
  <c r="D232" i="3"/>
  <c r="L232" i="3" s="1"/>
  <c r="G231" i="3"/>
  <c r="H231" i="3" s="1"/>
  <c r="F231" i="3"/>
  <c r="E231" i="3"/>
  <c r="D231" i="3"/>
  <c r="L231" i="3" s="1"/>
  <c r="G230" i="3"/>
  <c r="H230" i="3" s="1"/>
  <c r="F230" i="3"/>
  <c r="E230" i="3"/>
  <c r="D230" i="3"/>
  <c r="L230" i="3" s="1"/>
  <c r="G229" i="3"/>
  <c r="F229" i="3"/>
  <c r="E229" i="3"/>
  <c r="D229" i="3"/>
  <c r="L229" i="3" s="1"/>
  <c r="G228" i="3"/>
  <c r="F228" i="3"/>
  <c r="E228" i="3"/>
  <c r="D228" i="3"/>
  <c r="L228" i="3" s="1"/>
  <c r="G227" i="3"/>
  <c r="H227" i="3" s="1"/>
  <c r="F227" i="3"/>
  <c r="E227" i="3"/>
  <c r="D227" i="3"/>
  <c r="L227" i="3" s="1"/>
  <c r="H226" i="3"/>
  <c r="G226" i="3"/>
  <c r="F226" i="3"/>
  <c r="E226" i="3"/>
  <c r="D226" i="3"/>
  <c r="G225" i="3"/>
  <c r="F225" i="3"/>
  <c r="E225" i="3"/>
  <c r="D225" i="3"/>
  <c r="L225" i="3" s="1"/>
  <c r="G224" i="3"/>
  <c r="F224" i="3"/>
  <c r="H224" i="3" s="1"/>
  <c r="E224" i="3"/>
  <c r="D224" i="3"/>
  <c r="L224" i="3" s="1"/>
  <c r="G223" i="3"/>
  <c r="F223" i="3"/>
  <c r="E223" i="3"/>
  <c r="D223" i="3"/>
  <c r="L223" i="3" s="1"/>
  <c r="G222" i="3"/>
  <c r="H222" i="3" s="1"/>
  <c r="F222" i="3"/>
  <c r="E222" i="3"/>
  <c r="D222" i="3"/>
  <c r="L222" i="3" s="1"/>
  <c r="G221" i="3"/>
  <c r="F221" i="3"/>
  <c r="E221" i="3"/>
  <c r="D221" i="3"/>
  <c r="L221" i="3" s="1"/>
  <c r="G220" i="3"/>
  <c r="H220" i="3" s="1"/>
  <c r="F220" i="3"/>
  <c r="E220" i="3"/>
  <c r="D220" i="3"/>
  <c r="L220" i="3" s="1"/>
  <c r="G219" i="3"/>
  <c r="H219" i="3" s="1"/>
  <c r="F219" i="3"/>
  <c r="E219" i="3"/>
  <c r="D219" i="3"/>
  <c r="L219" i="3" s="1"/>
  <c r="G218" i="3"/>
  <c r="H218" i="3" s="1"/>
  <c r="F218" i="3"/>
  <c r="E218" i="3"/>
  <c r="D218" i="3"/>
  <c r="G217" i="3"/>
  <c r="H217" i="3" s="1"/>
  <c r="F217" i="3"/>
  <c r="E217" i="3"/>
  <c r="D217" i="3"/>
  <c r="L217" i="3" s="1"/>
  <c r="G216" i="3"/>
  <c r="F216" i="3"/>
  <c r="E216" i="3"/>
  <c r="D216" i="3"/>
  <c r="L216" i="3" s="1"/>
  <c r="G215" i="3"/>
  <c r="H215" i="3" s="1"/>
  <c r="F215" i="3"/>
  <c r="E215" i="3"/>
  <c r="D215" i="3"/>
  <c r="L215" i="3" s="1"/>
  <c r="G214" i="3"/>
  <c r="F214" i="3"/>
  <c r="E214" i="3"/>
  <c r="H214" i="3" s="1"/>
  <c r="D214" i="3"/>
  <c r="L214" i="3" s="1"/>
  <c r="G213" i="3"/>
  <c r="F213" i="3"/>
  <c r="E213" i="3"/>
  <c r="D213" i="3"/>
  <c r="L213" i="3" s="1"/>
  <c r="G212" i="3"/>
  <c r="F212" i="3"/>
  <c r="E212" i="3"/>
  <c r="D212" i="3"/>
  <c r="L212" i="3" s="1"/>
  <c r="G211" i="3"/>
  <c r="H211" i="3" s="1"/>
  <c r="F211" i="3"/>
  <c r="E211" i="3"/>
  <c r="D211" i="3"/>
  <c r="L211" i="3" s="1"/>
  <c r="L210" i="3"/>
  <c r="G210" i="3"/>
  <c r="H210" i="3" s="1"/>
  <c r="F210" i="3"/>
  <c r="E210" i="3"/>
  <c r="D210" i="3"/>
  <c r="G209" i="3"/>
  <c r="F209" i="3"/>
  <c r="E209" i="3"/>
  <c r="D209" i="3"/>
  <c r="L209" i="3" s="1"/>
  <c r="G208" i="3"/>
  <c r="F208" i="3"/>
  <c r="E208" i="3"/>
  <c r="D208" i="3"/>
  <c r="L208" i="3" s="1"/>
  <c r="G207" i="3"/>
  <c r="F207" i="3"/>
  <c r="E207" i="3"/>
  <c r="D207" i="3"/>
  <c r="L207" i="3" s="1"/>
  <c r="H206" i="3"/>
  <c r="G206" i="3"/>
  <c r="F206" i="3"/>
  <c r="E206" i="3"/>
  <c r="D206" i="3"/>
  <c r="L206" i="3" s="1"/>
  <c r="G205" i="3"/>
  <c r="F205" i="3"/>
  <c r="E205" i="3"/>
  <c r="D205" i="3"/>
  <c r="L205" i="3" s="1"/>
  <c r="G204" i="3"/>
  <c r="F204" i="3"/>
  <c r="E204" i="3"/>
  <c r="D204" i="3"/>
  <c r="L204" i="3" s="1"/>
  <c r="G203" i="3"/>
  <c r="H203" i="3" s="1"/>
  <c r="F203" i="3"/>
  <c r="E203" i="3"/>
  <c r="D203" i="3"/>
  <c r="L203" i="3" s="1"/>
  <c r="H202" i="3"/>
  <c r="G202" i="3"/>
  <c r="F202" i="3"/>
  <c r="E202" i="3"/>
  <c r="D202" i="3"/>
  <c r="L202" i="3" s="1"/>
  <c r="G201" i="3"/>
  <c r="F201" i="3"/>
  <c r="E201" i="3"/>
  <c r="D201" i="3"/>
  <c r="L201" i="3" s="1"/>
  <c r="G200" i="3"/>
  <c r="F200" i="3"/>
  <c r="H200" i="3" s="1"/>
  <c r="E200" i="3"/>
  <c r="D200" i="3"/>
  <c r="L200" i="3" s="1"/>
  <c r="G199" i="3"/>
  <c r="F199" i="3"/>
  <c r="E199" i="3"/>
  <c r="D199" i="3"/>
  <c r="L199" i="3" s="1"/>
  <c r="G198" i="3"/>
  <c r="H198" i="3" s="1"/>
  <c r="F198" i="3"/>
  <c r="E198" i="3"/>
  <c r="D198" i="3"/>
  <c r="L198" i="3" s="1"/>
  <c r="G197" i="3"/>
  <c r="H197" i="3" s="1"/>
  <c r="F197" i="3"/>
  <c r="E197" i="3"/>
  <c r="D197" i="3"/>
  <c r="L197" i="3" s="1"/>
  <c r="G196" i="3"/>
  <c r="F196" i="3"/>
  <c r="E196" i="3"/>
  <c r="D196" i="3"/>
  <c r="L196" i="3" s="1"/>
  <c r="H195" i="3"/>
  <c r="G195" i="3"/>
  <c r="F195" i="3"/>
  <c r="E195" i="3"/>
  <c r="D195" i="3"/>
  <c r="L195" i="3" s="1"/>
  <c r="G194" i="3"/>
  <c r="H194" i="3" s="1"/>
  <c r="F194" i="3"/>
  <c r="E194" i="3"/>
  <c r="D194" i="3"/>
  <c r="L194" i="3" s="1"/>
  <c r="G193" i="3"/>
  <c r="F193" i="3"/>
  <c r="E193" i="3"/>
  <c r="D193" i="3"/>
  <c r="L193" i="3" s="1"/>
  <c r="G192" i="3"/>
  <c r="F192" i="3"/>
  <c r="H192" i="3" s="1"/>
  <c r="E192" i="3"/>
  <c r="D192" i="3"/>
  <c r="L192" i="3" s="1"/>
  <c r="G191" i="3"/>
  <c r="F191" i="3"/>
  <c r="E191" i="3"/>
  <c r="D191" i="3"/>
  <c r="L191" i="3" s="1"/>
  <c r="G190" i="3"/>
  <c r="H190" i="3" s="1"/>
  <c r="F190" i="3"/>
  <c r="E190" i="3"/>
  <c r="D190" i="3"/>
  <c r="L190" i="3" s="1"/>
  <c r="G189" i="3"/>
  <c r="F189" i="3"/>
  <c r="E189" i="3"/>
  <c r="D189" i="3"/>
  <c r="L189" i="3" s="1"/>
  <c r="G188" i="3"/>
  <c r="H188" i="3" s="1"/>
  <c r="F188" i="3"/>
  <c r="E188" i="3"/>
  <c r="D188" i="3"/>
  <c r="L188" i="3" s="1"/>
  <c r="G187" i="3"/>
  <c r="F187" i="3"/>
  <c r="E187" i="3"/>
  <c r="H187" i="3" s="1"/>
  <c r="D187" i="3"/>
  <c r="L187" i="3" s="1"/>
  <c r="G186" i="3"/>
  <c r="H186" i="3" s="1"/>
  <c r="F186" i="3"/>
  <c r="E186" i="3"/>
  <c r="D186" i="3"/>
  <c r="L186" i="3" s="1"/>
  <c r="G185" i="3"/>
  <c r="F185" i="3"/>
  <c r="E185" i="3"/>
  <c r="D185" i="3"/>
  <c r="L185" i="3" s="1"/>
  <c r="G184" i="3"/>
  <c r="F184" i="3"/>
  <c r="E184" i="3"/>
  <c r="D184" i="3"/>
  <c r="L184" i="3" s="1"/>
  <c r="G183" i="3"/>
  <c r="F183" i="3"/>
  <c r="E183" i="3"/>
  <c r="D183" i="3"/>
  <c r="L183" i="3" s="1"/>
  <c r="G182" i="3"/>
  <c r="F182" i="3"/>
  <c r="E182" i="3"/>
  <c r="D182" i="3"/>
  <c r="L182" i="3" s="1"/>
  <c r="G181" i="3"/>
  <c r="F181" i="3"/>
  <c r="E181" i="3"/>
  <c r="D181" i="3"/>
  <c r="L181" i="3" s="1"/>
  <c r="G180" i="3"/>
  <c r="F180" i="3"/>
  <c r="E180" i="3"/>
  <c r="D180" i="3"/>
  <c r="L180" i="3" s="1"/>
  <c r="G179" i="3"/>
  <c r="H179" i="3" s="1"/>
  <c r="F179" i="3"/>
  <c r="E179" i="3"/>
  <c r="D179" i="3"/>
  <c r="L179" i="3" s="1"/>
  <c r="G178" i="3"/>
  <c r="H178" i="3" s="1"/>
  <c r="F178" i="3"/>
  <c r="E178" i="3"/>
  <c r="D178" i="3"/>
  <c r="L178" i="3" s="1"/>
  <c r="G177" i="3"/>
  <c r="H177" i="3" s="1"/>
  <c r="F177" i="3"/>
  <c r="E177" i="3"/>
  <c r="D177" i="3"/>
  <c r="L177" i="3" s="1"/>
  <c r="G176" i="3"/>
  <c r="F176" i="3"/>
  <c r="E176" i="3"/>
  <c r="D176" i="3"/>
  <c r="L176" i="3" s="1"/>
  <c r="L175" i="3"/>
  <c r="G175" i="3"/>
  <c r="F175" i="3"/>
  <c r="E175" i="3"/>
  <c r="D175" i="3"/>
  <c r="G174" i="3"/>
  <c r="F174" i="3"/>
  <c r="E174" i="3"/>
  <c r="D174" i="3"/>
  <c r="L174" i="3" s="1"/>
  <c r="G173" i="3"/>
  <c r="F173" i="3"/>
  <c r="E173" i="3"/>
  <c r="D173" i="3"/>
  <c r="L173" i="3" s="1"/>
  <c r="G172" i="3"/>
  <c r="F172" i="3"/>
  <c r="E172" i="3"/>
  <c r="D172" i="3"/>
  <c r="L172" i="3" s="1"/>
  <c r="G171" i="3"/>
  <c r="H171" i="3" s="1"/>
  <c r="F171" i="3"/>
  <c r="E171" i="3"/>
  <c r="D171" i="3"/>
  <c r="L171" i="3" s="1"/>
  <c r="H170" i="3"/>
  <c r="G170" i="3"/>
  <c r="F170" i="3"/>
  <c r="E170" i="3"/>
  <c r="D170" i="3"/>
  <c r="L170" i="3" s="1"/>
  <c r="G169" i="3"/>
  <c r="F169" i="3"/>
  <c r="E169" i="3"/>
  <c r="D169" i="3"/>
  <c r="L169" i="3" s="1"/>
  <c r="G168" i="3"/>
  <c r="F168" i="3"/>
  <c r="H168" i="3" s="1"/>
  <c r="E168" i="3"/>
  <c r="D168" i="3"/>
  <c r="L168" i="3" s="1"/>
  <c r="G167" i="3"/>
  <c r="F167" i="3"/>
  <c r="E167" i="3"/>
  <c r="D167" i="3"/>
  <c r="L167" i="3" s="1"/>
  <c r="G166" i="3"/>
  <c r="F166" i="3"/>
  <c r="E166" i="3"/>
  <c r="D166" i="3"/>
  <c r="L166" i="3" s="1"/>
  <c r="G165" i="3"/>
  <c r="F165" i="3"/>
  <c r="E165" i="3"/>
  <c r="D165" i="3"/>
  <c r="L165" i="3" s="1"/>
  <c r="G164" i="3"/>
  <c r="H164" i="3" s="1"/>
  <c r="F164" i="3"/>
  <c r="E164" i="3"/>
  <c r="D164" i="3"/>
  <c r="L164" i="3" s="1"/>
  <c r="G163" i="3"/>
  <c r="F163" i="3"/>
  <c r="E163" i="3"/>
  <c r="D163" i="3"/>
  <c r="L163" i="3" s="1"/>
  <c r="H162" i="3"/>
  <c r="G162" i="3"/>
  <c r="F162" i="3"/>
  <c r="E162" i="3"/>
  <c r="D162" i="3"/>
  <c r="L162" i="3" s="1"/>
  <c r="G161" i="3"/>
  <c r="F161" i="3"/>
  <c r="E161" i="3"/>
  <c r="D161" i="3"/>
  <c r="L161" i="3" s="1"/>
  <c r="G160" i="3"/>
  <c r="F160" i="3"/>
  <c r="H160" i="3" s="1"/>
  <c r="E160" i="3"/>
  <c r="D160" i="3"/>
  <c r="L160" i="3" s="1"/>
  <c r="G159" i="3"/>
  <c r="F159" i="3"/>
  <c r="E159" i="3"/>
  <c r="D159" i="3"/>
  <c r="L159" i="3" s="1"/>
  <c r="G158" i="3"/>
  <c r="H158" i="3" s="1"/>
  <c r="F158" i="3"/>
  <c r="E158" i="3"/>
  <c r="D158" i="3"/>
  <c r="L158" i="3" s="1"/>
  <c r="G157" i="3"/>
  <c r="F157" i="3"/>
  <c r="E157" i="3"/>
  <c r="D157" i="3"/>
  <c r="L157" i="3" s="1"/>
  <c r="G156" i="3"/>
  <c r="F156" i="3"/>
  <c r="E156" i="3"/>
  <c r="D156" i="3"/>
  <c r="L156" i="3" s="1"/>
  <c r="H155" i="3"/>
  <c r="G155" i="3"/>
  <c r="F155" i="3"/>
  <c r="E155" i="3"/>
  <c r="D155" i="3"/>
  <c r="L155" i="3" s="1"/>
  <c r="G154" i="3"/>
  <c r="H154" i="3" s="1"/>
  <c r="F154" i="3"/>
  <c r="E154" i="3"/>
  <c r="D154" i="3"/>
  <c r="L154" i="3" s="1"/>
  <c r="G153" i="3"/>
  <c r="F153" i="3"/>
  <c r="E153" i="3"/>
  <c r="D153" i="3"/>
  <c r="L153" i="3" s="1"/>
  <c r="G152" i="3"/>
  <c r="F152" i="3"/>
  <c r="H152" i="3" s="1"/>
  <c r="E152" i="3"/>
  <c r="D152" i="3"/>
  <c r="L152" i="3" s="1"/>
  <c r="G151" i="3"/>
  <c r="F151" i="3"/>
  <c r="E151" i="3"/>
  <c r="D151" i="3"/>
  <c r="L151" i="3" s="1"/>
  <c r="L150" i="3"/>
  <c r="G150" i="3"/>
  <c r="F150" i="3"/>
  <c r="E150" i="3"/>
  <c r="D150" i="3"/>
  <c r="G149" i="3"/>
  <c r="F149" i="3"/>
  <c r="E149" i="3"/>
  <c r="D149" i="3"/>
  <c r="L149" i="3" s="1"/>
  <c r="G148" i="3"/>
  <c r="H148" i="3" s="1"/>
  <c r="F148" i="3"/>
  <c r="E148" i="3"/>
  <c r="D148" i="3"/>
  <c r="L148" i="3" s="1"/>
  <c r="G147" i="3"/>
  <c r="F147" i="3"/>
  <c r="E147" i="3"/>
  <c r="D147" i="3"/>
  <c r="L147" i="3" s="1"/>
  <c r="H146" i="3"/>
  <c r="G146" i="3"/>
  <c r="F146" i="3"/>
  <c r="E146" i="3"/>
  <c r="D146" i="3"/>
  <c r="L146" i="3" s="1"/>
  <c r="G145" i="3"/>
  <c r="F145" i="3"/>
  <c r="E145" i="3"/>
  <c r="D145" i="3"/>
  <c r="L145" i="3" s="1"/>
  <c r="G144" i="3"/>
  <c r="F144" i="3"/>
  <c r="H144" i="3" s="1"/>
  <c r="E144" i="3"/>
  <c r="D144" i="3"/>
  <c r="L144" i="3" s="1"/>
  <c r="G143" i="3"/>
  <c r="F143" i="3"/>
  <c r="E143" i="3"/>
  <c r="D143" i="3"/>
  <c r="L143" i="3" s="1"/>
  <c r="L142" i="3"/>
  <c r="H142" i="3"/>
  <c r="G142" i="3"/>
  <c r="F142" i="3"/>
  <c r="E142" i="3"/>
  <c r="D142" i="3"/>
  <c r="G141" i="3"/>
  <c r="F141" i="3"/>
  <c r="E141" i="3"/>
  <c r="D141" i="3"/>
  <c r="L141" i="3" s="1"/>
  <c r="G140" i="3"/>
  <c r="F140" i="3"/>
  <c r="E140" i="3"/>
  <c r="D140" i="3"/>
  <c r="L140" i="3" s="1"/>
  <c r="G139" i="3"/>
  <c r="H139" i="3" s="1"/>
  <c r="F139" i="3"/>
  <c r="E139" i="3"/>
  <c r="D139" i="3"/>
  <c r="L139" i="3" s="1"/>
  <c r="G138" i="3"/>
  <c r="F138" i="3"/>
  <c r="E138" i="3"/>
  <c r="H138" i="3" s="1"/>
  <c r="D138" i="3"/>
  <c r="L138" i="3" s="1"/>
  <c r="G137" i="3"/>
  <c r="F137" i="3"/>
  <c r="E137" i="3"/>
  <c r="D137" i="3"/>
  <c r="L137" i="3" s="1"/>
  <c r="G136" i="3"/>
  <c r="F136" i="3"/>
  <c r="E136" i="3"/>
  <c r="D136" i="3"/>
  <c r="L136" i="3" s="1"/>
  <c r="L135" i="3"/>
  <c r="G135" i="3"/>
  <c r="H135" i="3" s="1"/>
  <c r="F135" i="3"/>
  <c r="E135" i="3"/>
  <c r="D135" i="3"/>
  <c r="L134" i="3"/>
  <c r="G134" i="3"/>
  <c r="H134" i="3" s="1"/>
  <c r="F134" i="3"/>
  <c r="E134" i="3"/>
  <c r="D134" i="3"/>
  <c r="G133" i="3"/>
  <c r="F133" i="3"/>
  <c r="E133" i="3"/>
  <c r="D133" i="3"/>
  <c r="L133" i="3" s="1"/>
  <c r="G132" i="3"/>
  <c r="H132" i="3" s="1"/>
  <c r="F132" i="3"/>
  <c r="E132" i="3"/>
  <c r="D132" i="3"/>
  <c r="L132" i="3" s="1"/>
  <c r="G131" i="3"/>
  <c r="F131" i="3"/>
  <c r="E131" i="3"/>
  <c r="H131" i="3" s="1"/>
  <c r="D131" i="3"/>
  <c r="L131" i="3" s="1"/>
  <c r="H130" i="3"/>
  <c r="G130" i="3"/>
  <c r="F130" i="3"/>
  <c r="E130" i="3"/>
  <c r="D130" i="3"/>
  <c r="L130" i="3" s="1"/>
  <c r="G129" i="3"/>
  <c r="F129" i="3"/>
  <c r="E129" i="3"/>
  <c r="D129" i="3"/>
  <c r="L129" i="3" s="1"/>
  <c r="G128" i="3"/>
  <c r="F128" i="3"/>
  <c r="H128" i="3" s="1"/>
  <c r="E128" i="3"/>
  <c r="D128" i="3"/>
  <c r="L128" i="3" s="1"/>
  <c r="G127" i="3"/>
  <c r="H127" i="3" s="1"/>
  <c r="F127" i="3"/>
  <c r="E127" i="3"/>
  <c r="D127" i="3"/>
  <c r="L127" i="3" s="1"/>
  <c r="G126" i="3"/>
  <c r="F126" i="3"/>
  <c r="E126" i="3"/>
  <c r="H126" i="3" s="1"/>
  <c r="D126" i="3"/>
  <c r="L126" i="3" s="1"/>
  <c r="G125" i="3"/>
  <c r="F125" i="3"/>
  <c r="E125" i="3"/>
  <c r="D125" i="3"/>
  <c r="L125" i="3" s="1"/>
  <c r="G124" i="3"/>
  <c r="F124" i="3"/>
  <c r="E124" i="3"/>
  <c r="D124" i="3"/>
  <c r="L124" i="3" s="1"/>
  <c r="G123" i="3"/>
  <c r="F123" i="3"/>
  <c r="E123" i="3"/>
  <c r="D123" i="3"/>
  <c r="L123" i="3" s="1"/>
  <c r="G122" i="3"/>
  <c r="H122" i="3" s="1"/>
  <c r="F122" i="3"/>
  <c r="E122" i="3"/>
  <c r="D122" i="3"/>
  <c r="L122" i="3" s="1"/>
  <c r="G121" i="3"/>
  <c r="F121" i="3"/>
  <c r="E121" i="3"/>
  <c r="D121" i="3"/>
  <c r="L121" i="3" s="1"/>
  <c r="G120" i="3"/>
  <c r="F120" i="3"/>
  <c r="E120" i="3"/>
  <c r="D120" i="3"/>
  <c r="L120" i="3" s="1"/>
  <c r="L119" i="3"/>
  <c r="G119" i="3"/>
  <c r="F119" i="3"/>
  <c r="E119" i="3"/>
  <c r="D119" i="3"/>
  <c r="L118" i="3"/>
  <c r="G118" i="3"/>
  <c r="F118" i="3"/>
  <c r="E118" i="3"/>
  <c r="D118" i="3"/>
  <c r="G117" i="3"/>
  <c r="F117" i="3"/>
  <c r="E117" i="3"/>
  <c r="D117" i="3"/>
  <c r="L117" i="3" s="1"/>
  <c r="G116" i="3"/>
  <c r="H116" i="3" s="1"/>
  <c r="F116" i="3"/>
  <c r="E116" i="3"/>
  <c r="D116" i="3"/>
  <c r="L116" i="3" s="1"/>
  <c r="G115" i="3"/>
  <c r="F115" i="3"/>
  <c r="E115" i="3"/>
  <c r="D115" i="3"/>
  <c r="L115" i="3" s="1"/>
  <c r="H114" i="3"/>
  <c r="G114" i="3"/>
  <c r="F114" i="3"/>
  <c r="E114" i="3"/>
  <c r="D114" i="3"/>
  <c r="L114" i="3" s="1"/>
  <c r="G113" i="3"/>
  <c r="F113" i="3"/>
  <c r="E113" i="3"/>
  <c r="D113" i="3"/>
  <c r="L113" i="3" s="1"/>
  <c r="G112" i="3"/>
  <c r="F112" i="3"/>
  <c r="H112" i="3" s="1"/>
  <c r="E112" i="3"/>
  <c r="D112" i="3"/>
  <c r="L112" i="3" s="1"/>
  <c r="G111" i="3"/>
  <c r="F111" i="3"/>
  <c r="E111" i="3"/>
  <c r="D111" i="3"/>
  <c r="L111" i="3" s="1"/>
  <c r="G110" i="3"/>
  <c r="F110" i="3"/>
  <c r="E110" i="3"/>
  <c r="D110" i="3"/>
  <c r="L110" i="3" s="1"/>
  <c r="G109" i="3"/>
  <c r="F109" i="3"/>
  <c r="E109" i="3"/>
  <c r="D109" i="3"/>
  <c r="L109" i="3" s="1"/>
  <c r="G108" i="3"/>
  <c r="F108" i="3"/>
  <c r="E108" i="3"/>
  <c r="D108" i="3"/>
  <c r="L108" i="3" s="1"/>
  <c r="G107" i="3"/>
  <c r="H107" i="3" s="1"/>
  <c r="F107" i="3"/>
  <c r="E107" i="3"/>
  <c r="D107" i="3"/>
  <c r="L107" i="3" s="1"/>
  <c r="H106" i="3"/>
  <c r="G106" i="3"/>
  <c r="F106" i="3"/>
  <c r="E106" i="3"/>
  <c r="D106" i="3"/>
  <c r="L106" i="3" s="1"/>
  <c r="G105" i="3"/>
  <c r="F105" i="3"/>
  <c r="E105" i="3"/>
  <c r="D105" i="3"/>
  <c r="L105" i="3" s="1"/>
  <c r="G104" i="3"/>
  <c r="F104" i="3"/>
  <c r="H104" i="3" s="1"/>
  <c r="E104" i="3"/>
  <c r="D104" i="3"/>
  <c r="L104" i="3" s="1"/>
  <c r="L103" i="3"/>
  <c r="G103" i="3"/>
  <c r="F103" i="3"/>
  <c r="E103" i="3"/>
  <c r="D103" i="3"/>
  <c r="G102" i="3"/>
  <c r="F102" i="3"/>
  <c r="E102" i="3"/>
  <c r="H102" i="3" s="1"/>
  <c r="D102" i="3"/>
  <c r="L102" i="3" s="1"/>
  <c r="G101" i="3"/>
  <c r="F101" i="3"/>
  <c r="E101" i="3"/>
  <c r="D101" i="3"/>
  <c r="L101" i="3" s="1"/>
  <c r="G100" i="3"/>
  <c r="F100" i="3"/>
  <c r="E100" i="3"/>
  <c r="D100" i="3"/>
  <c r="L100" i="3" s="1"/>
  <c r="G99" i="3"/>
  <c r="F99" i="3"/>
  <c r="E99" i="3"/>
  <c r="D99" i="3"/>
  <c r="L99" i="3" s="1"/>
  <c r="G98" i="3"/>
  <c r="F98" i="3"/>
  <c r="E98" i="3"/>
  <c r="D98" i="3"/>
  <c r="L98" i="3" s="1"/>
  <c r="G97" i="3"/>
  <c r="H97" i="3" s="1"/>
  <c r="F97" i="3"/>
  <c r="E97" i="3"/>
  <c r="D97" i="3"/>
  <c r="L97" i="3" s="1"/>
  <c r="G96" i="3"/>
  <c r="F96" i="3"/>
  <c r="E96" i="3"/>
  <c r="D96" i="3"/>
  <c r="L96" i="3" s="1"/>
  <c r="G95" i="3"/>
  <c r="H95" i="3" s="1"/>
  <c r="F95" i="3"/>
  <c r="E95" i="3"/>
  <c r="D95" i="3"/>
  <c r="L95" i="3" s="1"/>
  <c r="G94" i="3"/>
  <c r="F94" i="3"/>
  <c r="E94" i="3"/>
  <c r="D94" i="3"/>
  <c r="L94" i="3" s="1"/>
  <c r="G93" i="3"/>
  <c r="F93" i="3"/>
  <c r="E93" i="3"/>
  <c r="D93" i="3"/>
  <c r="L93" i="3" s="1"/>
  <c r="G92" i="3"/>
  <c r="F92" i="3"/>
  <c r="E92" i="3"/>
  <c r="D92" i="3"/>
  <c r="L92" i="3" s="1"/>
  <c r="G91" i="3"/>
  <c r="F91" i="3"/>
  <c r="E91" i="3"/>
  <c r="D91" i="3"/>
  <c r="L91" i="3" s="1"/>
  <c r="L90" i="3"/>
  <c r="G90" i="3"/>
  <c r="F90" i="3"/>
  <c r="H90" i="3" s="1"/>
  <c r="E90" i="3"/>
  <c r="D90" i="3"/>
  <c r="G89" i="3"/>
  <c r="F89" i="3"/>
  <c r="E89" i="3"/>
  <c r="D89" i="3"/>
  <c r="L89" i="3" s="1"/>
  <c r="G88" i="3"/>
  <c r="F88" i="3"/>
  <c r="H88" i="3" s="1"/>
  <c r="E88" i="3"/>
  <c r="D88" i="3"/>
  <c r="L88" i="3" s="1"/>
  <c r="G87" i="3"/>
  <c r="F87" i="3"/>
  <c r="E87" i="3"/>
  <c r="D87" i="3"/>
  <c r="L87" i="3" s="1"/>
  <c r="G86" i="3"/>
  <c r="F86" i="3"/>
  <c r="E86" i="3"/>
  <c r="D86" i="3"/>
  <c r="L86" i="3" s="1"/>
  <c r="G85" i="3"/>
  <c r="F85" i="3"/>
  <c r="E85" i="3"/>
  <c r="D85" i="3"/>
  <c r="L85" i="3" s="1"/>
  <c r="L84" i="3"/>
  <c r="G84" i="3"/>
  <c r="F84" i="3"/>
  <c r="E84" i="3"/>
  <c r="D84" i="3"/>
  <c r="G83" i="3"/>
  <c r="F83" i="3"/>
  <c r="E83" i="3"/>
  <c r="D83" i="3"/>
  <c r="L83" i="3" s="1"/>
  <c r="G82" i="3"/>
  <c r="F82" i="3"/>
  <c r="E82" i="3"/>
  <c r="D82" i="3"/>
  <c r="L82" i="3" s="1"/>
  <c r="G81" i="3"/>
  <c r="F81" i="3"/>
  <c r="E81" i="3"/>
  <c r="D81" i="3"/>
  <c r="L81" i="3" s="1"/>
  <c r="G80" i="3"/>
  <c r="F80" i="3"/>
  <c r="E80" i="3"/>
  <c r="D80" i="3"/>
  <c r="L80" i="3" s="1"/>
  <c r="L79" i="3"/>
  <c r="G79" i="3"/>
  <c r="F79" i="3"/>
  <c r="E79" i="3"/>
  <c r="D79" i="3"/>
  <c r="G78" i="3"/>
  <c r="F78" i="3"/>
  <c r="E78" i="3"/>
  <c r="D78" i="3"/>
  <c r="L78" i="3" s="1"/>
  <c r="G77" i="3"/>
  <c r="F77" i="3"/>
  <c r="E77" i="3"/>
  <c r="D77" i="3"/>
  <c r="L77" i="3" s="1"/>
  <c r="G76" i="3"/>
  <c r="F76" i="3"/>
  <c r="E76" i="3"/>
  <c r="D76" i="3"/>
  <c r="L76" i="3" s="1"/>
  <c r="G75" i="3"/>
  <c r="H75" i="3" s="1"/>
  <c r="F75" i="3"/>
  <c r="E75" i="3"/>
  <c r="D75" i="3"/>
  <c r="L75" i="3" s="1"/>
  <c r="L74" i="3"/>
  <c r="G74" i="3"/>
  <c r="F74" i="3"/>
  <c r="H74" i="3" s="1"/>
  <c r="E74" i="3"/>
  <c r="D74" i="3"/>
  <c r="G73" i="3"/>
  <c r="F73" i="3"/>
  <c r="E73" i="3"/>
  <c r="D73" i="3"/>
  <c r="L73" i="3" s="1"/>
  <c r="G72" i="3"/>
  <c r="H72" i="3" s="1"/>
  <c r="F72" i="3"/>
  <c r="E72" i="3"/>
  <c r="D72" i="3"/>
  <c r="L72" i="3" s="1"/>
  <c r="G71" i="3"/>
  <c r="F71" i="3"/>
  <c r="E71" i="3"/>
  <c r="D71" i="3"/>
  <c r="L71" i="3" s="1"/>
  <c r="G70" i="3"/>
  <c r="F70" i="3"/>
  <c r="E70" i="3"/>
  <c r="D70" i="3"/>
  <c r="L70" i="3" s="1"/>
  <c r="G69" i="3"/>
  <c r="F69" i="3"/>
  <c r="E69" i="3"/>
  <c r="D69" i="3"/>
  <c r="L69" i="3" s="1"/>
  <c r="G68" i="3"/>
  <c r="F68" i="3"/>
  <c r="E68" i="3"/>
  <c r="D68" i="3"/>
  <c r="L68" i="3" s="1"/>
  <c r="G67" i="3"/>
  <c r="F67" i="3"/>
  <c r="E67" i="3"/>
  <c r="D67" i="3"/>
  <c r="L67" i="3" s="1"/>
  <c r="G66" i="3"/>
  <c r="F66" i="3"/>
  <c r="E66" i="3"/>
  <c r="D66" i="3"/>
  <c r="L66" i="3" s="1"/>
  <c r="G65" i="3"/>
  <c r="F65" i="3"/>
  <c r="E65" i="3"/>
  <c r="D65" i="3"/>
  <c r="L65" i="3" s="1"/>
  <c r="G64" i="3"/>
  <c r="F64" i="3"/>
  <c r="E64" i="3"/>
  <c r="D64" i="3"/>
  <c r="L64" i="3" s="1"/>
  <c r="L63" i="3"/>
  <c r="G63" i="3"/>
  <c r="H63" i="3" s="1"/>
  <c r="F63" i="3"/>
  <c r="E63" i="3"/>
  <c r="D63" i="3"/>
  <c r="L62" i="3"/>
  <c r="G62" i="3"/>
  <c r="H62" i="3" s="1"/>
  <c r="F62" i="3"/>
  <c r="E62" i="3"/>
  <c r="D62" i="3"/>
  <c r="G61" i="3"/>
  <c r="H61" i="3" s="1"/>
  <c r="F61" i="3"/>
  <c r="E61" i="3"/>
  <c r="D61" i="3"/>
  <c r="L61" i="3" s="1"/>
  <c r="G60" i="3"/>
  <c r="F60" i="3"/>
  <c r="E60" i="3"/>
  <c r="D60" i="3"/>
  <c r="L60" i="3" s="1"/>
  <c r="G59" i="3"/>
  <c r="F59" i="3"/>
  <c r="E59" i="3"/>
  <c r="H59" i="3" s="1"/>
  <c r="D59" i="3"/>
  <c r="L59" i="3" s="1"/>
  <c r="L58" i="3"/>
  <c r="G58" i="3"/>
  <c r="F58" i="3"/>
  <c r="E58" i="3"/>
  <c r="D58" i="3"/>
  <c r="G57" i="3"/>
  <c r="F57" i="3"/>
  <c r="E57" i="3"/>
  <c r="D57" i="3"/>
  <c r="L57" i="3" s="1"/>
  <c r="H56" i="3"/>
  <c r="G56" i="3"/>
  <c r="F56" i="3"/>
  <c r="E56" i="3"/>
  <c r="D56" i="3"/>
  <c r="L56" i="3" s="1"/>
  <c r="L55" i="3"/>
  <c r="G55" i="3"/>
  <c r="H55" i="3" s="1"/>
  <c r="F55" i="3"/>
  <c r="E55" i="3"/>
  <c r="D55" i="3"/>
  <c r="G54" i="3"/>
  <c r="F54" i="3"/>
  <c r="E54" i="3"/>
  <c r="D54" i="3"/>
  <c r="L54" i="3" s="1"/>
  <c r="G53" i="3"/>
  <c r="H53" i="3" s="1"/>
  <c r="F53" i="3"/>
  <c r="E53" i="3"/>
  <c r="D53" i="3"/>
  <c r="L53" i="3" s="1"/>
  <c r="G52" i="3"/>
  <c r="F52" i="3"/>
  <c r="E52" i="3"/>
  <c r="D52" i="3"/>
  <c r="L52" i="3" s="1"/>
  <c r="G51" i="3"/>
  <c r="F51" i="3"/>
  <c r="E51" i="3"/>
  <c r="D51" i="3"/>
  <c r="L51" i="3" s="1"/>
  <c r="G50" i="3"/>
  <c r="F50" i="3"/>
  <c r="E50" i="3"/>
  <c r="D50" i="3"/>
  <c r="L50" i="3" s="1"/>
  <c r="G49" i="3"/>
  <c r="F49" i="3"/>
  <c r="E49" i="3"/>
  <c r="D49" i="3"/>
  <c r="L49" i="3" s="1"/>
  <c r="G48" i="3"/>
  <c r="F48" i="3"/>
  <c r="E48" i="3"/>
  <c r="D48" i="3"/>
  <c r="L48" i="3" s="1"/>
  <c r="G47" i="3"/>
  <c r="H47" i="3" s="1"/>
  <c r="F47" i="3"/>
  <c r="E47" i="3"/>
  <c r="D47" i="3"/>
  <c r="L47" i="3" s="1"/>
  <c r="L46" i="3"/>
  <c r="G46" i="3"/>
  <c r="F46" i="3"/>
  <c r="E46" i="3"/>
  <c r="D46" i="3"/>
  <c r="G45" i="3"/>
  <c r="F45" i="3"/>
  <c r="E45" i="3"/>
  <c r="D45" i="3"/>
  <c r="L45" i="3" s="1"/>
  <c r="L44" i="3"/>
  <c r="G44" i="3"/>
  <c r="H44" i="3" s="1"/>
  <c r="F44" i="3"/>
  <c r="E44" i="3"/>
  <c r="D44" i="3"/>
  <c r="G43" i="3"/>
  <c r="F43" i="3"/>
  <c r="E43" i="3"/>
  <c r="H43" i="3" s="1"/>
  <c r="D43" i="3"/>
  <c r="L43" i="3" s="1"/>
  <c r="G42" i="3"/>
  <c r="F42" i="3"/>
  <c r="E42" i="3"/>
  <c r="D42" i="3"/>
  <c r="L42" i="3" s="1"/>
  <c r="G41" i="3"/>
  <c r="F41" i="3"/>
  <c r="E41" i="3"/>
  <c r="D41" i="3"/>
  <c r="L41" i="3" s="1"/>
  <c r="H40" i="3"/>
  <c r="G40" i="3"/>
  <c r="F40" i="3"/>
  <c r="E40" i="3"/>
  <c r="D40" i="3"/>
  <c r="L40" i="3" s="1"/>
  <c r="G39" i="3"/>
  <c r="F39" i="3"/>
  <c r="E39" i="3"/>
  <c r="D39" i="3"/>
  <c r="L39" i="3" s="1"/>
  <c r="G38" i="3"/>
  <c r="F38" i="3"/>
  <c r="E38" i="3"/>
  <c r="D38" i="3"/>
  <c r="L38" i="3" s="1"/>
  <c r="G37" i="3"/>
  <c r="F37" i="3"/>
  <c r="E37" i="3"/>
  <c r="D37" i="3"/>
  <c r="L37" i="3" s="1"/>
  <c r="G36" i="3"/>
  <c r="H36" i="3" s="1"/>
  <c r="F36" i="3"/>
  <c r="E36" i="3"/>
  <c r="D36" i="3"/>
  <c r="L36" i="3" s="1"/>
  <c r="G35" i="3"/>
  <c r="F35" i="3"/>
  <c r="E35" i="3"/>
  <c r="D35" i="3"/>
  <c r="L35" i="3" s="1"/>
  <c r="G34" i="3"/>
  <c r="F34" i="3"/>
  <c r="E34" i="3"/>
  <c r="D34" i="3"/>
  <c r="L34" i="3" s="1"/>
  <c r="G33" i="3"/>
  <c r="F33" i="3"/>
  <c r="E33" i="3"/>
  <c r="D33" i="3"/>
  <c r="L33" i="3" s="1"/>
  <c r="G32" i="3"/>
  <c r="F32" i="3"/>
  <c r="E32" i="3"/>
  <c r="D32" i="3"/>
  <c r="L32" i="3" s="1"/>
  <c r="G31" i="3"/>
  <c r="F31" i="3"/>
  <c r="E31" i="3"/>
  <c r="D31" i="3"/>
  <c r="L31" i="3" s="1"/>
  <c r="G30" i="3"/>
  <c r="F30" i="3"/>
  <c r="E30" i="3"/>
  <c r="H30" i="3" s="1"/>
  <c r="D30" i="3"/>
  <c r="L30" i="3" s="1"/>
  <c r="G29" i="3"/>
  <c r="F29" i="3"/>
  <c r="E29" i="3"/>
  <c r="D29" i="3"/>
  <c r="L29" i="3" s="1"/>
  <c r="G28" i="3"/>
  <c r="F28" i="3"/>
  <c r="E28" i="3"/>
  <c r="D28" i="3"/>
  <c r="L28" i="3" s="1"/>
  <c r="G27" i="3"/>
  <c r="F27" i="3"/>
  <c r="E27" i="3"/>
  <c r="D27" i="3"/>
  <c r="L27" i="3" s="1"/>
  <c r="G26" i="3"/>
  <c r="F26" i="3"/>
  <c r="E26" i="3"/>
  <c r="H26" i="3" s="1"/>
  <c r="D26" i="3"/>
  <c r="L26" i="3" s="1"/>
  <c r="G25" i="3"/>
  <c r="H25" i="3" s="1"/>
  <c r="F25" i="3"/>
  <c r="E25" i="3"/>
  <c r="D25" i="3"/>
  <c r="L25" i="3" s="1"/>
  <c r="G24" i="3"/>
  <c r="F24" i="3"/>
  <c r="E24" i="3"/>
  <c r="D24" i="3"/>
  <c r="L24" i="3" s="1"/>
  <c r="G23" i="3"/>
  <c r="H23" i="3" s="1"/>
  <c r="F23" i="3"/>
  <c r="E23" i="3"/>
  <c r="D23" i="3"/>
  <c r="L23" i="3" s="1"/>
  <c r="L22" i="3"/>
  <c r="G22" i="3"/>
  <c r="H22" i="3" s="1"/>
  <c r="F22" i="3"/>
  <c r="E22" i="3"/>
  <c r="D22" i="3"/>
  <c r="G21" i="3"/>
  <c r="F21" i="3"/>
  <c r="E21" i="3"/>
  <c r="D21" i="3"/>
  <c r="L21" i="3" s="1"/>
  <c r="L20" i="3"/>
  <c r="G20" i="3"/>
  <c r="F20" i="3"/>
  <c r="E20" i="3"/>
  <c r="D20" i="3"/>
  <c r="L19" i="3"/>
  <c r="G19" i="3"/>
  <c r="F19" i="3"/>
  <c r="E19" i="3"/>
  <c r="D19" i="3"/>
  <c r="G18" i="3"/>
  <c r="F18" i="3"/>
  <c r="E18" i="3"/>
  <c r="H18" i="3" s="1"/>
  <c r="D18" i="3"/>
  <c r="L18" i="3" s="1"/>
  <c r="G17" i="3"/>
  <c r="F17" i="3"/>
  <c r="E17" i="3"/>
  <c r="D17" i="3"/>
  <c r="L17" i="3" s="1"/>
  <c r="G16" i="3"/>
  <c r="F16" i="3"/>
  <c r="E16" i="3"/>
  <c r="D16" i="3"/>
  <c r="L16" i="3" s="1"/>
  <c r="G15" i="3"/>
  <c r="F15" i="3"/>
  <c r="E15" i="3"/>
  <c r="D15" i="3"/>
  <c r="L15" i="3" s="1"/>
  <c r="G14" i="3"/>
  <c r="F14" i="3"/>
  <c r="E14" i="3"/>
  <c r="H14" i="3" s="1"/>
  <c r="D14" i="3"/>
  <c r="L14" i="3" s="1"/>
  <c r="G13" i="3"/>
  <c r="F13" i="3"/>
  <c r="E13" i="3"/>
  <c r="D13" i="3"/>
  <c r="L13" i="3" s="1"/>
  <c r="G12" i="3"/>
  <c r="F12" i="3"/>
  <c r="E12" i="3"/>
  <c r="D12" i="3"/>
  <c r="L12" i="3" s="1"/>
  <c r="H11" i="3"/>
  <c r="G11" i="3"/>
  <c r="F11" i="3"/>
  <c r="E11" i="3"/>
  <c r="D11" i="3"/>
  <c r="L11" i="3" s="1"/>
  <c r="G10" i="3"/>
  <c r="F10" i="3"/>
  <c r="E10" i="3"/>
  <c r="D10" i="3"/>
  <c r="L10" i="3" s="1"/>
  <c r="G9" i="3"/>
  <c r="H9" i="3" s="1"/>
  <c r="F9" i="3"/>
  <c r="E9" i="3"/>
  <c r="D9" i="3"/>
  <c r="L9" i="3" s="1"/>
  <c r="L8" i="3"/>
  <c r="G8" i="3"/>
  <c r="F8" i="3"/>
  <c r="E8" i="3"/>
  <c r="D8" i="3"/>
  <c r="G7" i="3"/>
  <c r="F7" i="3"/>
  <c r="E7" i="3"/>
  <c r="D7" i="3"/>
  <c r="L7" i="3" s="1"/>
  <c r="L6" i="3"/>
  <c r="G6" i="3"/>
  <c r="H6" i="3" s="1"/>
  <c r="F6" i="3"/>
  <c r="E6" i="3"/>
  <c r="D6" i="3"/>
  <c r="G5" i="3"/>
  <c r="F5" i="3"/>
  <c r="E5" i="3"/>
  <c r="D5" i="3"/>
  <c r="L5" i="3" s="1"/>
  <c r="G4" i="3"/>
  <c r="F4" i="3"/>
  <c r="E4" i="3"/>
  <c r="D4" i="3"/>
  <c r="L4" i="3" s="1"/>
  <c r="L3" i="3"/>
  <c r="G3" i="3"/>
  <c r="H3" i="3" s="1"/>
  <c r="F3" i="3"/>
  <c r="E3" i="3"/>
  <c r="D3" i="3"/>
  <c r="G2" i="3"/>
  <c r="F2" i="3"/>
  <c r="E2" i="3"/>
  <c r="H2" i="3" s="1"/>
  <c r="D2" i="3"/>
  <c r="L2" i="3" s="1"/>
  <c r="H47" i="1"/>
  <c r="B2" i="1"/>
  <c r="H35" i="3" l="1"/>
  <c r="H67" i="3"/>
  <c r="H48" i="3"/>
  <c r="H10" i="3"/>
  <c r="H12" i="3"/>
  <c r="H94" i="3"/>
  <c r="H98" i="3"/>
  <c r="I98" i="3" s="1"/>
  <c r="H28" i="3"/>
  <c r="H19" i="3"/>
  <c r="H78" i="3"/>
  <c r="H99" i="3"/>
  <c r="H456" i="3"/>
  <c r="H492" i="3"/>
  <c r="H526" i="3"/>
  <c r="H539" i="3"/>
  <c r="H546" i="3"/>
  <c r="H548" i="3"/>
  <c r="H590" i="3"/>
  <c r="H618" i="3"/>
  <c r="H620" i="3"/>
  <c r="H650" i="3"/>
  <c r="H660" i="3"/>
  <c r="H682" i="3"/>
  <c r="H692" i="3"/>
  <c r="H714" i="3"/>
  <c r="H724" i="3"/>
  <c r="H731" i="3"/>
  <c r="H760" i="3"/>
  <c r="H762" i="3"/>
  <c r="H775" i="3"/>
  <c r="H777" i="3"/>
  <c r="H325" i="3"/>
  <c r="H356" i="3"/>
  <c r="H360" i="3"/>
  <c r="H367" i="3"/>
  <c r="H369" i="3"/>
  <c r="H389" i="3"/>
  <c r="H416" i="3"/>
  <c r="H433" i="3"/>
  <c r="H435" i="3"/>
  <c r="H50" i="3"/>
  <c r="H239" i="3"/>
  <c r="H296" i="3"/>
  <c r="H305" i="3"/>
  <c r="H32" i="3"/>
  <c r="H64" i="3"/>
  <c r="H66" i="3"/>
  <c r="H87" i="3"/>
  <c r="H163" i="3"/>
  <c r="H167" i="3"/>
  <c r="H185" i="3"/>
  <c r="H221" i="3"/>
  <c r="H252" i="3"/>
  <c r="H256" i="3"/>
  <c r="H263" i="3"/>
  <c r="H265" i="3"/>
  <c r="H285" i="3"/>
  <c r="H316" i="3"/>
  <c r="H320" i="3"/>
  <c r="H327" i="3"/>
  <c r="H329" i="3"/>
  <c r="H349" i="3"/>
  <c r="H380" i="3"/>
  <c r="H384" i="3"/>
  <c r="H391" i="3"/>
  <c r="H393" i="3"/>
  <c r="H423" i="3"/>
  <c r="H425" i="3"/>
  <c r="H466" i="3"/>
  <c r="H482" i="3"/>
  <c r="H525" i="3"/>
  <c r="H530" i="3"/>
  <c r="H532" i="3"/>
  <c r="H587" i="3"/>
  <c r="H594" i="3"/>
  <c r="H626" i="3"/>
  <c r="H628" i="3"/>
  <c r="H658" i="3"/>
  <c r="H690" i="3"/>
  <c r="H722" i="3"/>
  <c r="H807" i="3"/>
  <c r="H809" i="3"/>
  <c r="H176" i="3"/>
  <c r="H183" i="3"/>
  <c r="H232" i="3"/>
  <c r="H261" i="3"/>
  <c r="H292" i="3"/>
  <c r="H303" i="3"/>
  <c r="H7" i="3"/>
  <c r="H16" i="3"/>
  <c r="H34" i="3"/>
  <c r="H38" i="3"/>
  <c r="H54" i="3"/>
  <c r="H57" i="3"/>
  <c r="H136" i="3"/>
  <c r="H4" i="3"/>
  <c r="H45" i="3"/>
  <c r="H70" i="3"/>
  <c r="H73" i="3"/>
  <c r="H80" i="3"/>
  <c r="H82" i="3"/>
  <c r="H89" i="3"/>
  <c r="H111" i="3"/>
  <c r="H113" i="3"/>
  <c r="H124" i="3"/>
  <c r="H143" i="3"/>
  <c r="H145" i="3"/>
  <c r="H182" i="3"/>
  <c r="H205" i="3"/>
  <c r="H212" i="3"/>
  <c r="H216" i="3"/>
  <c r="H223" i="3"/>
  <c r="H225" i="3"/>
  <c r="H245" i="3"/>
  <c r="H276" i="3"/>
  <c r="H280" i="3"/>
  <c r="H287" i="3"/>
  <c r="H289" i="3"/>
  <c r="H309" i="3"/>
  <c r="H340" i="3"/>
  <c r="H344" i="3"/>
  <c r="H351" i="3"/>
  <c r="H353" i="3"/>
  <c r="H373" i="3"/>
  <c r="H404" i="3"/>
  <c r="H413" i="3"/>
  <c r="H443" i="3"/>
  <c r="H468" i="3"/>
  <c r="H479" i="3"/>
  <c r="H488" i="3"/>
  <c r="H493" i="3"/>
  <c r="H498" i="3"/>
  <c r="H500" i="3"/>
  <c r="H518" i="3"/>
  <c r="H534" i="3"/>
  <c r="H547" i="3"/>
  <c r="H551" i="3"/>
  <c r="H554" i="3"/>
  <c r="H574" i="3"/>
  <c r="H584" i="3"/>
  <c r="H598" i="3"/>
  <c r="H619" i="3"/>
  <c r="H630" i="3"/>
  <c r="H632" i="3"/>
  <c r="H651" i="3"/>
  <c r="H655" i="3"/>
  <c r="H662" i="3"/>
  <c r="H664" i="3"/>
  <c r="H683" i="3"/>
  <c r="H687" i="3"/>
  <c r="H694" i="3"/>
  <c r="H696" i="3"/>
  <c r="H715" i="3"/>
  <c r="H719" i="3"/>
  <c r="H726" i="3"/>
  <c r="H744" i="3"/>
  <c r="H746" i="3"/>
  <c r="H759" i="3"/>
  <c r="H761" i="3"/>
  <c r="H811" i="3"/>
  <c r="H832" i="3"/>
  <c r="H908" i="3"/>
  <c r="H103" i="3"/>
  <c r="H39" i="3"/>
  <c r="H71" i="3"/>
  <c r="H83" i="3"/>
  <c r="H96" i="3"/>
  <c r="H120" i="3"/>
  <c r="H159" i="3"/>
  <c r="H181" i="3"/>
  <c r="H199" i="3"/>
  <c r="H228" i="3"/>
  <c r="H241" i="3"/>
  <c r="H86" i="3"/>
  <c r="H115" i="3"/>
  <c r="I115" i="3" s="1"/>
  <c r="H147" i="3"/>
  <c r="H149" i="3"/>
  <c r="H166" i="3"/>
  <c r="H189" i="3"/>
  <c r="H196" i="3"/>
  <c r="H207" i="3"/>
  <c r="H236" i="3"/>
  <c r="H247" i="3"/>
  <c r="H249" i="3"/>
  <c r="H269" i="3"/>
  <c r="H300" i="3"/>
  <c r="H311" i="3"/>
  <c r="H313" i="3"/>
  <c r="H333" i="3"/>
  <c r="H364" i="3"/>
  <c r="H375" i="3"/>
  <c r="H377" i="3"/>
  <c r="H397" i="3"/>
  <c r="H415" i="3"/>
  <c r="H430" i="3"/>
  <c r="H458" i="3"/>
  <c r="H486" i="3"/>
  <c r="H558" i="3"/>
  <c r="H578" i="3"/>
  <c r="H580" i="3"/>
  <c r="H602" i="3"/>
  <c r="H634" i="3"/>
  <c r="H636" i="3"/>
  <c r="H666" i="3"/>
  <c r="H676" i="3"/>
  <c r="H698" i="3"/>
  <c r="H708" i="3"/>
  <c r="H728" i="3"/>
  <c r="H865" i="3"/>
  <c r="H24" i="3"/>
  <c r="H161" i="3"/>
  <c r="H172" i="3"/>
  <c r="H201" i="3"/>
  <c r="H27" i="3"/>
  <c r="H15" i="3"/>
  <c r="H20" i="3"/>
  <c r="H31" i="3"/>
  <c r="H42" i="3"/>
  <c r="H46" i="3"/>
  <c r="H58" i="3"/>
  <c r="H77" i="3"/>
  <c r="H91" i="3"/>
  <c r="H93" i="3"/>
  <c r="H110" i="3"/>
  <c r="H119" i="3"/>
  <c r="H151" i="3"/>
  <c r="H153" i="3"/>
  <c r="H173" i="3"/>
  <c r="H175" i="3"/>
  <c r="H180" i="3"/>
  <c r="H184" i="3"/>
  <c r="H191" i="3"/>
  <c r="H229" i="3"/>
  <c r="H260" i="3"/>
  <c r="H264" i="3"/>
  <c r="H271" i="3"/>
  <c r="H273" i="3"/>
  <c r="H293" i="3"/>
  <c r="H324" i="3"/>
  <c r="H328" i="3"/>
  <c r="H335" i="3"/>
  <c r="H337" i="3"/>
  <c r="H357" i="3"/>
  <c r="H388" i="3"/>
  <c r="H392" i="3"/>
  <c r="H399" i="3"/>
  <c r="H401" i="3"/>
  <c r="H453" i="3"/>
  <c r="H460" i="3"/>
  <c r="H464" i="3"/>
  <c r="H503" i="3"/>
  <c r="H506" i="3"/>
  <c r="H519" i="3"/>
  <c r="H531" i="3"/>
  <c r="H535" i="3"/>
  <c r="H538" i="3"/>
  <c r="H544" i="3"/>
  <c r="H568" i="3"/>
  <c r="H582" i="3"/>
  <c r="H595" i="3"/>
  <c r="H599" i="3"/>
  <c r="H606" i="3"/>
  <c r="H608" i="3"/>
  <c r="H627" i="3"/>
  <c r="H631" i="3"/>
  <c r="H638" i="3"/>
  <c r="H640" i="3"/>
  <c r="H659" i="3"/>
  <c r="H663" i="3"/>
  <c r="H670" i="3"/>
  <c r="H672" i="3"/>
  <c r="H691" i="3"/>
  <c r="H695" i="3"/>
  <c r="H723" i="3"/>
  <c r="H743" i="3"/>
  <c r="H791" i="3"/>
  <c r="H821" i="3"/>
  <c r="H823" i="3"/>
  <c r="H861" i="3"/>
  <c r="H867" i="3"/>
  <c r="H869" i="3"/>
  <c r="H118" i="3"/>
  <c r="H150" i="3"/>
  <c r="H419" i="3"/>
  <c r="H499" i="3"/>
  <c r="H501" i="3"/>
  <c r="H684" i="3"/>
  <c r="H716" i="3"/>
  <c r="H8" i="3"/>
  <c r="H51" i="3"/>
  <c r="H79" i="3"/>
  <c r="H108" i="3"/>
  <c r="H123" i="3"/>
  <c r="H137" i="3"/>
  <c r="H174" i="3"/>
  <c r="H204" i="3"/>
  <c r="H208" i="3"/>
  <c r="H213" i="3"/>
  <c r="H244" i="3"/>
  <c r="H248" i="3"/>
  <c r="H255" i="3"/>
  <c r="H257" i="3"/>
  <c r="H277" i="3"/>
  <c r="H308" i="3"/>
  <c r="H312" i="3"/>
  <c r="H319" i="3"/>
  <c r="H321" i="3"/>
  <c r="H341" i="3"/>
  <c r="H372" i="3"/>
  <c r="H376" i="3"/>
  <c r="H383" i="3"/>
  <c r="H385" i="3"/>
  <c r="H405" i="3"/>
  <c r="H445" i="3"/>
  <c r="H480" i="3"/>
  <c r="H496" i="3"/>
  <c r="H510" i="3"/>
  <c r="H524" i="3"/>
  <c r="H542" i="3"/>
  <c r="H552" i="3"/>
  <c r="H566" i="3"/>
  <c r="H579" i="3"/>
  <c r="H583" i="3"/>
  <c r="H586" i="3"/>
  <c r="H588" i="3"/>
  <c r="H603" i="3"/>
  <c r="H607" i="3"/>
  <c r="H614" i="3"/>
  <c r="H616" i="3"/>
  <c r="H635" i="3"/>
  <c r="H639" i="3"/>
  <c r="H646" i="3"/>
  <c r="H648" i="3"/>
  <c r="H667" i="3"/>
  <c r="H671" i="3"/>
  <c r="H703" i="3"/>
  <c r="H812" i="3"/>
  <c r="H814" i="3"/>
  <c r="H816" i="3"/>
  <c r="H827" i="3"/>
  <c r="H893" i="3"/>
  <c r="H899" i="3"/>
  <c r="H901" i="3"/>
  <c r="H834" i="3"/>
  <c r="H841" i="3"/>
  <c r="H850" i="3"/>
  <c r="H878" i="3"/>
  <c r="H880" i="3"/>
  <c r="H882" i="3"/>
  <c r="H910" i="3"/>
  <c r="H912" i="3"/>
  <c r="H914" i="3"/>
  <c r="K940" i="3"/>
  <c r="K945" i="3"/>
  <c r="I950" i="3"/>
  <c r="I962" i="3"/>
  <c r="J963" i="3"/>
  <c r="K974" i="3"/>
  <c r="J986" i="3"/>
  <c r="K1004" i="3"/>
  <c r="J1008" i="3"/>
  <c r="K1009" i="3"/>
  <c r="I1014" i="3"/>
  <c r="K1032" i="3"/>
  <c r="K1038" i="3"/>
  <c r="I1044" i="3"/>
  <c r="I1048" i="3"/>
  <c r="J1049" i="3"/>
  <c r="J1050" i="3"/>
  <c r="K1068" i="3"/>
  <c r="J1072" i="3"/>
  <c r="K1073" i="3"/>
  <c r="K1074" i="3"/>
  <c r="I1078" i="3"/>
  <c r="K1096" i="3"/>
  <c r="K1102" i="3"/>
  <c r="I1108" i="3"/>
  <c r="J1114" i="3"/>
  <c r="K1132" i="3"/>
  <c r="J1136" i="3"/>
  <c r="K1137" i="3"/>
  <c r="I1142" i="3"/>
  <c r="J1155" i="3"/>
  <c r="K1160" i="3"/>
  <c r="K1166" i="3"/>
  <c r="I1172" i="3"/>
  <c r="I1176" i="3"/>
  <c r="J1177" i="3"/>
  <c r="J1178" i="3"/>
  <c r="K1196" i="3"/>
  <c r="J1200" i="3"/>
  <c r="K1201" i="3"/>
  <c r="K1202" i="3"/>
  <c r="I1206" i="3"/>
  <c r="K1224" i="3"/>
  <c r="J1240" i="3"/>
  <c r="K1244" i="3"/>
  <c r="J1272" i="3"/>
  <c r="I1301" i="3"/>
  <c r="J1308" i="3"/>
  <c r="J1309" i="3"/>
  <c r="I1320" i="3"/>
  <c r="I1321" i="3"/>
  <c r="I1326" i="3"/>
  <c r="J1336" i="3"/>
  <c r="K1520" i="3"/>
  <c r="J1520" i="3"/>
  <c r="H754" i="3"/>
  <c r="H763" i="3"/>
  <c r="H770" i="3"/>
  <c r="H779" i="3"/>
  <c r="H786" i="3"/>
  <c r="H795" i="3"/>
  <c r="H802" i="3"/>
  <c r="H852" i="3"/>
  <c r="H871" i="3"/>
  <c r="H873" i="3"/>
  <c r="H884" i="3"/>
  <c r="H903" i="3"/>
  <c r="H905" i="3"/>
  <c r="H916" i="3"/>
  <c r="K950" i="3"/>
  <c r="J962" i="3"/>
  <c r="K986" i="3"/>
  <c r="K1008" i="3"/>
  <c r="K1014" i="3"/>
  <c r="I1020" i="3"/>
  <c r="I1024" i="3"/>
  <c r="K1078" i="3"/>
  <c r="I1084" i="3"/>
  <c r="I1088" i="3"/>
  <c r="J1089" i="3"/>
  <c r="J1090" i="3"/>
  <c r="K1114" i="3"/>
  <c r="K1136" i="3"/>
  <c r="K1142" i="3"/>
  <c r="I1148" i="3"/>
  <c r="I1152" i="3"/>
  <c r="J1153" i="3"/>
  <c r="I1194" i="3"/>
  <c r="J1195" i="3"/>
  <c r="K1200" i="3"/>
  <c r="K1206" i="3"/>
  <c r="J1301" i="3"/>
  <c r="I1313" i="3"/>
  <c r="J1320" i="3"/>
  <c r="J1321" i="3"/>
  <c r="I1324" i="3"/>
  <c r="I1325" i="3"/>
  <c r="I1360" i="3"/>
  <c r="I1361" i="3"/>
  <c r="I1366" i="3"/>
  <c r="I1380" i="3"/>
  <c r="I1381" i="3"/>
  <c r="J1393" i="3"/>
  <c r="I1396" i="3"/>
  <c r="I1397" i="3"/>
  <c r="K1398" i="3"/>
  <c r="J1405" i="3"/>
  <c r="I1438" i="3"/>
  <c r="J1449" i="3"/>
  <c r="I1452" i="3"/>
  <c r="J1453" i="3"/>
  <c r="I1462" i="3"/>
  <c r="K1476" i="3"/>
  <c r="I1480" i="3"/>
  <c r="I1494" i="3"/>
  <c r="I1516" i="3"/>
  <c r="I1520" i="3"/>
  <c r="J1544" i="3"/>
  <c r="J1554" i="3"/>
  <c r="I1554" i="3"/>
  <c r="H751" i="3"/>
  <c r="H767" i="3"/>
  <c r="H783" i="3"/>
  <c r="H799" i="3"/>
  <c r="H833" i="3"/>
  <c r="H836" i="3"/>
  <c r="H845" i="3"/>
  <c r="H847" i="3"/>
  <c r="H854" i="3"/>
  <c r="H858" i="3"/>
  <c r="H886" i="3"/>
  <c r="H888" i="3"/>
  <c r="H890" i="3"/>
  <c r="H918" i="3"/>
  <c r="H920" i="3"/>
  <c r="H922" i="3"/>
  <c r="K956" i="3"/>
  <c r="I966" i="3"/>
  <c r="I978" i="3"/>
  <c r="J979" i="3"/>
  <c r="I1042" i="3"/>
  <c r="J1043" i="3"/>
  <c r="I1060" i="3"/>
  <c r="K1084" i="3"/>
  <c r="K1089" i="3"/>
  <c r="I1106" i="3"/>
  <c r="J1107" i="3"/>
  <c r="I1124" i="3"/>
  <c r="K1148" i="3"/>
  <c r="I1170" i="3"/>
  <c r="J1171" i="3"/>
  <c r="I1188" i="3"/>
  <c r="I1260" i="3"/>
  <c r="I1292" i="3"/>
  <c r="I1293" i="3"/>
  <c r="J1325" i="3"/>
  <c r="I1345" i="3"/>
  <c r="I1350" i="3"/>
  <c r="J1361" i="3"/>
  <c r="I1365" i="3"/>
  <c r="J1381" i="3"/>
  <c r="J1396" i="3"/>
  <c r="J1397" i="3"/>
  <c r="K1438" i="3"/>
  <c r="J1452" i="3"/>
  <c r="K1462" i="3"/>
  <c r="J1470" i="3"/>
  <c r="I1470" i="3"/>
  <c r="K1480" i="3"/>
  <c r="K1494" i="3"/>
  <c r="K1516" i="3"/>
  <c r="H860" i="3"/>
  <c r="H879" i="3"/>
  <c r="H881" i="3"/>
  <c r="I942" i="3"/>
  <c r="K966" i="3"/>
  <c r="I972" i="3"/>
  <c r="I976" i="3"/>
  <c r="J977" i="3"/>
  <c r="J978" i="3"/>
  <c r="K996" i="3"/>
  <c r="J1000" i="3"/>
  <c r="K1001" i="3"/>
  <c r="I1006" i="3"/>
  <c r="I1018" i="3"/>
  <c r="J1019" i="3"/>
  <c r="K1030" i="3"/>
  <c r="J1042" i="3"/>
  <c r="K1060" i="3"/>
  <c r="I1082" i="3"/>
  <c r="K1124" i="3"/>
  <c r="J1128" i="3"/>
  <c r="K1129" i="3"/>
  <c r="I1134" i="3"/>
  <c r="I1146" i="3"/>
  <c r="J1147" i="3"/>
  <c r="K1158" i="3"/>
  <c r="I1164" i="3"/>
  <c r="J1169" i="3"/>
  <c r="J1170" i="3"/>
  <c r="K1188" i="3"/>
  <c r="I1198" i="3"/>
  <c r="I1210" i="3"/>
  <c r="J1211" i="3"/>
  <c r="I1256" i="3"/>
  <c r="J1260" i="3"/>
  <c r="I1288" i="3"/>
  <c r="J1292" i="3"/>
  <c r="J1293" i="3"/>
  <c r="I1304" i="3"/>
  <c r="I1408" i="3"/>
  <c r="I1409" i="3"/>
  <c r="I1420" i="3"/>
  <c r="I1421" i="3"/>
  <c r="I1436" i="3"/>
  <c r="J1437" i="3"/>
  <c r="I1456" i="3"/>
  <c r="I1457" i="3"/>
  <c r="J1461" i="3"/>
  <c r="K1465" i="3"/>
  <c r="I1465" i="3"/>
  <c r="K1470" i="3"/>
  <c r="J1488" i="3"/>
  <c r="J1489" i="3"/>
  <c r="I1492" i="3"/>
  <c r="J1493" i="3"/>
  <c r="K1502" i="3"/>
  <c r="I1526" i="3"/>
  <c r="H862" i="3"/>
  <c r="H866" i="3"/>
  <c r="H894" i="3"/>
  <c r="H896" i="3"/>
  <c r="H898" i="3"/>
  <c r="I930" i="3"/>
  <c r="J931" i="3"/>
  <c r="K942" i="3"/>
  <c r="I948" i="3"/>
  <c r="K977" i="3"/>
  <c r="K1006" i="3"/>
  <c r="K1036" i="3"/>
  <c r="I1046" i="3"/>
  <c r="I1058" i="3"/>
  <c r="J1059" i="3"/>
  <c r="I1122" i="3"/>
  <c r="J1123" i="3"/>
  <c r="K1134" i="3"/>
  <c r="J1146" i="3"/>
  <c r="K1164" i="3"/>
  <c r="K1198" i="3"/>
  <c r="J1210" i="3"/>
  <c r="J1256" i="3"/>
  <c r="J1288" i="3"/>
  <c r="J1304" i="3"/>
  <c r="I1328" i="3"/>
  <c r="I1329" i="3"/>
  <c r="I1334" i="3"/>
  <c r="J1408" i="3"/>
  <c r="J1409" i="3"/>
  <c r="I1414" i="3"/>
  <c r="J1420" i="3"/>
  <c r="J1421" i="3"/>
  <c r="J1436" i="3"/>
  <c r="I1446" i="3"/>
  <c r="J1456" i="3"/>
  <c r="J1457" i="3"/>
  <c r="J1465" i="3"/>
  <c r="J1492" i="3"/>
  <c r="I1497" i="3"/>
  <c r="J1501" i="3"/>
  <c r="J1510" i="3"/>
  <c r="I1510" i="3"/>
  <c r="J1526" i="3"/>
  <c r="J1549" i="3"/>
  <c r="J1552" i="3"/>
  <c r="K1552" i="3"/>
  <c r="H776" i="3"/>
  <c r="H792" i="3"/>
  <c r="H808" i="3"/>
  <c r="H828" i="3"/>
  <c r="H840" i="3"/>
  <c r="H842" i="3"/>
  <c r="H855" i="3"/>
  <c r="H857" i="3"/>
  <c r="H887" i="3"/>
  <c r="H889" i="3"/>
  <c r="H900" i="3"/>
  <c r="H919" i="3"/>
  <c r="H921" i="3"/>
  <c r="I924" i="3"/>
  <c r="I928" i="3"/>
  <c r="J929" i="3"/>
  <c r="J930" i="3"/>
  <c r="K948" i="3"/>
  <c r="J952" i="3"/>
  <c r="K953" i="3"/>
  <c r="I958" i="3"/>
  <c r="I970" i="3"/>
  <c r="J971" i="3"/>
  <c r="I1022" i="3"/>
  <c r="K1046" i="3"/>
  <c r="I1052" i="3"/>
  <c r="I1056" i="3"/>
  <c r="J1057" i="3"/>
  <c r="J1058" i="3"/>
  <c r="K1081" i="3"/>
  <c r="I1086" i="3"/>
  <c r="I1098" i="3"/>
  <c r="J1099" i="3"/>
  <c r="K1110" i="3"/>
  <c r="K1140" i="3"/>
  <c r="J1144" i="3"/>
  <c r="K1145" i="3"/>
  <c r="I1180" i="3"/>
  <c r="I1184" i="3"/>
  <c r="J1185" i="3"/>
  <c r="K1204" i="3"/>
  <c r="I1280" i="3"/>
  <c r="I1316" i="3"/>
  <c r="I1317" i="3"/>
  <c r="J1328" i="3"/>
  <c r="J1329" i="3"/>
  <c r="I1332" i="3"/>
  <c r="I1333" i="3"/>
  <c r="I1352" i="3"/>
  <c r="I1353" i="3"/>
  <c r="I1358" i="3"/>
  <c r="J1368" i="3"/>
  <c r="J1369" i="3"/>
  <c r="I1374" i="3"/>
  <c r="J1384" i="3"/>
  <c r="J1385" i="3"/>
  <c r="I1388" i="3"/>
  <c r="I1389" i="3"/>
  <c r="I1413" i="3"/>
  <c r="K1414" i="3"/>
  <c r="J1497" i="3"/>
  <c r="J1500" i="3"/>
  <c r="I1500" i="3"/>
  <c r="J1518" i="3"/>
  <c r="I1518" i="3"/>
  <c r="I1525" i="3"/>
  <c r="J1525" i="3"/>
  <c r="I1547" i="3"/>
  <c r="J1547" i="3"/>
  <c r="K1549" i="3"/>
  <c r="K924" i="3"/>
  <c r="J928" i="3"/>
  <c r="K929" i="3"/>
  <c r="I934" i="3"/>
  <c r="K958" i="3"/>
  <c r="I964" i="3"/>
  <c r="J970" i="3"/>
  <c r="K1022" i="3"/>
  <c r="I1028" i="3"/>
  <c r="I1032" i="3"/>
  <c r="J1033" i="3"/>
  <c r="K1057" i="3"/>
  <c r="I1062" i="3"/>
  <c r="I1074" i="3"/>
  <c r="J1075" i="3"/>
  <c r="K1086" i="3"/>
  <c r="I1092" i="3"/>
  <c r="I1096" i="3"/>
  <c r="J1097" i="3"/>
  <c r="J1098" i="3"/>
  <c r="K1116" i="3"/>
  <c r="J1120" i="3"/>
  <c r="K1121" i="3"/>
  <c r="I1126" i="3"/>
  <c r="K1150" i="3"/>
  <c r="I1156" i="3"/>
  <c r="I1160" i="3"/>
  <c r="J1161" i="3"/>
  <c r="J1162" i="3"/>
  <c r="K1180" i="3"/>
  <c r="J1184" i="3"/>
  <c r="K1185" i="3"/>
  <c r="I1244" i="3"/>
  <c r="J1248" i="3"/>
  <c r="I1276" i="3"/>
  <c r="J1280" i="3"/>
  <c r="J1332" i="3"/>
  <c r="J1333" i="3"/>
  <c r="J1352" i="3"/>
  <c r="J1353" i="3"/>
  <c r="I1356" i="3"/>
  <c r="I1357" i="3"/>
  <c r="J1388" i="3"/>
  <c r="J1389" i="3"/>
  <c r="J1413" i="3"/>
  <c r="I1430" i="3"/>
  <c r="I1444" i="3"/>
  <c r="J1445" i="3"/>
  <c r="I1472" i="3"/>
  <c r="I1473" i="3"/>
  <c r="J1486" i="3"/>
  <c r="K1486" i="3"/>
  <c r="K1518" i="3"/>
  <c r="K1521" i="3"/>
  <c r="J1521" i="3"/>
  <c r="K1537" i="3"/>
  <c r="I1537" i="3"/>
  <c r="K1542" i="3"/>
  <c r="J1542" i="3"/>
  <c r="I1542" i="3"/>
  <c r="J1546" i="3"/>
  <c r="I1546" i="3"/>
  <c r="K1547" i="3"/>
  <c r="K1569" i="3"/>
  <c r="J1569" i="3"/>
  <c r="I1569" i="3"/>
  <c r="J1600" i="3"/>
  <c r="K1600" i="3"/>
  <c r="I1600" i="3"/>
  <c r="J987" i="3"/>
  <c r="K998" i="3"/>
  <c r="I1004" i="3"/>
  <c r="J1009" i="3"/>
  <c r="K1028" i="3"/>
  <c r="K1033" i="3"/>
  <c r="I1038" i="3"/>
  <c r="J1051" i="3"/>
  <c r="K1062" i="3"/>
  <c r="K1092" i="3"/>
  <c r="K1097" i="3"/>
  <c r="I1102" i="3"/>
  <c r="J1115" i="3"/>
  <c r="K1126" i="3"/>
  <c r="I1132" i="3"/>
  <c r="J1137" i="3"/>
  <c r="K1156" i="3"/>
  <c r="K1161" i="3"/>
  <c r="I1166" i="3"/>
  <c r="J1179" i="3"/>
  <c r="K1190" i="3"/>
  <c r="I1196" i="3"/>
  <c r="J1201" i="3"/>
  <c r="K1220" i="3"/>
  <c r="K1225" i="3"/>
  <c r="I1342" i="3"/>
  <c r="J1357" i="3"/>
  <c r="I1454" i="3"/>
  <c r="J1473" i="3"/>
  <c r="J1477" i="3"/>
  <c r="K1481" i="3"/>
  <c r="J1481" i="3"/>
  <c r="I1486" i="3"/>
  <c r="K1545" i="3"/>
  <c r="I1545" i="3"/>
  <c r="I1529" i="3"/>
  <c r="I1530" i="3"/>
  <c r="J1531" i="3"/>
  <c r="J1539" i="3"/>
  <c r="J1557" i="3"/>
  <c r="I1591" i="3"/>
  <c r="I1612" i="3"/>
  <c r="I1613" i="3"/>
  <c r="I1614" i="3"/>
  <c r="I1615" i="3"/>
  <c r="I1616" i="3"/>
  <c r="I1620" i="3"/>
  <c r="I1621" i="3"/>
  <c r="I1622" i="3"/>
  <c r="I1623" i="3"/>
  <c r="I1624" i="3"/>
  <c r="I1636" i="3"/>
  <c r="I1637" i="3"/>
  <c r="I1638" i="3"/>
  <c r="I1639" i="3"/>
  <c r="I1640" i="3"/>
  <c r="I1641" i="3"/>
  <c r="K1880" i="3"/>
  <c r="I1880" i="3"/>
  <c r="I1938" i="3"/>
  <c r="K1938" i="3"/>
  <c r="K1960" i="3"/>
  <c r="J1960" i="3"/>
  <c r="K1591" i="3"/>
  <c r="K1616" i="3"/>
  <c r="J1641" i="3"/>
  <c r="I1644" i="3"/>
  <c r="I1645" i="3"/>
  <c r="I1646" i="3"/>
  <c r="I1647" i="3"/>
  <c r="I1648" i="3"/>
  <c r="I1719" i="3"/>
  <c r="I1720" i="3"/>
  <c r="J1721" i="3"/>
  <c r="J1726" i="3"/>
  <c r="J1727" i="3"/>
  <c r="J1728" i="3"/>
  <c r="I1732" i="3"/>
  <c r="I1733" i="3"/>
  <c r="K1734" i="3"/>
  <c r="J1740" i="3"/>
  <c r="J1741" i="3"/>
  <c r="K1742" i="3"/>
  <c r="J1748" i="3"/>
  <c r="J1749" i="3"/>
  <c r="K1750" i="3"/>
  <c r="J1756" i="3"/>
  <c r="J1757" i="3"/>
  <c r="J1783" i="3"/>
  <c r="J1784" i="3"/>
  <c r="I1788" i="3"/>
  <c r="K1789" i="3"/>
  <c r="I1799" i="3"/>
  <c r="K1876" i="3"/>
  <c r="J1876" i="3"/>
  <c r="J1905" i="3"/>
  <c r="K1905" i="3"/>
  <c r="I1914" i="3"/>
  <c r="K1914" i="3"/>
  <c r="J1929" i="3"/>
  <c r="K1929" i="3"/>
  <c r="I1652" i="3"/>
  <c r="I1653" i="3"/>
  <c r="I1654" i="3"/>
  <c r="I1655" i="3"/>
  <c r="I1656" i="3"/>
  <c r="I1660" i="3"/>
  <c r="I1661" i="3"/>
  <c r="I1662" i="3"/>
  <c r="I1663" i="3"/>
  <c r="I1664" i="3"/>
  <c r="I1671" i="3"/>
  <c r="I1672" i="3"/>
  <c r="I1679" i="3"/>
  <c r="I1680" i="3"/>
  <c r="J1681" i="3"/>
  <c r="J1697" i="3"/>
  <c r="I1703" i="3"/>
  <c r="I1704" i="3"/>
  <c r="J1705" i="3"/>
  <c r="I1711" i="3"/>
  <c r="I1712" i="3"/>
  <c r="J1718" i="3"/>
  <c r="J1719" i="3"/>
  <c r="J1720" i="3"/>
  <c r="I1724" i="3"/>
  <c r="I1725" i="3"/>
  <c r="K1726" i="3"/>
  <c r="J1732" i="3"/>
  <c r="K1733" i="3"/>
  <c r="I1770" i="3"/>
  <c r="I1775" i="3"/>
  <c r="I1776" i="3"/>
  <c r="J1777" i="3"/>
  <c r="K1782" i="3"/>
  <c r="J1788" i="3"/>
  <c r="J1799" i="3"/>
  <c r="J1804" i="3"/>
  <c r="J1820" i="3"/>
  <c r="J1836" i="3"/>
  <c r="J1852" i="3"/>
  <c r="I1858" i="3"/>
  <c r="I1871" i="3"/>
  <c r="I1872" i="3"/>
  <c r="K1889" i="3"/>
  <c r="I1894" i="3"/>
  <c r="K1895" i="3"/>
  <c r="J1899" i="3"/>
  <c r="I1909" i="3"/>
  <c r="I1919" i="3"/>
  <c r="J1919" i="3"/>
  <c r="I1923" i="3"/>
  <c r="J1924" i="3"/>
  <c r="I1933" i="3"/>
  <c r="J1947" i="3"/>
  <c r="J1652" i="3"/>
  <c r="J1653" i="3"/>
  <c r="J1654" i="3"/>
  <c r="J1655" i="3"/>
  <c r="J1656" i="3"/>
  <c r="J1660" i="3"/>
  <c r="J1661" i="3"/>
  <c r="J1662" i="3"/>
  <c r="J1663" i="3"/>
  <c r="J1664" i="3"/>
  <c r="I1668" i="3"/>
  <c r="I1669" i="3"/>
  <c r="J1670" i="3"/>
  <c r="J1671" i="3"/>
  <c r="J1672" i="3"/>
  <c r="I1676" i="3"/>
  <c r="I1677" i="3"/>
  <c r="J1678" i="3"/>
  <c r="J1679" i="3"/>
  <c r="J1680" i="3"/>
  <c r="I1684" i="3"/>
  <c r="I1685" i="3"/>
  <c r="J1686" i="3"/>
  <c r="J1687" i="3"/>
  <c r="J1688" i="3"/>
  <c r="I1692" i="3"/>
  <c r="I1693" i="3"/>
  <c r="J1694" i="3"/>
  <c r="J1695" i="3"/>
  <c r="J1696" i="3"/>
  <c r="I1700" i="3"/>
  <c r="I1701" i="3"/>
  <c r="J1702" i="3"/>
  <c r="J1703" i="3"/>
  <c r="J1704" i="3"/>
  <c r="I1708" i="3"/>
  <c r="I1709" i="3"/>
  <c r="J1710" i="3"/>
  <c r="J1711" i="3"/>
  <c r="J1712" i="3"/>
  <c r="I1716" i="3"/>
  <c r="I1717" i="3"/>
  <c r="K1718" i="3"/>
  <c r="J1724" i="3"/>
  <c r="K1725" i="3"/>
  <c r="J1775" i="3"/>
  <c r="J1776" i="3"/>
  <c r="K1798" i="3"/>
  <c r="I1810" i="3"/>
  <c r="I1861" i="3"/>
  <c r="J1871" i="3"/>
  <c r="K1872" i="3"/>
  <c r="J1879" i="3"/>
  <c r="I1883" i="3"/>
  <c r="I1884" i="3"/>
  <c r="I1888" i="3"/>
  <c r="I1893" i="3"/>
  <c r="K1894" i="3"/>
  <c r="I1898" i="3"/>
  <c r="K1898" i="3"/>
  <c r="I1908" i="3"/>
  <c r="J1909" i="3"/>
  <c r="K1919" i="3"/>
  <c r="J1923" i="3"/>
  <c r="I1932" i="3"/>
  <c r="J1933" i="3"/>
  <c r="I1946" i="3"/>
  <c r="K1946" i="3"/>
  <c r="I1959" i="3"/>
  <c r="K1959" i="3"/>
  <c r="J1959" i="3"/>
  <c r="J1606" i="3"/>
  <c r="K1607" i="3"/>
  <c r="J1668" i="3"/>
  <c r="J1669" i="3"/>
  <c r="K1670" i="3"/>
  <c r="J1676" i="3"/>
  <c r="J1677" i="3"/>
  <c r="K1678" i="3"/>
  <c r="J1684" i="3"/>
  <c r="J1685" i="3"/>
  <c r="K1686" i="3"/>
  <c r="J1692" i="3"/>
  <c r="J1693" i="3"/>
  <c r="K1694" i="3"/>
  <c r="K1702" i="3"/>
  <c r="J1708" i="3"/>
  <c r="J1709" i="3"/>
  <c r="K1710" i="3"/>
  <c r="J1716" i="3"/>
  <c r="K1717" i="3"/>
  <c r="I1762" i="3"/>
  <c r="I1767" i="3"/>
  <c r="I1768" i="3"/>
  <c r="J1769" i="3"/>
  <c r="K1774" i="3"/>
  <c r="K1781" i="3"/>
  <c r="I1797" i="3"/>
  <c r="I1829" i="3"/>
  <c r="I1845" i="3"/>
  <c r="J1883" i="3"/>
  <c r="J1888" i="3"/>
  <c r="J1893" i="3"/>
  <c r="I1903" i="3"/>
  <c r="J1903" i="3"/>
  <c r="J1908" i="3"/>
  <c r="J1913" i="3"/>
  <c r="K1913" i="3"/>
  <c r="I1922" i="3"/>
  <c r="K1922" i="3"/>
  <c r="J1932" i="3"/>
  <c r="J1593" i="3"/>
  <c r="I1738" i="3"/>
  <c r="I1746" i="3"/>
  <c r="I1754" i="3"/>
  <c r="J1767" i="3"/>
  <c r="J1768" i="3"/>
  <c r="I1772" i="3"/>
  <c r="I1773" i="3"/>
  <c r="I1791" i="3"/>
  <c r="I1792" i="3"/>
  <c r="J1793" i="3"/>
  <c r="K1797" i="3"/>
  <c r="I1807" i="3"/>
  <c r="I1808" i="3"/>
  <c r="J1809" i="3"/>
  <c r="K1813" i="3"/>
  <c r="I1823" i="3"/>
  <c r="I1824" i="3"/>
  <c r="J1825" i="3"/>
  <c r="K1829" i="3"/>
  <c r="I1839" i="3"/>
  <c r="I1840" i="3"/>
  <c r="J1841" i="3"/>
  <c r="K1845" i="3"/>
  <c r="I1878" i="3"/>
  <c r="K1882" i="3"/>
  <c r="J1887" i="3"/>
  <c r="I1891" i="3"/>
  <c r="J1892" i="3"/>
  <c r="K1903" i="3"/>
  <c r="I1917" i="3"/>
  <c r="I1927" i="3"/>
  <c r="J1927" i="3"/>
  <c r="J1931" i="3"/>
  <c r="I1940" i="3"/>
  <c r="J1941" i="3"/>
  <c r="I1954" i="3"/>
  <c r="K1954" i="3"/>
  <c r="K1773" i="3"/>
  <c r="J1823" i="3"/>
  <c r="J1824" i="3"/>
  <c r="J1839" i="3"/>
  <c r="J1840" i="3"/>
  <c r="J1844" i="3"/>
  <c r="K1854" i="3"/>
  <c r="J1897" i="3"/>
  <c r="K1897" i="3"/>
  <c r="I1906" i="3"/>
  <c r="K1906" i="3"/>
  <c r="I1930" i="3"/>
  <c r="K1930" i="3"/>
  <c r="K1997" i="3"/>
  <c r="I1997" i="3"/>
  <c r="K1790" i="3"/>
  <c r="I1802" i="3"/>
  <c r="K1806" i="3"/>
  <c r="I1818" i="3"/>
  <c r="I1890" i="3"/>
  <c r="K1890" i="3"/>
  <c r="I1911" i="3"/>
  <c r="J1911" i="3"/>
  <c r="J1921" i="3"/>
  <c r="K1921" i="3"/>
  <c r="I1935" i="3"/>
  <c r="J1935" i="3"/>
  <c r="K1987" i="3"/>
  <c r="J1987" i="3"/>
  <c r="I1987" i="3"/>
  <c r="K1951" i="3"/>
  <c r="J1964" i="3"/>
  <c r="I1969" i="3"/>
  <c r="K1999" i="3"/>
  <c r="I2021" i="3"/>
  <c r="I2027" i="3"/>
  <c r="K2047" i="3"/>
  <c r="J2051" i="3"/>
  <c r="K2062" i="3"/>
  <c r="I2078" i="3"/>
  <c r="J2098" i="3"/>
  <c r="J2099" i="3"/>
  <c r="I2108" i="3"/>
  <c r="J2130" i="3"/>
  <c r="I2150" i="3"/>
  <c r="I2190" i="3"/>
  <c r="J2199" i="3"/>
  <c r="K2211" i="3"/>
  <c r="J2211" i="3"/>
  <c r="I1968" i="3"/>
  <c r="K1969" i="3"/>
  <c r="I1973" i="3"/>
  <c r="I1979" i="3"/>
  <c r="I1984" i="3"/>
  <c r="I1989" i="3"/>
  <c r="I2003" i="3"/>
  <c r="I2009" i="3"/>
  <c r="J2015" i="3"/>
  <c r="J2016" i="3"/>
  <c r="J2027" i="3"/>
  <c r="I2032" i="3"/>
  <c r="K2033" i="3"/>
  <c r="I2037" i="3"/>
  <c r="K2046" i="3"/>
  <c r="K2051" i="3"/>
  <c r="I2231" i="3"/>
  <c r="J2231" i="3"/>
  <c r="I2241" i="3"/>
  <c r="K2241" i="3"/>
  <c r="J2241" i="3"/>
  <c r="I2008" i="3"/>
  <c r="K2009" i="3"/>
  <c r="K2015" i="3"/>
  <c r="J2031" i="3"/>
  <c r="J2032" i="3"/>
  <c r="I2056" i="3"/>
  <c r="I2061" i="3"/>
  <c r="J2071" i="3"/>
  <c r="I2077" i="3"/>
  <c r="J2082" i="3"/>
  <c r="I2090" i="3"/>
  <c r="I2091" i="3"/>
  <c r="I2128" i="3"/>
  <c r="I2138" i="3"/>
  <c r="J2139" i="3"/>
  <c r="I2144" i="3"/>
  <c r="J2145" i="3"/>
  <c r="I2146" i="3"/>
  <c r="I2147" i="3"/>
  <c r="I2148" i="3"/>
  <c r="I2168" i="3"/>
  <c r="J2169" i="3"/>
  <c r="I2170" i="3"/>
  <c r="I2171" i="3"/>
  <c r="I2172" i="3"/>
  <c r="I2180" i="3"/>
  <c r="I2188" i="3"/>
  <c r="I2202" i="3"/>
  <c r="I2210" i="3"/>
  <c r="K2210" i="3"/>
  <c r="I2217" i="3"/>
  <c r="J2217" i="3"/>
  <c r="K1967" i="3"/>
  <c r="J2008" i="3"/>
  <c r="I2013" i="3"/>
  <c r="K2031" i="3"/>
  <c r="J2056" i="3"/>
  <c r="K2071" i="3"/>
  <c r="K2082" i="3"/>
  <c r="J2090" i="3"/>
  <c r="J2091" i="3"/>
  <c r="J2095" i="3"/>
  <c r="I2104" i="3"/>
  <c r="I2122" i="3"/>
  <c r="I2123" i="3"/>
  <c r="J2128" i="3"/>
  <c r="I2136" i="3"/>
  <c r="K2137" i="3"/>
  <c r="J2138" i="3"/>
  <c r="J2144" i="3"/>
  <c r="K2145" i="3"/>
  <c r="J2146" i="3"/>
  <c r="J2147" i="3"/>
  <c r="K2148" i="3"/>
  <c r="I2158" i="3"/>
  <c r="J2168" i="3"/>
  <c r="K2169" i="3"/>
  <c r="J2170" i="3"/>
  <c r="J2171" i="3"/>
  <c r="K2172" i="3"/>
  <c r="I2178" i="3"/>
  <c r="I2179" i="3"/>
  <c r="K2180" i="3"/>
  <c r="I2186" i="3"/>
  <c r="I2187" i="3"/>
  <c r="K2188" i="3"/>
  <c r="J2202" i="3"/>
  <c r="J2210" i="3"/>
  <c r="K2217" i="3"/>
  <c r="J2224" i="3"/>
  <c r="K2224" i="3"/>
  <c r="I2224" i="3"/>
  <c r="J2240" i="3"/>
  <c r="K2240" i="3"/>
  <c r="I2240" i="3"/>
  <c r="K2007" i="3"/>
  <c r="I2025" i="3"/>
  <c r="K2030" i="3"/>
  <c r="I2040" i="3"/>
  <c r="K2054" i="3"/>
  <c r="K2055" i="3"/>
  <c r="J2059" i="3"/>
  <c r="J2060" i="3"/>
  <c r="K2070" i="3"/>
  <c r="J2075" i="3"/>
  <c r="J2076" i="3"/>
  <c r="K2081" i="3"/>
  <c r="J2104" i="3"/>
  <c r="J2122" i="3"/>
  <c r="J2136" i="3"/>
  <c r="K2158" i="3"/>
  <c r="J2178" i="3"/>
  <c r="J2179" i="3"/>
  <c r="J2185" i="3"/>
  <c r="J2186" i="3"/>
  <c r="J2187" i="3"/>
  <c r="K2227" i="3"/>
  <c r="I2227" i="3"/>
  <c r="K1937" i="3"/>
  <c r="K1945" i="3"/>
  <c r="K1953" i="3"/>
  <c r="I1976" i="3"/>
  <c r="K1977" i="3"/>
  <c r="J1991" i="3"/>
  <c r="J1992" i="3"/>
  <c r="I2024" i="3"/>
  <c r="K2025" i="3"/>
  <c r="I2029" i="3"/>
  <c r="J2039" i="3"/>
  <c r="J2040" i="3"/>
  <c r="J2044" i="3"/>
  <c r="I2053" i="3"/>
  <c r="I2064" i="3"/>
  <c r="I2069" i="3"/>
  <c r="J1976" i="3"/>
  <c r="K1991" i="3"/>
  <c r="I2134" i="3"/>
  <c r="I2174" i="3"/>
  <c r="J2200" i="3"/>
  <c r="K2200" i="3"/>
  <c r="I2207" i="3"/>
  <c r="J2207" i="3"/>
  <c r="I2215" i="3"/>
  <c r="J2215" i="3"/>
  <c r="J2226" i="3"/>
  <c r="I2226" i="3"/>
  <c r="J2232" i="3"/>
  <c r="I2232" i="3"/>
  <c r="J1928" i="3"/>
  <c r="J1936" i="3"/>
  <c r="J1943" i="3"/>
  <c r="J1951" i="3"/>
  <c r="J1999" i="3"/>
  <c r="K2022" i="3"/>
  <c r="K2038" i="3"/>
  <c r="J2047" i="3"/>
  <c r="J2052" i="3"/>
  <c r="I2093" i="3"/>
  <c r="I2099" i="3"/>
  <c r="K2116" i="3"/>
  <c r="K2126" i="3"/>
  <c r="K2134" i="3"/>
  <c r="K2174" i="3"/>
  <c r="J2222" i="3"/>
  <c r="I2222" i="3"/>
  <c r="J2242" i="3"/>
  <c r="I2242" i="3"/>
  <c r="K2254" i="3"/>
  <c r="J2274" i="3"/>
  <c r="J2279" i="3"/>
  <c r="K2286" i="3"/>
  <c r="K2298" i="3"/>
  <c r="K2306" i="3"/>
  <c r="I2310" i="3"/>
  <c r="J2311" i="3"/>
  <c r="K2318" i="3"/>
  <c r="K2330" i="3"/>
  <c r="K2350" i="3"/>
  <c r="J2416" i="3"/>
  <c r="K2420" i="3"/>
  <c r="J2480" i="3"/>
  <c r="K2484" i="3"/>
  <c r="K2504" i="3"/>
  <c r="J2508" i="3"/>
  <c r="J2516" i="3"/>
  <c r="K2527" i="3"/>
  <c r="J2535" i="3"/>
  <c r="J2536" i="3"/>
  <c r="K2547" i="3"/>
  <c r="K2555" i="3"/>
  <c r="K2562" i="3"/>
  <c r="I2603" i="3"/>
  <c r="K2603" i="3"/>
  <c r="J2671" i="3"/>
  <c r="I2671" i="3"/>
  <c r="K2713" i="3"/>
  <c r="J2713" i="3"/>
  <c r="I2713" i="3"/>
  <c r="J2732" i="3"/>
  <c r="I2732" i="3"/>
  <c r="J2234" i="3"/>
  <c r="K2238" i="3"/>
  <c r="J2361" i="3"/>
  <c r="K2388" i="3"/>
  <c r="I2400" i="3"/>
  <c r="I2401" i="3"/>
  <c r="I2402" i="3"/>
  <c r="I2403" i="3"/>
  <c r="J2404" i="3"/>
  <c r="K2416" i="3"/>
  <c r="J2578" i="3"/>
  <c r="K2578" i="3"/>
  <c r="K2583" i="3"/>
  <c r="J2583" i="3"/>
  <c r="J2618" i="3"/>
  <c r="K2618" i="3"/>
  <c r="I2618" i="3"/>
  <c r="J2631" i="3"/>
  <c r="I2631" i="3"/>
  <c r="J2645" i="3"/>
  <c r="K2645" i="3"/>
  <c r="K2660" i="3"/>
  <c r="J2660" i="3"/>
  <c r="I2660" i="3"/>
  <c r="J2701" i="3"/>
  <c r="K2701" i="3"/>
  <c r="I2701" i="3"/>
  <c r="K2721" i="3"/>
  <c r="J2721" i="3"/>
  <c r="I2721" i="3"/>
  <c r="J2265" i="3"/>
  <c r="I2326" i="3"/>
  <c r="J2327" i="3"/>
  <c r="J2338" i="3"/>
  <c r="J2342" i="3"/>
  <c r="K2361" i="3"/>
  <c r="J2400" i="3"/>
  <c r="J2401" i="3"/>
  <c r="J2402" i="3"/>
  <c r="K2403" i="3"/>
  <c r="K2404" i="3"/>
  <c r="I2436" i="3"/>
  <c r="J2440" i="3"/>
  <c r="I2444" i="3"/>
  <c r="I2445" i="3"/>
  <c r="I2446" i="3"/>
  <c r="J2447" i="3"/>
  <c r="I2448" i="3"/>
  <c r="I2449" i="3"/>
  <c r="I2456" i="3"/>
  <c r="I2457" i="3"/>
  <c r="J2468" i="3"/>
  <c r="J2469" i="3"/>
  <c r="J2476" i="3"/>
  <c r="J2477" i="3"/>
  <c r="I2513" i="3"/>
  <c r="I2532" i="3"/>
  <c r="K2533" i="3"/>
  <c r="J2539" i="3"/>
  <c r="I2543" i="3"/>
  <c r="I2544" i="3"/>
  <c r="I2578" i="3"/>
  <c r="I2583" i="3"/>
  <c r="K2625" i="3"/>
  <c r="J2625" i="3"/>
  <c r="I2625" i="3"/>
  <c r="K2631" i="3"/>
  <c r="I2645" i="3"/>
  <c r="K2724" i="3"/>
  <c r="J2724" i="3"/>
  <c r="J2326" i="3"/>
  <c r="J2353" i="3"/>
  <c r="I2358" i="3"/>
  <c r="I2359" i="3"/>
  <c r="K2360" i="3"/>
  <c r="J2370" i="3"/>
  <c r="K2371" i="3"/>
  <c r="I2384" i="3"/>
  <c r="I2385" i="3"/>
  <c r="I2386" i="3"/>
  <c r="K2387" i="3"/>
  <c r="I2392" i="3"/>
  <c r="I2393" i="3"/>
  <c r="I2432" i="3"/>
  <c r="J2436" i="3"/>
  <c r="J2444" i="3"/>
  <c r="J2445" i="3"/>
  <c r="K2446" i="3"/>
  <c r="K2447" i="3"/>
  <c r="J2448" i="3"/>
  <c r="J2449" i="3"/>
  <c r="J2455" i="3"/>
  <c r="J2456" i="3"/>
  <c r="J2457" i="3"/>
  <c r="I2489" i="3"/>
  <c r="I2511" i="3"/>
  <c r="I2512" i="3"/>
  <c r="J2513" i="3"/>
  <c r="I2519" i="3"/>
  <c r="I2520" i="3"/>
  <c r="I2524" i="3"/>
  <c r="J2531" i="3"/>
  <c r="J2532" i="3"/>
  <c r="J2543" i="3"/>
  <c r="J2544" i="3"/>
  <c r="I2567" i="3"/>
  <c r="I2572" i="3"/>
  <c r="K2577" i="3"/>
  <c r="I2577" i="3"/>
  <c r="J2586" i="3"/>
  <c r="K2586" i="3"/>
  <c r="I2586" i="3"/>
  <c r="K2592" i="3"/>
  <c r="J2592" i="3"/>
  <c r="K2597" i="3"/>
  <c r="J2602" i="3"/>
  <c r="K2602" i="3"/>
  <c r="I2602" i="3"/>
  <c r="J2610" i="3"/>
  <c r="K2610" i="3"/>
  <c r="I2630" i="3"/>
  <c r="K2630" i="3"/>
  <c r="J2630" i="3"/>
  <c r="K2644" i="3"/>
  <c r="J2644" i="3"/>
  <c r="I2691" i="3"/>
  <c r="K2691" i="3"/>
  <c r="J2703" i="3"/>
  <c r="I2703" i="3"/>
  <c r="J2706" i="3"/>
  <c r="K2706" i="3"/>
  <c r="I2706" i="3"/>
  <c r="I2724" i="3"/>
  <c r="J2219" i="3"/>
  <c r="I2250" i="3"/>
  <c r="I2251" i="3"/>
  <c r="I2258" i="3"/>
  <c r="J2259" i="3"/>
  <c r="K2264" i="3"/>
  <c r="I2282" i="3"/>
  <c r="I2283" i="3"/>
  <c r="I2428" i="3"/>
  <c r="J2432" i="3"/>
  <c r="I2454" i="3"/>
  <c r="K2455" i="3"/>
  <c r="J2511" i="3"/>
  <c r="J2512" i="3"/>
  <c r="J2519" i="3"/>
  <c r="J2524" i="3"/>
  <c r="K2531" i="3"/>
  <c r="J2566" i="3"/>
  <c r="J2567" i="3"/>
  <c r="J2572" i="3"/>
  <c r="J2577" i="3"/>
  <c r="I2582" i="3"/>
  <c r="K2582" i="3"/>
  <c r="J2582" i="3"/>
  <c r="I2592" i="3"/>
  <c r="K2596" i="3"/>
  <c r="J2596" i="3"/>
  <c r="I2610" i="3"/>
  <c r="I2644" i="3"/>
  <c r="J2691" i="3"/>
  <c r="I2696" i="3"/>
  <c r="K2696" i="3"/>
  <c r="J2696" i="3"/>
  <c r="K2700" i="3"/>
  <c r="J2700" i="3"/>
  <c r="I2700" i="3"/>
  <c r="K2737" i="3"/>
  <c r="J2737" i="3"/>
  <c r="J2249" i="3"/>
  <c r="J2250" i="3"/>
  <c r="J2251" i="3"/>
  <c r="I2256" i="3"/>
  <c r="K2257" i="3"/>
  <c r="J2258" i="3"/>
  <c r="I2262" i="3"/>
  <c r="J2263" i="3"/>
  <c r="J2282" i="3"/>
  <c r="J2283" i="3"/>
  <c r="I2408" i="3"/>
  <c r="I2409" i="3"/>
  <c r="J2588" i="3"/>
  <c r="I2588" i="3"/>
  <c r="K2591" i="3"/>
  <c r="J2591" i="3"/>
  <c r="I2654" i="3"/>
  <c r="J2654" i="3"/>
  <c r="K2684" i="3"/>
  <c r="J2684" i="3"/>
  <c r="I2684" i="3"/>
  <c r="J2708" i="3"/>
  <c r="I2708" i="3"/>
  <c r="K2711" i="3"/>
  <c r="J2711" i="3"/>
  <c r="K2729" i="3"/>
  <c r="J2729" i="3"/>
  <c r="J2744" i="3"/>
  <c r="I2744" i="3"/>
  <c r="I2243" i="3"/>
  <c r="I2280" i="3"/>
  <c r="K2281" i="3"/>
  <c r="I2286" i="3"/>
  <c r="J2287" i="3"/>
  <c r="K2288" i="3"/>
  <c r="I2298" i="3"/>
  <c r="I2299" i="3"/>
  <c r="I2304" i="3"/>
  <c r="J2305" i="3"/>
  <c r="I2306" i="3"/>
  <c r="I2307" i="3"/>
  <c r="I2312" i="3"/>
  <c r="K2313" i="3"/>
  <c r="I2318" i="3"/>
  <c r="J2319" i="3"/>
  <c r="K2320" i="3"/>
  <c r="I2330" i="3"/>
  <c r="J2334" i="3"/>
  <c r="J2346" i="3"/>
  <c r="I2350" i="3"/>
  <c r="J2351" i="3"/>
  <c r="J2408" i="3"/>
  <c r="J2409" i="3"/>
  <c r="J2452" i="3"/>
  <c r="J2453" i="3"/>
  <c r="J2460" i="3"/>
  <c r="J2461" i="3"/>
  <c r="I2464" i="3"/>
  <c r="I2484" i="3"/>
  <c r="I2485" i="3"/>
  <c r="K2609" i="3"/>
  <c r="J2609" i="3"/>
  <c r="I2609" i="3"/>
  <c r="I2614" i="3"/>
  <c r="K2614" i="3"/>
  <c r="I2619" i="3"/>
  <c r="K2619" i="3"/>
  <c r="K2636" i="3"/>
  <c r="J2636" i="3"/>
  <c r="I2636" i="3"/>
  <c r="I2643" i="3"/>
  <c r="K2643" i="3"/>
  <c r="J2643" i="3"/>
  <c r="J2661" i="3"/>
  <c r="K2661" i="3"/>
  <c r="J2690" i="3"/>
  <c r="K2690" i="3"/>
  <c r="I2690" i="3"/>
  <c r="J2695" i="3"/>
  <c r="I2695" i="3"/>
  <c r="K2708" i="3"/>
  <c r="I2711" i="3"/>
  <c r="I2729" i="3"/>
  <c r="J2733" i="3"/>
  <c r="K2733" i="3"/>
  <c r="I2733" i="3"/>
  <c r="K2744" i="3"/>
  <c r="I2230" i="3"/>
  <c r="J2239" i="3"/>
  <c r="J2243" i="3"/>
  <c r="K2248" i="3"/>
  <c r="J2275" i="3"/>
  <c r="K2280" i="3"/>
  <c r="K2304" i="3"/>
  <c r="K2305" i="3"/>
  <c r="J2307" i="3"/>
  <c r="K2312" i="3"/>
  <c r="J2329" i="3"/>
  <c r="J2345" i="3"/>
  <c r="K2406" i="3"/>
  <c r="J2473" i="3"/>
  <c r="J2485" i="3"/>
  <c r="K2503" i="3"/>
  <c r="J2505" i="3"/>
  <c r="K2522" i="3"/>
  <c r="J2528" i="3"/>
  <c r="I2536" i="3"/>
  <c r="J2537" i="3"/>
  <c r="J2547" i="3"/>
  <c r="J2555" i="3"/>
  <c r="I2562" i="3"/>
  <c r="K2563" i="3"/>
  <c r="K2570" i="3"/>
  <c r="I2595" i="3"/>
  <c r="K2595" i="3"/>
  <c r="J2595" i="3"/>
  <c r="J2614" i="3"/>
  <c r="J2619" i="3"/>
  <c r="J2626" i="3"/>
  <c r="K2626" i="3"/>
  <c r="K2632" i="3"/>
  <c r="J2632" i="3"/>
  <c r="I2632" i="3"/>
  <c r="K2665" i="3"/>
  <c r="J2665" i="3"/>
  <c r="I2665" i="3"/>
  <c r="K2695" i="3"/>
  <c r="I2759" i="3"/>
  <c r="K2759" i="3"/>
  <c r="J2759" i="3"/>
  <c r="J2633" i="3"/>
  <c r="J2640" i="3"/>
  <c r="K2666" i="3"/>
  <c r="K2676" i="3"/>
  <c r="J2687" i="3"/>
  <c r="K2727" i="3"/>
  <c r="K2740" i="3"/>
  <c r="J2760" i="3"/>
  <c r="K2772" i="3"/>
  <c r="I2778" i="3"/>
  <c r="K2779" i="3"/>
  <c r="J2788" i="3"/>
  <c r="J2789" i="3"/>
  <c r="J2797" i="3"/>
  <c r="I2808" i="3"/>
  <c r="K2814" i="3"/>
  <c r="I2824" i="3"/>
  <c r="I2825" i="3"/>
  <c r="K2826" i="3"/>
  <c r="K2827" i="3"/>
  <c r="I2832" i="3"/>
  <c r="I2833" i="3"/>
  <c r="K2835" i="3"/>
  <c r="I2848" i="3"/>
  <c r="I2849" i="3"/>
  <c r="J2856" i="3"/>
  <c r="K2857" i="3"/>
  <c r="K2859" i="3"/>
  <c r="K2860" i="3"/>
  <c r="K2898" i="3"/>
  <c r="J2899" i="3"/>
  <c r="J2900" i="3"/>
  <c r="K2946" i="3"/>
  <c r="I2952" i="3"/>
  <c r="K2648" i="3"/>
  <c r="J2657" i="3"/>
  <c r="J2664" i="3"/>
  <c r="J2731" i="3"/>
  <c r="J2743" i="3"/>
  <c r="K2788" i="3"/>
  <c r="I2794" i="3"/>
  <c r="I2795" i="3"/>
  <c r="J2796" i="3"/>
  <c r="J2804" i="3"/>
  <c r="J2805" i="3"/>
  <c r="K2806" i="3"/>
  <c r="K2807" i="3"/>
  <c r="J2808" i="3"/>
  <c r="J2823" i="3"/>
  <c r="J2824" i="3"/>
  <c r="K2825" i="3"/>
  <c r="J2832" i="3"/>
  <c r="J2848" i="3"/>
  <c r="K2849" i="3"/>
  <c r="J2922" i="3"/>
  <c r="J2923" i="3"/>
  <c r="J2924" i="3"/>
  <c r="J2928" i="3"/>
  <c r="J2938" i="3"/>
  <c r="I2939" i="3"/>
  <c r="I2940" i="3"/>
  <c r="I2941" i="3"/>
  <c r="J2952" i="3"/>
  <c r="J2986" i="3"/>
  <c r="I2786" i="3"/>
  <c r="J2794" i="3"/>
  <c r="K2795" i="3"/>
  <c r="K2796" i="3"/>
  <c r="J2812" i="3"/>
  <c r="I2822" i="3"/>
  <c r="K2823" i="3"/>
  <c r="I2897" i="3"/>
  <c r="K2922" i="3"/>
  <c r="K2938" i="3"/>
  <c r="J2939" i="3"/>
  <c r="J2940" i="3"/>
  <c r="J2941" i="3"/>
  <c r="K2986" i="3"/>
  <c r="I2999" i="3"/>
  <c r="I3000" i="3"/>
  <c r="I2875" i="3"/>
  <c r="I2876" i="3"/>
  <c r="I2944" i="3"/>
  <c r="J2962" i="3"/>
  <c r="I2969" i="3"/>
  <c r="I2977" i="3"/>
  <c r="J2999" i="3"/>
  <c r="J3000" i="3"/>
  <c r="I2763" i="3"/>
  <c r="J2775" i="3"/>
  <c r="K2782" i="3"/>
  <c r="I2792" i="3"/>
  <c r="K2811" i="3"/>
  <c r="K2818" i="3"/>
  <c r="J2944" i="3"/>
  <c r="J2954" i="3"/>
  <c r="I2955" i="3"/>
  <c r="I2956" i="3"/>
  <c r="I2957" i="3"/>
  <c r="I2961" i="3"/>
  <c r="K2962" i="3"/>
  <c r="I2968" i="3"/>
  <c r="K2969" i="3"/>
  <c r="I2976" i="3"/>
  <c r="K2977" i="3"/>
  <c r="J2995" i="3"/>
  <c r="I2996" i="3"/>
  <c r="I2997" i="3"/>
  <c r="I2585" i="3"/>
  <c r="I2601" i="3"/>
  <c r="I2608" i="3"/>
  <c r="I2617" i="3"/>
  <c r="I2623" i="3"/>
  <c r="I2624" i="3"/>
  <c r="J2635" i="3"/>
  <c r="I2642" i="3"/>
  <c r="I2668" i="3"/>
  <c r="K2669" i="3"/>
  <c r="I2673" i="3"/>
  <c r="I2689" i="3"/>
  <c r="J2699" i="3"/>
  <c r="I2705" i="3"/>
  <c r="I2716" i="3"/>
  <c r="I2717" i="3"/>
  <c r="I2735" i="3"/>
  <c r="I2746" i="3"/>
  <c r="I2747" i="3"/>
  <c r="J2748" i="3"/>
  <c r="I2762" i="3"/>
  <c r="K2763" i="3"/>
  <c r="I2774" i="3"/>
  <c r="K2775" i="3"/>
  <c r="J2781" i="3"/>
  <c r="J2791" i="3"/>
  <c r="J2792" i="3"/>
  <c r="I2800" i="3"/>
  <c r="I2801" i="3"/>
  <c r="I2810" i="3"/>
  <c r="I2816" i="3"/>
  <c r="K2817" i="3"/>
  <c r="I2843" i="3"/>
  <c r="I2844" i="3"/>
  <c r="I2845" i="3"/>
  <c r="K2866" i="3"/>
  <c r="I2872" i="3"/>
  <c r="K2873" i="3"/>
  <c r="I2915" i="3"/>
  <c r="I2916" i="3"/>
  <c r="I2920" i="3"/>
  <c r="K2930" i="3"/>
  <c r="J2931" i="3"/>
  <c r="J2932" i="3"/>
  <c r="K2954" i="3"/>
  <c r="J2957" i="3"/>
  <c r="I2960" i="3"/>
  <c r="K2961" i="3"/>
  <c r="J2968" i="3"/>
  <c r="J2976" i="3"/>
  <c r="K2997" i="3"/>
  <c r="J2624" i="3"/>
  <c r="K2635" i="3"/>
  <c r="K2642" i="3"/>
  <c r="I2653" i="3"/>
  <c r="K2659" i="3"/>
  <c r="J2667" i="3"/>
  <c r="J2673" i="3"/>
  <c r="J2689" i="3"/>
  <c r="K2699" i="3"/>
  <c r="J2705" i="3"/>
  <c r="K2717" i="3"/>
  <c r="J2746" i="3"/>
  <c r="K2747" i="3"/>
  <c r="K2748" i="3"/>
  <c r="J2762" i="3"/>
  <c r="I2772" i="3"/>
  <c r="I2773" i="3"/>
  <c r="K2774" i="3"/>
  <c r="J2780" i="3"/>
  <c r="I2790" i="3"/>
  <c r="K2791" i="3"/>
  <c r="K2799" i="3"/>
  <c r="J2800" i="3"/>
  <c r="J2801" i="3"/>
  <c r="J2816" i="3"/>
  <c r="I2828" i="3"/>
  <c r="J2843" i="3"/>
  <c r="J2844" i="3"/>
  <c r="J2845" i="3"/>
  <c r="I2865" i="3"/>
  <c r="J2872" i="3"/>
  <c r="I2889" i="3"/>
  <c r="J2914" i="3"/>
  <c r="J2915" i="3"/>
  <c r="J2916" i="3"/>
  <c r="J2920" i="3"/>
  <c r="J2773" i="3"/>
  <c r="I2779" i="3"/>
  <c r="K2780" i="3"/>
  <c r="I2789" i="3"/>
  <c r="K2790" i="3"/>
  <c r="J2946" i="3"/>
  <c r="I99" i="3"/>
  <c r="I73" i="3"/>
  <c r="I50" i="3"/>
  <c r="I3" i="3"/>
  <c r="I4" i="3"/>
  <c r="I70" i="3"/>
  <c r="I46" i="3"/>
  <c r="I58" i="3"/>
  <c r="I110" i="3"/>
  <c r="I150" i="3"/>
  <c r="I74" i="3"/>
  <c r="I2" i="3"/>
  <c r="I51" i="3"/>
  <c r="H5" i="3"/>
  <c r="H33" i="3"/>
  <c r="H60" i="3"/>
  <c r="I67" i="3" s="1"/>
  <c r="I71" i="3"/>
  <c r="H76" i="3"/>
  <c r="H92" i="3"/>
  <c r="I95" i="3"/>
  <c r="H129" i="3"/>
  <c r="I130" i="3" s="1"/>
  <c r="H133" i="3"/>
  <c r="I136" i="3" s="1"/>
  <c r="I137" i="3"/>
  <c r="H156" i="3"/>
  <c r="I10" i="3"/>
  <c r="H29" i="3"/>
  <c r="H41" i="3"/>
  <c r="I182" i="3" s="1"/>
  <c r="H49" i="3"/>
  <c r="I435" i="3" s="1"/>
  <c r="H65" i="3"/>
  <c r="H81" i="3"/>
  <c r="H121" i="3"/>
  <c r="H125" i="3"/>
  <c r="I128" i="3"/>
  <c r="I148" i="3"/>
  <c r="I151" i="3"/>
  <c r="I180" i="3"/>
  <c r="H209" i="3"/>
  <c r="I367" i="3"/>
  <c r="I369" i="3"/>
  <c r="I389" i="3"/>
  <c r="I433" i="3"/>
  <c r="H69" i="3"/>
  <c r="H85" i="3"/>
  <c r="I114" i="3"/>
  <c r="H117" i="3"/>
  <c r="I120" i="3" s="1"/>
  <c r="H140" i="3"/>
  <c r="I263" i="3"/>
  <c r="I265" i="3"/>
  <c r="I306" i="3"/>
  <c r="I329" i="3"/>
  <c r="I384" i="3"/>
  <c r="I423" i="3"/>
  <c r="I432" i="3"/>
  <c r="H21" i="3"/>
  <c r="I48" i="3"/>
  <c r="I59" i="3"/>
  <c r="I75" i="3"/>
  <c r="I94" i="3"/>
  <c r="H105" i="3"/>
  <c r="I107" i="3" s="1"/>
  <c r="H109" i="3"/>
  <c r="I112" i="3"/>
  <c r="I113" i="3"/>
  <c r="I132" i="3"/>
  <c r="I135" i="3"/>
  <c r="I155" i="3"/>
  <c r="H169" i="3"/>
  <c r="I191" i="3"/>
  <c r="H193" i="3"/>
  <c r="I245" i="3"/>
  <c r="I266" i="3"/>
  <c r="I276" i="3"/>
  <c r="I330" i="3"/>
  <c r="I351" i="3"/>
  <c r="I394" i="3"/>
  <c r="I413" i="3"/>
  <c r="I468" i="3"/>
  <c r="I467" i="3"/>
  <c r="I430" i="3"/>
  <c r="I536" i="3"/>
  <c r="H17" i="3"/>
  <c r="I47" i="3"/>
  <c r="H52" i="3"/>
  <c r="I252" i="3" s="1"/>
  <c r="I63" i="3"/>
  <c r="H68" i="3"/>
  <c r="I347" i="3" s="1"/>
  <c r="I79" i="3"/>
  <c r="H84" i="3"/>
  <c r="H101" i="3"/>
  <c r="I104" i="3"/>
  <c r="I124" i="3"/>
  <c r="I127" i="3"/>
  <c r="I162" i="3"/>
  <c r="H165" i="3"/>
  <c r="I168" i="3" s="1"/>
  <c r="I179" i="3"/>
  <c r="I184" i="3"/>
  <c r="I188" i="3"/>
  <c r="I194" i="3"/>
  <c r="I208" i="3"/>
  <c r="I240" i="3"/>
  <c r="I267" i="3"/>
  <c r="I269" i="3"/>
  <c r="I300" i="3"/>
  <c r="I304" i="3"/>
  <c r="I331" i="3"/>
  <c r="I354" i="3"/>
  <c r="I364" i="3"/>
  <c r="I368" i="3"/>
  <c r="I397" i="3"/>
  <c r="H13" i="3"/>
  <c r="H37" i="3"/>
  <c r="I602" i="3" s="1"/>
  <c r="I62" i="3"/>
  <c r="I78" i="3"/>
  <c r="I90" i="3"/>
  <c r="I96" i="3"/>
  <c r="I97" i="3"/>
  <c r="I116" i="3"/>
  <c r="I119" i="3"/>
  <c r="I139" i="3"/>
  <c r="I154" i="3"/>
  <c r="H157" i="3"/>
  <c r="I160" i="3" s="1"/>
  <c r="I206" i="3"/>
  <c r="I227" i="3"/>
  <c r="I260" i="3"/>
  <c r="I264" i="3"/>
  <c r="I271" i="3"/>
  <c r="I273" i="3"/>
  <c r="I314" i="3"/>
  <c r="I324" i="3"/>
  <c r="I355" i="3"/>
  <c r="I388" i="3"/>
  <c r="I57" i="3"/>
  <c r="I89" i="3"/>
  <c r="I93" i="3"/>
  <c r="I108" i="3"/>
  <c r="I111" i="3"/>
  <c r="I131" i="3"/>
  <c r="I152" i="3"/>
  <c r="I153" i="3"/>
  <c r="I172" i="3"/>
  <c r="I178" i="3"/>
  <c r="I192" i="3"/>
  <c r="I195" i="3"/>
  <c r="I198" i="3"/>
  <c r="I274" i="3"/>
  <c r="I295" i="3"/>
  <c r="I297" i="3"/>
  <c r="I317" i="3"/>
  <c r="I348" i="3"/>
  <c r="I352" i="3"/>
  <c r="I361" i="3"/>
  <c r="I402" i="3"/>
  <c r="I424" i="3"/>
  <c r="I426" i="3"/>
  <c r="I434" i="3"/>
  <c r="I436" i="3"/>
  <c r="I72" i="3"/>
  <c r="I77" i="3"/>
  <c r="H100" i="3"/>
  <c r="I102" i="3" s="1"/>
  <c r="I103" i="3"/>
  <c r="I126" i="3"/>
  <c r="I138" i="3"/>
  <c r="H141" i="3"/>
  <c r="I285" i="3" s="1"/>
  <c r="I149" i="3"/>
  <c r="I164" i="3"/>
  <c r="I167" i="3"/>
  <c r="I177" i="3"/>
  <c r="I181" i="3"/>
  <c r="I187" i="3"/>
  <c r="I190" i="3"/>
  <c r="I213" i="3"/>
  <c r="I244" i="3"/>
  <c r="I248" i="3"/>
  <c r="I255" i="3"/>
  <c r="I257" i="3"/>
  <c r="I275" i="3"/>
  <c r="I277" i="3"/>
  <c r="I298" i="3"/>
  <c r="I308" i="3"/>
  <c r="I312" i="3"/>
  <c r="I319" i="3"/>
  <c r="I321" i="3"/>
  <c r="I339" i="3"/>
  <c r="I362" i="3"/>
  <c r="I372" i="3"/>
  <c r="I376" i="3"/>
  <c r="I383" i="3"/>
  <c r="I385" i="3"/>
  <c r="I403" i="3"/>
  <c r="I405" i="3"/>
  <c r="I469" i="3"/>
  <c r="H410" i="3"/>
  <c r="L440" i="3"/>
  <c r="H446" i="3"/>
  <c r="H502" i="3"/>
  <c r="H527" i="3"/>
  <c r="I537" i="3"/>
  <c r="I682" i="3"/>
  <c r="L218" i="3"/>
  <c r="L226" i="3"/>
  <c r="L234" i="3"/>
  <c r="L242" i="3"/>
  <c r="L250" i="3"/>
  <c r="L258" i="3"/>
  <c r="L266" i="3"/>
  <c r="L274" i="3"/>
  <c r="L282" i="3"/>
  <c r="L290" i="3"/>
  <c r="L298" i="3"/>
  <c r="L306" i="3"/>
  <c r="L314" i="3"/>
  <c r="L322" i="3"/>
  <c r="L330" i="3"/>
  <c r="L338" i="3"/>
  <c r="L346" i="3"/>
  <c r="L354" i="3"/>
  <c r="L362" i="3"/>
  <c r="L370" i="3"/>
  <c r="L378" i="3"/>
  <c r="L386" i="3"/>
  <c r="L394" i="3"/>
  <c r="L402" i="3"/>
  <c r="I409" i="3"/>
  <c r="L420" i="3"/>
  <c r="I437" i="3"/>
  <c r="I513" i="3"/>
  <c r="I539" i="3"/>
  <c r="I675" i="3"/>
  <c r="I679" i="3"/>
  <c r="I214" i="3"/>
  <c r="I238" i="3"/>
  <c r="I246" i="3"/>
  <c r="I254" i="3"/>
  <c r="I262" i="3"/>
  <c r="I270" i="3"/>
  <c r="I286" i="3"/>
  <c r="I294" i="3"/>
  <c r="I318" i="3"/>
  <c r="I326" i="3"/>
  <c r="I334" i="3"/>
  <c r="I342" i="3"/>
  <c r="I350" i="3"/>
  <c r="I374" i="3"/>
  <c r="I382" i="3"/>
  <c r="I390" i="3"/>
  <c r="I398" i="3"/>
  <c r="I406" i="3"/>
  <c r="I407" i="3"/>
  <c r="I408" i="3"/>
  <c r="I411" i="3"/>
  <c r="H431" i="3"/>
  <c r="I534" i="3" s="1"/>
  <c r="H455" i="3"/>
  <c r="H471" i="3"/>
  <c r="I473" i="3"/>
  <c r="I486" i="3"/>
  <c r="I498" i="3"/>
  <c r="I505" i="3"/>
  <c r="H511" i="3"/>
  <c r="I685" i="3" s="1"/>
  <c r="I574" i="3"/>
  <c r="H600" i="3"/>
  <c r="I605" i="3" s="1"/>
  <c r="H612" i="3"/>
  <c r="I703" i="3" s="1"/>
  <c r="I753" i="3"/>
  <c r="I785" i="3"/>
  <c r="H418" i="3"/>
  <c r="H462" i="3"/>
  <c r="H478" i="3"/>
  <c r="I645" i="3" s="1"/>
  <c r="I497" i="3"/>
  <c r="I503" i="3"/>
  <c r="H516" i="3"/>
  <c r="I517" i="3" s="1"/>
  <c r="I533" i="3"/>
  <c r="H556" i="3"/>
  <c r="I597" i="3"/>
  <c r="I599" i="3"/>
  <c r="I677" i="3"/>
  <c r="I683" i="3"/>
  <c r="H442" i="3"/>
  <c r="H447" i="3"/>
  <c r="I713" i="3" s="1"/>
  <c r="I482" i="3"/>
  <c r="H495" i="3"/>
  <c r="I504" i="3"/>
  <c r="H508" i="3"/>
  <c r="I509" i="3" s="1"/>
  <c r="I582" i="3"/>
  <c r="I585" i="3"/>
  <c r="I588" i="3"/>
  <c r="H604" i="3"/>
  <c r="I614" i="3"/>
  <c r="I676" i="3"/>
  <c r="I485" i="3"/>
  <c r="H487" i="3"/>
  <c r="I566" i="3" s="1"/>
  <c r="I526" i="3"/>
  <c r="I538" i="3"/>
  <c r="H543" i="3"/>
  <c r="H564" i="3"/>
  <c r="I573" i="3"/>
  <c r="H575" i="3"/>
  <c r="I587" i="3"/>
  <c r="H596" i="3"/>
  <c r="I794" i="3" s="1"/>
  <c r="I611" i="3"/>
  <c r="I670" i="3"/>
  <c r="I702" i="3"/>
  <c r="I704" i="3"/>
  <c r="I429" i="3"/>
  <c r="I465" i="3"/>
  <c r="I477" i="3"/>
  <c r="I515" i="3"/>
  <c r="I518" i="3"/>
  <c r="I558" i="3"/>
  <c r="I561" i="3"/>
  <c r="I590" i="3"/>
  <c r="I606" i="3"/>
  <c r="I609" i="3"/>
  <c r="I642" i="3"/>
  <c r="I674" i="3"/>
  <c r="I684" i="3"/>
  <c r="I427" i="3"/>
  <c r="I428" i="3"/>
  <c r="H438" i="3"/>
  <c r="H454" i="3"/>
  <c r="H470" i="3"/>
  <c r="I637" i="3" s="1"/>
  <c r="H484" i="3"/>
  <c r="I507" i="3"/>
  <c r="I510" i="3"/>
  <c r="I531" i="3"/>
  <c r="H540" i="3"/>
  <c r="I616" i="3" s="1"/>
  <c r="I551" i="3"/>
  <c r="H572" i="3"/>
  <c r="I578" i="3"/>
  <c r="I581" i="3"/>
  <c r="I583" i="3"/>
  <c r="I595" i="3"/>
  <c r="I613" i="3"/>
  <c r="I615" i="3"/>
  <c r="I639" i="3"/>
  <c r="I646" i="3"/>
  <c r="I648" i="3"/>
  <c r="I667" i="3"/>
  <c r="I671" i="3"/>
  <c r="I678" i="3"/>
  <c r="I680" i="3"/>
  <c r="I712" i="3"/>
  <c r="I725" i="3"/>
  <c r="I727" i="3"/>
  <c r="I729" i="3"/>
  <c r="I745" i="3"/>
  <c r="I761" i="3"/>
  <c r="H742" i="3"/>
  <c r="H758" i="3"/>
  <c r="I894" i="3" s="1"/>
  <c r="H774" i="3"/>
  <c r="I779" i="3" s="1"/>
  <c r="H790" i="3"/>
  <c r="H806" i="3"/>
  <c r="H818" i="3"/>
  <c r="H830" i="3"/>
  <c r="H848" i="3"/>
  <c r="H736" i="3"/>
  <c r="H752" i="3"/>
  <c r="H768" i="3"/>
  <c r="H784" i="3"/>
  <c r="H800" i="3"/>
  <c r="H810" i="3"/>
  <c r="H822" i="3"/>
  <c r="H856" i="3"/>
  <c r="I757" i="3"/>
  <c r="I840" i="3"/>
  <c r="I617" i="3"/>
  <c r="I633" i="3"/>
  <c r="I641" i="3"/>
  <c r="I649" i="3"/>
  <c r="I665" i="3"/>
  <c r="I673" i="3"/>
  <c r="I681" i="3"/>
  <c r="I689" i="3"/>
  <c r="I697" i="3"/>
  <c r="I705" i="3"/>
  <c r="I730" i="3"/>
  <c r="H740" i="3"/>
  <c r="I746" i="3"/>
  <c r="H756" i="3"/>
  <c r="I762" i="3"/>
  <c r="H772" i="3"/>
  <c r="I904" i="3" s="1"/>
  <c r="H788" i="3"/>
  <c r="I791" i="3" s="1"/>
  <c r="H804" i="3"/>
  <c r="I861" i="3" s="1"/>
  <c r="H734" i="3"/>
  <c r="I872" i="3" s="1"/>
  <c r="H750" i="3"/>
  <c r="I879" i="3" s="1"/>
  <c r="H766" i="3"/>
  <c r="H782" i="3"/>
  <c r="H798" i="3"/>
  <c r="H824" i="3"/>
  <c r="I855" i="3"/>
  <c r="I887" i="3"/>
  <c r="I755" i="3"/>
  <c r="I787" i="3"/>
  <c r="I803" i="3"/>
  <c r="I870" i="3"/>
  <c r="I874" i="3"/>
  <c r="I797" i="3"/>
  <c r="H846" i="3"/>
  <c r="I869" i="3" s="1"/>
  <c r="I897" i="3"/>
  <c r="H732" i="3"/>
  <c r="H748" i="3"/>
  <c r="I813" i="3" s="1"/>
  <c r="I754" i="3"/>
  <c r="H764" i="3"/>
  <c r="I770" i="3"/>
  <c r="H780" i="3"/>
  <c r="I908" i="3" s="1"/>
  <c r="I786" i="3"/>
  <c r="H796" i="3"/>
  <c r="I802" i="3"/>
  <c r="H826" i="3"/>
  <c r="I829" i="3" s="1"/>
  <c r="I833" i="3"/>
  <c r="I834" i="3"/>
  <c r="H838" i="3"/>
  <c r="I862" i="3"/>
  <c r="H864" i="3"/>
  <c r="I910" i="3"/>
  <c r="J927" i="3"/>
  <c r="J935" i="3"/>
  <c r="J943" i="3"/>
  <c r="J951" i="3"/>
  <c r="J959" i="3"/>
  <c r="J967" i="3"/>
  <c r="J975" i="3"/>
  <c r="J983" i="3"/>
  <c r="J991" i="3"/>
  <c r="J999" i="3"/>
  <c r="J1007" i="3"/>
  <c r="J1015" i="3"/>
  <c r="J1023" i="3"/>
  <c r="J1031" i="3"/>
  <c r="J1039" i="3"/>
  <c r="J1047" i="3"/>
  <c r="J1055" i="3"/>
  <c r="J1063" i="3"/>
  <c r="J1071" i="3"/>
  <c r="J1079" i="3"/>
  <c r="J1087" i="3"/>
  <c r="J1095" i="3"/>
  <c r="J1103" i="3"/>
  <c r="J1111" i="3"/>
  <c r="J1119" i="3"/>
  <c r="J1127" i="3"/>
  <c r="J1135" i="3"/>
  <c r="J1143" i="3"/>
  <c r="J1151" i="3"/>
  <c r="J1159" i="3"/>
  <c r="J1167" i="3"/>
  <c r="J1175" i="3"/>
  <c r="J1183" i="3"/>
  <c r="J1191" i="3"/>
  <c r="J1199" i="3"/>
  <c r="J1207" i="3"/>
  <c r="J1215" i="3"/>
  <c r="J1223" i="3"/>
  <c r="K1298" i="3"/>
  <c r="J1298" i="3"/>
  <c r="J1319" i="3"/>
  <c r="I1319" i="3"/>
  <c r="J1327" i="3"/>
  <c r="I1327" i="3"/>
  <c r="J1359" i="3"/>
  <c r="I1359" i="3"/>
  <c r="J1391" i="3"/>
  <c r="I1391" i="3"/>
  <c r="K1543" i="3"/>
  <c r="J1543" i="3"/>
  <c r="I1543" i="3"/>
  <c r="K927" i="3"/>
  <c r="K935" i="3"/>
  <c r="K943" i="3"/>
  <c r="K951" i="3"/>
  <c r="K959" i="3"/>
  <c r="K967" i="3"/>
  <c r="K975" i="3"/>
  <c r="K983" i="3"/>
  <c r="K991" i="3"/>
  <c r="K999" i="3"/>
  <c r="K1007" i="3"/>
  <c r="K1015" i="3"/>
  <c r="K1023" i="3"/>
  <c r="K1031" i="3"/>
  <c r="K1039" i="3"/>
  <c r="K1047" i="3"/>
  <c r="K1055" i="3"/>
  <c r="K1063" i="3"/>
  <c r="K1071" i="3"/>
  <c r="K1079" i="3"/>
  <c r="K1087" i="3"/>
  <c r="K1095" i="3"/>
  <c r="K1103" i="3"/>
  <c r="K1111" i="3"/>
  <c r="K1119" i="3"/>
  <c r="K1127" i="3"/>
  <c r="K1135" i="3"/>
  <c r="K1143" i="3"/>
  <c r="K1151" i="3"/>
  <c r="K1159" i="3"/>
  <c r="K1167" i="3"/>
  <c r="K1175" i="3"/>
  <c r="K1183" i="3"/>
  <c r="K1191" i="3"/>
  <c r="K1199" i="3"/>
  <c r="K1207" i="3"/>
  <c r="K1215" i="3"/>
  <c r="K1223" i="3"/>
  <c r="I1298" i="3"/>
  <c r="J1307" i="3"/>
  <c r="I1307" i="3"/>
  <c r="K1318" i="3"/>
  <c r="J1318" i="3"/>
  <c r="K1319" i="3"/>
  <c r="K1327" i="3"/>
  <c r="K1346" i="3"/>
  <c r="J1346" i="3"/>
  <c r="I1346" i="3"/>
  <c r="K1359" i="3"/>
  <c r="K1378" i="3"/>
  <c r="J1378" i="3"/>
  <c r="I1378" i="3"/>
  <c r="K1391" i="3"/>
  <c r="K1426" i="3"/>
  <c r="J1426" i="3"/>
  <c r="I1426" i="3"/>
  <c r="K1431" i="3"/>
  <c r="J1431" i="3"/>
  <c r="I1431" i="3"/>
  <c r="K1447" i="3"/>
  <c r="J1447" i="3"/>
  <c r="I1447" i="3"/>
  <c r="K1463" i="3"/>
  <c r="J1463" i="3"/>
  <c r="I1463" i="3"/>
  <c r="K1479" i="3"/>
  <c r="J1479" i="3"/>
  <c r="I1479" i="3"/>
  <c r="K1495" i="3"/>
  <c r="J1495" i="3"/>
  <c r="I1495" i="3"/>
  <c r="K1619" i="3"/>
  <c r="J1619" i="3"/>
  <c r="I1619" i="3"/>
  <c r="K1787" i="3"/>
  <c r="J1787" i="3"/>
  <c r="I1787" i="3"/>
  <c r="J1295" i="3"/>
  <c r="I1295" i="3"/>
  <c r="K1306" i="3"/>
  <c r="J1306" i="3"/>
  <c r="J1351" i="3"/>
  <c r="I1351" i="3"/>
  <c r="J1383" i="3"/>
  <c r="I1383" i="3"/>
  <c r="K1418" i="3"/>
  <c r="J1418" i="3"/>
  <c r="I1418" i="3"/>
  <c r="K1519" i="3"/>
  <c r="J1519" i="3"/>
  <c r="I1519" i="3"/>
  <c r="K1559" i="3"/>
  <c r="J1559" i="3"/>
  <c r="I1559" i="3"/>
  <c r="I867" i="3"/>
  <c r="I907" i="3"/>
  <c r="I915" i="3"/>
  <c r="I931" i="3"/>
  <c r="I939" i="3"/>
  <c r="I947" i="3"/>
  <c r="I955" i="3"/>
  <c r="I963" i="3"/>
  <c r="I971" i="3"/>
  <c r="I979" i="3"/>
  <c r="I987" i="3"/>
  <c r="I995" i="3"/>
  <c r="I1003" i="3"/>
  <c r="I1011" i="3"/>
  <c r="I1019" i="3"/>
  <c r="I1027" i="3"/>
  <c r="I1035" i="3"/>
  <c r="I1043" i="3"/>
  <c r="I1051" i="3"/>
  <c r="I1059" i="3"/>
  <c r="I1067" i="3"/>
  <c r="I1075" i="3"/>
  <c r="I1083" i="3"/>
  <c r="I1091" i="3"/>
  <c r="I1099" i="3"/>
  <c r="I1107" i="3"/>
  <c r="I1115" i="3"/>
  <c r="I1123" i="3"/>
  <c r="I1131" i="3"/>
  <c r="I1139" i="3"/>
  <c r="I1147" i="3"/>
  <c r="I1155" i="3"/>
  <c r="I1163" i="3"/>
  <c r="I1171" i="3"/>
  <c r="I1179" i="3"/>
  <c r="I1187" i="3"/>
  <c r="I1195" i="3"/>
  <c r="I1203" i="3"/>
  <c r="I1211" i="3"/>
  <c r="I1219" i="3"/>
  <c r="I1227" i="3"/>
  <c r="K1294" i="3"/>
  <c r="J1294" i="3"/>
  <c r="K1295" i="3"/>
  <c r="I1306" i="3"/>
  <c r="J1315" i="3"/>
  <c r="I1315" i="3"/>
  <c r="K1338" i="3"/>
  <c r="J1338" i="3"/>
  <c r="I1338" i="3"/>
  <c r="K1351" i="3"/>
  <c r="K1370" i="3"/>
  <c r="J1370" i="3"/>
  <c r="I1370" i="3"/>
  <c r="K1383" i="3"/>
  <c r="K1410" i="3"/>
  <c r="J1410" i="3"/>
  <c r="I1410" i="3"/>
  <c r="K1626" i="3"/>
  <c r="J1626" i="3"/>
  <c r="I1626" i="3"/>
  <c r="K1643" i="3"/>
  <c r="J1643" i="3"/>
  <c r="I1643" i="3"/>
  <c r="J1303" i="3"/>
  <c r="I1303" i="3"/>
  <c r="K1314" i="3"/>
  <c r="J1314" i="3"/>
  <c r="K1323" i="3"/>
  <c r="J1323" i="3"/>
  <c r="I1323" i="3"/>
  <c r="J1343" i="3"/>
  <c r="I1343" i="3"/>
  <c r="J1375" i="3"/>
  <c r="I1375" i="3"/>
  <c r="K1402" i="3"/>
  <c r="J1402" i="3"/>
  <c r="I1402" i="3"/>
  <c r="J1423" i="3"/>
  <c r="I1423" i="3"/>
  <c r="K1503" i="3"/>
  <c r="J1503" i="3"/>
  <c r="I1503" i="3"/>
  <c r="I917" i="3"/>
  <c r="I925" i="3"/>
  <c r="I933" i="3"/>
  <c r="I941" i="3"/>
  <c r="I949" i="3"/>
  <c r="I957" i="3"/>
  <c r="I965" i="3"/>
  <c r="I973" i="3"/>
  <c r="I981" i="3"/>
  <c r="I989" i="3"/>
  <c r="I997" i="3"/>
  <c r="I1005" i="3"/>
  <c r="I1013" i="3"/>
  <c r="I1021" i="3"/>
  <c r="I1029" i="3"/>
  <c r="I1037" i="3"/>
  <c r="I1045" i="3"/>
  <c r="I1053" i="3"/>
  <c r="I1061" i="3"/>
  <c r="I1069" i="3"/>
  <c r="I1077" i="3"/>
  <c r="I1085" i="3"/>
  <c r="I1093" i="3"/>
  <c r="I1101" i="3"/>
  <c r="I1109" i="3"/>
  <c r="I1117" i="3"/>
  <c r="I1125" i="3"/>
  <c r="I1133" i="3"/>
  <c r="I1141" i="3"/>
  <c r="I1149" i="3"/>
  <c r="I1157" i="3"/>
  <c r="I1165" i="3"/>
  <c r="I1173" i="3"/>
  <c r="I1181" i="3"/>
  <c r="I1189" i="3"/>
  <c r="I1197" i="3"/>
  <c r="I1205" i="3"/>
  <c r="I1213" i="3"/>
  <c r="I1221" i="3"/>
  <c r="I1229" i="3"/>
  <c r="I1230" i="3"/>
  <c r="J1231" i="3"/>
  <c r="I1233" i="3"/>
  <c r="I1234" i="3"/>
  <c r="J1235" i="3"/>
  <c r="I1237" i="3"/>
  <c r="I1238" i="3"/>
  <c r="J1239" i="3"/>
  <c r="I1241" i="3"/>
  <c r="I1242" i="3"/>
  <c r="J1243" i="3"/>
  <c r="I1245" i="3"/>
  <c r="I1246" i="3"/>
  <c r="J1247" i="3"/>
  <c r="I1249" i="3"/>
  <c r="I1250" i="3"/>
  <c r="J1251" i="3"/>
  <c r="I1253" i="3"/>
  <c r="I1254" i="3"/>
  <c r="J1255" i="3"/>
  <c r="I1257" i="3"/>
  <c r="I1258" i="3"/>
  <c r="J1259" i="3"/>
  <c r="I1261" i="3"/>
  <c r="I1262" i="3"/>
  <c r="J1263" i="3"/>
  <c r="I1265" i="3"/>
  <c r="I1266" i="3"/>
  <c r="J1267" i="3"/>
  <c r="I1269" i="3"/>
  <c r="I1270" i="3"/>
  <c r="J1271" i="3"/>
  <c r="I1273" i="3"/>
  <c r="I1274" i="3"/>
  <c r="J1275" i="3"/>
  <c r="I1277" i="3"/>
  <c r="I1278" i="3"/>
  <c r="J1279" i="3"/>
  <c r="I1281" i="3"/>
  <c r="I1282" i="3"/>
  <c r="J1283" i="3"/>
  <c r="I1285" i="3"/>
  <c r="I1286" i="3"/>
  <c r="J1287" i="3"/>
  <c r="I1289" i="3"/>
  <c r="I1290" i="3"/>
  <c r="J1291" i="3"/>
  <c r="K1302" i="3"/>
  <c r="J1302" i="3"/>
  <c r="K1303" i="3"/>
  <c r="I1314" i="3"/>
  <c r="K1330" i="3"/>
  <c r="J1330" i="3"/>
  <c r="I1330" i="3"/>
  <c r="K1343" i="3"/>
  <c r="K1362" i="3"/>
  <c r="J1362" i="3"/>
  <c r="I1362" i="3"/>
  <c r="K1375" i="3"/>
  <c r="K1394" i="3"/>
  <c r="J1394" i="3"/>
  <c r="I1394" i="3"/>
  <c r="J1415" i="3"/>
  <c r="I1415" i="3"/>
  <c r="K1439" i="3"/>
  <c r="J1439" i="3"/>
  <c r="I1439" i="3"/>
  <c r="K1455" i="3"/>
  <c r="J1455" i="3"/>
  <c r="I1455" i="3"/>
  <c r="K1471" i="3"/>
  <c r="J1471" i="3"/>
  <c r="I1471" i="3"/>
  <c r="K1487" i="3"/>
  <c r="J1487" i="3"/>
  <c r="I1487" i="3"/>
  <c r="J1563" i="3"/>
  <c r="I1563" i="3"/>
  <c r="K1563" i="3"/>
  <c r="J925" i="3"/>
  <c r="J933" i="3"/>
  <c r="J941" i="3"/>
  <c r="J949" i="3"/>
  <c r="J957" i="3"/>
  <c r="J965" i="3"/>
  <c r="J973" i="3"/>
  <c r="J981" i="3"/>
  <c r="J989" i="3"/>
  <c r="J997" i="3"/>
  <c r="J1005" i="3"/>
  <c r="J1013" i="3"/>
  <c r="J1021" i="3"/>
  <c r="J1029" i="3"/>
  <c r="J1037" i="3"/>
  <c r="J1045" i="3"/>
  <c r="J1053" i="3"/>
  <c r="J1061" i="3"/>
  <c r="J1069" i="3"/>
  <c r="J1077" i="3"/>
  <c r="J1085" i="3"/>
  <c r="J1093" i="3"/>
  <c r="J1101" i="3"/>
  <c r="J1109" i="3"/>
  <c r="J1117" i="3"/>
  <c r="J1125" i="3"/>
  <c r="J1133" i="3"/>
  <c r="J1141" i="3"/>
  <c r="J1149" i="3"/>
  <c r="J1157" i="3"/>
  <c r="J1165" i="3"/>
  <c r="J1173" i="3"/>
  <c r="J1181" i="3"/>
  <c r="J1189" i="3"/>
  <c r="J1197" i="3"/>
  <c r="J1205" i="3"/>
  <c r="J1213" i="3"/>
  <c r="J1221" i="3"/>
  <c r="J1229" i="3"/>
  <c r="K1230" i="3"/>
  <c r="K1231" i="3"/>
  <c r="J1233" i="3"/>
  <c r="K1234" i="3"/>
  <c r="K1235" i="3"/>
  <c r="J1237" i="3"/>
  <c r="K1238" i="3"/>
  <c r="K1239" i="3"/>
  <c r="J1241" i="3"/>
  <c r="K1242" i="3"/>
  <c r="K1243" i="3"/>
  <c r="J1245" i="3"/>
  <c r="K1246" i="3"/>
  <c r="K1247" i="3"/>
  <c r="J1249" i="3"/>
  <c r="K1250" i="3"/>
  <c r="K1251" i="3"/>
  <c r="J1253" i="3"/>
  <c r="K1254" i="3"/>
  <c r="K1255" i="3"/>
  <c r="J1257" i="3"/>
  <c r="K1258" i="3"/>
  <c r="K1259" i="3"/>
  <c r="J1261" i="3"/>
  <c r="K1262" i="3"/>
  <c r="K1263" i="3"/>
  <c r="J1265" i="3"/>
  <c r="K1266" i="3"/>
  <c r="K1267" i="3"/>
  <c r="J1269" i="3"/>
  <c r="K1270" i="3"/>
  <c r="K1271" i="3"/>
  <c r="J1273" i="3"/>
  <c r="K1274" i="3"/>
  <c r="K1275" i="3"/>
  <c r="J1277" i="3"/>
  <c r="K1278" i="3"/>
  <c r="K1279" i="3"/>
  <c r="J1281" i="3"/>
  <c r="K1282" i="3"/>
  <c r="K1283" i="3"/>
  <c r="J1285" i="3"/>
  <c r="K1286" i="3"/>
  <c r="K1287" i="3"/>
  <c r="J1289" i="3"/>
  <c r="K1290" i="3"/>
  <c r="K1291" i="3"/>
  <c r="J1311" i="3"/>
  <c r="I1311" i="3"/>
  <c r="K1322" i="3"/>
  <c r="J1322" i="3"/>
  <c r="J1335" i="3"/>
  <c r="I1335" i="3"/>
  <c r="J1367" i="3"/>
  <c r="I1367" i="3"/>
  <c r="J1407" i="3"/>
  <c r="I1407" i="3"/>
  <c r="K1527" i="3"/>
  <c r="J1527" i="3"/>
  <c r="I1527" i="3"/>
  <c r="K1707" i="3"/>
  <c r="J1707" i="3"/>
  <c r="I1707" i="3"/>
  <c r="K1811" i="3"/>
  <c r="J1811" i="3"/>
  <c r="I1811" i="3"/>
  <c r="J1299" i="3"/>
  <c r="I1299" i="3"/>
  <c r="K1310" i="3"/>
  <c r="J1310" i="3"/>
  <c r="K1311" i="3"/>
  <c r="I1322" i="3"/>
  <c r="K1335" i="3"/>
  <c r="K1354" i="3"/>
  <c r="J1354" i="3"/>
  <c r="I1354" i="3"/>
  <c r="K1367" i="3"/>
  <c r="K1386" i="3"/>
  <c r="J1386" i="3"/>
  <c r="I1386" i="3"/>
  <c r="J1399" i="3"/>
  <c r="I1399" i="3"/>
  <c r="K1407" i="3"/>
  <c r="K1511" i="3"/>
  <c r="J1511" i="3"/>
  <c r="I1511" i="3"/>
  <c r="J1326" i="3"/>
  <c r="J1334" i="3"/>
  <c r="J1342" i="3"/>
  <c r="J1350" i="3"/>
  <c r="J1358" i="3"/>
  <c r="J1366" i="3"/>
  <c r="J1374" i="3"/>
  <c r="J1382" i="3"/>
  <c r="J1390" i="3"/>
  <c r="K1429" i="3"/>
  <c r="K1437" i="3"/>
  <c r="K1445" i="3"/>
  <c r="K1453" i="3"/>
  <c r="K1461" i="3"/>
  <c r="K1469" i="3"/>
  <c r="K1477" i="3"/>
  <c r="K1485" i="3"/>
  <c r="K1493" i="3"/>
  <c r="K1501" i="3"/>
  <c r="K1509" i="3"/>
  <c r="K1517" i="3"/>
  <c r="K1525" i="3"/>
  <c r="K1541" i="3"/>
  <c r="K1557" i="3"/>
  <c r="K1562" i="3"/>
  <c r="J1562" i="3"/>
  <c r="J1571" i="3"/>
  <c r="I1571" i="3"/>
  <c r="K1592" i="3"/>
  <c r="K1611" i="3"/>
  <c r="J1611" i="3"/>
  <c r="I1611" i="3"/>
  <c r="K1667" i="3"/>
  <c r="J1667" i="3"/>
  <c r="I1667" i="3"/>
  <c r="K1715" i="3"/>
  <c r="J1715" i="3"/>
  <c r="I1715" i="3"/>
  <c r="K1723" i="3"/>
  <c r="J1723" i="3"/>
  <c r="I1723" i="3"/>
  <c r="K1731" i="3"/>
  <c r="J1731" i="3"/>
  <c r="I1731" i="3"/>
  <c r="K1739" i="3"/>
  <c r="J1739" i="3"/>
  <c r="I1739" i="3"/>
  <c r="K1779" i="3"/>
  <c r="J1779" i="3"/>
  <c r="I1779" i="3"/>
  <c r="K1851" i="3"/>
  <c r="J1851" i="3"/>
  <c r="I1851" i="3"/>
  <c r="K1867" i="3"/>
  <c r="J1867" i="3"/>
  <c r="I1867" i="3"/>
  <c r="J1998" i="3"/>
  <c r="I1998" i="3"/>
  <c r="K1998" i="3"/>
  <c r="K1570" i="3"/>
  <c r="J1570" i="3"/>
  <c r="J1579" i="3"/>
  <c r="I1579" i="3"/>
  <c r="K1603" i="3"/>
  <c r="J1603" i="3"/>
  <c r="I1603" i="3"/>
  <c r="K1618" i="3"/>
  <c r="J1618" i="3"/>
  <c r="I1625" i="3"/>
  <c r="K1642" i="3"/>
  <c r="J1642" i="3"/>
  <c r="K1657" i="3"/>
  <c r="I1657" i="3"/>
  <c r="K1747" i="3"/>
  <c r="J1747" i="3"/>
  <c r="I1747" i="3"/>
  <c r="K1771" i="3"/>
  <c r="J1771" i="3"/>
  <c r="I1771" i="3"/>
  <c r="K1827" i="3"/>
  <c r="J1827" i="3"/>
  <c r="I1827" i="3"/>
  <c r="J2086" i="3"/>
  <c r="K2086" i="3"/>
  <c r="I2086" i="3"/>
  <c r="K1578" i="3"/>
  <c r="J1578" i="3"/>
  <c r="J1587" i="3"/>
  <c r="I1587" i="3"/>
  <c r="K1595" i="3"/>
  <c r="J1595" i="3"/>
  <c r="I1595" i="3"/>
  <c r="K1610" i="3"/>
  <c r="J1610" i="3"/>
  <c r="I1618" i="3"/>
  <c r="J1625" i="3"/>
  <c r="K1635" i="3"/>
  <c r="J1635" i="3"/>
  <c r="I1635" i="3"/>
  <c r="I1642" i="3"/>
  <c r="K1651" i="3"/>
  <c r="J1651" i="3"/>
  <c r="I1651" i="3"/>
  <c r="J1657" i="3"/>
  <c r="K1675" i="3"/>
  <c r="J1675" i="3"/>
  <c r="I1675" i="3"/>
  <c r="K1755" i="3"/>
  <c r="J1755" i="3"/>
  <c r="I1755" i="3"/>
  <c r="K1763" i="3"/>
  <c r="J1763" i="3"/>
  <c r="I1763" i="3"/>
  <c r="K1803" i="3"/>
  <c r="J1803" i="3"/>
  <c r="I1803" i="3"/>
  <c r="K1972" i="3"/>
  <c r="I1972" i="3"/>
  <c r="J1972" i="3"/>
  <c r="I2193" i="3"/>
  <c r="K2193" i="3"/>
  <c r="J2193" i="3"/>
  <c r="I2233" i="3"/>
  <c r="K2233" i="3"/>
  <c r="J2233" i="3"/>
  <c r="I1434" i="3"/>
  <c r="I1442" i="3"/>
  <c r="I1450" i="3"/>
  <c r="I1458" i="3"/>
  <c r="I1466" i="3"/>
  <c r="I1474" i="3"/>
  <c r="I1482" i="3"/>
  <c r="I1490" i="3"/>
  <c r="I1498" i="3"/>
  <c r="I1506" i="3"/>
  <c r="I1514" i="3"/>
  <c r="I1522" i="3"/>
  <c r="I1534" i="3"/>
  <c r="I1550" i="3"/>
  <c r="K1586" i="3"/>
  <c r="J1586" i="3"/>
  <c r="K1602" i="3"/>
  <c r="J1602" i="3"/>
  <c r="K1843" i="3"/>
  <c r="J1843" i="3"/>
  <c r="I1843" i="3"/>
  <c r="I1331" i="3"/>
  <c r="I1339" i="3"/>
  <c r="I1347" i="3"/>
  <c r="I1355" i="3"/>
  <c r="I1363" i="3"/>
  <c r="I1371" i="3"/>
  <c r="I1379" i="3"/>
  <c r="I1387" i="3"/>
  <c r="I1395" i="3"/>
  <c r="I1403" i="3"/>
  <c r="I1411" i="3"/>
  <c r="I1419" i="3"/>
  <c r="I1427" i="3"/>
  <c r="J1434" i="3"/>
  <c r="I1435" i="3"/>
  <c r="J1442" i="3"/>
  <c r="I1443" i="3"/>
  <c r="J1450" i="3"/>
  <c r="I1451" i="3"/>
  <c r="J1458" i="3"/>
  <c r="I1459" i="3"/>
  <c r="J1466" i="3"/>
  <c r="I1467" i="3"/>
  <c r="J1474" i="3"/>
  <c r="I1475" i="3"/>
  <c r="J1482" i="3"/>
  <c r="I1483" i="3"/>
  <c r="J1490" i="3"/>
  <c r="I1491" i="3"/>
  <c r="J1498" i="3"/>
  <c r="I1499" i="3"/>
  <c r="J1506" i="3"/>
  <c r="I1507" i="3"/>
  <c r="J1514" i="3"/>
  <c r="I1515" i="3"/>
  <c r="J1522" i="3"/>
  <c r="I1523" i="3"/>
  <c r="J1534" i="3"/>
  <c r="I1535" i="3"/>
  <c r="J1550" i="3"/>
  <c r="I1551" i="3"/>
  <c r="I1576" i="3"/>
  <c r="I1577" i="3"/>
  <c r="I1583" i="3"/>
  <c r="I1586" i="3"/>
  <c r="K1594" i="3"/>
  <c r="J1594" i="3"/>
  <c r="I1599" i="3"/>
  <c r="I1602" i="3"/>
  <c r="I1608" i="3"/>
  <c r="I1609" i="3"/>
  <c r="K1634" i="3"/>
  <c r="J1634" i="3"/>
  <c r="K1665" i="3"/>
  <c r="I1665" i="3"/>
  <c r="K1683" i="3"/>
  <c r="J1683" i="3"/>
  <c r="I1683" i="3"/>
  <c r="K1819" i="3"/>
  <c r="J1819" i="3"/>
  <c r="I1819" i="3"/>
  <c r="K1859" i="3"/>
  <c r="J1859" i="3"/>
  <c r="I1859" i="3"/>
  <c r="K1875" i="3"/>
  <c r="J1875" i="3"/>
  <c r="I1875" i="3"/>
  <c r="J1958" i="3"/>
  <c r="I1958" i="3"/>
  <c r="K1958" i="3"/>
  <c r="K2074" i="3"/>
  <c r="J2074" i="3"/>
  <c r="I2074" i="3"/>
  <c r="I2103" i="3"/>
  <c r="K2103" i="3"/>
  <c r="J2103" i="3"/>
  <c r="J1331" i="3"/>
  <c r="J1339" i="3"/>
  <c r="J1347" i="3"/>
  <c r="J1355" i="3"/>
  <c r="J1363" i="3"/>
  <c r="J1371" i="3"/>
  <c r="J1379" i="3"/>
  <c r="J1387" i="3"/>
  <c r="J1395" i="3"/>
  <c r="J1403" i="3"/>
  <c r="J1411" i="3"/>
  <c r="J1419" i="3"/>
  <c r="J1427" i="3"/>
  <c r="J1435" i="3"/>
  <c r="J1443" i="3"/>
  <c r="J1451" i="3"/>
  <c r="J1459" i="3"/>
  <c r="J1467" i="3"/>
  <c r="J1475" i="3"/>
  <c r="J1483" i="3"/>
  <c r="J1491" i="3"/>
  <c r="J1499" i="3"/>
  <c r="J1507" i="3"/>
  <c r="J1515" i="3"/>
  <c r="J1523" i="3"/>
  <c r="J1535" i="3"/>
  <c r="J1551" i="3"/>
  <c r="J1576" i="3"/>
  <c r="J1577" i="3"/>
  <c r="J1583" i="3"/>
  <c r="J1599" i="3"/>
  <c r="J1608" i="3"/>
  <c r="J1609" i="3"/>
  <c r="K1627" i="3"/>
  <c r="J1627" i="3"/>
  <c r="I1627" i="3"/>
  <c r="K1659" i="3"/>
  <c r="J1659" i="3"/>
  <c r="I1659" i="3"/>
  <c r="K1691" i="3"/>
  <c r="J1691" i="3"/>
  <c r="I1691" i="3"/>
  <c r="K1795" i="3"/>
  <c r="J1795" i="3"/>
  <c r="I1795" i="3"/>
  <c r="J2156" i="3"/>
  <c r="K2156" i="3"/>
  <c r="I2156" i="3"/>
  <c r="J1537" i="3"/>
  <c r="K1538" i="3"/>
  <c r="K1539" i="3"/>
  <c r="J1553" i="3"/>
  <c r="K1554" i="3"/>
  <c r="K1555" i="3"/>
  <c r="J1585" i="3"/>
  <c r="I1593" i="3"/>
  <c r="J1601" i="3"/>
  <c r="I1633" i="3"/>
  <c r="K1649" i="3"/>
  <c r="I1649" i="3"/>
  <c r="K1673" i="3"/>
  <c r="I1673" i="3"/>
  <c r="K1699" i="3"/>
  <c r="J1699" i="3"/>
  <c r="I1699" i="3"/>
  <c r="K1835" i="3"/>
  <c r="J1835" i="3"/>
  <c r="I1835" i="3"/>
  <c r="J2017" i="3"/>
  <c r="K2017" i="3"/>
  <c r="I2017" i="3"/>
  <c r="I1681" i="3"/>
  <c r="I1689" i="3"/>
  <c r="I1697" i="3"/>
  <c r="I1705" i="3"/>
  <c r="I1713" i="3"/>
  <c r="I1721" i="3"/>
  <c r="I1729" i="3"/>
  <c r="I1737" i="3"/>
  <c r="I1745" i="3"/>
  <c r="I1753" i="3"/>
  <c r="I1761" i="3"/>
  <c r="I1769" i="3"/>
  <c r="I1777" i="3"/>
  <c r="I1785" i="3"/>
  <c r="I1793" i="3"/>
  <c r="I1801" i="3"/>
  <c r="I1809" i="3"/>
  <c r="I1817" i="3"/>
  <c r="I1825" i="3"/>
  <c r="I1833" i="3"/>
  <c r="I1841" i="3"/>
  <c r="I1849" i="3"/>
  <c r="I1857" i="3"/>
  <c r="I1865" i="3"/>
  <c r="I1873" i="3"/>
  <c r="I1961" i="3"/>
  <c r="J1962" i="3"/>
  <c r="I1964" i="3"/>
  <c r="J1990" i="3"/>
  <c r="I1990" i="3"/>
  <c r="K1993" i="3"/>
  <c r="I2001" i="3"/>
  <c r="K2018" i="3"/>
  <c r="I2018" i="3"/>
  <c r="I2033" i="3"/>
  <c r="K2050" i="3"/>
  <c r="J2050" i="3"/>
  <c r="I2050" i="3"/>
  <c r="I2129" i="3"/>
  <c r="K2129" i="3"/>
  <c r="J2129" i="3"/>
  <c r="J1650" i="3"/>
  <c r="J1658" i="3"/>
  <c r="J1666" i="3"/>
  <c r="J1674" i="3"/>
  <c r="J1682" i="3"/>
  <c r="J1690" i="3"/>
  <c r="J1698" i="3"/>
  <c r="J1706" i="3"/>
  <c r="J1714" i="3"/>
  <c r="J1722" i="3"/>
  <c r="J1730" i="3"/>
  <c r="J1738" i="3"/>
  <c r="J1746" i="3"/>
  <c r="J1754" i="3"/>
  <c r="J1762" i="3"/>
  <c r="J1770" i="3"/>
  <c r="J1778" i="3"/>
  <c r="J1786" i="3"/>
  <c r="J1794" i="3"/>
  <c r="J1802" i="3"/>
  <c r="J1810" i="3"/>
  <c r="J1818" i="3"/>
  <c r="J1826" i="3"/>
  <c r="J1834" i="3"/>
  <c r="J1842" i="3"/>
  <c r="J1850" i="3"/>
  <c r="J1858" i="3"/>
  <c r="J1866" i="3"/>
  <c r="J1874" i="3"/>
  <c r="K1957" i="3"/>
  <c r="J1957" i="3"/>
  <c r="K1970" i="3"/>
  <c r="I1970" i="3"/>
  <c r="K1980" i="3"/>
  <c r="I1980" i="3"/>
  <c r="J2006" i="3"/>
  <c r="I2006" i="3"/>
  <c r="K2049" i="3"/>
  <c r="J2049" i="3"/>
  <c r="J2132" i="3"/>
  <c r="K2132" i="3"/>
  <c r="I2132" i="3"/>
  <c r="I1796" i="3"/>
  <c r="I1804" i="3"/>
  <c r="I1812" i="3"/>
  <c r="I1820" i="3"/>
  <c r="I1828" i="3"/>
  <c r="I1836" i="3"/>
  <c r="I1844" i="3"/>
  <c r="I1852" i="3"/>
  <c r="I1860" i="3"/>
  <c r="I1868" i="3"/>
  <c r="I1876" i="3"/>
  <c r="I1881" i="3"/>
  <c r="J1882" i="3"/>
  <c r="I1889" i="3"/>
  <c r="J1890" i="3"/>
  <c r="I1897" i="3"/>
  <c r="J1898" i="3"/>
  <c r="I1905" i="3"/>
  <c r="J1906" i="3"/>
  <c r="I1913" i="3"/>
  <c r="J1914" i="3"/>
  <c r="I1921" i="3"/>
  <c r="J1922" i="3"/>
  <c r="I1929" i="3"/>
  <c r="J1930" i="3"/>
  <c r="I1937" i="3"/>
  <c r="J1938" i="3"/>
  <c r="I1945" i="3"/>
  <c r="J1946" i="3"/>
  <c r="I1953" i="3"/>
  <c r="J1954" i="3"/>
  <c r="I1957" i="3"/>
  <c r="J1970" i="3"/>
  <c r="K1978" i="3"/>
  <c r="I1978" i="3"/>
  <c r="J1980" i="3"/>
  <c r="K1988" i="3"/>
  <c r="I1988" i="3"/>
  <c r="K2006" i="3"/>
  <c r="J2014" i="3"/>
  <c r="I2014" i="3"/>
  <c r="K2042" i="3"/>
  <c r="J2042" i="3"/>
  <c r="I2042" i="3"/>
  <c r="I2049" i="3"/>
  <c r="K2066" i="3"/>
  <c r="J2066" i="3"/>
  <c r="I2066" i="3"/>
  <c r="K2073" i="3"/>
  <c r="J2073" i="3"/>
  <c r="K2085" i="3"/>
  <c r="J2085" i="3"/>
  <c r="J2102" i="3"/>
  <c r="K2102" i="3"/>
  <c r="I2127" i="3"/>
  <c r="K2127" i="3"/>
  <c r="J2127" i="3"/>
  <c r="K2155" i="3"/>
  <c r="J2155" i="3"/>
  <c r="J2196" i="3"/>
  <c r="K2196" i="3"/>
  <c r="I2196" i="3"/>
  <c r="K2244" i="3"/>
  <c r="J2244" i="3"/>
  <c r="I2244" i="3"/>
  <c r="K2276" i="3"/>
  <c r="J2276" i="3"/>
  <c r="I2276" i="3"/>
  <c r="K2308" i="3"/>
  <c r="J2308" i="3"/>
  <c r="I2308" i="3"/>
  <c r="K1986" i="3"/>
  <c r="I1986" i="3"/>
  <c r="K1996" i="3"/>
  <c r="I1996" i="3"/>
  <c r="K2036" i="3"/>
  <c r="J2036" i="3"/>
  <c r="I2036" i="3"/>
  <c r="I2191" i="3"/>
  <c r="K2191" i="3"/>
  <c r="J2191" i="3"/>
  <c r="K2364" i="3"/>
  <c r="J2364" i="3"/>
  <c r="I2364" i="3"/>
  <c r="J2462" i="3"/>
  <c r="K2462" i="3"/>
  <c r="I2462" i="3"/>
  <c r="I1758" i="3"/>
  <c r="I1766" i="3"/>
  <c r="I1774" i="3"/>
  <c r="I1782" i="3"/>
  <c r="I1790" i="3"/>
  <c r="I1798" i="3"/>
  <c r="I1806" i="3"/>
  <c r="I1814" i="3"/>
  <c r="I1822" i="3"/>
  <c r="I1830" i="3"/>
  <c r="I1838" i="3"/>
  <c r="I1846" i="3"/>
  <c r="J1853" i="3"/>
  <c r="I1854" i="3"/>
  <c r="J1861" i="3"/>
  <c r="I1862" i="3"/>
  <c r="J1869" i="3"/>
  <c r="I1870" i="3"/>
  <c r="J1877" i="3"/>
  <c r="K1878" i="3"/>
  <c r="K1879" i="3"/>
  <c r="J1884" i="3"/>
  <c r="J1885" i="3"/>
  <c r="K1886" i="3"/>
  <c r="K1887" i="3"/>
  <c r="J1966" i="3"/>
  <c r="I1966" i="3"/>
  <c r="I1977" i="3"/>
  <c r="J1986" i="3"/>
  <c r="K1994" i="3"/>
  <c r="I1994" i="3"/>
  <c r="J1996" i="3"/>
  <c r="K2004" i="3"/>
  <c r="I2004" i="3"/>
  <c r="K2028" i="3"/>
  <c r="J2028" i="3"/>
  <c r="I2028" i="3"/>
  <c r="K2041" i="3"/>
  <c r="J2041" i="3"/>
  <c r="K2058" i="3"/>
  <c r="J2058" i="3"/>
  <c r="I2058" i="3"/>
  <c r="K2065" i="3"/>
  <c r="J2065" i="3"/>
  <c r="K2084" i="3"/>
  <c r="J2084" i="3"/>
  <c r="K2089" i="3"/>
  <c r="J2089" i="3"/>
  <c r="I2089" i="3"/>
  <c r="K2101" i="3"/>
  <c r="J2101" i="3"/>
  <c r="K2131" i="3"/>
  <c r="J2131" i="3"/>
  <c r="I2131" i="3"/>
  <c r="I2153" i="3"/>
  <c r="K2153" i="3"/>
  <c r="K1965" i="3"/>
  <c r="J1965" i="3"/>
  <c r="J1974" i="3"/>
  <c r="I1974" i="3"/>
  <c r="I1985" i="3"/>
  <c r="J1994" i="3"/>
  <c r="K2002" i="3"/>
  <c r="I2002" i="3"/>
  <c r="J2004" i="3"/>
  <c r="K2012" i="3"/>
  <c r="I2012" i="3"/>
  <c r="K2020" i="3"/>
  <c r="J2020" i="3"/>
  <c r="I2020" i="3"/>
  <c r="K2034" i="3"/>
  <c r="I2034" i="3"/>
  <c r="I2041" i="3"/>
  <c r="I2065" i="3"/>
  <c r="I2084" i="3"/>
  <c r="I2101" i="3"/>
  <c r="J2153" i="3"/>
  <c r="K2173" i="3"/>
  <c r="I2173" i="3"/>
  <c r="J2173" i="3"/>
  <c r="K2195" i="3"/>
  <c r="J2195" i="3"/>
  <c r="I2195" i="3"/>
  <c r="K2235" i="3"/>
  <c r="J2235" i="3"/>
  <c r="I2235" i="3"/>
  <c r="K2356" i="3"/>
  <c r="J2356" i="3"/>
  <c r="I2356" i="3"/>
  <c r="K2389" i="3"/>
  <c r="I2389" i="3"/>
  <c r="J2389" i="3"/>
  <c r="J1982" i="3"/>
  <c r="I1982" i="3"/>
  <c r="K1985" i="3"/>
  <c r="I1993" i="3"/>
  <c r="J2002" i="3"/>
  <c r="K2010" i="3"/>
  <c r="I2010" i="3"/>
  <c r="J2012" i="3"/>
  <c r="K2026" i="3"/>
  <c r="I2026" i="3"/>
  <c r="J2034" i="3"/>
  <c r="K2057" i="3"/>
  <c r="J2057" i="3"/>
  <c r="I2087" i="3"/>
  <c r="K2087" i="3"/>
  <c r="K2100" i="3"/>
  <c r="J2100" i="3"/>
  <c r="K2105" i="3"/>
  <c r="J2105" i="3"/>
  <c r="I2105" i="3"/>
  <c r="K2133" i="3"/>
  <c r="I2133" i="3"/>
  <c r="I2151" i="3"/>
  <c r="K2151" i="3"/>
  <c r="K2253" i="3"/>
  <c r="J2253" i="3"/>
  <c r="I2253" i="3"/>
  <c r="K2285" i="3"/>
  <c r="J2285" i="3"/>
  <c r="I2285" i="3"/>
  <c r="K2317" i="3"/>
  <c r="J2317" i="3"/>
  <c r="I2317" i="3"/>
  <c r="K2482" i="3"/>
  <c r="J2482" i="3"/>
  <c r="I2482" i="3"/>
  <c r="K2521" i="3"/>
  <c r="J2521" i="3"/>
  <c r="I2521" i="3"/>
  <c r="K2541" i="3"/>
  <c r="J2541" i="3"/>
  <c r="I2541" i="3"/>
  <c r="K2149" i="3"/>
  <c r="I2149" i="3"/>
  <c r="I2167" i="3"/>
  <c r="K2167" i="3"/>
  <c r="K2205" i="3"/>
  <c r="J2205" i="3"/>
  <c r="I2205" i="3"/>
  <c r="K2225" i="3"/>
  <c r="J2227" i="3"/>
  <c r="K2265" i="3"/>
  <c r="J2267" i="3"/>
  <c r="K2297" i="3"/>
  <c r="J2299" i="3"/>
  <c r="K2348" i="3"/>
  <c r="J2348" i="3"/>
  <c r="I2348" i="3"/>
  <c r="K2378" i="3"/>
  <c r="J2378" i="3"/>
  <c r="K2410" i="3"/>
  <c r="J2410" i="3"/>
  <c r="I2111" i="3"/>
  <c r="K2111" i="3"/>
  <c r="K2125" i="3"/>
  <c r="I2125" i="3"/>
  <c r="I2143" i="3"/>
  <c r="K2143" i="3"/>
  <c r="K2189" i="3"/>
  <c r="I2189" i="3"/>
  <c r="K2213" i="3"/>
  <c r="J2213" i="3"/>
  <c r="I2213" i="3"/>
  <c r="K2252" i="3"/>
  <c r="J2252" i="3"/>
  <c r="K2261" i="3"/>
  <c r="J2261" i="3"/>
  <c r="I2261" i="3"/>
  <c r="J2273" i="3"/>
  <c r="I2275" i="3"/>
  <c r="K2284" i="3"/>
  <c r="J2284" i="3"/>
  <c r="K2293" i="3"/>
  <c r="J2293" i="3"/>
  <c r="I2293" i="3"/>
  <c r="K2316" i="3"/>
  <c r="J2316" i="3"/>
  <c r="K2340" i="3"/>
  <c r="J2340" i="3"/>
  <c r="I2340" i="3"/>
  <c r="K2355" i="3"/>
  <c r="J2355" i="3"/>
  <c r="K2363" i="3"/>
  <c r="J2363" i="3"/>
  <c r="I2375" i="3"/>
  <c r="J2375" i="3"/>
  <c r="J2388" i="3"/>
  <c r="K2442" i="3"/>
  <c r="J2442" i="3"/>
  <c r="I2442" i="3"/>
  <c r="K2465" i="3"/>
  <c r="J2465" i="3"/>
  <c r="I2465" i="3"/>
  <c r="I2494" i="3"/>
  <c r="J2494" i="3"/>
  <c r="K2494" i="3"/>
  <c r="I2044" i="3"/>
  <c r="I2052" i="3"/>
  <c r="I2119" i="3"/>
  <c r="K2119" i="3"/>
  <c r="K2165" i="3"/>
  <c r="I2165" i="3"/>
  <c r="I2183" i="3"/>
  <c r="K2183" i="3"/>
  <c r="K2204" i="3"/>
  <c r="J2204" i="3"/>
  <c r="K2221" i="3"/>
  <c r="J2221" i="3"/>
  <c r="I2221" i="3"/>
  <c r="K2332" i="3"/>
  <c r="J2332" i="3"/>
  <c r="I2332" i="3"/>
  <c r="K2347" i="3"/>
  <c r="J2347" i="3"/>
  <c r="J2374" i="3"/>
  <c r="I2374" i="3"/>
  <c r="K2395" i="3"/>
  <c r="J2395" i="3"/>
  <c r="I2395" i="3"/>
  <c r="K2141" i="3"/>
  <c r="I2141" i="3"/>
  <c r="I2159" i="3"/>
  <c r="K2159" i="3"/>
  <c r="K2212" i="3"/>
  <c r="J2212" i="3"/>
  <c r="K2229" i="3"/>
  <c r="J2229" i="3"/>
  <c r="I2229" i="3"/>
  <c r="K2260" i="3"/>
  <c r="J2260" i="3"/>
  <c r="K2269" i="3"/>
  <c r="J2269" i="3"/>
  <c r="I2269" i="3"/>
  <c r="K2292" i="3"/>
  <c r="J2292" i="3"/>
  <c r="K2301" i="3"/>
  <c r="J2301" i="3"/>
  <c r="I2301" i="3"/>
  <c r="K2324" i="3"/>
  <c r="J2324" i="3"/>
  <c r="I2324" i="3"/>
  <c r="K2339" i="3"/>
  <c r="J2339" i="3"/>
  <c r="K2373" i="3"/>
  <c r="I2373" i="3"/>
  <c r="J1973" i="3"/>
  <c r="J1981" i="3"/>
  <c r="J1989" i="3"/>
  <c r="J1997" i="3"/>
  <c r="J2005" i="3"/>
  <c r="J2013" i="3"/>
  <c r="J2021" i="3"/>
  <c r="I2022" i="3"/>
  <c r="J2029" i="3"/>
  <c r="I2030" i="3"/>
  <c r="J2037" i="3"/>
  <c r="I2038" i="3"/>
  <c r="J2045" i="3"/>
  <c r="I2046" i="3"/>
  <c r="J2053" i="3"/>
  <c r="I2054" i="3"/>
  <c r="J2061" i="3"/>
  <c r="I2062" i="3"/>
  <c r="J2069" i="3"/>
  <c r="I2070" i="3"/>
  <c r="J2077" i="3"/>
  <c r="K2078" i="3"/>
  <c r="K2079" i="3"/>
  <c r="I2081" i="3"/>
  <c r="J2092" i="3"/>
  <c r="J2093" i="3"/>
  <c r="K2094" i="3"/>
  <c r="K2095" i="3"/>
  <c r="I2097" i="3"/>
  <c r="J2108" i="3"/>
  <c r="J2109" i="3"/>
  <c r="K2110" i="3"/>
  <c r="J2115" i="3"/>
  <c r="I2116" i="3"/>
  <c r="I2117" i="3"/>
  <c r="I2118" i="3"/>
  <c r="K2121" i="3"/>
  <c r="J2123" i="3"/>
  <c r="K2124" i="3"/>
  <c r="I2135" i="3"/>
  <c r="K2135" i="3"/>
  <c r="J2141" i="3"/>
  <c r="J2159" i="3"/>
  <c r="J2161" i="3"/>
  <c r="I2163" i="3"/>
  <c r="I2164" i="3"/>
  <c r="K2181" i="3"/>
  <c r="I2181" i="3"/>
  <c r="J2201" i="3"/>
  <c r="I2203" i="3"/>
  <c r="I2212" i="3"/>
  <c r="K2220" i="3"/>
  <c r="J2220" i="3"/>
  <c r="K2237" i="3"/>
  <c r="J2237" i="3"/>
  <c r="I2237" i="3"/>
  <c r="I2260" i="3"/>
  <c r="I2292" i="3"/>
  <c r="K2331" i="3"/>
  <c r="J2331" i="3"/>
  <c r="I2339" i="3"/>
  <c r="K2394" i="3"/>
  <c r="J2394" i="3"/>
  <c r="I2463" i="3"/>
  <c r="K2463" i="3"/>
  <c r="J2463" i="3"/>
  <c r="J2483" i="3"/>
  <c r="I2483" i="3"/>
  <c r="J2117" i="3"/>
  <c r="K2118" i="3"/>
  <c r="J2135" i="3"/>
  <c r="J2137" i="3"/>
  <c r="I2139" i="3"/>
  <c r="I2140" i="3"/>
  <c r="K2157" i="3"/>
  <c r="I2157" i="3"/>
  <c r="K2161" i="3"/>
  <c r="J2163" i="3"/>
  <c r="K2164" i="3"/>
  <c r="I2175" i="3"/>
  <c r="K2175" i="3"/>
  <c r="J2181" i="3"/>
  <c r="K2201" i="3"/>
  <c r="J2203" i="3"/>
  <c r="J2209" i="3"/>
  <c r="I2211" i="3"/>
  <c r="I2220" i="3"/>
  <c r="K2228" i="3"/>
  <c r="J2228" i="3"/>
  <c r="K2245" i="3"/>
  <c r="J2245" i="3"/>
  <c r="I2245" i="3"/>
  <c r="J2257" i="3"/>
  <c r="I2259" i="3"/>
  <c r="K2268" i="3"/>
  <c r="J2268" i="3"/>
  <c r="K2277" i="3"/>
  <c r="J2277" i="3"/>
  <c r="I2277" i="3"/>
  <c r="J2289" i="3"/>
  <c r="I2291" i="3"/>
  <c r="K2300" i="3"/>
  <c r="J2300" i="3"/>
  <c r="K2309" i="3"/>
  <c r="J2309" i="3"/>
  <c r="I2309" i="3"/>
  <c r="J2321" i="3"/>
  <c r="I2323" i="3"/>
  <c r="I2331" i="3"/>
  <c r="J2337" i="3"/>
  <c r="K2345" i="3"/>
  <c r="J2372" i="3"/>
  <c r="I2391" i="3"/>
  <c r="J2391" i="3"/>
  <c r="I2394" i="3"/>
  <c r="K2483" i="3"/>
  <c r="K2497" i="3"/>
  <c r="J2497" i="3"/>
  <c r="K2509" i="3"/>
  <c r="J2509" i="3"/>
  <c r="I2509" i="3"/>
  <c r="K2197" i="3"/>
  <c r="I2197" i="3"/>
  <c r="K2236" i="3"/>
  <c r="J2236" i="3"/>
  <c r="K2289" i="3"/>
  <c r="J2291" i="3"/>
  <c r="K2321" i="3"/>
  <c r="J2323" i="3"/>
  <c r="K2337" i="3"/>
  <c r="K2372" i="3"/>
  <c r="K2379" i="3"/>
  <c r="J2379" i="3"/>
  <c r="I2379" i="3"/>
  <c r="J2390" i="3"/>
  <c r="I2390" i="3"/>
  <c r="K2411" i="3"/>
  <c r="J2411" i="3"/>
  <c r="I2411" i="3"/>
  <c r="J2443" i="3"/>
  <c r="I2443" i="3"/>
  <c r="K2466" i="3"/>
  <c r="J2466" i="3"/>
  <c r="I2497" i="3"/>
  <c r="K2450" i="3"/>
  <c r="J2450" i="3"/>
  <c r="I2486" i="3"/>
  <c r="J2486" i="3"/>
  <c r="J2499" i="3"/>
  <c r="I2499" i="3"/>
  <c r="K2542" i="3"/>
  <c r="J2542" i="3"/>
  <c r="I2542" i="3"/>
  <c r="K2573" i="3"/>
  <c r="J2573" i="3"/>
  <c r="K2199" i="3"/>
  <c r="K2207" i="3"/>
  <c r="K2215" i="3"/>
  <c r="K2223" i="3"/>
  <c r="K2231" i="3"/>
  <c r="K2239" i="3"/>
  <c r="K2247" i="3"/>
  <c r="K2255" i="3"/>
  <c r="K2263" i="3"/>
  <c r="K2271" i="3"/>
  <c r="K2279" i="3"/>
  <c r="K2287" i="3"/>
  <c r="K2295" i="3"/>
  <c r="K2303" i="3"/>
  <c r="K2311" i="3"/>
  <c r="K2319" i="3"/>
  <c r="K2327" i="3"/>
  <c r="K2335" i="3"/>
  <c r="K2343" i="3"/>
  <c r="K2351" i="3"/>
  <c r="I2405" i="3"/>
  <c r="I2406" i="3"/>
  <c r="J2407" i="3"/>
  <c r="I2450" i="3"/>
  <c r="J2467" i="3"/>
  <c r="I2467" i="3"/>
  <c r="I2470" i="3"/>
  <c r="J2471" i="3"/>
  <c r="I2473" i="3"/>
  <c r="K2486" i="3"/>
  <c r="J2489" i="3"/>
  <c r="K2498" i="3"/>
  <c r="J2498" i="3"/>
  <c r="K2499" i="3"/>
  <c r="J2510" i="3"/>
  <c r="I2510" i="3"/>
  <c r="J2523" i="3"/>
  <c r="I2553" i="3"/>
  <c r="K2554" i="3"/>
  <c r="I2573" i="3"/>
  <c r="J2584" i="3"/>
  <c r="K2590" i="3"/>
  <c r="J2590" i="3"/>
  <c r="I2590" i="3"/>
  <c r="K2637" i="3"/>
  <c r="J2637" i="3"/>
  <c r="J2728" i="3"/>
  <c r="I2728" i="3"/>
  <c r="K2728" i="3"/>
  <c r="J2770" i="3"/>
  <c r="K2770" i="3"/>
  <c r="I2770" i="3"/>
  <c r="J2838" i="3"/>
  <c r="I2838" i="3"/>
  <c r="K2838" i="3"/>
  <c r="J2553" i="3"/>
  <c r="J2571" i="3"/>
  <c r="J2685" i="3"/>
  <c r="K2685" i="3"/>
  <c r="I2685" i="3"/>
  <c r="K2793" i="3"/>
  <c r="J2793" i="3"/>
  <c r="I2793" i="3"/>
  <c r="K2558" i="3"/>
  <c r="J2558" i="3"/>
  <c r="I2558" i="3"/>
  <c r="K2589" i="3"/>
  <c r="J2589" i="3"/>
  <c r="K2606" i="3"/>
  <c r="J2606" i="3"/>
  <c r="I2606" i="3"/>
  <c r="I2767" i="3"/>
  <c r="J2767" i="3"/>
  <c r="K2767" i="3"/>
  <c r="K2829" i="3"/>
  <c r="J2829" i="3"/>
  <c r="I2829" i="3"/>
  <c r="J2459" i="3"/>
  <c r="I2459" i="3"/>
  <c r="J2507" i="3"/>
  <c r="I2517" i="3"/>
  <c r="J2517" i="3"/>
  <c r="J2745" i="3"/>
  <c r="I2745" i="3"/>
  <c r="I2325" i="3"/>
  <c r="I2333" i="3"/>
  <c r="I2341" i="3"/>
  <c r="I2349" i="3"/>
  <c r="I2357" i="3"/>
  <c r="I2365" i="3"/>
  <c r="I2366" i="3"/>
  <c r="J2367" i="3"/>
  <c r="I2380" i="3"/>
  <c r="I2381" i="3"/>
  <c r="I2382" i="3"/>
  <c r="J2383" i="3"/>
  <c r="I2396" i="3"/>
  <c r="I2397" i="3"/>
  <c r="I2398" i="3"/>
  <c r="J2399" i="3"/>
  <c r="I2413" i="3"/>
  <c r="I2414" i="3"/>
  <c r="J2415" i="3"/>
  <c r="I2417" i="3"/>
  <c r="I2418" i="3"/>
  <c r="J2419" i="3"/>
  <c r="I2421" i="3"/>
  <c r="I2422" i="3"/>
  <c r="J2423" i="3"/>
  <c r="I2425" i="3"/>
  <c r="I2426" i="3"/>
  <c r="J2427" i="3"/>
  <c r="I2429" i="3"/>
  <c r="I2430" i="3"/>
  <c r="J2431" i="3"/>
  <c r="I2433" i="3"/>
  <c r="I2434" i="3"/>
  <c r="J2435" i="3"/>
  <c r="I2437" i="3"/>
  <c r="I2438" i="3"/>
  <c r="J2439" i="3"/>
  <c r="I2441" i="3"/>
  <c r="K2458" i="3"/>
  <c r="J2458" i="3"/>
  <c r="K2459" i="3"/>
  <c r="I2478" i="3"/>
  <c r="J2478" i="3"/>
  <c r="I2481" i="3"/>
  <c r="J2491" i="3"/>
  <c r="I2491" i="3"/>
  <c r="I2506" i="3"/>
  <c r="K2507" i="3"/>
  <c r="K2517" i="3"/>
  <c r="J2520" i="3"/>
  <c r="K2526" i="3"/>
  <c r="J2526" i="3"/>
  <c r="I2526" i="3"/>
  <c r="I2538" i="3"/>
  <c r="K2539" i="3"/>
  <c r="K2557" i="3"/>
  <c r="J2557" i="3"/>
  <c r="I2568" i="3"/>
  <c r="J2569" i="3"/>
  <c r="J2587" i="3"/>
  <c r="K2605" i="3"/>
  <c r="J2605" i="3"/>
  <c r="K2622" i="3"/>
  <c r="J2622" i="3"/>
  <c r="I2622" i="3"/>
  <c r="I2683" i="3"/>
  <c r="K2683" i="3"/>
  <c r="J2683" i="3"/>
  <c r="I2688" i="3"/>
  <c r="K2688" i="3"/>
  <c r="J2712" i="3"/>
  <c r="I2712" i="3"/>
  <c r="K2712" i="3"/>
  <c r="K2745" i="3"/>
  <c r="J2325" i="3"/>
  <c r="J2333" i="3"/>
  <c r="J2341" i="3"/>
  <c r="J2349" i="3"/>
  <c r="J2357" i="3"/>
  <c r="J2365" i="3"/>
  <c r="K2366" i="3"/>
  <c r="K2367" i="3"/>
  <c r="J2380" i="3"/>
  <c r="J2381" i="3"/>
  <c r="K2382" i="3"/>
  <c r="K2383" i="3"/>
  <c r="J2396" i="3"/>
  <c r="J2397" i="3"/>
  <c r="K2398" i="3"/>
  <c r="K2399" i="3"/>
  <c r="J2413" i="3"/>
  <c r="K2414" i="3"/>
  <c r="K2415" i="3"/>
  <c r="J2417" i="3"/>
  <c r="K2418" i="3"/>
  <c r="K2419" i="3"/>
  <c r="J2421" i="3"/>
  <c r="K2422" i="3"/>
  <c r="K2423" i="3"/>
  <c r="J2425" i="3"/>
  <c r="K2426" i="3"/>
  <c r="K2427" i="3"/>
  <c r="J2429" i="3"/>
  <c r="K2430" i="3"/>
  <c r="K2431" i="3"/>
  <c r="J2433" i="3"/>
  <c r="K2434" i="3"/>
  <c r="K2435" i="3"/>
  <c r="J2437" i="3"/>
  <c r="K2438" i="3"/>
  <c r="K2439" i="3"/>
  <c r="J2441" i="3"/>
  <c r="J2475" i="3"/>
  <c r="I2475" i="3"/>
  <c r="J2481" i="3"/>
  <c r="K2490" i="3"/>
  <c r="J2490" i="3"/>
  <c r="I2502" i="3"/>
  <c r="J2502" i="3"/>
  <c r="K2506" i="3"/>
  <c r="K2538" i="3"/>
  <c r="J2568" i="3"/>
  <c r="K2574" i="3"/>
  <c r="J2574" i="3"/>
  <c r="I2574" i="3"/>
  <c r="K2587" i="3"/>
  <c r="K2771" i="3"/>
  <c r="I2771" i="3"/>
  <c r="K2809" i="3"/>
  <c r="J2809" i="3"/>
  <c r="I2809" i="3"/>
  <c r="J2451" i="3"/>
  <c r="I2451" i="3"/>
  <c r="K2474" i="3"/>
  <c r="J2474" i="3"/>
  <c r="K2525" i="3"/>
  <c r="J2525" i="3"/>
  <c r="K2621" i="3"/>
  <c r="J2621" i="3"/>
  <c r="K2638" i="3"/>
  <c r="J2638" i="3"/>
  <c r="I2638" i="3"/>
  <c r="J2682" i="3"/>
  <c r="K2682" i="3"/>
  <c r="I2682" i="3"/>
  <c r="K2686" i="3"/>
  <c r="I2686" i="3"/>
  <c r="J2533" i="3"/>
  <c r="J2549" i="3"/>
  <c r="J2565" i="3"/>
  <c r="J2581" i="3"/>
  <c r="J2597" i="3"/>
  <c r="J2613" i="3"/>
  <c r="J2629" i="3"/>
  <c r="J2648" i="3"/>
  <c r="J2649" i="3"/>
  <c r="K2650" i="3"/>
  <c r="K2651" i="3"/>
  <c r="K2653" i="3"/>
  <c r="K2654" i="3"/>
  <c r="I2657" i="3"/>
  <c r="I2658" i="3"/>
  <c r="J2659" i="3"/>
  <c r="I2661" i="3"/>
  <c r="I2669" i="3"/>
  <c r="K2672" i="3"/>
  <c r="K2694" i="3"/>
  <c r="I2694" i="3"/>
  <c r="K2704" i="3"/>
  <c r="K2718" i="3"/>
  <c r="I2718" i="3"/>
  <c r="K2734" i="3"/>
  <c r="I2734" i="3"/>
  <c r="J2761" i="3"/>
  <c r="I2761" i="3"/>
  <c r="K2764" i="3"/>
  <c r="K2787" i="3"/>
  <c r="I2787" i="3"/>
  <c r="I2831" i="3"/>
  <c r="K2831" i="3"/>
  <c r="K2885" i="3"/>
  <c r="J2885" i="3"/>
  <c r="I2885" i="3"/>
  <c r="K2901" i="3"/>
  <c r="J2901" i="3"/>
  <c r="I2901" i="3"/>
  <c r="J2830" i="3"/>
  <c r="K2830" i="3"/>
  <c r="I2839" i="3"/>
  <c r="J2839" i="3"/>
  <c r="K2925" i="3"/>
  <c r="J2925" i="3"/>
  <c r="I2925" i="3"/>
  <c r="K2837" i="3"/>
  <c r="I2837" i="3"/>
  <c r="K2909" i="3"/>
  <c r="J2909" i="3"/>
  <c r="I2909" i="3"/>
  <c r="K2678" i="3"/>
  <c r="I2678" i="3"/>
  <c r="K2710" i="3"/>
  <c r="I2710" i="3"/>
  <c r="K2726" i="3"/>
  <c r="I2726" i="3"/>
  <c r="K2742" i="3"/>
  <c r="I2742" i="3"/>
  <c r="K2755" i="3"/>
  <c r="I2755" i="3"/>
  <c r="J2766" i="3"/>
  <c r="I2766" i="3"/>
  <c r="K2803" i="3"/>
  <c r="I2803" i="3"/>
  <c r="K2870" i="3"/>
  <c r="J2870" i="3"/>
  <c r="I2870" i="3"/>
  <c r="K2877" i="3"/>
  <c r="J2877" i="3"/>
  <c r="I2877" i="3"/>
  <c r="K2893" i="3"/>
  <c r="J2893" i="3"/>
  <c r="I2893" i="3"/>
  <c r="K2934" i="3"/>
  <c r="J2934" i="3"/>
  <c r="I2934" i="3"/>
  <c r="K2982" i="3"/>
  <c r="J2982" i="3"/>
  <c r="I2982" i="3"/>
  <c r="I2751" i="3"/>
  <c r="J2751" i="3"/>
  <c r="K2765" i="3"/>
  <c r="I2765" i="3"/>
  <c r="K2836" i="3"/>
  <c r="I2836" i="3"/>
  <c r="K2846" i="3"/>
  <c r="J2846" i="3"/>
  <c r="I2846" i="3"/>
  <c r="K2670" i="3"/>
  <c r="I2670" i="3"/>
  <c r="I2674" i="3"/>
  <c r="J2675" i="3"/>
  <c r="I2677" i="3"/>
  <c r="K2702" i="3"/>
  <c r="I2702" i="3"/>
  <c r="J2707" i="3"/>
  <c r="I2709" i="3"/>
  <c r="J2723" i="3"/>
  <c r="I2725" i="3"/>
  <c r="J2739" i="3"/>
  <c r="I2741" i="3"/>
  <c r="J2750" i="3"/>
  <c r="I2750" i="3"/>
  <c r="K2751" i="3"/>
  <c r="I2754" i="3"/>
  <c r="J2765" i="3"/>
  <c r="J2777" i="3"/>
  <c r="I2777" i="3"/>
  <c r="I2802" i="3"/>
  <c r="J2836" i="3"/>
  <c r="K2917" i="3"/>
  <c r="J2917" i="3"/>
  <c r="I2917" i="3"/>
  <c r="I2649" i="3"/>
  <c r="I2650" i="3"/>
  <c r="J2651" i="3"/>
  <c r="J2670" i="3"/>
  <c r="J2672" i="3"/>
  <c r="K2674" i="3"/>
  <c r="K2675" i="3"/>
  <c r="K2677" i="3"/>
  <c r="J2702" i="3"/>
  <c r="J2704" i="3"/>
  <c r="K2707" i="3"/>
  <c r="K2709" i="3"/>
  <c r="J2720" i="3"/>
  <c r="I2720" i="3"/>
  <c r="K2723" i="3"/>
  <c r="K2725" i="3"/>
  <c r="J2736" i="3"/>
  <c r="I2736" i="3"/>
  <c r="K2739" i="3"/>
  <c r="K2741" i="3"/>
  <c r="K2749" i="3"/>
  <c r="I2749" i="3"/>
  <c r="K2750" i="3"/>
  <c r="K2754" i="3"/>
  <c r="J2764" i="3"/>
  <c r="K2777" i="3"/>
  <c r="K2802" i="3"/>
  <c r="I2842" i="3"/>
  <c r="J2842" i="3"/>
  <c r="K2861" i="3"/>
  <c r="I2861" i="3"/>
  <c r="K2833" i="3"/>
  <c r="K2834" i="3"/>
  <c r="K2878" i="3"/>
  <c r="J2878" i="3"/>
  <c r="K2886" i="3"/>
  <c r="J2886" i="3"/>
  <c r="K2894" i="3"/>
  <c r="J2894" i="3"/>
  <c r="K2902" i="3"/>
  <c r="J2902" i="3"/>
  <c r="K2910" i="3"/>
  <c r="J2910" i="3"/>
  <c r="K2918" i="3"/>
  <c r="J2918" i="3"/>
  <c r="K2926" i="3"/>
  <c r="J2926" i="3"/>
  <c r="K2990" i="3"/>
  <c r="J2990" i="3"/>
  <c r="K2993" i="3"/>
  <c r="J2993" i="3"/>
  <c r="K2855" i="3"/>
  <c r="J2855" i="3"/>
  <c r="I2855" i="3"/>
  <c r="K2959" i="3"/>
  <c r="J2959" i="3"/>
  <c r="I2959" i="3"/>
  <c r="K2951" i="3"/>
  <c r="J2951" i="3"/>
  <c r="I2951" i="3"/>
  <c r="K2967" i="3"/>
  <c r="J2967" i="3"/>
  <c r="I2967" i="3"/>
  <c r="K2992" i="3"/>
  <c r="J2992" i="3"/>
  <c r="I2992" i="3"/>
  <c r="J2810" i="3"/>
  <c r="I2811" i="3"/>
  <c r="K2854" i="3"/>
  <c r="J2854" i="3"/>
  <c r="K2863" i="3"/>
  <c r="J2863" i="3"/>
  <c r="I2863" i="3"/>
  <c r="K2943" i="3"/>
  <c r="J2943" i="3"/>
  <c r="I2943" i="3"/>
  <c r="K2958" i="3"/>
  <c r="J2958" i="3"/>
  <c r="K2975" i="3"/>
  <c r="J2975" i="3"/>
  <c r="I2975" i="3"/>
  <c r="I2781" i="3"/>
  <c r="I2782" i="3"/>
  <c r="J2783" i="3"/>
  <c r="I2797" i="3"/>
  <c r="I2798" i="3"/>
  <c r="J2799" i="3"/>
  <c r="I2813" i="3"/>
  <c r="I2814" i="3"/>
  <c r="J2815" i="3"/>
  <c r="I2817" i="3"/>
  <c r="J2818" i="3"/>
  <c r="J2850" i="3"/>
  <c r="I2850" i="3"/>
  <c r="I2854" i="3"/>
  <c r="K2871" i="3"/>
  <c r="J2871" i="3"/>
  <c r="I2871" i="3"/>
  <c r="K2935" i="3"/>
  <c r="J2935" i="3"/>
  <c r="I2935" i="3"/>
  <c r="K2950" i="3"/>
  <c r="J2950" i="3"/>
  <c r="I2958" i="3"/>
  <c r="K2966" i="3"/>
  <c r="J2966" i="3"/>
  <c r="K2983" i="3"/>
  <c r="J2983" i="3"/>
  <c r="I2983" i="3"/>
  <c r="J2847" i="3"/>
  <c r="I2847" i="3"/>
  <c r="K2862" i="3"/>
  <c r="J2862" i="3"/>
  <c r="K2879" i="3"/>
  <c r="J2879" i="3"/>
  <c r="I2879" i="3"/>
  <c r="K2887" i="3"/>
  <c r="J2887" i="3"/>
  <c r="I2887" i="3"/>
  <c r="K2895" i="3"/>
  <c r="J2895" i="3"/>
  <c r="I2895" i="3"/>
  <c r="K2903" i="3"/>
  <c r="J2903" i="3"/>
  <c r="I2903" i="3"/>
  <c r="K2911" i="3"/>
  <c r="J2911" i="3"/>
  <c r="I2911" i="3"/>
  <c r="K2919" i="3"/>
  <c r="J2919" i="3"/>
  <c r="I2919" i="3"/>
  <c r="K2927" i="3"/>
  <c r="J2927" i="3"/>
  <c r="I2927" i="3"/>
  <c r="K2942" i="3"/>
  <c r="J2942" i="3"/>
  <c r="K2974" i="3"/>
  <c r="J2974" i="3"/>
  <c r="K2991" i="3"/>
  <c r="J2991" i="3"/>
  <c r="I2991" i="3"/>
  <c r="I42" i="4"/>
  <c r="AI4" i="4"/>
  <c r="AV4" i="4"/>
  <c r="V4" i="4"/>
  <c r="I2905" i="3"/>
  <c r="I2913" i="3"/>
  <c r="I2921" i="3"/>
  <c r="I2929" i="3"/>
  <c r="I2937" i="3"/>
  <c r="I2945" i="3"/>
  <c r="I2953" i="3"/>
  <c r="E42" i="4"/>
  <c r="M42" i="4"/>
  <c r="AE4" i="4"/>
  <c r="I2858" i="3"/>
  <c r="I2866" i="3"/>
  <c r="I2874" i="3"/>
  <c r="J2881" i="3"/>
  <c r="I2882" i="3"/>
  <c r="J2889" i="3"/>
  <c r="I2890" i="3"/>
  <c r="J2897" i="3"/>
  <c r="I2898" i="3"/>
  <c r="J2905" i="3"/>
  <c r="J2913" i="3"/>
  <c r="J2921" i="3"/>
  <c r="J2929" i="3"/>
  <c r="J2937" i="3"/>
  <c r="J2945" i="3"/>
  <c r="J2953" i="3"/>
  <c r="F42" i="4"/>
  <c r="AS4" i="4"/>
  <c r="S4" i="4"/>
  <c r="N42" i="4"/>
  <c r="BA4" i="4"/>
  <c r="AA4" i="4"/>
  <c r="AF4" i="4"/>
  <c r="K3001" i="3"/>
  <c r="J3001" i="3"/>
  <c r="J2994" i="3"/>
  <c r="I2994" i="3"/>
  <c r="H42" i="4"/>
  <c r="AU4" i="4"/>
  <c r="U4" i="4"/>
  <c r="G42" i="4"/>
  <c r="P4" i="4"/>
  <c r="X4" i="4"/>
  <c r="AG4" i="4"/>
  <c r="J42" i="4"/>
  <c r="AJ4" i="4"/>
  <c r="C42" i="4"/>
  <c r="K42" i="4"/>
  <c r="T4" i="4"/>
  <c r="AC4" i="4"/>
  <c r="AK4" i="4"/>
  <c r="AT4" i="4"/>
  <c r="D42" i="4"/>
  <c r="L42" i="4"/>
  <c r="AD4" i="4"/>
  <c r="AL4" i="4"/>
  <c r="A4" i="5"/>
  <c r="C3" i="5"/>
  <c r="J70" i="3" s="1"/>
  <c r="B3" i="5"/>
  <c r="B2" i="5"/>
  <c r="C2" i="5"/>
  <c r="I417" i="3" l="1"/>
  <c r="I400" i="3"/>
  <c r="I35" i="3"/>
  <c r="I859" i="3"/>
  <c r="I819" i="3"/>
  <c r="I841" i="3"/>
  <c r="I839" i="3"/>
  <c r="I849" i="3"/>
  <c r="I625" i="3"/>
  <c r="I793" i="3"/>
  <c r="I693" i="3"/>
  <c r="I629" i="3"/>
  <c r="I492" i="3"/>
  <c r="I529" i="3"/>
  <c r="I691" i="3"/>
  <c r="I751" i="3"/>
  <c r="I567" i="3"/>
  <c r="I580" i="3"/>
  <c r="I203" i="3"/>
  <c r="I323" i="3"/>
  <c r="I9" i="3"/>
  <c r="I909" i="3"/>
  <c r="I851" i="3"/>
  <c r="I831" i="3"/>
  <c r="I843" i="3"/>
  <c r="I644" i="3"/>
  <c r="I672" i="3"/>
  <c r="I481" i="3"/>
  <c r="I553" i="3"/>
  <c r="I687" i="3"/>
  <c r="I562" i="3"/>
  <c r="I577" i="3"/>
  <c r="I656" i="3"/>
  <c r="I501" i="3"/>
  <c r="I379" i="3"/>
  <c r="I253" i="3"/>
  <c r="I200" i="3"/>
  <c r="I395" i="3"/>
  <c r="I496" i="3"/>
  <c r="I373" i="3"/>
  <c r="I243" i="3"/>
  <c r="I212" i="3"/>
  <c r="I386" i="3"/>
  <c r="I8" i="3"/>
  <c r="I885" i="3"/>
  <c r="I884" i="3"/>
  <c r="I832" i="3"/>
  <c r="I892" i="3"/>
  <c r="I563" i="3"/>
  <c r="I570" i="3"/>
  <c r="I422" i="3"/>
  <c r="I576" i="3"/>
  <c r="I499" i="3"/>
  <c r="I233" i="3"/>
  <c r="I161" i="3"/>
  <c r="I371" i="3"/>
  <c r="I202" i="3"/>
  <c r="I210" i="3"/>
  <c r="I12" i="3"/>
  <c r="I176" i="3"/>
  <c r="I345" i="3"/>
  <c r="I781" i="3"/>
  <c r="I663" i="3"/>
  <c r="I310" i="3"/>
  <c r="I231" i="3"/>
  <c r="I247" i="3"/>
  <c r="I466" i="3"/>
  <c r="I425" i="3"/>
  <c r="I189" i="3"/>
  <c r="I186" i="3"/>
  <c r="I396" i="3"/>
  <c r="I183" i="3"/>
  <c r="I82" i="3"/>
  <c r="I738" i="3"/>
  <c r="I866" i="3"/>
  <c r="I923" i="3"/>
  <c r="I880" i="3"/>
  <c r="I922" i="3"/>
  <c r="I749" i="3"/>
  <c r="I825" i="3"/>
  <c r="I721" i="3"/>
  <c r="I657" i="3"/>
  <c r="I863" i="3"/>
  <c r="I603" i="3"/>
  <c r="I624" i="3"/>
  <c r="I653" i="3"/>
  <c r="I700" i="3"/>
  <c r="I655" i="3"/>
  <c r="I530" i="3"/>
  <c r="I366" i="3"/>
  <c r="I302" i="3"/>
  <c r="I230" i="3"/>
  <c r="I220" i="3"/>
  <c r="I134" i="3"/>
  <c r="I378" i="3"/>
  <c r="I344" i="3"/>
  <c r="I185" i="3"/>
  <c r="I197" i="3"/>
  <c r="I739" i="3"/>
  <c r="I858" i="3"/>
  <c r="I489" i="3"/>
  <c r="I668" i="3"/>
  <c r="I358" i="3"/>
  <c r="I222" i="3"/>
  <c r="I519" i="3"/>
  <c r="I357" i="3"/>
  <c r="I229" i="3"/>
  <c r="I333" i="3"/>
  <c r="I211" i="3"/>
  <c r="I500" i="3"/>
  <c r="I147" i="3"/>
  <c r="H49" i="1"/>
  <c r="K70" i="3"/>
  <c r="I919" i="3"/>
  <c r="I824" i="3"/>
  <c r="I750" i="3"/>
  <c r="I756" i="3"/>
  <c r="I911" i="3"/>
  <c r="I768" i="3"/>
  <c r="I873" i="3"/>
  <c r="I806" i="3"/>
  <c r="I540" i="3"/>
  <c r="I449" i="3"/>
  <c r="I636" i="3"/>
  <c r="I632" i="3"/>
  <c r="I547" i="3"/>
  <c r="I626" i="3"/>
  <c r="I542" i="3"/>
  <c r="I471" i="3"/>
  <c r="I767" i="3"/>
  <c r="I707" i="3"/>
  <c r="I669" i="3"/>
  <c r="I571" i="3"/>
  <c r="I491" i="3"/>
  <c r="I747" i="3"/>
  <c r="I569" i="3"/>
  <c r="I446" i="3"/>
  <c r="I144" i="3"/>
  <c r="I528" i="3"/>
  <c r="I392" i="3"/>
  <c r="I335" i="3"/>
  <c r="I157" i="3"/>
  <c r="I375" i="3"/>
  <c r="I313" i="3"/>
  <c r="I84" i="3"/>
  <c r="I506" i="3"/>
  <c r="I544" i="3"/>
  <c r="I488" i="3"/>
  <c r="I836" i="3"/>
  <c r="I808" i="3"/>
  <c r="I170" i="3"/>
  <c r="I109" i="3"/>
  <c r="I525" i="3"/>
  <c r="I380" i="3"/>
  <c r="I320" i="3"/>
  <c r="I209" i="3"/>
  <c r="J6" i="3"/>
  <c r="I363" i="3"/>
  <c r="I336" i="3"/>
  <c r="I301" i="3"/>
  <c r="I279" i="3"/>
  <c r="I217" i="3"/>
  <c r="I91" i="3"/>
  <c r="I42" i="3"/>
  <c r="I20" i="3"/>
  <c r="I27" i="3"/>
  <c r="I80" i="3"/>
  <c r="J4" i="3"/>
  <c r="K4" i="3" s="1"/>
  <c r="I45" i="3"/>
  <c r="I54" i="3"/>
  <c r="I83" i="3"/>
  <c r="I805" i="3"/>
  <c r="I886" i="3"/>
  <c r="I822" i="3"/>
  <c r="I752" i="3"/>
  <c r="I848" i="3"/>
  <c r="I790" i="3"/>
  <c r="I454" i="3"/>
  <c r="I821" i="3"/>
  <c r="I640" i="3"/>
  <c r="I596" i="3"/>
  <c r="I523" i="3"/>
  <c r="I604" i="3"/>
  <c r="I447" i="3"/>
  <c r="I694" i="3"/>
  <c r="I619" i="3"/>
  <c r="I594" i="3"/>
  <c r="I737" i="3"/>
  <c r="I658" i="3"/>
  <c r="I459" i="3"/>
  <c r="I622" i="3"/>
  <c r="I714" i="3"/>
  <c r="I476" i="3"/>
  <c r="I141" i="3"/>
  <c r="I440" i="3"/>
  <c r="I608" i="3"/>
  <c r="I850" i="3"/>
  <c r="I820" i="3"/>
  <c r="I289" i="3"/>
  <c r="I193" i="3"/>
  <c r="I169" i="3"/>
  <c r="I106" i="3"/>
  <c r="I39" i="3"/>
  <c r="I242" i="3"/>
  <c r="I204" i="3"/>
  <c r="J148" i="3"/>
  <c r="K148" i="3" s="1"/>
  <c r="I28" i="3"/>
  <c r="I420" i="3"/>
  <c r="I387" i="3"/>
  <c r="I360" i="3"/>
  <c r="I325" i="3"/>
  <c r="I303" i="3"/>
  <c r="I241" i="3"/>
  <c r="I207" i="3"/>
  <c r="I258" i="3"/>
  <c r="I92" i="3"/>
  <c r="I33" i="3"/>
  <c r="I174" i="3"/>
  <c r="J2" i="3"/>
  <c r="I66" i="3"/>
  <c r="I26" i="3"/>
  <c r="I900" i="3"/>
  <c r="I788" i="3"/>
  <c r="I890" i="3"/>
  <c r="I817" i="3"/>
  <c r="I736" i="3"/>
  <c r="I830" i="3"/>
  <c r="I774" i="3"/>
  <c r="I743" i="3"/>
  <c r="I627" i="3"/>
  <c r="I541" i="3"/>
  <c r="I708" i="3"/>
  <c r="I634" i="3"/>
  <c r="I444" i="3"/>
  <c r="I715" i="3"/>
  <c r="I516" i="3"/>
  <c r="I478" i="3"/>
  <c r="I690" i="3"/>
  <c r="I548" i="3"/>
  <c r="I458" i="3"/>
  <c r="I799" i="3"/>
  <c r="I718" i="3"/>
  <c r="I643" i="3"/>
  <c r="I559" i="3"/>
  <c r="I445" i="3"/>
  <c r="I315" i="3"/>
  <c r="I288" i="3"/>
  <c r="I460" i="3"/>
  <c r="I401" i="3"/>
  <c r="I490" i="3"/>
  <c r="I532" i="3"/>
  <c r="I868" i="3"/>
  <c r="I842" i="3"/>
  <c r="I216" i="3"/>
  <c r="I105" i="3"/>
  <c r="I25" i="3"/>
  <c r="I391" i="3"/>
  <c r="I143" i="3"/>
  <c r="I416" i="3"/>
  <c r="I282" i="3"/>
  <c r="I228" i="3"/>
  <c r="I81" i="3"/>
  <c r="I412" i="3"/>
  <c r="I87" i="3"/>
  <c r="I15" i="3"/>
  <c r="I32" i="3"/>
  <c r="I24" i="3"/>
  <c r="I55" i="3"/>
  <c r="A5" i="5"/>
  <c r="C4" i="5"/>
  <c r="J152" i="3" s="1"/>
  <c r="K152" i="3" s="1"/>
  <c r="B4" i="5"/>
  <c r="J153" i="3"/>
  <c r="K153" i="3" s="1"/>
  <c r="J73" i="3"/>
  <c r="K73" i="3" s="1"/>
  <c r="J112" i="3"/>
  <c r="I796" i="3"/>
  <c r="I732" i="3"/>
  <c r="I771" i="3"/>
  <c r="I901" i="3"/>
  <c r="I899" i="3"/>
  <c r="I914" i="3"/>
  <c r="I827" i="3"/>
  <c r="I733" i="3"/>
  <c r="I853" i="3"/>
  <c r="I835" i="3"/>
  <c r="I921" i="3"/>
  <c r="I898" i="3"/>
  <c r="I778" i="3"/>
  <c r="I740" i="3"/>
  <c r="I913" i="3"/>
  <c r="I837" i="3"/>
  <c r="I920" i="3"/>
  <c r="I916" i="3"/>
  <c r="I903" i="3"/>
  <c r="I758" i="3"/>
  <c r="I777" i="3"/>
  <c r="I699" i="3"/>
  <c r="I661" i="3"/>
  <c r="I522" i="3"/>
  <c r="I652" i="3"/>
  <c r="I593" i="3"/>
  <c r="I463" i="3"/>
  <c r="I723" i="3"/>
  <c r="I564" i="3"/>
  <c r="I666" i="3"/>
  <c r="I508" i="3"/>
  <c r="I442" i="3"/>
  <c r="I664" i="3"/>
  <c r="I630" i="3"/>
  <c r="I535" i="3"/>
  <c r="I418" i="3"/>
  <c r="I815" i="3"/>
  <c r="I769" i="3"/>
  <c r="I722" i="3"/>
  <c r="I612" i="3"/>
  <c r="I545" i="3"/>
  <c r="I483" i="3"/>
  <c r="I457" i="3"/>
  <c r="I278" i="3"/>
  <c r="I701" i="3"/>
  <c r="I589" i="3"/>
  <c r="I601" i="3"/>
  <c r="I502" i="3"/>
  <c r="I234" i="3"/>
  <c r="I328" i="3"/>
  <c r="I293" i="3"/>
  <c r="I175" i="3"/>
  <c r="I415" i="3"/>
  <c r="I311" i="3"/>
  <c r="I249" i="3"/>
  <c r="I68" i="3"/>
  <c r="I512" i="3"/>
  <c r="I439" i="3"/>
  <c r="I464" i="3"/>
  <c r="I728" i="3"/>
  <c r="I860" i="3"/>
  <c r="I370" i="3"/>
  <c r="I316" i="3"/>
  <c r="I283" i="3"/>
  <c r="I256" i="3"/>
  <c r="I221" i="3"/>
  <c r="I201" i="3"/>
  <c r="I125" i="3"/>
  <c r="I65" i="3"/>
  <c r="I332" i="3"/>
  <c r="I299" i="3"/>
  <c r="I272" i="3"/>
  <c r="I237" i="3"/>
  <c r="I215" i="3"/>
  <c r="I133" i="3"/>
  <c r="I76" i="3"/>
  <c r="H48" i="1"/>
  <c r="J150" i="3"/>
  <c r="K150" i="3" s="1"/>
  <c r="I31" i="3"/>
  <c r="I23" i="3"/>
  <c r="I166" i="3"/>
  <c r="I205" i="3"/>
  <c r="I38" i="3"/>
  <c r="I43" i="3"/>
  <c r="I798" i="3"/>
  <c r="I734" i="3"/>
  <c r="N44" i="4"/>
  <c r="I893" i="3"/>
  <c r="I891" i="3"/>
  <c r="I878" i="3"/>
  <c r="I846" i="3"/>
  <c r="I857" i="3"/>
  <c r="I782" i="3"/>
  <c r="I844" i="3"/>
  <c r="I865" i="3"/>
  <c r="I789" i="3"/>
  <c r="I742" i="3"/>
  <c r="I572" i="3"/>
  <c r="I448" i="3"/>
  <c r="I775" i="3"/>
  <c r="I638" i="3"/>
  <c r="I555" i="3"/>
  <c r="I698" i="3"/>
  <c r="I726" i="3"/>
  <c r="I651" i="3"/>
  <c r="I565" i="3"/>
  <c r="I610" i="3"/>
  <c r="I520" i="3"/>
  <c r="I455" i="3"/>
  <c r="I688" i="3"/>
  <c r="I654" i="3"/>
  <c r="I607" i="3"/>
  <c r="I586" i="3"/>
  <c r="I795" i="3"/>
  <c r="I763" i="3"/>
  <c r="I731" i="3"/>
  <c r="I620" i="3"/>
  <c r="J71" i="3"/>
  <c r="K71" i="3" s="1"/>
  <c r="I419" i="3"/>
  <c r="I381" i="3"/>
  <c r="I359" i="3"/>
  <c r="J149" i="3"/>
  <c r="K149" i="3" s="1"/>
  <c r="I250" i="3"/>
  <c r="I37" i="3"/>
  <c r="I290" i="3"/>
  <c r="I236" i="3"/>
  <c r="I101" i="3"/>
  <c r="I524" i="3"/>
  <c r="I450" i="3"/>
  <c r="I480" i="3"/>
  <c r="I744" i="3"/>
  <c r="I404" i="3"/>
  <c r="I309" i="3"/>
  <c r="I287" i="3"/>
  <c r="I225" i="3"/>
  <c r="I158" i="3"/>
  <c r="I21" i="3"/>
  <c r="I140" i="3"/>
  <c r="I85" i="3"/>
  <c r="I514" i="3"/>
  <c r="I356" i="3"/>
  <c r="I296" i="3"/>
  <c r="I261" i="3"/>
  <c r="I239" i="3"/>
  <c r="I171" i="3"/>
  <c r="I122" i="3"/>
  <c r="I129" i="3"/>
  <c r="J72" i="3"/>
  <c r="K72" i="3" s="1"/>
  <c r="C2" i="4"/>
  <c r="I88" i="3"/>
  <c r="J110" i="3"/>
  <c r="K110" i="3" s="1"/>
  <c r="J58" i="3"/>
  <c r="K58" i="3" s="1"/>
  <c r="I6" i="3"/>
  <c r="K6" i="3" s="1"/>
  <c r="I163" i="3"/>
  <c r="J3" i="3"/>
  <c r="K3" i="3" s="1"/>
  <c r="I18" i="3"/>
  <c r="I826" i="3"/>
  <c r="I764" i="3"/>
  <c r="I883" i="3"/>
  <c r="I882" i="3"/>
  <c r="I838" i="3"/>
  <c r="I895" i="3"/>
  <c r="I765" i="3"/>
  <c r="I902" i="3"/>
  <c r="I828" i="3"/>
  <c r="I889" i="3"/>
  <c r="I814" i="3"/>
  <c r="I772" i="3"/>
  <c r="I881" i="3"/>
  <c r="I741" i="3"/>
  <c r="I888" i="3"/>
  <c r="I856" i="3"/>
  <c r="I810" i="3"/>
  <c r="I871" i="3"/>
  <c r="I818" i="3"/>
  <c r="I710" i="3"/>
  <c r="I635" i="3"/>
  <c r="I549" i="3"/>
  <c r="I484" i="3"/>
  <c r="I716" i="3"/>
  <c r="I479" i="3"/>
  <c r="I695" i="3"/>
  <c r="I659" i="3"/>
  <c r="I621" i="3"/>
  <c r="I575" i="3"/>
  <c r="I709" i="3"/>
  <c r="I579" i="3"/>
  <c r="I462" i="3"/>
  <c r="I801" i="3"/>
  <c r="I475" i="3"/>
  <c r="I845" i="3"/>
  <c r="I783" i="3"/>
  <c r="I711" i="3"/>
  <c r="I660" i="3"/>
  <c r="I56" i="3"/>
  <c r="I338" i="3"/>
  <c r="I284" i="3"/>
  <c r="I251" i="3"/>
  <c r="I224" i="3"/>
  <c r="I399" i="3"/>
  <c r="I337" i="3"/>
  <c r="I142" i="3"/>
  <c r="I377" i="3"/>
  <c r="I173" i="3"/>
  <c r="J132" i="3"/>
  <c r="K132" i="3" s="1"/>
  <c r="I451" i="3"/>
  <c r="I552" i="3"/>
  <c r="I760" i="3"/>
  <c r="I443" i="3"/>
  <c r="I560" i="3"/>
  <c r="I421" i="3"/>
  <c r="I349" i="3"/>
  <c r="I327" i="3"/>
  <c r="I69" i="3"/>
  <c r="I472" i="3"/>
  <c r="I218" i="3"/>
  <c r="I121" i="3"/>
  <c r="I49" i="3"/>
  <c r="I365" i="3"/>
  <c r="I343" i="3"/>
  <c r="I281" i="3"/>
  <c r="I159" i="3"/>
  <c r="I34" i="3"/>
  <c r="I16" i="3"/>
  <c r="I30" i="3"/>
  <c r="I19" i="3"/>
  <c r="L44" i="4"/>
  <c r="M44" i="4"/>
  <c r="I877" i="3"/>
  <c r="I875" i="3"/>
  <c r="I912" i="3"/>
  <c r="I864" i="3"/>
  <c r="I812" i="3"/>
  <c r="I780" i="3"/>
  <c r="I748" i="3"/>
  <c r="I906" i="3"/>
  <c r="I766" i="3"/>
  <c r="I896" i="3"/>
  <c r="I800" i="3"/>
  <c r="I905" i="3"/>
  <c r="I811" i="3"/>
  <c r="I546" i="3"/>
  <c r="I470" i="3"/>
  <c r="I807" i="3"/>
  <c r="I717" i="3"/>
  <c r="I487" i="3"/>
  <c r="I441" i="3"/>
  <c r="I550" i="3"/>
  <c r="I495" i="3"/>
  <c r="I696" i="3"/>
  <c r="I662" i="3"/>
  <c r="I623" i="3"/>
  <c r="I628" i="3"/>
  <c r="I511" i="3"/>
  <c r="I474" i="3"/>
  <c r="I431" i="3"/>
  <c r="I735" i="3"/>
  <c r="I557" i="3"/>
  <c r="I494" i="3"/>
  <c r="I692" i="3"/>
  <c r="I618" i="3"/>
  <c r="I598" i="3"/>
  <c r="I527" i="3"/>
  <c r="I410" i="3"/>
  <c r="I100" i="3"/>
  <c r="I146" i="3"/>
  <c r="I291" i="3"/>
  <c r="I13" i="3"/>
  <c r="I22" i="3"/>
  <c r="I568" i="3"/>
  <c r="I584" i="3"/>
  <c r="I776" i="3"/>
  <c r="I353" i="3"/>
  <c r="J94" i="3"/>
  <c r="K94" i="3" s="1"/>
  <c r="I53" i="3"/>
  <c r="I219" i="3"/>
  <c r="I199" i="3"/>
  <c r="I117" i="3"/>
  <c r="I305" i="3"/>
  <c r="J151" i="3"/>
  <c r="K151" i="3" s="1"/>
  <c r="I41" i="3"/>
  <c r="I322" i="3"/>
  <c r="I268" i="3"/>
  <c r="I235" i="3"/>
  <c r="I60" i="3"/>
  <c r="I61" i="3"/>
  <c r="I36" i="3"/>
  <c r="I86" i="3"/>
  <c r="I64" i="3"/>
  <c r="I7" i="3"/>
  <c r="C48" i="4"/>
  <c r="I876" i="3"/>
  <c r="I816" i="3"/>
  <c r="I804" i="3"/>
  <c r="I847" i="3"/>
  <c r="I809" i="3"/>
  <c r="I773" i="3"/>
  <c r="I918" i="3"/>
  <c r="I854" i="3"/>
  <c r="I784" i="3"/>
  <c r="I438" i="3"/>
  <c r="I759" i="3"/>
  <c r="I706" i="3"/>
  <c r="I461" i="3"/>
  <c r="I823" i="3"/>
  <c r="I631" i="3"/>
  <c r="I543" i="3"/>
  <c r="I719" i="3"/>
  <c r="I556" i="3"/>
  <c r="I600" i="3"/>
  <c r="I720" i="3"/>
  <c r="I686" i="3"/>
  <c r="I647" i="3"/>
  <c r="I591" i="3"/>
  <c r="I554" i="3"/>
  <c r="I724" i="3"/>
  <c r="I650" i="3"/>
  <c r="I521" i="3"/>
  <c r="I456" i="3"/>
  <c r="I341" i="3"/>
  <c r="I145" i="3"/>
  <c r="I592" i="3"/>
  <c r="I453" i="3"/>
  <c r="I226" i="3"/>
  <c r="I165" i="3"/>
  <c r="I52" i="3"/>
  <c r="I17" i="3"/>
  <c r="I852" i="3"/>
  <c r="I792" i="3"/>
  <c r="I493" i="3"/>
  <c r="I340" i="3"/>
  <c r="I307" i="3"/>
  <c r="I280" i="3"/>
  <c r="I223" i="3"/>
  <c r="I196" i="3"/>
  <c r="K112" i="3"/>
  <c r="I393" i="3"/>
  <c r="I40" i="3"/>
  <c r="I452" i="3"/>
  <c r="I346" i="3"/>
  <c r="I292" i="3"/>
  <c r="I259" i="3"/>
  <c r="I232" i="3"/>
  <c r="I29" i="3"/>
  <c r="I414" i="3"/>
  <c r="I156" i="3"/>
  <c r="J5" i="3"/>
  <c r="I5" i="3"/>
  <c r="K5" i="3" s="1"/>
  <c r="I123" i="3"/>
  <c r="I118" i="3"/>
  <c r="I44" i="3"/>
  <c r="I14" i="3"/>
  <c r="I11" i="3"/>
  <c r="H50" i="1" l="1"/>
  <c r="K2" i="3"/>
  <c r="G3" i="4"/>
  <c r="K3" i="4"/>
  <c r="C3" i="4"/>
  <c r="L3" i="4"/>
  <c r="J3" i="4"/>
  <c r="F3" i="4"/>
  <c r="D3" i="4"/>
  <c r="M3" i="4"/>
  <c r="N3" i="4"/>
  <c r="H52" i="1"/>
  <c r="H3" i="4"/>
  <c r="I3" i="4"/>
  <c r="E3" i="4"/>
  <c r="J95" i="3"/>
  <c r="K95" i="3" s="1"/>
  <c r="J111" i="3"/>
  <c r="K111" i="3" s="1"/>
  <c r="A6" i="5"/>
  <c r="C5" i="5"/>
  <c r="B5" i="5"/>
  <c r="AN35" i="4" l="1"/>
  <c r="N34" i="4"/>
  <c r="AA33" i="4"/>
  <c r="N29" i="4"/>
  <c r="AA25" i="4"/>
  <c r="N32" i="4"/>
  <c r="AA31" i="4"/>
  <c r="N27" i="4"/>
  <c r="AA23" i="4"/>
  <c r="N33" i="4"/>
  <c r="AA29" i="4"/>
  <c r="N25" i="4"/>
  <c r="N30" i="4"/>
  <c r="AA24" i="4"/>
  <c r="N24" i="4"/>
  <c r="AA19" i="4"/>
  <c r="AA34" i="4"/>
  <c r="N23" i="4"/>
  <c r="N18" i="4"/>
  <c r="AA32" i="4"/>
  <c r="N28" i="4"/>
  <c r="N21" i="4"/>
  <c r="AA17" i="4"/>
  <c r="N13" i="4"/>
  <c r="AA9" i="4"/>
  <c r="AA30" i="4"/>
  <c r="AA28" i="4"/>
  <c r="AA20" i="4"/>
  <c r="N16" i="4"/>
  <c r="AA12" i="4"/>
  <c r="N8" i="4"/>
  <c r="N17" i="4"/>
  <c r="N22" i="4"/>
  <c r="N19" i="4"/>
  <c r="AA27" i="4"/>
  <c r="N15" i="4"/>
  <c r="N10" i="4"/>
  <c r="N7" i="4"/>
  <c r="N5" i="4"/>
  <c r="AA21" i="4"/>
  <c r="AA16" i="4"/>
  <c r="N20" i="4"/>
  <c r="AA14" i="4"/>
  <c r="AA11" i="4"/>
  <c r="AA8" i="4"/>
  <c r="AA6" i="4"/>
  <c r="AA22" i="4"/>
  <c r="N31" i="4"/>
  <c r="AA26" i="4"/>
  <c r="AA18" i="4"/>
  <c r="N14" i="4"/>
  <c r="N12" i="4"/>
  <c r="N11" i="4"/>
  <c r="N9" i="4"/>
  <c r="AA5" i="4"/>
  <c r="N26" i="4"/>
  <c r="N6" i="4"/>
  <c r="AA15" i="4"/>
  <c r="AA13" i="4"/>
  <c r="AA7" i="4"/>
  <c r="AA10" i="4"/>
  <c r="T33" i="4"/>
  <c r="G32" i="4"/>
  <c r="T28" i="4"/>
  <c r="G24" i="4"/>
  <c r="T31" i="4"/>
  <c r="T34" i="4"/>
  <c r="G30" i="4"/>
  <c r="T26" i="4"/>
  <c r="T32" i="4"/>
  <c r="G28" i="4"/>
  <c r="T24" i="4"/>
  <c r="G31" i="4"/>
  <c r="T27" i="4"/>
  <c r="G27" i="4"/>
  <c r="G34" i="4"/>
  <c r="G26" i="4"/>
  <c r="T17" i="4"/>
  <c r="G25" i="4"/>
  <c r="T25" i="4"/>
  <c r="G33" i="4"/>
  <c r="G29" i="4"/>
  <c r="T16" i="4"/>
  <c r="T11" i="4"/>
  <c r="T8" i="4"/>
  <c r="T6" i="4"/>
  <c r="T30" i="4"/>
  <c r="T23" i="4"/>
  <c r="G23" i="4"/>
  <c r="T29" i="4"/>
  <c r="AM35" i="4"/>
  <c r="M34" i="4"/>
  <c r="Z30" i="4"/>
  <c r="M26" i="4"/>
  <c r="Z22" i="4"/>
  <c r="Z33" i="4"/>
  <c r="M32" i="4"/>
  <c r="Z28" i="4"/>
  <c r="M24" i="4"/>
  <c r="Z34" i="4"/>
  <c r="M30" i="4"/>
  <c r="Z26" i="4"/>
  <c r="M22" i="4"/>
  <c r="M20" i="4"/>
  <c r="Z16" i="4"/>
  <c r="Z29" i="4"/>
  <c r="M29" i="4"/>
  <c r="Z24" i="4"/>
  <c r="Z19" i="4"/>
  <c r="M33" i="4"/>
  <c r="Z23" i="4"/>
  <c r="M23" i="4"/>
  <c r="M18" i="4"/>
  <c r="Z14" i="4"/>
  <c r="M10" i="4"/>
  <c r="Z6" i="4"/>
  <c r="Z32" i="4"/>
  <c r="M28" i="4"/>
  <c r="M21" i="4"/>
  <c r="Z17" i="4"/>
  <c r="M13" i="4"/>
  <c r="Z9" i="4"/>
  <c r="M31" i="4"/>
  <c r="Z20" i="4"/>
  <c r="Z18" i="4"/>
  <c r="M27" i="4"/>
  <c r="Z25" i="4"/>
  <c r="M17" i="4"/>
  <c r="M19" i="4"/>
  <c r="Z31" i="4"/>
  <c r="M16" i="4"/>
  <c r="M14" i="4"/>
  <c r="M12" i="4"/>
  <c r="Z11" i="4"/>
  <c r="M11" i="4"/>
  <c r="M9" i="4"/>
  <c r="Z8" i="4"/>
  <c r="M8" i="4"/>
  <c r="M6" i="4"/>
  <c r="Z27" i="4"/>
  <c r="M15" i="4"/>
  <c r="M7" i="4"/>
  <c r="Z15" i="4"/>
  <c r="Z13" i="4"/>
  <c r="Z10" i="4"/>
  <c r="Z7" i="4"/>
  <c r="M5" i="4"/>
  <c r="Z21" i="4"/>
  <c r="M25" i="4"/>
  <c r="Z5" i="4"/>
  <c r="Z12" i="4"/>
  <c r="C6" i="5"/>
  <c r="J7" i="3" s="1"/>
  <c r="B6" i="5"/>
  <c r="A7" i="5"/>
  <c r="J154" i="3"/>
  <c r="K154" i="3" s="1"/>
  <c r="J98" i="3"/>
  <c r="K98" i="3" s="1"/>
  <c r="J59" i="3"/>
  <c r="K59" i="3" s="1"/>
  <c r="J50" i="3"/>
  <c r="K50" i="3" s="1"/>
  <c r="J74" i="3"/>
  <c r="K74" i="3" s="1"/>
  <c r="J96" i="3"/>
  <c r="K96" i="3" s="1"/>
  <c r="J155" i="3"/>
  <c r="K155" i="3" s="1"/>
  <c r="Q32" i="4"/>
  <c r="D31" i="4"/>
  <c r="Q27" i="4"/>
  <c r="D23" i="4"/>
  <c r="D34" i="4"/>
  <c r="Q30" i="4"/>
  <c r="Q33" i="4"/>
  <c r="D29" i="4"/>
  <c r="Q25" i="4"/>
  <c r="Q31" i="4"/>
  <c r="D27" i="4"/>
  <c r="Q23" i="4"/>
  <c r="Q28" i="4"/>
  <c r="D28" i="4"/>
  <c r="D32" i="4"/>
  <c r="Q11" i="4"/>
  <c r="Q26" i="4"/>
  <c r="D26" i="4"/>
  <c r="Q14" i="4"/>
  <c r="D30" i="4"/>
  <c r="D24" i="4"/>
  <c r="Q34" i="4"/>
  <c r="D33" i="4"/>
  <c r="Q24" i="4"/>
  <c r="Q29" i="4"/>
  <c r="D25" i="4"/>
  <c r="Q17" i="4"/>
  <c r="Q8" i="4"/>
  <c r="F34" i="4"/>
  <c r="S33" i="4"/>
  <c r="F29" i="4"/>
  <c r="S25" i="4"/>
  <c r="F32" i="4"/>
  <c r="S31" i="4"/>
  <c r="F27" i="4"/>
  <c r="S23" i="4"/>
  <c r="F33" i="4"/>
  <c r="S29" i="4"/>
  <c r="F25" i="4"/>
  <c r="S28" i="4"/>
  <c r="F31" i="4"/>
  <c r="S27" i="4"/>
  <c r="S26" i="4"/>
  <c r="F26" i="4"/>
  <c r="S17" i="4"/>
  <c r="S34" i="4"/>
  <c r="F23" i="4"/>
  <c r="S32" i="4"/>
  <c r="S21" i="4"/>
  <c r="S16" i="4"/>
  <c r="S14" i="4"/>
  <c r="S11" i="4"/>
  <c r="S8" i="4"/>
  <c r="S30" i="4"/>
  <c r="F30" i="4"/>
  <c r="S24" i="4"/>
  <c r="F24" i="4"/>
  <c r="F28" i="4"/>
  <c r="E34" i="4"/>
  <c r="R30" i="4"/>
  <c r="E26" i="4"/>
  <c r="R33" i="4"/>
  <c r="E32" i="4"/>
  <c r="R28" i="4"/>
  <c r="E24" i="4"/>
  <c r="R34" i="4"/>
  <c r="E30" i="4"/>
  <c r="R26" i="4"/>
  <c r="E28" i="4"/>
  <c r="E27" i="4"/>
  <c r="E31" i="4"/>
  <c r="R27" i="4"/>
  <c r="R31" i="4"/>
  <c r="E25" i="4"/>
  <c r="R17" i="4"/>
  <c r="E29" i="4"/>
  <c r="E23" i="4"/>
  <c r="R25" i="4"/>
  <c r="R29" i="4"/>
  <c r="R23" i="4"/>
  <c r="E33" i="4"/>
  <c r="R11" i="4"/>
  <c r="R8" i="4"/>
  <c r="R24" i="4"/>
  <c r="R32" i="4"/>
  <c r="W34" i="4"/>
  <c r="J33" i="4"/>
  <c r="W29" i="4"/>
  <c r="J25" i="4"/>
  <c r="W32" i="4"/>
  <c r="J31" i="4"/>
  <c r="W27" i="4"/>
  <c r="J23" i="4"/>
  <c r="W33" i="4"/>
  <c r="J29" i="4"/>
  <c r="W25" i="4"/>
  <c r="J32" i="4"/>
  <c r="W26" i="4"/>
  <c r="W31" i="4"/>
  <c r="J24" i="4"/>
  <c r="J30" i="4"/>
  <c r="W24" i="4"/>
  <c r="W16" i="4"/>
  <c r="J28" i="4"/>
  <c r="W23" i="4"/>
  <c r="W28" i="4"/>
  <c r="J26" i="4"/>
  <c r="W9" i="4"/>
  <c r="W7" i="4"/>
  <c r="W6" i="4"/>
  <c r="J34" i="4"/>
  <c r="J27" i="4"/>
  <c r="W20" i="4"/>
  <c r="W30" i="4"/>
  <c r="V34" i="4"/>
  <c r="I30" i="4"/>
  <c r="V26" i="4"/>
  <c r="I33" i="4"/>
  <c r="V32" i="4"/>
  <c r="I28" i="4"/>
  <c r="V24" i="4"/>
  <c r="I34" i="4"/>
  <c r="V30" i="4"/>
  <c r="I26" i="4"/>
  <c r="V20" i="4"/>
  <c r="I32" i="4"/>
  <c r="V25" i="4"/>
  <c r="I25" i="4"/>
  <c r="V31" i="4"/>
  <c r="I29" i="4"/>
  <c r="I24" i="4"/>
  <c r="V21" i="4"/>
  <c r="V27" i="4"/>
  <c r="I31" i="4"/>
  <c r="V28" i="4"/>
  <c r="I23" i="4"/>
  <c r="V33" i="4"/>
  <c r="V23" i="4"/>
  <c r="V16" i="4"/>
  <c r="V6" i="4"/>
  <c r="V29" i="4"/>
  <c r="I27" i="4"/>
  <c r="Y32" i="4"/>
  <c r="AL35" i="4"/>
  <c r="L31" i="4"/>
  <c r="Y27" i="4"/>
  <c r="L23" i="4"/>
  <c r="L34" i="4"/>
  <c r="Y30" i="4"/>
  <c r="Y33" i="4"/>
  <c r="L29" i="4"/>
  <c r="Y25" i="4"/>
  <c r="Y31" i="4"/>
  <c r="L27" i="4"/>
  <c r="Y23" i="4"/>
  <c r="Y21" i="4"/>
  <c r="L17" i="4"/>
  <c r="L30" i="4"/>
  <c r="L24" i="4"/>
  <c r="L20" i="4"/>
  <c r="Y16" i="4"/>
  <c r="Y34" i="4"/>
  <c r="Y29" i="4"/>
  <c r="Y24" i="4"/>
  <c r="Y19" i="4"/>
  <c r="L15" i="4"/>
  <c r="Y11" i="4"/>
  <c r="L7" i="4"/>
  <c r="L33" i="4"/>
  <c r="L18" i="4"/>
  <c r="Y14" i="4"/>
  <c r="L10" i="4"/>
  <c r="Y6" i="4"/>
  <c r="L28" i="4"/>
  <c r="Y26" i="4"/>
  <c r="Y20" i="4"/>
  <c r="Y18" i="4"/>
  <c r="L22" i="4"/>
  <c r="Y17" i="4"/>
  <c r="L25" i="4"/>
  <c r="Y22" i="4"/>
  <c r="Y15" i="4"/>
  <c r="Y13" i="4"/>
  <c r="L13" i="4"/>
  <c r="Y10" i="4"/>
  <c r="Y7" i="4"/>
  <c r="Y5" i="4"/>
  <c r="L16" i="4"/>
  <c r="L14" i="4"/>
  <c r="L12" i="4"/>
  <c r="L11" i="4"/>
  <c r="L9" i="4"/>
  <c r="Y8" i="4"/>
  <c r="L8" i="4"/>
  <c r="Y12" i="4"/>
  <c r="Y9" i="4"/>
  <c r="L19" i="4"/>
  <c r="L5" i="4"/>
  <c r="L32" i="4"/>
  <c r="Y28" i="4"/>
  <c r="L26" i="4"/>
  <c r="L21" i="4"/>
  <c r="L6" i="4"/>
  <c r="H32" i="4"/>
  <c r="U31" i="4"/>
  <c r="H27" i="4"/>
  <c r="U23" i="4"/>
  <c r="U34" i="4"/>
  <c r="H30" i="4"/>
  <c r="H33" i="4"/>
  <c r="U29" i="4"/>
  <c r="H25" i="4"/>
  <c r="H31" i="4"/>
  <c r="U27" i="4"/>
  <c r="H23" i="4"/>
  <c r="H34" i="4"/>
  <c r="U33" i="4"/>
  <c r="H26" i="4"/>
  <c r="U17" i="4"/>
  <c r="U26" i="4"/>
  <c r="U25" i="4"/>
  <c r="U32" i="4"/>
  <c r="U16" i="4"/>
  <c r="U11" i="4"/>
  <c r="U8" i="4"/>
  <c r="U6" i="4"/>
  <c r="H28" i="4"/>
  <c r="U24" i="4"/>
  <c r="H24" i="4"/>
  <c r="U30" i="4"/>
  <c r="H29" i="4"/>
  <c r="U28" i="4"/>
  <c r="C33" i="4"/>
  <c r="P32" i="4"/>
  <c r="C28" i="4"/>
  <c r="P24" i="4"/>
  <c r="C31" i="4"/>
  <c r="C34" i="4"/>
  <c r="P30" i="4"/>
  <c r="C26" i="4"/>
  <c r="C32" i="4"/>
  <c r="P28" i="4"/>
  <c r="C24" i="4"/>
  <c r="P29" i="4"/>
  <c r="P23" i="4"/>
  <c r="C23" i="4"/>
  <c r="P33" i="4"/>
  <c r="P21" i="4"/>
  <c r="C27" i="4"/>
  <c r="P8" i="4"/>
  <c r="P27" i="4"/>
  <c r="P11" i="4"/>
  <c r="C30" i="4"/>
  <c r="C29" i="4"/>
  <c r="P26" i="4"/>
  <c r="P31" i="4"/>
  <c r="P25" i="4"/>
  <c r="P34" i="4"/>
  <c r="C25" i="4"/>
  <c r="P17" i="4"/>
  <c r="K33" i="4"/>
  <c r="X32" i="4"/>
  <c r="K28" i="4"/>
  <c r="X24" i="4"/>
  <c r="K31" i="4"/>
  <c r="K34" i="4"/>
  <c r="X30" i="4"/>
  <c r="K26" i="4"/>
  <c r="K32" i="4"/>
  <c r="X28" i="4"/>
  <c r="K24" i="4"/>
  <c r="X31" i="4"/>
  <c r="X25" i="4"/>
  <c r="K25" i="4"/>
  <c r="X21" i="4"/>
  <c r="K30" i="4"/>
  <c r="K29" i="4"/>
  <c r="X16" i="4"/>
  <c r="X34" i="4"/>
  <c r="X29" i="4"/>
  <c r="X23" i="4"/>
  <c r="K23" i="4"/>
  <c r="X11" i="4"/>
  <c r="X26" i="4"/>
  <c r="X33" i="4"/>
  <c r="K27" i="4"/>
  <c r="X20" i="4"/>
  <c r="X6" i="4"/>
  <c r="X7" i="4"/>
  <c r="X27" i="4"/>
  <c r="AJ31" i="4" l="1"/>
  <c r="AW31" i="4"/>
  <c r="AS33" i="4"/>
  <c r="AF33" i="4"/>
  <c r="AF34" i="4"/>
  <c r="AS34" i="4"/>
  <c r="AQ25" i="4"/>
  <c r="AD25" i="4"/>
  <c r="AQ26" i="4"/>
  <c r="AD26" i="4"/>
  <c r="AZ14" i="4"/>
  <c r="AM14" i="4"/>
  <c r="AM34" i="4"/>
  <c r="AZ34" i="4"/>
  <c r="AT27" i="4"/>
  <c r="AG27" i="4"/>
  <c r="BA12" i="4"/>
  <c r="AN12" i="4"/>
  <c r="BA15" i="4"/>
  <c r="AN15" i="4"/>
  <c r="BA25" i="4"/>
  <c r="AN25" i="4"/>
  <c r="AN29" i="4"/>
  <c r="BA29" i="4"/>
  <c r="AC27" i="4"/>
  <c r="AP27" i="4"/>
  <c r="AC31" i="4"/>
  <c r="AP31" i="4"/>
  <c r="AX25" i="4"/>
  <c r="AK25" i="4"/>
  <c r="BC25" i="4"/>
  <c r="AK34" i="4"/>
  <c r="AX34" i="4"/>
  <c r="BC34" i="4"/>
  <c r="AC26" i="4"/>
  <c r="AP26" i="4"/>
  <c r="AU23" i="4"/>
  <c r="AH23" i="4"/>
  <c r="AY21" i="4"/>
  <c r="AL21" i="4"/>
  <c r="AY8" i="4"/>
  <c r="AL8" i="4"/>
  <c r="AL22" i="4"/>
  <c r="AY22" i="4"/>
  <c r="AL18" i="4"/>
  <c r="AY18" i="4"/>
  <c r="AY27" i="4"/>
  <c r="AL27" i="4"/>
  <c r="AP23" i="4"/>
  <c r="AC23" i="4"/>
  <c r="AH27" i="4"/>
  <c r="AU27" i="4"/>
  <c r="AY26" i="4"/>
  <c r="AL26" i="4"/>
  <c r="AY33" i="4"/>
  <c r="AL33" i="4"/>
  <c r="AL31" i="4"/>
  <c r="AY31" i="4"/>
  <c r="AV31" i="4"/>
  <c r="AI31" i="4"/>
  <c r="AV29" i="4"/>
  <c r="AI29" i="4"/>
  <c r="AV25" i="4"/>
  <c r="AI25" i="4"/>
  <c r="AR33" i="4"/>
  <c r="AE33" i="4"/>
  <c r="AR30" i="4"/>
  <c r="AE30" i="4"/>
  <c r="AE26" i="4"/>
  <c r="AR26" i="4"/>
  <c r="AQ28" i="4"/>
  <c r="AD28" i="4"/>
  <c r="AD29" i="4"/>
  <c r="AQ29" i="4"/>
  <c r="M37" i="4"/>
  <c r="M35" i="4"/>
  <c r="AM5" i="4"/>
  <c r="M36" i="4"/>
  <c r="AZ5" i="4"/>
  <c r="AZ6" i="4"/>
  <c r="AM6" i="4"/>
  <c r="AZ16" i="4"/>
  <c r="AM16" i="4"/>
  <c r="AM31" i="4"/>
  <c r="AZ31" i="4"/>
  <c r="AM10" i="4"/>
  <c r="AZ10" i="4"/>
  <c r="AZ29" i="4"/>
  <c r="AM29" i="4"/>
  <c r="AM24" i="4"/>
  <c r="AZ24" i="4"/>
  <c r="BA14" i="4"/>
  <c r="AN14" i="4"/>
  <c r="AN18" i="4"/>
  <c r="BA18" i="4"/>
  <c r="AX32" i="4"/>
  <c r="AK32" i="4"/>
  <c r="BC32" i="4"/>
  <c r="AV24" i="4"/>
  <c r="AI24" i="4"/>
  <c r="AV34" i="4"/>
  <c r="AI34" i="4"/>
  <c r="AK31" i="4"/>
  <c r="AX31" i="4"/>
  <c r="BC31" i="4"/>
  <c r="AX27" i="4"/>
  <c r="AK27" i="4"/>
  <c r="BC27" i="4"/>
  <c r="AX23" i="4"/>
  <c r="AK23" i="4"/>
  <c r="BC23" i="4"/>
  <c r="AK29" i="4"/>
  <c r="AX29" i="4"/>
  <c r="BC29" i="4"/>
  <c r="AC34" i="4"/>
  <c r="AP34" i="4"/>
  <c r="AU31" i="4"/>
  <c r="AH31" i="4"/>
  <c r="AY9" i="4"/>
  <c r="AL9" i="4"/>
  <c r="AY13" i="4"/>
  <c r="AL13" i="4"/>
  <c r="AL7" i="4"/>
  <c r="AY7" i="4"/>
  <c r="AL20" i="4"/>
  <c r="AY20" i="4"/>
  <c r="AI23" i="4"/>
  <c r="AV23" i="4"/>
  <c r="AI28" i="4"/>
  <c r="AV28" i="4"/>
  <c r="AJ28" i="4"/>
  <c r="AW28" i="4"/>
  <c r="AW32" i="4"/>
  <c r="AJ32" i="4"/>
  <c r="AJ25" i="4"/>
  <c r="AW25" i="4"/>
  <c r="AF27" i="4"/>
  <c r="AS27" i="4"/>
  <c r="AQ24" i="4"/>
  <c r="AD24" i="4"/>
  <c r="AZ8" i="4"/>
  <c r="AM8" i="4"/>
  <c r="AG25" i="4"/>
  <c r="AT25" i="4"/>
  <c r="AT31" i="4"/>
  <c r="AG31" i="4"/>
  <c r="AG24" i="4"/>
  <c r="AT24" i="4"/>
  <c r="BA20" i="4"/>
  <c r="AN20" i="4"/>
  <c r="BA19" i="4"/>
  <c r="AN19" i="4"/>
  <c r="BA23" i="4"/>
  <c r="AN23" i="4"/>
  <c r="BA33" i="4"/>
  <c r="AN33" i="4"/>
  <c r="BA34" i="4"/>
  <c r="AN34" i="4"/>
  <c r="AX30" i="4"/>
  <c r="AK30" i="4"/>
  <c r="BC30" i="4"/>
  <c r="AX24" i="4"/>
  <c r="AK24" i="4"/>
  <c r="BC24" i="4"/>
  <c r="AH25" i="4"/>
  <c r="AU25" i="4"/>
  <c r="AH32" i="4"/>
  <c r="AU32" i="4"/>
  <c r="AY32" i="4"/>
  <c r="AL32" i="4"/>
  <c r="AY11" i="4"/>
  <c r="AL11" i="4"/>
  <c r="AL24" i="4"/>
  <c r="AY24" i="4"/>
  <c r="AL29" i="4"/>
  <c r="AY29" i="4"/>
  <c r="AV32" i="4"/>
  <c r="AI32" i="4"/>
  <c r="AJ24" i="4"/>
  <c r="AW24" i="4"/>
  <c r="AR31" i="4"/>
  <c r="AE31" i="4"/>
  <c r="AE24" i="4"/>
  <c r="AR24" i="4"/>
  <c r="AE34" i="4"/>
  <c r="AR34" i="4"/>
  <c r="AF24" i="4"/>
  <c r="AS24" i="4"/>
  <c r="AS31" i="4"/>
  <c r="AF31" i="4"/>
  <c r="AQ30" i="4"/>
  <c r="AD30" i="4"/>
  <c r="AZ19" i="4"/>
  <c r="AM19" i="4"/>
  <c r="AM13" i="4"/>
  <c r="AZ13" i="4"/>
  <c r="AM18" i="4"/>
  <c r="AZ18" i="4"/>
  <c r="AM32" i="4"/>
  <c r="AZ32" i="4"/>
  <c r="BA6" i="4"/>
  <c r="AN6" i="4"/>
  <c r="BA22" i="4"/>
  <c r="AN22" i="4"/>
  <c r="AK28" i="4"/>
  <c r="AX28" i="4"/>
  <c r="BC28" i="4"/>
  <c r="AC29" i="4"/>
  <c r="AP29" i="4"/>
  <c r="AP24" i="4"/>
  <c r="AC24" i="4"/>
  <c r="AU28" i="4"/>
  <c r="AH28" i="4"/>
  <c r="L37" i="4"/>
  <c r="L36" i="4"/>
  <c r="L35" i="4"/>
  <c r="AY5" i="4"/>
  <c r="AL5" i="4"/>
  <c r="AY12" i="4"/>
  <c r="AL12" i="4"/>
  <c r="AL28" i="4"/>
  <c r="AY28" i="4"/>
  <c r="AL15" i="4"/>
  <c r="AY15" i="4"/>
  <c r="AY30" i="4"/>
  <c r="AL30" i="4"/>
  <c r="AV27" i="4"/>
  <c r="AI27" i="4"/>
  <c r="AI33" i="4"/>
  <c r="AV33" i="4"/>
  <c r="AW29" i="4"/>
  <c r="AJ29" i="4"/>
  <c r="AJ33" i="4"/>
  <c r="AW33" i="4"/>
  <c r="AE25" i="4"/>
  <c r="AR25" i="4"/>
  <c r="AS23" i="4"/>
  <c r="AF23" i="4"/>
  <c r="AF32" i="4"/>
  <c r="AS32" i="4"/>
  <c r="AD34" i="4"/>
  <c r="AQ34" i="4"/>
  <c r="AZ9" i="4"/>
  <c r="AM9" i="4"/>
  <c r="AZ17" i="4"/>
  <c r="AM17" i="4"/>
  <c r="AZ23" i="4"/>
  <c r="AM23" i="4"/>
  <c r="AM20" i="4"/>
  <c r="AZ20" i="4"/>
  <c r="AT28" i="4"/>
  <c r="AG28" i="4"/>
  <c r="AG32" i="4"/>
  <c r="AT32" i="4"/>
  <c r="BA26" i="4"/>
  <c r="AN26" i="4"/>
  <c r="BA31" i="4"/>
  <c r="AN31" i="4"/>
  <c r="BA17" i="4"/>
  <c r="AN17" i="4"/>
  <c r="AN13" i="4"/>
  <c r="BA13" i="4"/>
  <c r="AN27" i="4"/>
  <c r="BA27" i="4"/>
  <c r="AH26" i="4"/>
  <c r="AU26" i="4"/>
  <c r="AH33" i="4"/>
  <c r="AU33" i="4"/>
  <c r="AY19" i="4"/>
  <c r="AL19" i="4"/>
  <c r="AY14" i="4"/>
  <c r="AL14" i="4"/>
  <c r="AL17" i="4"/>
  <c r="AY17" i="4"/>
  <c r="AW30" i="4"/>
  <c r="AJ30" i="4"/>
  <c r="AE27" i="4"/>
  <c r="AR27" i="4"/>
  <c r="AE32" i="4"/>
  <c r="AR32" i="4"/>
  <c r="AF28" i="4"/>
  <c r="AS28" i="4"/>
  <c r="AQ33" i="4"/>
  <c r="AD33" i="4"/>
  <c r="AD23" i="4"/>
  <c r="AQ23" i="4"/>
  <c r="A8" i="5"/>
  <c r="C7" i="5"/>
  <c r="J41" i="3" s="1"/>
  <c r="K41" i="3" s="1"/>
  <c r="B7" i="5"/>
  <c r="AZ11" i="4"/>
  <c r="AM11" i="4"/>
  <c r="AM21" i="4"/>
  <c r="AZ21" i="4"/>
  <c r="AZ22" i="4"/>
  <c r="AM22" i="4"/>
  <c r="J75" i="3"/>
  <c r="K75" i="3" s="1"/>
  <c r="AG23" i="4"/>
  <c r="AT23" i="4"/>
  <c r="AT26" i="4"/>
  <c r="AG26" i="4"/>
  <c r="AA35" i="4"/>
  <c r="N37" i="4"/>
  <c r="N36" i="4"/>
  <c r="N35" i="4"/>
  <c r="AN5" i="4"/>
  <c r="BA5" i="4"/>
  <c r="AN8" i="4"/>
  <c r="BA8" i="4"/>
  <c r="BA24" i="4"/>
  <c r="AN24" i="4"/>
  <c r="AK26" i="4"/>
  <c r="AX26" i="4"/>
  <c r="BC26" i="4"/>
  <c r="AK33" i="4"/>
  <c r="AX33" i="4"/>
  <c r="BC33" i="4"/>
  <c r="AC25" i="4"/>
  <c r="AP25" i="4"/>
  <c r="AP30" i="4"/>
  <c r="AC30" i="4"/>
  <c r="AP32" i="4"/>
  <c r="AC32" i="4"/>
  <c r="AH30" i="4"/>
  <c r="AU30" i="4"/>
  <c r="AY16" i="4"/>
  <c r="AL16" i="4"/>
  <c r="AY25" i="4"/>
  <c r="AL25" i="4"/>
  <c r="AL10" i="4"/>
  <c r="AY10" i="4"/>
  <c r="AL34" i="4"/>
  <c r="AY34" i="4"/>
  <c r="AV26" i="4"/>
  <c r="AI26" i="4"/>
  <c r="AI30" i="4"/>
  <c r="AV30" i="4"/>
  <c r="AW27" i="4"/>
  <c r="AJ27" i="4"/>
  <c r="AJ26" i="4"/>
  <c r="AW26" i="4"/>
  <c r="AJ23" i="4"/>
  <c r="AW23" i="4"/>
  <c r="AR23" i="4"/>
  <c r="AE23" i="4"/>
  <c r="AS25" i="4"/>
  <c r="AF25" i="4"/>
  <c r="AF29" i="4"/>
  <c r="AS29" i="4"/>
  <c r="AQ32" i="4"/>
  <c r="AD32" i="4"/>
  <c r="AQ27" i="4"/>
  <c r="AD27" i="4"/>
  <c r="J113" i="3"/>
  <c r="K113" i="3" s="1"/>
  <c r="Z35" i="4"/>
  <c r="AZ7" i="4"/>
  <c r="AM7" i="4"/>
  <c r="AM27" i="4"/>
  <c r="AZ27" i="4"/>
  <c r="AZ28" i="4"/>
  <c r="AM28" i="4"/>
  <c r="AZ33" i="4"/>
  <c r="AM33" i="4"/>
  <c r="AM26" i="4"/>
  <c r="AZ26" i="4"/>
  <c r="AG29" i="4"/>
  <c r="AT29" i="4"/>
  <c r="AT34" i="4"/>
  <c r="AG34" i="4"/>
  <c r="BA9" i="4"/>
  <c r="AN9" i="4"/>
  <c r="BA7" i="4"/>
  <c r="AN7" i="4"/>
  <c r="AN21" i="4"/>
  <c r="BA21" i="4"/>
  <c r="AN32" i="4"/>
  <c r="BA32" i="4"/>
  <c r="AC28" i="4"/>
  <c r="AP28" i="4"/>
  <c r="AU29" i="4"/>
  <c r="AH29" i="4"/>
  <c r="AC33" i="4"/>
  <c r="AP33" i="4"/>
  <c r="AH24" i="4"/>
  <c r="AU24" i="4"/>
  <c r="AU34" i="4"/>
  <c r="AH34" i="4"/>
  <c r="AY6" i="4"/>
  <c r="AL6" i="4"/>
  <c r="Y35" i="4"/>
  <c r="AL23" i="4"/>
  <c r="AY23" i="4"/>
  <c r="AW34" i="4"/>
  <c r="AJ34" i="4"/>
  <c r="AE29" i="4"/>
  <c r="AR29" i="4"/>
  <c r="AR28" i="4"/>
  <c r="AE28" i="4"/>
  <c r="AF30" i="4"/>
  <c r="AS30" i="4"/>
  <c r="AS26" i="4"/>
  <c r="AF26" i="4"/>
  <c r="AD31" i="4"/>
  <c r="AQ31" i="4"/>
  <c r="K7" i="3"/>
  <c r="AZ25" i="4"/>
  <c r="AM25" i="4"/>
  <c r="AZ15" i="4"/>
  <c r="AM15" i="4"/>
  <c r="AZ12" i="4"/>
  <c r="AM12" i="4"/>
  <c r="AZ30" i="4"/>
  <c r="AM30" i="4"/>
  <c r="AT33" i="4"/>
  <c r="AG33" i="4"/>
  <c r="AG30" i="4"/>
  <c r="AT30" i="4"/>
  <c r="BA11" i="4"/>
  <c r="AN11" i="4"/>
  <c r="BA10" i="4"/>
  <c r="AN10" i="4"/>
  <c r="AN16" i="4"/>
  <c r="BA16" i="4"/>
  <c r="AN28" i="4"/>
  <c r="BA28" i="4"/>
  <c r="BA30" i="4"/>
  <c r="AN30" i="4"/>
  <c r="BF29" i="4" l="1"/>
  <c r="BD29" i="4"/>
  <c r="BE29" i="4"/>
  <c r="BF32" i="4"/>
  <c r="BE32" i="4"/>
  <c r="BD32" i="4"/>
  <c r="BF33" i="4"/>
  <c r="BE33" i="4"/>
  <c r="BD33" i="4"/>
  <c r="BE31" i="4"/>
  <c r="BD31" i="4"/>
  <c r="BF31" i="4"/>
  <c r="J156" i="3"/>
  <c r="K156" i="3" s="1"/>
  <c r="J8" i="3"/>
  <c r="BD34" i="4"/>
  <c r="BF34" i="4"/>
  <c r="BE34" i="4"/>
  <c r="A9" i="5"/>
  <c r="C8" i="5"/>
  <c r="J133" i="3" s="1"/>
  <c r="K133" i="3" s="1"/>
  <c r="B8" i="5"/>
  <c r="J60" i="3"/>
  <c r="K60" i="3" s="1"/>
  <c r="J76" i="3"/>
  <c r="K76" i="3" s="1"/>
  <c r="J97" i="3"/>
  <c r="K97" i="3" s="1"/>
  <c r="P6" i="4" s="1"/>
  <c r="J51" i="3"/>
  <c r="K51" i="3" s="1"/>
  <c r="J61" i="3"/>
  <c r="K61" i="3" s="1"/>
  <c r="J9" i="3"/>
  <c r="K9" i="3" s="1"/>
  <c r="J46" i="3"/>
  <c r="K46" i="3" s="1"/>
  <c r="J99" i="3"/>
  <c r="K99" i="3" s="1"/>
  <c r="J114" i="3"/>
  <c r="K114" i="3" s="1"/>
  <c r="J10" i="3"/>
  <c r="K10" i="3" s="1"/>
  <c r="J103" i="3"/>
  <c r="K103" i="3" s="1"/>
  <c r="J53" i="3"/>
  <c r="K53" i="3" s="1"/>
  <c r="J100" i="3"/>
  <c r="K100" i="3" s="1"/>
  <c r="J13" i="3"/>
  <c r="K13" i="3" s="1"/>
  <c r="J52" i="3"/>
  <c r="K52" i="3" s="1"/>
  <c r="L39" i="4"/>
  <c r="L40" i="4"/>
  <c r="L38" i="4"/>
  <c r="BE24" i="4"/>
  <c r="BD24" i="4"/>
  <c r="BF24" i="4"/>
  <c r="BD23" i="4"/>
  <c r="BF23" i="4"/>
  <c r="BE23" i="4"/>
  <c r="BE26" i="4"/>
  <c r="BF26" i="4"/>
  <c r="BD26" i="4"/>
  <c r="AY35" i="4"/>
  <c r="AZ35" i="4"/>
  <c r="BF25" i="4"/>
  <c r="BD25" i="4"/>
  <c r="BE25" i="4"/>
  <c r="BA35" i="4"/>
  <c r="BF28" i="4"/>
  <c r="BE28" i="4"/>
  <c r="BD28" i="4"/>
  <c r="BE30" i="4"/>
  <c r="BF30" i="4"/>
  <c r="BD30" i="4"/>
  <c r="BF27" i="4"/>
  <c r="BD27" i="4"/>
  <c r="BE27" i="4"/>
  <c r="N39" i="4"/>
  <c r="N40" i="4"/>
  <c r="N38" i="4"/>
  <c r="M39" i="4"/>
  <c r="M40" i="4"/>
  <c r="M38" i="4"/>
  <c r="K8" i="3" l="1"/>
  <c r="J157" i="3"/>
  <c r="K157" i="3" s="1"/>
  <c r="J14" i="3"/>
  <c r="K14" i="3" s="1"/>
  <c r="B9" i="5"/>
  <c r="A10" i="5"/>
  <c r="C9" i="5"/>
  <c r="J15" i="3"/>
  <c r="K15" i="3" s="1"/>
  <c r="J17" i="3" l="1"/>
  <c r="K17" i="3" s="1"/>
  <c r="J134" i="3"/>
  <c r="K134" i="3" s="1"/>
  <c r="J16" i="3"/>
  <c r="K16" i="3" s="1"/>
  <c r="A11" i="5"/>
  <c r="C10" i="5"/>
  <c r="B10" i="5"/>
  <c r="A12" i="5" l="1"/>
  <c r="C11" i="5"/>
  <c r="B11" i="5"/>
  <c r="A13" i="5" l="1"/>
  <c r="C12" i="5"/>
  <c r="B12" i="5"/>
  <c r="A14" i="5" l="1"/>
  <c r="C13" i="5"/>
  <c r="B13" i="5"/>
  <c r="C14" i="5" l="1"/>
  <c r="B14" i="5"/>
  <c r="A15" i="5"/>
  <c r="A16" i="5" l="1"/>
  <c r="C15" i="5"/>
  <c r="B15" i="5"/>
  <c r="A17" i="5" l="1"/>
  <c r="C16" i="5"/>
  <c r="B16" i="5"/>
  <c r="B17" i="5" l="1"/>
  <c r="A18" i="5"/>
  <c r="C17" i="5"/>
  <c r="A19" i="5" l="1"/>
  <c r="C18" i="5"/>
  <c r="B18" i="5"/>
  <c r="A20" i="5" l="1"/>
  <c r="C19" i="5"/>
  <c r="B19" i="5"/>
  <c r="A21" i="5" l="1"/>
  <c r="C20" i="5"/>
  <c r="B20" i="5"/>
  <c r="A22" i="5" l="1"/>
  <c r="C21" i="5"/>
  <c r="B21" i="5"/>
  <c r="B22" i="5" l="1"/>
  <c r="A23" i="5"/>
  <c r="A24" i="5" l="1"/>
  <c r="C23" i="5"/>
  <c r="B23" i="5"/>
  <c r="A25" i="5" l="1"/>
  <c r="C24" i="5"/>
  <c r="B24" i="5"/>
  <c r="B25" i="5" l="1"/>
  <c r="A26" i="5"/>
  <c r="C25" i="5"/>
  <c r="A27" i="5" l="1"/>
  <c r="C26" i="5"/>
  <c r="B26" i="5"/>
  <c r="A28" i="5" l="1"/>
  <c r="C27" i="5"/>
  <c r="B27" i="5"/>
  <c r="A29" i="5" l="1"/>
  <c r="C28" i="5"/>
  <c r="B28" i="5"/>
  <c r="A30" i="5" l="1"/>
  <c r="C29" i="5"/>
  <c r="B29" i="5"/>
  <c r="C30" i="5" l="1"/>
  <c r="B30" i="5"/>
  <c r="A31" i="5"/>
  <c r="A32" i="5" l="1"/>
  <c r="C31" i="5"/>
  <c r="B31" i="5"/>
  <c r="A33" i="5" l="1"/>
  <c r="C32" i="5"/>
  <c r="B32" i="5"/>
  <c r="B33" i="5" l="1"/>
  <c r="A34" i="5"/>
  <c r="C33" i="5"/>
  <c r="A35" i="5" l="1"/>
  <c r="C34" i="5"/>
  <c r="B34" i="5"/>
  <c r="A36" i="5" l="1"/>
  <c r="C35" i="5"/>
  <c r="B35" i="5"/>
  <c r="A37" i="5" l="1"/>
  <c r="C36" i="5"/>
  <c r="B36" i="5"/>
  <c r="A38" i="5" l="1"/>
  <c r="C37" i="5"/>
  <c r="B37" i="5"/>
  <c r="C38" i="5" l="1"/>
  <c r="B38" i="5"/>
  <c r="A39" i="5"/>
  <c r="A40" i="5" l="1"/>
  <c r="C39" i="5"/>
  <c r="B39" i="5"/>
  <c r="A41" i="5" l="1"/>
  <c r="C40" i="5"/>
  <c r="B40" i="5"/>
  <c r="B41" i="5" l="1"/>
  <c r="A42" i="5"/>
  <c r="C41" i="5"/>
  <c r="A43" i="5" l="1"/>
  <c r="C42" i="5"/>
  <c r="B42" i="5"/>
  <c r="A44" i="5" l="1"/>
  <c r="C43" i="5"/>
  <c r="B43" i="5"/>
  <c r="A45" i="5" l="1"/>
  <c r="C44" i="5"/>
  <c r="B44" i="5"/>
  <c r="A46" i="5" l="1"/>
  <c r="C45" i="5"/>
  <c r="B45" i="5"/>
  <c r="C46" i="5" l="1"/>
  <c r="B46" i="5"/>
  <c r="A47" i="5"/>
  <c r="A48" i="5" l="1"/>
  <c r="C47" i="5"/>
  <c r="B47" i="5"/>
  <c r="A49" i="5" l="1"/>
  <c r="C48" i="5"/>
  <c r="B48" i="5"/>
  <c r="B49" i="5" l="1"/>
  <c r="A50" i="5"/>
  <c r="C49" i="5"/>
  <c r="A51" i="5" l="1"/>
  <c r="C50" i="5"/>
  <c r="B50" i="5"/>
  <c r="A52" i="5" l="1"/>
  <c r="C51" i="5"/>
  <c r="B51" i="5"/>
  <c r="A53" i="5" l="1"/>
  <c r="C52" i="5"/>
  <c r="B52" i="5"/>
  <c r="A54" i="5" l="1"/>
  <c r="C53" i="5"/>
  <c r="B53" i="5"/>
  <c r="A55" i="5" l="1"/>
  <c r="B54" i="5"/>
  <c r="C54" i="5"/>
  <c r="B55" i="5" l="1"/>
  <c r="A56" i="5"/>
  <c r="C55" i="5"/>
  <c r="A57" i="5" l="1"/>
  <c r="C56" i="5"/>
  <c r="B56" i="5"/>
  <c r="C57" i="5" l="1"/>
  <c r="A58" i="5"/>
  <c r="B57" i="5"/>
  <c r="C58" i="5" l="1"/>
  <c r="B58" i="5"/>
  <c r="A59" i="5"/>
  <c r="C59" i="5" l="1"/>
  <c r="A60" i="5"/>
  <c r="B59" i="5"/>
  <c r="B60" i="5" l="1"/>
  <c r="A61" i="5"/>
  <c r="C60" i="5"/>
  <c r="A62" i="5" l="1"/>
  <c r="C61" i="5"/>
  <c r="B61" i="5"/>
  <c r="A63" i="5" l="1"/>
  <c r="B62" i="5"/>
  <c r="C62" i="5"/>
  <c r="A64" i="5" l="1"/>
  <c r="C63" i="5"/>
  <c r="B63" i="5"/>
  <c r="A65" i="5" l="1"/>
  <c r="C64" i="5"/>
  <c r="B64" i="5"/>
  <c r="C65" i="5" l="1"/>
  <c r="A66" i="5"/>
  <c r="B65" i="5"/>
  <c r="A67" i="5" l="1"/>
  <c r="C66" i="5"/>
  <c r="B66" i="5"/>
  <c r="C67" i="5" l="1"/>
  <c r="A68" i="5"/>
  <c r="B67" i="5"/>
  <c r="B68" i="5" l="1"/>
  <c r="A69" i="5"/>
  <c r="C68" i="5"/>
  <c r="B69" i="5" l="1"/>
  <c r="A70" i="5"/>
  <c r="C69" i="5"/>
  <c r="A71" i="5" l="1"/>
  <c r="B70" i="5"/>
  <c r="C70" i="5"/>
  <c r="A72" i="5" l="1"/>
  <c r="C71" i="5"/>
  <c r="B71" i="5"/>
  <c r="A73" i="5" l="1"/>
  <c r="C72" i="5"/>
  <c r="B72" i="5"/>
  <c r="C73" i="5" l="1"/>
  <c r="A74" i="5"/>
  <c r="B73" i="5"/>
  <c r="A75" i="5" l="1"/>
  <c r="C74" i="5"/>
  <c r="B74" i="5"/>
  <c r="C75" i="5" l="1"/>
  <c r="A76" i="5"/>
  <c r="B75" i="5"/>
  <c r="B76" i="5" l="1"/>
  <c r="C76" i="5"/>
  <c r="A77" i="5"/>
  <c r="A78" i="5" l="1"/>
  <c r="C77" i="5"/>
  <c r="B77" i="5"/>
  <c r="A79" i="5" l="1"/>
  <c r="B78" i="5"/>
  <c r="C78" i="5"/>
  <c r="A80" i="5" l="1"/>
  <c r="C79" i="5"/>
  <c r="B79" i="5"/>
  <c r="A81" i="5" l="1"/>
  <c r="C80" i="5"/>
  <c r="B80" i="5"/>
  <c r="C81" i="5" l="1"/>
  <c r="A82" i="5"/>
  <c r="B81" i="5"/>
  <c r="A83" i="5" l="1"/>
  <c r="C82" i="5"/>
  <c r="B82" i="5"/>
  <c r="C83" i="5" l="1"/>
  <c r="B83" i="5"/>
  <c r="A84" i="5"/>
  <c r="B84" i="5" l="1"/>
  <c r="A85" i="5"/>
  <c r="C84" i="5"/>
  <c r="A86" i="5" l="1"/>
  <c r="C85" i="5"/>
  <c r="B85" i="5"/>
  <c r="A87" i="5" l="1"/>
  <c r="B86" i="5"/>
  <c r="C86" i="5"/>
  <c r="B87" i="5" l="1"/>
  <c r="A88" i="5"/>
  <c r="C87" i="5"/>
  <c r="A89" i="5" l="1"/>
  <c r="C88" i="5"/>
  <c r="B88" i="5"/>
  <c r="C89" i="5" l="1"/>
  <c r="A90" i="5"/>
  <c r="B89" i="5"/>
  <c r="C90" i="5" l="1"/>
  <c r="B90" i="5"/>
  <c r="A91" i="5"/>
  <c r="C91" i="5" l="1"/>
  <c r="A92" i="5"/>
  <c r="B91" i="5"/>
  <c r="B92" i="5" l="1"/>
  <c r="A93" i="5"/>
  <c r="C92" i="5"/>
  <c r="A94" i="5" l="1"/>
  <c r="C93" i="5"/>
  <c r="B93" i="5"/>
  <c r="A95" i="5" l="1"/>
  <c r="B94" i="5"/>
  <c r="C94" i="5"/>
  <c r="A96" i="5" l="1"/>
  <c r="C95" i="5"/>
  <c r="B95" i="5"/>
  <c r="A97" i="5" l="1"/>
  <c r="C96" i="5"/>
  <c r="B96" i="5"/>
  <c r="C97" i="5" l="1"/>
  <c r="A98" i="5"/>
  <c r="B97" i="5"/>
  <c r="A99" i="5" l="1"/>
  <c r="C98" i="5"/>
  <c r="B98" i="5"/>
  <c r="C99" i="5" l="1"/>
  <c r="A100" i="5"/>
  <c r="B99" i="5"/>
  <c r="B100" i="5" l="1"/>
  <c r="A101" i="5"/>
  <c r="C100" i="5"/>
  <c r="B101" i="5" l="1"/>
  <c r="A102" i="5"/>
  <c r="C101" i="5"/>
  <c r="A103" i="5" l="1"/>
  <c r="B102" i="5"/>
  <c r="C102" i="5"/>
  <c r="A104" i="5" l="1"/>
  <c r="C103" i="5"/>
  <c r="B103" i="5"/>
  <c r="A105" i="5" l="1"/>
  <c r="C104" i="5"/>
  <c r="B104" i="5"/>
  <c r="C105" i="5" l="1"/>
  <c r="B105" i="5"/>
  <c r="A106" i="5"/>
  <c r="A107" i="5" l="1"/>
  <c r="C106" i="5"/>
  <c r="B106" i="5"/>
  <c r="A108" i="5" l="1"/>
  <c r="C107" i="5"/>
  <c r="B107" i="5"/>
  <c r="B108" i="5" l="1"/>
  <c r="A109" i="5"/>
  <c r="C108" i="5"/>
  <c r="C109" i="5" l="1"/>
  <c r="A110" i="5"/>
  <c r="B109" i="5"/>
  <c r="A111" i="5" l="1"/>
  <c r="C110" i="5"/>
  <c r="B110" i="5"/>
  <c r="A112" i="5" l="1"/>
  <c r="C111" i="5"/>
  <c r="B111" i="5"/>
  <c r="B112" i="5" l="1"/>
  <c r="A113" i="5"/>
  <c r="C112" i="5"/>
  <c r="A114" i="5" l="1"/>
  <c r="B113" i="5"/>
  <c r="C113" i="5"/>
  <c r="B114" i="5" l="1"/>
  <c r="A115" i="5"/>
  <c r="C114" i="5"/>
  <c r="A116" i="5" l="1"/>
  <c r="C115" i="5"/>
  <c r="B115" i="5"/>
  <c r="C116" i="5" l="1"/>
  <c r="A117" i="5"/>
  <c r="B116" i="5"/>
  <c r="C117" i="5" l="1"/>
  <c r="B117" i="5"/>
  <c r="A118" i="5"/>
  <c r="C118" i="5" l="1"/>
  <c r="A119" i="5"/>
  <c r="B118" i="5"/>
  <c r="B119" i="5" l="1"/>
  <c r="C119" i="5"/>
  <c r="A120" i="5"/>
  <c r="A121" i="5" l="1"/>
  <c r="C120" i="5"/>
  <c r="B120" i="5"/>
  <c r="A122" i="5" l="1"/>
  <c r="B121" i="5"/>
  <c r="C121" i="5"/>
  <c r="A123" i="5" l="1"/>
  <c r="C122" i="5"/>
  <c r="B122" i="5"/>
  <c r="A124" i="5" l="1"/>
  <c r="C123" i="5"/>
  <c r="B123" i="5"/>
  <c r="C124" i="5" l="1"/>
  <c r="A125" i="5"/>
  <c r="B124" i="5"/>
  <c r="A126" i="5" l="1"/>
  <c r="C125" i="5"/>
  <c r="B125" i="5"/>
  <c r="C126" i="5" l="1"/>
  <c r="B126" i="5"/>
  <c r="A127" i="5"/>
  <c r="B127" i="5" l="1"/>
  <c r="A128" i="5"/>
  <c r="C127" i="5"/>
  <c r="B128" i="5" l="1"/>
  <c r="A129" i="5"/>
  <c r="C128" i="5"/>
  <c r="A130" i="5" l="1"/>
  <c r="B129" i="5"/>
  <c r="C129" i="5"/>
  <c r="B130" i="5" l="1"/>
  <c r="A131" i="5"/>
  <c r="C130" i="5"/>
  <c r="A132" i="5" l="1"/>
  <c r="C131" i="5"/>
  <c r="B131" i="5"/>
  <c r="C132" i="5" l="1"/>
  <c r="A133" i="5"/>
  <c r="B132" i="5"/>
  <c r="C133" i="5" l="1"/>
  <c r="A134" i="5"/>
  <c r="B133" i="5"/>
  <c r="C134" i="5" l="1"/>
  <c r="A135" i="5"/>
  <c r="B134" i="5"/>
  <c r="B135" i="5" l="1"/>
  <c r="C135" i="5"/>
  <c r="A136" i="5"/>
  <c r="A137" i="5" l="1"/>
  <c r="C136" i="5"/>
  <c r="B136" i="5"/>
  <c r="A138" i="5" l="1"/>
  <c r="B137" i="5"/>
  <c r="C137" i="5"/>
  <c r="A139" i="5" l="1"/>
  <c r="C138" i="5"/>
  <c r="B138" i="5"/>
  <c r="A140" i="5" l="1"/>
  <c r="C139" i="5"/>
  <c r="B139" i="5"/>
  <c r="C140" i="5" l="1"/>
  <c r="A141" i="5"/>
  <c r="B140" i="5"/>
  <c r="B141" i="5" l="1"/>
  <c r="A142" i="5"/>
  <c r="C141" i="5"/>
  <c r="A143" i="5" l="1"/>
  <c r="C142" i="5"/>
  <c r="B142" i="5"/>
  <c r="A144" i="5" l="1"/>
  <c r="C143" i="5"/>
  <c r="B143" i="5"/>
  <c r="A145" i="5" l="1"/>
  <c r="C144" i="5"/>
  <c r="B144" i="5"/>
  <c r="A146" i="5" l="1"/>
  <c r="C145" i="5"/>
  <c r="B145" i="5"/>
  <c r="C146" i="5" l="1"/>
  <c r="A147" i="5"/>
  <c r="B146" i="5"/>
  <c r="B147" i="5" l="1"/>
  <c r="A148" i="5"/>
  <c r="C147" i="5"/>
  <c r="A149" i="5" l="1"/>
  <c r="C148" i="5"/>
  <c r="B148" i="5"/>
  <c r="B149" i="5" l="1"/>
  <c r="A150" i="5"/>
  <c r="C149" i="5"/>
  <c r="A151" i="5" l="1"/>
  <c r="C150" i="5"/>
  <c r="B150" i="5"/>
  <c r="A152" i="5" l="1"/>
  <c r="C151" i="5"/>
  <c r="B151" i="5"/>
  <c r="A153" i="5" l="1"/>
  <c r="B152" i="5"/>
  <c r="C152" i="5"/>
  <c r="B153" i="5" l="1"/>
  <c r="A154" i="5"/>
  <c r="C153" i="5"/>
  <c r="C154" i="5" l="1"/>
  <c r="A155" i="5"/>
  <c r="B154" i="5"/>
  <c r="A156" i="5" l="1"/>
  <c r="B155" i="5"/>
  <c r="C155" i="5"/>
  <c r="A157" i="5" l="1"/>
  <c r="C156" i="5"/>
  <c r="B156" i="5"/>
  <c r="B157" i="5" l="1"/>
  <c r="A158" i="5"/>
  <c r="C157" i="5"/>
  <c r="A159" i="5" l="1"/>
  <c r="B158" i="5"/>
  <c r="C158" i="5"/>
  <c r="A160" i="5" l="1"/>
  <c r="B159" i="5"/>
  <c r="C159" i="5"/>
  <c r="A161" i="5" l="1"/>
  <c r="C160" i="5"/>
  <c r="B160" i="5"/>
  <c r="A162" i="5" l="1"/>
  <c r="B161" i="5"/>
  <c r="C161" i="5"/>
  <c r="C162" i="5" l="1"/>
  <c r="A163" i="5"/>
  <c r="B162" i="5"/>
  <c r="B163" i="5" l="1"/>
  <c r="A164" i="5"/>
  <c r="C163" i="5"/>
  <c r="A165" i="5" l="1"/>
  <c r="B164" i="5"/>
  <c r="C164" i="5"/>
  <c r="B165" i="5" l="1"/>
  <c r="C165" i="5"/>
  <c r="A166" i="5"/>
  <c r="A167" i="5" l="1"/>
  <c r="C166" i="5"/>
  <c r="B166" i="5"/>
  <c r="A168" i="5" l="1"/>
  <c r="B167" i="5"/>
  <c r="C167" i="5"/>
  <c r="B168" i="5" l="1"/>
  <c r="A169" i="5"/>
  <c r="C168" i="5"/>
  <c r="B169" i="5" l="1"/>
  <c r="A170" i="5"/>
  <c r="C169" i="5"/>
  <c r="C170" i="5" l="1"/>
  <c r="B170" i="5"/>
  <c r="A171" i="5"/>
  <c r="B171" i="5" l="1"/>
  <c r="C171" i="5"/>
  <c r="A172" i="5"/>
  <c r="A173" i="5" l="1"/>
  <c r="C172" i="5"/>
  <c r="B172" i="5"/>
  <c r="B173" i="5" l="1"/>
  <c r="C173" i="5"/>
  <c r="A174" i="5"/>
  <c r="B174" i="5" l="1"/>
  <c r="A175" i="5"/>
  <c r="C174" i="5"/>
  <c r="A176" i="5" l="1"/>
  <c r="B175" i="5"/>
  <c r="C175" i="5"/>
  <c r="C176" i="5" l="1"/>
  <c r="A177" i="5"/>
  <c r="B176" i="5"/>
  <c r="B177" i="5" l="1"/>
  <c r="C177" i="5"/>
  <c r="A178" i="5"/>
  <c r="C178" i="5" l="1"/>
  <c r="A179" i="5"/>
  <c r="B178" i="5"/>
  <c r="C179" i="5" l="1"/>
  <c r="B179" i="5"/>
  <c r="A180" i="5"/>
  <c r="B180" i="5" l="1"/>
  <c r="A181" i="5"/>
  <c r="C180" i="5"/>
  <c r="B181" i="5" l="1"/>
  <c r="C181" i="5"/>
  <c r="A182" i="5"/>
  <c r="C182" i="5" l="1"/>
  <c r="A183" i="5"/>
  <c r="B182" i="5"/>
  <c r="A184" i="5" l="1"/>
  <c r="B183" i="5"/>
  <c r="C183" i="5"/>
  <c r="A185" i="5" l="1"/>
  <c r="C184" i="5"/>
  <c r="B184" i="5"/>
  <c r="C185" i="5" l="1"/>
  <c r="B185" i="5"/>
  <c r="A186" i="5"/>
  <c r="C186" i="5" l="1"/>
  <c r="B186" i="5"/>
  <c r="A187" i="5"/>
  <c r="C187" i="5" l="1"/>
  <c r="B187" i="5"/>
  <c r="A188" i="5"/>
  <c r="C188" i="5" l="1"/>
  <c r="A189" i="5"/>
  <c r="B188" i="5"/>
  <c r="B189" i="5" l="1"/>
  <c r="C189" i="5"/>
  <c r="A190" i="5"/>
  <c r="A191" i="5" l="1"/>
  <c r="C190" i="5"/>
  <c r="B190" i="5"/>
  <c r="A192" i="5" l="1"/>
  <c r="C191" i="5"/>
  <c r="B191" i="5"/>
  <c r="C192" i="5" l="1"/>
  <c r="A193" i="5"/>
  <c r="B192" i="5"/>
  <c r="C193" i="5" l="1"/>
  <c r="A194" i="5"/>
  <c r="B193" i="5"/>
  <c r="C194" i="5" l="1"/>
  <c r="A195" i="5"/>
  <c r="B194" i="5"/>
  <c r="C195" i="5" l="1"/>
  <c r="A196" i="5"/>
  <c r="B195" i="5"/>
  <c r="A197" i="5" l="1"/>
  <c r="C196" i="5"/>
  <c r="B196" i="5"/>
  <c r="B197" i="5" l="1"/>
  <c r="A198" i="5"/>
  <c r="C197" i="5"/>
  <c r="C198" i="5" l="1"/>
  <c r="A199" i="5"/>
  <c r="B198" i="5"/>
  <c r="A200" i="5" l="1"/>
  <c r="C199" i="5"/>
  <c r="B199" i="5"/>
  <c r="A201" i="5" l="1"/>
  <c r="C200" i="5"/>
  <c r="B200" i="5"/>
  <c r="C201" i="5" l="1"/>
  <c r="A202" i="5"/>
  <c r="B201" i="5"/>
  <c r="C202" i="5" l="1"/>
  <c r="A203" i="5"/>
  <c r="B202" i="5"/>
  <c r="A204" i="5" l="1"/>
  <c r="C203" i="5"/>
  <c r="B203" i="5"/>
  <c r="C204" i="5" l="1"/>
  <c r="A205" i="5"/>
  <c r="B204" i="5"/>
  <c r="B205" i="5" l="1"/>
  <c r="A206" i="5"/>
  <c r="C205" i="5"/>
  <c r="A207" i="5" l="1"/>
  <c r="C206" i="5"/>
  <c r="B206" i="5"/>
  <c r="A208" i="5" l="1"/>
  <c r="C207" i="5"/>
  <c r="B207" i="5"/>
  <c r="B208" i="5" l="1"/>
  <c r="A209" i="5"/>
  <c r="C208" i="5"/>
  <c r="A210" i="5" l="1"/>
  <c r="C209" i="5"/>
  <c r="B209" i="5"/>
  <c r="C210" i="5" l="1"/>
  <c r="A211" i="5"/>
  <c r="B210" i="5"/>
  <c r="A212" i="5" l="1"/>
  <c r="C211" i="5"/>
  <c r="B211" i="5"/>
  <c r="A213" i="5" l="1"/>
  <c r="C212" i="5"/>
  <c r="B212" i="5"/>
  <c r="B213" i="5" l="1"/>
  <c r="A214" i="5"/>
  <c r="C213" i="5"/>
  <c r="B214" i="5" l="1"/>
  <c r="A215" i="5"/>
  <c r="C214" i="5"/>
  <c r="A216" i="5" l="1"/>
  <c r="C215" i="5"/>
  <c r="B215" i="5"/>
  <c r="A217" i="5" l="1"/>
  <c r="B216" i="5"/>
  <c r="C216" i="5"/>
  <c r="A218" i="5" l="1"/>
  <c r="C217" i="5"/>
  <c r="B217" i="5"/>
  <c r="C218" i="5" l="1"/>
  <c r="A219" i="5"/>
  <c r="B218" i="5"/>
  <c r="A220" i="5" l="1"/>
  <c r="B219" i="5"/>
  <c r="C219" i="5"/>
  <c r="B220" i="5" l="1"/>
  <c r="A221" i="5"/>
  <c r="C220" i="5"/>
  <c r="B221" i="5" l="1"/>
  <c r="A222" i="5"/>
  <c r="C221" i="5"/>
  <c r="A223" i="5" l="1"/>
  <c r="B222" i="5"/>
  <c r="C222" i="5"/>
  <c r="A224" i="5" l="1"/>
  <c r="C223" i="5"/>
  <c r="B223" i="5"/>
  <c r="B224" i="5" l="1"/>
  <c r="A225" i="5"/>
  <c r="C224" i="5"/>
  <c r="A226" i="5" l="1"/>
  <c r="B225" i="5"/>
  <c r="C225" i="5"/>
  <c r="C226" i="5" l="1"/>
  <c r="B226" i="5"/>
  <c r="A227" i="5"/>
  <c r="A228" i="5" l="1"/>
  <c r="C227" i="5"/>
  <c r="B227" i="5"/>
  <c r="A229" i="5" l="1"/>
  <c r="B228" i="5"/>
  <c r="C228" i="5"/>
  <c r="B229" i="5" l="1"/>
  <c r="A230" i="5"/>
  <c r="C229" i="5"/>
  <c r="B230" i="5" l="1"/>
  <c r="A231" i="5"/>
  <c r="C230" i="5"/>
  <c r="A232" i="5" l="1"/>
  <c r="B231" i="5"/>
  <c r="C231" i="5"/>
  <c r="B232" i="5" l="1"/>
  <c r="C232" i="5"/>
  <c r="A233" i="5"/>
  <c r="A234" i="5" l="1"/>
  <c r="C233" i="5"/>
  <c r="B233" i="5"/>
  <c r="C234" i="5" l="1"/>
  <c r="B234" i="5"/>
  <c r="A235" i="5"/>
  <c r="B235" i="5" l="1"/>
  <c r="A236" i="5"/>
  <c r="C235" i="5"/>
  <c r="B236" i="5" l="1"/>
  <c r="A237" i="5"/>
  <c r="C236" i="5"/>
  <c r="B237" i="5" l="1"/>
  <c r="C237" i="5"/>
  <c r="A238" i="5"/>
  <c r="B238" i="5" l="1"/>
  <c r="C238" i="5"/>
  <c r="A239" i="5"/>
  <c r="A240" i="5" l="1"/>
  <c r="C239" i="5"/>
  <c r="B239" i="5"/>
  <c r="C240" i="5" l="1"/>
  <c r="B240" i="5"/>
  <c r="A241" i="5"/>
  <c r="B241" i="5" l="1"/>
  <c r="A242" i="5"/>
  <c r="C241" i="5"/>
  <c r="C242" i="5" l="1"/>
  <c r="B242" i="5"/>
  <c r="A243" i="5"/>
  <c r="C243" i="5" l="1"/>
  <c r="A244" i="5"/>
  <c r="B243" i="5"/>
  <c r="B244" i="5" l="1"/>
  <c r="C244" i="5"/>
  <c r="A245" i="5"/>
  <c r="B245" i="5" l="1"/>
  <c r="A246" i="5"/>
  <c r="C245" i="5"/>
  <c r="C246" i="5" l="1"/>
  <c r="B246" i="5"/>
  <c r="A247" i="5"/>
  <c r="A248" i="5" l="1"/>
  <c r="B247" i="5"/>
  <c r="C247" i="5"/>
  <c r="C248" i="5" l="1"/>
  <c r="B248" i="5"/>
  <c r="A249" i="5"/>
  <c r="C249" i="5" l="1"/>
  <c r="A250" i="5"/>
  <c r="B249" i="5"/>
  <c r="C250" i="5" l="1"/>
  <c r="B250" i="5"/>
  <c r="A251" i="5"/>
  <c r="A252" i="5" l="1"/>
  <c r="C251" i="5"/>
  <c r="B251" i="5"/>
  <c r="C252" i="5" l="1"/>
  <c r="B252" i="5"/>
  <c r="A253" i="5"/>
  <c r="B253" i="5" l="1"/>
  <c r="C253" i="5"/>
  <c r="A254" i="5"/>
  <c r="C254" i="5" l="1"/>
  <c r="A255" i="5"/>
  <c r="B254" i="5"/>
  <c r="A256" i="5" l="1"/>
  <c r="C255" i="5"/>
  <c r="B255" i="5"/>
  <c r="C256" i="5" l="1"/>
  <c r="A257" i="5"/>
  <c r="B256" i="5"/>
  <c r="A258" i="5" l="1"/>
  <c r="C257" i="5"/>
  <c r="B257" i="5"/>
  <c r="C258" i="5" l="1"/>
  <c r="A259" i="5"/>
  <c r="B258" i="5"/>
  <c r="C259" i="5" l="1"/>
  <c r="A260" i="5"/>
  <c r="B259" i="5"/>
  <c r="C260" i="5" l="1"/>
  <c r="B260" i="5"/>
  <c r="A261" i="5"/>
  <c r="B261" i="5" l="1"/>
  <c r="A262" i="5"/>
  <c r="C261" i="5"/>
  <c r="C262" i="5" l="1"/>
  <c r="A263" i="5"/>
  <c r="B262" i="5"/>
  <c r="A264" i="5" l="1"/>
  <c r="C263" i="5"/>
  <c r="B263" i="5"/>
  <c r="A265" i="5" l="1"/>
  <c r="C264" i="5"/>
  <c r="B264" i="5"/>
  <c r="C265" i="5" l="1"/>
  <c r="A266" i="5"/>
  <c r="B265" i="5"/>
  <c r="C266" i="5" l="1"/>
  <c r="A267" i="5"/>
  <c r="B266" i="5"/>
  <c r="A268" i="5" l="1"/>
  <c r="C267" i="5"/>
  <c r="B267" i="5"/>
  <c r="C268" i="5" l="1"/>
  <c r="A269" i="5"/>
  <c r="B268" i="5"/>
  <c r="B269" i="5" l="1"/>
  <c r="A270" i="5"/>
  <c r="C269" i="5"/>
  <c r="A271" i="5" l="1"/>
  <c r="C270" i="5"/>
  <c r="B270" i="5"/>
  <c r="A272" i="5" l="1"/>
  <c r="C271" i="5"/>
  <c r="B271" i="5"/>
  <c r="A273" i="5" l="1"/>
  <c r="C272" i="5"/>
  <c r="B272" i="5"/>
  <c r="A274" i="5" l="1"/>
  <c r="C273" i="5"/>
  <c r="B273" i="5"/>
  <c r="C274" i="5" l="1"/>
  <c r="A275" i="5"/>
  <c r="B274" i="5"/>
  <c r="B275" i="5" l="1"/>
  <c r="A276" i="5"/>
  <c r="C275" i="5"/>
  <c r="A277" i="5" l="1"/>
  <c r="C276" i="5"/>
  <c r="B276" i="5"/>
  <c r="B277" i="5" l="1"/>
  <c r="A278" i="5"/>
  <c r="C277" i="5"/>
  <c r="A279" i="5" l="1"/>
  <c r="C278" i="5"/>
  <c r="B278" i="5"/>
  <c r="A280" i="5" l="1"/>
  <c r="C279" i="5"/>
  <c r="B279" i="5"/>
  <c r="A281" i="5" l="1"/>
  <c r="B280" i="5"/>
  <c r="C280" i="5"/>
  <c r="B281" i="5" l="1"/>
  <c r="A282" i="5"/>
  <c r="C281" i="5"/>
  <c r="C282" i="5" l="1"/>
  <c r="A283" i="5"/>
  <c r="B282" i="5"/>
  <c r="A284" i="5" l="1"/>
  <c r="B283" i="5"/>
  <c r="C283" i="5"/>
  <c r="A285" i="5" l="1"/>
  <c r="C284" i="5"/>
  <c r="B284" i="5"/>
  <c r="B285" i="5" l="1"/>
  <c r="A286" i="5"/>
  <c r="C285" i="5"/>
  <c r="A287" i="5" l="1"/>
  <c r="B286" i="5"/>
  <c r="C286" i="5"/>
  <c r="A288" i="5" l="1"/>
  <c r="B287" i="5"/>
  <c r="C287" i="5"/>
  <c r="A289" i="5" l="1"/>
  <c r="C288" i="5"/>
  <c r="B288" i="5"/>
  <c r="A290" i="5" l="1"/>
  <c r="B289" i="5"/>
  <c r="C289" i="5"/>
  <c r="C290" i="5" l="1"/>
  <c r="A291" i="5"/>
  <c r="B290" i="5"/>
  <c r="B291" i="5" l="1"/>
  <c r="A292" i="5"/>
  <c r="C291" i="5"/>
  <c r="A293" i="5" l="1"/>
  <c r="B292" i="5"/>
  <c r="C292" i="5"/>
  <c r="B293" i="5" l="1"/>
  <c r="C293" i="5"/>
  <c r="A294" i="5"/>
  <c r="A295" i="5" l="1"/>
  <c r="C294" i="5"/>
  <c r="B294" i="5"/>
  <c r="A296" i="5" l="1"/>
  <c r="B295" i="5"/>
  <c r="C295" i="5"/>
  <c r="B296" i="5" l="1"/>
  <c r="A297" i="5"/>
  <c r="C296" i="5"/>
  <c r="B297" i="5" l="1"/>
  <c r="A298" i="5"/>
  <c r="C297" i="5"/>
  <c r="C298" i="5" l="1"/>
  <c r="B298" i="5"/>
  <c r="A299" i="5"/>
  <c r="B299" i="5" l="1"/>
  <c r="C299" i="5"/>
  <c r="A300" i="5"/>
  <c r="A301" i="5" l="1"/>
  <c r="C300" i="5"/>
  <c r="B300" i="5"/>
  <c r="B301" i="5" l="1"/>
  <c r="C301" i="5"/>
  <c r="A302" i="5"/>
  <c r="B302" i="5" l="1"/>
  <c r="A303" i="5"/>
  <c r="C302" i="5"/>
  <c r="A304" i="5" l="1"/>
  <c r="B303" i="5"/>
  <c r="C303" i="5"/>
  <c r="C304" i="5" l="1"/>
  <c r="A305" i="5"/>
  <c r="B304" i="5"/>
  <c r="B305" i="5" l="1"/>
  <c r="C305" i="5"/>
  <c r="A306" i="5"/>
  <c r="C306" i="5" l="1"/>
  <c r="A307" i="5"/>
  <c r="B306" i="5"/>
  <c r="C307" i="5" l="1"/>
  <c r="B307" i="5"/>
  <c r="A308" i="5"/>
  <c r="B308" i="5" l="1"/>
  <c r="A309" i="5"/>
  <c r="C308" i="5"/>
  <c r="B309" i="5" l="1"/>
  <c r="C309" i="5"/>
  <c r="A310" i="5"/>
  <c r="C310" i="5" l="1"/>
  <c r="A311" i="5"/>
  <c r="B310" i="5"/>
  <c r="A312" i="5" l="1"/>
  <c r="B311" i="5"/>
  <c r="C311" i="5"/>
  <c r="A313" i="5" l="1"/>
  <c r="C312" i="5"/>
  <c r="B312" i="5"/>
  <c r="C313" i="5" l="1"/>
  <c r="B313" i="5"/>
  <c r="A314" i="5"/>
  <c r="C314" i="5" l="1"/>
  <c r="B314" i="5"/>
  <c r="A315" i="5"/>
  <c r="C315" i="5" l="1"/>
  <c r="A316" i="5"/>
  <c r="B315" i="5"/>
  <c r="C316" i="5" l="1"/>
  <c r="A317" i="5"/>
  <c r="B316" i="5"/>
  <c r="B317" i="5" l="1"/>
  <c r="C317" i="5"/>
  <c r="A318" i="5"/>
  <c r="A319" i="5" l="1"/>
  <c r="C318" i="5"/>
  <c r="B318" i="5"/>
  <c r="A320" i="5" l="1"/>
  <c r="C319" i="5"/>
  <c r="B319" i="5"/>
  <c r="C320" i="5" l="1"/>
  <c r="A321" i="5"/>
  <c r="B320" i="5"/>
  <c r="C321" i="5" l="1"/>
  <c r="B321" i="5"/>
  <c r="A322" i="5"/>
  <c r="C322" i="5" l="1"/>
  <c r="A323" i="5"/>
  <c r="B322" i="5"/>
  <c r="C323" i="5" l="1"/>
  <c r="A324" i="5"/>
  <c r="B323" i="5"/>
  <c r="A325" i="5" l="1"/>
  <c r="C324" i="5"/>
  <c r="B324" i="5"/>
  <c r="B325" i="5" l="1"/>
  <c r="A326" i="5"/>
  <c r="C325" i="5"/>
  <c r="C326" i="5" l="1"/>
  <c r="A327" i="5"/>
  <c r="B326" i="5"/>
  <c r="A328" i="5" l="1"/>
  <c r="C327" i="5"/>
  <c r="B327" i="5"/>
  <c r="A329" i="5" l="1"/>
  <c r="C328" i="5"/>
  <c r="B328" i="5"/>
  <c r="C329" i="5" l="1"/>
  <c r="A330" i="5"/>
  <c r="B329" i="5"/>
  <c r="C330" i="5" l="1"/>
  <c r="A331" i="5"/>
  <c r="B330" i="5"/>
  <c r="A332" i="5" l="1"/>
  <c r="C331" i="5"/>
  <c r="B331" i="5"/>
  <c r="C332" i="5" l="1"/>
  <c r="A333" i="5"/>
  <c r="B332" i="5"/>
  <c r="B333" i="5" l="1"/>
  <c r="A334" i="5"/>
  <c r="C333" i="5"/>
  <c r="A335" i="5" l="1"/>
  <c r="C334" i="5"/>
  <c r="B334" i="5"/>
  <c r="A336" i="5" l="1"/>
  <c r="C335" i="5"/>
  <c r="B335" i="5"/>
  <c r="B336" i="5" l="1"/>
  <c r="A337" i="5"/>
  <c r="C336" i="5"/>
  <c r="A338" i="5" l="1"/>
  <c r="C337" i="5"/>
  <c r="B337" i="5"/>
  <c r="C338" i="5" l="1"/>
  <c r="A339" i="5"/>
  <c r="B338" i="5"/>
  <c r="A340" i="5" l="1"/>
  <c r="C339" i="5"/>
  <c r="B339" i="5"/>
  <c r="A341" i="5" l="1"/>
  <c r="C340" i="5"/>
  <c r="B340" i="5"/>
  <c r="B341" i="5" l="1"/>
  <c r="A342" i="5"/>
  <c r="C341" i="5"/>
  <c r="B342" i="5" l="1"/>
  <c r="A343" i="5"/>
  <c r="C342" i="5"/>
  <c r="A344" i="5" l="1"/>
  <c r="C343" i="5"/>
  <c r="B343" i="5"/>
  <c r="A345" i="5" l="1"/>
  <c r="B344" i="5"/>
  <c r="C344" i="5"/>
  <c r="A346" i="5" l="1"/>
  <c r="C345" i="5"/>
  <c r="B345" i="5"/>
  <c r="C346" i="5" l="1"/>
  <c r="A347" i="5"/>
  <c r="B346" i="5"/>
  <c r="A348" i="5" l="1"/>
  <c r="B347" i="5"/>
  <c r="C347" i="5"/>
  <c r="B348" i="5" l="1"/>
  <c r="A349" i="5"/>
  <c r="C348" i="5"/>
  <c r="B349" i="5" l="1"/>
  <c r="A350" i="5"/>
  <c r="C349" i="5"/>
  <c r="A351" i="5" l="1"/>
  <c r="B350" i="5"/>
  <c r="C350" i="5"/>
  <c r="A352" i="5" l="1"/>
  <c r="C351" i="5"/>
  <c r="B351" i="5"/>
  <c r="B352" i="5" l="1"/>
  <c r="A353" i="5"/>
  <c r="C352" i="5"/>
  <c r="A354" i="5" l="1"/>
  <c r="B353" i="5"/>
  <c r="C353" i="5"/>
  <c r="C354" i="5" l="1"/>
  <c r="B354" i="5"/>
  <c r="A355" i="5"/>
  <c r="A356" i="5" l="1"/>
  <c r="C355" i="5"/>
  <c r="B355" i="5"/>
  <c r="A357" i="5" l="1"/>
  <c r="B356" i="5"/>
  <c r="C356" i="5"/>
  <c r="B357" i="5" l="1"/>
  <c r="A358" i="5"/>
  <c r="C357" i="5"/>
  <c r="B358" i="5" l="1"/>
  <c r="A359" i="5"/>
  <c r="C358" i="5"/>
  <c r="A360" i="5" l="1"/>
  <c r="B359" i="5"/>
  <c r="C359" i="5"/>
  <c r="B360" i="5" l="1"/>
  <c r="C360" i="5"/>
  <c r="A361" i="5"/>
  <c r="A362" i="5" l="1"/>
  <c r="C361" i="5"/>
  <c r="B361" i="5"/>
  <c r="C362" i="5" l="1"/>
  <c r="B362" i="5"/>
  <c r="A363" i="5"/>
  <c r="B363" i="5" l="1"/>
  <c r="A364" i="5"/>
  <c r="C363" i="5"/>
  <c r="A365" i="5" l="1"/>
  <c r="B364" i="5"/>
  <c r="C364" i="5"/>
  <c r="C365" i="5" l="1"/>
  <c r="B365" i="5"/>
  <c r="A366" i="5"/>
  <c r="B366" i="5" l="1"/>
  <c r="A367" i="5"/>
  <c r="C366" i="5"/>
  <c r="C367" i="5" l="1"/>
  <c r="B367" i="5"/>
  <c r="J887" i="3"/>
  <c r="K887" i="3" s="1"/>
  <c r="J298" i="3"/>
  <c r="K298" i="3" s="1"/>
  <c r="J448" i="3"/>
  <c r="K448" i="3" s="1"/>
  <c r="J482" i="3"/>
  <c r="K482" i="3" s="1"/>
  <c r="J428" i="3"/>
  <c r="K428" i="3" s="1"/>
  <c r="J186" i="3"/>
  <c r="K186" i="3" s="1"/>
  <c r="J354" i="3"/>
  <c r="K354" i="3" s="1"/>
  <c r="J408" i="3"/>
  <c r="K408" i="3" s="1"/>
  <c r="J79" i="3"/>
  <c r="K79" i="3" s="1"/>
  <c r="J178" i="3"/>
  <c r="K178" i="3" s="1"/>
  <c r="J506" i="3"/>
  <c r="K506" i="3" s="1"/>
  <c r="J177" i="3"/>
  <c r="K177" i="3" s="1"/>
  <c r="J370" i="3"/>
  <c r="K370" i="3" s="1"/>
  <c r="J512" i="3"/>
  <c r="K512" i="3" s="1"/>
  <c r="J338" i="3"/>
  <c r="K338" i="3" s="1"/>
  <c r="J194" i="3"/>
  <c r="K194" i="3" s="1"/>
  <c r="J844" i="3"/>
  <c r="K844" i="3" s="1"/>
  <c r="J394" i="3"/>
  <c r="K394" i="3" s="1"/>
  <c r="J47" i="3"/>
  <c r="K47" i="3" s="1"/>
  <c r="J488" i="3"/>
  <c r="K488" i="3" s="1"/>
  <c r="J378" i="3"/>
  <c r="K378" i="3" s="1"/>
  <c r="J45" i="3"/>
  <c r="K45" i="3" s="1"/>
  <c r="J776" i="3"/>
  <c r="K776" i="3" s="1"/>
  <c r="J26" i="3"/>
  <c r="K26" i="3" s="1"/>
  <c r="J55" i="3"/>
  <c r="K55" i="3" s="1"/>
  <c r="J39" i="3"/>
  <c r="K39" i="3" s="1"/>
  <c r="J490" i="3"/>
  <c r="K490" i="3" s="1"/>
  <c r="J12" i="3"/>
  <c r="K12" i="3" s="1"/>
  <c r="J258" i="3"/>
  <c r="K258" i="3" s="1"/>
  <c r="J420" i="3"/>
  <c r="K420" i="3" s="1"/>
  <c r="J507" i="3"/>
  <c r="K507" i="3" s="1"/>
  <c r="S12" i="4" s="1"/>
  <c r="J202" i="3"/>
  <c r="K202" i="3" s="1"/>
  <c r="J762" i="3"/>
  <c r="K762" i="3" s="1"/>
  <c r="J87" i="3"/>
  <c r="K87" i="3" s="1"/>
  <c r="J786" i="3"/>
  <c r="K786" i="3" s="1"/>
  <c r="J875" i="3"/>
  <c r="K875" i="3" s="1"/>
  <c r="J794" i="3"/>
  <c r="K794" i="3" s="1"/>
  <c r="J430" i="3"/>
  <c r="K430" i="3" s="1"/>
  <c r="J234" i="3"/>
  <c r="K234" i="3" s="1"/>
  <c r="J427" i="3"/>
  <c r="K427" i="3" s="1"/>
  <c r="J164" i="3"/>
  <c r="K164" i="3" s="1"/>
  <c r="J346" i="3"/>
  <c r="K346" i="3" s="1"/>
  <c r="J569" i="3"/>
  <c r="K569" i="3" s="1"/>
  <c r="J812" i="3"/>
  <c r="K812" i="3" s="1"/>
  <c r="J559" i="3"/>
  <c r="K559" i="3" s="1"/>
  <c r="J765" i="3"/>
  <c r="K765" i="3" s="1"/>
  <c r="J680" i="3"/>
  <c r="K680" i="3" s="1"/>
  <c r="J414" i="3"/>
  <c r="J686" i="3"/>
  <c r="K686" i="3" s="1"/>
  <c r="J514" i="3"/>
  <c r="K514" i="3" s="1"/>
  <c r="J126" i="3"/>
  <c r="K126" i="3" s="1"/>
  <c r="J396" i="3"/>
  <c r="K396" i="3" s="1"/>
  <c r="J299" i="3"/>
  <c r="K299" i="3" s="1"/>
  <c r="J583" i="3"/>
  <c r="K583" i="3" s="1"/>
  <c r="J589" i="3"/>
  <c r="K589" i="3" s="1"/>
  <c r="J832" i="3"/>
  <c r="K832" i="3" s="1"/>
  <c r="J357" i="3"/>
  <c r="K357" i="3" s="1"/>
  <c r="J292" i="3"/>
  <c r="K292" i="3" s="1"/>
  <c r="J38" i="3"/>
  <c r="K38" i="3" s="1"/>
  <c r="J335" i="3"/>
  <c r="K335" i="3" s="1"/>
  <c r="J266" i="3"/>
  <c r="K266" i="3" s="1"/>
  <c r="J841" i="3"/>
  <c r="K841" i="3" s="1"/>
  <c r="J464" i="3"/>
  <c r="K464" i="3" s="1"/>
  <c r="J145" i="3"/>
  <c r="K145" i="3" s="1"/>
  <c r="J754" i="3"/>
  <c r="K754" i="3" s="1"/>
  <c r="J306" i="3"/>
  <c r="K306" i="3" s="1"/>
  <c r="J626" i="3"/>
  <c r="K626" i="3" s="1"/>
  <c r="J250" i="3"/>
  <c r="K250" i="3" s="1"/>
  <c r="J656" i="3"/>
  <c r="K656" i="3" s="1"/>
  <c r="U14" i="4" s="1"/>
  <c r="J728" i="3"/>
  <c r="K728" i="3" s="1"/>
  <c r="J479" i="3"/>
  <c r="K479" i="3" s="1"/>
  <c r="J615" i="3"/>
  <c r="K615" i="3" s="1"/>
  <c r="J797" i="3"/>
  <c r="J373" i="3"/>
  <c r="K373" i="3" s="1"/>
  <c r="R7" i="4" s="1"/>
  <c r="J510" i="3"/>
  <c r="K510" i="3" s="1"/>
  <c r="J265" i="3"/>
  <c r="K265" i="3" s="1"/>
  <c r="J653" i="3"/>
  <c r="K653" i="3" s="1"/>
  <c r="J241" i="3"/>
  <c r="K241" i="3" s="1"/>
  <c r="J573" i="3"/>
  <c r="K573" i="3" s="1"/>
  <c r="J777" i="3"/>
  <c r="K777" i="3" s="1"/>
  <c r="J617" i="3"/>
  <c r="K617" i="3" s="1"/>
  <c r="J821" i="3"/>
  <c r="K821" i="3" s="1"/>
  <c r="J380" i="3"/>
  <c r="K380" i="3" s="1"/>
  <c r="J424" i="3"/>
  <c r="K424" i="3" s="1"/>
  <c r="J440" i="3"/>
  <c r="K440" i="3" s="1"/>
  <c r="J890" i="3"/>
  <c r="K890" i="3" s="1"/>
  <c r="J799" i="3"/>
  <c r="K799" i="3" s="1"/>
  <c r="J539" i="3"/>
  <c r="K539" i="3" s="1"/>
  <c r="J870" i="3"/>
  <c r="K870" i="3" s="1"/>
  <c r="J314" i="3"/>
  <c r="K314" i="3" s="1"/>
  <c r="J561" i="3"/>
  <c r="K561" i="3" s="1"/>
  <c r="J667" i="3"/>
  <c r="K667" i="3" s="1"/>
  <c r="J607" i="3"/>
  <c r="K607" i="3" s="1"/>
  <c r="J326" i="3"/>
  <c r="K326" i="3" s="1"/>
  <c r="J903" i="3"/>
  <c r="K903" i="3" s="1"/>
  <c r="J770" i="3"/>
  <c r="K770" i="3" s="1"/>
  <c r="J876" i="3"/>
  <c r="K876" i="3" s="1"/>
  <c r="J176" i="3"/>
  <c r="K176" i="3" s="1"/>
  <c r="J789" i="3"/>
  <c r="K789" i="3" s="1"/>
  <c r="J520" i="3"/>
  <c r="K520" i="3" s="1"/>
  <c r="J360" i="3"/>
  <c r="K360" i="3" s="1"/>
  <c r="J640" i="3"/>
  <c r="K640" i="3" s="1"/>
  <c r="J674" i="3"/>
  <c r="K674" i="3" s="1"/>
  <c r="J586" i="3"/>
  <c r="K586" i="3" s="1"/>
  <c r="J391" i="3"/>
  <c r="K391" i="3" s="1"/>
  <c r="J499" i="3"/>
  <c r="K499" i="3" s="1"/>
  <c r="J300" i="3"/>
  <c r="K300" i="3" s="1"/>
  <c r="J886" i="3"/>
  <c r="K886" i="3" s="1"/>
  <c r="J682" i="3"/>
  <c r="K682" i="3" s="1"/>
  <c r="J240" i="3"/>
  <c r="K240" i="3" s="1"/>
  <c r="J450" i="3"/>
  <c r="K450" i="3" s="1"/>
  <c r="J744" i="3"/>
  <c r="K744" i="3" s="1"/>
  <c r="J554" i="3"/>
  <c r="K554" i="3" s="1"/>
  <c r="J668" i="3"/>
  <c r="K668" i="3" s="1"/>
  <c r="J330" i="3"/>
  <c r="K330" i="3" s="1"/>
  <c r="J463" i="3"/>
  <c r="K463" i="3" s="1"/>
  <c r="J629" i="3"/>
  <c r="K629" i="3" s="1"/>
  <c r="J689" i="3"/>
  <c r="K689" i="3" s="1"/>
  <c r="J340" i="3"/>
  <c r="K340" i="3" s="1"/>
  <c r="J518" i="3"/>
  <c r="K518" i="3" s="1"/>
  <c r="J274" i="3"/>
  <c r="K274" i="3" s="1"/>
  <c r="J480" i="3"/>
  <c r="K480" i="3" s="1"/>
  <c r="J334" i="3"/>
  <c r="K334" i="3" s="1"/>
  <c r="J235" i="3"/>
  <c r="K235" i="3" s="1"/>
  <c r="J775" i="3"/>
  <c r="K775" i="3" s="1"/>
  <c r="J444" i="3"/>
  <c r="K444" i="3" s="1"/>
  <c r="J719" i="3"/>
  <c r="K719" i="3" s="1"/>
  <c r="J862" i="3"/>
  <c r="K862" i="3" s="1"/>
  <c r="J48" i="3"/>
  <c r="K48" i="3" s="1"/>
  <c r="J295" i="3"/>
  <c r="K295" i="3" s="1"/>
  <c r="J137" i="3"/>
  <c r="K137" i="3" s="1"/>
  <c r="J743" i="3"/>
  <c r="K743" i="3" s="1"/>
  <c r="J632" i="3"/>
  <c r="K632" i="3" s="1"/>
  <c r="J27" i="3"/>
  <c r="K27" i="3" s="1"/>
  <c r="J201" i="3"/>
  <c r="K201" i="3" s="1"/>
  <c r="J915" i="3"/>
  <c r="K915" i="3" s="1"/>
  <c r="J525" i="3"/>
  <c r="J119" i="3"/>
  <c r="K119" i="3" s="1"/>
  <c r="J352" i="3"/>
  <c r="K352" i="3" s="1"/>
  <c r="J279" i="3"/>
  <c r="K279" i="3" s="1"/>
  <c r="J245" i="3"/>
  <c r="K245" i="3" s="1"/>
  <c r="J289" i="3"/>
  <c r="K289" i="3" s="1"/>
  <c r="J850" i="3"/>
  <c r="K850" i="3" s="1"/>
  <c r="J834" i="3"/>
  <c r="K834" i="3" s="1"/>
  <c r="J107" i="3"/>
  <c r="K107" i="3" s="1"/>
  <c r="J320" i="3"/>
  <c r="K320" i="3" s="1"/>
  <c r="J836" i="3"/>
  <c r="K836" i="3" s="1"/>
  <c r="J739" i="3"/>
  <c r="K739" i="3" s="1"/>
  <c r="J407" i="3"/>
  <c r="K407" i="3" s="1"/>
  <c r="J616" i="3"/>
  <c r="K616" i="3" s="1"/>
  <c r="J311" i="3"/>
  <c r="K311" i="3" s="1"/>
  <c r="J144" i="3"/>
  <c r="K144" i="3" s="1"/>
  <c r="J706" i="3"/>
  <c r="K706" i="3" s="1"/>
  <c r="J637" i="3"/>
  <c r="K637" i="3" s="1"/>
  <c r="J322" i="3"/>
  <c r="K322" i="3" s="1"/>
  <c r="J741" i="3"/>
  <c r="K741" i="3" s="1"/>
  <c r="J24" i="3"/>
  <c r="K24" i="3" s="1"/>
  <c r="J413" i="3"/>
  <c r="K413" i="3" s="1"/>
  <c r="J636" i="3"/>
  <c r="K636" i="3" s="1"/>
  <c r="J895" i="3"/>
  <c r="K895" i="3" s="1"/>
  <c r="J147" i="3"/>
  <c r="K147" i="3" s="1"/>
  <c r="J303" i="3"/>
  <c r="K303" i="3" s="1"/>
  <c r="J745" i="3"/>
  <c r="K745" i="3" s="1"/>
  <c r="J118" i="3"/>
  <c r="K118" i="3" s="1"/>
  <c r="J647" i="3"/>
  <c r="K647" i="3" s="1"/>
  <c r="J63" i="3"/>
  <c r="K63" i="3" s="1"/>
  <c r="J351" i="3"/>
  <c r="K351" i="3" s="1"/>
  <c r="J445" i="3"/>
  <c r="K445" i="3" s="1"/>
  <c r="J737" i="3"/>
  <c r="K737" i="3" s="1"/>
  <c r="J681" i="3"/>
  <c r="K681" i="3" s="1"/>
  <c r="J282" i="3"/>
  <c r="K282" i="3" s="1"/>
  <c r="J815" i="3"/>
  <c r="K815" i="3" s="1"/>
  <c r="J720" i="3"/>
  <c r="K720" i="3" s="1"/>
  <c r="J67" i="3"/>
  <c r="K67" i="3" s="1"/>
  <c r="J270" i="3"/>
  <c r="K270" i="3" s="1"/>
  <c r="J278" i="3"/>
  <c r="K278" i="3" s="1"/>
  <c r="J551" i="3"/>
  <c r="K551" i="3" s="1"/>
  <c r="J545" i="3"/>
  <c r="K545" i="3" s="1"/>
  <c r="J593" i="3"/>
  <c r="K593" i="3" s="1"/>
  <c r="J425" i="3"/>
  <c r="K425" i="3" s="1"/>
  <c r="J196" i="3"/>
  <c r="K196" i="3" s="1"/>
  <c r="J893" i="3"/>
  <c r="K893" i="3" s="1"/>
  <c r="J683" i="3"/>
  <c r="K683" i="3" s="1"/>
  <c r="J619" i="3"/>
  <c r="K619" i="3" s="1"/>
  <c r="J217" i="3"/>
  <c r="K217" i="3" s="1"/>
  <c r="J631" i="3"/>
  <c r="K631" i="3" s="1"/>
  <c r="J880" i="3"/>
  <c r="K880" i="3" s="1"/>
  <c r="J854" i="3"/>
  <c r="K854" i="3" s="1"/>
  <c r="J263" i="3"/>
  <c r="K263" i="3" s="1"/>
  <c r="J655" i="3"/>
  <c r="K655" i="3" s="1"/>
  <c r="J422" i="3"/>
  <c r="K422" i="3" s="1"/>
  <c r="J280" i="3"/>
  <c r="K280" i="3" s="1"/>
  <c r="J730" i="3"/>
  <c r="K730" i="3" s="1"/>
  <c r="J233" i="3"/>
  <c r="K233" i="3" s="1"/>
  <c r="J290" i="3"/>
  <c r="K290" i="3" s="1"/>
  <c r="J676" i="3"/>
  <c r="K676" i="3" s="1"/>
  <c r="J363" i="3"/>
  <c r="K363" i="3" s="1"/>
  <c r="J429" i="3"/>
  <c r="K429" i="3" s="1"/>
  <c r="J203" i="3"/>
  <c r="K203" i="3" s="1"/>
  <c r="J402" i="3"/>
  <c r="K402" i="3" s="1"/>
  <c r="J820" i="3"/>
  <c r="K820" i="3" s="1"/>
  <c r="J792" i="3"/>
  <c r="K792" i="3" s="1"/>
  <c r="J496" i="3"/>
  <c r="K496" i="3" s="1"/>
  <c r="J242" i="3"/>
  <c r="K242" i="3" s="1"/>
  <c r="J139" i="3"/>
  <c r="K139" i="3" s="1"/>
  <c r="J879" i="3"/>
  <c r="K879" i="3" s="1"/>
  <c r="J190" i="3"/>
  <c r="K190" i="3" s="1"/>
  <c r="J498" i="3"/>
  <c r="K498" i="3" s="1"/>
  <c r="J816" i="3"/>
  <c r="K816" i="3" s="1"/>
  <c r="J210" i="3"/>
  <c r="K210" i="3" s="1"/>
  <c r="J585" i="3"/>
  <c r="K585" i="3" s="1"/>
  <c r="J89" i="3"/>
  <c r="K89" i="3" s="1"/>
  <c r="J760" i="3"/>
  <c r="K760" i="3" s="1"/>
  <c r="J341" i="3"/>
  <c r="K341" i="3" s="1"/>
  <c r="J555" i="3"/>
  <c r="K555" i="3" s="1"/>
  <c r="J839" i="3"/>
  <c r="K839" i="3" s="1"/>
  <c r="J82" i="3"/>
  <c r="K82" i="3" s="1"/>
  <c r="J36" i="3"/>
  <c r="K36" i="3" s="1"/>
  <c r="J684" i="3"/>
  <c r="K684" i="3" s="1"/>
  <c r="J750" i="3"/>
  <c r="K750" i="3" s="1"/>
  <c r="J375" i="3"/>
  <c r="K375" i="3" s="1"/>
  <c r="J827" i="3"/>
  <c r="K827" i="3" s="1"/>
  <c r="J452" i="3"/>
  <c r="K452" i="3" s="1"/>
  <c r="J574" i="3"/>
  <c r="K574" i="3" s="1"/>
  <c r="J700" i="3"/>
  <c r="K700" i="3" s="1"/>
  <c r="J565" i="3"/>
  <c r="K565" i="3" s="1"/>
  <c r="J842" i="3"/>
  <c r="K842" i="3" s="1"/>
  <c r="J336" i="3"/>
  <c r="K336" i="3" s="1"/>
  <c r="J214" i="3"/>
  <c r="K214" i="3" s="1"/>
  <c r="J504" i="3"/>
  <c r="K504" i="3" s="1"/>
  <c r="J738" i="3"/>
  <c r="K738" i="3" s="1"/>
  <c r="J714" i="3"/>
  <c r="K714" i="3" s="1"/>
  <c r="J530" i="3"/>
  <c r="K530" i="3" s="1"/>
  <c r="J701" i="3"/>
  <c r="K701" i="3" s="1"/>
  <c r="J840" i="3"/>
  <c r="K840" i="3" s="1"/>
  <c r="J778" i="3"/>
  <c r="K778" i="3" s="1"/>
  <c r="J386" i="3"/>
  <c r="K386" i="3" s="1"/>
  <c r="J319" i="3"/>
  <c r="K319" i="3" s="1"/>
  <c r="J553" i="3"/>
  <c r="K553" i="3" s="1"/>
  <c r="J465" i="3"/>
  <c r="K465" i="3" s="1"/>
  <c r="J541" i="3"/>
  <c r="K541" i="3" s="1"/>
  <c r="J262" i="3"/>
  <c r="K262" i="3" s="1"/>
  <c r="J693" i="3"/>
  <c r="K693" i="3" s="1"/>
  <c r="J613" i="3"/>
  <c r="K613" i="3" s="1"/>
  <c r="J769" i="3"/>
  <c r="K769" i="3" s="1"/>
  <c r="J138" i="3"/>
  <c r="K138" i="3" s="1"/>
  <c r="J376" i="3"/>
  <c r="K376" i="3" s="1"/>
  <c r="J313" i="3"/>
  <c r="K313" i="3" s="1"/>
  <c r="J271" i="3"/>
  <c r="K271" i="3" s="1"/>
  <c r="J23" i="3"/>
  <c r="K23" i="3" s="1"/>
  <c r="J392" i="3"/>
  <c r="K392" i="3" s="1"/>
  <c r="J807" i="3"/>
  <c r="K807" i="3" s="1"/>
  <c r="W14" i="4" s="1"/>
  <c r="J301" i="3"/>
  <c r="K301" i="3" s="1"/>
  <c r="J529" i="3"/>
  <c r="K529" i="3" s="1"/>
  <c r="J873" i="3"/>
  <c r="K873" i="3" s="1"/>
  <c r="J88" i="3"/>
  <c r="K88" i="3" s="1"/>
  <c r="J390" i="3"/>
  <c r="K390" i="3" s="1"/>
  <c r="J260" i="3"/>
  <c r="K260" i="3" s="1"/>
  <c r="J622" i="3"/>
  <c r="K622" i="3" s="1"/>
  <c r="J570" i="3"/>
  <c r="K570" i="3" s="1"/>
  <c r="J703" i="3"/>
  <c r="K703" i="3" s="1"/>
  <c r="J285" i="3"/>
  <c r="K285" i="3" s="1"/>
  <c r="J466" i="3"/>
  <c r="K466" i="3" s="1"/>
  <c r="J578" i="3"/>
  <c r="K578" i="3" s="1"/>
  <c r="J257" i="3"/>
  <c r="K257" i="3" s="1"/>
  <c r="J362" i="3"/>
  <c r="K362" i="3" s="1"/>
  <c r="J900" i="3"/>
  <c r="K900" i="3" s="1"/>
  <c r="J670" i="3"/>
  <c r="K670" i="3" s="1"/>
  <c r="J874" i="3"/>
  <c r="K874" i="3" s="1"/>
  <c r="J861" i="3"/>
  <c r="K861" i="3" s="1"/>
  <c r="J694" i="3"/>
  <c r="K694" i="3" s="1"/>
  <c r="J685" i="3"/>
  <c r="K685" i="3" s="1"/>
  <c r="J220" i="3"/>
  <c r="K220" i="3" s="1"/>
  <c r="J642" i="3"/>
  <c r="K642" i="3" s="1"/>
  <c r="J127" i="3"/>
  <c r="K127" i="3" s="1"/>
  <c r="J395" i="3"/>
  <c r="K395" i="3" s="1"/>
  <c r="J409" i="3"/>
  <c r="K409" i="3" s="1"/>
  <c r="J35" i="3"/>
  <c r="K35" i="3" s="1"/>
  <c r="J704" i="3"/>
  <c r="K704" i="3" s="1"/>
  <c r="J733" i="3"/>
  <c r="K733" i="3" s="1"/>
  <c r="J93" i="3"/>
  <c r="K93" i="3" s="1"/>
  <c r="J828" i="3"/>
  <c r="K828" i="3" s="1"/>
  <c r="J385" i="3"/>
  <c r="K385" i="3" s="1"/>
  <c r="J608" i="3"/>
  <c r="K608" i="3" s="1"/>
  <c r="J912" i="3"/>
  <c r="K912" i="3" s="1"/>
  <c r="J724" i="3"/>
  <c r="K724" i="3" s="1"/>
  <c r="J227" i="3"/>
  <c r="K227" i="3" s="1"/>
  <c r="J384" i="3"/>
  <c r="K384" i="3" s="1"/>
  <c r="J751" i="3"/>
  <c r="K751" i="3" s="1"/>
  <c r="J625" i="3"/>
  <c r="K625" i="3" s="1"/>
  <c r="J537" i="3"/>
  <c r="K537" i="3" s="1"/>
  <c r="J707" i="3"/>
  <c r="K707" i="3" s="1"/>
  <c r="J267" i="3"/>
  <c r="K267" i="3" s="1"/>
  <c r="J691" i="3"/>
  <c r="K691" i="3" s="1"/>
  <c r="J542" i="3"/>
  <c r="K542" i="3" s="1"/>
  <c r="J32" i="3"/>
  <c r="K32" i="3" s="1"/>
  <c r="J860" i="3"/>
  <c r="K860" i="3" s="1"/>
  <c r="J646" i="3"/>
  <c r="K646" i="3" s="1"/>
  <c r="J808" i="3"/>
  <c r="K808" i="3" s="1"/>
  <c r="J397" i="3"/>
  <c r="K397" i="3" s="1"/>
  <c r="J317" i="3"/>
  <c r="K317" i="3" s="1"/>
  <c r="J456" i="3"/>
  <c r="K456" i="3" s="1"/>
  <c r="J522" i="3"/>
  <c r="K522" i="3" s="1"/>
  <c r="J590" i="3"/>
  <c r="K590" i="3" s="1"/>
  <c r="J223" i="3"/>
  <c r="K223" i="3" s="1"/>
  <c r="J393" i="3"/>
  <c r="K393" i="3" s="1"/>
  <c r="J922" i="3"/>
  <c r="K922" i="3" s="1"/>
  <c r="J833" i="3"/>
  <c r="K833" i="3" s="1"/>
  <c r="J910" i="3"/>
  <c r="K910" i="3" s="1"/>
  <c r="J519" i="3"/>
  <c r="K519" i="3" s="1"/>
  <c r="J226" i="3"/>
  <c r="K226" i="3" s="1"/>
  <c r="J802" i="3"/>
  <c r="K802" i="3" s="1"/>
  <c r="J451" i="3"/>
  <c r="K451" i="3" s="1"/>
  <c r="J658" i="3"/>
  <c r="K658" i="3" s="1"/>
  <c r="J244" i="3"/>
  <c r="K244" i="3" s="1"/>
  <c r="J398" i="3"/>
  <c r="K398" i="3" s="1"/>
  <c r="J897" i="3"/>
  <c r="K897" i="3" s="1"/>
  <c r="J472" i="3"/>
  <c r="K472" i="3" s="1"/>
  <c r="J831" i="3"/>
  <c r="J200" i="3"/>
  <c r="K200" i="3" s="1"/>
  <c r="J746" i="3"/>
  <c r="K746" i="3" s="1"/>
  <c r="J342" i="3"/>
  <c r="K342" i="3" s="1"/>
  <c r="J218" i="3"/>
  <c r="K218" i="3" s="1"/>
  <c r="J228" i="3"/>
  <c r="K228" i="3" s="1"/>
  <c r="J552" i="3"/>
  <c r="K552" i="3" s="1"/>
  <c r="J675" i="3"/>
  <c r="K675" i="3" s="1"/>
  <c r="J304" i="3"/>
  <c r="K304" i="3" s="1"/>
  <c r="J604" i="3"/>
  <c r="K604" i="3" s="1"/>
  <c r="J102" i="3"/>
  <c r="K102" i="3" s="1"/>
  <c r="J911" i="3"/>
  <c r="K911" i="3" s="1"/>
  <c r="J824" i="3"/>
  <c r="K824" i="3" s="1"/>
  <c r="J232" i="3"/>
  <c r="K232" i="3" s="1"/>
  <c r="J852" i="3"/>
  <c r="K852" i="3" s="1"/>
  <c r="J231" i="3"/>
  <c r="K231" i="3" s="1"/>
  <c r="J33" i="3"/>
  <c r="K33" i="3" s="1"/>
  <c r="J254" i="3"/>
  <c r="K254" i="3" s="1"/>
  <c r="J406" i="3"/>
  <c r="K406" i="3" s="1"/>
  <c r="J602" i="3"/>
  <c r="K602" i="3" s="1"/>
  <c r="J491" i="3"/>
  <c r="K491" i="3" s="1"/>
  <c r="J287" i="3"/>
  <c r="K287" i="3" s="1"/>
  <c r="J34" i="3"/>
  <c r="K34" i="3" s="1"/>
  <c r="J710" i="3"/>
  <c r="K710" i="3" s="1"/>
  <c r="J492" i="3"/>
  <c r="K492" i="3" s="1"/>
  <c r="J146" i="3"/>
  <c r="K146" i="3" s="1"/>
  <c r="J598" i="3"/>
  <c r="K598" i="3" s="1"/>
  <c r="J822" i="3"/>
  <c r="K822" i="3" s="1"/>
  <c r="J331" i="3"/>
  <c r="K331" i="3" s="1"/>
  <c r="J461" i="3"/>
  <c r="K461" i="3" s="1"/>
  <c r="J662" i="3"/>
  <c r="K662" i="3" s="1"/>
  <c r="J261" i="3"/>
  <c r="K261" i="3" s="1"/>
  <c r="J173" i="3"/>
  <c r="K173" i="3" s="1"/>
  <c r="J213" i="3"/>
  <c r="K213" i="3" s="1"/>
  <c r="J918" i="3"/>
  <c r="K918" i="3" s="1"/>
  <c r="J638" i="3"/>
  <c r="K638" i="3" s="1"/>
  <c r="J753" i="3"/>
  <c r="K753" i="3" s="1"/>
  <c r="J158" i="3"/>
  <c r="K158" i="3" s="1"/>
  <c r="J806" i="3"/>
  <c r="K806" i="3" s="1"/>
  <c r="J809" i="3"/>
  <c r="K809" i="3" s="1"/>
  <c r="J896" i="3"/>
  <c r="K896" i="3" s="1"/>
  <c r="J579" i="3"/>
  <c r="K579" i="3" s="1"/>
  <c r="J432" i="3"/>
  <c r="K432" i="3" s="1"/>
  <c r="J603" i="3"/>
  <c r="K603" i="3" s="1"/>
  <c r="J690" i="3"/>
  <c r="K690" i="3" s="1"/>
  <c r="J54" i="3"/>
  <c r="K54" i="3" s="1"/>
  <c r="J377" i="3"/>
  <c r="K377" i="3" s="1"/>
  <c r="J633" i="3"/>
  <c r="K633" i="3" s="1"/>
  <c r="J823" i="3"/>
  <c r="K823" i="3" s="1"/>
  <c r="W17" i="4" s="1"/>
  <c r="J221" i="3"/>
  <c r="K221" i="3" s="1"/>
  <c r="J211" i="3"/>
  <c r="K211" i="3" s="1"/>
  <c r="J251" i="3"/>
  <c r="K251" i="3" s="1"/>
  <c r="J558" i="3"/>
  <c r="K558" i="3" s="1"/>
  <c r="J627" i="3"/>
  <c r="K627" i="3" s="1"/>
  <c r="J281" i="3"/>
  <c r="K281" i="3" s="1"/>
  <c r="J494" i="3"/>
  <c r="K494" i="3" s="1"/>
  <c r="J695" i="3"/>
  <c r="J379" i="3"/>
  <c r="K379" i="3" s="1"/>
  <c r="J649" i="3"/>
  <c r="K649" i="3" s="1"/>
  <c r="J453" i="3"/>
  <c r="K453" i="3" s="1"/>
  <c r="J412" i="3"/>
  <c r="K412" i="3" s="1"/>
  <c r="J650" i="3"/>
  <c r="K650" i="3" s="1"/>
  <c r="J123" i="3"/>
  <c r="K123" i="3" s="1"/>
  <c r="J215" i="3"/>
  <c r="K215" i="3" s="1"/>
  <c r="J652" i="3"/>
  <c r="K652" i="3" s="1"/>
  <c r="J175" i="3"/>
  <c r="K175" i="3" s="1"/>
  <c r="J621" i="3"/>
  <c r="K621" i="3" s="1"/>
  <c r="J333" i="3"/>
  <c r="K333" i="3" s="1"/>
  <c r="J624" i="3"/>
  <c r="K624" i="3" s="1"/>
  <c r="J500" i="3"/>
  <c r="K500" i="3" s="1"/>
  <c r="J328" i="3"/>
  <c r="K328" i="3" s="1"/>
  <c r="J458" i="3"/>
  <c r="K458" i="3" s="1"/>
  <c r="J367" i="3"/>
  <c r="K367" i="3" s="1"/>
  <c r="J526" i="3"/>
  <c r="K526" i="3" s="1"/>
  <c r="J219" i="3"/>
  <c r="K219" i="3" s="1"/>
  <c r="J587" i="3"/>
  <c r="K587" i="3" s="1"/>
  <c r="J184" i="3"/>
  <c r="K184" i="3" s="1"/>
  <c r="J577" i="3"/>
  <c r="K577" i="3" s="1"/>
  <c r="J513" i="3"/>
  <c r="K513" i="3" s="1"/>
  <c r="J350" i="3"/>
  <c r="K350" i="3" s="1"/>
  <c r="J892" i="3"/>
  <c r="K892" i="3" s="1"/>
  <c r="J246" i="3"/>
  <c r="K246" i="3" s="1"/>
  <c r="J783" i="3"/>
  <c r="K783" i="3" s="1"/>
  <c r="J756" i="3"/>
  <c r="K756" i="3" s="1"/>
  <c r="J664" i="3"/>
  <c r="K664" i="3" s="1"/>
  <c r="J353" i="3"/>
  <c r="K353" i="3" s="1"/>
  <c r="J172" i="3"/>
  <c r="K172" i="3" s="1"/>
  <c r="J259" i="3"/>
  <c r="K259" i="3" s="1"/>
  <c r="J837" i="3"/>
  <c r="K837" i="3" s="1"/>
  <c r="J191" i="3"/>
  <c r="K191" i="3" s="1"/>
  <c r="J888" i="3"/>
  <c r="K888" i="3" s="1"/>
  <c r="J536" i="3"/>
  <c r="K536" i="3" s="1"/>
  <c r="T21" i="4" s="1"/>
  <c r="J143" i="3"/>
  <c r="K143" i="3" s="1"/>
  <c r="J404" i="3"/>
  <c r="K404" i="3" s="1"/>
  <c r="J90" i="3"/>
  <c r="K90" i="3" s="1"/>
  <c r="J159" i="3"/>
  <c r="K159" i="3" s="1"/>
  <c r="J273" i="3"/>
  <c r="K273" i="3" s="1"/>
  <c r="J727" i="3"/>
  <c r="K727" i="3" s="1"/>
  <c r="J731" i="3"/>
  <c r="K731" i="3" s="1"/>
  <c r="J22" i="3"/>
  <c r="K22" i="3" s="1"/>
  <c r="J415" i="3"/>
  <c r="K415" i="3" s="1"/>
  <c r="J826" i="3"/>
  <c r="K826" i="3" s="1"/>
  <c r="J443" i="3"/>
  <c r="K443" i="3" s="1"/>
  <c r="J239" i="3"/>
  <c r="K239" i="3" s="1"/>
  <c r="J659" i="3"/>
  <c r="K659" i="3" s="1"/>
  <c r="J503" i="3"/>
  <c r="K503" i="3" s="1"/>
  <c r="J550" i="3"/>
  <c r="K550" i="3" s="1"/>
  <c r="J30" i="3"/>
  <c r="K30" i="3" s="1"/>
  <c r="J436" i="3"/>
  <c r="K436" i="3" s="1"/>
  <c r="J192" i="3"/>
  <c r="K192" i="3" s="1"/>
  <c r="J796" i="3"/>
  <c r="K796" i="3" s="1"/>
  <c r="J788" i="3"/>
  <c r="K788" i="3" s="1"/>
  <c r="J909" i="3"/>
  <c r="K909" i="3" s="1"/>
  <c r="J767" i="3"/>
  <c r="K767" i="3" s="1"/>
  <c r="J634" i="3"/>
  <c r="K634" i="3" s="1"/>
  <c r="J345" i="3"/>
  <c r="K345" i="3" s="1"/>
  <c r="J122" i="3"/>
  <c r="K122" i="3" s="1"/>
  <c r="J418" i="3"/>
  <c r="K418" i="3" s="1"/>
  <c r="J275" i="3"/>
  <c r="K275" i="3" s="1"/>
  <c r="J611" i="3"/>
  <c r="K611" i="3" s="1"/>
  <c r="J417" i="3"/>
  <c r="K417" i="3" s="1"/>
  <c r="J237" i="3"/>
  <c r="K237" i="3" s="1"/>
  <c r="J673" i="3"/>
  <c r="K673" i="3" s="1"/>
  <c r="J779" i="3"/>
  <c r="K779" i="3" s="1"/>
  <c r="J698" i="3"/>
  <c r="K698" i="3" s="1"/>
  <c r="J533" i="3"/>
  <c r="K533" i="3" s="1"/>
  <c r="J411" i="3"/>
  <c r="K411" i="3" s="1"/>
  <c r="J426" i="3"/>
  <c r="K426" i="3" s="1"/>
  <c r="J205" i="3"/>
  <c r="K205" i="3" s="1"/>
  <c r="J467" i="3"/>
  <c r="K467" i="3" s="1"/>
  <c r="J195" i="3"/>
  <c r="K195" i="3" s="1"/>
  <c r="J641" i="3"/>
  <c r="K641" i="3" s="1"/>
  <c r="J757" i="3"/>
  <c r="K757" i="3" s="1"/>
  <c r="J188" i="3"/>
  <c r="K188" i="3" s="1"/>
  <c r="J549" i="3"/>
  <c r="K549" i="3" s="1"/>
  <c r="J781" i="3"/>
  <c r="K781" i="3" s="1"/>
  <c r="J108" i="3"/>
  <c r="K108" i="3" s="1"/>
  <c r="J358" i="3"/>
  <c r="K358" i="3" s="1"/>
  <c r="J793" i="3"/>
  <c r="K793" i="3" s="1"/>
  <c r="J84" i="3"/>
  <c r="K84" i="3" s="1"/>
  <c r="J321" i="3"/>
  <c r="K321" i="3" s="1"/>
  <c r="J752" i="3"/>
  <c r="K752" i="3" s="1"/>
  <c r="J80" i="3"/>
  <c r="K80" i="3" s="1"/>
  <c r="J382" i="3"/>
  <c r="K382" i="3" s="1"/>
  <c r="J596" i="3"/>
  <c r="K596" i="3" s="1"/>
  <c r="J288" i="3"/>
  <c r="K288" i="3" s="1"/>
  <c r="J774" i="3"/>
  <c r="K774" i="3" s="1"/>
  <c r="J785" i="3"/>
  <c r="K785" i="3" s="1"/>
  <c r="J383" i="3"/>
  <c r="K383" i="3" s="1"/>
  <c r="J225" i="3"/>
  <c r="K225" i="3" s="1"/>
  <c r="J635" i="3"/>
  <c r="K635" i="3" s="1"/>
  <c r="J571" i="3"/>
  <c r="K571" i="3" s="1"/>
  <c r="J732" i="3"/>
  <c r="K732" i="3" s="1"/>
  <c r="V14" i="4" s="1"/>
  <c r="J478" i="3"/>
  <c r="K478" i="3" s="1"/>
  <c r="G12" i="4"/>
  <c r="J283" i="3"/>
  <c r="K283" i="3" s="1"/>
  <c r="J763" i="3"/>
  <c r="K763" i="3" s="1"/>
  <c r="J562" i="3"/>
  <c r="K562" i="3" s="1"/>
  <c r="J349" i="3"/>
  <c r="K349" i="3" s="1"/>
  <c r="J486" i="3"/>
  <c r="K486" i="3" s="1"/>
  <c r="S6" i="4" s="1"/>
  <c r="J166" i="3"/>
  <c r="K166" i="3" s="1"/>
  <c r="J645" i="3"/>
  <c r="K645" i="3" s="1"/>
  <c r="J437" i="3"/>
  <c r="K437" i="3" s="1"/>
  <c r="J644" i="3"/>
  <c r="K644" i="3" s="1"/>
  <c r="J643" i="3"/>
  <c r="K643" i="3" s="1"/>
  <c r="J923" i="3"/>
  <c r="J618" i="3"/>
  <c r="K618" i="3" s="1"/>
  <c r="J302" i="3"/>
  <c r="K302" i="3" s="1"/>
  <c r="J327" i="3"/>
  <c r="K327" i="3" s="1"/>
  <c r="J692" i="3"/>
  <c r="K692" i="3" s="1"/>
  <c r="J711" i="3"/>
  <c r="K711" i="3" s="1"/>
  <c r="J717" i="3"/>
  <c r="K717" i="3" s="1"/>
  <c r="J872" i="3"/>
  <c r="K872" i="3" s="1"/>
  <c r="J835" i="3"/>
  <c r="K835" i="3" s="1"/>
  <c r="J877" i="3"/>
  <c r="K877" i="3" s="1"/>
  <c r="J185" i="3"/>
  <c r="K185" i="3" s="1"/>
  <c r="J187" i="3"/>
  <c r="K187" i="3" s="1"/>
  <c r="J610" i="3"/>
  <c r="K610" i="3" s="1"/>
  <c r="J671" i="3"/>
  <c r="K671" i="3" s="1"/>
  <c r="J182" i="3"/>
  <c r="K182" i="3" s="1"/>
  <c r="J207" i="3"/>
  <c r="K207" i="3" s="1"/>
  <c r="J749" i="3"/>
  <c r="K749" i="3" s="1"/>
  <c r="J921" i="3"/>
  <c r="K921" i="3" s="1"/>
  <c r="J222" i="3"/>
  <c r="K222" i="3" s="1"/>
  <c r="J305" i="3"/>
  <c r="K305" i="3" s="1"/>
  <c r="J795" i="3"/>
  <c r="K795" i="3" s="1"/>
  <c r="J230" i="3"/>
  <c r="K230" i="3" s="1"/>
  <c r="J623" i="3"/>
  <c r="K623" i="3" s="1"/>
  <c r="J28" i="3"/>
  <c r="K28" i="3" s="1"/>
  <c r="J307" i="3"/>
  <c r="K307" i="3" s="1"/>
  <c r="J419" i="3"/>
  <c r="K419" i="3" s="1"/>
  <c r="J654" i="3"/>
  <c r="K654" i="3" s="1"/>
  <c r="J294" i="3"/>
  <c r="J344" i="3"/>
  <c r="K344" i="3" s="1"/>
  <c r="J268" i="3"/>
  <c r="K268" i="3" s="1"/>
  <c r="J169" i="3"/>
  <c r="K169" i="3" s="1"/>
  <c r="J312" i="3"/>
  <c r="K312" i="3" s="1"/>
  <c r="J679" i="3"/>
  <c r="K679" i="3" s="1"/>
  <c r="J416" i="3"/>
  <c r="K416" i="3" s="1"/>
  <c r="J439" i="3"/>
  <c r="K439" i="3" s="1"/>
  <c r="J189" i="3"/>
  <c r="K189" i="3" s="1"/>
  <c r="J678" i="3"/>
  <c r="K678" i="3" s="1"/>
  <c r="J904" i="3"/>
  <c r="K904" i="3" s="1"/>
  <c r="J869" i="3"/>
  <c r="K869" i="3" s="1"/>
  <c r="J216" i="3"/>
  <c r="K216" i="3" s="1"/>
  <c r="J768" i="3"/>
  <c r="K768" i="3" s="1"/>
  <c r="J381" i="3"/>
  <c r="K381" i="3" s="1"/>
  <c r="J605" i="3"/>
  <c r="K605" i="3" s="1"/>
  <c r="J747" i="3"/>
  <c r="K747" i="3" s="1"/>
  <c r="J183" i="3"/>
  <c r="K183" i="3" s="1"/>
  <c r="J913" i="3"/>
  <c r="K913" i="3" s="1"/>
  <c r="J405" i="3"/>
  <c r="K405" i="3" s="1"/>
  <c r="J666" i="3"/>
  <c r="K666" i="3" s="1"/>
  <c r="J773" i="3"/>
  <c r="K773" i="3" s="1"/>
  <c r="J905" i="3"/>
  <c r="K905" i="3" s="1"/>
  <c r="J347" i="3"/>
  <c r="K347" i="3" s="1"/>
  <c r="J136" i="3"/>
  <c r="K136" i="3" s="1"/>
  <c r="J332" i="3"/>
  <c r="K332" i="3" s="1"/>
  <c r="J819" i="3"/>
  <c r="K819" i="3" s="1"/>
  <c r="J708" i="3"/>
  <c r="K708" i="3" s="1"/>
  <c r="J759" i="3"/>
  <c r="K759" i="3" s="1"/>
  <c r="J884" i="3"/>
  <c r="K884" i="3" s="1"/>
  <c r="J372" i="3"/>
  <c r="K372" i="3" s="1"/>
  <c r="J560" i="3"/>
  <c r="K560" i="3" s="1"/>
  <c r="J297" i="3"/>
  <c r="K297" i="3" s="1"/>
  <c r="J255" i="3"/>
  <c r="K255" i="3" s="1"/>
  <c r="J761" i="3"/>
  <c r="K761" i="3" s="1"/>
  <c r="J881" i="3"/>
  <c r="K881" i="3" s="1"/>
  <c r="J433" i="3"/>
  <c r="K433" i="3" s="1"/>
  <c r="J688" i="3"/>
  <c r="K688" i="3" s="1"/>
  <c r="J459" i="3"/>
  <c r="K459" i="3" s="1"/>
  <c r="J167" i="3"/>
  <c r="K167" i="3" s="1"/>
  <c r="J247" i="3"/>
  <c r="K247" i="3" s="1"/>
  <c r="J160" i="3"/>
  <c r="K160" i="3" s="1"/>
  <c r="J871" i="3"/>
  <c r="K871" i="3" s="1"/>
  <c r="X14" i="4" s="1"/>
  <c r="J264" i="3"/>
  <c r="K264" i="3" s="1"/>
  <c r="J400" i="3"/>
  <c r="K400" i="3" s="1"/>
  <c r="J457" i="3"/>
  <c r="K457" i="3" s="1"/>
  <c r="J600" i="3"/>
  <c r="K600" i="3" s="1"/>
  <c r="J339" i="3"/>
  <c r="K339" i="3" s="1"/>
  <c r="J665" i="3"/>
  <c r="K665" i="3" s="1"/>
  <c r="J325" i="3"/>
  <c r="K325" i="3" s="1"/>
  <c r="R14" i="4" s="1"/>
  <c r="J236" i="3"/>
  <c r="K236" i="3" s="1"/>
  <c r="J181" i="3"/>
  <c r="K181" i="3" s="1"/>
  <c r="J128" i="3"/>
  <c r="K128" i="3" s="1"/>
  <c r="J423" i="3"/>
  <c r="K423" i="3" s="1"/>
  <c r="J365" i="3"/>
  <c r="K365" i="3" s="1"/>
  <c r="J485" i="3"/>
  <c r="K485" i="3" s="1"/>
  <c r="J446" i="3"/>
  <c r="K446" i="3" s="1"/>
  <c r="J901" i="3"/>
  <c r="K901" i="3" s="1"/>
  <c r="J639" i="3"/>
  <c r="K639" i="3" s="1"/>
  <c r="J885" i="3"/>
  <c r="K885" i="3" s="1"/>
  <c r="J238" i="3"/>
  <c r="K238" i="3" s="1"/>
  <c r="J713" i="3"/>
  <c r="K713" i="3" s="1"/>
  <c r="J702" i="3"/>
  <c r="K702" i="3" s="1"/>
  <c r="J902" i="3"/>
  <c r="K902" i="3" s="1"/>
  <c r="J582" i="3"/>
  <c r="K582" i="3" s="1"/>
  <c r="T12" i="4" s="1"/>
  <c r="J508" i="3"/>
  <c r="K508" i="3" s="1"/>
  <c r="J337" i="3"/>
  <c r="K337" i="3" s="1"/>
  <c r="J369" i="3"/>
  <c r="K369" i="3" s="1"/>
  <c r="R6" i="4" s="1"/>
  <c r="J449" i="3"/>
  <c r="K449" i="3" s="1"/>
  <c r="J524" i="3"/>
  <c r="K524" i="3" s="1"/>
  <c r="J898" i="3"/>
  <c r="K898" i="3" s="1"/>
  <c r="J497" i="3"/>
  <c r="K497" i="3" s="1"/>
  <c r="J845" i="3"/>
  <c r="K845" i="3" s="1"/>
  <c r="J206" i="3"/>
  <c r="K206" i="3" s="1"/>
  <c r="J628" i="3"/>
  <c r="K628" i="3" s="1"/>
  <c r="J371" i="3"/>
  <c r="K371" i="3" s="1"/>
  <c r="J441" i="3"/>
  <c r="K441" i="3" s="1"/>
  <c r="J907" i="3"/>
  <c r="K907" i="3" s="1"/>
  <c r="J849" i="3"/>
  <c r="K849" i="3" s="1"/>
  <c r="J243" i="3"/>
  <c r="K243" i="3" s="1"/>
  <c r="J348" i="3"/>
  <c r="K348" i="3" s="1"/>
  <c r="J857" i="3"/>
  <c r="K857" i="3" s="1"/>
  <c r="J208" i="3"/>
  <c r="K208" i="3" s="1"/>
  <c r="J787" i="3"/>
  <c r="K787" i="3" s="1"/>
  <c r="J917" i="3"/>
  <c r="K917" i="3" s="1"/>
  <c r="J591" i="3"/>
  <c r="K591" i="3" s="1"/>
  <c r="J291" i="3"/>
  <c r="K291" i="3" s="1"/>
  <c r="J669" i="3"/>
  <c r="K669" i="3" s="1"/>
  <c r="J584" i="3"/>
  <c r="K584" i="3" s="1"/>
  <c r="J174" i="3"/>
  <c r="K174" i="3" s="1"/>
  <c r="J272" i="3"/>
  <c r="K272" i="3" s="1"/>
  <c r="J920" i="3"/>
  <c r="K920" i="3" s="1"/>
  <c r="J791" i="3"/>
  <c r="K791" i="3" s="1"/>
  <c r="J296" i="3"/>
  <c r="K296" i="3" s="1"/>
  <c r="J716" i="3"/>
  <c r="K716" i="3" s="1"/>
  <c r="J705" i="3"/>
  <c r="K705" i="3" s="1"/>
  <c r="J368" i="3"/>
  <c r="K368" i="3" s="1"/>
  <c r="J726" i="3"/>
  <c r="K726" i="3" s="1"/>
  <c r="J309" i="3"/>
  <c r="K309" i="3" s="1"/>
  <c r="J843" i="3"/>
  <c r="K843" i="3" s="1"/>
  <c r="J878" i="3"/>
  <c r="K878" i="3" s="1"/>
  <c r="J388" i="3"/>
  <c r="K388" i="3" s="1"/>
  <c r="J471" i="3"/>
  <c r="K471" i="3" s="1"/>
  <c r="J106" i="3"/>
  <c r="K106" i="3" s="1"/>
  <c r="J515" i="3"/>
  <c r="K515" i="3" s="1"/>
  <c r="J56" i="3"/>
  <c r="K56" i="3" s="1"/>
  <c r="J919" i="3"/>
  <c r="K919" i="3" s="1"/>
  <c r="J161" i="3"/>
  <c r="K161" i="3" s="1"/>
  <c r="J588" i="3"/>
  <c r="K588" i="3" s="1"/>
  <c r="J224" i="3"/>
  <c r="K224" i="3" s="1"/>
  <c r="J447" i="3"/>
  <c r="K447" i="3" s="1"/>
  <c r="J92" i="3"/>
  <c r="K92" i="3" s="1"/>
  <c r="J64" i="3"/>
  <c r="K64" i="3" s="1"/>
  <c r="J180" i="3"/>
  <c r="K180" i="3" s="1"/>
  <c r="J858" i="3"/>
  <c r="K858" i="3" s="1"/>
  <c r="J517" i="3"/>
  <c r="K517" i="3" s="1"/>
  <c r="J308" i="3"/>
  <c r="K308" i="3" s="1"/>
  <c r="J83" i="3"/>
  <c r="K83" i="3" s="1"/>
  <c r="J19" i="3"/>
  <c r="K19" i="3" s="1"/>
  <c r="J567" i="3"/>
  <c r="K567" i="3" s="1"/>
  <c r="J505" i="3"/>
  <c r="K505" i="3" s="1"/>
  <c r="J286" i="3"/>
  <c r="K286" i="3" s="1"/>
  <c r="J851" i="3"/>
  <c r="K851" i="3" s="1"/>
  <c r="J865" i="3"/>
  <c r="K865" i="3" s="1"/>
  <c r="J253" i="3"/>
  <c r="K253" i="3" s="1"/>
  <c r="J435" i="3"/>
  <c r="K435" i="3" s="1"/>
  <c r="J316" i="3"/>
  <c r="K316" i="3" s="1"/>
  <c r="J421" i="3"/>
  <c r="K421" i="3" s="1"/>
  <c r="J723" i="3"/>
  <c r="K723" i="3" s="1"/>
  <c r="J204" i="3"/>
  <c r="K204" i="3" s="1"/>
  <c r="J256" i="3"/>
  <c r="K256" i="3" s="1"/>
  <c r="J614" i="3"/>
  <c r="K614" i="3" s="1"/>
  <c r="J648" i="3"/>
  <c r="K648" i="3" s="1"/>
  <c r="J677" i="3"/>
  <c r="K677" i="3" s="1"/>
  <c r="J538" i="3"/>
  <c r="K538" i="3" s="1"/>
  <c r="J66" i="3"/>
  <c r="K66" i="3" s="1"/>
  <c r="J709" i="3"/>
  <c r="K709" i="3" s="1"/>
  <c r="J269" i="3"/>
  <c r="K269" i="3" s="1"/>
  <c r="J329" i="3"/>
  <c r="K329" i="3" s="1"/>
  <c r="J20" i="3"/>
  <c r="K20" i="3" s="1"/>
  <c r="J25" i="3"/>
  <c r="K25" i="3" s="1"/>
  <c r="J364" i="3"/>
  <c r="K364" i="3" s="1"/>
  <c r="J853" i="3"/>
  <c r="K853" i="3" s="1"/>
  <c r="J718" i="3"/>
  <c r="K718" i="3" s="1"/>
  <c r="J252" i="3"/>
  <c r="K252" i="3" s="1"/>
  <c r="J374" i="3"/>
  <c r="K374" i="3" s="1"/>
  <c r="J696" i="3"/>
  <c r="K696" i="3" s="1"/>
  <c r="J790" i="3"/>
  <c r="K790" i="3" s="1"/>
  <c r="J547" i="3"/>
  <c r="K547" i="3" s="1"/>
  <c r="J293" i="3"/>
  <c r="K293" i="3" s="1"/>
  <c r="J712" i="3"/>
  <c r="K712" i="3" s="1"/>
  <c r="J882" i="3"/>
  <c r="K882" i="3" s="1"/>
  <c r="J528" i="3"/>
  <c r="K528" i="3" s="1"/>
  <c r="J546" i="3"/>
  <c r="K546" i="3" s="1"/>
  <c r="J576" i="3"/>
  <c r="K576" i="3" s="1"/>
  <c r="J729" i="3"/>
  <c r="K729" i="3" s="1"/>
  <c r="J657" i="3"/>
  <c r="K657" i="3" s="1"/>
  <c r="J142" i="3"/>
  <c r="K142" i="3" s="1"/>
  <c r="J501" i="3"/>
  <c r="K501" i="3" s="1"/>
  <c r="J249" i="3"/>
  <c r="K249" i="3" s="1"/>
  <c r="J229" i="3"/>
  <c r="K229" i="3" s="1"/>
  <c r="J672" i="3"/>
  <c r="K672" i="3" s="1"/>
  <c r="J109" i="3"/>
  <c r="K109" i="3" s="1"/>
  <c r="J609" i="3"/>
  <c r="K609" i="3" s="1"/>
  <c r="J811" i="3"/>
  <c r="K811" i="3" s="1"/>
  <c r="J847" i="3"/>
  <c r="K847" i="3" s="1"/>
  <c r="J135" i="3"/>
  <c r="K135" i="3" s="1"/>
  <c r="J863" i="3"/>
  <c r="K863" i="3" s="1"/>
  <c r="J509" i="3"/>
  <c r="K509" i="3" s="1"/>
  <c r="J31" i="3"/>
  <c r="K31" i="3" s="1"/>
  <c r="J366" i="3"/>
  <c r="K366" i="3" s="1"/>
  <c r="J715" i="3"/>
  <c r="K715" i="3" s="1"/>
  <c r="J736" i="3"/>
  <c r="K736" i="3" s="1"/>
  <c r="J523" i="3"/>
  <c r="K523" i="3" s="1"/>
  <c r="J389" i="3"/>
  <c r="K389" i="3" s="1"/>
  <c r="J697" i="3"/>
  <c r="K697" i="3" s="1"/>
  <c r="J277" i="3"/>
  <c r="K277" i="3" s="1"/>
  <c r="Q21" i="4" s="1"/>
  <c r="J403" i="3"/>
  <c r="K403" i="3" s="1"/>
  <c r="J162" i="3"/>
  <c r="J894" i="3"/>
  <c r="K894" i="3" s="1"/>
  <c r="G21" i="4"/>
  <c r="J468" i="3"/>
  <c r="K468" i="3" s="1"/>
  <c r="J199" i="3"/>
  <c r="K199" i="3" s="1"/>
  <c r="J532" i="3"/>
  <c r="K532" i="3" s="1"/>
  <c r="J171" i="3"/>
  <c r="K171" i="3" s="1"/>
  <c r="J516" i="3"/>
  <c r="K516" i="3" s="1"/>
  <c r="J699" i="3"/>
  <c r="K699" i="3" s="1"/>
  <c r="J630" i="3"/>
  <c r="K630" i="3" s="1"/>
  <c r="J721" i="3"/>
  <c r="K721" i="3" s="1"/>
  <c r="J355" i="3"/>
  <c r="K355" i="3" s="1"/>
  <c r="J105" i="3"/>
  <c r="K105" i="3" s="1"/>
  <c r="J324" i="3"/>
  <c r="K324" i="3" s="1"/>
  <c r="J817" i="3"/>
  <c r="K817" i="3" s="1"/>
  <c r="J916" i="3"/>
  <c r="K916" i="3" s="1"/>
  <c r="J57" i="3"/>
  <c r="K57" i="3" s="1"/>
  <c r="J687" i="3"/>
  <c r="K687" i="3" s="1"/>
  <c r="J557" i="3"/>
  <c r="K557" i="3" s="1"/>
  <c r="J722" i="3"/>
  <c r="K722" i="3" s="1"/>
  <c r="J475" i="3"/>
  <c r="K475" i="3" s="1"/>
  <c r="J868" i="3"/>
  <c r="K868" i="3" s="1"/>
  <c r="J44" i="3"/>
  <c r="K44" i="3" s="1"/>
  <c r="J315" i="3"/>
  <c r="K315" i="3" s="1"/>
  <c r="J661" i="3"/>
  <c r="K661" i="3" s="1"/>
  <c r="J399" i="3"/>
  <c r="K399" i="3" s="1"/>
  <c r="J86" i="3"/>
  <c r="K86" i="3" s="1"/>
  <c r="J544" i="3"/>
  <c r="K544" i="3" s="1"/>
  <c r="J580" i="3"/>
  <c r="K580" i="3" s="1"/>
  <c r="J477" i="3"/>
  <c r="K477" i="3" s="1"/>
  <c r="J387" i="3"/>
  <c r="K387" i="3" s="1"/>
  <c r="J323" i="3"/>
  <c r="K323" i="3" s="1"/>
  <c r="J725" i="3"/>
  <c r="K725" i="3" s="1"/>
  <c r="J43" i="3"/>
  <c r="K43" i="3" s="1"/>
  <c r="J179" i="3"/>
  <c r="K179" i="3" s="1"/>
  <c r="J343" i="3"/>
  <c r="K343" i="3" s="1"/>
  <c r="J474" i="3"/>
  <c r="K474" i="3" s="1"/>
  <c r="J651" i="3"/>
  <c r="K651" i="3" s="1"/>
  <c r="J914" i="3"/>
  <c r="K914" i="3" s="1"/>
  <c r="J597" i="3"/>
  <c r="J563" i="3"/>
  <c r="K563" i="3" s="1"/>
  <c r="J356" i="3"/>
  <c r="K356" i="3" s="1"/>
  <c r="J91" i="3"/>
  <c r="K91" i="3" s="1"/>
  <c r="J115" i="3"/>
  <c r="K115" i="3" s="1"/>
  <c r="J735" i="3"/>
  <c r="K735" i="3" s="1"/>
  <c r="J855" i="3"/>
  <c r="K855" i="3" s="1"/>
  <c r="J813" i="3"/>
  <c r="K813" i="3" s="1"/>
  <c r="J801" i="3"/>
  <c r="K801" i="3" s="1"/>
  <c r="W18" i="4" s="1"/>
  <c r="J889" i="3"/>
  <c r="K889" i="3" s="1"/>
  <c r="J141" i="3"/>
  <c r="K141" i="3" s="1"/>
  <c r="J566" i="3"/>
  <c r="K566" i="3" s="1"/>
  <c r="J198" i="3"/>
  <c r="K198" i="3" s="1"/>
  <c r="J284" i="3"/>
  <c r="K284" i="3" s="1"/>
  <c r="J592" i="3"/>
  <c r="K592" i="3" s="1"/>
  <c r="J866" i="3"/>
  <c r="K866" i="3" s="1"/>
  <c r="J581" i="3"/>
  <c r="K581" i="3" s="1"/>
  <c r="J906" i="3"/>
  <c r="K906" i="3" s="1"/>
  <c r="J601" i="3"/>
  <c r="K601" i="3" s="1"/>
  <c r="J361" i="3"/>
  <c r="K361" i="3" s="1"/>
  <c r="J908" i="3"/>
  <c r="K908" i="3" s="1"/>
  <c r="J568" i="3"/>
  <c r="K568" i="3" s="1"/>
  <c r="J805" i="3"/>
  <c r="K805" i="3" s="1"/>
  <c r="J163" i="3"/>
  <c r="K163" i="3" s="1"/>
  <c r="J594" i="3"/>
  <c r="K594" i="3" s="1"/>
  <c r="J131" i="3"/>
  <c r="K131" i="3" s="1"/>
  <c r="J899" i="3"/>
  <c r="K899" i="3" s="1"/>
  <c r="J663" i="3"/>
  <c r="K663" i="3" s="1"/>
  <c r="J493" i="3"/>
  <c r="K493" i="3" s="1"/>
  <c r="J193" i="3"/>
  <c r="K193" i="3" s="1"/>
  <c r="J18" i="3"/>
  <c r="K18" i="3" s="1"/>
  <c r="J359" i="3"/>
  <c r="K359" i="3" s="1"/>
  <c r="J548" i="3"/>
  <c r="K548" i="3" s="1"/>
  <c r="T20" i="4" s="1"/>
  <c r="J130" i="3"/>
  <c r="K130" i="3" s="1"/>
  <c r="J310" i="3"/>
  <c r="K310" i="3" s="1"/>
  <c r="J814" i="3"/>
  <c r="K814" i="3" s="1"/>
  <c r="W12" i="4" s="1"/>
  <c r="J620" i="3"/>
  <c r="K620" i="3" s="1"/>
  <c r="J460" i="3"/>
  <c r="K460" i="3" s="1"/>
  <c r="J276" i="3"/>
  <c r="K276" i="3" s="1"/>
  <c r="J209" i="3"/>
  <c r="K209" i="3" s="1"/>
  <c r="J534" i="3"/>
  <c r="K534" i="3" s="1"/>
  <c r="J197" i="3"/>
  <c r="K197" i="3" s="1"/>
  <c r="J318" i="3"/>
  <c r="K318" i="3" s="1"/>
  <c r="J248" i="3"/>
  <c r="K248" i="3" s="1"/>
  <c r="J170" i="3"/>
  <c r="K170" i="3" s="1"/>
  <c r="J473" i="3"/>
  <c r="K473" i="3" s="1"/>
  <c r="J476" i="3"/>
  <c r="K476" i="3" s="1"/>
  <c r="J65" i="3"/>
  <c r="K65" i="3" s="1"/>
  <c r="J401" i="3"/>
  <c r="K401" i="3" s="1"/>
  <c r="J606" i="3"/>
  <c r="K606" i="3" s="1"/>
  <c r="J469" i="3"/>
  <c r="K469" i="3" s="1"/>
  <c r="J660" i="3"/>
  <c r="K660" i="3" s="1"/>
  <c r="J212" i="3"/>
  <c r="K212" i="3" s="1"/>
  <c r="J454" i="3"/>
  <c r="K454" i="3" s="1"/>
  <c r="G20" i="4"/>
  <c r="J502" i="3"/>
  <c r="K502" i="3" s="1"/>
  <c r="J848" i="3"/>
  <c r="K848" i="3" s="1"/>
  <c r="J575" i="3"/>
  <c r="K575" i="3" s="1"/>
  <c r="J483" i="3"/>
  <c r="K483" i="3" s="1"/>
  <c r="J535" i="3"/>
  <c r="K535" i="3" s="1"/>
  <c r="J29" i="3"/>
  <c r="K29" i="3" s="1"/>
  <c r="J766" i="3"/>
  <c r="K766" i="3" s="1"/>
  <c r="J68" i="3"/>
  <c r="K68" i="3" s="1"/>
  <c r="J784" i="3"/>
  <c r="K784" i="3" s="1"/>
  <c r="J830" i="3"/>
  <c r="K830" i="3" s="1"/>
  <c r="J540" i="3"/>
  <c r="K540" i="3" s="1"/>
  <c r="J104" i="3"/>
  <c r="K104" i="3" s="1"/>
  <c r="P15" i="4" s="1"/>
  <c r="J489" i="3"/>
  <c r="K489" i="3" s="1"/>
  <c r="J484" i="3"/>
  <c r="K484" i="3" s="1"/>
  <c r="J572" i="3"/>
  <c r="K572" i="3" s="1"/>
  <c r="G11" i="4"/>
  <c r="J825" i="3"/>
  <c r="K825" i="3" s="1"/>
  <c r="D18" i="4"/>
  <c r="J891" i="3"/>
  <c r="K891" i="3" s="1"/>
  <c r="J772" i="3"/>
  <c r="K772" i="3" s="1"/>
  <c r="J564" i="3"/>
  <c r="K564" i="3" s="1"/>
  <c r="J599" i="3"/>
  <c r="K599" i="3" s="1"/>
  <c r="J838" i="3"/>
  <c r="K838" i="3" s="1"/>
  <c r="J165" i="3"/>
  <c r="K165" i="3" s="1"/>
  <c r="J481" i="3"/>
  <c r="K481" i="3" s="1"/>
  <c r="J125" i="3"/>
  <c r="K125" i="3" s="1"/>
  <c r="J85" i="3"/>
  <c r="K85" i="3" s="1"/>
  <c r="J804" i="3"/>
  <c r="K804" i="3" s="1"/>
  <c r="J49" i="3"/>
  <c r="K49" i="3" s="1"/>
  <c r="J846" i="3"/>
  <c r="K846" i="3" s="1"/>
  <c r="J431" i="3"/>
  <c r="K431" i="3" s="1"/>
  <c r="J487" i="3"/>
  <c r="K487" i="3" s="1"/>
  <c r="J101" i="3"/>
  <c r="K101" i="3" s="1"/>
  <c r="P14" i="4" s="1"/>
  <c r="J21" i="3"/>
  <c r="K21" i="3" s="1"/>
  <c r="J867" i="3"/>
  <c r="K867" i="3" s="1"/>
  <c r="G14" i="4"/>
  <c r="J755" i="3"/>
  <c r="K755" i="3" s="1"/>
  <c r="J780" i="3"/>
  <c r="K780" i="3" s="1"/>
  <c r="J69" i="3"/>
  <c r="K69" i="3" s="1"/>
  <c r="J782" i="3"/>
  <c r="K782" i="3" s="1"/>
  <c r="J129" i="3"/>
  <c r="K129" i="3" s="1"/>
  <c r="J442" i="3"/>
  <c r="K442" i="3" s="1"/>
  <c r="J521" i="3"/>
  <c r="K521" i="3" s="1"/>
  <c r="J40" i="3"/>
  <c r="K40" i="3" s="1"/>
  <c r="J531" i="3"/>
  <c r="K531" i="3" s="1"/>
  <c r="J455" i="3"/>
  <c r="K455" i="3" s="1"/>
  <c r="J495" i="3"/>
  <c r="K495" i="3" s="1"/>
  <c r="J140" i="3"/>
  <c r="K140" i="3" s="1"/>
  <c r="J543" i="3"/>
  <c r="K543" i="3" s="1"/>
  <c r="J120" i="3"/>
  <c r="K120" i="3" s="1"/>
  <c r="J740" i="3"/>
  <c r="K740" i="3" s="1"/>
  <c r="G18" i="4"/>
  <c r="J810" i="3"/>
  <c r="K810" i="3" s="1"/>
  <c r="J859" i="3"/>
  <c r="K859" i="3" s="1"/>
  <c r="J800" i="3"/>
  <c r="K800" i="3" s="1"/>
  <c r="J856" i="3"/>
  <c r="K856" i="3" s="1"/>
  <c r="J37" i="3"/>
  <c r="K37" i="3" s="1"/>
  <c r="J438" i="3"/>
  <c r="K438" i="3" s="1"/>
  <c r="J883" i="3"/>
  <c r="K883" i="3" s="1"/>
  <c r="J758" i="3"/>
  <c r="K758" i="3" s="1"/>
  <c r="G16" i="4"/>
  <c r="J764" i="3"/>
  <c r="K764" i="3" s="1"/>
  <c r="J798" i="3"/>
  <c r="K798" i="3" s="1"/>
  <c r="W21" i="4" s="1"/>
  <c r="J556" i="3"/>
  <c r="K556" i="3" s="1"/>
  <c r="G9" i="4"/>
  <c r="J168" i="3"/>
  <c r="K168" i="3" s="1"/>
  <c r="J829" i="3"/>
  <c r="K829" i="3" s="1"/>
  <c r="J116" i="3"/>
  <c r="K116" i="3" s="1"/>
  <c r="J612" i="3"/>
  <c r="K612" i="3" s="1"/>
  <c r="J818" i="3"/>
  <c r="K818" i="3" s="1"/>
  <c r="J864" i="3"/>
  <c r="K864" i="3" s="1"/>
  <c r="J527" i="3"/>
  <c r="K527" i="3" s="1"/>
  <c r="J734" i="3"/>
  <c r="K734" i="3" s="1"/>
  <c r="J121" i="3"/>
  <c r="K121" i="3" s="1"/>
  <c r="J434" i="3"/>
  <c r="K434" i="3" s="1"/>
  <c r="J124" i="3"/>
  <c r="K124" i="3" s="1"/>
  <c r="J742" i="3"/>
  <c r="K742" i="3" s="1"/>
  <c r="J81" i="3"/>
  <c r="K81" i="3" s="1"/>
  <c r="J117" i="3"/>
  <c r="K117" i="3" s="1"/>
  <c r="J595" i="3"/>
  <c r="K595" i="3" s="1"/>
  <c r="J462" i="3"/>
  <c r="K462" i="3" s="1"/>
  <c r="J771" i="3"/>
  <c r="K771" i="3" s="1"/>
  <c r="J748" i="3"/>
  <c r="K748" i="3" s="1"/>
  <c r="J803" i="3"/>
  <c r="K803" i="3" s="1"/>
  <c r="W5" i="4" s="1"/>
  <c r="J511" i="3"/>
  <c r="K511" i="3" s="1"/>
  <c r="J410" i="3"/>
  <c r="K410" i="3" s="1"/>
  <c r="J470" i="3"/>
  <c r="K470" i="3" s="1"/>
  <c r="G17" i="4"/>
  <c r="G6" i="4"/>
  <c r="G8" i="4"/>
  <c r="D11" i="4"/>
  <c r="H5" i="4"/>
  <c r="H15" i="4"/>
  <c r="K16" i="4"/>
  <c r="I18" i="4"/>
  <c r="J21" i="4"/>
  <c r="F12" i="4"/>
  <c r="F17" i="4"/>
  <c r="H11" i="4"/>
  <c r="D21" i="4"/>
  <c r="F22" i="4"/>
  <c r="E22" i="4"/>
  <c r="E11" i="4"/>
  <c r="H19" i="4"/>
  <c r="K17" i="4"/>
  <c r="K22" i="4"/>
  <c r="I14" i="4"/>
  <c r="F13" i="4"/>
  <c r="F10" i="4"/>
  <c r="K15" i="4"/>
  <c r="G5" i="4"/>
  <c r="I17" i="4"/>
  <c r="H8" i="4"/>
  <c r="I22" i="4"/>
  <c r="F16" i="4"/>
  <c r="F21" i="4"/>
  <c r="F15" i="4"/>
  <c r="F20" i="4"/>
  <c r="K20" i="4"/>
  <c r="J12" i="4"/>
  <c r="D14" i="4"/>
  <c r="I12" i="4"/>
  <c r="F5" i="4"/>
  <c r="E21" i="4"/>
  <c r="J11" i="4"/>
  <c r="E9" i="4"/>
  <c r="H21" i="4"/>
  <c r="K10" i="4"/>
  <c r="D8" i="4"/>
  <c r="D6" i="4"/>
  <c r="H13" i="4"/>
  <c r="D9" i="4"/>
  <c r="E14" i="4"/>
  <c r="D12" i="4"/>
  <c r="J22" i="4"/>
  <c r="D13" i="4"/>
  <c r="F18" i="4"/>
  <c r="I10" i="4"/>
  <c r="E5" i="4"/>
  <c r="E18" i="4"/>
  <c r="J10" i="4"/>
  <c r="K7" i="4"/>
  <c r="H9" i="4"/>
  <c r="J17" i="4"/>
  <c r="G15" i="4"/>
  <c r="I15" i="4"/>
  <c r="J8" i="4"/>
  <c r="I21" i="4"/>
  <c r="D22" i="4"/>
  <c r="D15" i="4"/>
  <c r="E12" i="4"/>
  <c r="I13" i="4"/>
  <c r="K8" i="4"/>
  <c r="J6" i="4"/>
  <c r="J13" i="4"/>
  <c r="F7" i="4"/>
  <c r="K12" i="4"/>
  <c r="F8" i="4"/>
  <c r="E15" i="4"/>
  <c r="I16" i="4"/>
  <c r="F19" i="4"/>
  <c r="H20" i="4"/>
  <c r="I7" i="4"/>
  <c r="H14" i="4"/>
  <c r="H17" i="4"/>
  <c r="J5" i="4"/>
  <c r="K18" i="4"/>
  <c r="H6" i="4"/>
  <c r="K13" i="4"/>
  <c r="J14" i="4"/>
  <c r="F11" i="4"/>
  <c r="I19" i="4"/>
  <c r="F9" i="4"/>
  <c r="J7" i="4"/>
  <c r="J9" i="4"/>
  <c r="C11" i="4"/>
  <c r="D7" i="4"/>
  <c r="E20" i="4"/>
  <c r="G10" i="4"/>
  <c r="K6" i="4"/>
  <c r="J16" i="4"/>
  <c r="I5" i="4"/>
  <c r="D10" i="4"/>
  <c r="I11" i="4"/>
  <c r="E7" i="4"/>
  <c r="K21" i="4"/>
  <c r="G13" i="4"/>
  <c r="C17" i="4"/>
  <c r="D19" i="4"/>
  <c r="D17" i="4"/>
  <c r="K5" i="4"/>
  <c r="K14" i="4"/>
  <c r="F6" i="4"/>
  <c r="H22" i="4"/>
  <c r="D5" i="4"/>
  <c r="C8" i="4"/>
  <c r="E10" i="4"/>
  <c r="E16" i="4"/>
  <c r="K11" i="4"/>
  <c r="D16" i="4"/>
  <c r="J15" i="4"/>
  <c r="E6" i="4"/>
  <c r="F14" i="4"/>
  <c r="H7" i="4"/>
  <c r="D20" i="4"/>
  <c r="I9" i="4"/>
  <c r="H10" i="4"/>
  <c r="E13" i="4"/>
  <c r="H12" i="4"/>
  <c r="E8" i="4"/>
  <c r="H16" i="4"/>
  <c r="K9" i="4"/>
  <c r="J18" i="4"/>
  <c r="I8" i="4"/>
  <c r="E19" i="4"/>
  <c r="G7" i="4"/>
  <c r="E17" i="4"/>
  <c r="K19" i="4"/>
  <c r="I6" i="4"/>
  <c r="I20" i="4"/>
  <c r="G19" i="4"/>
  <c r="H18" i="4"/>
  <c r="G22" i="4"/>
  <c r="J20" i="4"/>
  <c r="J19" i="4"/>
  <c r="X22" i="4" l="1"/>
  <c r="V7" i="4"/>
  <c r="T7" i="4"/>
  <c r="T15" i="4"/>
  <c r="V5" i="4"/>
  <c r="T9" i="4"/>
  <c r="W10" i="4"/>
  <c r="X10" i="4"/>
  <c r="AK10" i="4" s="1"/>
  <c r="X15" i="4"/>
  <c r="U9" i="4"/>
  <c r="AU9" i="4" s="1"/>
  <c r="Q16" i="4"/>
  <c r="AQ16" i="4" s="1"/>
  <c r="P16" i="4"/>
  <c r="S18" i="4"/>
  <c r="AU17" i="4"/>
  <c r="AH17" i="4"/>
  <c r="AR14" i="4"/>
  <c r="AE14" i="4"/>
  <c r="AG16" i="4"/>
  <c r="AT16" i="4"/>
  <c r="BC19" i="4"/>
  <c r="AX21" i="4"/>
  <c r="AK21" i="4"/>
  <c r="BC21" i="4"/>
  <c r="AJ6" i="4"/>
  <c r="AW6" i="4"/>
  <c r="AX22" i="4"/>
  <c r="AK22" i="4"/>
  <c r="BC22" i="4"/>
  <c r="BC8" i="4"/>
  <c r="W22" i="4"/>
  <c r="AJ22" i="4" s="1"/>
  <c r="T22" i="4"/>
  <c r="AG22" i="4" s="1"/>
  <c r="AJ20" i="4"/>
  <c r="AW20" i="4"/>
  <c r="AT7" i="4"/>
  <c r="AG7" i="4"/>
  <c r="AK14" i="4"/>
  <c r="AX14" i="4"/>
  <c r="BC14" i="4"/>
  <c r="AP11" i="4"/>
  <c r="AC11" i="4"/>
  <c r="AH6" i="4"/>
  <c r="AU6" i="4"/>
  <c r="AI16" i="4"/>
  <c r="AV16" i="4"/>
  <c r="AJ17" i="4"/>
  <c r="AW17" i="4"/>
  <c r="AX10" i="4"/>
  <c r="BC10" i="4"/>
  <c r="AJ12" i="4"/>
  <c r="AW12" i="4"/>
  <c r="AW21" i="4"/>
  <c r="AJ21" i="4"/>
  <c r="AT17" i="4"/>
  <c r="AG17" i="4"/>
  <c r="V11" i="4"/>
  <c r="AV11" i="4" s="1"/>
  <c r="S15" i="4"/>
  <c r="AG11" i="4"/>
  <c r="AT11" i="4"/>
  <c r="AT20" i="4"/>
  <c r="AG20" i="4"/>
  <c r="U12" i="4"/>
  <c r="AU12" i="4" s="1"/>
  <c r="X12" i="4"/>
  <c r="AR6" i="4"/>
  <c r="AE6" i="4"/>
  <c r="AJ14" i="4"/>
  <c r="AW14" i="4"/>
  <c r="AG8" i="4"/>
  <c r="AT8" i="4"/>
  <c r="AR7" i="4"/>
  <c r="AE7" i="4"/>
  <c r="AX11" i="4"/>
  <c r="AK11" i="4"/>
  <c r="BC11" i="4"/>
  <c r="K36" i="4"/>
  <c r="K35" i="4"/>
  <c r="BC5" i="4"/>
  <c r="AJ9" i="4"/>
  <c r="AW9" i="4"/>
  <c r="BC18" i="4"/>
  <c r="AK20" i="4"/>
  <c r="AX20" i="4"/>
  <c r="BC20" i="4"/>
  <c r="G36" i="4"/>
  <c r="G35" i="4"/>
  <c r="AR11" i="4"/>
  <c r="AE11" i="4"/>
  <c r="Q9" i="4"/>
  <c r="AD9" i="4" s="1"/>
  <c r="S5" i="4"/>
  <c r="S9" i="4"/>
  <c r="AS9" i="4" s="1"/>
  <c r="X8" i="4"/>
  <c r="AX8" i="4" s="1"/>
  <c r="Q20" i="4"/>
  <c r="AD20" i="4" s="1"/>
  <c r="Q13" i="4"/>
  <c r="AQ13" i="4" s="1"/>
  <c r="V22" i="4"/>
  <c r="AI22" i="4" s="1"/>
  <c r="P22" i="4"/>
  <c r="AD17" i="4"/>
  <c r="AQ17" i="4"/>
  <c r="I36" i="4"/>
  <c r="I35" i="4"/>
  <c r="AV5" i="4"/>
  <c r="AI5" i="4"/>
  <c r="AW7" i="4"/>
  <c r="AJ7" i="4"/>
  <c r="J36" i="4"/>
  <c r="J35" i="4"/>
  <c r="AW5" i="4"/>
  <c r="AJ5" i="4"/>
  <c r="AF8" i="4"/>
  <c r="AS8" i="4"/>
  <c r="AK7" i="4"/>
  <c r="AX7" i="4"/>
  <c r="BC7" i="4"/>
  <c r="AK15" i="4"/>
  <c r="AX15" i="4"/>
  <c r="BC15" i="4"/>
  <c r="AX16" i="4"/>
  <c r="AK16" i="4"/>
  <c r="BC16" i="4"/>
  <c r="T18" i="4"/>
  <c r="R13" i="4"/>
  <c r="AR13" i="4" s="1"/>
  <c r="X17" i="4"/>
  <c r="V18" i="4"/>
  <c r="AV18" i="4" s="1"/>
  <c r="S7" i="4"/>
  <c r="R22" i="4"/>
  <c r="AR22" i="4" s="1"/>
  <c r="X19" i="4"/>
  <c r="AX19" i="4" s="1"/>
  <c r="K923" i="3"/>
  <c r="T14" i="4"/>
  <c r="W8" i="4"/>
  <c r="AJ8" i="4" s="1"/>
  <c r="P18" i="4"/>
  <c r="P9" i="4"/>
  <c r="U21" i="4"/>
  <c r="AU21" i="4" s="1"/>
  <c r="Q6" i="4"/>
  <c r="AQ6" i="4" s="1"/>
  <c r="U15" i="4"/>
  <c r="AH15" i="4" s="1"/>
  <c r="U10" i="4"/>
  <c r="AU10" i="4" s="1"/>
  <c r="V12" i="4"/>
  <c r="AI12" i="4" s="1"/>
  <c r="W11" i="4"/>
  <c r="AJ11" i="4" s="1"/>
  <c r="W15" i="4"/>
  <c r="AW15" i="4" s="1"/>
  <c r="T19" i="4"/>
  <c r="U22" i="4"/>
  <c r="AH22" i="4" s="1"/>
  <c r="S10" i="4"/>
  <c r="AS10" i="4" s="1"/>
  <c r="V10" i="4"/>
  <c r="AV10" i="4" s="1"/>
  <c r="R18" i="4"/>
  <c r="R16" i="4"/>
  <c r="AR16" i="4" s="1"/>
  <c r="R15" i="4"/>
  <c r="AE15" i="4" s="1"/>
  <c r="P19" i="4"/>
  <c r="AW18" i="4"/>
  <c r="AJ18" i="4"/>
  <c r="AF15" i="4"/>
  <c r="AS15" i="4"/>
  <c r="AV20" i="4"/>
  <c r="AI20" i="4"/>
  <c r="AP8" i="4"/>
  <c r="AC8" i="4"/>
  <c r="AK6" i="4"/>
  <c r="AX6" i="4"/>
  <c r="BC6" i="4"/>
  <c r="AH14" i="4"/>
  <c r="AU14" i="4"/>
  <c r="AV21" i="4"/>
  <c r="AI21" i="4"/>
  <c r="AF21" i="4"/>
  <c r="AS21" i="4"/>
  <c r="AQ21" i="4"/>
  <c r="AD21" i="4"/>
  <c r="H36" i="4"/>
  <c r="H35" i="4"/>
  <c r="AG18" i="4"/>
  <c r="AT18" i="4"/>
  <c r="Q7" i="4"/>
  <c r="AD7" i="4" s="1"/>
  <c r="V8" i="4"/>
  <c r="AV8" i="4" s="1"/>
  <c r="U5" i="4"/>
  <c r="Q19" i="4"/>
  <c r="AQ19" i="4" s="1"/>
  <c r="Q12" i="4"/>
  <c r="AQ12" i="4" s="1"/>
  <c r="U20" i="4"/>
  <c r="AH20" i="4" s="1"/>
  <c r="R19" i="4"/>
  <c r="AR19" i="4" s="1"/>
  <c r="R9" i="4"/>
  <c r="AE9" i="4" s="1"/>
  <c r="R5" i="4"/>
  <c r="AE5" i="4" s="1"/>
  <c r="AC17" i="4"/>
  <c r="AP17" i="4"/>
  <c r="AF7" i="4"/>
  <c r="AE18" i="4"/>
  <c r="AR18" i="4"/>
  <c r="AT14" i="4"/>
  <c r="AG14" i="4"/>
  <c r="AI6" i="4"/>
  <c r="AV6" i="4"/>
  <c r="AH16" i="4"/>
  <c r="AU16" i="4"/>
  <c r="AS14" i="4"/>
  <c r="AF14" i="4"/>
  <c r="D35" i="4"/>
  <c r="D36" i="4"/>
  <c r="AS11" i="4"/>
  <c r="AF11" i="4"/>
  <c r="AV7" i="4"/>
  <c r="AI7" i="4"/>
  <c r="E36" i="4"/>
  <c r="E35" i="4"/>
  <c r="F36" i="4"/>
  <c r="F35" i="4"/>
  <c r="AF5" i="4"/>
  <c r="AS5" i="4"/>
  <c r="AF16" i="4"/>
  <c r="AS16" i="4"/>
  <c r="AI14" i="4"/>
  <c r="AV14" i="4"/>
  <c r="AH11" i="4"/>
  <c r="AU11" i="4"/>
  <c r="AQ11" i="4"/>
  <c r="AD11" i="4"/>
  <c r="U7" i="4"/>
  <c r="AU7" i="4" s="1"/>
  <c r="D44" i="4"/>
  <c r="K162" i="3"/>
  <c r="Q5" i="4" s="1"/>
  <c r="AD5" i="4" s="1"/>
  <c r="AT12" i="4"/>
  <c r="AG12" i="4"/>
  <c r="V17" i="4"/>
  <c r="AI17" i="4" s="1"/>
  <c r="V9" i="4"/>
  <c r="AI9" i="4" s="1"/>
  <c r="U18" i="4"/>
  <c r="AH18" i="4" s="1"/>
  <c r="S19" i="4"/>
  <c r="AS19" i="4" s="1"/>
  <c r="X9" i="4"/>
  <c r="AX9" i="4" s="1"/>
  <c r="T5" i="4"/>
  <c r="AG5" i="4" s="1"/>
  <c r="V19" i="4"/>
  <c r="AI19" i="4" s="1"/>
  <c r="G44" i="4"/>
  <c r="K525" i="3"/>
  <c r="T13" i="4" s="1"/>
  <c r="AT13" i="4" s="1"/>
  <c r="K797" i="3"/>
  <c r="W13" i="4" s="1"/>
  <c r="AW13" i="4" s="1"/>
  <c r="J44" i="4"/>
  <c r="X5" i="4"/>
  <c r="AK9" i="4"/>
  <c r="BC9" i="4"/>
  <c r="AU22" i="4"/>
  <c r="H44" i="4"/>
  <c r="K597" i="3"/>
  <c r="U13" i="4" s="1"/>
  <c r="AU13" i="4" s="1"/>
  <c r="R12" i="4"/>
  <c r="AE12" i="4" s="1"/>
  <c r="S22" i="4"/>
  <c r="AF22" i="4" s="1"/>
  <c r="Q15" i="4"/>
  <c r="AD15" i="4" s="1"/>
  <c r="S20" i="4"/>
  <c r="AF20" i="4" s="1"/>
  <c r="X18" i="4"/>
  <c r="AX18" i="4" s="1"/>
  <c r="Q22" i="4"/>
  <c r="AQ22" i="4" s="1"/>
  <c r="U19" i="4"/>
  <c r="AH19" i="4" s="1"/>
  <c r="F44" i="4"/>
  <c r="K414" i="3"/>
  <c r="S13" i="4" s="1"/>
  <c r="AF13" i="4" s="1"/>
  <c r="Q10" i="4"/>
  <c r="AQ10" i="4" s="1"/>
  <c r="R21" i="4"/>
  <c r="AE21" i="4" s="1"/>
  <c r="E43" i="4"/>
  <c r="K43" i="4"/>
  <c r="M43" i="4"/>
  <c r="G43" i="4"/>
  <c r="L43" i="4"/>
  <c r="N43" i="4"/>
  <c r="H43" i="4"/>
  <c r="F43" i="4"/>
  <c r="D43" i="4"/>
  <c r="I43" i="4"/>
  <c r="C43" i="4"/>
  <c r="J43" i="4"/>
  <c r="AG19" i="4"/>
  <c r="AT19" i="4"/>
  <c r="AW16" i="4"/>
  <c r="AJ16" i="4"/>
  <c r="AK12" i="4"/>
  <c r="AX12" i="4"/>
  <c r="BC12" i="4"/>
  <c r="AW10" i="4"/>
  <c r="AJ10" i="4"/>
  <c r="AG21" i="4"/>
  <c r="AT21" i="4"/>
  <c r="AR8" i="4"/>
  <c r="AE8" i="4"/>
  <c r="AV12" i="4"/>
  <c r="AS17" i="4"/>
  <c r="AF17" i="4"/>
  <c r="AR17" i="4"/>
  <c r="AE17" i="4"/>
  <c r="AS6" i="4"/>
  <c r="AF6" i="4"/>
  <c r="BC13" i="4"/>
  <c r="AT15" i="4"/>
  <c r="AG15" i="4"/>
  <c r="AF18" i="4"/>
  <c r="AS18" i="4"/>
  <c r="AQ8" i="4"/>
  <c r="AD8" i="4"/>
  <c r="AQ14" i="4"/>
  <c r="AD14" i="4"/>
  <c r="AH8" i="4"/>
  <c r="AU8" i="4"/>
  <c r="AK17" i="4"/>
  <c r="AX17" i="4"/>
  <c r="BC17" i="4"/>
  <c r="AS12" i="4"/>
  <c r="AF12" i="4"/>
  <c r="AT6" i="4"/>
  <c r="AG6" i="4"/>
  <c r="V15" i="4"/>
  <c r="AI15" i="4" s="1"/>
  <c r="AT9" i="4"/>
  <c r="AG9" i="4"/>
  <c r="Q18" i="4"/>
  <c r="AD18" i="4" s="1"/>
  <c r="R10" i="4"/>
  <c r="AE10" i="4" s="1"/>
  <c r="E44" i="4"/>
  <c r="K294" i="3"/>
  <c r="R20" i="4" s="1"/>
  <c r="AE20" i="4" s="1"/>
  <c r="K695" i="3"/>
  <c r="V13" i="4" s="1"/>
  <c r="AV13" i="4" s="1"/>
  <c r="I44" i="4"/>
  <c r="K44" i="4"/>
  <c r="K831" i="3"/>
  <c r="X13" i="4" s="1"/>
  <c r="AX13" i="4" s="1"/>
  <c r="W19" i="4"/>
  <c r="AW19" i="4" s="1"/>
  <c r="T10" i="4"/>
  <c r="AG10" i="4" s="1"/>
  <c r="J11" i="3"/>
  <c r="K11" i="3" s="1"/>
  <c r="J42" i="3"/>
  <c r="K42" i="3" s="1"/>
  <c r="P7" i="4" s="1"/>
  <c r="J62" i="3"/>
  <c r="K62" i="3" s="1"/>
  <c r="P20" i="4" s="1"/>
  <c r="J77" i="3"/>
  <c r="K77" i="3" s="1"/>
  <c r="P5" i="4" s="1"/>
  <c r="C22" i="4"/>
  <c r="C18" i="4"/>
  <c r="C9" i="4"/>
  <c r="C5" i="4"/>
  <c r="C21" i="4"/>
  <c r="J78" i="3"/>
  <c r="K78" i="3" s="1"/>
  <c r="C6" i="4"/>
  <c r="C14" i="4"/>
  <c r="C10" i="4"/>
  <c r="C16" i="4"/>
  <c r="C7" i="4"/>
  <c r="C13" i="4"/>
  <c r="C15" i="4"/>
  <c r="C12" i="4"/>
  <c r="C20" i="4"/>
  <c r="C19" i="4"/>
  <c r="AQ9" i="4" l="1"/>
  <c r="AW11" i="4"/>
  <c r="AU20" i="4"/>
  <c r="AD16" i="4"/>
  <c r="AS22" i="4"/>
  <c r="AH9" i="4"/>
  <c r="AR20" i="4"/>
  <c r="AV15" i="4"/>
  <c r="AU15" i="4"/>
  <c r="AT22" i="4"/>
  <c r="K37" i="4"/>
  <c r="G7" i="1" s="1"/>
  <c r="AQ5" i="4"/>
  <c r="AD22" i="4"/>
  <c r="AR15" i="4"/>
  <c r="AV22" i="4"/>
  <c r="AI11" i="4"/>
  <c r="F37" i="4"/>
  <c r="AI13" i="4"/>
  <c r="AF10" i="4"/>
  <c r="J37" i="4"/>
  <c r="W35" i="4"/>
  <c r="AR5" i="4"/>
  <c r="AG13" i="4"/>
  <c r="G38" i="4" s="1"/>
  <c r="H37" i="4"/>
  <c r="AU18" i="4"/>
  <c r="AH21" i="4"/>
  <c r="AE13" i="4"/>
  <c r="AK8" i="4"/>
  <c r="BD8" i="4" s="1"/>
  <c r="BE8" i="4" s="1"/>
  <c r="BD17" i="4"/>
  <c r="BE17" i="4" s="1"/>
  <c r="AS7" i="4"/>
  <c r="R35" i="4"/>
  <c r="AS20" i="4"/>
  <c r="AQ15" i="4"/>
  <c r="AT5" i="4"/>
  <c r="AD10" i="4"/>
  <c r="AF19" i="4"/>
  <c r="AJ19" i="4"/>
  <c r="BD21" i="4"/>
  <c r="BE21" i="4" s="1"/>
  <c r="AV19" i="4"/>
  <c r="AS13" i="4"/>
  <c r="AE22" i="4"/>
  <c r="AR9" i="4"/>
  <c r="AE16" i="4"/>
  <c r="AQ20" i="4"/>
  <c r="S35" i="4"/>
  <c r="AF35" i="4" s="1"/>
  <c r="G37" i="4"/>
  <c r="AW22" i="4"/>
  <c r="AX5" i="4"/>
  <c r="AX35" i="4" s="1"/>
  <c r="AH10" i="4"/>
  <c r="AI10" i="4"/>
  <c r="BD10" i="4"/>
  <c r="BE10" i="4" s="1"/>
  <c r="BD22" i="4"/>
  <c r="BE22" i="4" s="1"/>
  <c r="AP22" i="4"/>
  <c r="AC22" i="4"/>
  <c r="AP14" i="4"/>
  <c r="AC14" i="4"/>
  <c r="E37" i="4"/>
  <c r="AH5" i="4"/>
  <c r="AF9" i="4"/>
  <c r="AD12" i="4"/>
  <c r="AK18" i="4"/>
  <c r="BD18" i="4" s="1"/>
  <c r="BE18" i="4" s="1"/>
  <c r="BD14" i="4"/>
  <c r="BE14" i="4" s="1"/>
  <c r="AQ7" i="4"/>
  <c r="C35" i="4"/>
  <c r="AP5" i="4"/>
  <c r="AC5" i="4"/>
  <c r="C36" i="4"/>
  <c r="AP9" i="4"/>
  <c r="AC9" i="4"/>
  <c r="BD9" i="4"/>
  <c r="BE9" i="4" s="1"/>
  <c r="AT10" i="4"/>
  <c r="D37" i="4"/>
  <c r="AU5" i="4"/>
  <c r="AD19" i="4"/>
  <c r="C44" i="4"/>
  <c r="BD15" i="4"/>
  <c r="BE15" i="4" s="1"/>
  <c r="I37" i="4"/>
  <c r="AV9" i="4"/>
  <c r="AI18" i="4"/>
  <c r="AK5" i="4"/>
  <c r="BD5" i="4" s="1"/>
  <c r="BE5" i="4" s="1"/>
  <c r="AE19" i="4"/>
  <c r="AH12" i="4"/>
  <c r="AU19" i="4"/>
  <c r="AD6" i="4"/>
  <c r="AK19" i="4"/>
  <c r="BD19" i="4" s="1"/>
  <c r="BE19" i="4" s="1"/>
  <c r="AP19" i="4"/>
  <c r="AC19" i="4"/>
  <c r="AC20" i="4"/>
  <c r="AP20" i="4"/>
  <c r="AP6" i="4"/>
  <c r="AC6" i="4"/>
  <c r="T35" i="4"/>
  <c r="AG35" i="4" s="1"/>
  <c r="Q35" i="4"/>
  <c r="AD35" i="4" s="1"/>
  <c r="AH13" i="4"/>
  <c r="AW8" i="4"/>
  <c r="AW35" i="4" s="1"/>
  <c r="H51" i="1"/>
  <c r="V35" i="4"/>
  <c r="AI35" i="4" s="1"/>
  <c r="BD7" i="4"/>
  <c r="BE7" i="4" s="1"/>
  <c r="BE20" i="4"/>
  <c r="BD20" i="4"/>
  <c r="BF20" i="4"/>
  <c r="AD13" i="4"/>
  <c r="AJ15" i="4"/>
  <c r="AC7" i="4"/>
  <c r="AP7" i="4"/>
  <c r="AP16" i="4"/>
  <c r="AC16" i="4"/>
  <c r="AP18" i="4"/>
  <c r="AC18" i="4"/>
  <c r="AC15" i="4"/>
  <c r="AP15" i="4"/>
  <c r="AP21" i="4"/>
  <c r="AC21" i="4"/>
  <c r="AK13" i="4"/>
  <c r="BD13" i="4" s="1"/>
  <c r="BE13" i="4" s="1"/>
  <c r="BD12" i="4"/>
  <c r="BE12" i="4" s="1"/>
  <c r="AQ18" i="4"/>
  <c r="AJ13" i="4"/>
  <c r="AH7" i="4"/>
  <c r="U35" i="4"/>
  <c r="AH35" i="4" s="1"/>
  <c r="AR21" i="4"/>
  <c r="BD6" i="4"/>
  <c r="BF6" i="4"/>
  <c r="BE6" i="4"/>
  <c r="P10" i="4"/>
  <c r="P13" i="4"/>
  <c r="AP13" i="4" s="1"/>
  <c r="P12" i="4"/>
  <c r="AC12" i="4" s="1"/>
  <c r="AJ35" i="4"/>
  <c r="AI8" i="4"/>
  <c r="AR12" i="4"/>
  <c r="AV17" i="4"/>
  <c r="AR10" i="4"/>
  <c r="X35" i="4"/>
  <c r="E7" i="1" s="1"/>
  <c r="AE35" i="4"/>
  <c r="BF16" i="4"/>
  <c r="BD16" i="4"/>
  <c r="BE16" i="4"/>
  <c r="BD11" i="4"/>
  <c r="BE11" i="4" s="1"/>
  <c r="F39" i="4" l="1"/>
  <c r="I40" i="4"/>
  <c r="J40" i="4"/>
  <c r="G39" i="4"/>
  <c r="F38" i="4"/>
  <c r="G40" i="4"/>
  <c r="D39" i="4"/>
  <c r="E39" i="4"/>
  <c r="F40" i="4"/>
  <c r="C37" i="4"/>
  <c r="AV35" i="4"/>
  <c r="AS35" i="4"/>
  <c r="AU35" i="4"/>
  <c r="I38" i="4"/>
  <c r="AR35" i="4"/>
  <c r="D40" i="4"/>
  <c r="J39" i="4"/>
  <c r="AQ35" i="4"/>
  <c r="BF18" i="4"/>
  <c r="BF15" i="4"/>
  <c r="BF21" i="4"/>
  <c r="BF11" i="4"/>
  <c r="BF12" i="4"/>
  <c r="BF22" i="4"/>
  <c r="BF5" i="4"/>
  <c r="BF7" i="4"/>
  <c r="BF17" i="4"/>
  <c r="BF10" i="4"/>
  <c r="BF8" i="4"/>
  <c r="BF13" i="4"/>
  <c r="BF19" i="4"/>
  <c r="BF9" i="4"/>
  <c r="BF14" i="4"/>
  <c r="P35" i="4"/>
  <c r="AC35" i="4" s="1"/>
  <c r="AT35" i="4"/>
  <c r="AP12" i="4"/>
  <c r="AC10" i="4"/>
  <c r="AP10" i="4"/>
  <c r="E38" i="4"/>
  <c r="J38" i="4"/>
  <c r="I39" i="4"/>
  <c r="E40" i="4"/>
  <c r="AC13" i="4"/>
  <c r="D38" i="4"/>
  <c r="K39" i="4"/>
  <c r="K38" i="4"/>
  <c r="K40" i="4"/>
  <c r="H40" i="4"/>
  <c r="H38" i="4"/>
  <c r="H39" i="4"/>
  <c r="AK35" i="4"/>
  <c r="B7" i="1" s="1"/>
  <c r="AP35" i="4" l="1"/>
  <c r="C40" i="4"/>
  <c r="C39" i="4"/>
  <c r="C38" i="4"/>
  <c r="B9" i="1"/>
  <c r="K41" i="1"/>
  <c r="K37" i="1"/>
  <c r="K33" i="1"/>
  <c r="K43" i="1"/>
  <c r="K39" i="1"/>
  <c r="K35" i="1"/>
  <c r="K44" i="1"/>
  <c r="K28" i="1"/>
  <c r="K24" i="1"/>
  <c r="K20" i="1"/>
  <c r="K32" i="1"/>
  <c r="K31" i="1"/>
  <c r="K27" i="1"/>
  <c r="K23" i="1"/>
  <c r="K19" i="1"/>
  <c r="K15" i="1"/>
  <c r="K36" i="1"/>
  <c r="K30" i="1"/>
  <c r="K26" i="1"/>
  <c r="K22" i="1"/>
  <c r="K18" i="1"/>
  <c r="K38" i="1"/>
  <c r="K34" i="1"/>
  <c r="K40" i="1"/>
  <c r="K29" i="1"/>
  <c r="K25" i="1"/>
  <c r="K21" i="1"/>
  <c r="K17" i="1"/>
  <c r="K42" i="1"/>
  <c r="K16" i="1"/>
  <c r="D7" i="1"/>
  <c r="I7" i="1"/>
  <c r="B11" i="1" s="1"/>
  <c r="J16" i="1" l="1"/>
  <c r="F16" i="1"/>
  <c r="B16" i="1"/>
  <c r="E16" i="1"/>
  <c r="C16" i="1"/>
  <c r="D16" i="1"/>
  <c r="I38" i="1"/>
  <c r="E38" i="1"/>
  <c r="G38" i="1"/>
  <c r="H38" i="1" s="1"/>
  <c r="F38" i="1"/>
  <c r="D38" i="1"/>
  <c r="B38" i="1"/>
  <c r="C38" i="1"/>
  <c r="J38" i="1"/>
  <c r="D23" i="1"/>
  <c r="C23" i="1"/>
  <c r="J23" i="1"/>
  <c r="B23" i="1"/>
  <c r="F23" i="1"/>
  <c r="E23" i="1"/>
  <c r="G35" i="1"/>
  <c r="H35" i="1" s="1"/>
  <c r="C35" i="1"/>
  <c r="D35" i="1"/>
  <c r="B35" i="1"/>
  <c r="J35" i="1"/>
  <c r="I35" i="1"/>
  <c r="E35" i="1"/>
  <c r="F35" i="1"/>
  <c r="I42" i="1"/>
  <c r="E42" i="1"/>
  <c r="G42" i="1"/>
  <c r="H42" i="1" s="1"/>
  <c r="D42" i="1"/>
  <c r="C42" i="1"/>
  <c r="F42" i="1"/>
  <c r="B42" i="1"/>
  <c r="J42" i="1"/>
  <c r="E18" i="1"/>
  <c r="J18" i="1"/>
  <c r="D18" i="1"/>
  <c r="C18" i="1"/>
  <c r="B18" i="1"/>
  <c r="F18" i="1"/>
  <c r="D27" i="1"/>
  <c r="C27" i="1"/>
  <c r="J27" i="1"/>
  <c r="B27" i="1"/>
  <c r="E27" i="1"/>
  <c r="F27" i="1"/>
  <c r="G39" i="1"/>
  <c r="H39" i="1" s="1"/>
  <c r="C39" i="1"/>
  <c r="F39" i="1"/>
  <c r="E39" i="1"/>
  <c r="B39" i="1"/>
  <c r="D39" i="1"/>
  <c r="J39" i="1"/>
  <c r="I39" i="1"/>
  <c r="E44" i="1"/>
  <c r="I44" i="1"/>
  <c r="J44" i="1"/>
  <c r="F44" i="1"/>
  <c r="D44" i="1"/>
  <c r="G44" i="1"/>
  <c r="H44" i="1" s="1"/>
  <c r="C44" i="1"/>
  <c r="B44" i="1"/>
  <c r="F22" i="1"/>
  <c r="E22" i="1"/>
  <c r="D22" i="1"/>
  <c r="C22" i="1"/>
  <c r="J22" i="1"/>
  <c r="B22" i="1"/>
  <c r="E31" i="1"/>
  <c r="C31" i="1"/>
  <c r="I31" i="1"/>
  <c r="J31" i="1"/>
  <c r="B31" i="1"/>
  <c r="D31" i="1"/>
  <c r="G31" i="1"/>
  <c r="H31" i="1" s="1"/>
  <c r="F31" i="1"/>
  <c r="G43" i="1"/>
  <c r="H43" i="1" s="1"/>
  <c r="C43" i="1"/>
  <c r="I43" i="1"/>
  <c r="E43" i="1"/>
  <c r="D43" i="1"/>
  <c r="F43" i="1"/>
  <c r="B43" i="1"/>
  <c r="J43" i="1"/>
  <c r="D19" i="1"/>
  <c r="C19" i="1"/>
  <c r="J19" i="1"/>
  <c r="B19" i="1"/>
  <c r="F19" i="1"/>
  <c r="E19" i="1"/>
  <c r="D21" i="1"/>
  <c r="F21" i="1"/>
  <c r="E21" i="1"/>
  <c r="C21" i="1"/>
  <c r="J21" i="1"/>
  <c r="B21" i="1"/>
  <c r="E32" i="1"/>
  <c r="I32" i="1"/>
  <c r="B32" i="1"/>
  <c r="G32" i="1"/>
  <c r="H32" i="1" s="1"/>
  <c r="J32" i="1"/>
  <c r="F32" i="1"/>
  <c r="C32" i="1"/>
  <c r="D32" i="1"/>
  <c r="C33" i="1"/>
  <c r="G33" i="1"/>
  <c r="H33" i="1" s="1"/>
  <c r="D33" i="1"/>
  <c r="I33" i="1"/>
  <c r="B33" i="1"/>
  <c r="J33" i="1"/>
  <c r="F33" i="1"/>
  <c r="E33" i="1"/>
  <c r="I34" i="1"/>
  <c r="E34" i="1"/>
  <c r="D34" i="1"/>
  <c r="B34" i="1"/>
  <c r="J34" i="1"/>
  <c r="G34" i="1"/>
  <c r="H34" i="1" s="1"/>
  <c r="F34" i="1"/>
  <c r="C34" i="1"/>
  <c r="D17" i="1"/>
  <c r="F17" i="1"/>
  <c r="E17" i="1"/>
  <c r="C17" i="1"/>
  <c r="J17" i="1"/>
  <c r="B17" i="1"/>
  <c r="E26" i="1"/>
  <c r="C26" i="1"/>
  <c r="B26" i="1"/>
  <c r="D26" i="1"/>
  <c r="J26" i="1"/>
  <c r="F26" i="1"/>
  <c r="F25" i="1"/>
  <c r="E25" i="1"/>
  <c r="D25" i="1"/>
  <c r="C25" i="1"/>
  <c r="J25" i="1"/>
  <c r="B25" i="1"/>
  <c r="F30" i="1"/>
  <c r="E30" i="1"/>
  <c r="J30" i="1"/>
  <c r="D30" i="1"/>
  <c r="C30" i="1"/>
  <c r="B30" i="1"/>
  <c r="I30" i="1"/>
  <c r="G30" i="1"/>
  <c r="H30" i="1" s="1"/>
  <c r="B20" i="1"/>
  <c r="F20" i="1"/>
  <c r="E20" i="1"/>
  <c r="C20" i="1"/>
  <c r="D20" i="1"/>
  <c r="J20" i="1"/>
  <c r="C37" i="1"/>
  <c r="G37" i="1"/>
  <c r="H37" i="1" s="1"/>
  <c r="D37" i="1"/>
  <c r="B37" i="1"/>
  <c r="J37" i="1"/>
  <c r="I37" i="1"/>
  <c r="F37" i="1"/>
  <c r="E37" i="1"/>
  <c r="E29" i="1"/>
  <c r="D29" i="1"/>
  <c r="F29" i="1"/>
  <c r="C29" i="1"/>
  <c r="J29" i="1"/>
  <c r="B29" i="1"/>
  <c r="E36" i="1"/>
  <c r="I36" i="1"/>
  <c r="F36" i="1"/>
  <c r="C36" i="1"/>
  <c r="J36" i="1"/>
  <c r="B36" i="1"/>
  <c r="D36" i="1"/>
  <c r="G36" i="1"/>
  <c r="H36" i="1" s="1"/>
  <c r="J24" i="1"/>
  <c r="F24" i="1"/>
  <c r="B24" i="1"/>
  <c r="E24" i="1"/>
  <c r="C24" i="1"/>
  <c r="D24" i="1"/>
  <c r="C41" i="1"/>
  <c r="G41" i="1"/>
  <c r="H41" i="1" s="1"/>
  <c r="I41" i="1"/>
  <c r="F41" i="1"/>
  <c r="D41" i="1"/>
  <c r="B41" i="1"/>
  <c r="E41" i="1"/>
  <c r="J41" i="1"/>
  <c r="E40" i="1"/>
  <c r="I40" i="1"/>
  <c r="G40" i="1"/>
  <c r="H40" i="1" s="1"/>
  <c r="F40" i="1"/>
  <c r="C40" i="1"/>
  <c r="D40" i="1"/>
  <c r="B40" i="1"/>
  <c r="J40" i="1"/>
  <c r="E15" i="1"/>
  <c r="C15" i="1"/>
  <c r="D15" i="1"/>
  <c r="J15" i="1"/>
  <c r="B15" i="1"/>
  <c r="F15" i="1"/>
  <c r="J28" i="1"/>
  <c r="B28" i="1"/>
  <c r="F28" i="1"/>
  <c r="E28" i="1"/>
  <c r="C28" i="1"/>
  <c r="D28" i="1"/>
  <c r="G23" i="1" l="1"/>
  <c r="H23" i="1" s="1"/>
  <c r="G16" i="1"/>
  <c r="I16" i="1" s="1"/>
  <c r="G25" i="1"/>
  <c r="I25" i="1" s="1"/>
  <c r="G27" i="1"/>
  <c r="I27" i="1" s="1"/>
  <c r="G20" i="1"/>
  <c r="H20" i="1" s="1"/>
  <c r="G21" i="1"/>
  <c r="H21" i="1" s="1"/>
  <c r="G17" i="1"/>
  <c r="H17" i="1" s="1"/>
  <c r="G18" i="1"/>
  <c r="H18" i="1" s="1"/>
  <c r="G24" i="1"/>
  <c r="H24" i="1" s="1"/>
  <c r="G15" i="1"/>
  <c r="H15" i="1" s="1"/>
  <c r="G29" i="1"/>
  <c r="H29" i="1" s="1"/>
  <c r="G26" i="1"/>
  <c r="H26" i="1" s="1"/>
  <c r="G28" i="1"/>
  <c r="I28" i="1" s="1"/>
  <c r="G19" i="1"/>
  <c r="H19" i="1" s="1"/>
  <c r="G22" i="1"/>
  <c r="H22" i="1" s="1"/>
  <c r="H16" i="1"/>
  <c r="I24" i="1"/>
  <c r="I15" i="1" l="1"/>
  <c r="I21" i="1"/>
  <c r="H25" i="1"/>
  <c r="I26" i="1"/>
  <c r="I29" i="1"/>
  <c r="H28" i="1"/>
  <c r="I23" i="1"/>
  <c r="I17" i="1"/>
  <c r="I20" i="1"/>
  <c r="H27" i="1"/>
  <c r="I18" i="1"/>
  <c r="I22" i="1"/>
  <c r="I19" i="1"/>
</calcChain>
</file>

<file path=xl/sharedStrings.xml><?xml version="1.0" encoding="utf-8"?>
<sst xmlns="http://schemas.openxmlformats.org/spreadsheetml/2006/main" count="2036" uniqueCount="1043">
  <si>
    <t>ÉTAT D'EXPLOITATION QUALIPRO — TAUX D'UTILISATION PAR LES RESPONSABLES</t>
  </si>
  <si>
    <t>Mois :</t>
  </si>
  <si>
    <t>Septembre 2026</t>
  </si>
  <si>
    <t>◄ choisir le mois dans la liste</t>
  </si>
  <si>
    <t>TAUX D'UTILISATION GLOBAL</t>
  </si>
  <si>
    <t>STATUT</t>
  </si>
  <si>
    <t>JOURS CONSULTÉS / ATTENDUS</t>
  </si>
  <si>
    <t>RESPONSABLES ACTIFS / SANS ACCÈS</t>
  </si>
  <si>
    <t>VARIATION VS MOIS PRÉC.</t>
  </si>
  <si>
    <t>Rang</t>
  </si>
  <si>
    <t>Responsable</t>
  </si>
  <si>
    <t>Fonction / rôle</t>
  </si>
  <si>
    <t>Jours attendus</t>
  </si>
  <si>
    <t>Jours consultés</t>
  </si>
  <si>
    <t>Taux</t>
  </si>
  <si>
    <t>Statut</t>
  </si>
  <si>
    <t>Δ vs mois préc. (pts)</t>
  </si>
  <si>
    <t>Taux ajusté au rôle</t>
  </si>
  <si>
    <t>Contrôles qualité des données</t>
  </si>
  <si>
    <t>Lignes importées dans le journal</t>
  </si>
  <si>
    <t>Lignes dont la date n'a pas pu être lue (doit être 0)</t>
  </si>
  <si>
    <t>Noms du journal absents de l'effectif (doit être 0)</t>
  </si>
  <si>
    <t>Doublons supprimés (même responsable, même jour)</t>
  </si>
  <si>
    <t>Accès hors jours ouvrés exclus (week-ends, fériés, fermetures)</t>
  </si>
  <si>
    <t>Dernier jour présent dans le journal</t>
  </si>
  <si>
    <t>Les dates de début/fin des responsables et les jours non ouvrés se règlent dans l'onglet Paramètres (cellules jaunes). Principe et cible : onglet Méthode.</t>
  </si>
  <si>
    <t>PARAMÈTRES — effectif, seuils et calendrier</t>
  </si>
  <si>
    <t>Cellules sur fond jaune = à renseigner / confirmer. Tout le reste se calcule automatiquement.</t>
  </si>
  <si>
    <t>Seuils</t>
  </si>
  <si>
    <t>Objectif atteint (taux ≥)</t>
  </si>
  <si>
    <t>Alerte (taux ≥, sinon Critique)</t>
  </si>
  <si>
    <t>Cible direction : jours consultés par jour ouvré</t>
  </si>
  <si>
    <t>Information : le taux = jours avec ≥1 accès ÷ jours ouvrés attendus.</t>
  </si>
  <si>
    <t>Année de suivi</t>
  </si>
  <si>
    <t>Jours non ouvrés (fériés / fermetures) — en plus des samedis et dimanches</t>
  </si>
  <si>
    <t>Mots de mois reconnus dans l'export</t>
  </si>
  <si>
    <t>Responsable (nom exact du journal)</t>
  </si>
  <si>
    <t>Date début</t>
  </si>
  <si>
    <t>Date fin</t>
  </si>
  <si>
    <t>Cible individuelle (jours/semaine)</t>
  </si>
  <si>
    <t>Note</t>
  </si>
  <si>
    <t>Date</t>
  </si>
  <si>
    <t>Motif / source</t>
  </si>
  <si>
    <t>Mot</t>
  </si>
  <si>
    <t>N°</t>
  </si>
  <si>
    <t>Ahlem Moussa</t>
  </si>
  <si>
    <t>Jour de l'An (jour férié légal ; aucun accès au journal)</t>
  </si>
  <si>
    <t>janv</t>
  </si>
  <si>
    <t>Amani Nasser</t>
  </si>
  <si>
    <t>Départ (Améni). Date de fin = fin du mois de son dernier accès (13/04) — À CONFIRMER</t>
  </si>
  <si>
    <t>Fête de l'Indépendance + Aïd el-Fitr (20, 21 et 22 mars)</t>
  </si>
  <si>
    <t>janvier</t>
  </si>
  <si>
    <t>Amine Latrech</t>
  </si>
  <si>
    <t>Fête du Travail</t>
  </si>
  <si>
    <t>févr</t>
  </si>
  <si>
    <t>Chaima Jdid</t>
  </si>
  <si>
    <t>Nouvelle recrue, contrat juin→septembre (1er accès journal : 09/07)</t>
  </si>
  <si>
    <t>Aïd el-Adha (mercredi 27 au samedi 30 mai)</t>
  </si>
  <si>
    <t>fevr</t>
  </si>
  <si>
    <t>Imre Kapusi</t>
  </si>
  <si>
    <t>février</t>
  </si>
  <si>
    <t>Ines Farhat</t>
  </si>
  <si>
    <t>mars</t>
  </si>
  <si>
    <t>Lobna Jberi</t>
  </si>
  <si>
    <t>Remplaçante d'Amani Nasser — date de début À CONFIRMER (aucun accès en septembre)</t>
  </si>
  <si>
    <t>Fermeture estivale du 09/08 au 26/08/2026</t>
  </si>
  <si>
    <t>avr</t>
  </si>
  <si>
    <t>Marwa Solaani</t>
  </si>
  <si>
    <t>avril</t>
  </si>
  <si>
    <t>Mina Moussa</t>
  </si>
  <si>
    <t>mai</t>
  </si>
  <si>
    <t>Mohamed Sniha</t>
  </si>
  <si>
    <t>juin</t>
  </si>
  <si>
    <t>Mourad Ayari</t>
  </si>
  <si>
    <t>juil</t>
  </si>
  <si>
    <t>Nesrine Laassili</t>
  </si>
  <si>
    <t>Sortie de la société (dernier accès 27/03) — date de fin À CONFIRMER</t>
  </si>
  <si>
    <t>juillet</t>
  </si>
  <si>
    <t>Nouha Ben Khlifa</t>
  </si>
  <si>
    <t>Arrivée juillet (1er accès 06/07) — date de début À CONFIRMER</t>
  </si>
  <si>
    <t>août</t>
  </si>
  <si>
    <t>Sabrine Neffeti</t>
  </si>
  <si>
    <t>aout</t>
  </si>
  <si>
    <t>Safouen Magdouli</t>
  </si>
  <si>
    <t>sept</t>
  </si>
  <si>
    <t>Said Hamrouni</t>
  </si>
  <si>
    <t>Départ. Date de fin = fin du mois de son dernier accès (24/06) — À CONFIRMER</t>
  </si>
  <si>
    <t>septembre</t>
  </si>
  <si>
    <t>Wissem Ben Abdalah</t>
  </si>
  <si>
    <t>oct</t>
  </si>
  <si>
    <t>Zouhour Fathallah</t>
  </si>
  <si>
    <t>octobre</t>
  </si>
  <si>
    <t>nov</t>
  </si>
  <si>
    <t>novembre</t>
  </si>
  <si>
    <t>déc</t>
  </si>
  <si>
    <t>dec</t>
  </si>
  <si>
    <t>décembre</t>
  </si>
  <si>
    <t>Lignes 11 à 40 : ajoutez ici chaque nouvel utilisateur (dates début/fin = période pendant laquelle il doit utiliser Qualipro). Cible individuelle : 5 = quotidien (cible direction) ; ex. 2 = deux jours par semaine pour un rôle ponctuel.</t>
  </si>
  <si>
    <t>Matricule (optionnel)</t>
  </si>
  <si>
    <t>Nom</t>
  </si>
  <si>
    <t>Date et heure (copie de l'export)</t>
  </si>
  <si>
    <t>Nom nettoyé</t>
  </si>
  <si>
    <t>Mois (mot)</t>
  </si>
  <si>
    <t>Jour</t>
  </si>
  <si>
    <t>Année</t>
  </si>
  <si>
    <t>1er accès du jour (1=oui)</t>
  </si>
  <si>
    <t>Jour ouvré</t>
  </si>
  <si>
    <t>Compté (1er accès × jour ouvré)</t>
  </si>
  <si>
    <t>Connu dans l'effectif</t>
  </si>
  <si>
    <t>MISE À JOUR MENSUELLE : collez l'export brut (sans dédoublonner) dans les colonnes B et C à la suite des lignes existantes. Tout le reste se calcule (jusqu'à la ligne 3001).</t>
  </si>
  <si>
    <t>janv 02 2026 7:58AM</t>
  </si>
  <si>
    <t>janv 02 2026 8:03AM</t>
  </si>
  <si>
    <t>janv 02 2026 9:20AM</t>
  </si>
  <si>
    <t>janv 02 2026 12:51PM</t>
  </si>
  <si>
    <t>janv 02 2026 5:55PM</t>
  </si>
  <si>
    <t>janv 05 2026 4:26PM</t>
  </si>
  <si>
    <t>janv 06 2026 9:58AM</t>
  </si>
  <si>
    <t>janv 07 2026 9:49AM</t>
  </si>
  <si>
    <t>janv 07 2026 10:01AM</t>
  </si>
  <si>
    <t>janv 07 2026 1:34PM</t>
  </si>
  <si>
    <t>janv 07 2026 2:33PM</t>
  </si>
  <si>
    <t>janv 07 2026 3:49PM</t>
  </si>
  <si>
    <t>janv 07 2026 4:37PM</t>
  </si>
  <si>
    <t>janv 08 2026 10:30AM</t>
  </si>
  <si>
    <t>janv 08 2026 11:55AM</t>
  </si>
  <si>
    <t>janv 08 2026 1:12PM</t>
  </si>
  <si>
    <t>janv 12 2026 9:39AM</t>
  </si>
  <si>
    <t>janv 13 2026 11:46AM</t>
  </si>
  <si>
    <t>janv 13 2026 11:53AM</t>
  </si>
  <si>
    <t>janv 14 2026 9:59AM</t>
  </si>
  <si>
    <t>janv 15 2026 10:57AM</t>
  </si>
  <si>
    <t>janv 16 2026 11:01AM</t>
  </si>
  <si>
    <t>janv 17 2026 10:26AM</t>
  </si>
  <si>
    <t>janv 20 2026 4:08PM</t>
  </si>
  <si>
    <t>janv 21 2026 10:00AM</t>
  </si>
  <si>
    <t>janv 22 2026 10:18AM</t>
  </si>
  <si>
    <t>janv 22 2026 2:27PM</t>
  </si>
  <si>
    <t>janv 23 2026 10:32AM</t>
  </si>
  <si>
    <t>janv 23 2026 2:34PM</t>
  </si>
  <si>
    <t>janv 23 2026 3:19PM</t>
  </si>
  <si>
    <t>janv 27 2026 3:43PM</t>
  </si>
  <si>
    <t>janv 28 2026 10:04AM</t>
  </si>
  <si>
    <t>janv 28 2026 1:01PM</t>
  </si>
  <si>
    <t>janv 28 2026 1:47PM</t>
  </si>
  <si>
    <t>janv 28 2026 4:27PM</t>
  </si>
  <si>
    <t>janv 29 2026 7:57AM</t>
  </si>
  <si>
    <t>janv 29 2026 9:07AM</t>
  </si>
  <si>
    <t>janv 29 2026 1:10PM</t>
  </si>
  <si>
    <t>janv 06 2026 2:19PM</t>
  </si>
  <si>
    <t>janv 08 2026 11:31AM</t>
  </si>
  <si>
    <t>janv 20 2026 8:29PM</t>
  </si>
  <si>
    <t>janv 27 2026 5:26PM</t>
  </si>
  <si>
    <t>janv 27 2026 5:28PM</t>
  </si>
  <si>
    <t>janv 07 2026 7:51AM</t>
  </si>
  <si>
    <t>janv 14 2026 9:05AM</t>
  </si>
  <si>
    <t>janv 21 2026 8:27AM</t>
  </si>
  <si>
    <t>janv 28 2026 8:00AM</t>
  </si>
  <si>
    <t>janv 05 2026 10:34AM</t>
  </si>
  <si>
    <t>janv 07 2026 3:41PM</t>
  </si>
  <si>
    <t>janv 07 2026 3:53PM</t>
  </si>
  <si>
    <t>janv 07 2026 3:54PM</t>
  </si>
  <si>
    <t>janv 22 2026 10:03AM</t>
  </si>
  <si>
    <t>janv 23 2026 10:31AM</t>
  </si>
  <si>
    <t>janv 23 2026 2:21PM</t>
  </si>
  <si>
    <t>janv 29 2026 9:42AM</t>
  </si>
  <si>
    <t>janv 02 2026 7:43AM</t>
  </si>
  <si>
    <t>janv 05 2026 2:04PM</t>
  </si>
  <si>
    <t>janv 07 2026 8:40AM</t>
  </si>
  <si>
    <t>janv 07 2026 3:18PM</t>
  </si>
  <si>
    <t>janv 08 2026 11:12AM</t>
  </si>
  <si>
    <t>janv 14 2026 7:37AM</t>
  </si>
  <si>
    <t>janv 17 2026 10:33AM</t>
  </si>
  <si>
    <t>janv 19 2026 7:56AM</t>
  </si>
  <si>
    <t>janv 19 2026 2:14PM</t>
  </si>
  <si>
    <t>janv 23 2026 8:49AM</t>
  </si>
  <si>
    <t>janv 26 2026 2:06PM</t>
  </si>
  <si>
    <t>janv 28 2026 8:09AM</t>
  </si>
  <si>
    <t>janv 02 2026 7:37AM</t>
  </si>
  <si>
    <t>janv 02 2026 4:24PM</t>
  </si>
  <si>
    <t>janv 03 2026 7:28AM</t>
  </si>
  <si>
    <t>janv 03 2026 3:08PM</t>
  </si>
  <si>
    <t>janv 05 2026 4:22PM</t>
  </si>
  <si>
    <t>janv 06 2026 4:14PM</t>
  </si>
  <si>
    <t>janv 07 2026 8:32AM</t>
  </si>
  <si>
    <t>janv 08 2026 12:56PM</t>
  </si>
  <si>
    <t>janv 12 2026 3:56PM</t>
  </si>
  <si>
    <t>janv 13 2026 4:19PM</t>
  </si>
  <si>
    <t>janv 14 2026 4:23PM</t>
  </si>
  <si>
    <t>janv 16 2026 4:22PM</t>
  </si>
  <si>
    <t>janv 19 2026 11:47AM</t>
  </si>
  <si>
    <t>janv 19 2026 1:08PM</t>
  </si>
  <si>
    <t>janv 19 2026 3:55PM</t>
  </si>
  <si>
    <t>janv 21 2026 8:35AM</t>
  </si>
  <si>
    <t>janv 22 2026 7:47AM</t>
  </si>
  <si>
    <t>janv 22 2026 8:12AM</t>
  </si>
  <si>
    <t>janv 26 2026 3:53PM</t>
  </si>
  <si>
    <t>janv 27 2026 4:21PM</t>
  </si>
  <si>
    <t>janv 29 2026 4:20PM</t>
  </si>
  <si>
    <t>janv 30 2026 4:06PM</t>
  </si>
  <si>
    <t>janv 03 2026 11:26AM</t>
  </si>
  <si>
    <t>janv 03 2026 11:33AM</t>
  </si>
  <si>
    <t>janv 05 2026 2:15PM</t>
  </si>
  <si>
    <t>janv 07 2026 3:21PM</t>
  </si>
  <si>
    <t>janv 05 2026 8:59AM</t>
  </si>
  <si>
    <t>janv 07 2026 9:57AM</t>
  </si>
  <si>
    <t>janv 07 2026 2:53PM</t>
  </si>
  <si>
    <t>janv 13 2026 11:57AM</t>
  </si>
  <si>
    <t>janv 16 2026 10:32AM</t>
  </si>
  <si>
    <t>janv 07 2026 12:16PM</t>
  </si>
  <si>
    <t>janv 16 2026 3:13PM</t>
  </si>
  <si>
    <t>janv 16 2026 3:14PM</t>
  </si>
  <si>
    <t>janv 18 2026 1:46PM</t>
  </si>
  <si>
    <t>janv 24 2026 12:31PM</t>
  </si>
  <si>
    <t>janv 25 2026 3:16PM</t>
  </si>
  <si>
    <t>janv 28 2026 10:27AM</t>
  </si>
  <si>
    <t>janv 02 2026 2:02PM</t>
  </si>
  <si>
    <t>janv 03 2026 9:02AM</t>
  </si>
  <si>
    <t>janv 03 2026 11:46AM</t>
  </si>
  <si>
    <t>janv 05 2026 1:13PM</t>
  </si>
  <si>
    <t>janv 07 2026 8:16AM</t>
  </si>
  <si>
    <t>janv 12 2026 10:19AM</t>
  </si>
  <si>
    <t>janv 15 2026 2:33PM</t>
  </si>
  <si>
    <t>janv 19 2026 11:45AM</t>
  </si>
  <si>
    <t>janv 19 2026 1:21PM</t>
  </si>
  <si>
    <t>janv 21 2026 9:17AM</t>
  </si>
  <si>
    <t>janv 23 2026 9:04AM</t>
  </si>
  <si>
    <t>janv 23 2026 9:09AM</t>
  </si>
  <si>
    <t>janv 26 2026 11:40AM</t>
  </si>
  <si>
    <t>janv 28 2026 8:17AM</t>
  </si>
  <si>
    <t>janv 13 2026 10:31AM</t>
  </si>
  <si>
    <t>janv 16 2026 2:22PM</t>
  </si>
  <si>
    <t>janv 21 2026 10:11AM</t>
  </si>
  <si>
    <t>janv 03 2026 1:48PM</t>
  </si>
  <si>
    <t>janv 08 2026 1:40PM</t>
  </si>
  <si>
    <t>janv 19 2026 8:26AM</t>
  </si>
  <si>
    <t>janv 21 2026 9:23AM</t>
  </si>
  <si>
    <t>janv 21 2026 8:42AM</t>
  </si>
  <si>
    <t>janv 21 2026 8:44AM</t>
  </si>
  <si>
    <t>janv 22 2026 3:33PM</t>
  </si>
  <si>
    <t>janv 22 2026 3:37PM</t>
  </si>
  <si>
    <t>janv 22 2026 4:05PM</t>
  </si>
  <si>
    <t>janv 22 2026 4:06PM</t>
  </si>
  <si>
    <t>janv 26 2026 8:01AM</t>
  </si>
  <si>
    <t>janv 27 2026 12:38PM</t>
  </si>
  <si>
    <t>janv 30 2026 10:51AM</t>
  </si>
  <si>
    <t>janv 30 2026 10:52AM</t>
  </si>
  <si>
    <t>janv 02 2026 11:39AM</t>
  </si>
  <si>
    <t>janv 02 2026 4:09PM</t>
  </si>
  <si>
    <t>janv 02 2026 5:54PM</t>
  </si>
  <si>
    <t>janv 03 2026 7:20AM</t>
  </si>
  <si>
    <t>janv 03 2026 11:55AM</t>
  </si>
  <si>
    <t>janv 03 2026 3:04PM</t>
  </si>
  <si>
    <t>janv 05 2026 7:33AM</t>
  </si>
  <si>
    <t>janv 05 2026 8:37AM</t>
  </si>
  <si>
    <t>janv 06 2026 9:19AM</t>
  </si>
  <si>
    <t>janv 07 2026 10:02AM</t>
  </si>
  <si>
    <t>janv 13 2026 11:24AM</t>
  </si>
  <si>
    <t>janv 21 2026 7:19AM</t>
  </si>
  <si>
    <t>janv 26 2026 7:22AM</t>
  </si>
  <si>
    <t>janv 28 2026 10:03AM</t>
  </si>
  <si>
    <t>févr 02 2026 4:18PM</t>
  </si>
  <si>
    <t>févr 04 2026 1:36PM</t>
  </si>
  <si>
    <t>févr 05 2026 4:01PM</t>
  </si>
  <si>
    <t>févr 06 2026 4:19PM</t>
  </si>
  <si>
    <t>févr 09 2026 11:44AM</t>
  </si>
  <si>
    <t>févr 09 2026 4:24PM</t>
  </si>
  <si>
    <t>févr 13 2026 4:23PM</t>
  </si>
  <si>
    <t>févr 16 2026 1:53PM</t>
  </si>
  <si>
    <t>févr 17 2026 3:52PM</t>
  </si>
  <si>
    <t>févr 19 2026 2:08PM</t>
  </si>
  <si>
    <t>févr 20 2026 2:14PM</t>
  </si>
  <si>
    <t>févr 21 2026 2:11PM</t>
  </si>
  <si>
    <t>févr 23 2026 2:15PM</t>
  </si>
  <si>
    <t>févr 26 2026 2:16PM</t>
  </si>
  <si>
    <t>févr 27 2026 2:18PM</t>
  </si>
  <si>
    <t>févr 17 2026 11:54AM</t>
  </si>
  <si>
    <t>févr 18 2026 8:50AM</t>
  </si>
  <si>
    <t>févr 23 2026 8:39AM</t>
  </si>
  <si>
    <t>févr 25 2026 9:38AM</t>
  </si>
  <si>
    <t>févr 10 2026 10:56PM</t>
  </si>
  <si>
    <t>févr 15 2026 8:33PM</t>
  </si>
  <si>
    <t>févr 15 2026 8:42PM</t>
  </si>
  <si>
    <t>févr 15 2026 8:43PM</t>
  </si>
  <si>
    <t>févr 15 2026 8:44PM</t>
  </si>
  <si>
    <t>févr 17 2026 9:13PM</t>
  </si>
  <si>
    <t>févr 17 2026 9:18PM</t>
  </si>
  <si>
    <t>févr 17 2026 9:19PM</t>
  </si>
  <si>
    <t>févr 24 2026 5:06PM</t>
  </si>
  <si>
    <t>févr 25 2026 12:22PM</t>
  </si>
  <si>
    <t>févr 25 2026 12:29PM</t>
  </si>
  <si>
    <t>févr 01 2026 12:41PM</t>
  </si>
  <si>
    <t>févr 04 2026 9:56AM</t>
  </si>
  <si>
    <t>févr 06 2026 4:44PM</t>
  </si>
  <si>
    <t>févr 11 2026 7:19AM</t>
  </si>
  <si>
    <t>févr 16 2026 1:54PM</t>
  </si>
  <si>
    <t>févr 18 2026 4:48PM</t>
  </si>
  <si>
    <t>févr 20 2026 10:04AM</t>
  </si>
  <si>
    <t>févr 24 2026 7:14AM</t>
  </si>
  <si>
    <t>févr 02 2026 8:24AM</t>
  </si>
  <si>
    <t>févr 09 2026 2:30PM</t>
  </si>
  <si>
    <t>févr 11 2026 7:59AM</t>
  </si>
  <si>
    <t>févr 16 2026 1:46PM</t>
  </si>
  <si>
    <t>févr 18 2026 9:08AM</t>
  </si>
  <si>
    <t>févr 21 2026 9:08AM</t>
  </si>
  <si>
    <t>févr 23 2026 9:11AM</t>
  </si>
  <si>
    <t>févr 24 2026 2:17PM</t>
  </si>
  <si>
    <t>févr 04 2026 8:26AM</t>
  </si>
  <si>
    <t>févr 13 2026 8:03AM</t>
  </si>
  <si>
    <t>févr 18 2026 8:31AM</t>
  </si>
  <si>
    <t>févr 23 2026 1:15PM</t>
  </si>
  <si>
    <t>févr 02 2026 12:27PM</t>
  </si>
  <si>
    <t>févr 03 2026 7:38AM</t>
  </si>
  <si>
    <t>févr 03 2026 8:30AM</t>
  </si>
  <si>
    <t>févr 03 2026 11:34AM</t>
  </si>
  <si>
    <t>févr 04 2026 9:55AM</t>
  </si>
  <si>
    <t>févr 05 2026 12:29PM</t>
  </si>
  <si>
    <t>févr 06 2026 9:13AM</t>
  </si>
  <si>
    <t>févr 06 2026 12:41PM</t>
  </si>
  <si>
    <t>févr 08 2026 7:20PM</t>
  </si>
  <si>
    <t>févr 09 2026 8:24AM</t>
  </si>
  <si>
    <t>févr 09 2026 1:03PM</t>
  </si>
  <si>
    <t>févr 11 2026 9:37AM</t>
  </si>
  <si>
    <t>févr 11 2026 9:39AM</t>
  </si>
  <si>
    <t>févr 12 2026 9:06AM</t>
  </si>
  <si>
    <t>févr 12 2026 12:54PM</t>
  </si>
  <si>
    <t>févr 12 2026 3:29PM</t>
  </si>
  <si>
    <t>févr 12 2026 4:36PM</t>
  </si>
  <si>
    <t>févr 13 2026 8:13AM</t>
  </si>
  <si>
    <t>févr 13 2026 2:40PM</t>
  </si>
  <si>
    <t>févr 17 2026 8:09AM</t>
  </si>
  <si>
    <t>févr 18 2026 9:12AM</t>
  </si>
  <si>
    <t>févr 21 2026 1:52PM</t>
  </si>
  <si>
    <t>févr 25 2026 8:41AM</t>
  </si>
  <si>
    <t>févr 04 2026 9:06AM</t>
  </si>
  <si>
    <t>févr 05 2026 10:25AM</t>
  </si>
  <si>
    <t>févr 09 2026 1:57PM</t>
  </si>
  <si>
    <t>févr 11 2026 10:01AM</t>
  </si>
  <si>
    <t>févr 13 2026 8:23AM</t>
  </si>
  <si>
    <t>févr 21 2026 9:09AM</t>
  </si>
  <si>
    <t>févr 04 2026 9:22AM</t>
  </si>
  <si>
    <t>févr 02 2026 8:02AM</t>
  </si>
  <si>
    <t>févr 03 2026 10:48AM</t>
  </si>
  <si>
    <t>févr 04 2026 8:16AM</t>
  </si>
  <si>
    <t>févr 04 2026 3:05PM</t>
  </si>
  <si>
    <t>févr 13 2026 9:35AM</t>
  </si>
  <si>
    <t>févr 20 2026 9:37AM</t>
  </si>
  <si>
    <t>févr 21 2026 8:07AM</t>
  </si>
  <si>
    <t>févr 23 2026 1:34PM</t>
  </si>
  <si>
    <t>févr 25 2026 8:46AM</t>
  </si>
  <si>
    <t>févr 25 2026 8:53AM</t>
  </si>
  <si>
    <t>févr 25 2026 8:54AM</t>
  </si>
  <si>
    <t>févr 25 2026 8:58AM</t>
  </si>
  <si>
    <t>févr 25 2026 9:00AM</t>
  </si>
  <si>
    <t>févr 25 2026 1:46PM</t>
  </si>
  <si>
    <t>févr 26 2026 9:43AM</t>
  </si>
  <si>
    <t>févr 02 2026 10:51AM</t>
  </si>
  <si>
    <t>févr 04 2026 9:35AM</t>
  </si>
  <si>
    <t>févr 10 2026 8:55AM</t>
  </si>
  <si>
    <t>févr 17 2026 8:56AM</t>
  </si>
  <si>
    <t>févr 25 2026 9:50AM</t>
  </si>
  <si>
    <t>févr 04 2026 9:20AM</t>
  </si>
  <si>
    <t>févr 09 2026 8:27AM</t>
  </si>
  <si>
    <t>févr 11 2026 9:33AM</t>
  </si>
  <si>
    <t>févr 16 2026 8:42AM</t>
  </si>
  <si>
    <t>févr 16 2026 4:29PM</t>
  </si>
  <si>
    <t>févr 17 2026 9:54AM</t>
  </si>
  <si>
    <t>févr 17 2026 10:10AM</t>
  </si>
  <si>
    <t>févr 18 2026 8:45AM</t>
  </si>
  <si>
    <t>févr 24 2026 10:55AM</t>
  </si>
  <si>
    <t>févr 25 2026 9:25AM</t>
  </si>
  <si>
    <t>févr 27 2026 10:48AM</t>
  </si>
  <si>
    <t>févr 02 2026 7:49AM</t>
  </si>
  <si>
    <t>févr 05 2026 8:00AM</t>
  </si>
  <si>
    <t>févr 06 2026 3:25PM</t>
  </si>
  <si>
    <t>févr 09 2026 8:37AM</t>
  </si>
  <si>
    <t>févr 09 2026 4:35PM</t>
  </si>
  <si>
    <t>févr 11 2026 7:58AM</t>
  </si>
  <si>
    <t>févr 13 2026 8:38AM</t>
  </si>
  <si>
    <t>févr 16 2026 8:58AM</t>
  </si>
  <si>
    <t>févr 20 2026 8:13AM</t>
  </si>
  <si>
    <t>févr 20 2026 8:36AM</t>
  </si>
  <si>
    <t>févr 24 2026 10:06AM</t>
  </si>
  <si>
    <t>févr 25 2026 8:03AM</t>
  </si>
  <si>
    <t>févr 27 2026 12:50PM</t>
  </si>
  <si>
    <t>mars 10 2026 1:07PM</t>
  </si>
  <si>
    <t>mars 10 2026 12:05PM</t>
  </si>
  <si>
    <t>mars 10 2026 8:46AM</t>
  </si>
  <si>
    <t>mars 10 2026 9:31AM</t>
  </si>
  <si>
    <t>mars 11 2026 7:23AM</t>
  </si>
  <si>
    <t>mars 11 2026 8:41AM</t>
  </si>
  <si>
    <t>mars 11 2026 9:13AM</t>
  </si>
  <si>
    <t>mars 12 2026 2:21PM</t>
  </si>
  <si>
    <t>mars 12 2026 9:29AM</t>
  </si>
  <si>
    <t>mars 12 2026 9:30AM</t>
  </si>
  <si>
    <t>mars 12 2026 9:32AM</t>
  </si>
  <si>
    <t>mars 13 2026 2:18PM</t>
  </si>
  <si>
    <t>mars 13 2026 8:06AM</t>
  </si>
  <si>
    <t>mars 13 2026 8:12AM</t>
  </si>
  <si>
    <t>mars 14 2026 2:15PM</t>
  </si>
  <si>
    <t>mars 14 2026 2:23PM</t>
  </si>
  <si>
    <t>mars 14 2026 7:36AM</t>
  </si>
  <si>
    <t>mars 16 2026 10:45AM</t>
  </si>
  <si>
    <t>mars 16 2026 10:51AM</t>
  </si>
  <si>
    <t>mars 16 2026 10:54AM</t>
  </si>
  <si>
    <t>mars 16 2026 7:24AM</t>
  </si>
  <si>
    <t>mars 16 2026 8:06AM</t>
  </si>
  <si>
    <t>mars 16 2026 8:54AM</t>
  </si>
  <si>
    <t>mars 17 2026 1:16PM</t>
  </si>
  <si>
    <t>mars 17 2026 1:17PM</t>
  </si>
  <si>
    <t>mars 17 2026 10:36AM</t>
  </si>
  <si>
    <t>mars 17 2026 11:12PM</t>
  </si>
  <si>
    <t>mars 17 2026 11:28AM</t>
  </si>
  <si>
    <t>mars 17 2026 2:11PM</t>
  </si>
  <si>
    <t>mars 17 2026 8:24AM</t>
  </si>
  <si>
    <t>mars 17 2026 8:33AM</t>
  </si>
  <si>
    <t>mars 18 2026 1:33PM</t>
  </si>
  <si>
    <t>mars 18 2026 1:56PM</t>
  </si>
  <si>
    <t>mars 18 2026 10:06AM</t>
  </si>
  <si>
    <t>mars 18 2026 2:14PM</t>
  </si>
  <si>
    <t>mars 18 2026 8:38AM</t>
  </si>
  <si>
    <t>mars 18 2026 8:57AM</t>
  </si>
  <si>
    <t>mars 18 2026 9:54AM</t>
  </si>
  <si>
    <t>mars 02 2026 10:14AM</t>
  </si>
  <si>
    <t>mars 02 2026 10:49AM</t>
  </si>
  <si>
    <t>mars 02 2026 11:03AM</t>
  </si>
  <si>
    <t>mars 02 2026 11:04AM</t>
  </si>
  <si>
    <t>mars 02 2026 11:37AM</t>
  </si>
  <si>
    <t>mars 02 2026 2:04PM</t>
  </si>
  <si>
    <t>mars 20 2026 6:10PM</t>
  </si>
  <si>
    <t>mars 23 2026 10:20AM</t>
  </si>
  <si>
    <t>mars 23 2026 11:28AM</t>
  </si>
  <si>
    <t>mars 23 2026 8:06AM</t>
  </si>
  <si>
    <t>mars 23 2026 9:15AM</t>
  </si>
  <si>
    <t>mars 23 2026 9:20AM</t>
  </si>
  <si>
    <t>mars 23 2026 9:47AM</t>
  </si>
  <si>
    <t>mars 24 2026 8:17AM</t>
  </si>
  <si>
    <t>mars 24 2026 8:35PM</t>
  </si>
  <si>
    <t>mars 24 2026 9:33AM</t>
  </si>
  <si>
    <t>mars 25 2026 1:08PM</t>
  </si>
  <si>
    <t>mars 25 2026 10:21AM</t>
  </si>
  <si>
    <t>mars 25 2026 8:10AM</t>
  </si>
  <si>
    <t>mars 25 2026 8:11AM</t>
  </si>
  <si>
    <t>mars 25 2026 8:19AM</t>
  </si>
  <si>
    <t>mars 25 2026 8:20AM</t>
  </si>
  <si>
    <t>mars 25 2026 9:04AM</t>
  </si>
  <si>
    <t>mars 26 2026 11:39AM</t>
  </si>
  <si>
    <t>mars 26 2026 2:08PM</t>
  </si>
  <si>
    <t>mars 26 2026 2:37PM</t>
  </si>
  <si>
    <t>mars 26 2026 2:50PM</t>
  </si>
  <si>
    <t>mars 26 2026 4:16PM</t>
  </si>
  <si>
    <t>mars 26 2026 4:51PM</t>
  </si>
  <si>
    <t>mars 26 2026 5:05PM</t>
  </si>
  <si>
    <t>mars 26 2026 5:48PM</t>
  </si>
  <si>
    <t>mars 27 2026 1:07PM</t>
  </si>
  <si>
    <t>mars 27 2026 1:16PM</t>
  </si>
  <si>
    <t>mars 27 2026 4:03PM</t>
  </si>
  <si>
    <t>mars 27 2026 4:16PM</t>
  </si>
  <si>
    <t>mars 29 2026 9:34PM</t>
  </si>
  <si>
    <t>mars 03 2026 10:17PM</t>
  </si>
  <si>
    <t>mars 03 2026 2:06PM</t>
  </si>
  <si>
    <t>mars 03 2026 2:17PM</t>
  </si>
  <si>
    <t>mars 03 2026 7:37AM</t>
  </si>
  <si>
    <t>mars 03 2026 7:54AM</t>
  </si>
  <si>
    <t>mars 30 2026 11:14AM</t>
  </si>
  <si>
    <t>mars 30 2026 7:13AM</t>
  </si>
  <si>
    <t>mars 30 2026 7:33AM</t>
  </si>
  <si>
    <t>mars 30 2026 8:34AM</t>
  </si>
  <si>
    <t>mars 31 2026 4:13PM</t>
  </si>
  <si>
    <t>mars 31 2026 7:27AM</t>
  </si>
  <si>
    <t>mars 04 2026 12:15PM</t>
  </si>
  <si>
    <t>mars 04 2026 12:16PM</t>
  </si>
  <si>
    <t>mars 04 2026 12:17PM</t>
  </si>
  <si>
    <t>mars 04 2026 12:25PM</t>
  </si>
  <si>
    <t>mars 04 2026 2:18PM</t>
  </si>
  <si>
    <t>mars 04 2026 7:46AM</t>
  </si>
  <si>
    <t>mars 04 2026 8:20AM</t>
  </si>
  <si>
    <t>mars 04 2026 8:49AM</t>
  </si>
  <si>
    <t>mars 04 2026 9:17AM</t>
  </si>
  <si>
    <t>mars 04 2026 9:41AM</t>
  </si>
  <si>
    <t>mars 05 2026 2:14PM</t>
  </si>
  <si>
    <t>mars 06 2026 2:00PM</t>
  </si>
  <si>
    <t>mars 06 2026 2:13PM</t>
  </si>
  <si>
    <t>mars 06 2026 9:07AM</t>
  </si>
  <si>
    <t>mars 07 2026 1:16PM</t>
  </si>
  <si>
    <t>mars 07 2026 1:44PM</t>
  </si>
  <si>
    <t>mars 08 2026 9:11PM</t>
  </si>
  <si>
    <t>mars 09 2026 2:12PM</t>
  </si>
  <si>
    <t>mars 09 2026 7:37AM</t>
  </si>
  <si>
    <t>mars 09 2026 9:24AM</t>
  </si>
  <si>
    <t>mars 09 2026 9:32AM</t>
  </si>
  <si>
    <t>mars 09 2026 9:35AM</t>
  </si>
  <si>
    <t>mars 09 2026 9:42AM</t>
  </si>
  <si>
    <t>avril 01 2026 09:21AM</t>
  </si>
  <si>
    <t>avr 3 2026 11:51AM</t>
  </si>
  <si>
    <t>avr 6 2026 12:34PM</t>
  </si>
  <si>
    <t>avr 8 2026 9:54AM</t>
  </si>
  <si>
    <t>avr 13 2026 9:55AM</t>
  </si>
  <si>
    <t>avr 17 2026 8:29AM</t>
  </si>
  <si>
    <t>avr 20 2026 8:14AM</t>
  </si>
  <si>
    <t>avr 21 2026 4:21PM</t>
  </si>
  <si>
    <t>avr 29 2026 9:44AM</t>
  </si>
  <si>
    <t>avr 1 2026 7:28AM</t>
  </si>
  <si>
    <t>avr 14 2026 3:39PM</t>
  </si>
  <si>
    <t>avr 22 2026 7:30AM</t>
  </si>
  <si>
    <t>avr 22 2026 7:57AM</t>
  </si>
  <si>
    <t>avr 22 2026 8:02AM</t>
  </si>
  <si>
    <t>avr 22 2026 8:21AM</t>
  </si>
  <si>
    <t>avr 22 2026 8:27AM</t>
  </si>
  <si>
    <t>avr 22 2026 9:57AM</t>
  </si>
  <si>
    <t>avr 29 2026 7:33AM</t>
  </si>
  <si>
    <t>avr 1 2026 9:54AM</t>
  </si>
  <si>
    <t>avr 8 2026 9:02AM</t>
  </si>
  <si>
    <t>avr 15 2026 9:32AM</t>
  </si>
  <si>
    <t>avr 22 2026 9:46AM</t>
  </si>
  <si>
    <t>avr 24 2026 3:30PM</t>
  </si>
  <si>
    <t>avr 29 2026 9:51AM</t>
  </si>
  <si>
    <t>avr 1 2026 11:09AM</t>
  </si>
  <si>
    <t>avr 2 2026 10:43AM</t>
  </si>
  <si>
    <t>avr 3 2026 9:02AM</t>
  </si>
  <si>
    <t>avr 6 2026 1:27PM</t>
  </si>
  <si>
    <t>avr 6 2026 1:44PM</t>
  </si>
  <si>
    <t>avr 7 2026 1:32PM</t>
  </si>
  <si>
    <t>avr 7 2026 3:09PM</t>
  </si>
  <si>
    <t>avr 7 2026 3:31PM</t>
  </si>
  <si>
    <t>avr 7 2026 4:39PM</t>
  </si>
  <si>
    <t>avr 7 2026 4:55PM</t>
  </si>
  <si>
    <t>avr 8 2026 8:13AM</t>
  </si>
  <si>
    <t>avr 9 2026 12:59PM</t>
  </si>
  <si>
    <t>avr 9 2026 1:02PM</t>
  </si>
  <si>
    <t>avr 9 2026 2:42PM</t>
  </si>
  <si>
    <t>avr 13 2026 12:01PM</t>
  </si>
  <si>
    <t>avr 13 2026 3:30PM</t>
  </si>
  <si>
    <t>avr 15 2026 2:01PM</t>
  </si>
  <si>
    <t>avr 15 2026 3:31PM</t>
  </si>
  <si>
    <t>avr 18 2026 8:07AM</t>
  </si>
  <si>
    <t>avr 18 2026 8:16AM</t>
  </si>
  <si>
    <t>avr 18 2026 2:17PM</t>
  </si>
  <si>
    <t>avr 20 2026 1:57PM</t>
  </si>
  <si>
    <t>avr 21 2026 4:19PM</t>
  </si>
  <si>
    <t>avr 22 2026 2:43PM</t>
  </si>
  <si>
    <t>avr 28 2026 9:52AM</t>
  </si>
  <si>
    <t>avr 29 2026 11:46AM</t>
  </si>
  <si>
    <t>avr 29 2026 11:47AM</t>
  </si>
  <si>
    <t>avr 1 2026 7:56AM</t>
  </si>
  <si>
    <t>avr 8 2026 7:46AM</t>
  </si>
  <si>
    <t>avr 13 2026 1:48PM</t>
  </si>
  <si>
    <t>avr 14 2026 10:17AM</t>
  </si>
  <si>
    <t>avr 22 2026 9:08AM</t>
  </si>
  <si>
    <t>avr 29 2026 8:28AM</t>
  </si>
  <si>
    <t>avr 3 2026 4:18PM</t>
  </si>
  <si>
    <t>avr 6 2026 4:13PM</t>
  </si>
  <si>
    <t>avr 7 2026 4:16PM</t>
  </si>
  <si>
    <t>avr 10 2026 4:14PM</t>
  </si>
  <si>
    <t>avr 13 2026 3:57PM</t>
  </si>
  <si>
    <t>avr 14 2026 11:24AM</t>
  </si>
  <si>
    <t>avr 15 2026 4:12PM</t>
  </si>
  <si>
    <t>avr 16 2026 4:15PM</t>
  </si>
  <si>
    <t>avr 17 2026 4:19PM</t>
  </si>
  <si>
    <t>avr 20 2026 4:15PM</t>
  </si>
  <si>
    <t>avr 21 2026 4:17PM</t>
  </si>
  <si>
    <t>avr 22 2026 4:18PM</t>
  </si>
  <si>
    <t>avr 23 2026 4:16PM</t>
  </si>
  <si>
    <t>avr 27 2026 4:15PM</t>
  </si>
  <si>
    <t>avr 29 2026 9:39AM</t>
  </si>
  <si>
    <t>avr 13 2026 2:32PM</t>
  </si>
  <si>
    <t>avr 4 2026 7:22AM</t>
  </si>
  <si>
    <t>avr 6 2026 8:57AM</t>
  </si>
  <si>
    <t>avr 7 2026 4:57PM</t>
  </si>
  <si>
    <t>avr 8 2026 5:02PM</t>
  </si>
  <si>
    <t>avr 10 2026 7:43AM</t>
  </si>
  <si>
    <t>avr 15 2026 7:14AM</t>
  </si>
  <si>
    <t>avr 18 2026 8:35AM</t>
  </si>
  <si>
    <t>avr 21 2026 12:18PM</t>
  </si>
  <si>
    <t>avr 29 2026 8:38AM</t>
  </si>
  <si>
    <t>avr 3 2026 9:30AM</t>
  </si>
  <si>
    <t>avr 6 2026 9:48AM</t>
  </si>
  <si>
    <t>avr 7 2026 4:29PM</t>
  </si>
  <si>
    <t>avr 9 2026 3:04PM</t>
  </si>
  <si>
    <t>avr 13 2026 1:17PM</t>
  </si>
  <si>
    <t>avr 15 2026 8:33AM</t>
  </si>
  <si>
    <t>avr 20 2026 11:54AM</t>
  </si>
  <si>
    <t>avr 23 2026 9:18AM</t>
  </si>
  <si>
    <t>avr 23 2026 10:54AM</t>
  </si>
  <si>
    <t>avr 27 2026 10:28AM</t>
  </si>
  <si>
    <t>avr 28 2026 1:08PM</t>
  </si>
  <si>
    <t>avr 6 2026 9:09AM</t>
  </si>
  <si>
    <t>avr 9 2026 11:41AM</t>
  </si>
  <si>
    <t>avr 11 2026 4:51PM</t>
  </si>
  <si>
    <t>avr 18 2026 8:15AM</t>
  </si>
  <si>
    <t>avr 20 2026 7:57AM</t>
  </si>
  <si>
    <t>avr 27 2026 4:04PM</t>
  </si>
  <si>
    <t>avr 1 2026 9:10AM</t>
  </si>
  <si>
    <t>avr 7 2026 8:34AM</t>
  </si>
  <si>
    <t>avr 13 2026 12:58PM</t>
  </si>
  <si>
    <t>avr 15 2026 10:21AM</t>
  </si>
  <si>
    <t>avr 17 2026 6:54AM</t>
  </si>
  <si>
    <t>avr 18 2026 9:06AM</t>
  </si>
  <si>
    <t>avr 22 2026 10:03AM</t>
  </si>
  <si>
    <t>avr 28 2026 4:59PM</t>
  </si>
  <si>
    <t>mai 4 2026 9:33AM</t>
  </si>
  <si>
    <t>mai 7 2026 10:55AM</t>
  </si>
  <si>
    <t>mai 13 2026 9:58AM</t>
  </si>
  <si>
    <t>mai 18 2026 4:46PM</t>
  </si>
  <si>
    <t>mai 22 2026 4:50PM</t>
  </si>
  <si>
    <t>mai 26 2026 7:46AM</t>
  </si>
  <si>
    <t>mai 5 2026 7:19AM</t>
  </si>
  <si>
    <t>mai 5 2026 10:44AM</t>
  </si>
  <si>
    <t>mai 12 2026 3:58PM</t>
  </si>
  <si>
    <t>mai 13 2026 7:23AM</t>
  </si>
  <si>
    <t>mai 20 2026 7:29AM</t>
  </si>
  <si>
    <t>mai 21 2026 10:34AM</t>
  </si>
  <si>
    <t>mai 4 2026 8:13AM</t>
  </si>
  <si>
    <t>mai 6 2026 8:45AM</t>
  </si>
  <si>
    <t>mai 7 2026 9:11AM</t>
  </si>
  <si>
    <t>mai 11 2026 9:41AM</t>
  </si>
  <si>
    <t>mai 13 2026 7:29AM</t>
  </si>
  <si>
    <t>mai 14 2026 2:04PM</t>
  </si>
  <si>
    <t>mai 19 2026 1:36PM</t>
  </si>
  <si>
    <t>mai 4 2026 8:37AM</t>
  </si>
  <si>
    <t>mai 14 2026 1:04PM</t>
  </si>
  <si>
    <t>mai 22 2026 4:33PM</t>
  </si>
  <si>
    <t>mai 25 2026 7:59AM</t>
  </si>
  <si>
    <t>mai 13 2026 8:58AM</t>
  </si>
  <si>
    <t>mai 20 2026 9:13AM</t>
  </si>
  <si>
    <t>mai 20 2026 10:02PM</t>
  </si>
  <si>
    <t>mai 4 2026 11:48AM</t>
  </si>
  <si>
    <t>mai 5 2026 4:14PM</t>
  </si>
  <si>
    <t>mai 7 2026 3:06PM</t>
  </si>
  <si>
    <t>mai 8 2026 4:11PM</t>
  </si>
  <si>
    <t>mai 11 2026 7:37AM</t>
  </si>
  <si>
    <t>mai 15 2026 4:14PM</t>
  </si>
  <si>
    <t>mai 18 2026 4:09PM</t>
  </si>
  <si>
    <t>mai 19 2026 4:13PM</t>
  </si>
  <si>
    <t>mai 21 2026 4:16PM</t>
  </si>
  <si>
    <t>mai 25 2026 4:15PM</t>
  </si>
  <si>
    <t>mai 29 2026 11:10AM</t>
  </si>
  <si>
    <t>mai 22 2026 7:12AM</t>
  </si>
  <si>
    <t>mai 29 2026 11:02AM</t>
  </si>
  <si>
    <t>mai 4 2026 9:14AM</t>
  </si>
  <si>
    <t>mai 5 2026 2:10PM</t>
  </si>
  <si>
    <t>mai 11 2026 1:05PM</t>
  </si>
  <si>
    <t>mai 14 2026 1:13PM</t>
  </si>
  <si>
    <t>mai 18 2026 2:48PM</t>
  </si>
  <si>
    <t>mai 21 2026 11:04AM</t>
  </si>
  <si>
    <t>mai 22 2026 1:52PM</t>
  </si>
  <si>
    <t>mai 23 2026 3:49PM</t>
  </si>
  <si>
    <t>mai 25 2026 8:17AM</t>
  </si>
  <si>
    <t>mai 4 2026 11:37AM</t>
  </si>
  <si>
    <t>mai 6 2026 10:52AM</t>
  </si>
  <si>
    <t>mai 8 2026 2:39PM</t>
  </si>
  <si>
    <t>mai 11 2026 8:14AM</t>
  </si>
  <si>
    <t>mai 13 2026 8:59AM</t>
  </si>
  <si>
    <t>mai 18 2026 9:13AM</t>
  </si>
  <si>
    <t>mai 22 2026 8:06AM</t>
  </si>
  <si>
    <t>mai 25 2026 9:01AM</t>
  </si>
  <si>
    <t>mai 29 2026 10:52AM</t>
  </si>
  <si>
    <t>mai 20 2026 8:57AM</t>
  </si>
  <si>
    <t>mai 21 2026 12:55PM</t>
  </si>
  <si>
    <t>mai 3 2026 10:50AM</t>
  </si>
  <si>
    <t>mai 14 2026 1:08PM</t>
  </si>
  <si>
    <t>mai 18 2026 8:05AM</t>
  </si>
  <si>
    <t>mai 20 2026 10:03AM</t>
  </si>
  <si>
    <t>mai 21 2026 1:15PM</t>
  </si>
  <si>
    <t>mai 25 2026 3:42PM</t>
  </si>
  <si>
    <t>mai 29 2026 9:40AM</t>
  </si>
  <si>
    <t>mai 4 2026 7:14AM</t>
  </si>
  <si>
    <t>mai 5 2026 10:21AM</t>
  </si>
  <si>
    <t>mai 12 2026 8:27AM</t>
  </si>
  <si>
    <t>mai 20 2026 6:53AM</t>
  </si>
  <si>
    <t>mai 23 2026 9:58AM</t>
  </si>
  <si>
    <t>juin 3 2026 9:55AM</t>
  </si>
  <si>
    <t>juin 5 2026 12:41PM</t>
  </si>
  <si>
    <t>juin 9 2026 8:35PM</t>
  </si>
  <si>
    <t>juin 11 2026 2:54PM</t>
  </si>
  <si>
    <t>juin 16 2026 9:51AM</t>
  </si>
  <si>
    <t>juin 17 2026 1:19PM</t>
  </si>
  <si>
    <t>juin 18 2026 2:35PM</t>
  </si>
  <si>
    <t>juin 24 2026 10:44AM</t>
  </si>
  <si>
    <t>juin 29 2026 10:12AM</t>
  </si>
  <si>
    <t>juin 3 2026 3:03PM</t>
  </si>
  <si>
    <t>juin 3 2026 3:20PM</t>
  </si>
  <si>
    <t>juin 10 2026 7:27AM</t>
  </si>
  <si>
    <t>juin 12 2026 4:00PM</t>
  </si>
  <si>
    <t>juin 22 2026 4:20PM</t>
  </si>
  <si>
    <t>juin 23 2026 7:34AM</t>
  </si>
  <si>
    <t>juin 5 2026 3:00PM</t>
  </si>
  <si>
    <t>juin 17 2026 7:32AM</t>
  </si>
  <si>
    <t>juin 3 2026 8:59AM</t>
  </si>
  <si>
    <t>juin 10 2026 8:40AM</t>
  </si>
  <si>
    <t>juin 16 2026 9:59AM</t>
  </si>
  <si>
    <t>juin 20 2026 10:33AM</t>
  </si>
  <si>
    <t>juin 22 2026 9:19AM</t>
  </si>
  <si>
    <t>juin 23 2026 9:38AM</t>
  </si>
  <si>
    <t>juin 4 2026 1:12PM</t>
  </si>
  <si>
    <t>juin 6 2026 10:25AM</t>
  </si>
  <si>
    <t>juin 8 2026 9:16AM</t>
  </si>
  <si>
    <t>juin 11 2026 10:02AM</t>
  </si>
  <si>
    <t>juin 16 2026 8:01AM</t>
  </si>
  <si>
    <t>juin 19 2026 9:23AM</t>
  </si>
  <si>
    <t>juin 19 2026 2:54PM</t>
  </si>
  <si>
    <t>juin 23 2026 2:05PM</t>
  </si>
  <si>
    <t>juin 24 2026 2:06PM</t>
  </si>
  <si>
    <t>juin 29 2026 11:40AM</t>
  </si>
  <si>
    <t>juin 1 2026 8:32AM</t>
  </si>
  <si>
    <t>juin 3 2026 8:44AM</t>
  </si>
  <si>
    <t>juin 3 2026 9:36AM</t>
  </si>
  <si>
    <t>juin 8 2026 9:02AM</t>
  </si>
  <si>
    <t>juin 10 2026 10:03AM</t>
  </si>
  <si>
    <t>juin 12 2026 4:02PM</t>
  </si>
  <si>
    <t>juin 16 2026 10:24AM</t>
  </si>
  <si>
    <t>juin 23 2026 10:36AM</t>
  </si>
  <si>
    <t>juin 24 2026 9:19AM</t>
  </si>
  <si>
    <t>juin 1 2026 4:20PM</t>
  </si>
  <si>
    <t>juin 3 2026 4:16PM</t>
  </si>
  <si>
    <t>juin 8 2026 7:48AM</t>
  </si>
  <si>
    <t>juin 10 2026 4:17PM</t>
  </si>
  <si>
    <t>juin 12 2026 4:11PM</t>
  </si>
  <si>
    <t>juin 16 2026 7:48AM</t>
  </si>
  <si>
    <t>juin 19 2026 4:13PM</t>
  </si>
  <si>
    <t>juin 22 2026 8:18AM</t>
  </si>
  <si>
    <t>juin 22 2026 11:54AM</t>
  </si>
  <si>
    <t>juin 22 2026 11:56AM</t>
  </si>
  <si>
    <t>juin 22 2026 12:51PM</t>
  </si>
  <si>
    <t>juin 22 2026 12:57PM</t>
  </si>
  <si>
    <t>juin 23 2026 4:13PM</t>
  </si>
  <si>
    <t>juin 26 2026 4:14PM</t>
  </si>
  <si>
    <t>juin 29 2026 8:04AM</t>
  </si>
  <si>
    <t>juin 15 2026 9:59AM</t>
  </si>
  <si>
    <t>juin 2 2026 11:57AM</t>
  </si>
  <si>
    <t>juin 4 2026 12:16PM</t>
  </si>
  <si>
    <t>juin 16 2026 10:08AM</t>
  </si>
  <si>
    <t>juin 18 2026 5:00PM</t>
  </si>
  <si>
    <t>juin 24 2026 7:27AM</t>
  </si>
  <si>
    <t>juin 25 2026 2:17PM</t>
  </si>
  <si>
    <t>juin 29 2026 9:59AM</t>
  </si>
  <si>
    <t>juin 1 2026 8:51AM</t>
  </si>
  <si>
    <t>juin 3 2026 9:34AM</t>
  </si>
  <si>
    <t>juin 8 2026 8:13AM</t>
  </si>
  <si>
    <t>juin 9 2026 12:27PM</t>
  </si>
  <si>
    <t>juin 16 2026 8:13AM</t>
  </si>
  <si>
    <t>juin 17 2026 11:40AM</t>
  </si>
  <si>
    <t>juin 20 2026 10:17AM</t>
  </si>
  <si>
    <t>juin 22 2026 2:12PM</t>
  </si>
  <si>
    <t>juin 26 2026 10:24AM</t>
  </si>
  <si>
    <t>juin 29 2026 7:55AM</t>
  </si>
  <si>
    <t>juin 1 2026 11:50AM</t>
  </si>
  <si>
    <t>juin 3 2026 4:18PM</t>
  </si>
  <si>
    <t>juin 4 2026 1:25PM</t>
  </si>
  <si>
    <t>juin 6 2026 10:28AM</t>
  </si>
  <si>
    <t>juin 8 2026 7:40AM</t>
  </si>
  <si>
    <t>juin 10 2026 8:37AM</t>
  </si>
  <si>
    <t>juin 16 2026 10:06AM</t>
  </si>
  <si>
    <t>juin 29 2026 1:16PM</t>
  </si>
  <si>
    <t>juin 1 2026 8:02AM</t>
  </si>
  <si>
    <t>juin 8 2026 5:01PM</t>
  </si>
  <si>
    <t>juin 16 2026 8:04AM</t>
  </si>
  <si>
    <t>juin 17 2026 6:17PM</t>
  </si>
  <si>
    <t>juin 22 2026 10:37AM</t>
  </si>
  <si>
    <t>juin 29 2026 1:35PM</t>
  </si>
  <si>
    <t>juin 1 2026 5:00PM</t>
  </si>
  <si>
    <t>juin 10 2026 7:25AM</t>
  </si>
  <si>
    <t>juin 16 2026 10:15AM</t>
  </si>
  <si>
    <t>juin 19 2026 2:19PM</t>
  </si>
  <si>
    <t>juin 22 2026 5:03PM</t>
  </si>
  <si>
    <t>Mina MOUSSA</t>
  </si>
  <si>
    <t>juil 3 2026 7:26AM</t>
  </si>
  <si>
    <t>juil 7 2026 7:43AM</t>
  </si>
  <si>
    <t>juil 15 2026 7:41AM</t>
  </si>
  <si>
    <t>juil 20 2026 8:42AM</t>
  </si>
  <si>
    <t>juil 22 2026 10:06AM</t>
  </si>
  <si>
    <t>juil 23 2026 8:44PM</t>
  </si>
  <si>
    <t>juil 27 2026 10:53AM</t>
  </si>
  <si>
    <t>juil 29 2026 9:38AM</t>
  </si>
  <si>
    <t>juil 1 2026 7:29AM</t>
  </si>
  <si>
    <t>juil 1 2026 7:33AM</t>
  </si>
  <si>
    <t>juil 29 2026 8:11AM</t>
  </si>
  <si>
    <t>juil 1 2026 9:21AM</t>
  </si>
  <si>
    <t>juil 4 2026 11:40AM</t>
  </si>
  <si>
    <t>juil 8 2026 8:47AM</t>
  </si>
  <si>
    <t>juil 13 2026 2:55PM</t>
  </si>
  <si>
    <t>juil 15 2026 9:00AM</t>
  </si>
  <si>
    <t>juil 21 2026 2:20PM</t>
  </si>
  <si>
    <t>juil 29 2026 9:25AM</t>
  </si>
  <si>
    <t>juil 1 2026 3:17PM</t>
  </si>
  <si>
    <t>juil 4 2026 7:47AM</t>
  </si>
  <si>
    <t>juil 6 2026 10:39AM</t>
  </si>
  <si>
    <t>juil 8 2026 2:05PM</t>
  </si>
  <si>
    <t>juil 13 2026 9:11AM</t>
  </si>
  <si>
    <t>juil 15 2026 4:04PM</t>
  </si>
  <si>
    <t>juil 21 2026 10:40AM</t>
  </si>
  <si>
    <t>juil 27 2026 4:34PM</t>
  </si>
  <si>
    <t>juil 29 2026 8:57AM</t>
  </si>
  <si>
    <t>juil 2 2026 4:12PM</t>
  </si>
  <si>
    <t>juil 6 2026 4:13PM</t>
  </si>
  <si>
    <t>juil 8 2026 4:15PM</t>
  </si>
  <si>
    <t>juil 13 2026 3:33PM</t>
  </si>
  <si>
    <t>juil 14 2026 4:13PM</t>
  </si>
  <si>
    <t>juil 15 2026 4:16PM</t>
  </si>
  <si>
    <t>juil 17 2026 4:15PM</t>
  </si>
  <si>
    <t>juil 20 2026 4:12PM</t>
  </si>
  <si>
    <t>juil 27 2026 4:17PM</t>
  </si>
  <si>
    <t>juil 29 2026 4:18PM</t>
  </si>
  <si>
    <t>juil 3 2026 5:28PM</t>
  </si>
  <si>
    <t>juil 22 2026 7:34AM</t>
  </si>
  <si>
    <t>juil 4 2026 8:42AM</t>
  </si>
  <si>
    <t>juil 6 2026 12:16PM</t>
  </si>
  <si>
    <t>juil 7 2026 12:37PM</t>
  </si>
  <si>
    <t>juil 14 2026 9:24AM</t>
  </si>
  <si>
    <t>juil 17 2026 12:19PM</t>
  </si>
  <si>
    <t>juil 20 2026 1:09PM</t>
  </si>
  <si>
    <t>juil 21 2026 5:23PM</t>
  </si>
  <si>
    <t>juil 24 2026 12:23PM</t>
  </si>
  <si>
    <t>juil 27 2026 5:15PM</t>
  </si>
  <si>
    <t>juil 29 2026 9:49AM</t>
  </si>
  <si>
    <t>juil 30 2026 12:49PM</t>
  </si>
  <si>
    <t>juil 4 2026 10:49AM</t>
  </si>
  <si>
    <t>juil 6 2026 8:18AM</t>
  </si>
  <si>
    <t>juil 13 2026 10:08AM</t>
  </si>
  <si>
    <t>juil 15 2026 8:26AM</t>
  </si>
  <si>
    <t>juil 18 2026 11:09AM</t>
  </si>
  <si>
    <t>juil 20 2026 2:39PM</t>
  </si>
  <si>
    <t>juil 24 2026 11:40AM</t>
  </si>
  <si>
    <t>juil 29 2026 8:16AM</t>
  </si>
  <si>
    <t>juil 3 2026 8:42AM</t>
  </si>
  <si>
    <t>juil 8 2026 7:57AM</t>
  </si>
  <si>
    <t>juil 12 2026 10:15PM</t>
  </si>
  <si>
    <t>juil 15 2026 9:25AM</t>
  </si>
  <si>
    <t>juil 16 2026 9:37AM</t>
  </si>
  <si>
    <t>juil 24 2026 1:26PM</t>
  </si>
  <si>
    <t>juil 27 2026 10:07AM</t>
  </si>
  <si>
    <t>Zouhour FATHALLAH</t>
  </si>
  <si>
    <t>juil 1 2026 8:46AM</t>
  </si>
  <si>
    <t>juil 2 2026 3:44PM</t>
  </si>
  <si>
    <t>juil 4 2026 8:50AM</t>
  </si>
  <si>
    <t>juil 4 2026 9:05AM</t>
  </si>
  <si>
    <t>juil 4 2026 9:06AM</t>
  </si>
  <si>
    <t>juil 6 2026 11:42AM</t>
  </si>
  <si>
    <t>juil 7 2026 5:25PM</t>
  </si>
  <si>
    <t>juil 8 2026 9:40AM</t>
  </si>
  <si>
    <t>juil 13 2026 8:18AM</t>
  </si>
  <si>
    <t>juil 17 2026 11:11AM</t>
  </si>
  <si>
    <t>juil 20 2026 1:05PM</t>
  </si>
  <si>
    <t>juil 23 2026 4:36PM</t>
  </si>
  <si>
    <t>juil 27 2026 8:19AM</t>
  </si>
  <si>
    <t>juil 28 2026 1:52PM</t>
  </si>
  <si>
    <t>juil 10 2026 8:40AM</t>
  </si>
  <si>
    <t>juil 10 2026 8:46AM</t>
  </si>
  <si>
    <t>juil 10 2026 8:47AM</t>
  </si>
  <si>
    <t>juil 29 2026 9:21AM</t>
  </si>
  <si>
    <t>juil 9 2026 2:16PM</t>
  </si>
  <si>
    <t>juil 9 2026 4:25PM</t>
  </si>
  <si>
    <t>juil 20 2026 1:56PM</t>
  </si>
  <si>
    <t>juil 9 2026 2:17PM</t>
  </si>
  <si>
    <t>juil 17 2026 11:40AM</t>
  </si>
  <si>
    <t>juil 20 2026 2:35PM</t>
  </si>
  <si>
    <t>juil 22 2026 2:26PM</t>
  </si>
  <si>
    <t>juil 24 2026 3:54PM</t>
  </si>
  <si>
    <t>juil 28 2026 8:07AM</t>
  </si>
  <si>
    <t>juil 29 2026 10:00AM</t>
  </si>
  <si>
    <t>juil 2 2026 3:24PM</t>
  </si>
  <si>
    <t>juil 8 2026 10:03AM</t>
  </si>
  <si>
    <t>août 28 2026 10:25AM</t>
  </si>
  <si>
    <t>août 6 2026 7:49AM</t>
  </si>
  <si>
    <t>août 5 2026 8:29AM</t>
  </si>
  <si>
    <t>août 7 2026 8:45AM</t>
  </si>
  <si>
    <t>août 27 2026 7:52AM</t>
  </si>
  <si>
    <t>août 28 2026 3:48PM</t>
  </si>
  <si>
    <t>août 3 2026 1:26PM</t>
  </si>
  <si>
    <t>août 4 2026 8:33AM</t>
  </si>
  <si>
    <t>août 26 2026 4:25PM</t>
  </si>
  <si>
    <t>août 28 2026 4:23PM</t>
  </si>
  <si>
    <t>août 5 2026 4:07PM</t>
  </si>
  <si>
    <t>août 3 2026 5:01PM</t>
  </si>
  <si>
    <t>août 20 2026 8:29AM</t>
  </si>
  <si>
    <t>août 26 2026 9:34AM</t>
  </si>
  <si>
    <t>août 3 2026 9:49AM</t>
  </si>
  <si>
    <t>août 5 2026 9:15AM</t>
  </si>
  <si>
    <t>août 26 2026 9:46AM</t>
  </si>
  <si>
    <t>août 3 2026 10:45AM</t>
  </si>
  <si>
    <t>août 7 2026 8:20AM</t>
  </si>
  <si>
    <t>août 27 2026 3:41PM</t>
  </si>
  <si>
    <t>août 3 2026 2:40PM</t>
  </si>
  <si>
    <t>août 5 2026 8:14AM</t>
  </si>
  <si>
    <t>août 7 2026 10:42AM</t>
  </si>
  <si>
    <t>août 26 2026 9:19AM</t>
  </si>
  <si>
    <t>août 28 2026 12:24PM</t>
  </si>
  <si>
    <t>août 3 2026 9:47AM</t>
  </si>
  <si>
    <t>août 1 2026 2:57PM</t>
  </si>
  <si>
    <t>août 28 2026 12:46PM</t>
  </si>
  <si>
    <t>août 3 2026 3:58PM</t>
  </si>
  <si>
    <t>août 5 2026 10:00AM</t>
  </si>
  <si>
    <t>août 27 2026 8:22AM</t>
  </si>
  <si>
    <t>août 27 2026 9:06AM</t>
  </si>
  <si>
    <t>août 28 2026 9:35AM</t>
  </si>
  <si>
    <t>sept 11 2026 7:48AM</t>
  </si>
  <si>
    <t>sept 12 2026 7:16PM</t>
  </si>
  <si>
    <t>sept 21 2026 1:25PM</t>
  </si>
  <si>
    <t>sept 23 2026 9:57AM</t>
  </si>
  <si>
    <t>sept 3 2026 8:33AM</t>
  </si>
  <si>
    <t>sept 9 2026 8:26AM</t>
  </si>
  <si>
    <t>sept 16 2026 9:19AM</t>
  </si>
  <si>
    <t>sept 23 2026 9:42AM</t>
  </si>
  <si>
    <t>sept 1 2026 4:24PM</t>
  </si>
  <si>
    <t>sept 8 2026 4:28PM</t>
  </si>
  <si>
    <t>sept 16 2026 2:14PM</t>
  </si>
  <si>
    <t>sept 26 2026 1:44PM</t>
  </si>
  <si>
    <t>sept 28 2026 3:03PM</t>
  </si>
  <si>
    <t>sept 3 2026 4:21PM</t>
  </si>
  <si>
    <t>sept 4 2026 8:32AM</t>
  </si>
  <si>
    <t>sept 4 2026 8:33AM</t>
  </si>
  <si>
    <t>sept 4 2026 8:34AM</t>
  </si>
  <si>
    <t>sept 4 2026 8:35AM</t>
  </si>
  <si>
    <t>sept 4 2026 3:20PM</t>
  </si>
  <si>
    <t>sept 4 2026 3:56PM</t>
  </si>
  <si>
    <t>sept 8 2026 11:47AM</t>
  </si>
  <si>
    <t>sept 9 2026 8:09AM</t>
  </si>
  <si>
    <t>sept 9 2026 8:12AM</t>
  </si>
  <si>
    <t>sept 9 2026 8:25AM</t>
  </si>
  <si>
    <t>sept 10 2026 11:51AM</t>
  </si>
  <si>
    <t>sept 10 2026 11:56AM</t>
  </si>
  <si>
    <t>sept 10 2026 12:57PM</t>
  </si>
  <si>
    <t>sept 11 2026 4:01PM</t>
  </si>
  <si>
    <t>sept 14 2026 4:24PM</t>
  </si>
  <si>
    <t>sept 15 2026 10:47AM</t>
  </si>
  <si>
    <t>sept 16 2026 1:32PM</t>
  </si>
  <si>
    <t>sept 16 2026 1:44PM</t>
  </si>
  <si>
    <t>sept 16 2026 4:28PM</t>
  </si>
  <si>
    <t>sept 18 2026 1:42PM</t>
  </si>
  <si>
    <t>sept 22 2026 8:25AM</t>
  </si>
  <si>
    <t>sept 24 2026 4:21PM</t>
  </si>
  <si>
    <t>sept 28 2026 11:26AM</t>
  </si>
  <si>
    <t>sept 11 2026 4:51PM</t>
  </si>
  <si>
    <t>sept 1 2026 2:53PM</t>
  </si>
  <si>
    <t>sept 9 2026 9:40AM</t>
  </si>
  <si>
    <t>sept 11 2026 5:19PM</t>
  </si>
  <si>
    <t>sept 14 2026 9:28AM</t>
  </si>
  <si>
    <t>sept 15 2026 9:59AM</t>
  </si>
  <si>
    <t>sept 28 2026 10:24AM</t>
  </si>
  <si>
    <t>sept 4 2026 7:47AM</t>
  </si>
  <si>
    <t>sept 7 2026 1:21PM</t>
  </si>
  <si>
    <t>sept 9 2026 7:52AM</t>
  </si>
  <si>
    <t>sept 9 2026 8:20AM</t>
  </si>
  <si>
    <t>sept 12 2026 9:50AM</t>
  </si>
  <si>
    <t>sept 14 2026 10:58AM</t>
  </si>
  <si>
    <t>sept 15 2026 10:49AM</t>
  </si>
  <si>
    <t>sept 16 2026 1:34PM</t>
  </si>
  <si>
    <t>sept 16 2026 1:46PM</t>
  </si>
  <si>
    <t>sept 18 2026 10:42AM</t>
  </si>
  <si>
    <t>sept 18 2026 1:51PM</t>
  </si>
  <si>
    <t>sept 21 2026 3:42PM</t>
  </si>
  <si>
    <t>sept 23 2026 8:45AM</t>
  </si>
  <si>
    <t>sept 24 2026 2:49PM</t>
  </si>
  <si>
    <t>sept 28 2026 1:59PM</t>
  </si>
  <si>
    <t>sept 3 2026 8:03AM</t>
  </si>
  <si>
    <t>sept 8 2026 2:08PM</t>
  </si>
  <si>
    <t>sept 9 2026 3:17PM</t>
  </si>
  <si>
    <t>sept 18 2026 7:20AM</t>
  </si>
  <si>
    <t>sept 21 2026 4:16PM</t>
  </si>
  <si>
    <t>sept 24 2026 4:05PM</t>
  </si>
  <si>
    <t>sept 2 2026 10:00AM</t>
  </si>
  <si>
    <t>sept 4 2026 12:12PM</t>
  </si>
  <si>
    <t>sept 15 2026 9:30AM</t>
  </si>
  <si>
    <t>sept 21 2026 9:02AM</t>
  </si>
  <si>
    <t>sept 24 2026 2:34PM</t>
  </si>
  <si>
    <t>sept 26 2026 8:01AM</t>
  </si>
  <si>
    <t>sept 28 2026 11:38AM</t>
  </si>
  <si>
    <t>sept 29 2026 1:40PM</t>
  </si>
  <si>
    <t>sept 2 2026 4:18PM</t>
  </si>
  <si>
    <t>sept 23 2026 7:39AM</t>
  </si>
  <si>
    <t>sept 7 2026 10:30AM</t>
  </si>
  <si>
    <t>sept 14 2026 10:15AM</t>
  </si>
  <si>
    <t>sept 21 2026 11:40AM</t>
  </si>
  <si>
    <t>sept 22 2026 7:43AM</t>
  </si>
  <si>
    <t>sept 23 2026 1:27PM</t>
  </si>
  <si>
    <t>sept 25 2026 7:54AM</t>
  </si>
  <si>
    <t>sept 26 2026 7:31AM</t>
  </si>
  <si>
    <t>sept 28 2026 8:05AM</t>
  </si>
  <si>
    <t>sept 9 2026 10:01AM</t>
  </si>
  <si>
    <t>sept 16 2026 8:27AM</t>
  </si>
  <si>
    <t>sept 19 2026 2:26PM</t>
  </si>
  <si>
    <t>sept 21 2026 11:41AM</t>
  </si>
  <si>
    <t>sept 23 2026 10:01AM</t>
  </si>
  <si>
    <t>CALCUL (ne pas modifier) — jours attendus, jours consultés et taux par responsable et par mois</t>
  </si>
  <si>
    <t>JOURS OUVRÉS ATTENDUS</t>
  </si>
  <si>
    <t>JOURS CONSULTÉS (≥1 accès, dédoublonnés, jours ouvrés)</t>
  </si>
  <si>
    <t>TAUX D'UTILISATION (cible direction)</t>
  </si>
  <si>
    <t>TAUX AJUSTÉ AU RÔLE (cible individuelle)</t>
  </si>
  <si>
    <t>Mois avec données (1/0)</t>
  </si>
  <si>
    <t>Actif (mois sél.)</t>
  </si>
  <si>
    <t>Taux (mois sél.)</t>
  </si>
  <si>
    <t>Clé de tri</t>
  </si>
  <si>
    <t>TOTAL / GLOBAL</t>
  </si>
  <si>
    <t>Responsables actifs</t>
  </si>
  <si>
    <t>dont sans aucun accès</t>
  </si>
  <si>
    <t>Modèles (≥ objectif)</t>
  </si>
  <si>
    <t>Réguliers (alerte)</t>
  </si>
  <si>
    <t>Critiques</t>
  </si>
  <si>
    <t>Libellé du mois</t>
  </si>
  <si>
    <t>Jours ouvrés du mois</t>
  </si>
  <si>
    <t>Accès exclus (jour non ouvré)</t>
  </si>
  <si>
    <t>Ligne objectif</t>
  </si>
  <si>
    <t>Ligne seuil d'alerte</t>
  </si>
  <si>
    <t>Mois sélectionné (n°)</t>
  </si>
  <si>
    <t>Début du mois</t>
  </si>
  <si>
    <t>Jour ouvré (1/0)</t>
  </si>
  <si>
    <t>Généré automatiquement : lundi→vendredi hors jours non ouvrés listés dans Paramètres.</t>
  </si>
  <si>
    <t>MÉTHODE DE CALCUL ET LECTURE DE LA CIBLE</t>
  </si>
  <si>
    <t>1. Définition de l'indicateur</t>
  </si>
  <si>
    <t>Taux d'un responsable = nombre de jours ouvrés où il s'est connecté au moins une fois ÷ nombre de jours ouvrés où il devait utiliser Qualipro (entre sa date de début et sa date de fin). On compte des JOURS, jamais des connexions.</t>
  </si>
  <si>
    <t>Taux global du mois = total des jours consultés ÷ total des jours attendus de tous les responsables de l'effectif du mois (pas la moyenne des pourcentages).</t>
  </si>
  <si>
    <t>2. Règles appliquées</t>
  </si>
  <si>
    <t>• Doublons : plusieurs accès le même jour par la même personne = 1 seul jour (colonne « 1er accès du jour »).</t>
  </si>
  <si>
    <t>• Jours ouvrés : lundi→vendredi hors jours listés dans Paramètres. Les accès faits un week-end ou un jour non ouvré ne sont pas comptés (ils ne gonflent plus le taux).</t>
  </si>
  <si>
    <t>• Effectif : seuls les responsables présents sur le mois comptent, au prorata de leurs dates de début/fin. Un responsable présent qui ne se connecte jamais reste dans le calcul avec 0 %.</t>
  </si>
  <si>
    <t>• Statuts : Modèle ≥ 70 % · Régulier entre 40 % et 70 % · Critique &lt; 40 % (seuils modifiables dans Paramètres).</t>
  </si>
  <si>
    <t>3. Mise à jour mensuelle (5 minutes)</t>
  </si>
  <si>
    <t>a) Coller l'export brut du mois (nom + « date et heure ») à la suite, dans Journal colonnes B et C. b) Dans Paramètres : ajouter les nouveaux responsables, renseigner les dates de départ, ajouter les jours fériés/fermetures. c) Sur l'onglet État : choisir le mois. d) Vérifier que les 2 contrôles qualité « doit être 0 » sont à 0.</t>
  </si>
  <si>
    <t>4. La cible « au moins 1 accès par jour pour chacun » : est-elle utile ?</t>
  </si>
  <si>
    <t>Elle est utile comme indicateur d'ADOPTION : elle montre si Qualipro fait partie de la routine de travail. Elle est simple, vérifiable et fixée par la direction : à conserver comme indicateur officiel.</t>
  </si>
  <si>
    <t>Elle est insuffisante comme mesure de PERFORMANCE : (1) une connexion ne prouve pas qu'une action utile a été faite ; (2) un rôle dont les tâches sont ponctuelles (validation, revue périodique) est pénalisé sans que cela signale un problème ; (3) une cible irréaliste pousse à se connecter « pour cocher la case » (loi de Goodhart).</t>
  </si>
  <si>
    <t>Recommandation : garder le taux « cible direction » (1/jour pour tous) ET suivre en parallèle le « Taux ajusté au rôle ». Pour cela, faire valider par la direction une fréquence attendue par rôle (colonne Cible individuelle en jours/semaine, 5 = quotidien). L'écart entre les deux taux montre la part du retard qui est structurelle (rôles ponctuels) et la part qui est un vrai manque d'usage.</t>
  </si>
  <si>
    <t>Pour aller plus loin : si Qualipro peut exporter des actions (documents lus/validés, actions clôturées, non-conformités traitées), suivre 1 ou 2 indicateurs de résultat à côté de la fréquence de connexion.</t>
  </si>
  <si>
    <t>5. Limites connues</t>
  </si>
  <si>
    <t>• Les dates de début/fin saisies en jaune dans Paramètres sont des estimations à confirmer (dernier accès constaté, informations de l'utilisateur).</t>
  </si>
  <si>
    <t>• La clé de rapprochement est le nom : toute variante d'orthographe doit être corrigée dans Paramètres/Journal (contrôle qualité « noms absents »).</t>
  </si>
  <si>
    <t>• Les exports de plusieurs mois ne contiennent aucun accès le dernier jour ouvré du mois (ex. 30/04, 30/06, 30/09) : vérifier la plage de dates utilisée à l'export.</t>
  </si>
  <si>
    <t xml:space="preserve">	Quality Inspector</t>
  </si>
  <si>
    <t xml:space="preserve">	Purchaser &amp; Imp/Exp Agent</t>
  </si>
  <si>
    <t xml:space="preserve">	Head of Maintenance</t>
  </si>
  <si>
    <t xml:space="preserve">	Industerial Engeneering</t>
  </si>
  <si>
    <t>Manufacturing Manager</t>
  </si>
  <si>
    <t xml:space="preserve">	Quality Control &amp; PACK Supervisor</t>
  </si>
  <si>
    <t xml:space="preserve">	Production Team Leader</t>
  </si>
  <si>
    <t xml:space="preserve">	General Manager</t>
  </si>
  <si>
    <t xml:space="preserve">	Administrative and financial Manager</t>
  </si>
  <si>
    <t xml:space="preserve">	Manufacturing Supervisor</t>
  </si>
  <si>
    <t>planning</t>
  </si>
  <si>
    <t xml:space="preserve">	Planning &amp; Logistics Manager</t>
  </si>
  <si>
    <t xml:space="preserve">	Time &amp; Methods Analyst</t>
  </si>
  <si>
    <t>Human Resources Officer</t>
  </si>
  <si>
    <t>Leather Cutting Supervisor</t>
  </si>
  <si>
    <t xml:space="preserve">	StoreKeeper</t>
  </si>
  <si>
    <t>QHSE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</si>
</sst>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;0.0%"/>
  </numFmts>
  <fonts count="3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i/>
      <sz val="9"/>
      <color rgb="FF7F7F7F"/>
      <name val="Arial"/>
      <family val="2"/>
    </font>
    <font>
      <b/>
      <sz val="8"/>
      <color rgb="FFFFFFFF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4"/>
      <color rgb="FF1F3864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9"/>
      <name val="Arial"/>
      <family val="2"/>
    </font>
    <font>
      <sz val="10"/>
      <color rgb="FF0000FF"/>
      <name val="Arial"/>
      <family val="2"/>
    </font>
    <font>
      <sz val="9"/>
      <color rgb="FF0000FF"/>
      <name val="Arial"/>
      <family val="2"/>
    </font>
    <font>
      <sz val="11"/>
      <color rgb="FF000000"/>
      <name val="Arial"/>
      <family val="2"/>
    </font>
    <font>
      <b/>
      <sz val="9"/>
      <color rgb="FFC00000"/>
      <name val="Arial"/>
      <family val="2"/>
    </font>
    <font>
      <sz val="10"/>
      <color rgb="FF000000"/>
      <name val="Arial"/>
      <family val="2"/>
    </font>
    <font>
      <b/>
      <sz val="12"/>
      <color rgb="FF1F3864"/>
      <name val="Arial"/>
      <family val="2"/>
    </font>
    <font>
      <b/>
      <sz val="9"/>
      <color rgb="FF1F3864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F5597"/>
        <bgColor rgb="FF1F3864"/>
      </patternFill>
    </fill>
    <fill>
      <patternFill patternType="solid">
        <fgColor rgb="FFDCE6F2"/>
        <bgColor rgb="FFD9D9D9"/>
      </patternFill>
    </fill>
    <fill>
      <patternFill patternType="solid">
        <fgColor rgb="FFF2F2F2"/>
        <bgColor rgb="FFFFFFFF"/>
      </patternFill>
    </fill>
    <fill>
      <patternFill patternType="lightUp">
        <bgColor theme="5" tint="0.79998168889431442"/>
      </patternFill>
    </fill>
    <fill>
      <patternFill patternType="lightUp">
        <bgColor theme="6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3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6" fillId="0" borderId="0" xfId="0" applyFont="1" applyBorder="1" applyAlignment="1">
      <alignment wrapText="1"/>
    </xf>
    <xf numFmtId="14" fontId="14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1" fillId="0" borderId="3" xfId="0" applyFont="1" applyBorder="1"/>
    <xf numFmtId="0" fontId="11" fillId="6" borderId="0" xfId="0" applyFont="1" applyFill="1" applyBorder="1" applyAlignment="1">
      <alignment vertical="top" wrapText="1"/>
    </xf>
    <xf numFmtId="0" fontId="10" fillId="0" borderId="0" xfId="0" applyFont="1" applyBorder="1" applyAlignment="1">
      <alignment horizontal="center"/>
    </xf>
    <xf numFmtId="165" fontId="9" fillId="5" borderId="0" xfId="0" applyNumberFormat="1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164" fontId="8" fillId="5" borderId="0" xfId="0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 indent="1"/>
    </xf>
    <xf numFmtId="0" fontId="4" fillId="0" borderId="0" xfId="0" applyFont="1"/>
    <xf numFmtId="0" fontId="6" fillId="0" borderId="0" xfId="0" applyFont="1"/>
    <xf numFmtId="0" fontId="7" fillId="4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0" fillId="0" borderId="0" xfId="0"/>
    <xf numFmtId="0" fontId="13" fillId="4" borderId="0" xfId="0" applyFont="1" applyFill="1"/>
    <xf numFmtId="0" fontId="0" fillId="4" borderId="0" xfId="0" applyFill="1"/>
    <xf numFmtId="0" fontId="3" fillId="0" borderId="0" xfId="0" applyFont="1"/>
    <xf numFmtId="0" fontId="15" fillId="0" borderId="0" xfId="0" applyFont="1"/>
    <xf numFmtId="0" fontId="16" fillId="0" borderId="0" xfId="0" applyFont="1"/>
    <xf numFmtId="0" fontId="13" fillId="2" borderId="0" xfId="0" applyFont="1" applyFill="1"/>
    <xf numFmtId="0" fontId="0" fillId="2" borderId="0" xfId="0" applyFill="1"/>
    <xf numFmtId="0" fontId="17" fillId="0" borderId="0" xfId="0" applyFont="1"/>
    <xf numFmtId="9" fontId="18" fillId="3" borderId="2" xfId="0" applyNumberFormat="1" applyFont="1" applyFill="1" applyBorder="1"/>
    <xf numFmtId="1" fontId="18" fillId="3" borderId="2" xfId="0" applyNumberFormat="1" applyFont="1" applyFill="1" applyBorder="1"/>
    <xf numFmtId="0" fontId="10" fillId="0" borderId="0" xfId="0" applyFont="1"/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/>
    </xf>
    <xf numFmtId="0" fontId="18" fillId="0" borderId="2" xfId="0" applyFont="1" applyBorder="1"/>
    <xf numFmtId="0" fontId="18" fillId="3" borderId="2" xfId="0" applyFont="1" applyFill="1" applyBorder="1"/>
    <xf numFmtId="14" fontId="18" fillId="3" borderId="2" xfId="0" applyNumberFormat="1" applyFont="1" applyFill="1" applyBorder="1"/>
    <xf numFmtId="0" fontId="19" fillId="0" borderId="2" xfId="0" applyFont="1" applyBorder="1"/>
    <xf numFmtId="14" fontId="20" fillId="3" borderId="2" xfId="0" applyNumberFormat="1" applyFont="1" applyFill="1" applyBorder="1"/>
    <xf numFmtId="0" fontId="21" fillId="3" borderId="2" xfId="0" applyFont="1" applyFill="1" applyBorder="1"/>
    <xf numFmtId="0" fontId="11" fillId="0" borderId="2" xfId="0" applyFont="1" applyBorder="1"/>
    <xf numFmtId="0" fontId="22" fillId="0" borderId="2" xfId="0" applyFont="1" applyBorder="1"/>
    <xf numFmtId="0" fontId="13" fillId="2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23" fillId="0" borderId="0" xfId="0" applyFont="1"/>
    <xf numFmtId="0" fontId="20" fillId="0" borderId="0" xfId="0" applyFont="1"/>
    <xf numFmtId="0" fontId="24" fillId="0" borderId="0" xfId="0" applyFont="1"/>
    <xf numFmtId="14" fontId="24" fillId="0" borderId="0" xfId="0" applyNumberFormat="1" applyFont="1"/>
    <xf numFmtId="0" fontId="25" fillId="0" borderId="0" xfId="0" applyFont="1"/>
    <xf numFmtId="14" fontId="4" fillId="0" borderId="0" xfId="0" applyNumberFormat="1" applyFont="1"/>
    <xf numFmtId="17" fontId="13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wrapText="1"/>
    </xf>
    <xf numFmtId="0" fontId="11" fillId="0" borderId="0" xfId="0" applyFont="1"/>
    <xf numFmtId="164" fontId="11" fillId="0" borderId="0" xfId="0" applyNumberFormat="1" applyFont="1"/>
    <xf numFmtId="0" fontId="14" fillId="0" borderId="0" xfId="0" applyFont="1"/>
    <xf numFmtId="164" fontId="14" fillId="0" borderId="0" xfId="0" applyNumberFormat="1" applyFont="1"/>
    <xf numFmtId="9" fontId="11" fillId="0" borderId="0" xfId="0" applyNumberFormat="1" applyFont="1"/>
    <xf numFmtId="14" fontId="11" fillId="0" borderId="0" xfId="0" applyNumberFormat="1" applyFont="1"/>
    <xf numFmtId="0" fontId="15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8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9" fillId="0" borderId="0" xfId="0" applyFont="1"/>
    <xf numFmtId="0" fontId="11" fillId="7" borderId="0" xfId="0" applyFont="1" applyFill="1"/>
    <xf numFmtId="0" fontId="30" fillId="0" borderId="0" xfId="0" applyFont="1"/>
    <xf numFmtId="0" fontId="11" fillId="8" borderId="0" xfId="0" applyFont="1" applyFill="1"/>
    <xf numFmtId="0" fontId="1" fillId="8" borderId="0" xfId="0" applyFont="1" applyFill="1"/>
    <xf numFmtId="0" fontId="11" fillId="9" borderId="0" xfId="0" applyFont="1" applyFill="1"/>
    <xf numFmtId="0" fontId="11" fillId="10" borderId="0" xfId="0" applyFont="1" applyFill="1"/>
    <xf numFmtId="0" fontId="26" fillId="0" borderId="0" xfId="0" applyFont="1" applyAlignment="1">
      <alignment horizontal="center"/>
    </xf>
    <xf numFmtId="0" fontId="26" fillId="11" borderId="0" xfId="0" applyFont="1" applyFill="1" applyAlignment="1">
      <alignment horizontal="left"/>
    </xf>
    <xf numFmtId="0" fontId="26" fillId="12" borderId="0" xfId="0" applyFont="1" applyFill="1" applyAlignment="1">
      <alignment horizontal="left"/>
    </xf>
    <xf numFmtId="0" fontId="26" fillId="13" borderId="0" xfId="0" applyFont="1" applyFill="1" applyAlignment="1">
      <alignment horizontal="left"/>
    </xf>
  </cellXfs>
  <cellStyles count="1">
    <cellStyle name="Normal" xfId="0" builtinId="0"/>
  </cellStyles>
  <dxfs count="13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00703C"/>
        <name val="Arial"/>
        <charset val="1"/>
      </font>
    </dxf>
    <dxf>
      <font>
        <color rgb="FFC00000"/>
        <name val="Arial"/>
        <charset val="1"/>
      </font>
    </dxf>
    <dxf>
      <font>
        <b/>
        <sz val="24"/>
        <color rgb="FF9C0006"/>
        <name val="Arial"/>
        <charset val="1"/>
      </font>
    </dxf>
    <dxf>
      <font>
        <b/>
        <sz val="24"/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7F60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7F60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703C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878787"/>
      <rgbColor rgb="FF1F3864"/>
      <rgbColor rgb="FF00B050"/>
      <rgbColor rgb="FF0061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33"/>
      <color rgb="FFFF99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Taux d'utilisation global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Taux global</c:v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Calcul!$C$42:$N$42</c:f>
              <c:strCache>
                <c:ptCount val="12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  <c:pt idx="3">
                  <c:v>Avril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Août 2026</c:v>
                </c:pt>
                <c:pt idx="8">
                  <c:v>Septembre 2026</c:v>
                </c:pt>
                <c:pt idx="9">
                  <c:v>Octobre 2026</c:v>
                </c:pt>
                <c:pt idx="10">
                  <c:v>Novembre 2026</c:v>
                </c:pt>
                <c:pt idx="11">
                  <c:v>Décembre 2026</c:v>
                </c:pt>
              </c:strCache>
            </c:strRef>
          </c:cat>
          <c:val>
            <c:numRef>
              <c:f>Calcul!$AC$35:$AN$35</c:f>
              <c:numCache>
                <c:formatCode>0.0%</c:formatCode>
                <c:ptCount val="12"/>
                <c:pt idx="0">
                  <c:v>0.30158730158730157</c:v>
                </c:pt>
                <c:pt idx="1">
                  <c:v>0.30666666666666664</c:v>
                </c:pt>
                <c:pt idx="2">
                  <c:v>0.27936507936507937</c:v>
                </c:pt>
                <c:pt idx="3">
                  <c:v>0.26948051948051949</c:v>
                </c:pt>
                <c:pt idx="4">
                  <c:v>0.28054298642533937</c:v>
                </c:pt>
                <c:pt idx="5">
                  <c:v>0.29020979020979021</c:v>
                </c:pt>
                <c:pt idx="6">
                  <c:v>0.24347826086956523</c:v>
                </c:pt>
                <c:pt idx="7">
                  <c:v>0.21666666666666667</c:v>
                </c:pt>
                <c:pt idx="8">
                  <c:v>0.20606060606060606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B-48D7-AECD-71F595F5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52331"/>
        <c:axId val="59535649"/>
      </c:barChart>
      <c:lineChart>
        <c:grouping val="standard"/>
        <c:varyColors val="0"/>
        <c:ser>
          <c:idx val="1"/>
          <c:order val="1"/>
          <c:tx>
            <c:v>Objectif</c:v>
          </c:tx>
          <c:spPr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Calcul!$C$42:$N$42</c:f>
              <c:strCache>
                <c:ptCount val="12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  <c:pt idx="3">
                  <c:v>Avril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Août 2026</c:v>
                </c:pt>
                <c:pt idx="8">
                  <c:v>Septembre 2026</c:v>
                </c:pt>
                <c:pt idx="9">
                  <c:v>Octobre 2026</c:v>
                </c:pt>
                <c:pt idx="10">
                  <c:v>Novembre 2026</c:v>
                </c:pt>
                <c:pt idx="11">
                  <c:v>Décembre 2026</c:v>
                </c:pt>
              </c:strCache>
            </c:strRef>
          </c:cat>
          <c:val>
            <c:numRef>
              <c:f>Calcul!$C$45:$N$45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B-48D7-AECD-71F595F5100A}"/>
            </c:ext>
          </c:extLst>
        </c:ser>
        <c:ser>
          <c:idx val="2"/>
          <c:order val="2"/>
          <c:tx>
            <c:v>Alerte</c:v>
          </c:tx>
          <c:spPr>
            <a:ln w="219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Calcul!$C$42:$N$42</c:f>
              <c:strCache>
                <c:ptCount val="12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  <c:pt idx="3">
                  <c:v>Avril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Août 2026</c:v>
                </c:pt>
                <c:pt idx="8">
                  <c:v>Septembre 2026</c:v>
                </c:pt>
                <c:pt idx="9">
                  <c:v>Octobre 2026</c:v>
                </c:pt>
                <c:pt idx="10">
                  <c:v>Novembre 2026</c:v>
                </c:pt>
                <c:pt idx="11">
                  <c:v>Décembre 2026</c:v>
                </c:pt>
              </c:strCache>
            </c:strRef>
          </c:cat>
          <c:val>
            <c:numRef>
              <c:f>Calcul!$C$46:$N$46</c:f>
              <c:numCache>
                <c:formatCode>0%</c:formatCode>
                <c:ptCount val="1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6B-48D7-AECD-71F595F51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252331"/>
        <c:axId val="59535649"/>
      </c:lineChart>
      <c:catAx>
        <c:axId val="732523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535649"/>
        <c:crosses val="autoZero"/>
        <c:auto val="1"/>
        <c:lblAlgn val="ctr"/>
        <c:lblOffset val="100"/>
        <c:noMultiLvlLbl val="0"/>
      </c:catAx>
      <c:valAx>
        <c:axId val="59535649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32523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21</xdr:col>
      <xdr:colOff>4320</xdr:colOff>
      <xdr:row>17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1:K54"/>
  <sheetViews>
    <sheetView showGridLines="0" tabSelected="1" zoomScaleNormal="100" workbookViewId="0">
      <pane ySplit="4" topLeftCell="A5" activePane="bottomLeft" state="frozen"/>
      <selection pane="bottomLeft" activeCell="C4" sqref="C4:D4"/>
    </sheetView>
  </sheetViews>
  <sheetFormatPr baseColWidth="10" defaultColWidth="8.7109375" defaultRowHeight="15" x14ac:dyDescent="0.25"/>
  <cols>
    <col min="1" max="1" width="2" customWidth="1"/>
    <col min="2" max="2" width="6" customWidth="1"/>
    <col min="3" max="3" width="28" customWidth="1"/>
    <col min="4" max="4" width="35.5703125" customWidth="1"/>
    <col min="5" max="6" width="12" customWidth="1"/>
    <col min="7" max="7" width="11" customWidth="1"/>
    <col min="8" max="8" width="15" customWidth="1"/>
    <col min="9" max="9" width="14" customWidth="1"/>
    <col min="10" max="10" width="15" customWidth="1"/>
    <col min="11" max="11" width="2" hidden="1" customWidth="1"/>
  </cols>
  <sheetData>
    <row r="1" spans="2:11" ht="33.75" customHeight="1" x14ac:dyDescent="0.25">
      <c r="B1" s="14" t="s">
        <v>0</v>
      </c>
      <c r="C1" s="14"/>
      <c r="D1" s="14"/>
      <c r="E1" s="14"/>
      <c r="F1" s="14"/>
      <c r="G1" s="14"/>
      <c r="H1" s="14"/>
      <c r="I1" s="14"/>
      <c r="J1" s="14"/>
    </row>
    <row r="2" spans="2:11" ht="25.5" customHeight="1" x14ac:dyDescent="0.25">
      <c r="B2" s="13" t="str">
        <f>"Indicateur = jours ouvrés avec au moins 1 accès ÷ jours ouvrés attendus (par responsable, effectif du mois). Cible direction : 1 accès par jour ouvré · Objectif atteint ≥ "&amp;ROUND(Paramètres!B5*100,0)&amp;" % · Alerte ≥ "&amp;ROUND(Paramètres!B6*100,0)&amp;" %"</f>
        <v>Indicateur = jours ouvrés avec au moins 1 accès ÷ jours ouvrés attendus (par responsable, effectif du mois). Cible direction : 1 accès par jour ouvré · Objectif atteint ≥ 70 % · Alerte ≥ 40 %</v>
      </c>
      <c r="C2" s="13"/>
      <c r="D2" s="13"/>
      <c r="E2" s="13"/>
      <c r="F2" s="13"/>
      <c r="G2" s="13"/>
      <c r="H2" s="13"/>
      <c r="I2" s="13"/>
      <c r="J2" s="13"/>
    </row>
    <row r="4" spans="2:11" ht="15.75" x14ac:dyDescent="0.25">
      <c r="B4" s="15" t="s">
        <v>1</v>
      </c>
      <c r="C4" s="12" t="s">
        <v>2</v>
      </c>
      <c r="D4" s="12"/>
      <c r="E4" s="16" t="s">
        <v>3</v>
      </c>
    </row>
    <row r="6" spans="2:11" ht="24" customHeight="1" x14ac:dyDescent="0.25">
      <c r="B6" s="11" t="s">
        <v>4</v>
      </c>
      <c r="C6" s="11"/>
      <c r="D6" s="17" t="s">
        <v>5</v>
      </c>
      <c r="E6" s="11" t="s">
        <v>6</v>
      </c>
      <c r="F6" s="11"/>
      <c r="G6" s="11" t="s">
        <v>7</v>
      </c>
      <c r="H6" s="11"/>
      <c r="I6" s="11" t="s">
        <v>8</v>
      </c>
      <c r="J6" s="11"/>
    </row>
    <row r="7" spans="2:11" x14ac:dyDescent="0.25">
      <c r="B7" s="10">
        <f>INDEX(Calcul!$AC$35:$AN$35,Calcul!$C$48)</f>
        <v>0.20606060606060606</v>
      </c>
      <c r="C7" s="10"/>
      <c r="D7" s="9" t="str">
        <f>IF(B7="","",IF(B7&gt;=Paramètres!B5,"OBJECTIF ATTEINT",IF(B7&gt;=Paramètres!B6,"ALERTE","CRITIQUE")))</f>
        <v>CRITIQUE</v>
      </c>
      <c r="E7" s="8" t="str">
        <f>INDEX(Calcul!$P$35:$AA$35,Calcul!$C$48)&amp;" / "&amp;INDEX(Calcul!$C$35:$N$35,Calcul!$C$48)</f>
        <v>68 / 330</v>
      </c>
      <c r="F7" s="8"/>
      <c r="G7" s="8" t="str">
        <f>INDEX(Calcul!$C$36:$N$36,Calcul!$C$48)&amp;" / "&amp;INDEX(Calcul!$C$37:$N$37,Calcul!$C$48)</f>
        <v>15 / 3</v>
      </c>
      <c r="H7" s="8"/>
      <c r="I7" s="7">
        <f>IF(OR(Calcul!$C$48=1,B7=""),"n/a",IF(ISNUMBER(INDEX(Calcul!$AC$35:$AN$35,MAX(1,Calcul!$C$48-1))),IF(Calcul!$C$48=1,"n/a",B7-INDEX(Calcul!$AC$35:$AN$35,Calcul!$C$48-1)),"n/a"))</f>
        <v>-1.0606060606060619E-2</v>
      </c>
      <c r="J7" s="7"/>
    </row>
    <row r="8" spans="2:11" x14ac:dyDescent="0.25">
      <c r="B8" s="10"/>
      <c r="C8" s="10"/>
      <c r="D8" s="9"/>
      <c r="E8" s="9"/>
      <c r="F8" s="8"/>
      <c r="G8" s="8"/>
      <c r="H8" s="8"/>
      <c r="I8" s="7"/>
      <c r="J8" s="7"/>
    </row>
    <row r="9" spans="2:11" x14ac:dyDescent="0.25">
      <c r="B9" s="6" t="str">
        <f>"Répartition : "&amp;INDEX(Calcul!$C$38:$N$38,Calcul!$C$48)&amp;" modèle(s) · "&amp;INDEX(Calcul!$C$39:$N$39,Calcul!$C$48)&amp;" régulier(s) · "&amp;INDEX(Calcul!$C$40:$N$40,Calcul!$C$48)&amp;" critique(s)   |   Taux ajusté au rôle (moyenne des responsables) : "&amp;IF(INDEX(Calcul!$AP$35:$BA$35,Calcul!$C$48)="","n/a",ROUND(INDEX(Calcul!$AP$35:$BA$35,Calcul!$C$48)*100,1)&amp;" %")&amp;"   |   Jours ouvrés du mois : "&amp;INDEX(Calcul!$C$43:$N$43,Calcul!$C$48)</f>
        <v>Répartition : 0 modèle(s) · 2 régulier(s) · 13 critique(s)   |   Taux ajusté au rôle (moyenne des responsables) : 20,6 %   |   Jours ouvrés du mois : 22</v>
      </c>
      <c r="C9" s="6"/>
      <c r="D9" s="6"/>
      <c r="E9" s="6"/>
      <c r="F9" s="6"/>
      <c r="G9" s="6"/>
      <c r="H9" s="6"/>
      <c r="I9" s="6"/>
      <c r="J9" s="6"/>
    </row>
    <row r="11" spans="2:11" x14ac:dyDescent="0.25">
      <c r="B11" s="5" t="str">
        <f>"Lecture : en "&amp;C4&amp;", "&amp;ROUND(B7*100,1)&amp;" % des jours ouvrés attendus ont donné lieu à au moins un accès ("&amp;INDEX(Calcul!$P$35:$AA$35,Calcul!$C$48)&amp;" jours consultés sur "&amp;INDEX(Calcul!$C$35:$N$35,Calcul!$C$48)&amp;")."&amp;IF(B7&gt;=Paramètres!B5," Objectif atteint.",IF(B7&gt;=Paramètres!B6," Niveau d'alerte : l'objectif de "&amp;ROUND(Paramètres!B5*100,0)&amp;" % n'est pas atteint."," Niveau critique, très en dessous de l'objectif de "&amp;ROUND(Paramètres!B5*100,0)&amp;" %."))&amp;IF(ISNUMBER(I7)," Évolution : "&amp;IF(I7&gt;=0,"+","")&amp;ROUND(I7*100,1)&amp;" pts vs mois précédent.","")&amp;IF(INDEX(Calcul!$C$37:$N$37,Calcul!$C$48)&gt;0," "&amp;INDEX(Calcul!$C$37:$N$37,Calcul!$C$48)&amp;" responsable(s) sans aucun accès ce mois-ci.","")</f>
        <v>Lecture : en Septembre 2026, 20,6 % des jours ouvrés attendus ont donné lieu à au moins un accès (68 jours consultés sur 330). Niveau critique, très en dessous de l'objectif de 70 %. Évolution : -1,1 pts vs mois précédent. 3 responsable(s) sans aucun accès ce mois-ci.</v>
      </c>
      <c r="C11" s="5"/>
      <c r="D11" s="5"/>
      <c r="E11" s="5"/>
      <c r="F11" s="5"/>
      <c r="G11" s="5"/>
      <c r="H11" s="5"/>
      <c r="I11" s="5"/>
      <c r="J11" s="5"/>
    </row>
    <row r="12" spans="2:11" x14ac:dyDescent="0.25">
      <c r="B12" s="5"/>
      <c r="C12" s="5"/>
      <c r="D12" s="5"/>
      <c r="E12" s="5"/>
      <c r="F12" s="5"/>
      <c r="G12" s="5"/>
      <c r="H12" s="5"/>
      <c r="I12" s="5"/>
      <c r="J12" s="5"/>
    </row>
    <row r="14" spans="2:11" ht="31.5" customHeight="1" x14ac:dyDescent="0.25">
      <c r="B14" s="18" t="s">
        <v>9</v>
      </c>
      <c r="C14" s="18" t="s">
        <v>10</v>
      </c>
      <c r="D14" s="18" t="s">
        <v>11</v>
      </c>
      <c r="E14" s="18" t="s">
        <v>12</v>
      </c>
      <c r="F14" s="18" t="s">
        <v>13</v>
      </c>
      <c r="G14" s="18" t="s">
        <v>14</v>
      </c>
      <c r="H14" s="18" t="s">
        <v>15</v>
      </c>
      <c r="I14" s="18" t="s">
        <v>16</v>
      </c>
      <c r="J14" s="18" t="s">
        <v>17</v>
      </c>
    </row>
    <row r="15" spans="2:11" x14ac:dyDescent="0.25">
      <c r="B15" s="19">
        <f>IF($K15="","",1)</f>
        <v>1</v>
      </c>
      <c r="C15" s="20" t="str">
        <f>IF($K15="","",INDEX(Calcul!$A$5:$A$34,$K15))</f>
        <v>Ahlem Moussa</v>
      </c>
      <c r="D15" s="20" t="str">
        <f>IF($K15="","",IF(INDEX(Paramètres!$B$11:$B$40,$K15)="","—",INDEX(Paramètres!$B$11:$B$40,$K15)))</f>
        <v xml:space="preserve">	Quality Inspector</v>
      </c>
      <c r="E15" s="19">
        <f>IF($K15="","",INDEX(Calcul!$C$5:$N$34,$K15,Calcul!$C$48))</f>
        <v>22</v>
      </c>
      <c r="F15" s="19">
        <f>IF($K15="","",INDEX(Calcul!$P$5:$AA$34,$K15,Calcul!$C$48))</f>
        <v>13</v>
      </c>
      <c r="G15" s="21">
        <f t="shared" ref="G15:G44" si="0">IF($K15="","",IF(E15=0,"",F15/E15))</f>
        <v>0.59090909090909094</v>
      </c>
      <c r="H15" s="22" t="str">
        <f>IF(G15="","",IF(G15&gt;=Paramètres!$B$5,"● Modèle",IF(G15&gt;=Paramètres!$B$6,"● Régulier","● Critique")))</f>
        <v>● Régulier</v>
      </c>
      <c r="I15" s="23">
        <f>IF(OR($K15="",Calcul!$C$48=1),"",IF(ISNUMBER(INDEX(Calcul!$AC$5:$AN$34,$K15,MAX(1,Calcul!$C$48-1))),G15-INDEX(Calcul!$AC$5:$AN$34,$K15,MAX(1,Calcul!$C$48-1)),""))</f>
        <v>0.21590909090909094</v>
      </c>
      <c r="J15" s="21">
        <f>IF($K15="","",INDEX(Calcul!$AP$5:$BA$34,$K15,Calcul!$C$48))</f>
        <v>0.59090909090909094</v>
      </c>
      <c r="K15" s="24">
        <f>IFERROR(MATCH(1,Calcul!$BF$5:$BF$34,0),"")</f>
        <v>1</v>
      </c>
    </row>
    <row r="16" spans="2:11" x14ac:dyDescent="0.25">
      <c r="B16" s="19">
        <f>IF($K16="","",2)</f>
        <v>2</v>
      </c>
      <c r="C16" s="20" t="str">
        <f>IF($K16="","",INDEX(Calcul!$A$5:$A$34,$K16))</f>
        <v>Ines Farhat</v>
      </c>
      <c r="D16" s="20" t="str">
        <f>IF($K16="","",IF(INDEX(Paramètres!$B$11:$B$40,$K16)="","—",INDEX(Paramètres!$B$11:$B$40,$K16)))</f>
        <v xml:space="preserve">	Quality Control &amp; PACK Supervisor</v>
      </c>
      <c r="E16" s="19">
        <f>IF($K16="","",INDEX(Calcul!$C$5:$N$34,$K16,Calcul!$C$48))</f>
        <v>22</v>
      </c>
      <c r="F16" s="19">
        <f>IF($K16="","",INDEX(Calcul!$P$5:$AA$34,$K16,Calcul!$C$48))</f>
        <v>11</v>
      </c>
      <c r="G16" s="21">
        <f t="shared" si="0"/>
        <v>0.5</v>
      </c>
      <c r="H16" s="22" t="str">
        <f>IF(G16="","",IF(G16&gt;=Paramètres!$B$5,"● Modèle",IF(G16&gt;=Paramètres!$B$6,"● Régulier","● Critique")))</f>
        <v>● Régulier</v>
      </c>
      <c r="I16" s="23">
        <f>IF(OR($K16="",Calcul!$C$48=1),"",IF(ISNUMBER(INDEX(Calcul!$AC$5:$AN$34,$K16,MAX(1,Calcul!$C$48-1))),G16-INDEX(Calcul!$AC$5:$AN$34,$K16,MAX(1,Calcul!$C$48-1)),""))</f>
        <v>0.25</v>
      </c>
      <c r="J16" s="21">
        <f>IF($K16="","",INDEX(Calcul!$AP$5:$BA$34,$K16,Calcul!$C$48))</f>
        <v>0.5</v>
      </c>
      <c r="K16" s="24">
        <f>IFERROR(MATCH(2,Calcul!$BF$5:$BF$34,0),"")</f>
        <v>6</v>
      </c>
    </row>
    <row r="17" spans="2:11" x14ac:dyDescent="0.25">
      <c r="B17" s="19">
        <f>IF($K17="","",3)</f>
        <v>3</v>
      </c>
      <c r="C17" s="20" t="str">
        <f>IF($K17="","",INDEX(Calcul!$A$5:$A$34,$K17))</f>
        <v>Zouhour Fathallah</v>
      </c>
      <c r="D17" s="20" t="str">
        <f>IF($K17="","",IF(INDEX(Paramètres!$B$11:$B$40,$K17)="","—",INDEX(Paramètres!$B$11:$B$40,$K17)))</f>
        <v>QHSE Leader</v>
      </c>
      <c r="E17" s="19">
        <f>IF($K17="","",INDEX(Calcul!$C$5:$N$34,$K17,Calcul!$C$48))</f>
        <v>22</v>
      </c>
      <c r="F17" s="19">
        <f>IF($K17="","",INDEX(Calcul!$P$5:$AA$34,$K17,Calcul!$C$48))</f>
        <v>7</v>
      </c>
      <c r="G17" s="21">
        <f t="shared" si="0"/>
        <v>0.31818181818181818</v>
      </c>
      <c r="H17" s="22" t="str">
        <f>IF(G17="","",IF(G17&gt;=Paramètres!$B$5,"● Modèle",IF(G17&gt;=Paramètres!$B$6,"● Régulier","● Critique")))</f>
        <v>● Critique</v>
      </c>
      <c r="I17" s="23">
        <f>IF(OR($K17="",Calcul!$C$48=1),"",IF(ISNUMBER(INDEX(Calcul!$AC$5:$AN$34,$K17,MAX(1,Calcul!$C$48-1))),G17-INDEX(Calcul!$AC$5:$AN$34,$K17,MAX(1,Calcul!$C$48-1)),""))</f>
        <v>-0.18181818181818182</v>
      </c>
      <c r="J17" s="21">
        <f>IF($K17="","",INDEX(Calcul!$AP$5:$BA$34,$K17,Calcul!$C$48))</f>
        <v>0.31818181818181818</v>
      </c>
      <c r="K17" s="24">
        <f>IFERROR(MATCH(3,Calcul!$BF$5:$BF$34,0),"")</f>
        <v>18</v>
      </c>
    </row>
    <row r="18" spans="2:11" x14ac:dyDescent="0.25">
      <c r="B18" s="19">
        <f>IF($K18="","",4)</f>
        <v>4</v>
      </c>
      <c r="C18" s="20" t="str">
        <f>IF($K18="","",INDEX(Calcul!$A$5:$A$34,$K18))</f>
        <v>Chaima Jdid</v>
      </c>
      <c r="D18" s="20" t="str">
        <f>IF($K18="","",IF(INDEX(Paramètres!$B$11:$B$40,$K18)="","—",INDEX(Paramètres!$B$11:$B$40,$K18)))</f>
        <v xml:space="preserve">	Industerial Engeneering</v>
      </c>
      <c r="E18" s="19">
        <f>IF($K18="","",INDEX(Calcul!$C$5:$N$34,$K18,Calcul!$C$48))</f>
        <v>22</v>
      </c>
      <c r="F18" s="19">
        <f>IF($K18="","",INDEX(Calcul!$P$5:$AA$34,$K18,Calcul!$C$48))</f>
        <v>7</v>
      </c>
      <c r="G18" s="21">
        <f t="shared" si="0"/>
        <v>0.31818181818181818</v>
      </c>
      <c r="H18" s="22" t="str">
        <f>IF(G18="","",IF(G18&gt;=Paramètres!$B$5,"● Modèle",IF(G18&gt;=Paramètres!$B$6,"● Régulier","● Critique")))</f>
        <v>● Critique</v>
      </c>
      <c r="I18" s="23">
        <f>IF(OR($K18="",Calcul!$C$48=1),"",IF(ISNUMBER(INDEX(Calcul!$AC$5:$AN$34,$K18,MAX(1,Calcul!$C$48-1))),G18-INDEX(Calcul!$AC$5:$AN$34,$K18,MAX(1,Calcul!$C$48-1)),""))</f>
        <v>-0.18181818181818182</v>
      </c>
      <c r="J18" s="21">
        <f>IF($K18="","",INDEX(Calcul!$AP$5:$BA$34,$K18,Calcul!$C$48))</f>
        <v>0.31818181818181818</v>
      </c>
      <c r="K18" s="24">
        <f>IFERROR(MATCH(4,Calcul!$BF$5:$BF$34,0),"")</f>
        <v>4</v>
      </c>
    </row>
    <row r="19" spans="2:11" x14ac:dyDescent="0.25">
      <c r="B19" s="19">
        <f>IF($K19="","",5)</f>
        <v>5</v>
      </c>
      <c r="C19" s="20" t="str">
        <f>IF($K19="","",INDEX(Calcul!$A$5:$A$34,$K19))</f>
        <v>Mourad Ayari</v>
      </c>
      <c r="D19" s="20" t="str">
        <f>IF($K19="","",IF(INDEX(Paramètres!$B$11:$B$40,$K19)="","—",INDEX(Paramètres!$B$11:$B$40,$K19)))</f>
        <v xml:space="preserve">	Manufacturing Supervisor</v>
      </c>
      <c r="E19" s="19">
        <f>IF($K19="","",INDEX(Calcul!$C$5:$N$34,$K19,Calcul!$C$48))</f>
        <v>22</v>
      </c>
      <c r="F19" s="19">
        <f>IF($K19="","",INDEX(Calcul!$P$5:$AA$34,$K19,Calcul!$C$48))</f>
        <v>6</v>
      </c>
      <c r="G19" s="21">
        <f t="shared" si="0"/>
        <v>0.27272727272727271</v>
      </c>
      <c r="H19" s="22" t="str">
        <f>IF(G19="","",IF(G19&gt;=Paramètres!$B$5,"● Modèle",IF(G19&gt;=Paramètres!$B$6,"● Régulier","● Critique")))</f>
        <v>● Critique</v>
      </c>
      <c r="I19" s="23">
        <f>IF(OR($K19="",Calcul!$C$48=1),"",IF(ISNUMBER(INDEX(Calcul!$AC$5:$AN$34,$K19,MAX(1,Calcul!$C$48-1))),G19-INDEX(Calcul!$AC$5:$AN$34,$K19,MAX(1,Calcul!$C$48-1)),""))</f>
        <v>0.14772727272727271</v>
      </c>
      <c r="J19" s="21">
        <f>IF($K19="","",INDEX(Calcul!$AP$5:$BA$34,$K19,Calcul!$C$48))</f>
        <v>0.27272727272727271</v>
      </c>
      <c r="K19" s="24">
        <f>IFERROR(MATCH(5,Calcul!$BF$5:$BF$34,0),"")</f>
        <v>11</v>
      </c>
    </row>
    <row r="20" spans="2:11" x14ac:dyDescent="0.25">
      <c r="B20" s="19">
        <f>IF($K20="","",6)</f>
        <v>6</v>
      </c>
      <c r="C20" s="20" t="str">
        <f>IF($K20="","",INDEX(Calcul!$A$5:$A$34,$K20))</f>
        <v>Marwa Solaani</v>
      </c>
      <c r="D20" s="20" t="str">
        <f>IF($K20="","",IF(INDEX(Paramètres!$B$11:$B$40,$K20)="","—",INDEX(Paramètres!$B$11:$B$40,$K20)))</f>
        <v xml:space="preserve">	Production Team Leader</v>
      </c>
      <c r="E20" s="19">
        <f>IF($K20="","",INDEX(Calcul!$C$5:$N$34,$K20,Calcul!$C$48))</f>
        <v>22</v>
      </c>
      <c r="F20" s="19">
        <f>IF($K20="","",INDEX(Calcul!$P$5:$AA$34,$K20,Calcul!$C$48))</f>
        <v>6</v>
      </c>
      <c r="G20" s="21">
        <f t="shared" si="0"/>
        <v>0.27272727272727271</v>
      </c>
      <c r="H20" s="22" t="str">
        <f>IF(G20="","",IF(G20&gt;=Paramètres!$B$5,"● Modèle",IF(G20&gt;=Paramètres!$B$6,"● Régulier","● Critique")))</f>
        <v>● Critique</v>
      </c>
      <c r="I20" s="23">
        <f>IF(OR($K20="",Calcul!$C$48=1),"",IF(ISNUMBER(INDEX(Calcul!$AC$5:$AN$34,$K20,MAX(1,Calcul!$C$48-1))),G20-INDEX(Calcul!$AC$5:$AN$34,$K20,MAX(1,Calcul!$C$48-1)),""))</f>
        <v>-0.10227272727272729</v>
      </c>
      <c r="J20" s="21">
        <f>IF($K20="","",INDEX(Calcul!$AP$5:$BA$34,$K20,Calcul!$C$48))</f>
        <v>0.27272727272727271</v>
      </c>
      <c r="K20" s="24">
        <f>IFERROR(MATCH(6,Calcul!$BF$5:$BF$34,0),"")</f>
        <v>8</v>
      </c>
    </row>
    <row r="21" spans="2:11" x14ac:dyDescent="0.25">
      <c r="B21" s="19">
        <f>IF($K21="","",7)</f>
        <v>7</v>
      </c>
      <c r="C21" s="20" t="str">
        <f>IF($K21="","",INDEX(Calcul!$A$5:$A$34,$K21))</f>
        <v>Safouen Magdouli</v>
      </c>
      <c r="D21" s="20" t="str">
        <f>IF($K21="","",IF(INDEX(Paramètres!$B$11:$B$40,$K21)="","—",INDEX(Paramètres!$B$11:$B$40,$K21)))</f>
        <v>Leather Cutting Supervisor</v>
      </c>
      <c r="E21" s="19">
        <f>IF($K21="","",INDEX(Calcul!$C$5:$N$34,$K21,Calcul!$C$48))</f>
        <v>22</v>
      </c>
      <c r="F21" s="19">
        <f>IF($K21="","",INDEX(Calcul!$P$5:$AA$34,$K21,Calcul!$C$48))</f>
        <v>4</v>
      </c>
      <c r="G21" s="21">
        <f t="shared" si="0"/>
        <v>0.18181818181818182</v>
      </c>
      <c r="H21" s="22" t="str">
        <f>IF(G21="","",IF(G21&gt;=Paramètres!$B$5,"● Modèle",IF(G21&gt;=Paramètres!$B$6,"● Régulier","● Critique")))</f>
        <v>● Critique</v>
      </c>
      <c r="I21" s="23">
        <f>IF(OR($K21="",Calcul!$C$48=1),"",IF(ISNUMBER(INDEX(Calcul!$AC$5:$AN$34,$K21,MAX(1,Calcul!$C$48-1))),G21-INDEX(Calcul!$AC$5:$AN$34,$K21,MAX(1,Calcul!$C$48-1)),""))</f>
        <v>-6.8181818181818177E-2</v>
      </c>
      <c r="J21" s="21">
        <f>IF($K21="","",INDEX(Calcul!$AP$5:$BA$34,$K21,Calcul!$C$48))</f>
        <v>0.18181818181818182</v>
      </c>
      <c r="K21" s="24">
        <f>IFERROR(MATCH(7,Calcul!$BF$5:$BF$34,0),"")</f>
        <v>15</v>
      </c>
    </row>
    <row r="22" spans="2:11" x14ac:dyDescent="0.25">
      <c r="B22" s="19">
        <f>IF($K22="","",8)</f>
        <v>8</v>
      </c>
      <c r="C22" s="20" t="str">
        <f>IF($K22="","",INDEX(Calcul!$A$5:$A$34,$K22))</f>
        <v>Sabrine Neffeti</v>
      </c>
      <c r="D22" s="20" t="str">
        <f>IF($K22="","",IF(INDEX(Paramètres!$B$11:$B$40,$K22)="","—",INDEX(Paramètres!$B$11:$B$40,$K22)))</f>
        <v>Human Resources Officer</v>
      </c>
      <c r="E22" s="19">
        <f>IF($K22="","",INDEX(Calcul!$C$5:$N$34,$K22,Calcul!$C$48))</f>
        <v>22</v>
      </c>
      <c r="F22" s="19">
        <f>IF($K22="","",INDEX(Calcul!$P$5:$AA$34,$K22,Calcul!$C$48))</f>
        <v>4</v>
      </c>
      <c r="G22" s="21">
        <f t="shared" si="0"/>
        <v>0.18181818181818182</v>
      </c>
      <c r="H22" s="22" t="str">
        <f>IF(G22="","",IF(G22&gt;=Paramètres!$B$5,"● Modèle",IF(G22&gt;=Paramètres!$B$6,"● Régulier","● Critique")))</f>
        <v>● Critique</v>
      </c>
      <c r="I22" s="23">
        <f>IF(OR($K22="",Calcul!$C$48=1),"",IF(ISNUMBER(INDEX(Calcul!$AC$5:$AN$34,$K22,MAX(1,Calcul!$C$48-1))),G22-INDEX(Calcul!$AC$5:$AN$34,$K22,MAX(1,Calcul!$C$48-1)),""))</f>
        <v>-6.8181818181818177E-2</v>
      </c>
      <c r="J22" s="21">
        <f>IF($K22="","",INDEX(Calcul!$AP$5:$BA$34,$K22,Calcul!$C$48))</f>
        <v>0.18181818181818182</v>
      </c>
      <c r="K22" s="24">
        <f>IFERROR(MATCH(8,Calcul!$BF$5:$BF$34,0),"")</f>
        <v>14</v>
      </c>
    </row>
    <row r="23" spans="2:11" x14ac:dyDescent="0.25">
      <c r="B23" s="19">
        <f>IF($K23="","",9)</f>
        <v>9</v>
      </c>
      <c r="C23" s="20" t="str">
        <f>IF($K23="","",INDEX(Calcul!$A$5:$A$34,$K23))</f>
        <v>Imre Kapusi</v>
      </c>
      <c r="D23" s="20" t="str">
        <f>IF($K23="","",IF(INDEX(Paramètres!$B$11:$B$40,$K23)="","—",INDEX(Paramètres!$B$11:$B$40,$K23)))</f>
        <v>Manufacturing Manager</v>
      </c>
      <c r="E23" s="19">
        <f>IF($K23="","",INDEX(Calcul!$C$5:$N$34,$K23,Calcul!$C$48))</f>
        <v>22</v>
      </c>
      <c r="F23" s="19">
        <f>IF($K23="","",INDEX(Calcul!$P$5:$AA$34,$K23,Calcul!$C$48))</f>
        <v>4</v>
      </c>
      <c r="G23" s="21">
        <f t="shared" si="0"/>
        <v>0.18181818181818182</v>
      </c>
      <c r="H23" s="22" t="str">
        <f>IF(G23="","",IF(G23&gt;=Paramètres!$B$5,"● Modèle",IF(G23&gt;=Paramètres!$B$6,"● Régulier","● Critique")))</f>
        <v>● Critique</v>
      </c>
      <c r="I23" s="23">
        <f>IF(OR($K23="",Calcul!$C$48=1),"",IF(ISNUMBER(INDEX(Calcul!$AC$5:$AN$34,$K23,MAX(1,Calcul!$C$48-1))),G23-INDEX(Calcul!$AC$5:$AN$34,$K23,MAX(1,Calcul!$C$48-1)),""))</f>
        <v>0.18181818181818182</v>
      </c>
      <c r="J23" s="21">
        <f>IF($K23="","",INDEX(Calcul!$AP$5:$BA$34,$K23,Calcul!$C$48))</f>
        <v>0.18181818181818182</v>
      </c>
      <c r="K23" s="24">
        <f>IFERROR(MATCH(9,Calcul!$BF$5:$BF$34,0),"")</f>
        <v>5</v>
      </c>
    </row>
    <row r="24" spans="2:11" x14ac:dyDescent="0.25">
      <c r="B24" s="19">
        <f>IF($K24="","",10)</f>
        <v>10</v>
      </c>
      <c r="C24" s="20" t="str">
        <f>IF($K24="","",INDEX(Calcul!$A$5:$A$34,$K24))</f>
        <v>Mina Moussa</v>
      </c>
      <c r="D24" s="20" t="str">
        <f>IF($K24="","",IF(INDEX(Paramètres!$B$11:$B$40,$K24)="","—",INDEX(Paramètres!$B$11:$B$40,$K24)))</f>
        <v xml:space="preserve">	General Manager</v>
      </c>
      <c r="E24" s="19">
        <f>IF($K24="","",INDEX(Calcul!$C$5:$N$34,$K24,Calcul!$C$48))</f>
        <v>22</v>
      </c>
      <c r="F24" s="19">
        <f>IF($K24="","",INDEX(Calcul!$P$5:$AA$34,$K24,Calcul!$C$48))</f>
        <v>3</v>
      </c>
      <c r="G24" s="21">
        <f t="shared" si="0"/>
        <v>0.13636363636363635</v>
      </c>
      <c r="H24" s="22" t="str">
        <f>IF(G24="","",IF(G24&gt;=Paramètres!$B$5,"● Modèle",IF(G24&gt;=Paramètres!$B$6,"● Régulier","● Critique")))</f>
        <v>● Critique</v>
      </c>
      <c r="I24" s="23">
        <f>IF(OR($K24="",Calcul!$C$48=1),"",IF(ISNUMBER(INDEX(Calcul!$AC$5:$AN$34,$K24,MAX(1,Calcul!$C$48-1))),G24-INDEX(Calcul!$AC$5:$AN$34,$K24,MAX(1,Calcul!$C$48-1)),""))</f>
        <v>1.1363636363636354E-2</v>
      </c>
      <c r="J24" s="21">
        <f>IF($K24="","",INDEX(Calcul!$AP$5:$BA$34,$K24,Calcul!$C$48))</f>
        <v>0.13636363636363635</v>
      </c>
      <c r="K24" s="24">
        <f>IFERROR(MATCH(10,Calcul!$BF$5:$BF$34,0),"")</f>
        <v>9</v>
      </c>
    </row>
    <row r="25" spans="2:11" x14ac:dyDescent="0.25">
      <c r="B25" s="19">
        <f>IF($K25="","",11)</f>
        <v>11</v>
      </c>
      <c r="C25" s="20" t="str">
        <f>IF($K25="","",INDEX(Calcul!$A$5:$A$34,$K25))</f>
        <v>Nouha Ben Khlifa</v>
      </c>
      <c r="D25" s="20" t="str">
        <f>IF($K25="","",IF(INDEX(Paramètres!$B$11:$B$40,$K25)="","—",INDEX(Paramètres!$B$11:$B$40,$K25)))</f>
        <v xml:space="preserve">	Time &amp; Methods Analyst</v>
      </c>
      <c r="E25" s="19">
        <f>IF($K25="","",INDEX(Calcul!$C$5:$N$34,$K25,Calcul!$C$48))</f>
        <v>22</v>
      </c>
      <c r="F25" s="19">
        <f>IF($K25="","",INDEX(Calcul!$P$5:$AA$34,$K25,Calcul!$C$48))</f>
        <v>2</v>
      </c>
      <c r="G25" s="21">
        <f t="shared" si="0"/>
        <v>9.0909090909090912E-2</v>
      </c>
      <c r="H25" s="22" t="str">
        <f>IF(G25="","",IF(G25&gt;=Paramètres!$B$5,"● Modèle",IF(G25&gt;=Paramètres!$B$6,"● Régulier","● Critique")))</f>
        <v>● Critique</v>
      </c>
      <c r="I25" s="23">
        <f>IF(OR($K25="",Calcul!$C$48=1),"",IF(ISNUMBER(INDEX(Calcul!$AC$5:$AN$34,$K25,MAX(1,Calcul!$C$48-1))),G25-INDEX(Calcul!$AC$5:$AN$34,$K25,MAX(1,Calcul!$C$48-1)),""))</f>
        <v>-3.4090909090909088E-2</v>
      </c>
      <c r="J25" s="21">
        <f>IF($K25="","",INDEX(Calcul!$AP$5:$BA$34,$K25,Calcul!$C$48))</f>
        <v>9.0909090909090912E-2</v>
      </c>
      <c r="K25" s="24">
        <f>IFERROR(MATCH(11,Calcul!$BF$5:$BF$34,0),"")</f>
        <v>13</v>
      </c>
    </row>
    <row r="26" spans="2:11" x14ac:dyDescent="0.25">
      <c r="B26" s="19">
        <f>IF($K26="","",12)</f>
        <v>12</v>
      </c>
      <c r="C26" s="20" t="str">
        <f>IF($K26="","",INDEX(Calcul!$A$5:$A$34,$K26))</f>
        <v>Mohamed Sniha</v>
      </c>
      <c r="D26" s="20" t="str">
        <f>IF($K26="","",IF(INDEX(Paramètres!$B$11:$B$40,$K26)="","—",INDEX(Paramètres!$B$11:$B$40,$K26)))</f>
        <v xml:space="preserve">	Administrative and financial Manager</v>
      </c>
      <c r="E26" s="19">
        <f>IF($K26="","",INDEX(Calcul!$C$5:$N$34,$K26,Calcul!$C$48))</f>
        <v>22</v>
      </c>
      <c r="F26" s="19">
        <f>IF($K26="","",INDEX(Calcul!$P$5:$AA$34,$K26,Calcul!$C$48))</f>
        <v>1</v>
      </c>
      <c r="G26" s="21">
        <f t="shared" si="0"/>
        <v>4.5454545454545456E-2</v>
      </c>
      <c r="H26" s="22" t="str">
        <f>IF(G26="","",IF(G26&gt;=Paramètres!$B$5,"● Modèle",IF(G26&gt;=Paramètres!$B$6,"● Régulier","● Critique")))</f>
        <v>● Critique</v>
      </c>
      <c r="I26" s="23">
        <f>IF(OR($K26="",Calcul!$C$48=1),"",IF(ISNUMBER(INDEX(Calcul!$AC$5:$AN$34,$K26,MAX(1,Calcul!$C$48-1))),G26-INDEX(Calcul!$AC$5:$AN$34,$K26,MAX(1,Calcul!$C$48-1)),""))</f>
        <v>-7.9545454545454544E-2</v>
      </c>
      <c r="J26" s="21">
        <f>IF($K26="","",INDEX(Calcul!$AP$5:$BA$34,$K26,Calcul!$C$48))</f>
        <v>4.5454545454545456E-2</v>
      </c>
      <c r="K26" s="24">
        <f>IFERROR(MATCH(12,Calcul!$BF$5:$BF$34,0),"")</f>
        <v>10</v>
      </c>
    </row>
    <row r="27" spans="2:11" x14ac:dyDescent="0.25">
      <c r="B27" s="19">
        <f>IF($K27="","",13)</f>
        <v>13</v>
      </c>
      <c r="C27" s="20" t="str">
        <f>IF($K27="","",INDEX(Calcul!$A$5:$A$34,$K27))</f>
        <v>Wissem Ben Abdalah</v>
      </c>
      <c r="D27" s="20" t="str">
        <f>IF($K27="","",IF(INDEX(Paramètres!$B$11:$B$40,$K27)="","—",INDEX(Paramètres!$B$11:$B$40,$K27)))</f>
        <v xml:space="preserve">	StoreKeeper</v>
      </c>
      <c r="E27" s="19">
        <f>IF($K27="","",INDEX(Calcul!$C$5:$N$34,$K27,Calcul!$C$48))</f>
        <v>22</v>
      </c>
      <c r="F27" s="19">
        <f>IF($K27="","",INDEX(Calcul!$P$5:$AA$34,$K27,Calcul!$C$48))</f>
        <v>0</v>
      </c>
      <c r="G27" s="21">
        <f t="shared" si="0"/>
        <v>0</v>
      </c>
      <c r="H27" s="22" t="str">
        <f>IF(G27="","",IF(G27&gt;=Paramètres!$B$5,"● Modèle",IF(G27&gt;=Paramètres!$B$6,"● Régulier","● Critique")))</f>
        <v>● Critique</v>
      </c>
      <c r="I27" s="23">
        <f>IF(OR($K27="",Calcul!$C$48=1),"",IF(ISNUMBER(INDEX(Calcul!$AC$5:$AN$34,$K27,MAX(1,Calcul!$C$48-1))),G27-INDEX(Calcul!$AC$5:$AN$34,$K27,MAX(1,Calcul!$C$48-1)),""))</f>
        <v>-0.125</v>
      </c>
      <c r="J27" s="21">
        <f>IF($K27="","",INDEX(Calcul!$AP$5:$BA$34,$K27,Calcul!$C$48))</f>
        <v>0</v>
      </c>
      <c r="K27" s="24">
        <f>IFERROR(MATCH(13,Calcul!$BF$5:$BF$34,0),"")</f>
        <v>17</v>
      </c>
    </row>
    <row r="28" spans="2:11" x14ac:dyDescent="0.25">
      <c r="B28" s="19">
        <f>IF($K28="","",14)</f>
        <v>14</v>
      </c>
      <c r="C28" s="20" t="str">
        <f>IF($K28="","",INDEX(Calcul!$A$5:$A$34,$K28))</f>
        <v>Lobna Jberi</v>
      </c>
      <c r="D28" s="20" t="str">
        <f>IF($K28="","",IF(INDEX(Paramètres!$B$11:$B$40,$K28)="","—",INDEX(Paramètres!$B$11:$B$40,$K28)))</f>
        <v xml:space="preserve">	Purchaser &amp; Imp/Exp Agent</v>
      </c>
      <c r="E28" s="19">
        <f>IF($K28="","",INDEX(Calcul!$C$5:$N$34,$K28,Calcul!$C$48))</f>
        <v>22</v>
      </c>
      <c r="F28" s="19">
        <f>IF($K28="","",INDEX(Calcul!$P$5:$AA$34,$K28,Calcul!$C$48))</f>
        <v>0</v>
      </c>
      <c r="G28" s="21">
        <f t="shared" si="0"/>
        <v>0</v>
      </c>
      <c r="H28" s="22" t="str">
        <f>IF(G28="","",IF(G28&gt;=Paramètres!$B$5,"● Modèle",IF(G28&gt;=Paramètres!$B$6,"● Régulier","● Critique")))</f>
        <v>● Critique</v>
      </c>
      <c r="I28" s="23">
        <f>IF(OR($K28="",Calcul!$C$48=1),"",IF(ISNUMBER(INDEX(Calcul!$AC$5:$AN$34,$K28,MAX(1,Calcul!$C$48-1))),G28-INDEX(Calcul!$AC$5:$AN$34,$K28,MAX(1,Calcul!$C$48-1)),""))</f>
        <v>-0.125</v>
      </c>
      <c r="J28" s="21">
        <f>IF($K28="","",INDEX(Calcul!$AP$5:$BA$34,$K28,Calcul!$C$48))</f>
        <v>0</v>
      </c>
      <c r="K28" s="24">
        <f>IFERROR(MATCH(14,Calcul!$BF$5:$BF$34,0),"")</f>
        <v>7</v>
      </c>
    </row>
    <row r="29" spans="2:11" x14ac:dyDescent="0.25">
      <c r="B29" s="19">
        <f>IF($K29="","",15)</f>
        <v>15</v>
      </c>
      <c r="C29" s="20" t="str">
        <f>IF($K29="","",INDEX(Calcul!$A$5:$A$34,$K29))</f>
        <v>Amine Latrech</v>
      </c>
      <c r="D29" s="20" t="str">
        <f>IF($K29="","",IF(INDEX(Paramètres!$B$11:$B$40,$K29)="","—",INDEX(Paramètres!$B$11:$B$40,$K29)))</f>
        <v xml:space="preserve">	Head of Maintenance</v>
      </c>
      <c r="E29" s="19">
        <f>IF($K29="","",INDEX(Calcul!$C$5:$N$34,$K29,Calcul!$C$48))</f>
        <v>22</v>
      </c>
      <c r="F29" s="19">
        <f>IF($K29="","",INDEX(Calcul!$P$5:$AA$34,$K29,Calcul!$C$48))</f>
        <v>0</v>
      </c>
      <c r="G29" s="21">
        <f t="shared" si="0"/>
        <v>0</v>
      </c>
      <c r="H29" s="22" t="str">
        <f>IF(G29="","",IF(G29&gt;=Paramètres!$B$5,"● Modèle",IF(G29&gt;=Paramètres!$B$6,"● Régulier","● Critique")))</f>
        <v>● Critique</v>
      </c>
      <c r="I29" s="23">
        <f>IF(OR($K29="",Calcul!$C$48=1),"",IF(ISNUMBER(INDEX(Calcul!$AC$5:$AN$34,$K29,MAX(1,Calcul!$C$48-1))),G29-INDEX(Calcul!$AC$5:$AN$34,$K29,MAX(1,Calcul!$C$48-1)),""))</f>
        <v>0</v>
      </c>
      <c r="J29" s="21">
        <f>IF($K29="","",INDEX(Calcul!$AP$5:$BA$34,$K29,Calcul!$C$48))</f>
        <v>0</v>
      </c>
      <c r="K29" s="24">
        <f>IFERROR(MATCH(15,Calcul!$BF$5:$BF$34,0),"")</f>
        <v>3</v>
      </c>
    </row>
    <row r="30" spans="2:11" x14ac:dyDescent="0.25">
      <c r="B30" s="19" t="str">
        <f>IF($K30="","",16)</f>
        <v/>
      </c>
      <c r="C30" s="20" t="str">
        <f>IF($K30="","",INDEX(Calcul!$A$5:$A$34,$K30))</f>
        <v/>
      </c>
      <c r="D30" s="20" t="str">
        <f>IF($K30="","",IF(INDEX(Paramètres!$B$11:$B$40,$K30)="","—",INDEX(Paramètres!$B$11:$B$40,$K30)))</f>
        <v/>
      </c>
      <c r="E30" s="19" t="str">
        <f>IF($K30="","",INDEX(Calcul!$C$5:$N$34,$K30,Calcul!$C$48))</f>
        <v/>
      </c>
      <c r="F30" s="19" t="str">
        <f>IF($K30="","",INDEX(Calcul!$P$5:$AA$34,$K30,Calcul!$C$48))</f>
        <v/>
      </c>
      <c r="G30" s="21" t="str">
        <f t="shared" si="0"/>
        <v/>
      </c>
      <c r="H30" s="22" t="str">
        <f>IF(G30="","",IF(G30&gt;=Paramètres!$B$5,"● Modèle",IF(G30&gt;=Paramètres!$B$6,"● Régulier","● Critique")))</f>
        <v/>
      </c>
      <c r="I30" s="23" t="str">
        <f>IF(OR($K30="",Calcul!$C$48=1),"",IF(ISNUMBER(INDEX(Calcul!$AC$5:$AN$34,$K30,MAX(1,Calcul!$C$48-1))),G30-INDEX(Calcul!$AC$5:$AN$34,$K30,MAX(1,Calcul!$C$48-1)),""))</f>
        <v/>
      </c>
      <c r="J30" s="21" t="str">
        <f>IF($K30="","",INDEX(Calcul!$AP$5:$BA$34,$K30,Calcul!$C$48))</f>
        <v/>
      </c>
      <c r="K30" t="str">
        <f>IFERROR(MATCH(16,Calcul!$BF$5:$BF$34,0),"")</f>
        <v/>
      </c>
    </row>
    <row r="31" spans="2:11" x14ac:dyDescent="0.25">
      <c r="B31" s="19" t="str">
        <f>IF($K31="","",17)</f>
        <v/>
      </c>
      <c r="C31" s="20" t="str">
        <f>IF($K31="","",INDEX(Calcul!$A$5:$A$34,$K31))</f>
        <v/>
      </c>
      <c r="D31" s="20" t="str">
        <f>IF($K31="","",IF(INDEX(Paramètres!$B$11:$B$40,$K31)="","—",INDEX(Paramètres!$B$11:$B$40,$K31)))</f>
        <v/>
      </c>
      <c r="E31" s="19" t="str">
        <f>IF($K31="","",INDEX(Calcul!$C$5:$N$34,$K31,Calcul!$C$48))</f>
        <v/>
      </c>
      <c r="F31" s="19" t="str">
        <f>IF($K31="","",INDEX(Calcul!$P$5:$AA$34,$K31,Calcul!$C$48))</f>
        <v/>
      </c>
      <c r="G31" s="21" t="str">
        <f t="shared" si="0"/>
        <v/>
      </c>
      <c r="H31" s="22" t="str">
        <f>IF(G31="","",IF(G31&gt;=Paramètres!$B$5,"● Modèle",IF(G31&gt;=Paramètres!$B$6,"● Régulier","● Critique")))</f>
        <v/>
      </c>
      <c r="I31" s="23" t="str">
        <f>IF(OR($K31="",Calcul!$C$48=1),"",IF(ISNUMBER(INDEX(Calcul!$AC$5:$AN$34,$K31,MAX(1,Calcul!$C$48-1))),G31-INDEX(Calcul!$AC$5:$AN$34,$K31,MAX(1,Calcul!$C$48-1)),""))</f>
        <v/>
      </c>
      <c r="J31" s="21" t="str">
        <f>IF($K31="","",INDEX(Calcul!$AP$5:$BA$34,$K31,Calcul!$C$48))</f>
        <v/>
      </c>
      <c r="K31" t="str">
        <f>IFERROR(MATCH(17,Calcul!$BF$5:$BF$34,0),"")</f>
        <v/>
      </c>
    </row>
    <row r="32" spans="2:11" x14ac:dyDescent="0.25">
      <c r="B32" s="19" t="str">
        <f>IF($K32="","",18)</f>
        <v/>
      </c>
      <c r="C32" s="20" t="str">
        <f>IF($K32="","",INDEX(Calcul!$A$5:$A$34,$K32))</f>
        <v/>
      </c>
      <c r="D32" s="20" t="str">
        <f>IF($K32="","",IF(INDEX(Paramètres!$B$11:$B$40,$K32)="","—",INDEX(Paramètres!$B$11:$B$40,$K32)))</f>
        <v/>
      </c>
      <c r="E32" s="19" t="str">
        <f>IF($K32="","",INDEX(Calcul!$C$5:$N$34,$K32,Calcul!$C$48))</f>
        <v/>
      </c>
      <c r="F32" s="19" t="str">
        <f>IF($K32="","",INDEX(Calcul!$P$5:$AA$34,$K32,Calcul!$C$48))</f>
        <v/>
      </c>
      <c r="G32" s="21" t="str">
        <f t="shared" si="0"/>
        <v/>
      </c>
      <c r="H32" s="22" t="str">
        <f>IF(G32="","",IF(G32&gt;=Paramètres!$B$5,"● Modèle",IF(G32&gt;=Paramètres!$B$6,"● Régulier","● Critique")))</f>
        <v/>
      </c>
      <c r="I32" s="23" t="str">
        <f>IF(OR($K32="",Calcul!$C$48=1),"",IF(ISNUMBER(INDEX(Calcul!$AC$5:$AN$34,$K32,MAX(1,Calcul!$C$48-1))),G32-INDEX(Calcul!$AC$5:$AN$34,$K32,MAX(1,Calcul!$C$48-1)),""))</f>
        <v/>
      </c>
      <c r="J32" s="21" t="str">
        <f>IF($K32="","",INDEX(Calcul!$AP$5:$BA$34,$K32,Calcul!$C$48))</f>
        <v/>
      </c>
      <c r="K32" t="str">
        <f>IFERROR(MATCH(18,Calcul!$BF$5:$BF$34,0),"")</f>
        <v/>
      </c>
    </row>
    <row r="33" spans="2:11" x14ac:dyDescent="0.25">
      <c r="B33" s="19" t="str">
        <f>IF($K33="","",19)</f>
        <v/>
      </c>
      <c r="C33" s="20" t="str">
        <f>IF($K33="","",INDEX(Calcul!$A$5:$A$34,$K33))</f>
        <v/>
      </c>
      <c r="D33" s="20" t="str">
        <f>IF($K33="","",IF(INDEX(Paramètres!$B$11:$B$40,$K33)="","—",INDEX(Paramètres!$B$11:$B$40,$K33)))</f>
        <v/>
      </c>
      <c r="E33" s="19" t="str">
        <f>IF($K33="","",INDEX(Calcul!$C$5:$N$34,$K33,Calcul!$C$48))</f>
        <v/>
      </c>
      <c r="F33" s="19" t="str">
        <f>IF($K33="","",INDEX(Calcul!$P$5:$AA$34,$K33,Calcul!$C$48))</f>
        <v/>
      </c>
      <c r="G33" s="21" t="str">
        <f t="shared" si="0"/>
        <v/>
      </c>
      <c r="H33" s="22" t="str">
        <f>IF(G33="","",IF(G33&gt;=Paramètres!$B$5,"● Modèle",IF(G33&gt;=Paramètres!$B$6,"● Régulier","● Critique")))</f>
        <v/>
      </c>
      <c r="I33" s="23" t="str">
        <f>IF(OR($K33="",Calcul!$C$48=1),"",IF(ISNUMBER(INDEX(Calcul!$AC$5:$AN$34,$K33,MAX(1,Calcul!$C$48-1))),G33-INDEX(Calcul!$AC$5:$AN$34,$K33,MAX(1,Calcul!$C$48-1)),""))</f>
        <v/>
      </c>
      <c r="J33" s="21" t="str">
        <f>IF($K33="","",INDEX(Calcul!$AP$5:$BA$34,$K33,Calcul!$C$48))</f>
        <v/>
      </c>
      <c r="K33" t="str">
        <f>IFERROR(MATCH(19,Calcul!$BF$5:$BF$34,0),"")</f>
        <v/>
      </c>
    </row>
    <row r="34" spans="2:11" x14ac:dyDescent="0.25">
      <c r="B34" s="19" t="str">
        <f>IF($K34="","",20)</f>
        <v/>
      </c>
      <c r="C34" s="20" t="str">
        <f>IF($K34="","",INDEX(Calcul!$A$5:$A$34,$K34))</f>
        <v/>
      </c>
      <c r="D34" s="20" t="str">
        <f>IF($K34="","",IF(INDEX(Paramètres!$B$11:$B$40,$K34)="","—",INDEX(Paramètres!$B$11:$B$40,$K34)))</f>
        <v/>
      </c>
      <c r="E34" s="19" t="str">
        <f>IF($K34="","",INDEX(Calcul!$C$5:$N$34,$K34,Calcul!$C$48))</f>
        <v/>
      </c>
      <c r="F34" s="19" t="str">
        <f>IF($K34="","",INDEX(Calcul!$P$5:$AA$34,$K34,Calcul!$C$48))</f>
        <v/>
      </c>
      <c r="G34" s="21" t="str">
        <f t="shared" si="0"/>
        <v/>
      </c>
      <c r="H34" s="22" t="str">
        <f>IF(G34="","",IF(G34&gt;=Paramètres!$B$5,"● Modèle",IF(G34&gt;=Paramètres!$B$6,"● Régulier","● Critique")))</f>
        <v/>
      </c>
      <c r="I34" s="23" t="str">
        <f>IF(OR($K34="",Calcul!$C$48=1),"",IF(ISNUMBER(INDEX(Calcul!$AC$5:$AN$34,$K34,MAX(1,Calcul!$C$48-1))),G34-INDEX(Calcul!$AC$5:$AN$34,$K34,MAX(1,Calcul!$C$48-1)),""))</f>
        <v/>
      </c>
      <c r="J34" s="21" t="str">
        <f>IF($K34="","",INDEX(Calcul!$AP$5:$BA$34,$K34,Calcul!$C$48))</f>
        <v/>
      </c>
      <c r="K34" t="str">
        <f>IFERROR(MATCH(20,Calcul!$BF$5:$BF$34,0),"")</f>
        <v/>
      </c>
    </row>
    <row r="35" spans="2:11" x14ac:dyDescent="0.25">
      <c r="B35" s="19" t="str">
        <f>IF($K35="","",21)</f>
        <v/>
      </c>
      <c r="C35" s="20" t="str">
        <f>IF($K35="","",INDEX(Calcul!$A$5:$A$34,$K35))</f>
        <v/>
      </c>
      <c r="D35" s="20" t="str">
        <f>IF($K35="","",IF(INDEX(Paramètres!$B$11:$B$40,$K35)="","—",INDEX(Paramètres!$B$11:$B$40,$K35)))</f>
        <v/>
      </c>
      <c r="E35" s="19" t="str">
        <f>IF($K35="","",INDEX(Calcul!$C$5:$N$34,$K35,Calcul!$C$48))</f>
        <v/>
      </c>
      <c r="F35" s="19" t="str">
        <f>IF($K35="","",INDEX(Calcul!$P$5:$AA$34,$K35,Calcul!$C$48))</f>
        <v/>
      </c>
      <c r="G35" s="21" t="str">
        <f t="shared" si="0"/>
        <v/>
      </c>
      <c r="H35" s="22" t="str">
        <f>IF(G35="","",IF(G35&gt;=Paramètres!$B$5,"● Modèle",IF(G35&gt;=Paramètres!$B$6,"● Régulier","● Critique")))</f>
        <v/>
      </c>
      <c r="I35" s="23" t="str">
        <f>IF(OR($K35="",Calcul!$C$48=1),"",IF(ISNUMBER(INDEX(Calcul!$AC$5:$AN$34,$K35,MAX(1,Calcul!$C$48-1))),G35-INDEX(Calcul!$AC$5:$AN$34,$K35,MAX(1,Calcul!$C$48-1)),""))</f>
        <v/>
      </c>
      <c r="J35" s="21" t="str">
        <f>IF($K35="","",INDEX(Calcul!$AP$5:$BA$34,$K35,Calcul!$C$48))</f>
        <v/>
      </c>
      <c r="K35" t="str">
        <f>IFERROR(MATCH(21,Calcul!$BF$5:$BF$34,0),"")</f>
        <v/>
      </c>
    </row>
    <row r="36" spans="2:11" x14ac:dyDescent="0.25">
      <c r="B36" s="19" t="str">
        <f>IF($K36="","",22)</f>
        <v/>
      </c>
      <c r="C36" s="20" t="str">
        <f>IF($K36="","",INDEX(Calcul!$A$5:$A$34,$K36))</f>
        <v/>
      </c>
      <c r="D36" s="20" t="str">
        <f>IF($K36="","",IF(INDEX(Paramètres!$B$11:$B$40,$K36)="","—",INDEX(Paramètres!$B$11:$B$40,$K36)))</f>
        <v/>
      </c>
      <c r="E36" s="19" t="str">
        <f>IF($K36="","",INDEX(Calcul!$C$5:$N$34,$K36,Calcul!$C$48))</f>
        <v/>
      </c>
      <c r="F36" s="19" t="str">
        <f>IF($K36="","",INDEX(Calcul!$P$5:$AA$34,$K36,Calcul!$C$48))</f>
        <v/>
      </c>
      <c r="G36" s="21" t="str">
        <f t="shared" si="0"/>
        <v/>
      </c>
      <c r="H36" s="22" t="str">
        <f>IF(G36="","",IF(G36&gt;=Paramètres!$B$5,"● Modèle",IF(G36&gt;=Paramètres!$B$6,"● Régulier","● Critique")))</f>
        <v/>
      </c>
      <c r="I36" s="23" t="str">
        <f>IF(OR($K36="",Calcul!$C$48=1),"",IF(ISNUMBER(INDEX(Calcul!$AC$5:$AN$34,$K36,MAX(1,Calcul!$C$48-1))),G36-INDEX(Calcul!$AC$5:$AN$34,$K36,MAX(1,Calcul!$C$48-1)),""))</f>
        <v/>
      </c>
      <c r="J36" s="21" t="str">
        <f>IF($K36="","",INDEX(Calcul!$AP$5:$BA$34,$K36,Calcul!$C$48))</f>
        <v/>
      </c>
      <c r="K36" t="str">
        <f>IFERROR(MATCH(22,Calcul!$BF$5:$BF$34,0),"")</f>
        <v/>
      </c>
    </row>
    <row r="37" spans="2:11" x14ac:dyDescent="0.25">
      <c r="B37" s="19" t="str">
        <f>IF($K37="","",23)</f>
        <v/>
      </c>
      <c r="C37" s="20" t="str">
        <f>IF($K37="","",INDEX(Calcul!$A$5:$A$34,$K37))</f>
        <v/>
      </c>
      <c r="D37" s="20" t="str">
        <f>IF($K37="","",IF(INDEX(Paramètres!$B$11:$B$40,$K37)="","—",INDEX(Paramètres!$B$11:$B$40,$K37)))</f>
        <v/>
      </c>
      <c r="E37" s="19" t="str">
        <f>IF($K37="","",INDEX(Calcul!$C$5:$N$34,$K37,Calcul!$C$48))</f>
        <v/>
      </c>
      <c r="F37" s="19" t="str">
        <f>IF($K37="","",INDEX(Calcul!$P$5:$AA$34,$K37,Calcul!$C$48))</f>
        <v/>
      </c>
      <c r="G37" s="21" t="str">
        <f t="shared" si="0"/>
        <v/>
      </c>
      <c r="H37" s="22" t="str">
        <f>IF(G37="","",IF(G37&gt;=Paramètres!$B$5,"● Modèle",IF(G37&gt;=Paramètres!$B$6,"● Régulier","● Critique")))</f>
        <v/>
      </c>
      <c r="I37" s="23" t="str">
        <f>IF(OR($K37="",Calcul!$C$48=1),"",IF(ISNUMBER(INDEX(Calcul!$AC$5:$AN$34,$K37,MAX(1,Calcul!$C$48-1))),G37-INDEX(Calcul!$AC$5:$AN$34,$K37,MAX(1,Calcul!$C$48-1)),""))</f>
        <v/>
      </c>
      <c r="J37" s="21" t="str">
        <f>IF($K37="","",INDEX(Calcul!$AP$5:$BA$34,$K37,Calcul!$C$48))</f>
        <v/>
      </c>
      <c r="K37" t="str">
        <f>IFERROR(MATCH(23,Calcul!$BF$5:$BF$34,0),"")</f>
        <v/>
      </c>
    </row>
    <row r="38" spans="2:11" x14ac:dyDescent="0.25">
      <c r="B38" s="19" t="str">
        <f>IF($K38="","",24)</f>
        <v/>
      </c>
      <c r="C38" s="20" t="str">
        <f>IF($K38="","",INDEX(Calcul!$A$5:$A$34,$K38))</f>
        <v/>
      </c>
      <c r="D38" s="20" t="str">
        <f>IF($K38="","",IF(INDEX(Paramètres!$B$11:$B$40,$K38)="","—",INDEX(Paramètres!$B$11:$B$40,$K38)))</f>
        <v/>
      </c>
      <c r="E38" s="19" t="str">
        <f>IF($K38="","",INDEX(Calcul!$C$5:$N$34,$K38,Calcul!$C$48))</f>
        <v/>
      </c>
      <c r="F38" s="19" t="str">
        <f>IF($K38="","",INDEX(Calcul!$P$5:$AA$34,$K38,Calcul!$C$48))</f>
        <v/>
      </c>
      <c r="G38" s="21" t="str">
        <f t="shared" si="0"/>
        <v/>
      </c>
      <c r="H38" s="22" t="str">
        <f>IF(G38="","",IF(G38&gt;=Paramètres!$B$5,"● Modèle",IF(G38&gt;=Paramètres!$B$6,"● Régulier","● Critique")))</f>
        <v/>
      </c>
      <c r="I38" s="23" t="str">
        <f>IF(OR($K38="",Calcul!$C$48=1),"",IF(ISNUMBER(INDEX(Calcul!$AC$5:$AN$34,$K38,MAX(1,Calcul!$C$48-1))),G38-INDEX(Calcul!$AC$5:$AN$34,$K38,MAX(1,Calcul!$C$48-1)),""))</f>
        <v/>
      </c>
      <c r="J38" s="21" t="str">
        <f>IF($K38="","",INDEX(Calcul!$AP$5:$BA$34,$K38,Calcul!$C$48))</f>
        <v/>
      </c>
      <c r="K38" t="str">
        <f>IFERROR(MATCH(24,Calcul!$BF$5:$BF$34,0),"")</f>
        <v/>
      </c>
    </row>
    <row r="39" spans="2:11" x14ac:dyDescent="0.25">
      <c r="B39" s="19" t="str">
        <f>IF($K39="","",25)</f>
        <v/>
      </c>
      <c r="C39" s="20" t="str">
        <f>IF($K39="","",INDEX(Calcul!$A$5:$A$34,$K39))</f>
        <v/>
      </c>
      <c r="D39" s="20" t="str">
        <f>IF($K39="","",IF(INDEX(Paramètres!$B$11:$B$40,$K39)="","—",INDEX(Paramètres!$B$11:$B$40,$K39)))</f>
        <v/>
      </c>
      <c r="E39" s="19" t="str">
        <f>IF($K39="","",INDEX(Calcul!$C$5:$N$34,$K39,Calcul!$C$48))</f>
        <v/>
      </c>
      <c r="F39" s="19" t="str">
        <f>IF($K39="","",INDEX(Calcul!$P$5:$AA$34,$K39,Calcul!$C$48))</f>
        <v/>
      </c>
      <c r="G39" s="21" t="str">
        <f t="shared" si="0"/>
        <v/>
      </c>
      <c r="H39" s="22" t="str">
        <f>IF(G39="","",IF(G39&gt;=Paramètres!$B$5,"● Modèle",IF(G39&gt;=Paramètres!$B$6,"● Régulier","● Critique")))</f>
        <v/>
      </c>
      <c r="I39" s="23" t="str">
        <f>IF(OR($K39="",Calcul!$C$48=1),"",IF(ISNUMBER(INDEX(Calcul!$AC$5:$AN$34,$K39,MAX(1,Calcul!$C$48-1))),G39-INDEX(Calcul!$AC$5:$AN$34,$K39,MAX(1,Calcul!$C$48-1)),""))</f>
        <v/>
      </c>
      <c r="J39" s="21" t="str">
        <f>IF($K39="","",INDEX(Calcul!$AP$5:$BA$34,$K39,Calcul!$C$48))</f>
        <v/>
      </c>
      <c r="K39" t="str">
        <f>IFERROR(MATCH(25,Calcul!$BF$5:$BF$34,0),"")</f>
        <v/>
      </c>
    </row>
    <row r="40" spans="2:11" x14ac:dyDescent="0.25">
      <c r="B40" s="19" t="str">
        <f>IF($K40="","",26)</f>
        <v/>
      </c>
      <c r="C40" s="20" t="str">
        <f>IF($K40="","",INDEX(Calcul!$A$5:$A$34,$K40))</f>
        <v/>
      </c>
      <c r="D40" s="20" t="str">
        <f>IF($K40="","",IF(INDEX(Paramètres!$B$11:$B$40,$K40)="","—",INDEX(Paramètres!$B$11:$B$40,$K40)))</f>
        <v/>
      </c>
      <c r="E40" s="19" t="str">
        <f>IF($K40="","",INDEX(Calcul!$C$5:$N$34,$K40,Calcul!$C$48))</f>
        <v/>
      </c>
      <c r="F40" s="19" t="str">
        <f>IF($K40="","",INDEX(Calcul!$P$5:$AA$34,$K40,Calcul!$C$48))</f>
        <v/>
      </c>
      <c r="G40" s="21" t="str">
        <f t="shared" si="0"/>
        <v/>
      </c>
      <c r="H40" s="22" t="str">
        <f>IF(G40="","",IF(G40&gt;=Paramètres!$B$5,"● Modèle",IF(G40&gt;=Paramètres!$B$6,"● Régulier","● Critique")))</f>
        <v/>
      </c>
      <c r="I40" s="23" t="str">
        <f>IF(OR($K40="",Calcul!$C$48=1),"",IF(ISNUMBER(INDEX(Calcul!$AC$5:$AN$34,$K40,MAX(1,Calcul!$C$48-1))),G40-INDEX(Calcul!$AC$5:$AN$34,$K40,MAX(1,Calcul!$C$48-1)),""))</f>
        <v/>
      </c>
      <c r="J40" s="21" t="str">
        <f>IF($K40="","",INDEX(Calcul!$AP$5:$BA$34,$K40,Calcul!$C$48))</f>
        <v/>
      </c>
      <c r="K40" t="str">
        <f>IFERROR(MATCH(26,Calcul!$BF$5:$BF$34,0),"")</f>
        <v/>
      </c>
    </row>
    <row r="41" spans="2:11" x14ac:dyDescent="0.25">
      <c r="B41" s="19" t="str">
        <f>IF($K41="","",27)</f>
        <v/>
      </c>
      <c r="C41" s="20" t="str">
        <f>IF($K41="","",INDEX(Calcul!$A$5:$A$34,$K41))</f>
        <v/>
      </c>
      <c r="D41" s="20" t="str">
        <f>IF($K41="","",IF(INDEX(Paramètres!$B$11:$B$40,$K41)="","—",INDEX(Paramètres!$B$11:$B$40,$K41)))</f>
        <v/>
      </c>
      <c r="E41" s="19" t="str">
        <f>IF($K41="","",INDEX(Calcul!$C$5:$N$34,$K41,Calcul!$C$48))</f>
        <v/>
      </c>
      <c r="F41" s="19" t="str">
        <f>IF($K41="","",INDEX(Calcul!$P$5:$AA$34,$K41,Calcul!$C$48))</f>
        <v/>
      </c>
      <c r="G41" s="21" t="str">
        <f t="shared" si="0"/>
        <v/>
      </c>
      <c r="H41" s="22" t="str">
        <f>IF(G41="","",IF(G41&gt;=Paramètres!$B$5,"● Modèle",IF(G41&gt;=Paramètres!$B$6,"● Régulier","● Critique")))</f>
        <v/>
      </c>
      <c r="I41" s="23" t="str">
        <f>IF(OR($K41="",Calcul!$C$48=1),"",IF(ISNUMBER(INDEX(Calcul!$AC$5:$AN$34,$K41,MAX(1,Calcul!$C$48-1))),G41-INDEX(Calcul!$AC$5:$AN$34,$K41,MAX(1,Calcul!$C$48-1)),""))</f>
        <v/>
      </c>
      <c r="J41" s="21" t="str">
        <f>IF($K41="","",INDEX(Calcul!$AP$5:$BA$34,$K41,Calcul!$C$48))</f>
        <v/>
      </c>
      <c r="K41" t="str">
        <f>IFERROR(MATCH(27,Calcul!$BF$5:$BF$34,0),"")</f>
        <v/>
      </c>
    </row>
    <row r="42" spans="2:11" x14ac:dyDescent="0.25">
      <c r="B42" s="19" t="str">
        <f>IF($K42="","",28)</f>
        <v/>
      </c>
      <c r="C42" s="20" t="str">
        <f>IF($K42="","",INDEX(Calcul!$A$5:$A$34,$K42))</f>
        <v/>
      </c>
      <c r="D42" s="20" t="str">
        <f>IF($K42="","",IF(INDEX(Paramètres!$B$11:$B$40,$K42)="","—",INDEX(Paramètres!$B$11:$B$40,$K42)))</f>
        <v/>
      </c>
      <c r="E42" s="19" t="str">
        <f>IF($K42="","",INDEX(Calcul!$C$5:$N$34,$K42,Calcul!$C$48))</f>
        <v/>
      </c>
      <c r="F42" s="19" t="str">
        <f>IF($K42="","",INDEX(Calcul!$P$5:$AA$34,$K42,Calcul!$C$48))</f>
        <v/>
      </c>
      <c r="G42" s="21" t="str">
        <f t="shared" si="0"/>
        <v/>
      </c>
      <c r="H42" s="22" t="str">
        <f>IF(G42="","",IF(G42&gt;=Paramètres!$B$5,"● Modèle",IF(G42&gt;=Paramètres!$B$6,"● Régulier","● Critique")))</f>
        <v/>
      </c>
      <c r="I42" s="23" t="str">
        <f>IF(OR($K42="",Calcul!$C$48=1),"",IF(ISNUMBER(INDEX(Calcul!$AC$5:$AN$34,$K42,MAX(1,Calcul!$C$48-1))),G42-INDEX(Calcul!$AC$5:$AN$34,$K42,MAX(1,Calcul!$C$48-1)),""))</f>
        <v/>
      </c>
      <c r="J42" s="21" t="str">
        <f>IF($K42="","",INDEX(Calcul!$AP$5:$BA$34,$K42,Calcul!$C$48))</f>
        <v/>
      </c>
      <c r="K42" t="str">
        <f>IFERROR(MATCH(28,Calcul!$BF$5:$BF$34,0),"")</f>
        <v/>
      </c>
    </row>
    <row r="43" spans="2:11" x14ac:dyDescent="0.25">
      <c r="B43" s="19" t="str">
        <f>IF($K43="","",29)</f>
        <v/>
      </c>
      <c r="C43" s="20" t="str">
        <f>IF($K43="","",INDEX(Calcul!$A$5:$A$34,$K43))</f>
        <v/>
      </c>
      <c r="D43" s="20" t="str">
        <f>IF($K43="","",IF(INDEX(Paramètres!$B$11:$B$40,$K43)="","—",INDEX(Paramètres!$B$11:$B$40,$K43)))</f>
        <v/>
      </c>
      <c r="E43" s="19" t="str">
        <f>IF($K43="","",INDEX(Calcul!$C$5:$N$34,$K43,Calcul!$C$48))</f>
        <v/>
      </c>
      <c r="F43" s="19" t="str">
        <f>IF($K43="","",INDEX(Calcul!$P$5:$AA$34,$K43,Calcul!$C$48))</f>
        <v/>
      </c>
      <c r="G43" s="21" t="str">
        <f t="shared" si="0"/>
        <v/>
      </c>
      <c r="H43" s="22" t="str">
        <f>IF(G43="","",IF(G43&gt;=Paramètres!$B$5,"● Modèle",IF(G43&gt;=Paramètres!$B$6,"● Régulier","● Critique")))</f>
        <v/>
      </c>
      <c r="I43" s="23" t="str">
        <f>IF(OR($K43="",Calcul!$C$48=1),"",IF(ISNUMBER(INDEX(Calcul!$AC$5:$AN$34,$K43,MAX(1,Calcul!$C$48-1))),G43-INDEX(Calcul!$AC$5:$AN$34,$K43,MAX(1,Calcul!$C$48-1)),""))</f>
        <v/>
      </c>
      <c r="J43" s="21" t="str">
        <f>IF($K43="","",INDEX(Calcul!$AP$5:$BA$34,$K43,Calcul!$C$48))</f>
        <v/>
      </c>
      <c r="K43" t="str">
        <f>IFERROR(MATCH(29,Calcul!$BF$5:$BF$34,0),"")</f>
        <v/>
      </c>
    </row>
    <row r="44" spans="2:11" x14ac:dyDescent="0.25">
      <c r="B44" s="19" t="str">
        <f>IF($K44="","",30)</f>
        <v/>
      </c>
      <c r="C44" s="20" t="str">
        <f>IF($K44="","",INDEX(Calcul!$A$5:$A$34,$K44))</f>
        <v/>
      </c>
      <c r="D44" s="20" t="str">
        <f>IF($K44="","",IF(INDEX(Paramètres!$B$11:$B$40,$K44)="","—",INDEX(Paramètres!$B$11:$B$40,$K44)))</f>
        <v/>
      </c>
      <c r="E44" s="19" t="str">
        <f>IF($K44="","",INDEX(Calcul!$C$5:$N$34,$K44,Calcul!$C$48))</f>
        <v/>
      </c>
      <c r="F44" s="19" t="str">
        <f>IF($K44="","",INDEX(Calcul!$P$5:$AA$34,$K44,Calcul!$C$48))</f>
        <v/>
      </c>
      <c r="G44" s="21" t="str">
        <f t="shared" si="0"/>
        <v/>
      </c>
      <c r="H44" s="22" t="str">
        <f>IF(G44="","",IF(G44&gt;=Paramètres!$B$5,"● Modèle",IF(G44&gt;=Paramètres!$B$6,"● Régulier","● Critique")))</f>
        <v/>
      </c>
      <c r="I44" s="23" t="str">
        <f>IF(OR($K44="",Calcul!$C$48=1),"",IF(ISNUMBER(INDEX(Calcul!$AC$5:$AN$34,$K44,MAX(1,Calcul!$C$48-1))),G44-INDEX(Calcul!$AC$5:$AN$34,$K44,MAX(1,Calcul!$C$48-1)),""))</f>
        <v/>
      </c>
      <c r="J44" s="21" t="str">
        <f>IF($K44="","",INDEX(Calcul!$AP$5:$BA$34,$K44,Calcul!$C$48))</f>
        <v/>
      </c>
      <c r="K44" t="str">
        <f>IFERROR(MATCH(30,Calcul!$BF$5:$BF$34,0),"")</f>
        <v/>
      </c>
    </row>
    <row r="46" spans="2:11" x14ac:dyDescent="0.25">
      <c r="B46" s="25" t="s">
        <v>18</v>
      </c>
      <c r="C46" s="26"/>
      <c r="D46" s="26"/>
      <c r="E46" s="26"/>
      <c r="F46" s="26"/>
      <c r="G46" s="26"/>
      <c r="H46" s="26"/>
      <c r="I46" s="26"/>
      <c r="J46" s="26"/>
    </row>
    <row r="47" spans="2:11" x14ac:dyDescent="0.25">
      <c r="B47" s="4" t="s">
        <v>19</v>
      </c>
      <c r="C47" s="4"/>
      <c r="D47" s="4"/>
      <c r="E47" s="4"/>
      <c r="F47" s="4"/>
      <c r="G47" s="4"/>
      <c r="H47" s="3">
        <f>COUNTA(Journal!B2:B3001)</f>
        <v>922</v>
      </c>
      <c r="I47" s="3"/>
    </row>
    <row r="48" spans="2:11" x14ac:dyDescent="0.25">
      <c r="B48" s="4" t="s">
        <v>20</v>
      </c>
      <c r="C48" s="4"/>
      <c r="D48" s="4"/>
      <c r="E48" s="4"/>
      <c r="F48" s="4"/>
      <c r="G48" s="4"/>
      <c r="H48" s="3">
        <f>COUNTIF(Journal!H2:H3001,"?")</f>
        <v>0</v>
      </c>
      <c r="I48" s="3"/>
    </row>
    <row r="49" spans="2:9" x14ac:dyDescent="0.25">
      <c r="B49" s="4" t="s">
        <v>21</v>
      </c>
      <c r="C49" s="4"/>
      <c r="D49" s="4"/>
      <c r="E49" s="4"/>
      <c r="F49" s="4"/>
      <c r="G49" s="4"/>
      <c r="H49" s="3">
        <f>COUNTIF(Journal!L2:L3001,0)</f>
        <v>0</v>
      </c>
      <c r="I49" s="3"/>
    </row>
    <row r="50" spans="2:9" x14ac:dyDescent="0.25">
      <c r="B50" s="4" t="s">
        <v>22</v>
      </c>
      <c r="C50" s="4"/>
      <c r="D50" s="4"/>
      <c r="E50" s="4"/>
      <c r="F50" s="4"/>
      <c r="G50" s="4"/>
      <c r="H50" s="3">
        <f>COUNT(Journal!H2:H3001)-SUM(Journal!I2:I3001)</f>
        <v>179</v>
      </c>
      <c r="I50" s="3"/>
    </row>
    <row r="51" spans="2:9" x14ac:dyDescent="0.25">
      <c r="B51" s="4" t="s">
        <v>23</v>
      </c>
      <c r="C51" s="4"/>
      <c r="D51" s="4"/>
      <c r="E51" s="4"/>
      <c r="F51" s="4"/>
      <c r="G51" s="4"/>
      <c r="H51" s="3">
        <f>COUNTIFS(Journal!I2:I3001,1,Journal!J2:J3001,0)</f>
        <v>62</v>
      </c>
      <c r="I51" s="3"/>
    </row>
    <row r="52" spans="2:9" x14ac:dyDescent="0.25">
      <c r="B52" s="4" t="s">
        <v>24</v>
      </c>
      <c r="C52" s="4"/>
      <c r="D52" s="4"/>
      <c r="E52" s="4"/>
      <c r="F52" s="4"/>
      <c r="G52" s="4"/>
      <c r="H52" s="2">
        <f>Calcul!C2</f>
        <v>46294</v>
      </c>
      <c r="I52" s="2"/>
    </row>
    <row r="54" spans="2:9" x14ac:dyDescent="0.25">
      <c r="B54" s="27" t="s">
        <v>25</v>
      </c>
    </row>
  </sheetData>
  <mergeCells count="26">
    <mergeCell ref="B52:G52"/>
    <mergeCell ref="H52:I52"/>
    <mergeCell ref="B49:G49"/>
    <mergeCell ref="H49:I49"/>
    <mergeCell ref="B50:G50"/>
    <mergeCell ref="H50:I50"/>
    <mergeCell ref="B51:G51"/>
    <mergeCell ref="H51:I51"/>
    <mergeCell ref="B9:J9"/>
    <mergeCell ref="B11:J12"/>
    <mergeCell ref="B47:G47"/>
    <mergeCell ref="H47:I47"/>
    <mergeCell ref="B48:G48"/>
    <mergeCell ref="H48:I48"/>
    <mergeCell ref="B7:C8"/>
    <mergeCell ref="D7:D8"/>
    <mergeCell ref="E7:F8"/>
    <mergeCell ref="G7:H8"/>
    <mergeCell ref="I7:J8"/>
    <mergeCell ref="B1:J1"/>
    <mergeCell ref="B2:J2"/>
    <mergeCell ref="C4:D4"/>
    <mergeCell ref="B6:C6"/>
    <mergeCell ref="E6:F6"/>
    <mergeCell ref="G6:H6"/>
    <mergeCell ref="I6:J6"/>
  </mergeCells>
  <conditionalFormatting sqref="H15:H44">
    <cfRule type="expression" dxfId="12" priority="2">
      <formula>LEFT($H15,3)="● M"</formula>
    </cfRule>
    <cfRule type="expression" dxfId="11" priority="3">
      <formula>LEFT($H15,3)="● R"</formula>
    </cfRule>
    <cfRule type="expression" dxfId="10" priority="4">
      <formula>LEFT($H15,3)="● C"</formula>
    </cfRule>
  </conditionalFormatting>
  <conditionalFormatting sqref="D7">
    <cfRule type="expression" dxfId="9" priority="5">
      <formula>$D$7="OBJECTIF ATTEINT"</formula>
    </cfRule>
    <cfRule type="expression" dxfId="8" priority="6">
      <formula>$D$7="ALERTE"</formula>
    </cfRule>
    <cfRule type="expression" dxfId="7" priority="7">
      <formula>$D$7="CRITIQUE"</formula>
    </cfRule>
  </conditionalFormatting>
  <conditionalFormatting sqref="G15:G44">
    <cfRule type="dataBar" priority="10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{729CD4E2-8ECC-4B70-AB17-B2C5E8E01BB7}</x14:id>
        </ext>
      </extLst>
    </cfRule>
  </conditionalFormatting>
  <conditionalFormatting sqref="I15:I44">
    <cfRule type="expression" dxfId="4" priority="11">
      <formula>AND(ISNUMBER($I15),$I15&lt;0)</formula>
    </cfRule>
    <cfRule type="expression" dxfId="3" priority="12">
      <formula>AND(ISNUMBER($I15),$I15&gt;0)</formula>
    </cfRule>
  </conditionalFormatting>
  <conditionalFormatting sqref="B15:J44">
    <cfRule type="expression" dxfId="2" priority="13">
      <formula>$C15&lt;&gt;""</formula>
    </cfRule>
  </conditionalFormatting>
  <conditionalFormatting sqref="H48">
    <cfRule type="cellIs" dxfId="1" priority="14" operator="greaterThan">
      <formula>0</formula>
    </cfRule>
  </conditionalFormatting>
  <conditionalFormatting sqref="H49">
    <cfRule type="cellIs" dxfId="0" priority="15" operator="greaterThan">
      <formula>0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00000000-000E-0000-0000-000008000000}">
            <xm:f>AND(ISNUMBER($B$7),$B$7&gt;=Paramètres!$B$5)</xm:f>
            <x14:dxf>
              <font>
                <b/>
                <sz val="24"/>
                <color rgb="FF006100"/>
                <name val="Arial"/>
                <charset val="1"/>
              </font>
            </x14:dxf>
          </x14:cfRule>
          <x14:cfRule type="expression" priority="9" id="{00000000-000E-0000-0000-000009000000}">
            <xm:f>AND(ISNUMBER($B$7),$B$7&lt;Paramètres!$B$6)</xm:f>
            <x14:dxf>
              <font>
                <b/>
                <sz val="24"/>
                <color rgb="FF9C0006"/>
                <name val="Arial"/>
                <charset val="1"/>
              </font>
            </x14:dxf>
          </x14:cfRule>
          <xm:sqref>B7</xm:sqref>
        </x14:conditionalFormatting>
        <x14:conditionalFormatting xmlns:xm="http://schemas.microsoft.com/office/excel/2006/main">
          <x14:cfRule type="dataBar" id="{729CD4E2-8ECC-4B70-AB17-B2C5E8E01BB7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G15:G44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Calcul!$C$42:$N$42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L70"/>
  <sheetViews>
    <sheetView zoomScaleNormal="100" workbookViewId="0">
      <pane ySplit="10" topLeftCell="A11" activePane="bottomLeft" state="frozen"/>
      <selection pane="bottomLeft" activeCell="C32" sqref="C32"/>
    </sheetView>
  </sheetViews>
  <sheetFormatPr baseColWidth="10" defaultColWidth="8.7109375" defaultRowHeight="15" x14ac:dyDescent="0.25"/>
  <cols>
    <col min="1" max="1" width="34" customWidth="1"/>
    <col min="2" max="2" width="28.7109375" bestFit="1" customWidth="1"/>
    <col min="3" max="4" width="13" customWidth="1"/>
    <col min="5" max="5" width="16" customWidth="1"/>
    <col min="6" max="6" width="70" customWidth="1"/>
    <col min="7" max="7" width="3" customWidth="1"/>
    <col min="8" max="8" width="13" customWidth="1"/>
    <col min="9" max="9" width="52" customWidth="1"/>
    <col min="10" max="10" width="3" customWidth="1"/>
    <col min="11" max="11" width="12" customWidth="1"/>
    <col min="12" max="12" width="6" customWidth="1"/>
  </cols>
  <sheetData>
    <row r="1" spans="1:12" ht="18" x14ac:dyDescent="0.25">
      <c r="A1" s="28" t="s">
        <v>26</v>
      </c>
    </row>
    <row r="2" spans="1:12" x14ac:dyDescent="0.25">
      <c r="A2" s="29" t="s">
        <v>27</v>
      </c>
    </row>
    <row r="4" spans="1:12" x14ac:dyDescent="0.25">
      <c r="A4" s="30" t="s">
        <v>28</v>
      </c>
      <c r="B4" s="31"/>
    </row>
    <row r="5" spans="1:12" x14ac:dyDescent="0.25">
      <c r="A5" s="32" t="s">
        <v>29</v>
      </c>
      <c r="B5" s="33">
        <v>0.7</v>
      </c>
    </row>
    <row r="6" spans="1:12" x14ac:dyDescent="0.25">
      <c r="A6" s="32" t="s">
        <v>30</v>
      </c>
      <c r="B6" s="33">
        <v>0.4</v>
      </c>
    </row>
    <row r="7" spans="1:12" x14ac:dyDescent="0.25">
      <c r="A7" s="32" t="s">
        <v>31</v>
      </c>
      <c r="B7" s="34">
        <v>1</v>
      </c>
      <c r="C7" s="29" t="s">
        <v>32</v>
      </c>
    </row>
    <row r="8" spans="1:12" x14ac:dyDescent="0.25">
      <c r="A8" s="32" t="s">
        <v>33</v>
      </c>
      <c r="B8" s="34">
        <v>2026</v>
      </c>
    </row>
    <row r="9" spans="1:12" x14ac:dyDescent="0.25">
      <c r="H9" s="35" t="s">
        <v>34</v>
      </c>
      <c r="K9" s="35" t="s">
        <v>35</v>
      </c>
    </row>
    <row r="10" spans="1:12" ht="42" customHeight="1" x14ac:dyDescent="0.25">
      <c r="A10" s="36" t="s">
        <v>36</v>
      </c>
      <c r="B10" s="36" t="s">
        <v>11</v>
      </c>
      <c r="C10" s="36" t="s">
        <v>37</v>
      </c>
      <c r="D10" s="36" t="s">
        <v>38</v>
      </c>
      <c r="E10" s="36" t="s">
        <v>39</v>
      </c>
      <c r="F10" s="36" t="s">
        <v>40</v>
      </c>
      <c r="H10" s="37" t="s">
        <v>41</v>
      </c>
      <c r="I10" s="37" t="s">
        <v>42</v>
      </c>
      <c r="K10" s="37" t="s">
        <v>43</v>
      </c>
      <c r="L10" s="37" t="s">
        <v>44</v>
      </c>
    </row>
    <row r="11" spans="1:12" x14ac:dyDescent="0.25">
      <c r="A11" s="65" t="s">
        <v>45</v>
      </c>
      <c r="B11" s="39" t="s">
        <v>1026</v>
      </c>
      <c r="C11" s="40"/>
      <c r="D11" s="40"/>
      <c r="E11" s="39">
        <v>5</v>
      </c>
      <c r="F11" s="41"/>
      <c r="H11" s="42">
        <v>46023</v>
      </c>
      <c r="I11" s="43" t="s">
        <v>46</v>
      </c>
      <c r="K11" s="44" t="s">
        <v>47</v>
      </c>
      <c r="L11" s="44">
        <v>1</v>
      </c>
    </row>
    <row r="12" spans="1:12" x14ac:dyDescent="0.25">
      <c r="A12" s="66" t="s">
        <v>48</v>
      </c>
      <c r="B12" s="39" t="s">
        <v>1027</v>
      </c>
      <c r="C12" s="40"/>
      <c r="D12" s="40">
        <v>46142</v>
      </c>
      <c r="E12" s="39">
        <v>5</v>
      </c>
      <c r="F12" s="41" t="s">
        <v>49</v>
      </c>
      <c r="H12" s="42">
        <v>46101</v>
      </c>
      <c r="I12" s="43" t="s">
        <v>50</v>
      </c>
      <c r="K12" s="44" t="s">
        <v>51</v>
      </c>
      <c r="L12" s="44">
        <v>1</v>
      </c>
    </row>
    <row r="13" spans="1:12" x14ac:dyDescent="0.25">
      <c r="A13" s="65" t="s">
        <v>52</v>
      </c>
      <c r="B13" s="39" t="s">
        <v>1028</v>
      </c>
      <c r="C13" s="40"/>
      <c r="D13" s="40"/>
      <c r="E13" s="39">
        <v>5</v>
      </c>
      <c r="F13" s="41"/>
      <c r="H13" s="42">
        <v>46143</v>
      </c>
      <c r="I13" s="43" t="s">
        <v>53</v>
      </c>
      <c r="K13" s="44" t="s">
        <v>54</v>
      </c>
      <c r="L13" s="44">
        <v>2</v>
      </c>
    </row>
    <row r="14" spans="1:12" x14ac:dyDescent="0.25">
      <c r="A14" s="66" t="s">
        <v>55</v>
      </c>
      <c r="B14" s="39" t="s">
        <v>1029</v>
      </c>
      <c r="C14" s="40">
        <v>46204</v>
      </c>
      <c r="D14" s="40">
        <v>46295</v>
      </c>
      <c r="E14" s="39">
        <v>5</v>
      </c>
      <c r="F14" s="41" t="s">
        <v>56</v>
      </c>
      <c r="H14" s="42">
        <v>46169</v>
      </c>
      <c r="I14" s="43" t="s">
        <v>57</v>
      </c>
      <c r="K14" s="44" t="s">
        <v>58</v>
      </c>
      <c r="L14" s="44">
        <v>2</v>
      </c>
    </row>
    <row r="15" spans="1:12" x14ac:dyDescent="0.25">
      <c r="A15" s="65" t="s">
        <v>59</v>
      </c>
      <c r="B15" s="39" t="s">
        <v>1030</v>
      </c>
      <c r="C15" s="40"/>
      <c r="D15" s="40"/>
      <c r="E15" s="39">
        <v>5</v>
      </c>
      <c r="F15" s="41"/>
      <c r="H15" s="42">
        <v>46170</v>
      </c>
      <c r="I15" s="43" t="s">
        <v>57</v>
      </c>
      <c r="K15" s="44" t="s">
        <v>60</v>
      </c>
      <c r="L15" s="44">
        <v>2</v>
      </c>
    </row>
    <row r="16" spans="1:12" x14ac:dyDescent="0.25">
      <c r="A16" s="65" t="s">
        <v>61</v>
      </c>
      <c r="B16" s="39" t="s">
        <v>1031</v>
      </c>
      <c r="C16" s="40"/>
      <c r="D16" s="40"/>
      <c r="E16" s="39">
        <v>5</v>
      </c>
      <c r="F16" s="41"/>
      <c r="H16" s="42">
        <v>46171</v>
      </c>
      <c r="I16" s="43" t="s">
        <v>57</v>
      </c>
      <c r="K16" s="44" t="s">
        <v>62</v>
      </c>
      <c r="L16" s="44">
        <v>3</v>
      </c>
    </row>
    <row r="17" spans="1:12" x14ac:dyDescent="0.25">
      <c r="A17" s="67" t="s">
        <v>63</v>
      </c>
      <c r="B17" s="39" t="s">
        <v>1027</v>
      </c>
      <c r="C17" s="40">
        <v>46204</v>
      </c>
      <c r="D17" s="40"/>
      <c r="E17" s="39">
        <v>5</v>
      </c>
      <c r="F17" s="41" t="s">
        <v>64</v>
      </c>
      <c r="H17" s="42">
        <v>46244</v>
      </c>
      <c r="I17" s="43" t="s">
        <v>65</v>
      </c>
      <c r="K17" s="44" t="s">
        <v>66</v>
      </c>
      <c r="L17" s="44">
        <v>4</v>
      </c>
    </row>
    <row r="18" spans="1:12" x14ac:dyDescent="0.25">
      <c r="A18" s="65" t="s">
        <v>67</v>
      </c>
      <c r="B18" s="39" t="s">
        <v>1032</v>
      </c>
      <c r="C18" s="40"/>
      <c r="D18" s="40"/>
      <c r="E18" s="39">
        <v>5</v>
      </c>
      <c r="F18" s="41"/>
      <c r="H18" s="42">
        <v>46245</v>
      </c>
      <c r="I18" s="43" t="s">
        <v>65</v>
      </c>
      <c r="K18" s="44" t="s">
        <v>68</v>
      </c>
      <c r="L18" s="44">
        <v>4</v>
      </c>
    </row>
    <row r="19" spans="1:12" x14ac:dyDescent="0.25">
      <c r="A19" s="65" t="s">
        <v>69</v>
      </c>
      <c r="B19" s="39" t="s">
        <v>1033</v>
      </c>
      <c r="C19" s="40"/>
      <c r="D19" s="40"/>
      <c r="E19" s="39">
        <v>5</v>
      </c>
      <c r="F19" s="41"/>
      <c r="H19" s="42">
        <v>46246</v>
      </c>
      <c r="I19" s="43" t="s">
        <v>65</v>
      </c>
      <c r="K19" s="44" t="s">
        <v>70</v>
      </c>
      <c r="L19" s="44">
        <v>5</v>
      </c>
    </row>
    <row r="20" spans="1:12" x14ac:dyDescent="0.25">
      <c r="A20" s="65" t="s">
        <v>71</v>
      </c>
      <c r="B20" s="39" t="s">
        <v>1034</v>
      </c>
      <c r="C20" s="40"/>
      <c r="D20" s="40"/>
      <c r="E20" s="39">
        <v>5</v>
      </c>
      <c r="F20" s="41"/>
      <c r="H20" s="42">
        <v>46247</v>
      </c>
      <c r="I20" s="43" t="s">
        <v>65</v>
      </c>
      <c r="K20" s="44" t="s">
        <v>72</v>
      </c>
      <c r="L20" s="44">
        <v>6</v>
      </c>
    </row>
    <row r="21" spans="1:12" x14ac:dyDescent="0.25">
      <c r="A21" s="65" t="s">
        <v>73</v>
      </c>
      <c r="B21" s="39" t="s">
        <v>1035</v>
      </c>
      <c r="C21" s="40"/>
      <c r="D21" s="40"/>
      <c r="E21" s="39">
        <v>5</v>
      </c>
      <c r="F21" s="41"/>
      <c r="H21" s="42">
        <v>46248</v>
      </c>
      <c r="I21" s="43" t="s">
        <v>65</v>
      </c>
      <c r="K21" s="44" t="s">
        <v>74</v>
      </c>
      <c r="L21" s="44">
        <v>7</v>
      </c>
    </row>
    <row r="22" spans="1:12" x14ac:dyDescent="0.25">
      <c r="A22" s="66" t="s">
        <v>75</v>
      </c>
      <c r="B22" s="39" t="s">
        <v>1036</v>
      </c>
      <c r="C22" s="40"/>
      <c r="D22" s="40">
        <v>46112</v>
      </c>
      <c r="E22" s="39">
        <v>5</v>
      </c>
      <c r="F22" s="41" t="s">
        <v>76</v>
      </c>
      <c r="H22" s="42">
        <v>46251</v>
      </c>
      <c r="I22" s="43" t="s">
        <v>65</v>
      </c>
      <c r="K22" s="44" t="s">
        <v>77</v>
      </c>
      <c r="L22" s="44">
        <v>7</v>
      </c>
    </row>
    <row r="23" spans="1:12" x14ac:dyDescent="0.25">
      <c r="A23" s="67" t="s">
        <v>78</v>
      </c>
      <c r="B23" s="39" t="s">
        <v>1038</v>
      </c>
      <c r="C23" s="40">
        <v>46204</v>
      </c>
      <c r="D23" s="40"/>
      <c r="E23" s="39">
        <v>5</v>
      </c>
      <c r="F23" s="41" t="s">
        <v>79</v>
      </c>
      <c r="H23" s="42">
        <v>46252</v>
      </c>
      <c r="I23" s="43" t="s">
        <v>65</v>
      </c>
      <c r="K23" s="44" t="s">
        <v>80</v>
      </c>
      <c r="L23" s="44">
        <v>8</v>
      </c>
    </row>
    <row r="24" spans="1:12" x14ac:dyDescent="0.25">
      <c r="A24" s="65" t="s">
        <v>81</v>
      </c>
      <c r="B24" s="39" t="s">
        <v>1039</v>
      </c>
      <c r="C24" s="40"/>
      <c r="D24" s="40"/>
      <c r="E24" s="39">
        <v>5</v>
      </c>
      <c r="F24" s="41"/>
      <c r="H24" s="42">
        <v>46253</v>
      </c>
      <c r="I24" s="43" t="s">
        <v>65</v>
      </c>
      <c r="K24" s="44" t="s">
        <v>82</v>
      </c>
      <c r="L24" s="44">
        <v>8</v>
      </c>
    </row>
    <row r="25" spans="1:12" x14ac:dyDescent="0.25">
      <c r="A25" s="65" t="s">
        <v>83</v>
      </c>
      <c r="B25" s="39" t="s">
        <v>1040</v>
      </c>
      <c r="C25" s="40"/>
      <c r="D25" s="40"/>
      <c r="E25" s="39">
        <v>5</v>
      </c>
      <c r="F25" s="41"/>
      <c r="H25" s="42">
        <v>46254</v>
      </c>
      <c r="I25" s="43" t="s">
        <v>65</v>
      </c>
      <c r="K25" s="44" t="s">
        <v>84</v>
      </c>
      <c r="L25" s="44">
        <v>9</v>
      </c>
    </row>
    <row r="26" spans="1:12" x14ac:dyDescent="0.25">
      <c r="A26" s="66" t="s">
        <v>85</v>
      </c>
      <c r="B26" s="39" t="s">
        <v>1037</v>
      </c>
      <c r="C26" s="40"/>
      <c r="D26" s="40">
        <v>46203</v>
      </c>
      <c r="E26" s="39">
        <v>5</v>
      </c>
      <c r="F26" s="41" t="s">
        <v>86</v>
      </c>
      <c r="H26" s="42">
        <v>46255</v>
      </c>
      <c r="I26" s="43" t="s">
        <v>65</v>
      </c>
      <c r="K26" s="44" t="s">
        <v>87</v>
      </c>
      <c r="L26" s="44">
        <v>9</v>
      </c>
    </row>
    <row r="27" spans="1:12" x14ac:dyDescent="0.25">
      <c r="A27" s="65" t="s">
        <v>88</v>
      </c>
      <c r="B27" s="39" t="s">
        <v>1041</v>
      </c>
      <c r="C27" s="40"/>
      <c r="D27" s="40"/>
      <c r="E27" s="39">
        <v>5</v>
      </c>
      <c r="F27" s="41"/>
      <c r="H27" s="42">
        <v>46258</v>
      </c>
      <c r="I27" s="43" t="s">
        <v>65</v>
      </c>
      <c r="K27" s="44" t="s">
        <v>89</v>
      </c>
      <c r="L27" s="44">
        <v>10</v>
      </c>
    </row>
    <row r="28" spans="1:12" x14ac:dyDescent="0.25">
      <c r="A28" s="65" t="s">
        <v>90</v>
      </c>
      <c r="B28" s="39" t="s">
        <v>1042</v>
      </c>
      <c r="C28" s="40"/>
      <c r="D28" s="40"/>
      <c r="E28" s="39">
        <v>5</v>
      </c>
      <c r="F28" s="41"/>
      <c r="H28" s="42">
        <v>46259</v>
      </c>
      <c r="I28" s="43" t="s">
        <v>65</v>
      </c>
      <c r="K28" s="44" t="s">
        <v>91</v>
      </c>
      <c r="L28" s="44">
        <v>10</v>
      </c>
    </row>
    <row r="29" spans="1:12" x14ac:dyDescent="0.25">
      <c r="A29" s="38"/>
      <c r="B29" s="39"/>
      <c r="C29" s="40"/>
      <c r="D29" s="40"/>
      <c r="E29" s="39"/>
      <c r="F29" s="45"/>
      <c r="H29" s="42">
        <v>46260</v>
      </c>
      <c r="I29" s="43" t="s">
        <v>65</v>
      </c>
      <c r="K29" s="44" t="s">
        <v>92</v>
      </c>
      <c r="L29" s="44">
        <v>11</v>
      </c>
    </row>
    <row r="30" spans="1:12" x14ac:dyDescent="0.25">
      <c r="A30" s="38"/>
      <c r="B30" s="39"/>
      <c r="C30" s="40"/>
      <c r="D30" s="40"/>
      <c r="E30" s="39"/>
      <c r="F30" s="45"/>
      <c r="H30" s="42"/>
      <c r="I30" s="43"/>
      <c r="K30" s="44" t="s">
        <v>93</v>
      </c>
      <c r="L30" s="44">
        <v>11</v>
      </c>
    </row>
    <row r="31" spans="1:12" x14ac:dyDescent="0.25">
      <c r="A31" s="38"/>
      <c r="B31" s="39"/>
      <c r="C31" s="40"/>
      <c r="D31" s="40"/>
      <c r="E31" s="39"/>
      <c r="F31" s="45"/>
      <c r="H31" s="42"/>
      <c r="I31" s="43"/>
      <c r="K31" s="44" t="s">
        <v>94</v>
      </c>
      <c r="L31" s="44">
        <v>12</v>
      </c>
    </row>
    <row r="32" spans="1:12" x14ac:dyDescent="0.25">
      <c r="A32" s="38"/>
      <c r="B32" s="39"/>
      <c r="C32" s="40"/>
      <c r="D32" s="40"/>
      <c r="E32" s="39"/>
      <c r="F32" s="45"/>
      <c r="H32" s="42"/>
      <c r="I32" s="43"/>
      <c r="K32" s="44" t="s">
        <v>95</v>
      </c>
      <c r="L32" s="44">
        <v>12</v>
      </c>
    </row>
    <row r="33" spans="1:12" x14ac:dyDescent="0.25">
      <c r="A33" s="38"/>
      <c r="B33" s="39"/>
      <c r="C33" s="40"/>
      <c r="D33" s="40"/>
      <c r="E33" s="39"/>
      <c r="F33" s="45"/>
      <c r="H33" s="42"/>
      <c r="I33" s="43"/>
      <c r="K33" s="44" t="s">
        <v>96</v>
      </c>
      <c r="L33" s="44">
        <v>12</v>
      </c>
    </row>
    <row r="34" spans="1:12" x14ac:dyDescent="0.25">
      <c r="A34" s="38"/>
      <c r="B34" s="39"/>
      <c r="C34" s="40"/>
      <c r="D34" s="40"/>
      <c r="E34" s="39"/>
      <c r="F34" s="45"/>
      <c r="H34" s="42"/>
      <c r="I34" s="43"/>
    </row>
    <row r="35" spans="1:12" x14ac:dyDescent="0.25">
      <c r="A35" s="38"/>
      <c r="B35" s="39"/>
      <c r="C35" s="40"/>
      <c r="D35" s="40"/>
      <c r="E35" s="39"/>
      <c r="F35" s="45"/>
      <c r="H35" s="42"/>
      <c r="I35" s="43"/>
    </row>
    <row r="36" spans="1:12" x14ac:dyDescent="0.25">
      <c r="A36" s="38"/>
      <c r="B36" s="39"/>
      <c r="C36" s="40"/>
      <c r="D36" s="40"/>
      <c r="E36" s="39"/>
      <c r="F36" s="45"/>
      <c r="H36" s="42"/>
      <c r="I36" s="43"/>
    </row>
    <row r="37" spans="1:12" x14ac:dyDescent="0.25">
      <c r="A37" s="38"/>
      <c r="B37" s="39"/>
      <c r="C37" s="40"/>
      <c r="D37" s="40"/>
      <c r="E37" s="39"/>
      <c r="F37" s="45"/>
      <c r="H37" s="42"/>
      <c r="I37" s="43"/>
    </row>
    <row r="38" spans="1:12" x14ac:dyDescent="0.25">
      <c r="A38" s="38"/>
      <c r="B38" s="39"/>
      <c r="C38" s="40"/>
      <c r="D38" s="40"/>
      <c r="E38" s="39"/>
      <c r="F38" s="45"/>
      <c r="H38" s="42"/>
      <c r="I38" s="43"/>
    </row>
    <row r="39" spans="1:12" x14ac:dyDescent="0.25">
      <c r="A39" s="38"/>
      <c r="B39" s="39"/>
      <c r="C39" s="40"/>
      <c r="D39" s="40"/>
      <c r="E39" s="39"/>
      <c r="F39" s="45"/>
      <c r="H39" s="42"/>
      <c r="I39" s="43"/>
    </row>
    <row r="40" spans="1:12" x14ac:dyDescent="0.25">
      <c r="A40" s="38"/>
      <c r="B40" s="39"/>
      <c r="C40" s="40"/>
      <c r="D40" s="40"/>
      <c r="E40" s="39"/>
      <c r="F40" s="45"/>
      <c r="H40" s="42"/>
      <c r="I40" s="43"/>
    </row>
    <row r="41" spans="1:12" ht="24" customHeight="1" x14ac:dyDescent="0.25">
      <c r="A41" s="1" t="s">
        <v>97</v>
      </c>
      <c r="B41" s="1"/>
      <c r="C41" s="1"/>
      <c r="D41" s="1"/>
      <c r="E41" s="1"/>
      <c r="F41" s="1"/>
      <c r="H41" s="42"/>
      <c r="I41" s="43"/>
    </row>
    <row r="42" spans="1:12" x14ac:dyDescent="0.25">
      <c r="A42" s="1"/>
      <c r="B42" s="1"/>
      <c r="C42" s="1"/>
      <c r="D42" s="1"/>
      <c r="E42" s="1"/>
      <c r="F42" s="1"/>
      <c r="H42" s="42"/>
      <c r="I42" s="43"/>
    </row>
    <row r="43" spans="1:12" x14ac:dyDescent="0.25">
      <c r="H43" s="42"/>
      <c r="I43" s="43"/>
    </row>
    <row r="44" spans="1:12" x14ac:dyDescent="0.25">
      <c r="H44" s="42"/>
      <c r="I44" s="43"/>
    </row>
    <row r="45" spans="1:12" x14ac:dyDescent="0.25">
      <c r="H45" s="42"/>
      <c r="I45" s="43"/>
    </row>
    <row r="46" spans="1:12" x14ac:dyDescent="0.25">
      <c r="H46" s="42"/>
      <c r="I46" s="43"/>
    </row>
    <row r="47" spans="1:12" x14ac:dyDescent="0.25">
      <c r="H47" s="42"/>
      <c r="I47" s="43"/>
    </row>
    <row r="48" spans="1:12" x14ac:dyDescent="0.25">
      <c r="H48" s="42"/>
      <c r="I48" s="43"/>
    </row>
    <row r="49" spans="8:9" x14ac:dyDescent="0.25">
      <c r="H49" s="42"/>
      <c r="I49" s="43"/>
    </row>
    <row r="50" spans="8:9" x14ac:dyDescent="0.25">
      <c r="H50" s="42"/>
      <c r="I50" s="43"/>
    </row>
    <row r="51" spans="8:9" x14ac:dyDescent="0.25">
      <c r="H51" s="42"/>
      <c r="I51" s="43"/>
    </row>
    <row r="52" spans="8:9" x14ac:dyDescent="0.25">
      <c r="H52" s="42"/>
      <c r="I52" s="43"/>
    </row>
    <row r="53" spans="8:9" x14ac:dyDescent="0.25">
      <c r="H53" s="42"/>
      <c r="I53" s="43"/>
    </row>
    <row r="54" spans="8:9" x14ac:dyDescent="0.25">
      <c r="H54" s="42"/>
      <c r="I54" s="43"/>
    </row>
    <row r="55" spans="8:9" x14ac:dyDescent="0.25">
      <c r="H55" s="42"/>
      <c r="I55" s="43"/>
    </row>
    <row r="56" spans="8:9" x14ac:dyDescent="0.25">
      <c r="H56" s="42"/>
      <c r="I56" s="43"/>
    </row>
    <row r="57" spans="8:9" x14ac:dyDescent="0.25">
      <c r="H57" s="42"/>
      <c r="I57" s="43"/>
    </row>
    <row r="58" spans="8:9" x14ac:dyDescent="0.25">
      <c r="H58" s="42"/>
      <c r="I58" s="43"/>
    </row>
    <row r="59" spans="8:9" x14ac:dyDescent="0.25">
      <c r="H59" s="42"/>
      <c r="I59" s="43"/>
    </row>
    <row r="60" spans="8:9" x14ac:dyDescent="0.25">
      <c r="H60" s="42"/>
      <c r="I60" s="43"/>
    </row>
    <row r="61" spans="8:9" x14ac:dyDescent="0.25">
      <c r="H61" s="42"/>
      <c r="I61" s="43"/>
    </row>
    <row r="62" spans="8:9" x14ac:dyDescent="0.25">
      <c r="H62" s="42"/>
      <c r="I62" s="43"/>
    </row>
    <row r="63" spans="8:9" x14ac:dyDescent="0.25">
      <c r="H63" s="42"/>
      <c r="I63" s="43"/>
    </row>
    <row r="64" spans="8:9" x14ac:dyDescent="0.25">
      <c r="H64" s="42"/>
      <c r="I64" s="43"/>
    </row>
    <row r="65" spans="8:9" x14ac:dyDescent="0.25">
      <c r="H65" s="42"/>
      <c r="I65" s="43"/>
    </row>
    <row r="66" spans="8:9" x14ac:dyDescent="0.25">
      <c r="H66" s="42"/>
      <c r="I66" s="43"/>
    </row>
    <row r="67" spans="8:9" x14ac:dyDescent="0.25">
      <c r="H67" s="42"/>
      <c r="I67" s="43"/>
    </row>
    <row r="68" spans="8:9" x14ac:dyDescent="0.25">
      <c r="H68" s="42"/>
      <c r="I68" s="43"/>
    </row>
    <row r="69" spans="8:9" x14ac:dyDescent="0.25">
      <c r="H69" s="42"/>
      <c r="I69" s="43"/>
    </row>
    <row r="70" spans="8:9" x14ac:dyDescent="0.25">
      <c r="H70" s="42"/>
      <c r="I70" s="43"/>
    </row>
  </sheetData>
  <mergeCells count="1">
    <mergeCell ref="A41:F4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7"/>
  </sheetPr>
  <dimension ref="A1:N3001"/>
  <sheetViews>
    <sheetView zoomScaleNormal="100" workbookViewId="0">
      <pane ySplit="1" topLeftCell="A2" activePane="bottomLeft" state="frozen"/>
      <selection pane="bottomLeft" activeCell="B139" sqref="B139"/>
    </sheetView>
  </sheetViews>
  <sheetFormatPr baseColWidth="10" defaultColWidth="8.7109375" defaultRowHeight="15" x14ac:dyDescent="0.25"/>
  <cols>
    <col min="1" max="1" width="14" customWidth="1"/>
    <col min="2" max="2" width="24" customWidth="1"/>
    <col min="3" max="3" width="30" customWidth="1"/>
    <col min="4" max="4" width="24" customWidth="1"/>
    <col min="5" max="5" width="10" customWidth="1"/>
    <col min="6" max="6" width="7" customWidth="1"/>
    <col min="7" max="7" width="8" customWidth="1"/>
    <col min="8" max="8" width="12" customWidth="1"/>
    <col min="9" max="9" width="14" customWidth="1"/>
    <col min="10" max="10" width="10" customWidth="1"/>
    <col min="11" max="11" width="30.28515625" customWidth="1"/>
    <col min="12" max="12" width="14" customWidth="1"/>
  </cols>
  <sheetData>
    <row r="1" spans="1:14" ht="45" customHeight="1" x14ac:dyDescent="0.25">
      <c r="A1" s="46" t="s">
        <v>98</v>
      </c>
      <c r="B1" s="46" t="s">
        <v>99</v>
      </c>
      <c r="C1" s="46" t="s">
        <v>100</v>
      </c>
      <c r="D1" s="47" t="s">
        <v>101</v>
      </c>
      <c r="E1" s="47" t="s">
        <v>102</v>
      </c>
      <c r="F1" s="47" t="s">
        <v>103</v>
      </c>
      <c r="G1" s="47" t="s">
        <v>104</v>
      </c>
      <c r="H1" s="47" t="s">
        <v>41</v>
      </c>
      <c r="I1" s="47" t="s">
        <v>105</v>
      </c>
      <c r="J1" s="47" t="s">
        <v>106</v>
      </c>
      <c r="K1" s="47" t="s">
        <v>107</v>
      </c>
      <c r="L1" s="47" t="s">
        <v>108</v>
      </c>
      <c r="N1" s="48" t="s">
        <v>109</v>
      </c>
    </row>
    <row r="2" spans="1:14" hidden="1" x14ac:dyDescent="0.25">
      <c r="A2" s="49"/>
      <c r="B2" s="49" t="s">
        <v>69</v>
      </c>
      <c r="C2" s="49" t="s">
        <v>110</v>
      </c>
      <c r="D2" s="50" t="str">
        <f t="shared" ref="D2:D65" si="0">IF(B2="","",TRIM(B2))</f>
        <v>Mina Moussa</v>
      </c>
      <c r="E2" s="50" t="str">
        <f t="shared" ref="E2:E65" si="1">IF($C2="","",LEFT($C2,FIND(" ",$C2)-1))</f>
        <v>janv</v>
      </c>
      <c r="F2" s="50">
        <f t="shared" ref="F2:F65" si="2">IF($C2="","",IFERROR(VALUE(LEFT(MID($C2,FIND(" ",$C2)+1,20),FIND(" ",MID($C2,FIND(" ",$C2)+1,20))-1)),"?"))</f>
        <v>2</v>
      </c>
      <c r="G2" s="50">
        <f t="shared" ref="G2:G65" si="3">IF($C2="","",IFERROR(VALUE(MID(MID($C2,FIND(" ",$C2)+1,20),FIND(" ",MID($C2,FIND(" ",$C2)+1,20))+1,4)),"?"))</f>
        <v>2026</v>
      </c>
      <c r="H2" s="51">
        <f>IF($C2="","",IFERROR(DATE(G2,VLOOKUP(E2,Paramètres!$K$11:$L$40,2,FALSE()),F2),"?"))</f>
        <v>46024</v>
      </c>
      <c r="I2" s="50">
        <f>IF(ISNUMBER(H2),IF(COUNTIFS($D$2:D2,D2,$H$2:H2,H2)=1,1,0),"")</f>
        <v>1</v>
      </c>
      <c r="J2" s="50">
        <f>IF(ISNUMBER(H2),IFERROR(INDEX(Calendrier!$C$2:$C$367,MATCH(H2,Calendrier!$A$2:$A$367,0)),0),"")</f>
        <v>1</v>
      </c>
      <c r="K2" s="50">
        <f t="shared" ref="K2:K65" si="4">IF(ISNUMBER(H2),I2*J2,"")</f>
        <v>1</v>
      </c>
      <c r="L2" s="50">
        <f>IF(D2="","",IF(COUNTIF(Paramètres!$A$11:$A$40,D2)&gt;0,1,0))</f>
        <v>1</v>
      </c>
    </row>
    <row r="3" spans="1:14" hidden="1" x14ac:dyDescent="0.25">
      <c r="A3" s="49"/>
      <c r="B3" s="49" t="s">
        <v>69</v>
      </c>
      <c r="C3" s="49" t="s">
        <v>111</v>
      </c>
      <c r="D3" s="50" t="str">
        <f t="shared" si="0"/>
        <v>Mina Moussa</v>
      </c>
      <c r="E3" s="50" t="str">
        <f t="shared" si="1"/>
        <v>janv</v>
      </c>
      <c r="F3" s="50">
        <f t="shared" si="2"/>
        <v>2</v>
      </c>
      <c r="G3" s="50">
        <f t="shared" si="3"/>
        <v>2026</v>
      </c>
      <c r="H3" s="51">
        <f>IF($C3="","",IFERROR(DATE(G3,VLOOKUP(E3,Paramètres!$K$11:$L$40,2,FALSE()),F3),"?"))</f>
        <v>46024</v>
      </c>
      <c r="I3" s="50">
        <f>IF(ISNUMBER(H3),IF(COUNTIFS($D$2:D3,D3,$H$2:H3,H3)=1,1,0),"")</f>
        <v>0</v>
      </c>
      <c r="J3" s="50">
        <f>IF(ISNUMBER(H3),IFERROR(INDEX(Calendrier!$C$2:$C$367,MATCH(H3,Calendrier!$A$2:$A$367,0)),0),"")</f>
        <v>1</v>
      </c>
      <c r="K3" s="50">
        <f t="shared" si="4"/>
        <v>0</v>
      </c>
      <c r="L3" s="50">
        <f>IF(D3="","",IF(COUNTIF(Paramètres!$A$11:$A$40,D3)&gt;0,1,0))</f>
        <v>1</v>
      </c>
    </row>
    <row r="4" spans="1:14" hidden="1" x14ac:dyDescent="0.25">
      <c r="A4" s="49"/>
      <c r="B4" s="49" t="s">
        <v>69</v>
      </c>
      <c r="C4" s="49" t="s">
        <v>112</v>
      </c>
      <c r="D4" s="50" t="str">
        <f t="shared" si="0"/>
        <v>Mina Moussa</v>
      </c>
      <c r="E4" s="50" t="str">
        <f t="shared" si="1"/>
        <v>janv</v>
      </c>
      <c r="F4" s="50">
        <f t="shared" si="2"/>
        <v>2</v>
      </c>
      <c r="G4" s="50">
        <f t="shared" si="3"/>
        <v>2026</v>
      </c>
      <c r="H4" s="51">
        <f>IF($C4="","",IFERROR(DATE(G4,VLOOKUP(E4,Paramètres!$K$11:$L$40,2,FALSE()),F4),"?"))</f>
        <v>46024</v>
      </c>
      <c r="I4" s="50">
        <f>IF(ISNUMBER(H4),IF(COUNTIFS($D$2:D4,D4,$H$2:H4,H4)=1,1,0),"")</f>
        <v>0</v>
      </c>
      <c r="J4" s="50">
        <f>IF(ISNUMBER(H4),IFERROR(INDEX(Calendrier!$C$2:$C$367,MATCH(H4,Calendrier!$A$2:$A$367,0)),0),"")</f>
        <v>1</v>
      </c>
      <c r="K4" s="50">
        <f t="shared" si="4"/>
        <v>0</v>
      </c>
      <c r="L4" s="50">
        <f>IF(D4="","",IF(COUNTIF(Paramètres!$A$11:$A$40,D4)&gt;0,1,0))</f>
        <v>1</v>
      </c>
    </row>
    <row r="5" spans="1:14" hidden="1" x14ac:dyDescent="0.25">
      <c r="A5" s="49"/>
      <c r="B5" s="49" t="s">
        <v>69</v>
      </c>
      <c r="C5" s="49" t="s">
        <v>113</v>
      </c>
      <c r="D5" s="50" t="str">
        <f t="shared" si="0"/>
        <v>Mina Moussa</v>
      </c>
      <c r="E5" s="50" t="str">
        <f t="shared" si="1"/>
        <v>janv</v>
      </c>
      <c r="F5" s="50">
        <f t="shared" si="2"/>
        <v>2</v>
      </c>
      <c r="G5" s="50">
        <f t="shared" si="3"/>
        <v>2026</v>
      </c>
      <c r="H5" s="51">
        <f>IF($C5="","",IFERROR(DATE(G5,VLOOKUP(E5,Paramètres!$K$11:$L$40,2,FALSE()),F5),"?"))</f>
        <v>46024</v>
      </c>
      <c r="I5" s="50">
        <f>IF(ISNUMBER(H5),IF(COUNTIFS($D$2:D5,D5,$H$2:H5,H5)=1,1,0),"")</f>
        <v>0</v>
      </c>
      <c r="J5" s="50">
        <f>IF(ISNUMBER(H5),IFERROR(INDEX(Calendrier!$C$2:$C$367,MATCH(H5,Calendrier!$A$2:$A$367,0)),0),"")</f>
        <v>1</v>
      </c>
      <c r="K5" s="50">
        <f t="shared" si="4"/>
        <v>0</v>
      </c>
      <c r="L5" s="50">
        <f>IF(D5="","",IF(COUNTIF(Paramètres!$A$11:$A$40,D5)&gt;0,1,0))</f>
        <v>1</v>
      </c>
    </row>
    <row r="6" spans="1:14" hidden="1" x14ac:dyDescent="0.25">
      <c r="A6" s="49"/>
      <c r="B6" s="49" t="s">
        <v>69</v>
      </c>
      <c r="C6" s="49" t="s">
        <v>114</v>
      </c>
      <c r="D6" s="50" t="str">
        <f t="shared" si="0"/>
        <v>Mina Moussa</v>
      </c>
      <c r="E6" s="50" t="str">
        <f t="shared" si="1"/>
        <v>janv</v>
      </c>
      <c r="F6" s="50">
        <f t="shared" si="2"/>
        <v>2</v>
      </c>
      <c r="G6" s="50">
        <f t="shared" si="3"/>
        <v>2026</v>
      </c>
      <c r="H6" s="51">
        <f>IF($C6="","",IFERROR(DATE(G6,VLOOKUP(E6,Paramètres!$K$11:$L$40,2,FALSE()),F6),"?"))</f>
        <v>46024</v>
      </c>
      <c r="I6" s="50">
        <f>IF(ISNUMBER(H6),IF(COUNTIFS($D$2:D6,D6,$H$2:H6,H6)=1,1,0),"")</f>
        <v>0</v>
      </c>
      <c r="J6" s="50">
        <f>IF(ISNUMBER(H6),IFERROR(INDEX(Calendrier!$C$2:$C$367,MATCH(H6,Calendrier!$A$2:$A$367,0)),0),"")</f>
        <v>1</v>
      </c>
      <c r="K6" s="50">
        <f t="shared" si="4"/>
        <v>0</v>
      </c>
      <c r="L6" s="50">
        <f>IF(D6="","",IF(COUNTIF(Paramètres!$A$11:$A$40,D6)&gt;0,1,0))</f>
        <v>1</v>
      </c>
    </row>
    <row r="7" spans="1:14" hidden="1" x14ac:dyDescent="0.25">
      <c r="A7" s="49"/>
      <c r="B7" s="49" t="s">
        <v>69</v>
      </c>
      <c r="C7" s="49" t="s">
        <v>115</v>
      </c>
      <c r="D7" s="50" t="str">
        <f t="shared" si="0"/>
        <v>Mina Moussa</v>
      </c>
      <c r="E7" s="50" t="str">
        <f t="shared" si="1"/>
        <v>janv</v>
      </c>
      <c r="F7" s="50">
        <f t="shared" si="2"/>
        <v>5</v>
      </c>
      <c r="G7" s="50">
        <f t="shared" si="3"/>
        <v>2026</v>
      </c>
      <c r="H7" s="51">
        <f>IF($C7="","",IFERROR(DATE(G7,VLOOKUP(E7,Paramètres!$K$11:$L$40,2,FALSE()),F7),"?"))</f>
        <v>46027</v>
      </c>
      <c r="I7" s="50">
        <f>IF(ISNUMBER(H7),IF(COUNTIFS($D$2:D7,D7,$H$2:H7,H7)=1,1,0),"")</f>
        <v>1</v>
      </c>
      <c r="J7" s="50">
        <f>IF(ISNUMBER(H7),IFERROR(INDEX(Calendrier!$C$2:$C$367,MATCH(H7,Calendrier!$A$2:$A$367,0)),0),"")</f>
        <v>1</v>
      </c>
      <c r="K7" s="50">
        <f t="shared" si="4"/>
        <v>1</v>
      </c>
      <c r="L7" s="50">
        <f>IF(D7="","",IF(COUNTIF(Paramètres!$A$11:$A$40,D7)&gt;0,1,0))</f>
        <v>1</v>
      </c>
    </row>
    <row r="8" spans="1:14" hidden="1" x14ac:dyDescent="0.25">
      <c r="A8" s="49"/>
      <c r="B8" s="49" t="s">
        <v>69</v>
      </c>
      <c r="C8" s="49" t="s">
        <v>116</v>
      </c>
      <c r="D8" s="50" t="str">
        <f t="shared" si="0"/>
        <v>Mina Moussa</v>
      </c>
      <c r="E8" s="50" t="str">
        <f t="shared" si="1"/>
        <v>janv</v>
      </c>
      <c r="F8" s="50">
        <f t="shared" si="2"/>
        <v>6</v>
      </c>
      <c r="G8" s="50">
        <f t="shared" si="3"/>
        <v>2026</v>
      </c>
      <c r="H8" s="51">
        <f>IF($C8="","",IFERROR(DATE(G8,VLOOKUP(E8,Paramètres!$K$11:$L$40,2,FALSE()),F8),"?"))</f>
        <v>46028</v>
      </c>
      <c r="I8" s="50">
        <f>IF(ISNUMBER(H8),IF(COUNTIFS($D$2:D8,D8,$H$2:H8,H8)=1,1,0),"")</f>
        <v>1</v>
      </c>
      <c r="J8" s="50">
        <f>IF(ISNUMBER(H8),IFERROR(INDEX(Calendrier!$C$2:$C$367,MATCH(H8,Calendrier!$A$2:$A$367,0)),0),"")</f>
        <v>1</v>
      </c>
      <c r="K8" s="50">
        <f t="shared" si="4"/>
        <v>1</v>
      </c>
      <c r="L8" s="50">
        <f>IF(D8="","",IF(COUNTIF(Paramètres!$A$11:$A$40,D8)&gt;0,1,0))</f>
        <v>1</v>
      </c>
    </row>
    <row r="9" spans="1:14" hidden="1" x14ac:dyDescent="0.25">
      <c r="A9" s="49"/>
      <c r="B9" s="49" t="s">
        <v>69</v>
      </c>
      <c r="C9" s="49" t="s">
        <v>117</v>
      </c>
      <c r="D9" s="50" t="str">
        <f t="shared" si="0"/>
        <v>Mina Moussa</v>
      </c>
      <c r="E9" s="50" t="str">
        <f t="shared" si="1"/>
        <v>janv</v>
      </c>
      <c r="F9" s="50">
        <f t="shared" si="2"/>
        <v>7</v>
      </c>
      <c r="G9" s="50">
        <f t="shared" si="3"/>
        <v>2026</v>
      </c>
      <c r="H9" s="51">
        <f>IF($C9="","",IFERROR(DATE(G9,VLOOKUP(E9,Paramètres!$K$11:$L$40,2,FALSE()),F9),"?"))</f>
        <v>46029</v>
      </c>
      <c r="I9" s="50">
        <f>IF(ISNUMBER(H9),IF(COUNTIFS($D$2:D9,D9,$H$2:H9,H9)=1,1,0),"")</f>
        <v>1</v>
      </c>
      <c r="J9" s="50">
        <f>IF(ISNUMBER(H9),IFERROR(INDEX(Calendrier!$C$2:$C$367,MATCH(H9,Calendrier!$A$2:$A$367,0)),0),"")</f>
        <v>1</v>
      </c>
      <c r="K9" s="50">
        <f t="shared" si="4"/>
        <v>1</v>
      </c>
      <c r="L9" s="50">
        <f>IF(D9="","",IF(COUNTIF(Paramètres!$A$11:$A$40,D9)&gt;0,1,0))</f>
        <v>1</v>
      </c>
    </row>
    <row r="10" spans="1:14" hidden="1" x14ac:dyDescent="0.25">
      <c r="A10" s="49"/>
      <c r="B10" s="49" t="s">
        <v>69</v>
      </c>
      <c r="C10" s="49" t="s">
        <v>118</v>
      </c>
      <c r="D10" s="50" t="str">
        <f t="shared" si="0"/>
        <v>Mina Moussa</v>
      </c>
      <c r="E10" s="50" t="str">
        <f t="shared" si="1"/>
        <v>janv</v>
      </c>
      <c r="F10" s="50">
        <f t="shared" si="2"/>
        <v>7</v>
      </c>
      <c r="G10" s="50">
        <f t="shared" si="3"/>
        <v>2026</v>
      </c>
      <c r="H10" s="51">
        <f>IF($C10="","",IFERROR(DATE(G10,VLOOKUP(E10,Paramètres!$K$11:$L$40,2,FALSE()),F10),"?"))</f>
        <v>46029</v>
      </c>
      <c r="I10" s="50">
        <f>IF(ISNUMBER(H10),IF(COUNTIFS($D$2:D10,D10,$H$2:H10,H10)=1,1,0),"")</f>
        <v>0</v>
      </c>
      <c r="J10" s="50">
        <f>IF(ISNUMBER(H10),IFERROR(INDEX(Calendrier!$C$2:$C$367,MATCH(H10,Calendrier!$A$2:$A$367,0)),0),"")</f>
        <v>1</v>
      </c>
      <c r="K10" s="50">
        <f t="shared" si="4"/>
        <v>0</v>
      </c>
      <c r="L10" s="50">
        <f>IF(D10="","",IF(COUNTIF(Paramètres!$A$11:$A$40,D10)&gt;0,1,0))</f>
        <v>1</v>
      </c>
    </row>
    <row r="11" spans="1:14" hidden="1" x14ac:dyDescent="0.25">
      <c r="A11" s="49"/>
      <c r="B11" s="49" t="s">
        <v>69</v>
      </c>
      <c r="C11" s="49" t="s">
        <v>119</v>
      </c>
      <c r="D11" s="50" t="str">
        <f t="shared" si="0"/>
        <v>Mina Moussa</v>
      </c>
      <c r="E11" s="50" t="str">
        <f t="shared" si="1"/>
        <v>janv</v>
      </c>
      <c r="F11" s="50">
        <f t="shared" si="2"/>
        <v>7</v>
      </c>
      <c r="G11" s="50">
        <f t="shared" si="3"/>
        <v>2026</v>
      </c>
      <c r="H11" s="51">
        <f>IF($C11="","",IFERROR(DATE(G11,VLOOKUP(E11,Paramètres!$K$11:$L$40,2,FALSE()),F11),"?"))</f>
        <v>46029</v>
      </c>
      <c r="I11" s="50">
        <f>IF(ISNUMBER(H11),IF(COUNTIFS($D$2:D11,D11,$H$2:H11,H11)=1,1,0),"")</f>
        <v>0</v>
      </c>
      <c r="J11" s="50">
        <f>IF(ISNUMBER(H11),IFERROR(INDEX(Calendrier!$C$2:$C$367,MATCH(H11,Calendrier!$A$2:$A$367,0)),0),"")</f>
        <v>1</v>
      </c>
      <c r="K11" s="50">
        <f t="shared" si="4"/>
        <v>0</v>
      </c>
      <c r="L11" s="50">
        <f>IF(D11="","",IF(COUNTIF(Paramètres!$A$11:$A$40,D11)&gt;0,1,0))</f>
        <v>1</v>
      </c>
    </row>
    <row r="12" spans="1:14" hidden="1" x14ac:dyDescent="0.25">
      <c r="A12" s="49"/>
      <c r="B12" s="49" t="s">
        <v>69</v>
      </c>
      <c r="C12" s="49" t="s">
        <v>120</v>
      </c>
      <c r="D12" s="50" t="str">
        <f t="shared" si="0"/>
        <v>Mina Moussa</v>
      </c>
      <c r="E12" s="50" t="str">
        <f t="shared" si="1"/>
        <v>janv</v>
      </c>
      <c r="F12" s="50">
        <f t="shared" si="2"/>
        <v>7</v>
      </c>
      <c r="G12" s="50">
        <f t="shared" si="3"/>
        <v>2026</v>
      </c>
      <c r="H12" s="51">
        <f>IF($C12="","",IFERROR(DATE(G12,VLOOKUP(E12,Paramètres!$K$11:$L$40,2,FALSE()),F12),"?"))</f>
        <v>46029</v>
      </c>
      <c r="I12" s="50">
        <f>IF(ISNUMBER(H12),IF(COUNTIFS($D$2:D12,D12,$H$2:H12,H12)=1,1,0),"")</f>
        <v>0</v>
      </c>
      <c r="J12" s="50">
        <f>IF(ISNUMBER(H12),IFERROR(INDEX(Calendrier!$C$2:$C$367,MATCH(H12,Calendrier!$A$2:$A$367,0)),0),"")</f>
        <v>1</v>
      </c>
      <c r="K12" s="50">
        <f t="shared" si="4"/>
        <v>0</v>
      </c>
      <c r="L12" s="50">
        <f>IF(D12="","",IF(COUNTIF(Paramètres!$A$11:$A$40,D12)&gt;0,1,0))</f>
        <v>1</v>
      </c>
    </row>
    <row r="13" spans="1:14" hidden="1" x14ac:dyDescent="0.25">
      <c r="A13" s="49"/>
      <c r="B13" s="49" t="s">
        <v>69</v>
      </c>
      <c r="C13" s="49" t="s">
        <v>121</v>
      </c>
      <c r="D13" s="50" t="str">
        <f t="shared" si="0"/>
        <v>Mina Moussa</v>
      </c>
      <c r="E13" s="50" t="str">
        <f t="shared" si="1"/>
        <v>janv</v>
      </c>
      <c r="F13" s="50">
        <f t="shared" si="2"/>
        <v>7</v>
      </c>
      <c r="G13" s="50">
        <f t="shared" si="3"/>
        <v>2026</v>
      </c>
      <c r="H13" s="51">
        <f>IF($C13="","",IFERROR(DATE(G13,VLOOKUP(E13,Paramètres!$K$11:$L$40,2,FALSE()),F13),"?"))</f>
        <v>46029</v>
      </c>
      <c r="I13" s="50">
        <f>IF(ISNUMBER(H13),IF(COUNTIFS($D$2:D13,D13,$H$2:H13,H13)=1,1,0),"")</f>
        <v>0</v>
      </c>
      <c r="J13" s="50">
        <f>IF(ISNUMBER(H13),IFERROR(INDEX(Calendrier!$C$2:$C$367,MATCH(H13,Calendrier!$A$2:$A$367,0)),0),"")</f>
        <v>1</v>
      </c>
      <c r="K13" s="50">
        <f t="shared" si="4"/>
        <v>0</v>
      </c>
      <c r="L13" s="50">
        <f>IF(D13="","",IF(COUNTIF(Paramètres!$A$11:$A$40,D13)&gt;0,1,0))</f>
        <v>1</v>
      </c>
    </row>
    <row r="14" spans="1:14" hidden="1" x14ac:dyDescent="0.25">
      <c r="A14" s="49"/>
      <c r="B14" s="49" t="s">
        <v>69</v>
      </c>
      <c r="C14" s="49" t="s">
        <v>122</v>
      </c>
      <c r="D14" s="50" t="str">
        <f t="shared" si="0"/>
        <v>Mina Moussa</v>
      </c>
      <c r="E14" s="50" t="str">
        <f t="shared" si="1"/>
        <v>janv</v>
      </c>
      <c r="F14" s="50">
        <f t="shared" si="2"/>
        <v>7</v>
      </c>
      <c r="G14" s="50">
        <f t="shared" si="3"/>
        <v>2026</v>
      </c>
      <c r="H14" s="51">
        <f>IF($C14="","",IFERROR(DATE(G14,VLOOKUP(E14,Paramètres!$K$11:$L$40,2,FALSE()),F14),"?"))</f>
        <v>46029</v>
      </c>
      <c r="I14" s="50">
        <f>IF(ISNUMBER(H14),IF(COUNTIFS($D$2:D14,D14,$H$2:H14,H14)=1,1,0),"")</f>
        <v>0</v>
      </c>
      <c r="J14" s="50">
        <f>IF(ISNUMBER(H14),IFERROR(INDEX(Calendrier!$C$2:$C$367,MATCH(H14,Calendrier!$A$2:$A$367,0)),0),"")</f>
        <v>1</v>
      </c>
      <c r="K14" s="50">
        <f t="shared" si="4"/>
        <v>0</v>
      </c>
      <c r="L14" s="50">
        <f>IF(D14="","",IF(COUNTIF(Paramètres!$A$11:$A$40,D14)&gt;0,1,0))</f>
        <v>1</v>
      </c>
    </row>
    <row r="15" spans="1:14" hidden="1" x14ac:dyDescent="0.25">
      <c r="A15" s="49"/>
      <c r="B15" s="49" t="s">
        <v>69</v>
      </c>
      <c r="C15" s="49" t="s">
        <v>123</v>
      </c>
      <c r="D15" s="50" t="str">
        <f t="shared" si="0"/>
        <v>Mina Moussa</v>
      </c>
      <c r="E15" s="50" t="str">
        <f t="shared" si="1"/>
        <v>janv</v>
      </c>
      <c r="F15" s="50">
        <f t="shared" si="2"/>
        <v>8</v>
      </c>
      <c r="G15" s="50">
        <f t="shared" si="3"/>
        <v>2026</v>
      </c>
      <c r="H15" s="51">
        <f>IF($C15="","",IFERROR(DATE(G15,VLOOKUP(E15,Paramètres!$K$11:$L$40,2,FALSE()),F15),"?"))</f>
        <v>46030</v>
      </c>
      <c r="I15" s="50">
        <f>IF(ISNUMBER(H15),IF(COUNTIFS($D$2:D15,D15,$H$2:H15,H15)=1,1,0),"")</f>
        <v>1</v>
      </c>
      <c r="J15" s="50">
        <f>IF(ISNUMBER(H15),IFERROR(INDEX(Calendrier!$C$2:$C$367,MATCH(H15,Calendrier!$A$2:$A$367,0)),0),"")</f>
        <v>1</v>
      </c>
      <c r="K15" s="50">
        <f t="shared" si="4"/>
        <v>1</v>
      </c>
      <c r="L15" s="50">
        <f>IF(D15="","",IF(COUNTIF(Paramètres!$A$11:$A$40,D15)&gt;0,1,0))</f>
        <v>1</v>
      </c>
    </row>
    <row r="16" spans="1:14" hidden="1" x14ac:dyDescent="0.25">
      <c r="A16" s="49"/>
      <c r="B16" s="49" t="s">
        <v>69</v>
      </c>
      <c r="C16" s="49" t="s">
        <v>124</v>
      </c>
      <c r="D16" s="50" t="str">
        <f t="shared" si="0"/>
        <v>Mina Moussa</v>
      </c>
      <c r="E16" s="50" t="str">
        <f t="shared" si="1"/>
        <v>janv</v>
      </c>
      <c r="F16" s="50">
        <f t="shared" si="2"/>
        <v>8</v>
      </c>
      <c r="G16" s="50">
        <f t="shared" si="3"/>
        <v>2026</v>
      </c>
      <c r="H16" s="51">
        <f>IF($C16="","",IFERROR(DATE(G16,VLOOKUP(E16,Paramètres!$K$11:$L$40,2,FALSE()),F16),"?"))</f>
        <v>46030</v>
      </c>
      <c r="I16" s="50">
        <f>IF(ISNUMBER(H16),IF(COUNTIFS($D$2:D16,D16,$H$2:H16,H16)=1,1,0),"")</f>
        <v>0</v>
      </c>
      <c r="J16" s="50">
        <f>IF(ISNUMBER(H16),IFERROR(INDEX(Calendrier!$C$2:$C$367,MATCH(H16,Calendrier!$A$2:$A$367,0)),0),"")</f>
        <v>1</v>
      </c>
      <c r="K16" s="50">
        <f t="shared" si="4"/>
        <v>0</v>
      </c>
      <c r="L16" s="50">
        <f>IF(D16="","",IF(COUNTIF(Paramètres!$A$11:$A$40,D16)&gt;0,1,0))</f>
        <v>1</v>
      </c>
    </row>
    <row r="17" spans="1:12" hidden="1" x14ac:dyDescent="0.25">
      <c r="A17" s="49"/>
      <c r="B17" s="49" t="s">
        <v>69</v>
      </c>
      <c r="C17" s="49" t="s">
        <v>125</v>
      </c>
      <c r="D17" s="50" t="str">
        <f t="shared" si="0"/>
        <v>Mina Moussa</v>
      </c>
      <c r="E17" s="50" t="str">
        <f t="shared" si="1"/>
        <v>janv</v>
      </c>
      <c r="F17" s="50">
        <f t="shared" si="2"/>
        <v>8</v>
      </c>
      <c r="G17" s="50">
        <f t="shared" si="3"/>
        <v>2026</v>
      </c>
      <c r="H17" s="51">
        <f>IF($C17="","",IFERROR(DATE(G17,VLOOKUP(E17,Paramètres!$K$11:$L$40,2,FALSE()),F17),"?"))</f>
        <v>46030</v>
      </c>
      <c r="I17" s="50">
        <f>IF(ISNUMBER(H17),IF(COUNTIFS($D$2:D17,D17,$H$2:H17,H17)=1,1,0),"")</f>
        <v>0</v>
      </c>
      <c r="J17" s="50">
        <f>IF(ISNUMBER(H17),IFERROR(INDEX(Calendrier!$C$2:$C$367,MATCH(H17,Calendrier!$A$2:$A$367,0)),0),"")</f>
        <v>1</v>
      </c>
      <c r="K17" s="50">
        <f t="shared" si="4"/>
        <v>0</v>
      </c>
      <c r="L17" s="50">
        <f>IF(D17="","",IF(COUNTIF(Paramètres!$A$11:$A$40,D17)&gt;0,1,0))</f>
        <v>1</v>
      </c>
    </row>
    <row r="18" spans="1:12" hidden="1" x14ac:dyDescent="0.25">
      <c r="A18" s="49"/>
      <c r="B18" s="49" t="s">
        <v>69</v>
      </c>
      <c r="C18" s="49" t="s">
        <v>126</v>
      </c>
      <c r="D18" s="50" t="str">
        <f t="shared" si="0"/>
        <v>Mina Moussa</v>
      </c>
      <c r="E18" s="50" t="str">
        <f t="shared" si="1"/>
        <v>janv</v>
      </c>
      <c r="F18" s="50">
        <f t="shared" si="2"/>
        <v>12</v>
      </c>
      <c r="G18" s="50">
        <f t="shared" si="3"/>
        <v>2026</v>
      </c>
      <c r="H18" s="51">
        <f>IF($C18="","",IFERROR(DATE(G18,VLOOKUP(E18,Paramètres!$K$11:$L$40,2,FALSE()),F18),"?"))</f>
        <v>46034</v>
      </c>
      <c r="I18" s="50">
        <f>IF(ISNUMBER(H18),IF(COUNTIFS($D$2:D18,D18,$H$2:H18,H18)=1,1,0),"")</f>
        <v>1</v>
      </c>
      <c r="J18" s="50">
        <f>IF(ISNUMBER(H18),IFERROR(INDEX(Calendrier!$C$2:$C$367,MATCH(H18,Calendrier!$A$2:$A$367,0)),0),"")</f>
        <v>1</v>
      </c>
      <c r="K18" s="50">
        <f t="shared" si="4"/>
        <v>1</v>
      </c>
      <c r="L18" s="50">
        <f>IF(D18="","",IF(COUNTIF(Paramètres!$A$11:$A$40,D18)&gt;0,1,0))</f>
        <v>1</v>
      </c>
    </row>
    <row r="19" spans="1:12" hidden="1" x14ac:dyDescent="0.25">
      <c r="A19" s="49"/>
      <c r="B19" s="49" t="s">
        <v>69</v>
      </c>
      <c r="C19" s="49" t="s">
        <v>127</v>
      </c>
      <c r="D19" s="50" t="str">
        <f t="shared" si="0"/>
        <v>Mina Moussa</v>
      </c>
      <c r="E19" s="50" t="str">
        <f t="shared" si="1"/>
        <v>janv</v>
      </c>
      <c r="F19" s="50">
        <f t="shared" si="2"/>
        <v>13</v>
      </c>
      <c r="G19" s="50">
        <f t="shared" si="3"/>
        <v>2026</v>
      </c>
      <c r="H19" s="51">
        <f>IF($C19="","",IFERROR(DATE(G19,VLOOKUP(E19,Paramètres!$K$11:$L$40,2,FALSE()),F19),"?"))</f>
        <v>46035</v>
      </c>
      <c r="I19" s="50">
        <f>IF(ISNUMBER(H19),IF(COUNTIFS($D$2:D19,D19,$H$2:H19,H19)=1,1,0),"")</f>
        <v>1</v>
      </c>
      <c r="J19" s="50">
        <f>IF(ISNUMBER(H19),IFERROR(INDEX(Calendrier!$C$2:$C$367,MATCH(H19,Calendrier!$A$2:$A$367,0)),0),"")</f>
        <v>1</v>
      </c>
      <c r="K19" s="50">
        <f t="shared" si="4"/>
        <v>1</v>
      </c>
      <c r="L19" s="50">
        <f>IF(D19="","",IF(COUNTIF(Paramètres!$A$11:$A$40,D19)&gt;0,1,0))</f>
        <v>1</v>
      </c>
    </row>
    <row r="20" spans="1:12" hidden="1" x14ac:dyDescent="0.25">
      <c r="A20" s="49"/>
      <c r="B20" s="49" t="s">
        <v>69</v>
      </c>
      <c r="C20" s="49" t="s">
        <v>128</v>
      </c>
      <c r="D20" s="50" t="str">
        <f t="shared" si="0"/>
        <v>Mina Moussa</v>
      </c>
      <c r="E20" s="50" t="str">
        <f t="shared" si="1"/>
        <v>janv</v>
      </c>
      <c r="F20" s="50">
        <f t="shared" si="2"/>
        <v>13</v>
      </c>
      <c r="G20" s="50">
        <f t="shared" si="3"/>
        <v>2026</v>
      </c>
      <c r="H20" s="51">
        <f>IF($C20="","",IFERROR(DATE(G20,VLOOKUP(E20,Paramètres!$K$11:$L$40,2,FALSE()),F20),"?"))</f>
        <v>46035</v>
      </c>
      <c r="I20" s="50">
        <f>IF(ISNUMBER(H20),IF(COUNTIFS($D$2:D20,D20,$H$2:H20,H20)=1,1,0),"")</f>
        <v>0</v>
      </c>
      <c r="J20" s="50">
        <f>IF(ISNUMBER(H20),IFERROR(INDEX(Calendrier!$C$2:$C$367,MATCH(H20,Calendrier!$A$2:$A$367,0)),0),"")</f>
        <v>1</v>
      </c>
      <c r="K20" s="50">
        <f t="shared" si="4"/>
        <v>0</v>
      </c>
      <c r="L20" s="50">
        <f>IF(D20="","",IF(COUNTIF(Paramètres!$A$11:$A$40,D20)&gt;0,1,0))</f>
        <v>1</v>
      </c>
    </row>
    <row r="21" spans="1:12" hidden="1" x14ac:dyDescent="0.25">
      <c r="A21" s="49"/>
      <c r="B21" s="49" t="s">
        <v>69</v>
      </c>
      <c r="C21" s="49" t="s">
        <v>129</v>
      </c>
      <c r="D21" s="50" t="str">
        <f t="shared" si="0"/>
        <v>Mina Moussa</v>
      </c>
      <c r="E21" s="50" t="str">
        <f t="shared" si="1"/>
        <v>janv</v>
      </c>
      <c r="F21" s="50">
        <f t="shared" si="2"/>
        <v>14</v>
      </c>
      <c r="G21" s="50">
        <f t="shared" si="3"/>
        <v>2026</v>
      </c>
      <c r="H21" s="51">
        <f>IF($C21="","",IFERROR(DATE(G21,VLOOKUP(E21,Paramètres!$K$11:$L$40,2,FALSE()),F21),"?"))</f>
        <v>46036</v>
      </c>
      <c r="I21" s="50">
        <f>IF(ISNUMBER(H21),IF(COUNTIFS($D$2:D21,D21,$H$2:H21,H21)=1,1,0),"")</f>
        <v>1</v>
      </c>
      <c r="J21" s="50">
        <f>IF(ISNUMBER(H21),IFERROR(INDEX(Calendrier!$C$2:$C$367,MATCH(H21,Calendrier!$A$2:$A$367,0)),0),"")</f>
        <v>1</v>
      </c>
      <c r="K21" s="50">
        <f t="shared" si="4"/>
        <v>1</v>
      </c>
      <c r="L21" s="50">
        <f>IF(D21="","",IF(COUNTIF(Paramètres!$A$11:$A$40,D21)&gt;0,1,0))</f>
        <v>1</v>
      </c>
    </row>
    <row r="22" spans="1:12" hidden="1" x14ac:dyDescent="0.25">
      <c r="A22" s="49"/>
      <c r="B22" s="49" t="s">
        <v>69</v>
      </c>
      <c r="C22" s="49" t="s">
        <v>130</v>
      </c>
      <c r="D22" s="50" t="str">
        <f t="shared" si="0"/>
        <v>Mina Moussa</v>
      </c>
      <c r="E22" s="50" t="str">
        <f t="shared" si="1"/>
        <v>janv</v>
      </c>
      <c r="F22" s="50">
        <f t="shared" si="2"/>
        <v>15</v>
      </c>
      <c r="G22" s="50">
        <f t="shared" si="3"/>
        <v>2026</v>
      </c>
      <c r="H22" s="51">
        <f>IF($C22="","",IFERROR(DATE(G22,VLOOKUP(E22,Paramètres!$K$11:$L$40,2,FALSE()),F22),"?"))</f>
        <v>46037</v>
      </c>
      <c r="I22" s="50">
        <f>IF(ISNUMBER(H22),IF(COUNTIFS($D$2:D22,D22,$H$2:H22,H22)=1,1,0),"")</f>
        <v>1</v>
      </c>
      <c r="J22" s="50">
        <f>IF(ISNUMBER(H22),IFERROR(INDEX(Calendrier!$C$2:$C$367,MATCH(H22,Calendrier!$A$2:$A$367,0)),0),"")</f>
        <v>1</v>
      </c>
      <c r="K22" s="50">
        <f t="shared" si="4"/>
        <v>1</v>
      </c>
      <c r="L22" s="50">
        <f>IF(D22="","",IF(COUNTIF(Paramètres!$A$11:$A$40,D22)&gt;0,1,0))</f>
        <v>1</v>
      </c>
    </row>
    <row r="23" spans="1:12" hidden="1" x14ac:dyDescent="0.25">
      <c r="A23" s="49"/>
      <c r="B23" s="49" t="s">
        <v>69</v>
      </c>
      <c r="C23" s="49" t="s">
        <v>131</v>
      </c>
      <c r="D23" s="50" t="str">
        <f t="shared" si="0"/>
        <v>Mina Moussa</v>
      </c>
      <c r="E23" s="50" t="str">
        <f t="shared" si="1"/>
        <v>janv</v>
      </c>
      <c r="F23" s="50">
        <f t="shared" si="2"/>
        <v>16</v>
      </c>
      <c r="G23" s="50">
        <f t="shared" si="3"/>
        <v>2026</v>
      </c>
      <c r="H23" s="51">
        <f>IF($C23="","",IFERROR(DATE(G23,VLOOKUP(E23,Paramètres!$K$11:$L$40,2,FALSE()),F23),"?"))</f>
        <v>46038</v>
      </c>
      <c r="I23" s="50">
        <f>IF(ISNUMBER(H23),IF(COUNTIFS($D$2:D23,D23,$H$2:H23,H23)=1,1,0),"")</f>
        <v>1</v>
      </c>
      <c r="J23" s="50">
        <f>IF(ISNUMBER(H23),IFERROR(INDEX(Calendrier!$C$2:$C$367,MATCH(H23,Calendrier!$A$2:$A$367,0)),0),"")</f>
        <v>1</v>
      </c>
      <c r="K23" s="50">
        <f t="shared" si="4"/>
        <v>1</v>
      </c>
      <c r="L23" s="50">
        <f>IF(D23="","",IF(COUNTIF(Paramètres!$A$11:$A$40,D23)&gt;0,1,0))</f>
        <v>1</v>
      </c>
    </row>
    <row r="24" spans="1:12" hidden="1" x14ac:dyDescent="0.25">
      <c r="A24" s="49"/>
      <c r="B24" s="49" t="s">
        <v>69</v>
      </c>
      <c r="C24" s="49" t="s">
        <v>132</v>
      </c>
      <c r="D24" s="50" t="str">
        <f t="shared" si="0"/>
        <v>Mina Moussa</v>
      </c>
      <c r="E24" s="50" t="str">
        <f t="shared" si="1"/>
        <v>janv</v>
      </c>
      <c r="F24" s="50">
        <f t="shared" si="2"/>
        <v>17</v>
      </c>
      <c r="G24" s="50">
        <f t="shared" si="3"/>
        <v>2026</v>
      </c>
      <c r="H24" s="51">
        <f>IF($C24="","",IFERROR(DATE(G24,VLOOKUP(E24,Paramètres!$K$11:$L$40,2,FALSE()),F24),"?"))</f>
        <v>46039</v>
      </c>
      <c r="I24" s="50">
        <f>IF(ISNUMBER(H24),IF(COUNTIFS($D$2:D24,D24,$H$2:H24,H24)=1,1,0),"")</f>
        <v>1</v>
      </c>
      <c r="J24" s="50">
        <f>IF(ISNUMBER(H24),IFERROR(INDEX(Calendrier!$C$2:$C$367,MATCH(H24,Calendrier!$A$2:$A$367,0)),0),"")</f>
        <v>0</v>
      </c>
      <c r="K24" s="50">
        <f t="shared" si="4"/>
        <v>0</v>
      </c>
      <c r="L24" s="50">
        <f>IF(D24="","",IF(COUNTIF(Paramètres!$A$11:$A$40,D24)&gt;0,1,0))</f>
        <v>1</v>
      </c>
    </row>
    <row r="25" spans="1:12" hidden="1" x14ac:dyDescent="0.25">
      <c r="A25" s="49"/>
      <c r="B25" s="49" t="s">
        <v>69</v>
      </c>
      <c r="C25" s="49" t="s">
        <v>133</v>
      </c>
      <c r="D25" s="50" t="str">
        <f t="shared" si="0"/>
        <v>Mina Moussa</v>
      </c>
      <c r="E25" s="50" t="str">
        <f t="shared" si="1"/>
        <v>janv</v>
      </c>
      <c r="F25" s="50">
        <f t="shared" si="2"/>
        <v>20</v>
      </c>
      <c r="G25" s="50">
        <f t="shared" si="3"/>
        <v>2026</v>
      </c>
      <c r="H25" s="51">
        <f>IF($C25="","",IFERROR(DATE(G25,VLOOKUP(E25,Paramètres!$K$11:$L$40,2,FALSE()),F25),"?"))</f>
        <v>46042</v>
      </c>
      <c r="I25" s="50">
        <f>IF(ISNUMBER(H25),IF(COUNTIFS($D$2:D25,D25,$H$2:H25,H25)=1,1,0),"")</f>
        <v>1</v>
      </c>
      <c r="J25" s="50">
        <f>IF(ISNUMBER(H25),IFERROR(INDEX(Calendrier!$C$2:$C$367,MATCH(H25,Calendrier!$A$2:$A$367,0)),0),"")</f>
        <v>1</v>
      </c>
      <c r="K25" s="50">
        <f t="shared" si="4"/>
        <v>1</v>
      </c>
      <c r="L25" s="50">
        <f>IF(D25="","",IF(COUNTIF(Paramètres!$A$11:$A$40,D25)&gt;0,1,0))</f>
        <v>1</v>
      </c>
    </row>
    <row r="26" spans="1:12" hidden="1" x14ac:dyDescent="0.25">
      <c r="A26" s="49"/>
      <c r="B26" s="49" t="s">
        <v>69</v>
      </c>
      <c r="C26" s="49" t="s">
        <v>134</v>
      </c>
      <c r="D26" s="50" t="str">
        <f t="shared" si="0"/>
        <v>Mina Moussa</v>
      </c>
      <c r="E26" s="50" t="str">
        <f t="shared" si="1"/>
        <v>janv</v>
      </c>
      <c r="F26" s="50">
        <f t="shared" si="2"/>
        <v>21</v>
      </c>
      <c r="G26" s="50">
        <f t="shared" si="3"/>
        <v>2026</v>
      </c>
      <c r="H26" s="51">
        <f>IF($C26="","",IFERROR(DATE(G26,VLOOKUP(E26,Paramètres!$K$11:$L$40,2,FALSE()),F26),"?"))</f>
        <v>46043</v>
      </c>
      <c r="I26" s="50">
        <f>IF(ISNUMBER(H26),IF(COUNTIFS($D$2:D26,D26,$H$2:H26,H26)=1,1,0),"")</f>
        <v>1</v>
      </c>
      <c r="J26" s="50">
        <f>IF(ISNUMBER(H26),IFERROR(INDEX(Calendrier!$C$2:$C$367,MATCH(H26,Calendrier!$A$2:$A$367,0)),0),"")</f>
        <v>1</v>
      </c>
      <c r="K26" s="50">
        <f t="shared" si="4"/>
        <v>1</v>
      </c>
      <c r="L26" s="50">
        <f>IF(D26="","",IF(COUNTIF(Paramètres!$A$11:$A$40,D26)&gt;0,1,0))</f>
        <v>1</v>
      </c>
    </row>
    <row r="27" spans="1:12" hidden="1" x14ac:dyDescent="0.25">
      <c r="A27" s="49"/>
      <c r="B27" s="49" t="s">
        <v>69</v>
      </c>
      <c r="C27" s="49" t="s">
        <v>135</v>
      </c>
      <c r="D27" s="50" t="str">
        <f t="shared" si="0"/>
        <v>Mina Moussa</v>
      </c>
      <c r="E27" s="50" t="str">
        <f t="shared" si="1"/>
        <v>janv</v>
      </c>
      <c r="F27" s="50">
        <f t="shared" si="2"/>
        <v>22</v>
      </c>
      <c r="G27" s="50">
        <f t="shared" si="3"/>
        <v>2026</v>
      </c>
      <c r="H27" s="51">
        <f>IF($C27="","",IFERROR(DATE(G27,VLOOKUP(E27,Paramètres!$K$11:$L$40,2,FALSE()),F27),"?"))</f>
        <v>46044</v>
      </c>
      <c r="I27" s="50">
        <f>IF(ISNUMBER(H27),IF(COUNTIFS($D$2:D27,D27,$H$2:H27,H27)=1,1,0),"")</f>
        <v>1</v>
      </c>
      <c r="J27" s="50">
        <f>IF(ISNUMBER(H27),IFERROR(INDEX(Calendrier!$C$2:$C$367,MATCH(H27,Calendrier!$A$2:$A$367,0)),0),"")</f>
        <v>1</v>
      </c>
      <c r="K27" s="50">
        <f t="shared" si="4"/>
        <v>1</v>
      </c>
      <c r="L27" s="50">
        <f>IF(D27="","",IF(COUNTIF(Paramètres!$A$11:$A$40,D27)&gt;0,1,0))</f>
        <v>1</v>
      </c>
    </row>
    <row r="28" spans="1:12" hidden="1" x14ac:dyDescent="0.25">
      <c r="A28" s="49"/>
      <c r="B28" s="49" t="s">
        <v>69</v>
      </c>
      <c r="C28" s="49" t="s">
        <v>136</v>
      </c>
      <c r="D28" s="50" t="str">
        <f t="shared" si="0"/>
        <v>Mina Moussa</v>
      </c>
      <c r="E28" s="50" t="str">
        <f t="shared" si="1"/>
        <v>janv</v>
      </c>
      <c r="F28" s="50">
        <f t="shared" si="2"/>
        <v>22</v>
      </c>
      <c r="G28" s="50">
        <f t="shared" si="3"/>
        <v>2026</v>
      </c>
      <c r="H28" s="51">
        <f>IF($C28="","",IFERROR(DATE(G28,VLOOKUP(E28,Paramètres!$K$11:$L$40,2,FALSE()),F28),"?"))</f>
        <v>46044</v>
      </c>
      <c r="I28" s="50">
        <f>IF(ISNUMBER(H28),IF(COUNTIFS($D$2:D28,D28,$H$2:H28,H28)=1,1,0),"")</f>
        <v>0</v>
      </c>
      <c r="J28" s="50">
        <f>IF(ISNUMBER(H28),IFERROR(INDEX(Calendrier!$C$2:$C$367,MATCH(H28,Calendrier!$A$2:$A$367,0)),0),"")</f>
        <v>1</v>
      </c>
      <c r="K28" s="50">
        <f t="shared" si="4"/>
        <v>0</v>
      </c>
      <c r="L28" s="50">
        <f>IF(D28="","",IF(COUNTIF(Paramètres!$A$11:$A$40,D28)&gt;0,1,0))</f>
        <v>1</v>
      </c>
    </row>
    <row r="29" spans="1:12" hidden="1" x14ac:dyDescent="0.25">
      <c r="A29" s="49"/>
      <c r="B29" s="49" t="s">
        <v>69</v>
      </c>
      <c r="C29" s="49" t="s">
        <v>137</v>
      </c>
      <c r="D29" s="50" t="str">
        <f t="shared" si="0"/>
        <v>Mina Moussa</v>
      </c>
      <c r="E29" s="50" t="str">
        <f t="shared" si="1"/>
        <v>janv</v>
      </c>
      <c r="F29" s="50">
        <f t="shared" si="2"/>
        <v>23</v>
      </c>
      <c r="G29" s="50">
        <f t="shared" si="3"/>
        <v>2026</v>
      </c>
      <c r="H29" s="51">
        <f>IF($C29="","",IFERROR(DATE(G29,VLOOKUP(E29,Paramètres!$K$11:$L$40,2,FALSE()),F29),"?"))</f>
        <v>46045</v>
      </c>
      <c r="I29" s="50">
        <f>IF(ISNUMBER(H29),IF(COUNTIFS($D$2:D29,D29,$H$2:H29,H29)=1,1,0),"")</f>
        <v>1</v>
      </c>
      <c r="J29" s="50">
        <f>IF(ISNUMBER(H29),IFERROR(INDEX(Calendrier!$C$2:$C$367,MATCH(H29,Calendrier!$A$2:$A$367,0)),0),"")</f>
        <v>1</v>
      </c>
      <c r="K29" s="50">
        <f t="shared" si="4"/>
        <v>1</v>
      </c>
      <c r="L29" s="50">
        <f>IF(D29="","",IF(COUNTIF(Paramètres!$A$11:$A$40,D29)&gt;0,1,0))</f>
        <v>1</v>
      </c>
    </row>
    <row r="30" spans="1:12" hidden="1" x14ac:dyDescent="0.25">
      <c r="A30" s="49"/>
      <c r="B30" s="49" t="s">
        <v>69</v>
      </c>
      <c r="C30" s="49" t="s">
        <v>138</v>
      </c>
      <c r="D30" s="50" t="str">
        <f t="shared" si="0"/>
        <v>Mina Moussa</v>
      </c>
      <c r="E30" s="50" t="str">
        <f t="shared" si="1"/>
        <v>janv</v>
      </c>
      <c r="F30" s="50">
        <f t="shared" si="2"/>
        <v>23</v>
      </c>
      <c r="G30" s="50">
        <f t="shared" si="3"/>
        <v>2026</v>
      </c>
      <c r="H30" s="51">
        <f>IF($C30="","",IFERROR(DATE(G30,VLOOKUP(E30,Paramètres!$K$11:$L$40,2,FALSE()),F30),"?"))</f>
        <v>46045</v>
      </c>
      <c r="I30" s="50">
        <f>IF(ISNUMBER(H30),IF(COUNTIFS($D$2:D30,D30,$H$2:H30,H30)=1,1,0),"")</f>
        <v>0</v>
      </c>
      <c r="J30" s="50">
        <f>IF(ISNUMBER(H30),IFERROR(INDEX(Calendrier!$C$2:$C$367,MATCH(H30,Calendrier!$A$2:$A$367,0)),0),"")</f>
        <v>1</v>
      </c>
      <c r="K30" s="50">
        <f t="shared" si="4"/>
        <v>0</v>
      </c>
      <c r="L30" s="50">
        <f>IF(D30="","",IF(COUNTIF(Paramètres!$A$11:$A$40,D30)&gt;0,1,0))</f>
        <v>1</v>
      </c>
    </row>
    <row r="31" spans="1:12" hidden="1" x14ac:dyDescent="0.25">
      <c r="A31" s="49"/>
      <c r="B31" s="49" t="s">
        <v>69</v>
      </c>
      <c r="C31" s="49" t="s">
        <v>139</v>
      </c>
      <c r="D31" s="50" t="str">
        <f t="shared" si="0"/>
        <v>Mina Moussa</v>
      </c>
      <c r="E31" s="50" t="str">
        <f t="shared" si="1"/>
        <v>janv</v>
      </c>
      <c r="F31" s="50">
        <f t="shared" si="2"/>
        <v>23</v>
      </c>
      <c r="G31" s="50">
        <f t="shared" si="3"/>
        <v>2026</v>
      </c>
      <c r="H31" s="51">
        <f>IF($C31="","",IFERROR(DATE(G31,VLOOKUP(E31,Paramètres!$K$11:$L$40,2,FALSE()),F31),"?"))</f>
        <v>46045</v>
      </c>
      <c r="I31" s="50">
        <f>IF(ISNUMBER(H31),IF(COUNTIFS($D$2:D31,D31,$H$2:H31,H31)=1,1,0),"")</f>
        <v>0</v>
      </c>
      <c r="J31" s="50">
        <f>IF(ISNUMBER(H31),IFERROR(INDEX(Calendrier!$C$2:$C$367,MATCH(H31,Calendrier!$A$2:$A$367,0)),0),"")</f>
        <v>1</v>
      </c>
      <c r="K31" s="50">
        <f t="shared" si="4"/>
        <v>0</v>
      </c>
      <c r="L31" s="50">
        <f>IF(D31="","",IF(COUNTIF(Paramètres!$A$11:$A$40,D31)&gt;0,1,0))</f>
        <v>1</v>
      </c>
    </row>
    <row r="32" spans="1:12" hidden="1" x14ac:dyDescent="0.25">
      <c r="A32" s="49"/>
      <c r="B32" s="49" t="s">
        <v>69</v>
      </c>
      <c r="C32" s="49" t="s">
        <v>140</v>
      </c>
      <c r="D32" s="50" t="str">
        <f t="shared" si="0"/>
        <v>Mina Moussa</v>
      </c>
      <c r="E32" s="50" t="str">
        <f t="shared" si="1"/>
        <v>janv</v>
      </c>
      <c r="F32" s="50">
        <f t="shared" si="2"/>
        <v>27</v>
      </c>
      <c r="G32" s="50">
        <f t="shared" si="3"/>
        <v>2026</v>
      </c>
      <c r="H32" s="51">
        <f>IF($C32="","",IFERROR(DATE(G32,VLOOKUP(E32,Paramètres!$K$11:$L$40,2,FALSE()),F32),"?"))</f>
        <v>46049</v>
      </c>
      <c r="I32" s="50">
        <f>IF(ISNUMBER(H32),IF(COUNTIFS($D$2:D32,D32,$H$2:H32,H32)=1,1,0),"")</f>
        <v>1</v>
      </c>
      <c r="J32" s="50">
        <f>IF(ISNUMBER(H32),IFERROR(INDEX(Calendrier!$C$2:$C$367,MATCH(H32,Calendrier!$A$2:$A$367,0)),0),"")</f>
        <v>1</v>
      </c>
      <c r="K32" s="50">
        <f t="shared" si="4"/>
        <v>1</v>
      </c>
      <c r="L32" s="50">
        <f>IF(D32="","",IF(COUNTIF(Paramètres!$A$11:$A$40,D32)&gt;0,1,0))</f>
        <v>1</v>
      </c>
    </row>
    <row r="33" spans="1:12" hidden="1" x14ac:dyDescent="0.25">
      <c r="A33" s="49"/>
      <c r="B33" s="49" t="s">
        <v>69</v>
      </c>
      <c r="C33" s="49" t="s">
        <v>141</v>
      </c>
      <c r="D33" s="50" t="str">
        <f t="shared" si="0"/>
        <v>Mina Moussa</v>
      </c>
      <c r="E33" s="50" t="str">
        <f t="shared" si="1"/>
        <v>janv</v>
      </c>
      <c r="F33" s="50">
        <f t="shared" si="2"/>
        <v>28</v>
      </c>
      <c r="G33" s="50">
        <f t="shared" si="3"/>
        <v>2026</v>
      </c>
      <c r="H33" s="51">
        <f>IF($C33="","",IFERROR(DATE(G33,VLOOKUP(E33,Paramètres!$K$11:$L$40,2,FALSE()),F33),"?"))</f>
        <v>46050</v>
      </c>
      <c r="I33" s="50">
        <f>IF(ISNUMBER(H33),IF(COUNTIFS($D$2:D33,D33,$H$2:H33,H33)=1,1,0),"")</f>
        <v>1</v>
      </c>
      <c r="J33" s="50">
        <f>IF(ISNUMBER(H33),IFERROR(INDEX(Calendrier!$C$2:$C$367,MATCH(H33,Calendrier!$A$2:$A$367,0)),0),"")</f>
        <v>1</v>
      </c>
      <c r="K33" s="50">
        <f t="shared" si="4"/>
        <v>1</v>
      </c>
      <c r="L33" s="50">
        <f>IF(D33="","",IF(COUNTIF(Paramètres!$A$11:$A$40,D33)&gt;0,1,0))</f>
        <v>1</v>
      </c>
    </row>
    <row r="34" spans="1:12" hidden="1" x14ac:dyDescent="0.25">
      <c r="A34" s="49"/>
      <c r="B34" s="49" t="s">
        <v>69</v>
      </c>
      <c r="C34" s="49" t="s">
        <v>142</v>
      </c>
      <c r="D34" s="50" t="str">
        <f t="shared" si="0"/>
        <v>Mina Moussa</v>
      </c>
      <c r="E34" s="50" t="str">
        <f t="shared" si="1"/>
        <v>janv</v>
      </c>
      <c r="F34" s="50">
        <f t="shared" si="2"/>
        <v>28</v>
      </c>
      <c r="G34" s="50">
        <f t="shared" si="3"/>
        <v>2026</v>
      </c>
      <c r="H34" s="51">
        <f>IF($C34="","",IFERROR(DATE(G34,VLOOKUP(E34,Paramètres!$K$11:$L$40,2,FALSE()),F34),"?"))</f>
        <v>46050</v>
      </c>
      <c r="I34" s="50">
        <f>IF(ISNUMBER(H34),IF(COUNTIFS($D$2:D34,D34,$H$2:H34,H34)=1,1,0),"")</f>
        <v>0</v>
      </c>
      <c r="J34" s="50">
        <f>IF(ISNUMBER(H34),IFERROR(INDEX(Calendrier!$C$2:$C$367,MATCH(H34,Calendrier!$A$2:$A$367,0)),0),"")</f>
        <v>1</v>
      </c>
      <c r="K34" s="50">
        <f t="shared" si="4"/>
        <v>0</v>
      </c>
      <c r="L34" s="50">
        <f>IF(D34="","",IF(COUNTIF(Paramètres!$A$11:$A$40,D34)&gt;0,1,0))</f>
        <v>1</v>
      </c>
    </row>
    <row r="35" spans="1:12" hidden="1" x14ac:dyDescent="0.25">
      <c r="A35" s="49"/>
      <c r="B35" s="49" t="s">
        <v>69</v>
      </c>
      <c r="C35" s="49" t="s">
        <v>143</v>
      </c>
      <c r="D35" s="50" t="str">
        <f t="shared" si="0"/>
        <v>Mina Moussa</v>
      </c>
      <c r="E35" s="50" t="str">
        <f t="shared" si="1"/>
        <v>janv</v>
      </c>
      <c r="F35" s="50">
        <f t="shared" si="2"/>
        <v>28</v>
      </c>
      <c r="G35" s="50">
        <f t="shared" si="3"/>
        <v>2026</v>
      </c>
      <c r="H35" s="51">
        <f>IF($C35="","",IFERROR(DATE(G35,VLOOKUP(E35,Paramètres!$K$11:$L$40,2,FALSE()),F35),"?"))</f>
        <v>46050</v>
      </c>
      <c r="I35" s="50">
        <f>IF(ISNUMBER(H35),IF(COUNTIFS($D$2:D35,D35,$H$2:H35,H35)=1,1,0),"")</f>
        <v>0</v>
      </c>
      <c r="J35" s="50">
        <f>IF(ISNUMBER(H35),IFERROR(INDEX(Calendrier!$C$2:$C$367,MATCH(H35,Calendrier!$A$2:$A$367,0)),0),"")</f>
        <v>1</v>
      </c>
      <c r="K35" s="50">
        <f t="shared" si="4"/>
        <v>0</v>
      </c>
      <c r="L35" s="50">
        <f>IF(D35="","",IF(COUNTIF(Paramètres!$A$11:$A$40,D35)&gt;0,1,0))</f>
        <v>1</v>
      </c>
    </row>
    <row r="36" spans="1:12" hidden="1" x14ac:dyDescent="0.25">
      <c r="A36" s="49"/>
      <c r="B36" s="49" t="s">
        <v>69</v>
      </c>
      <c r="C36" s="49" t="s">
        <v>144</v>
      </c>
      <c r="D36" s="50" t="str">
        <f t="shared" si="0"/>
        <v>Mina Moussa</v>
      </c>
      <c r="E36" s="50" t="str">
        <f t="shared" si="1"/>
        <v>janv</v>
      </c>
      <c r="F36" s="50">
        <f t="shared" si="2"/>
        <v>28</v>
      </c>
      <c r="G36" s="50">
        <f t="shared" si="3"/>
        <v>2026</v>
      </c>
      <c r="H36" s="51">
        <f>IF($C36="","",IFERROR(DATE(G36,VLOOKUP(E36,Paramètres!$K$11:$L$40,2,FALSE()),F36),"?"))</f>
        <v>46050</v>
      </c>
      <c r="I36" s="50">
        <f>IF(ISNUMBER(H36),IF(COUNTIFS($D$2:D36,D36,$H$2:H36,H36)=1,1,0),"")</f>
        <v>0</v>
      </c>
      <c r="J36" s="50">
        <f>IF(ISNUMBER(H36),IFERROR(INDEX(Calendrier!$C$2:$C$367,MATCH(H36,Calendrier!$A$2:$A$367,0)),0),"")</f>
        <v>1</v>
      </c>
      <c r="K36" s="50">
        <f t="shared" si="4"/>
        <v>0</v>
      </c>
      <c r="L36" s="50">
        <f>IF(D36="","",IF(COUNTIF(Paramètres!$A$11:$A$40,D36)&gt;0,1,0))</f>
        <v>1</v>
      </c>
    </row>
    <row r="37" spans="1:12" hidden="1" x14ac:dyDescent="0.25">
      <c r="A37" s="49"/>
      <c r="B37" s="49" t="s">
        <v>69</v>
      </c>
      <c r="C37" s="49" t="s">
        <v>145</v>
      </c>
      <c r="D37" s="50" t="str">
        <f t="shared" si="0"/>
        <v>Mina Moussa</v>
      </c>
      <c r="E37" s="50" t="str">
        <f t="shared" si="1"/>
        <v>janv</v>
      </c>
      <c r="F37" s="50">
        <f t="shared" si="2"/>
        <v>29</v>
      </c>
      <c r="G37" s="50">
        <f t="shared" si="3"/>
        <v>2026</v>
      </c>
      <c r="H37" s="51">
        <f>IF($C37="","",IFERROR(DATE(G37,VLOOKUP(E37,Paramètres!$K$11:$L$40,2,FALSE()),F37),"?"))</f>
        <v>46051</v>
      </c>
      <c r="I37" s="50">
        <f>IF(ISNUMBER(H37),IF(COUNTIFS($D$2:D37,D37,$H$2:H37,H37)=1,1,0),"")</f>
        <v>1</v>
      </c>
      <c r="J37" s="50">
        <f>IF(ISNUMBER(H37),IFERROR(INDEX(Calendrier!$C$2:$C$367,MATCH(H37,Calendrier!$A$2:$A$367,0)),0),"")</f>
        <v>1</v>
      </c>
      <c r="K37" s="50">
        <f t="shared" si="4"/>
        <v>1</v>
      </c>
      <c r="L37" s="50">
        <f>IF(D37="","",IF(COUNTIF(Paramètres!$A$11:$A$40,D37)&gt;0,1,0))</f>
        <v>1</v>
      </c>
    </row>
    <row r="38" spans="1:12" hidden="1" x14ac:dyDescent="0.25">
      <c r="A38" s="49"/>
      <c r="B38" s="49" t="s">
        <v>69</v>
      </c>
      <c r="C38" s="49" t="s">
        <v>146</v>
      </c>
      <c r="D38" s="50" t="str">
        <f t="shared" si="0"/>
        <v>Mina Moussa</v>
      </c>
      <c r="E38" s="50" t="str">
        <f t="shared" si="1"/>
        <v>janv</v>
      </c>
      <c r="F38" s="50">
        <f t="shared" si="2"/>
        <v>29</v>
      </c>
      <c r="G38" s="50">
        <f t="shared" si="3"/>
        <v>2026</v>
      </c>
      <c r="H38" s="51">
        <f>IF($C38="","",IFERROR(DATE(G38,VLOOKUP(E38,Paramètres!$K$11:$L$40,2,FALSE()),F38),"?"))</f>
        <v>46051</v>
      </c>
      <c r="I38" s="50">
        <f>IF(ISNUMBER(H38),IF(COUNTIFS($D$2:D38,D38,$H$2:H38,H38)=1,1,0),"")</f>
        <v>0</v>
      </c>
      <c r="J38" s="50">
        <f>IF(ISNUMBER(H38),IFERROR(INDEX(Calendrier!$C$2:$C$367,MATCH(H38,Calendrier!$A$2:$A$367,0)),0),"")</f>
        <v>1</v>
      </c>
      <c r="K38" s="50">
        <f t="shared" si="4"/>
        <v>0</v>
      </c>
      <c r="L38" s="50">
        <f>IF(D38="","",IF(COUNTIF(Paramètres!$A$11:$A$40,D38)&gt;0,1,0))</f>
        <v>1</v>
      </c>
    </row>
    <row r="39" spans="1:12" hidden="1" x14ac:dyDescent="0.25">
      <c r="A39" s="49"/>
      <c r="B39" s="49" t="s">
        <v>69</v>
      </c>
      <c r="C39" s="49" t="s">
        <v>147</v>
      </c>
      <c r="D39" s="50" t="str">
        <f t="shared" si="0"/>
        <v>Mina Moussa</v>
      </c>
      <c r="E39" s="50" t="str">
        <f t="shared" si="1"/>
        <v>janv</v>
      </c>
      <c r="F39" s="50">
        <f t="shared" si="2"/>
        <v>29</v>
      </c>
      <c r="G39" s="50">
        <f t="shared" si="3"/>
        <v>2026</v>
      </c>
      <c r="H39" s="51">
        <f>IF($C39="","",IFERROR(DATE(G39,VLOOKUP(E39,Paramètres!$K$11:$L$40,2,FALSE()),F39),"?"))</f>
        <v>46051</v>
      </c>
      <c r="I39" s="50">
        <f>IF(ISNUMBER(H39),IF(COUNTIFS($D$2:D39,D39,$H$2:H39,H39)=1,1,0),"")</f>
        <v>0</v>
      </c>
      <c r="J39" s="50">
        <f>IF(ISNUMBER(H39),IFERROR(INDEX(Calendrier!$C$2:$C$367,MATCH(H39,Calendrier!$A$2:$A$367,0)),0),"")</f>
        <v>1</v>
      </c>
      <c r="K39" s="50">
        <f t="shared" si="4"/>
        <v>0</v>
      </c>
      <c r="L39" s="50">
        <f>IF(D39="","",IF(COUNTIF(Paramètres!$A$11:$A$40,D39)&gt;0,1,0))</f>
        <v>1</v>
      </c>
    </row>
    <row r="40" spans="1:12" hidden="1" x14ac:dyDescent="0.25">
      <c r="A40" s="49"/>
      <c r="B40" s="49" t="s">
        <v>69</v>
      </c>
      <c r="C40" s="49" t="s">
        <v>147</v>
      </c>
      <c r="D40" s="50" t="str">
        <f t="shared" si="0"/>
        <v>Mina Moussa</v>
      </c>
      <c r="E40" s="50" t="str">
        <f t="shared" si="1"/>
        <v>janv</v>
      </c>
      <c r="F40" s="50">
        <f t="shared" si="2"/>
        <v>29</v>
      </c>
      <c r="G40" s="50">
        <f t="shared" si="3"/>
        <v>2026</v>
      </c>
      <c r="H40" s="51">
        <f>IF($C40="","",IFERROR(DATE(G40,VLOOKUP(E40,Paramètres!$K$11:$L$40,2,FALSE()),F40),"?"))</f>
        <v>46051</v>
      </c>
      <c r="I40" s="50">
        <f>IF(ISNUMBER(H40),IF(COUNTIFS($D$2:D40,D40,$H$2:H40,H40)=1,1,0),"")</f>
        <v>0</v>
      </c>
      <c r="J40" s="50">
        <f>IF(ISNUMBER(H40),IFERROR(INDEX(Calendrier!$C$2:$C$367,MATCH(H40,Calendrier!$A$2:$A$367,0)),0),"")</f>
        <v>1</v>
      </c>
      <c r="K40" s="50">
        <f t="shared" si="4"/>
        <v>0</v>
      </c>
      <c r="L40" s="50">
        <f>IF(D40="","",IF(COUNTIF(Paramètres!$A$11:$A$40,D40)&gt;0,1,0))</f>
        <v>1</v>
      </c>
    </row>
    <row r="41" spans="1:12" hidden="1" x14ac:dyDescent="0.25">
      <c r="A41" s="49"/>
      <c r="B41" s="49" t="s">
        <v>52</v>
      </c>
      <c r="C41" s="49" t="s">
        <v>148</v>
      </c>
      <c r="D41" s="50" t="str">
        <f t="shared" si="0"/>
        <v>Amine Latrech</v>
      </c>
      <c r="E41" s="50" t="str">
        <f t="shared" si="1"/>
        <v>janv</v>
      </c>
      <c r="F41" s="50">
        <f t="shared" si="2"/>
        <v>6</v>
      </c>
      <c r="G41" s="50">
        <f t="shared" si="3"/>
        <v>2026</v>
      </c>
      <c r="H41" s="51">
        <f>IF($C41="","",IFERROR(DATE(G41,VLOOKUP(E41,Paramètres!$K$11:$L$40,2,FALSE()),F41),"?"))</f>
        <v>46028</v>
      </c>
      <c r="I41" s="50">
        <f>IF(ISNUMBER(H41),IF(COUNTIFS($D$2:D41,D41,$H$2:H41,H41)=1,1,0),"")</f>
        <v>1</v>
      </c>
      <c r="J41" s="50">
        <f>IF(ISNUMBER(H41),IFERROR(INDEX(Calendrier!$C$2:$C$367,MATCH(H41,Calendrier!$A$2:$A$367,0)),0),"")</f>
        <v>1</v>
      </c>
      <c r="K41" s="50">
        <f t="shared" si="4"/>
        <v>1</v>
      </c>
      <c r="L41" s="50">
        <f>IF(D41="","",IF(COUNTIF(Paramètres!$A$11:$A$40,D41)&gt;0,1,0))</f>
        <v>1</v>
      </c>
    </row>
    <row r="42" spans="1:12" hidden="1" x14ac:dyDescent="0.25">
      <c r="A42" s="49"/>
      <c r="B42" s="49" t="s">
        <v>52</v>
      </c>
      <c r="C42" s="49" t="s">
        <v>149</v>
      </c>
      <c r="D42" s="50" t="str">
        <f t="shared" si="0"/>
        <v>Amine Latrech</v>
      </c>
      <c r="E42" s="50" t="str">
        <f t="shared" si="1"/>
        <v>janv</v>
      </c>
      <c r="F42" s="50">
        <f t="shared" si="2"/>
        <v>8</v>
      </c>
      <c r="G42" s="50">
        <f t="shared" si="3"/>
        <v>2026</v>
      </c>
      <c r="H42" s="51">
        <f>IF($C42="","",IFERROR(DATE(G42,VLOOKUP(E42,Paramètres!$K$11:$L$40,2,FALSE()),F42),"?"))</f>
        <v>46030</v>
      </c>
      <c r="I42" s="50">
        <f>IF(ISNUMBER(H42),IF(COUNTIFS($D$2:D42,D42,$H$2:H42,H42)=1,1,0),"")</f>
        <v>1</v>
      </c>
      <c r="J42" s="50">
        <f>IF(ISNUMBER(H42),IFERROR(INDEX(Calendrier!$C$2:$C$367,MATCH(H42,Calendrier!$A$2:$A$367,0)),0),"")</f>
        <v>1</v>
      </c>
      <c r="K42" s="50">
        <f t="shared" si="4"/>
        <v>1</v>
      </c>
      <c r="L42" s="50">
        <f>IF(D42="","",IF(COUNTIF(Paramètres!$A$11:$A$40,D42)&gt;0,1,0))</f>
        <v>1</v>
      </c>
    </row>
    <row r="43" spans="1:12" hidden="1" x14ac:dyDescent="0.25">
      <c r="A43" s="49"/>
      <c r="B43" s="49" t="s">
        <v>52</v>
      </c>
      <c r="C43" s="49" t="s">
        <v>150</v>
      </c>
      <c r="D43" s="50" t="str">
        <f t="shared" si="0"/>
        <v>Amine Latrech</v>
      </c>
      <c r="E43" s="50" t="str">
        <f t="shared" si="1"/>
        <v>janv</v>
      </c>
      <c r="F43" s="50">
        <f t="shared" si="2"/>
        <v>20</v>
      </c>
      <c r="G43" s="50">
        <f t="shared" si="3"/>
        <v>2026</v>
      </c>
      <c r="H43" s="51">
        <f>IF($C43="","",IFERROR(DATE(G43,VLOOKUP(E43,Paramètres!$K$11:$L$40,2,FALSE()),F43),"?"))</f>
        <v>46042</v>
      </c>
      <c r="I43" s="50">
        <f>IF(ISNUMBER(H43),IF(COUNTIFS($D$2:D43,D43,$H$2:H43,H43)=1,1,0),"")</f>
        <v>1</v>
      </c>
      <c r="J43" s="50">
        <f>IF(ISNUMBER(H43),IFERROR(INDEX(Calendrier!$C$2:$C$367,MATCH(H43,Calendrier!$A$2:$A$367,0)),0),"")</f>
        <v>1</v>
      </c>
      <c r="K43" s="50">
        <f t="shared" si="4"/>
        <v>1</v>
      </c>
      <c r="L43" s="50">
        <f>IF(D43="","",IF(COUNTIF(Paramètres!$A$11:$A$40,D43)&gt;0,1,0))</f>
        <v>1</v>
      </c>
    </row>
    <row r="44" spans="1:12" hidden="1" x14ac:dyDescent="0.25">
      <c r="A44" s="49"/>
      <c r="B44" s="49" t="s">
        <v>52</v>
      </c>
      <c r="C44" s="49" t="s">
        <v>151</v>
      </c>
      <c r="D44" s="50" t="str">
        <f t="shared" si="0"/>
        <v>Amine Latrech</v>
      </c>
      <c r="E44" s="50" t="str">
        <f t="shared" si="1"/>
        <v>janv</v>
      </c>
      <c r="F44" s="50">
        <f t="shared" si="2"/>
        <v>27</v>
      </c>
      <c r="G44" s="50">
        <f t="shared" si="3"/>
        <v>2026</v>
      </c>
      <c r="H44" s="51">
        <f>IF($C44="","",IFERROR(DATE(G44,VLOOKUP(E44,Paramètres!$K$11:$L$40,2,FALSE()),F44),"?"))</f>
        <v>46049</v>
      </c>
      <c r="I44" s="50">
        <f>IF(ISNUMBER(H44),IF(COUNTIFS($D$2:D44,D44,$H$2:H44,H44)=1,1,0),"")</f>
        <v>1</v>
      </c>
      <c r="J44" s="50">
        <f>IF(ISNUMBER(H44),IFERROR(INDEX(Calendrier!$C$2:$C$367,MATCH(H44,Calendrier!$A$2:$A$367,0)),0),"")</f>
        <v>1</v>
      </c>
      <c r="K44" s="50">
        <f t="shared" si="4"/>
        <v>1</v>
      </c>
      <c r="L44" s="50">
        <f>IF(D44="","",IF(COUNTIF(Paramètres!$A$11:$A$40,D44)&gt;0,1,0))</f>
        <v>1</v>
      </c>
    </row>
    <row r="45" spans="1:12" hidden="1" x14ac:dyDescent="0.25">
      <c r="A45" s="49"/>
      <c r="B45" s="49" t="s">
        <v>52</v>
      </c>
      <c r="C45" s="49" t="s">
        <v>152</v>
      </c>
      <c r="D45" s="50" t="str">
        <f t="shared" si="0"/>
        <v>Amine Latrech</v>
      </c>
      <c r="E45" s="50" t="str">
        <f t="shared" si="1"/>
        <v>janv</v>
      </c>
      <c r="F45" s="50">
        <f t="shared" si="2"/>
        <v>27</v>
      </c>
      <c r="G45" s="50">
        <f t="shared" si="3"/>
        <v>2026</v>
      </c>
      <c r="H45" s="51">
        <f>IF($C45="","",IFERROR(DATE(G45,VLOOKUP(E45,Paramètres!$K$11:$L$40,2,FALSE()),F45),"?"))</f>
        <v>46049</v>
      </c>
      <c r="I45" s="50">
        <f>IF(ISNUMBER(H45),IF(COUNTIFS($D$2:D45,D45,$H$2:H45,H45)=1,1,0),"")</f>
        <v>0</v>
      </c>
      <c r="J45" s="50">
        <f>IF(ISNUMBER(H45),IFERROR(INDEX(Calendrier!$C$2:$C$367,MATCH(H45,Calendrier!$A$2:$A$367,0)),0),"")</f>
        <v>1</v>
      </c>
      <c r="K45" s="50">
        <f t="shared" si="4"/>
        <v>0</v>
      </c>
      <c r="L45" s="50">
        <f>IF(D45="","",IF(COUNTIF(Paramètres!$A$11:$A$40,D45)&gt;0,1,0))</f>
        <v>1</v>
      </c>
    </row>
    <row r="46" spans="1:12" hidden="1" x14ac:dyDescent="0.25">
      <c r="A46" s="49"/>
      <c r="B46" s="49" t="s">
        <v>83</v>
      </c>
      <c r="C46" s="49" t="s">
        <v>153</v>
      </c>
      <c r="D46" s="50" t="str">
        <f t="shared" si="0"/>
        <v>Safouen Magdouli</v>
      </c>
      <c r="E46" s="50" t="str">
        <f t="shared" si="1"/>
        <v>janv</v>
      </c>
      <c r="F46" s="50">
        <f t="shared" si="2"/>
        <v>7</v>
      </c>
      <c r="G46" s="50">
        <f t="shared" si="3"/>
        <v>2026</v>
      </c>
      <c r="H46" s="51">
        <f>IF($C46="","",IFERROR(DATE(G46,VLOOKUP(E46,Paramètres!$K$11:$L$40,2,FALSE()),F46),"?"))</f>
        <v>46029</v>
      </c>
      <c r="I46" s="50">
        <f>IF(ISNUMBER(H46),IF(COUNTIFS($D$2:D46,D46,$H$2:H46,H46)=1,1,0),"")</f>
        <v>1</v>
      </c>
      <c r="J46" s="50">
        <f>IF(ISNUMBER(H46),IFERROR(INDEX(Calendrier!$C$2:$C$367,MATCH(H46,Calendrier!$A$2:$A$367,0)),0),"")</f>
        <v>1</v>
      </c>
      <c r="K46" s="50">
        <f t="shared" si="4"/>
        <v>1</v>
      </c>
      <c r="L46" s="50">
        <f>IF(D46="","",IF(COUNTIF(Paramètres!$A$11:$A$40,D46)&gt;0,1,0))</f>
        <v>1</v>
      </c>
    </row>
    <row r="47" spans="1:12" hidden="1" x14ac:dyDescent="0.25">
      <c r="A47" s="49"/>
      <c r="B47" s="49" t="s">
        <v>83</v>
      </c>
      <c r="C47" s="49" t="s">
        <v>154</v>
      </c>
      <c r="D47" s="50" t="str">
        <f t="shared" si="0"/>
        <v>Safouen Magdouli</v>
      </c>
      <c r="E47" s="50" t="str">
        <f t="shared" si="1"/>
        <v>janv</v>
      </c>
      <c r="F47" s="50">
        <f t="shared" si="2"/>
        <v>14</v>
      </c>
      <c r="G47" s="50">
        <f t="shared" si="3"/>
        <v>2026</v>
      </c>
      <c r="H47" s="51">
        <f>IF($C47="","",IFERROR(DATE(G47,VLOOKUP(E47,Paramètres!$K$11:$L$40,2,FALSE()),F47),"?"))</f>
        <v>46036</v>
      </c>
      <c r="I47" s="50">
        <f>IF(ISNUMBER(H47),IF(COUNTIFS($D$2:D47,D47,$H$2:H47,H47)=1,1,0),"")</f>
        <v>1</v>
      </c>
      <c r="J47" s="50">
        <f>IF(ISNUMBER(H47),IFERROR(INDEX(Calendrier!$C$2:$C$367,MATCH(H47,Calendrier!$A$2:$A$367,0)),0),"")</f>
        <v>1</v>
      </c>
      <c r="K47" s="50">
        <f t="shared" si="4"/>
        <v>1</v>
      </c>
      <c r="L47" s="50">
        <f>IF(D47="","",IF(COUNTIF(Paramètres!$A$11:$A$40,D47)&gt;0,1,0))</f>
        <v>1</v>
      </c>
    </row>
    <row r="48" spans="1:12" hidden="1" x14ac:dyDescent="0.25">
      <c r="A48" s="49"/>
      <c r="B48" s="49" t="s">
        <v>83</v>
      </c>
      <c r="C48" s="49" t="s">
        <v>155</v>
      </c>
      <c r="D48" s="50" t="str">
        <f t="shared" si="0"/>
        <v>Safouen Magdouli</v>
      </c>
      <c r="E48" s="50" t="str">
        <f t="shared" si="1"/>
        <v>janv</v>
      </c>
      <c r="F48" s="50">
        <f t="shared" si="2"/>
        <v>21</v>
      </c>
      <c r="G48" s="50">
        <f t="shared" si="3"/>
        <v>2026</v>
      </c>
      <c r="H48" s="51">
        <f>IF($C48="","",IFERROR(DATE(G48,VLOOKUP(E48,Paramètres!$K$11:$L$40,2,FALSE()),F48),"?"))</f>
        <v>46043</v>
      </c>
      <c r="I48" s="50">
        <f>IF(ISNUMBER(H48),IF(COUNTIFS($D$2:D48,D48,$H$2:H48,H48)=1,1,0),"")</f>
        <v>1</v>
      </c>
      <c r="J48" s="50">
        <f>IF(ISNUMBER(H48),IFERROR(INDEX(Calendrier!$C$2:$C$367,MATCH(H48,Calendrier!$A$2:$A$367,0)),0),"")</f>
        <v>1</v>
      </c>
      <c r="K48" s="50">
        <f t="shared" si="4"/>
        <v>1</v>
      </c>
      <c r="L48" s="50">
        <f>IF(D48="","",IF(COUNTIF(Paramètres!$A$11:$A$40,D48)&gt;0,1,0))</f>
        <v>1</v>
      </c>
    </row>
    <row r="49" spans="1:12" hidden="1" x14ac:dyDescent="0.25">
      <c r="A49" s="49"/>
      <c r="B49" s="49" t="s">
        <v>83</v>
      </c>
      <c r="C49" s="49" t="s">
        <v>156</v>
      </c>
      <c r="D49" s="50" t="str">
        <f t="shared" si="0"/>
        <v>Safouen Magdouli</v>
      </c>
      <c r="E49" s="50" t="str">
        <f t="shared" si="1"/>
        <v>janv</v>
      </c>
      <c r="F49" s="50">
        <f t="shared" si="2"/>
        <v>28</v>
      </c>
      <c r="G49" s="50">
        <f t="shared" si="3"/>
        <v>2026</v>
      </c>
      <c r="H49" s="51">
        <f>IF($C49="","",IFERROR(DATE(G49,VLOOKUP(E49,Paramètres!$K$11:$L$40,2,FALSE()),F49),"?"))</f>
        <v>46050</v>
      </c>
      <c r="I49" s="50">
        <f>IF(ISNUMBER(H49),IF(COUNTIFS($D$2:D49,D49,$H$2:H49,H49)=1,1,0),"")</f>
        <v>1</v>
      </c>
      <c r="J49" s="50">
        <f>IF(ISNUMBER(H49),IFERROR(INDEX(Calendrier!$C$2:$C$367,MATCH(H49,Calendrier!$A$2:$A$367,0)),0),"")</f>
        <v>1</v>
      </c>
      <c r="K49" s="50">
        <f t="shared" si="4"/>
        <v>1</v>
      </c>
      <c r="L49" s="50">
        <f>IF(D49="","",IF(COUNTIF(Paramètres!$A$11:$A$40,D49)&gt;0,1,0))</f>
        <v>1</v>
      </c>
    </row>
    <row r="50" spans="1:12" hidden="1" x14ac:dyDescent="0.25">
      <c r="A50" s="49"/>
      <c r="B50" s="49" t="s">
        <v>81</v>
      </c>
      <c r="C50" s="49" t="s">
        <v>157</v>
      </c>
      <c r="D50" s="50" t="str">
        <f t="shared" si="0"/>
        <v>Sabrine Neffeti</v>
      </c>
      <c r="E50" s="50" t="str">
        <f t="shared" si="1"/>
        <v>janv</v>
      </c>
      <c r="F50" s="50">
        <f t="shared" si="2"/>
        <v>5</v>
      </c>
      <c r="G50" s="50">
        <f t="shared" si="3"/>
        <v>2026</v>
      </c>
      <c r="H50" s="51">
        <f>IF($C50="","",IFERROR(DATE(G50,VLOOKUP(E50,Paramètres!$K$11:$L$40,2,FALSE()),F50),"?"))</f>
        <v>46027</v>
      </c>
      <c r="I50" s="50">
        <f>IF(ISNUMBER(H50),IF(COUNTIFS($D$2:D50,D50,$H$2:H50,H50)=1,1,0),"")</f>
        <v>1</v>
      </c>
      <c r="J50" s="50">
        <f>IF(ISNUMBER(H50),IFERROR(INDEX(Calendrier!$C$2:$C$367,MATCH(H50,Calendrier!$A$2:$A$367,0)),0),"")</f>
        <v>1</v>
      </c>
      <c r="K50" s="50">
        <f t="shared" si="4"/>
        <v>1</v>
      </c>
      <c r="L50" s="50">
        <f>IF(D50="","",IF(COUNTIF(Paramètres!$A$11:$A$40,D50)&gt;0,1,0))</f>
        <v>1</v>
      </c>
    </row>
    <row r="51" spans="1:12" hidden="1" x14ac:dyDescent="0.25">
      <c r="A51" s="49"/>
      <c r="B51" s="49" t="s">
        <v>81</v>
      </c>
      <c r="C51" s="49" t="s">
        <v>158</v>
      </c>
      <c r="D51" s="50" t="str">
        <f t="shared" si="0"/>
        <v>Sabrine Neffeti</v>
      </c>
      <c r="E51" s="50" t="str">
        <f t="shared" si="1"/>
        <v>janv</v>
      </c>
      <c r="F51" s="50">
        <f t="shared" si="2"/>
        <v>7</v>
      </c>
      <c r="G51" s="50">
        <f t="shared" si="3"/>
        <v>2026</v>
      </c>
      <c r="H51" s="51">
        <f>IF($C51="","",IFERROR(DATE(G51,VLOOKUP(E51,Paramètres!$K$11:$L$40,2,FALSE()),F51),"?"))</f>
        <v>46029</v>
      </c>
      <c r="I51" s="50">
        <f>IF(ISNUMBER(H51),IF(COUNTIFS($D$2:D51,D51,$H$2:H51,H51)=1,1,0),"")</f>
        <v>1</v>
      </c>
      <c r="J51" s="50">
        <f>IF(ISNUMBER(H51),IFERROR(INDEX(Calendrier!$C$2:$C$367,MATCH(H51,Calendrier!$A$2:$A$367,0)),0),"")</f>
        <v>1</v>
      </c>
      <c r="K51" s="50">
        <f t="shared" si="4"/>
        <v>1</v>
      </c>
      <c r="L51" s="50">
        <f>IF(D51="","",IF(COUNTIF(Paramètres!$A$11:$A$40,D51)&gt;0,1,0))</f>
        <v>1</v>
      </c>
    </row>
    <row r="52" spans="1:12" hidden="1" x14ac:dyDescent="0.25">
      <c r="A52" s="49"/>
      <c r="B52" s="49" t="s">
        <v>81</v>
      </c>
      <c r="C52" s="49" t="s">
        <v>159</v>
      </c>
      <c r="D52" s="50" t="str">
        <f t="shared" si="0"/>
        <v>Sabrine Neffeti</v>
      </c>
      <c r="E52" s="50" t="str">
        <f t="shared" si="1"/>
        <v>janv</v>
      </c>
      <c r="F52" s="50">
        <f t="shared" si="2"/>
        <v>7</v>
      </c>
      <c r="G52" s="50">
        <f t="shared" si="3"/>
        <v>2026</v>
      </c>
      <c r="H52" s="51">
        <f>IF($C52="","",IFERROR(DATE(G52,VLOOKUP(E52,Paramètres!$K$11:$L$40,2,FALSE()),F52),"?"))</f>
        <v>46029</v>
      </c>
      <c r="I52" s="50">
        <f>IF(ISNUMBER(H52),IF(COUNTIFS($D$2:D52,D52,$H$2:H52,H52)=1,1,0),"")</f>
        <v>0</v>
      </c>
      <c r="J52" s="50">
        <f>IF(ISNUMBER(H52),IFERROR(INDEX(Calendrier!$C$2:$C$367,MATCH(H52,Calendrier!$A$2:$A$367,0)),0),"")</f>
        <v>1</v>
      </c>
      <c r="K52" s="50">
        <f t="shared" si="4"/>
        <v>0</v>
      </c>
      <c r="L52" s="50">
        <f>IF(D52="","",IF(COUNTIF(Paramètres!$A$11:$A$40,D52)&gt;0,1,0))</f>
        <v>1</v>
      </c>
    </row>
    <row r="53" spans="1:12" hidden="1" x14ac:dyDescent="0.25">
      <c r="A53" s="49"/>
      <c r="B53" s="49" t="s">
        <v>81</v>
      </c>
      <c r="C53" s="49" t="s">
        <v>160</v>
      </c>
      <c r="D53" s="50" t="str">
        <f t="shared" si="0"/>
        <v>Sabrine Neffeti</v>
      </c>
      <c r="E53" s="50" t="str">
        <f t="shared" si="1"/>
        <v>janv</v>
      </c>
      <c r="F53" s="50">
        <f t="shared" si="2"/>
        <v>7</v>
      </c>
      <c r="G53" s="50">
        <f t="shared" si="3"/>
        <v>2026</v>
      </c>
      <c r="H53" s="51">
        <f>IF($C53="","",IFERROR(DATE(G53,VLOOKUP(E53,Paramètres!$K$11:$L$40,2,FALSE()),F53),"?"))</f>
        <v>46029</v>
      </c>
      <c r="I53" s="50">
        <f>IF(ISNUMBER(H53),IF(COUNTIFS($D$2:D53,D53,$H$2:H53,H53)=1,1,0),"")</f>
        <v>0</v>
      </c>
      <c r="J53" s="50">
        <f>IF(ISNUMBER(H53),IFERROR(INDEX(Calendrier!$C$2:$C$367,MATCH(H53,Calendrier!$A$2:$A$367,0)),0),"")</f>
        <v>1</v>
      </c>
      <c r="K53" s="50">
        <f t="shared" si="4"/>
        <v>0</v>
      </c>
      <c r="L53" s="50">
        <f>IF(D53="","",IF(COUNTIF(Paramètres!$A$11:$A$40,D53)&gt;0,1,0))</f>
        <v>1</v>
      </c>
    </row>
    <row r="54" spans="1:12" hidden="1" x14ac:dyDescent="0.25">
      <c r="A54" s="49"/>
      <c r="B54" s="49" t="s">
        <v>81</v>
      </c>
      <c r="C54" s="49" t="s">
        <v>161</v>
      </c>
      <c r="D54" s="50" t="str">
        <f t="shared" si="0"/>
        <v>Sabrine Neffeti</v>
      </c>
      <c r="E54" s="50" t="str">
        <f t="shared" si="1"/>
        <v>janv</v>
      </c>
      <c r="F54" s="50">
        <f t="shared" si="2"/>
        <v>22</v>
      </c>
      <c r="G54" s="50">
        <f t="shared" si="3"/>
        <v>2026</v>
      </c>
      <c r="H54" s="51">
        <f>IF($C54="","",IFERROR(DATE(G54,VLOOKUP(E54,Paramètres!$K$11:$L$40,2,FALSE()),F54),"?"))</f>
        <v>46044</v>
      </c>
      <c r="I54" s="50">
        <f>IF(ISNUMBER(H54),IF(COUNTIFS($D$2:D54,D54,$H$2:H54,H54)=1,1,0),"")</f>
        <v>1</v>
      </c>
      <c r="J54" s="50">
        <f>IF(ISNUMBER(H54),IFERROR(INDEX(Calendrier!$C$2:$C$367,MATCH(H54,Calendrier!$A$2:$A$367,0)),0),"")</f>
        <v>1</v>
      </c>
      <c r="K54" s="50">
        <f t="shared" si="4"/>
        <v>1</v>
      </c>
      <c r="L54" s="50">
        <f>IF(D54="","",IF(COUNTIF(Paramètres!$A$11:$A$40,D54)&gt;0,1,0))</f>
        <v>1</v>
      </c>
    </row>
    <row r="55" spans="1:12" hidden="1" x14ac:dyDescent="0.25">
      <c r="A55" s="49"/>
      <c r="B55" s="49" t="s">
        <v>81</v>
      </c>
      <c r="C55" s="49" t="s">
        <v>162</v>
      </c>
      <c r="D55" s="50" t="str">
        <f t="shared" si="0"/>
        <v>Sabrine Neffeti</v>
      </c>
      <c r="E55" s="50" t="str">
        <f t="shared" si="1"/>
        <v>janv</v>
      </c>
      <c r="F55" s="50">
        <f t="shared" si="2"/>
        <v>23</v>
      </c>
      <c r="G55" s="50">
        <f t="shared" si="3"/>
        <v>2026</v>
      </c>
      <c r="H55" s="51">
        <f>IF($C55="","",IFERROR(DATE(G55,VLOOKUP(E55,Paramètres!$K$11:$L$40,2,FALSE()),F55),"?"))</f>
        <v>46045</v>
      </c>
      <c r="I55" s="50">
        <f>IF(ISNUMBER(H55),IF(COUNTIFS($D$2:D55,D55,$H$2:H55,H55)=1,1,0),"")</f>
        <v>1</v>
      </c>
      <c r="J55" s="50">
        <f>IF(ISNUMBER(H55),IFERROR(INDEX(Calendrier!$C$2:$C$367,MATCH(H55,Calendrier!$A$2:$A$367,0)),0),"")</f>
        <v>1</v>
      </c>
      <c r="K55" s="50">
        <f t="shared" si="4"/>
        <v>1</v>
      </c>
      <c r="L55" s="50">
        <f>IF(D55="","",IF(COUNTIF(Paramètres!$A$11:$A$40,D55)&gt;0,1,0))</f>
        <v>1</v>
      </c>
    </row>
    <row r="56" spans="1:12" hidden="1" x14ac:dyDescent="0.25">
      <c r="A56" s="49"/>
      <c r="B56" s="49" t="s">
        <v>81</v>
      </c>
      <c r="C56" s="49" t="s">
        <v>163</v>
      </c>
      <c r="D56" s="50" t="str">
        <f t="shared" si="0"/>
        <v>Sabrine Neffeti</v>
      </c>
      <c r="E56" s="50" t="str">
        <f t="shared" si="1"/>
        <v>janv</v>
      </c>
      <c r="F56" s="50">
        <f t="shared" si="2"/>
        <v>23</v>
      </c>
      <c r="G56" s="50">
        <f t="shared" si="3"/>
        <v>2026</v>
      </c>
      <c r="H56" s="51">
        <f>IF($C56="","",IFERROR(DATE(G56,VLOOKUP(E56,Paramètres!$K$11:$L$40,2,FALSE()),F56),"?"))</f>
        <v>46045</v>
      </c>
      <c r="I56" s="50">
        <f>IF(ISNUMBER(H56),IF(COUNTIFS($D$2:D56,D56,$H$2:H56,H56)=1,1,0),"")</f>
        <v>0</v>
      </c>
      <c r="J56" s="50">
        <f>IF(ISNUMBER(H56),IFERROR(INDEX(Calendrier!$C$2:$C$367,MATCH(H56,Calendrier!$A$2:$A$367,0)),0),"")</f>
        <v>1</v>
      </c>
      <c r="K56" s="50">
        <f t="shared" si="4"/>
        <v>0</v>
      </c>
      <c r="L56" s="50">
        <f>IF(D56="","",IF(COUNTIF(Paramètres!$A$11:$A$40,D56)&gt;0,1,0))</f>
        <v>1</v>
      </c>
    </row>
    <row r="57" spans="1:12" hidden="1" x14ac:dyDescent="0.25">
      <c r="A57" s="49"/>
      <c r="B57" s="49" t="s">
        <v>81</v>
      </c>
      <c r="C57" s="49" t="s">
        <v>164</v>
      </c>
      <c r="D57" s="50" t="str">
        <f t="shared" si="0"/>
        <v>Sabrine Neffeti</v>
      </c>
      <c r="E57" s="50" t="str">
        <f t="shared" si="1"/>
        <v>janv</v>
      </c>
      <c r="F57" s="50">
        <f t="shared" si="2"/>
        <v>29</v>
      </c>
      <c r="G57" s="50">
        <f t="shared" si="3"/>
        <v>2026</v>
      </c>
      <c r="H57" s="51">
        <f>IF($C57="","",IFERROR(DATE(G57,VLOOKUP(E57,Paramètres!$K$11:$L$40,2,FALSE()),F57),"?"))</f>
        <v>46051</v>
      </c>
      <c r="I57" s="50">
        <f>IF(ISNUMBER(H57),IF(COUNTIFS($D$2:D57,D57,$H$2:H57,H57)=1,1,0),"")</f>
        <v>1</v>
      </c>
      <c r="J57" s="50">
        <f>IF(ISNUMBER(H57),IFERROR(INDEX(Calendrier!$C$2:$C$367,MATCH(H57,Calendrier!$A$2:$A$367,0)),0),"")</f>
        <v>1</v>
      </c>
      <c r="K57" s="50">
        <f t="shared" si="4"/>
        <v>1</v>
      </c>
      <c r="L57" s="50">
        <f>IF(D57="","",IF(COUNTIF(Paramètres!$A$11:$A$40,D57)&gt;0,1,0))</f>
        <v>1</v>
      </c>
    </row>
    <row r="58" spans="1:12" hidden="1" x14ac:dyDescent="0.25">
      <c r="A58" s="49"/>
      <c r="B58" s="49" t="s">
        <v>85</v>
      </c>
      <c r="C58" s="49" t="s">
        <v>165</v>
      </c>
      <c r="D58" s="50" t="str">
        <f t="shared" si="0"/>
        <v>Said Hamrouni</v>
      </c>
      <c r="E58" s="50" t="str">
        <f t="shared" si="1"/>
        <v>janv</v>
      </c>
      <c r="F58" s="50">
        <f t="shared" si="2"/>
        <v>2</v>
      </c>
      <c r="G58" s="50">
        <f t="shared" si="3"/>
        <v>2026</v>
      </c>
      <c r="H58" s="51">
        <f>IF($C58="","",IFERROR(DATE(G58,VLOOKUP(E58,Paramètres!$K$11:$L$40,2,FALSE()),F58),"?"))</f>
        <v>46024</v>
      </c>
      <c r="I58" s="50">
        <f>IF(ISNUMBER(H58),IF(COUNTIFS($D$2:D58,D58,$H$2:H58,H58)=1,1,0),"")</f>
        <v>1</v>
      </c>
      <c r="J58" s="50">
        <f>IF(ISNUMBER(H58),IFERROR(INDEX(Calendrier!$C$2:$C$367,MATCH(H58,Calendrier!$A$2:$A$367,0)),0),"")</f>
        <v>1</v>
      </c>
      <c r="K58" s="50">
        <f t="shared" si="4"/>
        <v>1</v>
      </c>
      <c r="L58" s="50">
        <f>IF(D58="","",IF(COUNTIF(Paramètres!$A$11:$A$40,D58)&gt;0,1,0))</f>
        <v>1</v>
      </c>
    </row>
    <row r="59" spans="1:12" hidden="1" x14ac:dyDescent="0.25">
      <c r="A59" s="49"/>
      <c r="B59" s="49" t="s">
        <v>85</v>
      </c>
      <c r="C59" s="49" t="s">
        <v>166</v>
      </c>
      <c r="D59" s="50" t="str">
        <f t="shared" si="0"/>
        <v>Said Hamrouni</v>
      </c>
      <c r="E59" s="50" t="str">
        <f t="shared" si="1"/>
        <v>janv</v>
      </c>
      <c r="F59" s="50">
        <f t="shared" si="2"/>
        <v>5</v>
      </c>
      <c r="G59" s="50">
        <f t="shared" si="3"/>
        <v>2026</v>
      </c>
      <c r="H59" s="51">
        <f>IF($C59="","",IFERROR(DATE(G59,VLOOKUP(E59,Paramètres!$K$11:$L$40,2,FALSE()),F59),"?"))</f>
        <v>46027</v>
      </c>
      <c r="I59" s="50">
        <f>IF(ISNUMBER(H59),IF(COUNTIFS($D$2:D59,D59,$H$2:H59,H59)=1,1,0),"")</f>
        <v>1</v>
      </c>
      <c r="J59" s="50">
        <f>IF(ISNUMBER(H59),IFERROR(INDEX(Calendrier!$C$2:$C$367,MATCH(H59,Calendrier!$A$2:$A$367,0)),0),"")</f>
        <v>1</v>
      </c>
      <c r="K59" s="50">
        <f t="shared" si="4"/>
        <v>1</v>
      </c>
      <c r="L59" s="50">
        <f>IF(D59="","",IF(COUNTIF(Paramètres!$A$11:$A$40,D59)&gt;0,1,0))</f>
        <v>1</v>
      </c>
    </row>
    <row r="60" spans="1:12" hidden="1" x14ac:dyDescent="0.25">
      <c r="A60" s="49"/>
      <c r="B60" s="49" t="s">
        <v>85</v>
      </c>
      <c r="C60" s="49" t="s">
        <v>167</v>
      </c>
      <c r="D60" s="50" t="str">
        <f t="shared" si="0"/>
        <v>Said Hamrouni</v>
      </c>
      <c r="E60" s="50" t="str">
        <f t="shared" si="1"/>
        <v>janv</v>
      </c>
      <c r="F60" s="50">
        <f t="shared" si="2"/>
        <v>7</v>
      </c>
      <c r="G60" s="50">
        <f t="shared" si="3"/>
        <v>2026</v>
      </c>
      <c r="H60" s="51">
        <f>IF($C60="","",IFERROR(DATE(G60,VLOOKUP(E60,Paramètres!$K$11:$L$40,2,FALSE()),F60),"?"))</f>
        <v>46029</v>
      </c>
      <c r="I60" s="50">
        <f>IF(ISNUMBER(H60),IF(COUNTIFS($D$2:D60,D60,$H$2:H60,H60)=1,1,0),"")</f>
        <v>1</v>
      </c>
      <c r="J60" s="50">
        <f>IF(ISNUMBER(H60),IFERROR(INDEX(Calendrier!$C$2:$C$367,MATCH(H60,Calendrier!$A$2:$A$367,0)),0),"")</f>
        <v>1</v>
      </c>
      <c r="K60" s="50">
        <f t="shared" si="4"/>
        <v>1</v>
      </c>
      <c r="L60" s="50">
        <f>IF(D60="","",IF(COUNTIF(Paramètres!$A$11:$A$40,D60)&gt;0,1,0))</f>
        <v>1</v>
      </c>
    </row>
    <row r="61" spans="1:12" hidden="1" x14ac:dyDescent="0.25">
      <c r="A61" s="49"/>
      <c r="B61" s="49" t="s">
        <v>85</v>
      </c>
      <c r="C61" s="49" t="s">
        <v>168</v>
      </c>
      <c r="D61" s="50" t="str">
        <f t="shared" si="0"/>
        <v>Said Hamrouni</v>
      </c>
      <c r="E61" s="50" t="str">
        <f t="shared" si="1"/>
        <v>janv</v>
      </c>
      <c r="F61" s="50">
        <f t="shared" si="2"/>
        <v>7</v>
      </c>
      <c r="G61" s="50">
        <f t="shared" si="3"/>
        <v>2026</v>
      </c>
      <c r="H61" s="51">
        <f>IF($C61="","",IFERROR(DATE(G61,VLOOKUP(E61,Paramètres!$K$11:$L$40,2,FALSE()),F61),"?"))</f>
        <v>46029</v>
      </c>
      <c r="I61" s="50">
        <f>IF(ISNUMBER(H61),IF(COUNTIFS($D$2:D61,D61,$H$2:H61,H61)=1,1,0),"")</f>
        <v>0</v>
      </c>
      <c r="J61" s="50">
        <f>IF(ISNUMBER(H61),IFERROR(INDEX(Calendrier!$C$2:$C$367,MATCH(H61,Calendrier!$A$2:$A$367,0)),0),"")</f>
        <v>1</v>
      </c>
      <c r="K61" s="50">
        <f t="shared" si="4"/>
        <v>0</v>
      </c>
      <c r="L61" s="50">
        <f>IF(D61="","",IF(COUNTIF(Paramètres!$A$11:$A$40,D61)&gt;0,1,0))</f>
        <v>1</v>
      </c>
    </row>
    <row r="62" spans="1:12" hidden="1" x14ac:dyDescent="0.25">
      <c r="A62" s="49"/>
      <c r="B62" s="49" t="s">
        <v>85</v>
      </c>
      <c r="C62" s="49" t="s">
        <v>169</v>
      </c>
      <c r="D62" s="50" t="str">
        <f t="shared" si="0"/>
        <v>Said Hamrouni</v>
      </c>
      <c r="E62" s="50" t="str">
        <f t="shared" si="1"/>
        <v>janv</v>
      </c>
      <c r="F62" s="50">
        <f t="shared" si="2"/>
        <v>8</v>
      </c>
      <c r="G62" s="50">
        <f t="shared" si="3"/>
        <v>2026</v>
      </c>
      <c r="H62" s="51">
        <f>IF($C62="","",IFERROR(DATE(G62,VLOOKUP(E62,Paramètres!$K$11:$L$40,2,FALSE()),F62),"?"))</f>
        <v>46030</v>
      </c>
      <c r="I62" s="50">
        <f>IF(ISNUMBER(H62),IF(COUNTIFS($D$2:D62,D62,$H$2:H62,H62)=1,1,0),"")</f>
        <v>1</v>
      </c>
      <c r="J62" s="50">
        <f>IF(ISNUMBER(H62),IFERROR(INDEX(Calendrier!$C$2:$C$367,MATCH(H62,Calendrier!$A$2:$A$367,0)),0),"")</f>
        <v>1</v>
      </c>
      <c r="K62" s="50">
        <f t="shared" si="4"/>
        <v>1</v>
      </c>
      <c r="L62" s="50">
        <f>IF(D62="","",IF(COUNTIF(Paramètres!$A$11:$A$40,D62)&gt;0,1,0))</f>
        <v>1</v>
      </c>
    </row>
    <row r="63" spans="1:12" hidden="1" x14ac:dyDescent="0.25">
      <c r="A63" s="49"/>
      <c r="B63" s="49" t="s">
        <v>85</v>
      </c>
      <c r="C63" s="49" t="s">
        <v>170</v>
      </c>
      <c r="D63" s="50" t="str">
        <f t="shared" si="0"/>
        <v>Said Hamrouni</v>
      </c>
      <c r="E63" s="50" t="str">
        <f t="shared" si="1"/>
        <v>janv</v>
      </c>
      <c r="F63" s="50">
        <f t="shared" si="2"/>
        <v>14</v>
      </c>
      <c r="G63" s="50">
        <f t="shared" si="3"/>
        <v>2026</v>
      </c>
      <c r="H63" s="51">
        <f>IF($C63="","",IFERROR(DATE(G63,VLOOKUP(E63,Paramètres!$K$11:$L$40,2,FALSE()),F63),"?"))</f>
        <v>46036</v>
      </c>
      <c r="I63" s="50">
        <f>IF(ISNUMBER(H63),IF(COUNTIFS($D$2:D63,D63,$H$2:H63,H63)=1,1,0),"")</f>
        <v>1</v>
      </c>
      <c r="J63" s="50">
        <f>IF(ISNUMBER(H63),IFERROR(INDEX(Calendrier!$C$2:$C$367,MATCH(H63,Calendrier!$A$2:$A$367,0)),0),"")</f>
        <v>1</v>
      </c>
      <c r="K63" s="50">
        <f t="shared" si="4"/>
        <v>1</v>
      </c>
      <c r="L63" s="50">
        <f>IF(D63="","",IF(COUNTIF(Paramètres!$A$11:$A$40,D63)&gt;0,1,0))</f>
        <v>1</v>
      </c>
    </row>
    <row r="64" spans="1:12" hidden="1" x14ac:dyDescent="0.25">
      <c r="A64" s="49"/>
      <c r="B64" s="49" t="s">
        <v>85</v>
      </c>
      <c r="C64" s="49" t="s">
        <v>171</v>
      </c>
      <c r="D64" s="50" t="str">
        <f t="shared" si="0"/>
        <v>Said Hamrouni</v>
      </c>
      <c r="E64" s="50" t="str">
        <f t="shared" si="1"/>
        <v>janv</v>
      </c>
      <c r="F64" s="50">
        <f t="shared" si="2"/>
        <v>17</v>
      </c>
      <c r="G64" s="50">
        <f t="shared" si="3"/>
        <v>2026</v>
      </c>
      <c r="H64" s="51">
        <f>IF($C64="","",IFERROR(DATE(G64,VLOOKUP(E64,Paramètres!$K$11:$L$40,2,FALSE()),F64),"?"))</f>
        <v>46039</v>
      </c>
      <c r="I64" s="50">
        <f>IF(ISNUMBER(H64),IF(COUNTIFS($D$2:D64,D64,$H$2:H64,H64)=1,1,0),"")</f>
        <v>1</v>
      </c>
      <c r="J64" s="50">
        <f>IF(ISNUMBER(H64),IFERROR(INDEX(Calendrier!$C$2:$C$367,MATCH(H64,Calendrier!$A$2:$A$367,0)),0),"")</f>
        <v>0</v>
      </c>
      <c r="K64" s="50">
        <f t="shared" si="4"/>
        <v>0</v>
      </c>
      <c r="L64" s="50">
        <f>IF(D64="","",IF(COUNTIF(Paramètres!$A$11:$A$40,D64)&gt;0,1,0))</f>
        <v>1</v>
      </c>
    </row>
    <row r="65" spans="1:12" hidden="1" x14ac:dyDescent="0.25">
      <c r="A65" s="49"/>
      <c r="B65" s="49" t="s">
        <v>85</v>
      </c>
      <c r="C65" s="49" t="s">
        <v>172</v>
      </c>
      <c r="D65" s="50" t="str">
        <f t="shared" si="0"/>
        <v>Said Hamrouni</v>
      </c>
      <c r="E65" s="50" t="str">
        <f t="shared" si="1"/>
        <v>janv</v>
      </c>
      <c r="F65" s="50">
        <f t="shared" si="2"/>
        <v>19</v>
      </c>
      <c r="G65" s="50">
        <f t="shared" si="3"/>
        <v>2026</v>
      </c>
      <c r="H65" s="51">
        <f>IF($C65="","",IFERROR(DATE(G65,VLOOKUP(E65,Paramètres!$K$11:$L$40,2,FALSE()),F65),"?"))</f>
        <v>46041</v>
      </c>
      <c r="I65" s="50">
        <f>IF(ISNUMBER(H65),IF(COUNTIFS($D$2:D65,D65,$H$2:H65,H65)=1,1,0),"")</f>
        <v>1</v>
      </c>
      <c r="J65" s="50">
        <f>IF(ISNUMBER(H65),IFERROR(INDEX(Calendrier!$C$2:$C$367,MATCH(H65,Calendrier!$A$2:$A$367,0)),0),"")</f>
        <v>1</v>
      </c>
      <c r="K65" s="50">
        <f t="shared" si="4"/>
        <v>1</v>
      </c>
      <c r="L65" s="50">
        <f>IF(D65="","",IF(COUNTIF(Paramètres!$A$11:$A$40,D65)&gt;0,1,0))</f>
        <v>1</v>
      </c>
    </row>
    <row r="66" spans="1:12" hidden="1" x14ac:dyDescent="0.25">
      <c r="A66" s="49"/>
      <c r="B66" s="49" t="s">
        <v>85</v>
      </c>
      <c r="C66" s="49" t="s">
        <v>173</v>
      </c>
      <c r="D66" s="50" t="str">
        <f t="shared" ref="D66:D129" si="5">IF(B66="","",TRIM(B66))</f>
        <v>Said Hamrouni</v>
      </c>
      <c r="E66" s="50" t="str">
        <f t="shared" ref="E66:E129" si="6">IF($C66="","",LEFT($C66,FIND(" ",$C66)-1))</f>
        <v>janv</v>
      </c>
      <c r="F66" s="50">
        <f t="shared" ref="F66:F129" si="7">IF($C66="","",IFERROR(VALUE(LEFT(MID($C66,FIND(" ",$C66)+1,20),FIND(" ",MID($C66,FIND(" ",$C66)+1,20))-1)),"?"))</f>
        <v>19</v>
      </c>
      <c r="G66" s="50">
        <f t="shared" ref="G66:G129" si="8">IF($C66="","",IFERROR(VALUE(MID(MID($C66,FIND(" ",$C66)+1,20),FIND(" ",MID($C66,FIND(" ",$C66)+1,20))+1,4)),"?"))</f>
        <v>2026</v>
      </c>
      <c r="H66" s="51">
        <f>IF($C66="","",IFERROR(DATE(G66,VLOOKUP(E66,Paramètres!$K$11:$L$40,2,FALSE()),F66),"?"))</f>
        <v>46041</v>
      </c>
      <c r="I66" s="50">
        <f>IF(ISNUMBER(H66),IF(COUNTIFS($D$2:D66,D66,$H$2:H66,H66)=1,1,0),"")</f>
        <v>0</v>
      </c>
      <c r="J66" s="50">
        <f>IF(ISNUMBER(H66),IFERROR(INDEX(Calendrier!$C$2:$C$367,MATCH(H66,Calendrier!$A$2:$A$367,0)),0),"")</f>
        <v>1</v>
      </c>
      <c r="K66" s="50">
        <f t="shared" ref="K66:K129" si="9">IF(ISNUMBER(H66),I66*J66,"")</f>
        <v>0</v>
      </c>
      <c r="L66" s="50">
        <f>IF(D66="","",IF(COUNTIF(Paramètres!$A$11:$A$40,D66)&gt;0,1,0))</f>
        <v>1</v>
      </c>
    </row>
    <row r="67" spans="1:12" hidden="1" x14ac:dyDescent="0.25">
      <c r="A67" s="49"/>
      <c r="B67" s="49" t="s">
        <v>85</v>
      </c>
      <c r="C67" s="49" t="s">
        <v>174</v>
      </c>
      <c r="D67" s="50" t="str">
        <f t="shared" si="5"/>
        <v>Said Hamrouni</v>
      </c>
      <c r="E67" s="50" t="str">
        <f t="shared" si="6"/>
        <v>janv</v>
      </c>
      <c r="F67" s="50">
        <f t="shared" si="7"/>
        <v>23</v>
      </c>
      <c r="G67" s="50">
        <f t="shared" si="8"/>
        <v>2026</v>
      </c>
      <c r="H67" s="51">
        <f>IF($C67="","",IFERROR(DATE(G67,VLOOKUP(E67,Paramètres!$K$11:$L$40,2,FALSE()),F67),"?"))</f>
        <v>46045</v>
      </c>
      <c r="I67" s="50">
        <f>IF(ISNUMBER(H67),IF(COUNTIFS($D$2:D67,D67,$H$2:H67,H67)=1,1,0),"")</f>
        <v>1</v>
      </c>
      <c r="J67" s="50">
        <f>IF(ISNUMBER(H67),IFERROR(INDEX(Calendrier!$C$2:$C$367,MATCH(H67,Calendrier!$A$2:$A$367,0)),0),"")</f>
        <v>1</v>
      </c>
      <c r="K67" s="50">
        <f t="shared" si="9"/>
        <v>1</v>
      </c>
      <c r="L67" s="50">
        <f>IF(D67="","",IF(COUNTIF(Paramètres!$A$11:$A$40,D67)&gt;0,1,0))</f>
        <v>1</v>
      </c>
    </row>
    <row r="68" spans="1:12" hidden="1" x14ac:dyDescent="0.25">
      <c r="A68" s="49"/>
      <c r="B68" s="49" t="s">
        <v>85</v>
      </c>
      <c r="C68" s="49" t="s">
        <v>175</v>
      </c>
      <c r="D68" s="50" t="str">
        <f t="shared" si="5"/>
        <v>Said Hamrouni</v>
      </c>
      <c r="E68" s="50" t="str">
        <f t="shared" si="6"/>
        <v>janv</v>
      </c>
      <c r="F68" s="50">
        <f t="shared" si="7"/>
        <v>26</v>
      </c>
      <c r="G68" s="50">
        <f t="shared" si="8"/>
        <v>2026</v>
      </c>
      <c r="H68" s="51">
        <f>IF($C68="","",IFERROR(DATE(G68,VLOOKUP(E68,Paramètres!$K$11:$L$40,2,FALSE()),F68),"?"))</f>
        <v>46048</v>
      </c>
      <c r="I68" s="50">
        <f>IF(ISNUMBER(H68),IF(COUNTIFS($D$2:D68,D68,$H$2:H68,H68)=1,1,0),"")</f>
        <v>1</v>
      </c>
      <c r="J68" s="50">
        <f>IF(ISNUMBER(H68),IFERROR(INDEX(Calendrier!$C$2:$C$367,MATCH(H68,Calendrier!$A$2:$A$367,0)),0),"")</f>
        <v>1</v>
      </c>
      <c r="K68" s="50">
        <f t="shared" si="9"/>
        <v>1</v>
      </c>
      <c r="L68" s="50">
        <f>IF(D68="","",IF(COUNTIF(Paramètres!$A$11:$A$40,D68)&gt;0,1,0))</f>
        <v>1</v>
      </c>
    </row>
    <row r="69" spans="1:12" hidden="1" x14ac:dyDescent="0.25">
      <c r="A69" s="49"/>
      <c r="B69" s="49" t="s">
        <v>85</v>
      </c>
      <c r="C69" s="49" t="s">
        <v>176</v>
      </c>
      <c r="D69" s="50" t="str">
        <f t="shared" si="5"/>
        <v>Said Hamrouni</v>
      </c>
      <c r="E69" s="50" t="str">
        <f t="shared" si="6"/>
        <v>janv</v>
      </c>
      <c r="F69" s="50">
        <f t="shared" si="7"/>
        <v>28</v>
      </c>
      <c r="G69" s="50">
        <f t="shared" si="8"/>
        <v>2026</v>
      </c>
      <c r="H69" s="51">
        <f>IF($C69="","",IFERROR(DATE(G69,VLOOKUP(E69,Paramètres!$K$11:$L$40,2,FALSE()),F69),"?"))</f>
        <v>46050</v>
      </c>
      <c r="I69" s="50">
        <f>IF(ISNUMBER(H69),IF(COUNTIFS($D$2:D69,D69,$H$2:H69,H69)=1,1,0),"")</f>
        <v>1</v>
      </c>
      <c r="J69" s="50">
        <f>IF(ISNUMBER(H69),IFERROR(INDEX(Calendrier!$C$2:$C$367,MATCH(H69,Calendrier!$A$2:$A$367,0)),0),"")</f>
        <v>1</v>
      </c>
      <c r="K69" s="50">
        <f t="shared" si="9"/>
        <v>1</v>
      </c>
      <c r="L69" s="50">
        <f>IF(D69="","",IF(COUNTIF(Paramètres!$A$11:$A$40,D69)&gt;0,1,0))</f>
        <v>1</v>
      </c>
    </row>
    <row r="70" spans="1:12" hidden="1" x14ac:dyDescent="0.25">
      <c r="A70" s="49"/>
      <c r="B70" s="49" t="s">
        <v>45</v>
      </c>
      <c r="C70" s="49" t="s">
        <v>177</v>
      </c>
      <c r="D70" s="50" t="str">
        <f t="shared" si="5"/>
        <v>Ahlem Moussa</v>
      </c>
      <c r="E70" s="50" t="str">
        <f t="shared" si="6"/>
        <v>janv</v>
      </c>
      <c r="F70" s="50">
        <f t="shared" si="7"/>
        <v>2</v>
      </c>
      <c r="G70" s="50">
        <f t="shared" si="8"/>
        <v>2026</v>
      </c>
      <c r="H70" s="51">
        <f>IF($C70="","",IFERROR(DATE(G70,VLOOKUP(E70,Paramètres!$K$11:$L$40,2,FALSE()),F70),"?"))</f>
        <v>46024</v>
      </c>
      <c r="I70" s="50">
        <f>IF(ISNUMBER(H70),IF(COUNTIFS($D$2:D70,D70,$H$2:H70,H70)=1,1,0),"")</f>
        <v>1</v>
      </c>
      <c r="J70" s="50">
        <f>IF(ISNUMBER(H70),IFERROR(INDEX(Calendrier!$C$2:$C$367,MATCH(H70,Calendrier!$A$2:$A$367,0)),0),"")</f>
        <v>1</v>
      </c>
      <c r="K70" s="50">
        <f t="shared" si="9"/>
        <v>1</v>
      </c>
      <c r="L70" s="50">
        <f>IF(D70="","",IF(COUNTIF(Paramètres!$A$11:$A$40,D70)&gt;0,1,0))</f>
        <v>1</v>
      </c>
    </row>
    <row r="71" spans="1:12" hidden="1" x14ac:dyDescent="0.25">
      <c r="A71" s="49"/>
      <c r="B71" s="49" t="s">
        <v>45</v>
      </c>
      <c r="C71" s="49" t="s">
        <v>178</v>
      </c>
      <c r="D71" s="50" t="str">
        <f t="shared" si="5"/>
        <v>Ahlem Moussa</v>
      </c>
      <c r="E71" s="50" t="str">
        <f t="shared" si="6"/>
        <v>janv</v>
      </c>
      <c r="F71" s="50">
        <f t="shared" si="7"/>
        <v>2</v>
      </c>
      <c r="G71" s="50">
        <f t="shared" si="8"/>
        <v>2026</v>
      </c>
      <c r="H71" s="51">
        <f>IF($C71="","",IFERROR(DATE(G71,VLOOKUP(E71,Paramètres!$K$11:$L$40,2,FALSE()),F71),"?"))</f>
        <v>46024</v>
      </c>
      <c r="I71" s="50">
        <f>IF(ISNUMBER(H71),IF(COUNTIFS($D$2:D71,D71,$H$2:H71,H71)=1,1,0),"")</f>
        <v>0</v>
      </c>
      <c r="J71" s="50">
        <f>IF(ISNUMBER(H71),IFERROR(INDEX(Calendrier!$C$2:$C$367,MATCH(H71,Calendrier!$A$2:$A$367,0)),0),"")</f>
        <v>1</v>
      </c>
      <c r="K71" s="50">
        <f t="shared" si="9"/>
        <v>0</v>
      </c>
      <c r="L71" s="50">
        <f>IF(D71="","",IF(COUNTIF(Paramètres!$A$11:$A$40,D71)&gt;0,1,0))</f>
        <v>1</v>
      </c>
    </row>
    <row r="72" spans="1:12" hidden="1" x14ac:dyDescent="0.25">
      <c r="A72" s="49"/>
      <c r="B72" s="49" t="s">
        <v>45</v>
      </c>
      <c r="C72" s="49" t="s">
        <v>179</v>
      </c>
      <c r="D72" s="50" t="str">
        <f t="shared" si="5"/>
        <v>Ahlem Moussa</v>
      </c>
      <c r="E72" s="50" t="str">
        <f t="shared" si="6"/>
        <v>janv</v>
      </c>
      <c r="F72" s="50">
        <f t="shared" si="7"/>
        <v>3</v>
      </c>
      <c r="G72" s="50">
        <f t="shared" si="8"/>
        <v>2026</v>
      </c>
      <c r="H72" s="51">
        <f>IF($C72="","",IFERROR(DATE(G72,VLOOKUP(E72,Paramètres!$K$11:$L$40,2,FALSE()),F72),"?"))</f>
        <v>46025</v>
      </c>
      <c r="I72" s="50">
        <f>IF(ISNUMBER(H72),IF(COUNTIFS($D$2:D72,D72,$H$2:H72,H72)=1,1,0),"")</f>
        <v>1</v>
      </c>
      <c r="J72" s="50">
        <f>IF(ISNUMBER(H72),IFERROR(INDEX(Calendrier!$C$2:$C$367,MATCH(H72,Calendrier!$A$2:$A$367,0)),0),"")</f>
        <v>0</v>
      </c>
      <c r="K72" s="50">
        <f t="shared" si="9"/>
        <v>0</v>
      </c>
      <c r="L72" s="50">
        <f>IF(D72="","",IF(COUNTIF(Paramètres!$A$11:$A$40,D72)&gt;0,1,0))</f>
        <v>1</v>
      </c>
    </row>
    <row r="73" spans="1:12" hidden="1" x14ac:dyDescent="0.25">
      <c r="A73" s="49"/>
      <c r="B73" s="49" t="s">
        <v>45</v>
      </c>
      <c r="C73" s="49" t="s">
        <v>180</v>
      </c>
      <c r="D73" s="50" t="str">
        <f t="shared" si="5"/>
        <v>Ahlem Moussa</v>
      </c>
      <c r="E73" s="50" t="str">
        <f t="shared" si="6"/>
        <v>janv</v>
      </c>
      <c r="F73" s="50">
        <f t="shared" si="7"/>
        <v>3</v>
      </c>
      <c r="G73" s="50">
        <f t="shared" si="8"/>
        <v>2026</v>
      </c>
      <c r="H73" s="51">
        <f>IF($C73="","",IFERROR(DATE(G73,VLOOKUP(E73,Paramètres!$K$11:$L$40,2,FALSE()),F73),"?"))</f>
        <v>46025</v>
      </c>
      <c r="I73" s="50">
        <f>IF(ISNUMBER(H73),IF(COUNTIFS($D$2:D73,D73,$H$2:H73,H73)=1,1,0),"")</f>
        <v>0</v>
      </c>
      <c r="J73" s="50">
        <f>IF(ISNUMBER(H73),IFERROR(INDEX(Calendrier!$C$2:$C$367,MATCH(H73,Calendrier!$A$2:$A$367,0)),0),"")</f>
        <v>0</v>
      </c>
      <c r="K73" s="50">
        <f t="shared" si="9"/>
        <v>0</v>
      </c>
      <c r="L73" s="50">
        <f>IF(D73="","",IF(COUNTIF(Paramètres!$A$11:$A$40,D73)&gt;0,1,0))</f>
        <v>1</v>
      </c>
    </row>
    <row r="74" spans="1:12" hidden="1" x14ac:dyDescent="0.25">
      <c r="A74" s="49"/>
      <c r="B74" s="49" t="s">
        <v>45</v>
      </c>
      <c r="C74" s="49" t="s">
        <v>181</v>
      </c>
      <c r="D74" s="50" t="str">
        <f t="shared" si="5"/>
        <v>Ahlem Moussa</v>
      </c>
      <c r="E74" s="50" t="str">
        <f t="shared" si="6"/>
        <v>janv</v>
      </c>
      <c r="F74" s="50">
        <f t="shared" si="7"/>
        <v>5</v>
      </c>
      <c r="G74" s="50">
        <f t="shared" si="8"/>
        <v>2026</v>
      </c>
      <c r="H74" s="51">
        <f>IF($C74="","",IFERROR(DATE(G74,VLOOKUP(E74,Paramètres!$K$11:$L$40,2,FALSE()),F74),"?"))</f>
        <v>46027</v>
      </c>
      <c r="I74" s="50">
        <f>IF(ISNUMBER(H74),IF(COUNTIFS($D$2:D74,D74,$H$2:H74,H74)=1,1,0),"")</f>
        <v>1</v>
      </c>
      <c r="J74" s="50">
        <f>IF(ISNUMBER(H74),IFERROR(INDEX(Calendrier!$C$2:$C$367,MATCH(H74,Calendrier!$A$2:$A$367,0)),0),"")</f>
        <v>1</v>
      </c>
      <c r="K74" s="50">
        <f t="shared" si="9"/>
        <v>1</v>
      </c>
      <c r="L74" s="50">
        <f>IF(D74="","",IF(COUNTIF(Paramètres!$A$11:$A$40,D74)&gt;0,1,0))</f>
        <v>1</v>
      </c>
    </row>
    <row r="75" spans="1:12" hidden="1" x14ac:dyDescent="0.25">
      <c r="A75" s="49"/>
      <c r="B75" s="49" t="s">
        <v>45</v>
      </c>
      <c r="C75" s="49" t="s">
        <v>182</v>
      </c>
      <c r="D75" s="50" t="str">
        <f t="shared" si="5"/>
        <v>Ahlem Moussa</v>
      </c>
      <c r="E75" s="50" t="str">
        <f t="shared" si="6"/>
        <v>janv</v>
      </c>
      <c r="F75" s="50">
        <f t="shared" si="7"/>
        <v>6</v>
      </c>
      <c r="G75" s="50">
        <f t="shared" si="8"/>
        <v>2026</v>
      </c>
      <c r="H75" s="51">
        <f>IF($C75="","",IFERROR(DATE(G75,VLOOKUP(E75,Paramètres!$K$11:$L$40,2,FALSE()),F75),"?"))</f>
        <v>46028</v>
      </c>
      <c r="I75" s="50">
        <f>IF(ISNUMBER(H75),IF(COUNTIFS($D$2:D75,D75,$H$2:H75,H75)=1,1,0),"")</f>
        <v>1</v>
      </c>
      <c r="J75" s="50">
        <f>IF(ISNUMBER(H75),IFERROR(INDEX(Calendrier!$C$2:$C$367,MATCH(H75,Calendrier!$A$2:$A$367,0)),0),"")</f>
        <v>1</v>
      </c>
      <c r="K75" s="50">
        <f t="shared" si="9"/>
        <v>1</v>
      </c>
      <c r="L75" s="50">
        <f>IF(D75="","",IF(COUNTIF(Paramètres!$A$11:$A$40,D75)&gt;0,1,0))</f>
        <v>1</v>
      </c>
    </row>
    <row r="76" spans="1:12" hidden="1" x14ac:dyDescent="0.25">
      <c r="A76" s="49"/>
      <c r="B76" s="49" t="s">
        <v>45</v>
      </c>
      <c r="C76" s="49" t="s">
        <v>183</v>
      </c>
      <c r="D76" s="50" t="str">
        <f t="shared" si="5"/>
        <v>Ahlem Moussa</v>
      </c>
      <c r="E76" s="50" t="str">
        <f t="shared" si="6"/>
        <v>janv</v>
      </c>
      <c r="F76" s="50">
        <f t="shared" si="7"/>
        <v>7</v>
      </c>
      <c r="G76" s="50">
        <f t="shared" si="8"/>
        <v>2026</v>
      </c>
      <c r="H76" s="51">
        <f>IF($C76="","",IFERROR(DATE(G76,VLOOKUP(E76,Paramètres!$K$11:$L$40,2,FALSE()),F76),"?"))</f>
        <v>46029</v>
      </c>
      <c r="I76" s="50">
        <f>IF(ISNUMBER(H76),IF(COUNTIFS($D$2:D76,D76,$H$2:H76,H76)=1,1,0),"")</f>
        <v>1</v>
      </c>
      <c r="J76" s="50">
        <f>IF(ISNUMBER(H76),IFERROR(INDEX(Calendrier!$C$2:$C$367,MATCH(H76,Calendrier!$A$2:$A$367,0)),0),"")</f>
        <v>1</v>
      </c>
      <c r="K76" s="50">
        <f t="shared" si="9"/>
        <v>1</v>
      </c>
      <c r="L76" s="50">
        <f>IF(D76="","",IF(COUNTIF(Paramètres!$A$11:$A$40,D76)&gt;0,1,0))</f>
        <v>1</v>
      </c>
    </row>
    <row r="77" spans="1:12" hidden="1" x14ac:dyDescent="0.25">
      <c r="A77" s="49"/>
      <c r="B77" s="49" t="s">
        <v>45</v>
      </c>
      <c r="C77" s="49" t="s">
        <v>184</v>
      </c>
      <c r="D77" s="50" t="str">
        <f t="shared" si="5"/>
        <v>Ahlem Moussa</v>
      </c>
      <c r="E77" s="50" t="str">
        <f t="shared" si="6"/>
        <v>janv</v>
      </c>
      <c r="F77" s="50">
        <f t="shared" si="7"/>
        <v>8</v>
      </c>
      <c r="G77" s="50">
        <f t="shared" si="8"/>
        <v>2026</v>
      </c>
      <c r="H77" s="51">
        <f>IF($C77="","",IFERROR(DATE(G77,VLOOKUP(E77,Paramètres!$K$11:$L$40,2,FALSE()),F77),"?"))</f>
        <v>46030</v>
      </c>
      <c r="I77" s="50">
        <f>IF(ISNUMBER(H77),IF(COUNTIFS($D$2:D77,D77,$H$2:H77,H77)=1,1,0),"")</f>
        <v>1</v>
      </c>
      <c r="J77" s="50">
        <f>IF(ISNUMBER(H77),IFERROR(INDEX(Calendrier!$C$2:$C$367,MATCH(H77,Calendrier!$A$2:$A$367,0)),0),"")</f>
        <v>1</v>
      </c>
      <c r="K77" s="50">
        <f t="shared" si="9"/>
        <v>1</v>
      </c>
      <c r="L77" s="50">
        <f>IF(D77="","",IF(COUNTIF(Paramètres!$A$11:$A$40,D77)&gt;0,1,0))</f>
        <v>1</v>
      </c>
    </row>
    <row r="78" spans="1:12" hidden="1" x14ac:dyDescent="0.25">
      <c r="A78" s="49"/>
      <c r="B78" s="49" t="s">
        <v>45</v>
      </c>
      <c r="C78" s="49" t="s">
        <v>185</v>
      </c>
      <c r="D78" s="50" t="str">
        <f t="shared" si="5"/>
        <v>Ahlem Moussa</v>
      </c>
      <c r="E78" s="50" t="str">
        <f t="shared" si="6"/>
        <v>janv</v>
      </c>
      <c r="F78" s="50">
        <f t="shared" si="7"/>
        <v>12</v>
      </c>
      <c r="G78" s="50">
        <f t="shared" si="8"/>
        <v>2026</v>
      </c>
      <c r="H78" s="51">
        <f>IF($C78="","",IFERROR(DATE(G78,VLOOKUP(E78,Paramètres!$K$11:$L$40,2,FALSE()),F78),"?"))</f>
        <v>46034</v>
      </c>
      <c r="I78" s="50">
        <f>IF(ISNUMBER(H78),IF(COUNTIFS($D$2:D78,D78,$H$2:H78,H78)=1,1,0),"")</f>
        <v>1</v>
      </c>
      <c r="J78" s="50">
        <f>IF(ISNUMBER(H78),IFERROR(INDEX(Calendrier!$C$2:$C$367,MATCH(H78,Calendrier!$A$2:$A$367,0)),0),"")</f>
        <v>1</v>
      </c>
      <c r="K78" s="50">
        <f t="shared" si="9"/>
        <v>1</v>
      </c>
      <c r="L78" s="50">
        <f>IF(D78="","",IF(COUNTIF(Paramètres!$A$11:$A$40,D78)&gt;0,1,0))</f>
        <v>1</v>
      </c>
    </row>
    <row r="79" spans="1:12" hidden="1" x14ac:dyDescent="0.25">
      <c r="A79" s="49"/>
      <c r="B79" s="49" t="s">
        <v>45</v>
      </c>
      <c r="C79" s="49" t="s">
        <v>186</v>
      </c>
      <c r="D79" s="50" t="str">
        <f t="shared" si="5"/>
        <v>Ahlem Moussa</v>
      </c>
      <c r="E79" s="50" t="str">
        <f t="shared" si="6"/>
        <v>janv</v>
      </c>
      <c r="F79" s="50">
        <f t="shared" si="7"/>
        <v>13</v>
      </c>
      <c r="G79" s="50">
        <f t="shared" si="8"/>
        <v>2026</v>
      </c>
      <c r="H79" s="51">
        <f>IF($C79="","",IFERROR(DATE(G79,VLOOKUP(E79,Paramètres!$K$11:$L$40,2,FALSE()),F79),"?"))</f>
        <v>46035</v>
      </c>
      <c r="I79" s="50">
        <f>IF(ISNUMBER(H79),IF(COUNTIFS($D$2:D79,D79,$H$2:H79,H79)=1,1,0),"")</f>
        <v>1</v>
      </c>
      <c r="J79" s="50">
        <f>IF(ISNUMBER(H79),IFERROR(INDEX(Calendrier!$C$2:$C$367,MATCH(H79,Calendrier!$A$2:$A$367,0)),0),"")</f>
        <v>1</v>
      </c>
      <c r="K79" s="50">
        <f t="shared" si="9"/>
        <v>1</v>
      </c>
      <c r="L79" s="50">
        <f>IF(D79="","",IF(COUNTIF(Paramètres!$A$11:$A$40,D79)&gt;0,1,0))</f>
        <v>1</v>
      </c>
    </row>
    <row r="80" spans="1:12" hidden="1" x14ac:dyDescent="0.25">
      <c r="A80" s="49"/>
      <c r="B80" s="49" t="s">
        <v>45</v>
      </c>
      <c r="C80" s="49" t="s">
        <v>187</v>
      </c>
      <c r="D80" s="50" t="str">
        <f t="shared" si="5"/>
        <v>Ahlem Moussa</v>
      </c>
      <c r="E80" s="50" t="str">
        <f t="shared" si="6"/>
        <v>janv</v>
      </c>
      <c r="F80" s="50">
        <f t="shared" si="7"/>
        <v>14</v>
      </c>
      <c r="G80" s="50">
        <f t="shared" si="8"/>
        <v>2026</v>
      </c>
      <c r="H80" s="51">
        <f>IF($C80="","",IFERROR(DATE(G80,VLOOKUP(E80,Paramètres!$K$11:$L$40,2,FALSE()),F80),"?"))</f>
        <v>46036</v>
      </c>
      <c r="I80" s="50">
        <f>IF(ISNUMBER(H80),IF(COUNTIFS($D$2:D80,D80,$H$2:H80,H80)=1,1,0),"")</f>
        <v>1</v>
      </c>
      <c r="J80" s="50">
        <f>IF(ISNUMBER(H80),IFERROR(INDEX(Calendrier!$C$2:$C$367,MATCH(H80,Calendrier!$A$2:$A$367,0)),0),"")</f>
        <v>1</v>
      </c>
      <c r="K80" s="50">
        <f t="shared" si="9"/>
        <v>1</v>
      </c>
      <c r="L80" s="50">
        <f>IF(D80="","",IF(COUNTIF(Paramètres!$A$11:$A$40,D80)&gt;0,1,0))</f>
        <v>1</v>
      </c>
    </row>
    <row r="81" spans="1:12" hidden="1" x14ac:dyDescent="0.25">
      <c r="A81" s="49"/>
      <c r="B81" s="49" t="s">
        <v>45</v>
      </c>
      <c r="C81" s="49" t="s">
        <v>188</v>
      </c>
      <c r="D81" s="50" t="str">
        <f t="shared" si="5"/>
        <v>Ahlem Moussa</v>
      </c>
      <c r="E81" s="50" t="str">
        <f t="shared" si="6"/>
        <v>janv</v>
      </c>
      <c r="F81" s="50">
        <f t="shared" si="7"/>
        <v>16</v>
      </c>
      <c r="G81" s="50">
        <f t="shared" si="8"/>
        <v>2026</v>
      </c>
      <c r="H81" s="51">
        <f>IF($C81="","",IFERROR(DATE(G81,VLOOKUP(E81,Paramètres!$K$11:$L$40,2,FALSE()),F81),"?"))</f>
        <v>46038</v>
      </c>
      <c r="I81" s="50">
        <f>IF(ISNUMBER(H81),IF(COUNTIFS($D$2:D81,D81,$H$2:H81,H81)=1,1,0),"")</f>
        <v>1</v>
      </c>
      <c r="J81" s="50">
        <f>IF(ISNUMBER(H81),IFERROR(INDEX(Calendrier!$C$2:$C$367,MATCH(H81,Calendrier!$A$2:$A$367,0)),0),"")</f>
        <v>1</v>
      </c>
      <c r="K81" s="50">
        <f t="shared" si="9"/>
        <v>1</v>
      </c>
      <c r="L81" s="50">
        <f>IF(D81="","",IF(COUNTIF(Paramètres!$A$11:$A$40,D81)&gt;0,1,0))</f>
        <v>1</v>
      </c>
    </row>
    <row r="82" spans="1:12" hidden="1" x14ac:dyDescent="0.25">
      <c r="A82" s="49"/>
      <c r="B82" s="49" t="s">
        <v>45</v>
      </c>
      <c r="C82" s="49" t="s">
        <v>189</v>
      </c>
      <c r="D82" s="50" t="str">
        <f t="shared" si="5"/>
        <v>Ahlem Moussa</v>
      </c>
      <c r="E82" s="50" t="str">
        <f t="shared" si="6"/>
        <v>janv</v>
      </c>
      <c r="F82" s="50">
        <f t="shared" si="7"/>
        <v>19</v>
      </c>
      <c r="G82" s="50">
        <f t="shared" si="8"/>
        <v>2026</v>
      </c>
      <c r="H82" s="51">
        <f>IF($C82="","",IFERROR(DATE(G82,VLOOKUP(E82,Paramètres!$K$11:$L$40,2,FALSE()),F82),"?"))</f>
        <v>46041</v>
      </c>
      <c r="I82" s="50">
        <f>IF(ISNUMBER(H82),IF(COUNTIFS($D$2:D82,D82,$H$2:H82,H82)=1,1,0),"")</f>
        <v>1</v>
      </c>
      <c r="J82" s="50">
        <f>IF(ISNUMBER(H82),IFERROR(INDEX(Calendrier!$C$2:$C$367,MATCH(H82,Calendrier!$A$2:$A$367,0)),0),"")</f>
        <v>1</v>
      </c>
      <c r="K82" s="50">
        <f t="shared" si="9"/>
        <v>1</v>
      </c>
      <c r="L82" s="50">
        <f>IF(D82="","",IF(COUNTIF(Paramètres!$A$11:$A$40,D82)&gt;0,1,0))</f>
        <v>1</v>
      </c>
    </row>
    <row r="83" spans="1:12" hidden="1" x14ac:dyDescent="0.25">
      <c r="A83" s="49"/>
      <c r="B83" s="49" t="s">
        <v>45</v>
      </c>
      <c r="C83" s="49" t="s">
        <v>190</v>
      </c>
      <c r="D83" s="50" t="str">
        <f t="shared" si="5"/>
        <v>Ahlem Moussa</v>
      </c>
      <c r="E83" s="50" t="str">
        <f t="shared" si="6"/>
        <v>janv</v>
      </c>
      <c r="F83" s="50">
        <f t="shared" si="7"/>
        <v>19</v>
      </c>
      <c r="G83" s="50">
        <f t="shared" si="8"/>
        <v>2026</v>
      </c>
      <c r="H83" s="51">
        <f>IF($C83="","",IFERROR(DATE(G83,VLOOKUP(E83,Paramètres!$K$11:$L$40,2,FALSE()),F83),"?"))</f>
        <v>46041</v>
      </c>
      <c r="I83" s="50">
        <f>IF(ISNUMBER(H83),IF(COUNTIFS($D$2:D83,D83,$H$2:H83,H83)=1,1,0),"")</f>
        <v>0</v>
      </c>
      <c r="J83" s="50">
        <f>IF(ISNUMBER(H83),IFERROR(INDEX(Calendrier!$C$2:$C$367,MATCH(H83,Calendrier!$A$2:$A$367,0)),0),"")</f>
        <v>1</v>
      </c>
      <c r="K83" s="50">
        <f t="shared" si="9"/>
        <v>0</v>
      </c>
      <c r="L83" s="50">
        <f>IF(D83="","",IF(COUNTIF(Paramètres!$A$11:$A$40,D83)&gt;0,1,0))</f>
        <v>1</v>
      </c>
    </row>
    <row r="84" spans="1:12" hidden="1" x14ac:dyDescent="0.25">
      <c r="A84" s="49"/>
      <c r="B84" s="49" t="s">
        <v>45</v>
      </c>
      <c r="C84" s="49" t="s">
        <v>191</v>
      </c>
      <c r="D84" s="50" t="str">
        <f t="shared" si="5"/>
        <v>Ahlem Moussa</v>
      </c>
      <c r="E84" s="50" t="str">
        <f t="shared" si="6"/>
        <v>janv</v>
      </c>
      <c r="F84" s="50">
        <f t="shared" si="7"/>
        <v>19</v>
      </c>
      <c r="G84" s="50">
        <f t="shared" si="8"/>
        <v>2026</v>
      </c>
      <c r="H84" s="51">
        <f>IF($C84="","",IFERROR(DATE(G84,VLOOKUP(E84,Paramètres!$K$11:$L$40,2,FALSE()),F84),"?"))</f>
        <v>46041</v>
      </c>
      <c r="I84" s="50">
        <f>IF(ISNUMBER(H84),IF(COUNTIFS($D$2:D84,D84,$H$2:H84,H84)=1,1,0),"")</f>
        <v>0</v>
      </c>
      <c r="J84" s="50">
        <f>IF(ISNUMBER(H84),IFERROR(INDEX(Calendrier!$C$2:$C$367,MATCH(H84,Calendrier!$A$2:$A$367,0)),0),"")</f>
        <v>1</v>
      </c>
      <c r="K84" s="50">
        <f t="shared" si="9"/>
        <v>0</v>
      </c>
      <c r="L84" s="50">
        <f>IF(D84="","",IF(COUNTIF(Paramètres!$A$11:$A$40,D84)&gt;0,1,0))</f>
        <v>1</v>
      </c>
    </row>
    <row r="85" spans="1:12" hidden="1" x14ac:dyDescent="0.25">
      <c r="A85" s="49"/>
      <c r="B85" s="49" t="s">
        <v>45</v>
      </c>
      <c r="C85" s="49" t="s">
        <v>192</v>
      </c>
      <c r="D85" s="50" t="str">
        <f t="shared" si="5"/>
        <v>Ahlem Moussa</v>
      </c>
      <c r="E85" s="50" t="str">
        <f t="shared" si="6"/>
        <v>janv</v>
      </c>
      <c r="F85" s="50">
        <f t="shared" si="7"/>
        <v>21</v>
      </c>
      <c r="G85" s="50">
        <f t="shared" si="8"/>
        <v>2026</v>
      </c>
      <c r="H85" s="51">
        <f>IF($C85="","",IFERROR(DATE(G85,VLOOKUP(E85,Paramètres!$K$11:$L$40,2,FALSE()),F85),"?"))</f>
        <v>46043</v>
      </c>
      <c r="I85" s="50">
        <f>IF(ISNUMBER(H85),IF(COUNTIFS($D$2:D85,D85,$H$2:H85,H85)=1,1,0),"")</f>
        <v>1</v>
      </c>
      <c r="J85" s="50">
        <f>IF(ISNUMBER(H85),IFERROR(INDEX(Calendrier!$C$2:$C$367,MATCH(H85,Calendrier!$A$2:$A$367,0)),0),"")</f>
        <v>1</v>
      </c>
      <c r="K85" s="50">
        <f t="shared" si="9"/>
        <v>1</v>
      </c>
      <c r="L85" s="50">
        <f>IF(D85="","",IF(COUNTIF(Paramètres!$A$11:$A$40,D85)&gt;0,1,0))</f>
        <v>1</v>
      </c>
    </row>
    <row r="86" spans="1:12" hidden="1" x14ac:dyDescent="0.25">
      <c r="A86" s="49"/>
      <c r="B86" s="49" t="s">
        <v>45</v>
      </c>
      <c r="C86" s="49" t="s">
        <v>193</v>
      </c>
      <c r="D86" s="50" t="str">
        <f t="shared" si="5"/>
        <v>Ahlem Moussa</v>
      </c>
      <c r="E86" s="50" t="str">
        <f t="shared" si="6"/>
        <v>janv</v>
      </c>
      <c r="F86" s="50">
        <f t="shared" si="7"/>
        <v>22</v>
      </c>
      <c r="G86" s="50">
        <f t="shared" si="8"/>
        <v>2026</v>
      </c>
      <c r="H86" s="51">
        <f>IF($C86="","",IFERROR(DATE(G86,VLOOKUP(E86,Paramètres!$K$11:$L$40,2,FALSE()),F86),"?"))</f>
        <v>46044</v>
      </c>
      <c r="I86" s="50">
        <f>IF(ISNUMBER(H86),IF(COUNTIFS($D$2:D86,D86,$H$2:H86,H86)=1,1,0),"")</f>
        <v>1</v>
      </c>
      <c r="J86" s="50">
        <f>IF(ISNUMBER(H86),IFERROR(INDEX(Calendrier!$C$2:$C$367,MATCH(H86,Calendrier!$A$2:$A$367,0)),0),"")</f>
        <v>1</v>
      </c>
      <c r="K86" s="50">
        <f t="shared" si="9"/>
        <v>1</v>
      </c>
      <c r="L86" s="50">
        <f>IF(D86="","",IF(COUNTIF(Paramètres!$A$11:$A$40,D86)&gt;0,1,0))</f>
        <v>1</v>
      </c>
    </row>
    <row r="87" spans="1:12" hidden="1" x14ac:dyDescent="0.25">
      <c r="A87" s="49"/>
      <c r="B87" s="49" t="s">
        <v>45</v>
      </c>
      <c r="C87" s="49" t="s">
        <v>194</v>
      </c>
      <c r="D87" s="50" t="str">
        <f t="shared" si="5"/>
        <v>Ahlem Moussa</v>
      </c>
      <c r="E87" s="50" t="str">
        <f t="shared" si="6"/>
        <v>janv</v>
      </c>
      <c r="F87" s="50">
        <f t="shared" si="7"/>
        <v>22</v>
      </c>
      <c r="G87" s="50">
        <f t="shared" si="8"/>
        <v>2026</v>
      </c>
      <c r="H87" s="51">
        <f>IF($C87="","",IFERROR(DATE(G87,VLOOKUP(E87,Paramètres!$K$11:$L$40,2,FALSE()),F87),"?"))</f>
        <v>46044</v>
      </c>
      <c r="I87" s="50">
        <f>IF(ISNUMBER(H87),IF(COUNTIFS($D$2:D87,D87,$H$2:H87,H87)=1,1,0),"")</f>
        <v>0</v>
      </c>
      <c r="J87" s="50">
        <f>IF(ISNUMBER(H87),IFERROR(INDEX(Calendrier!$C$2:$C$367,MATCH(H87,Calendrier!$A$2:$A$367,0)),0),"")</f>
        <v>1</v>
      </c>
      <c r="K87" s="50">
        <f t="shared" si="9"/>
        <v>0</v>
      </c>
      <c r="L87" s="50">
        <f>IF(D87="","",IF(COUNTIF(Paramètres!$A$11:$A$40,D87)&gt;0,1,0))</f>
        <v>1</v>
      </c>
    </row>
    <row r="88" spans="1:12" hidden="1" x14ac:dyDescent="0.25">
      <c r="A88" s="49"/>
      <c r="B88" s="49" t="s">
        <v>45</v>
      </c>
      <c r="C88" s="49" t="s">
        <v>195</v>
      </c>
      <c r="D88" s="50" t="str">
        <f t="shared" si="5"/>
        <v>Ahlem Moussa</v>
      </c>
      <c r="E88" s="50" t="str">
        <f t="shared" si="6"/>
        <v>janv</v>
      </c>
      <c r="F88" s="50">
        <f t="shared" si="7"/>
        <v>26</v>
      </c>
      <c r="G88" s="50">
        <f t="shared" si="8"/>
        <v>2026</v>
      </c>
      <c r="H88" s="51">
        <f>IF($C88="","",IFERROR(DATE(G88,VLOOKUP(E88,Paramètres!$K$11:$L$40,2,FALSE()),F88),"?"))</f>
        <v>46048</v>
      </c>
      <c r="I88" s="50">
        <f>IF(ISNUMBER(H88),IF(COUNTIFS($D$2:D88,D88,$H$2:H88,H88)=1,1,0),"")</f>
        <v>1</v>
      </c>
      <c r="J88" s="50">
        <f>IF(ISNUMBER(H88),IFERROR(INDEX(Calendrier!$C$2:$C$367,MATCH(H88,Calendrier!$A$2:$A$367,0)),0),"")</f>
        <v>1</v>
      </c>
      <c r="K88" s="50">
        <f t="shared" si="9"/>
        <v>1</v>
      </c>
      <c r="L88" s="50">
        <f>IF(D88="","",IF(COUNTIF(Paramètres!$A$11:$A$40,D88)&gt;0,1,0))</f>
        <v>1</v>
      </c>
    </row>
    <row r="89" spans="1:12" hidden="1" x14ac:dyDescent="0.25">
      <c r="A89" s="49"/>
      <c r="B89" s="49" t="s">
        <v>45</v>
      </c>
      <c r="C89" s="49" t="s">
        <v>196</v>
      </c>
      <c r="D89" s="50" t="str">
        <f t="shared" si="5"/>
        <v>Ahlem Moussa</v>
      </c>
      <c r="E89" s="50" t="str">
        <f t="shared" si="6"/>
        <v>janv</v>
      </c>
      <c r="F89" s="50">
        <f t="shared" si="7"/>
        <v>27</v>
      </c>
      <c r="G89" s="50">
        <f t="shared" si="8"/>
        <v>2026</v>
      </c>
      <c r="H89" s="51">
        <f>IF($C89="","",IFERROR(DATE(G89,VLOOKUP(E89,Paramètres!$K$11:$L$40,2,FALSE()),F89),"?"))</f>
        <v>46049</v>
      </c>
      <c r="I89" s="50">
        <f>IF(ISNUMBER(H89),IF(COUNTIFS($D$2:D89,D89,$H$2:H89,H89)=1,1,0),"")</f>
        <v>1</v>
      </c>
      <c r="J89" s="50">
        <f>IF(ISNUMBER(H89),IFERROR(INDEX(Calendrier!$C$2:$C$367,MATCH(H89,Calendrier!$A$2:$A$367,0)),0),"")</f>
        <v>1</v>
      </c>
      <c r="K89" s="50">
        <f t="shared" si="9"/>
        <v>1</v>
      </c>
      <c r="L89" s="50">
        <f>IF(D89="","",IF(COUNTIF(Paramètres!$A$11:$A$40,D89)&gt;0,1,0))</f>
        <v>1</v>
      </c>
    </row>
    <row r="90" spans="1:12" hidden="1" x14ac:dyDescent="0.25">
      <c r="A90" s="49"/>
      <c r="B90" s="49" t="s">
        <v>45</v>
      </c>
      <c r="C90" s="49" t="s">
        <v>196</v>
      </c>
      <c r="D90" s="50" t="str">
        <f t="shared" si="5"/>
        <v>Ahlem Moussa</v>
      </c>
      <c r="E90" s="50" t="str">
        <f t="shared" si="6"/>
        <v>janv</v>
      </c>
      <c r="F90" s="50">
        <f t="shared" si="7"/>
        <v>27</v>
      </c>
      <c r="G90" s="50">
        <f t="shared" si="8"/>
        <v>2026</v>
      </c>
      <c r="H90" s="51">
        <f>IF($C90="","",IFERROR(DATE(G90,VLOOKUP(E90,Paramètres!$K$11:$L$40,2,FALSE()),F90),"?"))</f>
        <v>46049</v>
      </c>
      <c r="I90" s="50">
        <f>IF(ISNUMBER(H90),IF(COUNTIFS($D$2:D90,D90,$H$2:H90,H90)=1,1,0),"")</f>
        <v>0</v>
      </c>
      <c r="J90" s="50">
        <f>IF(ISNUMBER(H90),IFERROR(INDEX(Calendrier!$C$2:$C$367,MATCH(H90,Calendrier!$A$2:$A$367,0)),0),"")</f>
        <v>1</v>
      </c>
      <c r="K90" s="50">
        <f t="shared" si="9"/>
        <v>0</v>
      </c>
      <c r="L90" s="50">
        <f>IF(D90="","",IF(COUNTIF(Paramètres!$A$11:$A$40,D90)&gt;0,1,0))</f>
        <v>1</v>
      </c>
    </row>
    <row r="91" spans="1:12" hidden="1" x14ac:dyDescent="0.25">
      <c r="A91" s="49"/>
      <c r="B91" s="49" t="s">
        <v>45</v>
      </c>
      <c r="C91" s="49" t="s">
        <v>197</v>
      </c>
      <c r="D91" s="50" t="str">
        <f t="shared" si="5"/>
        <v>Ahlem Moussa</v>
      </c>
      <c r="E91" s="50" t="str">
        <f t="shared" si="6"/>
        <v>janv</v>
      </c>
      <c r="F91" s="50">
        <f t="shared" si="7"/>
        <v>29</v>
      </c>
      <c r="G91" s="50">
        <f t="shared" si="8"/>
        <v>2026</v>
      </c>
      <c r="H91" s="51">
        <f>IF($C91="","",IFERROR(DATE(G91,VLOOKUP(E91,Paramètres!$K$11:$L$40,2,FALSE()),F91),"?"))</f>
        <v>46051</v>
      </c>
      <c r="I91" s="50">
        <f>IF(ISNUMBER(H91),IF(COUNTIFS($D$2:D91,D91,$H$2:H91,H91)=1,1,0),"")</f>
        <v>1</v>
      </c>
      <c r="J91" s="50">
        <f>IF(ISNUMBER(H91),IFERROR(INDEX(Calendrier!$C$2:$C$367,MATCH(H91,Calendrier!$A$2:$A$367,0)),0),"")</f>
        <v>1</v>
      </c>
      <c r="K91" s="50">
        <f t="shared" si="9"/>
        <v>1</v>
      </c>
      <c r="L91" s="50">
        <f>IF(D91="","",IF(COUNTIF(Paramètres!$A$11:$A$40,D91)&gt;0,1,0))</f>
        <v>1</v>
      </c>
    </row>
    <row r="92" spans="1:12" hidden="1" x14ac:dyDescent="0.25">
      <c r="A92" s="49"/>
      <c r="B92" s="49" t="s">
        <v>45</v>
      </c>
      <c r="C92" s="49" t="s">
        <v>198</v>
      </c>
      <c r="D92" s="50" t="str">
        <f t="shared" si="5"/>
        <v>Ahlem Moussa</v>
      </c>
      <c r="E92" s="50" t="str">
        <f t="shared" si="6"/>
        <v>janv</v>
      </c>
      <c r="F92" s="50">
        <f t="shared" si="7"/>
        <v>30</v>
      </c>
      <c r="G92" s="50">
        <f t="shared" si="8"/>
        <v>2026</v>
      </c>
      <c r="H92" s="51">
        <f>IF($C92="","",IFERROR(DATE(G92,VLOOKUP(E92,Paramètres!$K$11:$L$40,2,FALSE()),F92),"?"))</f>
        <v>46052</v>
      </c>
      <c r="I92" s="50">
        <f>IF(ISNUMBER(H92),IF(COUNTIFS($D$2:D92,D92,$H$2:H92,H92)=1,1,0),"")</f>
        <v>1</v>
      </c>
      <c r="J92" s="50">
        <f>IF(ISNUMBER(H92),IFERROR(INDEX(Calendrier!$C$2:$C$367,MATCH(H92,Calendrier!$A$2:$A$367,0)),0),"")</f>
        <v>1</v>
      </c>
      <c r="K92" s="50">
        <f t="shared" si="9"/>
        <v>1</v>
      </c>
      <c r="L92" s="50">
        <f>IF(D92="","",IF(COUNTIF(Paramètres!$A$11:$A$40,D92)&gt;0,1,0))</f>
        <v>1</v>
      </c>
    </row>
    <row r="93" spans="1:12" hidden="1" x14ac:dyDescent="0.25">
      <c r="A93" s="49"/>
      <c r="B93" s="49" t="s">
        <v>45</v>
      </c>
      <c r="C93" s="49" t="s">
        <v>198</v>
      </c>
      <c r="D93" s="50" t="str">
        <f t="shared" si="5"/>
        <v>Ahlem Moussa</v>
      </c>
      <c r="E93" s="50" t="str">
        <f t="shared" si="6"/>
        <v>janv</v>
      </c>
      <c r="F93" s="50">
        <f t="shared" si="7"/>
        <v>30</v>
      </c>
      <c r="G93" s="50">
        <f t="shared" si="8"/>
        <v>2026</v>
      </c>
      <c r="H93" s="51">
        <f>IF($C93="","",IFERROR(DATE(G93,VLOOKUP(E93,Paramètres!$K$11:$L$40,2,FALSE()),F93),"?"))</f>
        <v>46052</v>
      </c>
      <c r="I93" s="50">
        <f>IF(ISNUMBER(H93),IF(COUNTIFS($D$2:D93,D93,$H$2:H93,H93)=1,1,0),"")</f>
        <v>0</v>
      </c>
      <c r="J93" s="50">
        <f>IF(ISNUMBER(H93),IFERROR(INDEX(Calendrier!$C$2:$C$367,MATCH(H93,Calendrier!$A$2:$A$367,0)),0),"")</f>
        <v>1</v>
      </c>
      <c r="K93" s="50">
        <f t="shared" si="9"/>
        <v>0</v>
      </c>
      <c r="L93" s="50">
        <f>IF(D93="","",IF(COUNTIF(Paramètres!$A$11:$A$40,D93)&gt;0,1,0))</f>
        <v>1</v>
      </c>
    </row>
    <row r="94" spans="1:12" hidden="1" x14ac:dyDescent="0.25">
      <c r="A94" s="49"/>
      <c r="B94" s="49" t="s">
        <v>48</v>
      </c>
      <c r="C94" s="49" t="s">
        <v>199</v>
      </c>
      <c r="D94" s="50" t="str">
        <f t="shared" si="5"/>
        <v>Amani Nasser</v>
      </c>
      <c r="E94" s="50" t="str">
        <f t="shared" si="6"/>
        <v>janv</v>
      </c>
      <c r="F94" s="50">
        <f t="shared" si="7"/>
        <v>3</v>
      </c>
      <c r="G94" s="50">
        <f t="shared" si="8"/>
        <v>2026</v>
      </c>
      <c r="H94" s="51">
        <f>IF($C94="","",IFERROR(DATE(G94,VLOOKUP(E94,Paramètres!$K$11:$L$40,2,FALSE()),F94),"?"))</f>
        <v>46025</v>
      </c>
      <c r="I94" s="50">
        <f>IF(ISNUMBER(H94),IF(COUNTIFS($D$2:D94,D94,$H$2:H94,H94)=1,1,0),"")</f>
        <v>1</v>
      </c>
      <c r="J94" s="50">
        <f>IF(ISNUMBER(H94),IFERROR(INDEX(Calendrier!$C$2:$C$367,MATCH(H94,Calendrier!$A$2:$A$367,0)),0),"")</f>
        <v>0</v>
      </c>
      <c r="K94" s="50">
        <f t="shared" si="9"/>
        <v>0</v>
      </c>
      <c r="L94" s="50">
        <f>IF(D94="","",IF(COUNTIF(Paramètres!$A$11:$A$40,D94)&gt;0,1,0))</f>
        <v>1</v>
      </c>
    </row>
    <row r="95" spans="1:12" hidden="1" x14ac:dyDescent="0.25">
      <c r="A95" s="49"/>
      <c r="B95" s="49" t="s">
        <v>48</v>
      </c>
      <c r="C95" s="49" t="s">
        <v>200</v>
      </c>
      <c r="D95" s="50" t="str">
        <f t="shared" si="5"/>
        <v>Amani Nasser</v>
      </c>
      <c r="E95" s="50" t="str">
        <f t="shared" si="6"/>
        <v>janv</v>
      </c>
      <c r="F95" s="50">
        <f t="shared" si="7"/>
        <v>3</v>
      </c>
      <c r="G95" s="50">
        <f t="shared" si="8"/>
        <v>2026</v>
      </c>
      <c r="H95" s="51">
        <f>IF($C95="","",IFERROR(DATE(G95,VLOOKUP(E95,Paramètres!$K$11:$L$40,2,FALSE()),F95),"?"))</f>
        <v>46025</v>
      </c>
      <c r="I95" s="50">
        <f>IF(ISNUMBER(H95),IF(COUNTIFS($D$2:D95,D95,$H$2:H95,H95)=1,1,0),"")</f>
        <v>0</v>
      </c>
      <c r="J95" s="50">
        <f>IF(ISNUMBER(H95),IFERROR(INDEX(Calendrier!$C$2:$C$367,MATCH(H95,Calendrier!$A$2:$A$367,0)),0),"")</f>
        <v>0</v>
      </c>
      <c r="K95" s="50">
        <f t="shared" si="9"/>
        <v>0</v>
      </c>
      <c r="L95" s="50">
        <f>IF(D95="","",IF(COUNTIF(Paramètres!$A$11:$A$40,D95)&gt;0,1,0))</f>
        <v>1</v>
      </c>
    </row>
    <row r="96" spans="1:12" hidden="1" x14ac:dyDescent="0.25">
      <c r="A96" s="49"/>
      <c r="B96" s="49" t="s">
        <v>48</v>
      </c>
      <c r="C96" s="49" t="s">
        <v>201</v>
      </c>
      <c r="D96" s="50" t="str">
        <f t="shared" si="5"/>
        <v>Amani Nasser</v>
      </c>
      <c r="E96" s="50" t="str">
        <f t="shared" si="6"/>
        <v>janv</v>
      </c>
      <c r="F96" s="50">
        <f t="shared" si="7"/>
        <v>5</v>
      </c>
      <c r="G96" s="50">
        <f t="shared" si="8"/>
        <v>2026</v>
      </c>
      <c r="H96" s="51">
        <f>IF($C96="","",IFERROR(DATE(G96,VLOOKUP(E96,Paramètres!$K$11:$L$40,2,FALSE()),F96),"?"))</f>
        <v>46027</v>
      </c>
      <c r="I96" s="50">
        <f>IF(ISNUMBER(H96),IF(COUNTIFS($D$2:D96,D96,$H$2:H96,H96)=1,1,0),"")</f>
        <v>1</v>
      </c>
      <c r="J96" s="50">
        <f>IF(ISNUMBER(H96),IFERROR(INDEX(Calendrier!$C$2:$C$367,MATCH(H96,Calendrier!$A$2:$A$367,0)),0),"")</f>
        <v>1</v>
      </c>
      <c r="K96" s="50">
        <f t="shared" si="9"/>
        <v>1</v>
      </c>
      <c r="L96" s="50">
        <f>IF(D96="","",IF(COUNTIF(Paramètres!$A$11:$A$40,D96)&gt;0,1,0))</f>
        <v>1</v>
      </c>
    </row>
    <row r="97" spans="1:12" hidden="1" x14ac:dyDescent="0.25">
      <c r="A97" s="49"/>
      <c r="B97" s="49" t="s">
        <v>48</v>
      </c>
      <c r="C97" s="49" t="s">
        <v>202</v>
      </c>
      <c r="D97" s="50" t="str">
        <f t="shared" si="5"/>
        <v>Amani Nasser</v>
      </c>
      <c r="E97" s="50" t="str">
        <f t="shared" si="6"/>
        <v>janv</v>
      </c>
      <c r="F97" s="50">
        <f t="shared" si="7"/>
        <v>7</v>
      </c>
      <c r="G97" s="50">
        <f t="shared" si="8"/>
        <v>2026</v>
      </c>
      <c r="H97" s="51">
        <f>IF($C97="","",IFERROR(DATE(G97,VLOOKUP(E97,Paramètres!$K$11:$L$40,2,FALSE()),F97),"?"))</f>
        <v>46029</v>
      </c>
      <c r="I97" s="50">
        <f>IF(ISNUMBER(H97),IF(COUNTIFS($D$2:D97,D97,$H$2:H97,H97)=1,1,0),"")</f>
        <v>1</v>
      </c>
      <c r="J97" s="50">
        <f>IF(ISNUMBER(H97),IFERROR(INDEX(Calendrier!$C$2:$C$367,MATCH(H97,Calendrier!$A$2:$A$367,0)),0),"")</f>
        <v>1</v>
      </c>
      <c r="K97" s="50">
        <f t="shared" si="9"/>
        <v>1</v>
      </c>
      <c r="L97" s="50">
        <f>IF(D97="","",IF(COUNTIF(Paramètres!$A$11:$A$40,D97)&gt;0,1,0))</f>
        <v>1</v>
      </c>
    </row>
    <row r="98" spans="1:12" hidden="1" x14ac:dyDescent="0.25">
      <c r="A98" s="49"/>
      <c r="B98" s="49" t="s">
        <v>71</v>
      </c>
      <c r="C98" s="49" t="s">
        <v>203</v>
      </c>
      <c r="D98" s="50" t="str">
        <f t="shared" si="5"/>
        <v>Mohamed Sniha</v>
      </c>
      <c r="E98" s="50" t="str">
        <f t="shared" si="6"/>
        <v>janv</v>
      </c>
      <c r="F98" s="50">
        <f t="shared" si="7"/>
        <v>5</v>
      </c>
      <c r="G98" s="50">
        <f t="shared" si="8"/>
        <v>2026</v>
      </c>
      <c r="H98" s="51">
        <f>IF($C98="","",IFERROR(DATE(G98,VLOOKUP(E98,Paramètres!$K$11:$L$40,2,FALSE()),F98),"?"))</f>
        <v>46027</v>
      </c>
      <c r="I98" s="50">
        <f>IF(ISNUMBER(H98),IF(COUNTIFS($D$2:D98,D98,$H$2:H98,H98)=1,1,0),"")</f>
        <v>1</v>
      </c>
      <c r="J98" s="50">
        <f>IF(ISNUMBER(H98),IFERROR(INDEX(Calendrier!$C$2:$C$367,MATCH(H98,Calendrier!$A$2:$A$367,0)),0),"")</f>
        <v>1</v>
      </c>
      <c r="K98" s="50">
        <f t="shared" si="9"/>
        <v>1</v>
      </c>
      <c r="L98" s="50">
        <f>IF(D98="","",IF(COUNTIF(Paramètres!$A$11:$A$40,D98)&gt;0,1,0))</f>
        <v>1</v>
      </c>
    </row>
    <row r="99" spans="1:12" hidden="1" x14ac:dyDescent="0.25">
      <c r="A99" s="49"/>
      <c r="B99" s="49" t="s">
        <v>71</v>
      </c>
      <c r="C99" s="49" t="s">
        <v>204</v>
      </c>
      <c r="D99" s="50" t="str">
        <f t="shared" si="5"/>
        <v>Mohamed Sniha</v>
      </c>
      <c r="E99" s="50" t="str">
        <f t="shared" si="6"/>
        <v>janv</v>
      </c>
      <c r="F99" s="50">
        <f t="shared" si="7"/>
        <v>7</v>
      </c>
      <c r="G99" s="50">
        <f t="shared" si="8"/>
        <v>2026</v>
      </c>
      <c r="H99" s="51">
        <f>IF($C99="","",IFERROR(DATE(G99,VLOOKUP(E99,Paramètres!$K$11:$L$40,2,FALSE()),F99),"?"))</f>
        <v>46029</v>
      </c>
      <c r="I99" s="50">
        <f>IF(ISNUMBER(H99),IF(COUNTIFS($D$2:D99,D99,$H$2:H99,H99)=1,1,0),"")</f>
        <v>1</v>
      </c>
      <c r="J99" s="50">
        <f>IF(ISNUMBER(H99),IFERROR(INDEX(Calendrier!$C$2:$C$367,MATCH(H99,Calendrier!$A$2:$A$367,0)),0),"")</f>
        <v>1</v>
      </c>
      <c r="K99" s="50">
        <f t="shared" si="9"/>
        <v>1</v>
      </c>
      <c r="L99" s="50">
        <f>IF(D99="","",IF(COUNTIF(Paramètres!$A$11:$A$40,D99)&gt;0,1,0))</f>
        <v>1</v>
      </c>
    </row>
    <row r="100" spans="1:12" hidden="1" x14ac:dyDescent="0.25">
      <c r="A100" s="49"/>
      <c r="B100" s="49" t="s">
        <v>71</v>
      </c>
      <c r="C100" s="49" t="s">
        <v>205</v>
      </c>
      <c r="D100" s="50" t="str">
        <f t="shared" si="5"/>
        <v>Mohamed Sniha</v>
      </c>
      <c r="E100" s="50" t="str">
        <f t="shared" si="6"/>
        <v>janv</v>
      </c>
      <c r="F100" s="50">
        <f t="shared" si="7"/>
        <v>7</v>
      </c>
      <c r="G100" s="50">
        <f t="shared" si="8"/>
        <v>2026</v>
      </c>
      <c r="H100" s="51">
        <f>IF($C100="","",IFERROR(DATE(G100,VLOOKUP(E100,Paramètres!$K$11:$L$40,2,FALSE()),F100),"?"))</f>
        <v>46029</v>
      </c>
      <c r="I100" s="50">
        <f>IF(ISNUMBER(H100),IF(COUNTIFS($D$2:D100,D100,$H$2:H100,H100)=1,1,0),"")</f>
        <v>0</v>
      </c>
      <c r="J100" s="50">
        <f>IF(ISNUMBER(H100),IFERROR(INDEX(Calendrier!$C$2:$C$367,MATCH(H100,Calendrier!$A$2:$A$367,0)),0),"")</f>
        <v>1</v>
      </c>
      <c r="K100" s="50">
        <f t="shared" si="9"/>
        <v>0</v>
      </c>
      <c r="L100" s="50">
        <f>IF(D100="","",IF(COUNTIF(Paramètres!$A$11:$A$40,D100)&gt;0,1,0))</f>
        <v>1</v>
      </c>
    </row>
    <row r="101" spans="1:12" hidden="1" x14ac:dyDescent="0.25">
      <c r="A101" s="49"/>
      <c r="B101" s="49" t="s">
        <v>71</v>
      </c>
      <c r="C101" s="49" t="s">
        <v>206</v>
      </c>
      <c r="D101" s="50" t="str">
        <f t="shared" si="5"/>
        <v>Mohamed Sniha</v>
      </c>
      <c r="E101" s="50" t="str">
        <f t="shared" si="6"/>
        <v>janv</v>
      </c>
      <c r="F101" s="50">
        <f t="shared" si="7"/>
        <v>13</v>
      </c>
      <c r="G101" s="50">
        <f t="shared" si="8"/>
        <v>2026</v>
      </c>
      <c r="H101" s="51">
        <f>IF($C101="","",IFERROR(DATE(G101,VLOOKUP(E101,Paramètres!$K$11:$L$40,2,FALSE()),F101),"?"))</f>
        <v>46035</v>
      </c>
      <c r="I101" s="50">
        <f>IF(ISNUMBER(H101),IF(COUNTIFS($D$2:D101,D101,$H$2:H101,H101)=1,1,0),"")</f>
        <v>1</v>
      </c>
      <c r="J101" s="50">
        <f>IF(ISNUMBER(H101),IFERROR(INDEX(Calendrier!$C$2:$C$367,MATCH(H101,Calendrier!$A$2:$A$367,0)),0),"")</f>
        <v>1</v>
      </c>
      <c r="K101" s="50">
        <f t="shared" si="9"/>
        <v>1</v>
      </c>
      <c r="L101" s="50">
        <f>IF(D101="","",IF(COUNTIF(Paramètres!$A$11:$A$40,D101)&gt;0,1,0))</f>
        <v>1</v>
      </c>
    </row>
    <row r="102" spans="1:12" hidden="1" x14ac:dyDescent="0.25">
      <c r="A102" s="49"/>
      <c r="B102" s="49" t="s">
        <v>71</v>
      </c>
      <c r="C102" s="49" t="s">
        <v>207</v>
      </c>
      <c r="D102" s="50" t="str">
        <f t="shared" si="5"/>
        <v>Mohamed Sniha</v>
      </c>
      <c r="E102" s="50" t="str">
        <f t="shared" si="6"/>
        <v>janv</v>
      </c>
      <c r="F102" s="50">
        <f t="shared" si="7"/>
        <v>16</v>
      </c>
      <c r="G102" s="50">
        <f t="shared" si="8"/>
        <v>2026</v>
      </c>
      <c r="H102" s="51">
        <f>IF($C102="","",IFERROR(DATE(G102,VLOOKUP(E102,Paramètres!$K$11:$L$40,2,FALSE()),F102),"?"))</f>
        <v>46038</v>
      </c>
      <c r="I102" s="50">
        <f>IF(ISNUMBER(H102),IF(COUNTIFS($D$2:D102,D102,$H$2:H102,H102)=1,1,0),"")</f>
        <v>1</v>
      </c>
      <c r="J102" s="50">
        <f>IF(ISNUMBER(H102),IFERROR(INDEX(Calendrier!$C$2:$C$367,MATCH(H102,Calendrier!$A$2:$A$367,0)),0),"")</f>
        <v>1</v>
      </c>
      <c r="K102" s="50">
        <f t="shared" si="9"/>
        <v>1</v>
      </c>
      <c r="L102" s="50">
        <f>IF(D102="","",IF(COUNTIF(Paramètres!$A$11:$A$40,D102)&gt;0,1,0))</f>
        <v>1</v>
      </c>
    </row>
    <row r="103" spans="1:12" hidden="1" x14ac:dyDescent="0.25">
      <c r="A103" s="49"/>
      <c r="B103" s="49" t="s">
        <v>73</v>
      </c>
      <c r="C103" s="49" t="s">
        <v>208</v>
      </c>
      <c r="D103" s="50" t="str">
        <f t="shared" si="5"/>
        <v>Mourad Ayari</v>
      </c>
      <c r="E103" s="50" t="str">
        <f t="shared" si="6"/>
        <v>janv</v>
      </c>
      <c r="F103" s="50">
        <f t="shared" si="7"/>
        <v>7</v>
      </c>
      <c r="G103" s="50">
        <f t="shared" si="8"/>
        <v>2026</v>
      </c>
      <c r="H103" s="51">
        <f>IF($C103="","",IFERROR(DATE(G103,VLOOKUP(E103,Paramètres!$K$11:$L$40,2,FALSE()),F103),"?"))</f>
        <v>46029</v>
      </c>
      <c r="I103" s="50">
        <f>IF(ISNUMBER(H103),IF(COUNTIFS($D$2:D103,D103,$H$2:H103,H103)=1,1,0),"")</f>
        <v>1</v>
      </c>
      <c r="J103" s="50">
        <f>IF(ISNUMBER(H103),IFERROR(INDEX(Calendrier!$C$2:$C$367,MATCH(H103,Calendrier!$A$2:$A$367,0)),0),"")</f>
        <v>1</v>
      </c>
      <c r="K103" s="50">
        <f t="shared" si="9"/>
        <v>1</v>
      </c>
      <c r="L103" s="50">
        <f>IF(D103="","",IF(COUNTIF(Paramètres!$A$11:$A$40,D103)&gt;0,1,0))</f>
        <v>1</v>
      </c>
    </row>
    <row r="104" spans="1:12" hidden="1" x14ac:dyDescent="0.25">
      <c r="A104" s="49"/>
      <c r="B104" s="49" t="s">
        <v>73</v>
      </c>
      <c r="C104" s="49" t="s">
        <v>209</v>
      </c>
      <c r="D104" s="50" t="str">
        <f t="shared" si="5"/>
        <v>Mourad Ayari</v>
      </c>
      <c r="E104" s="50" t="str">
        <f t="shared" si="6"/>
        <v>janv</v>
      </c>
      <c r="F104" s="50">
        <f t="shared" si="7"/>
        <v>16</v>
      </c>
      <c r="G104" s="50">
        <f t="shared" si="8"/>
        <v>2026</v>
      </c>
      <c r="H104" s="51">
        <f>IF($C104="","",IFERROR(DATE(G104,VLOOKUP(E104,Paramètres!$K$11:$L$40,2,FALSE()),F104),"?"))</f>
        <v>46038</v>
      </c>
      <c r="I104" s="50">
        <f>IF(ISNUMBER(H104),IF(COUNTIFS($D$2:D104,D104,$H$2:H104,H104)=1,1,0),"")</f>
        <v>1</v>
      </c>
      <c r="J104" s="50">
        <f>IF(ISNUMBER(H104),IFERROR(INDEX(Calendrier!$C$2:$C$367,MATCH(H104,Calendrier!$A$2:$A$367,0)),0),"")</f>
        <v>1</v>
      </c>
      <c r="K104" s="50">
        <f t="shared" si="9"/>
        <v>1</v>
      </c>
      <c r="L104" s="50">
        <f>IF(D104="","",IF(COUNTIF(Paramètres!$A$11:$A$40,D104)&gt;0,1,0))</f>
        <v>1</v>
      </c>
    </row>
    <row r="105" spans="1:12" hidden="1" x14ac:dyDescent="0.25">
      <c r="A105" s="49"/>
      <c r="B105" s="49" t="s">
        <v>73</v>
      </c>
      <c r="C105" s="49" t="s">
        <v>210</v>
      </c>
      <c r="D105" s="50" t="str">
        <f t="shared" si="5"/>
        <v>Mourad Ayari</v>
      </c>
      <c r="E105" s="50" t="str">
        <f t="shared" si="6"/>
        <v>janv</v>
      </c>
      <c r="F105" s="50">
        <f t="shared" si="7"/>
        <v>16</v>
      </c>
      <c r="G105" s="50">
        <f t="shared" si="8"/>
        <v>2026</v>
      </c>
      <c r="H105" s="51">
        <f>IF($C105="","",IFERROR(DATE(G105,VLOOKUP(E105,Paramètres!$K$11:$L$40,2,FALSE()),F105),"?"))</f>
        <v>46038</v>
      </c>
      <c r="I105" s="50">
        <f>IF(ISNUMBER(H105),IF(COUNTIFS($D$2:D105,D105,$H$2:H105,H105)=1,1,0),"")</f>
        <v>0</v>
      </c>
      <c r="J105" s="50">
        <f>IF(ISNUMBER(H105),IFERROR(INDEX(Calendrier!$C$2:$C$367,MATCH(H105,Calendrier!$A$2:$A$367,0)),0),"")</f>
        <v>1</v>
      </c>
      <c r="K105" s="50">
        <f t="shared" si="9"/>
        <v>0</v>
      </c>
      <c r="L105" s="50">
        <f>IF(D105="","",IF(COUNTIF(Paramètres!$A$11:$A$40,D105)&gt;0,1,0))</f>
        <v>1</v>
      </c>
    </row>
    <row r="106" spans="1:12" hidden="1" x14ac:dyDescent="0.25">
      <c r="A106" s="49"/>
      <c r="B106" s="49" t="s">
        <v>73</v>
      </c>
      <c r="C106" s="49" t="s">
        <v>211</v>
      </c>
      <c r="D106" s="50" t="str">
        <f t="shared" si="5"/>
        <v>Mourad Ayari</v>
      </c>
      <c r="E106" s="50" t="str">
        <f t="shared" si="6"/>
        <v>janv</v>
      </c>
      <c r="F106" s="50">
        <f t="shared" si="7"/>
        <v>18</v>
      </c>
      <c r="G106" s="50">
        <f t="shared" si="8"/>
        <v>2026</v>
      </c>
      <c r="H106" s="51">
        <f>IF($C106="","",IFERROR(DATE(G106,VLOOKUP(E106,Paramètres!$K$11:$L$40,2,FALSE()),F106),"?"))</f>
        <v>46040</v>
      </c>
      <c r="I106" s="50">
        <f>IF(ISNUMBER(H106),IF(COUNTIFS($D$2:D106,D106,$H$2:H106,H106)=1,1,0),"")</f>
        <v>1</v>
      </c>
      <c r="J106" s="50">
        <f>IF(ISNUMBER(H106),IFERROR(INDEX(Calendrier!$C$2:$C$367,MATCH(H106,Calendrier!$A$2:$A$367,0)),0),"")</f>
        <v>0</v>
      </c>
      <c r="K106" s="50">
        <f t="shared" si="9"/>
        <v>0</v>
      </c>
      <c r="L106" s="50">
        <f>IF(D106="","",IF(COUNTIF(Paramètres!$A$11:$A$40,D106)&gt;0,1,0))</f>
        <v>1</v>
      </c>
    </row>
    <row r="107" spans="1:12" hidden="1" x14ac:dyDescent="0.25">
      <c r="A107" s="49"/>
      <c r="B107" s="49" t="s">
        <v>73</v>
      </c>
      <c r="C107" s="49" t="s">
        <v>212</v>
      </c>
      <c r="D107" s="50" t="str">
        <f t="shared" si="5"/>
        <v>Mourad Ayari</v>
      </c>
      <c r="E107" s="50" t="str">
        <f t="shared" si="6"/>
        <v>janv</v>
      </c>
      <c r="F107" s="50">
        <f t="shared" si="7"/>
        <v>24</v>
      </c>
      <c r="G107" s="50">
        <f t="shared" si="8"/>
        <v>2026</v>
      </c>
      <c r="H107" s="51">
        <f>IF($C107="","",IFERROR(DATE(G107,VLOOKUP(E107,Paramètres!$K$11:$L$40,2,FALSE()),F107),"?"))</f>
        <v>46046</v>
      </c>
      <c r="I107" s="50">
        <f>IF(ISNUMBER(H107),IF(COUNTIFS($D$2:D107,D107,$H$2:H107,H107)=1,1,0),"")</f>
        <v>1</v>
      </c>
      <c r="J107" s="50">
        <f>IF(ISNUMBER(H107),IFERROR(INDEX(Calendrier!$C$2:$C$367,MATCH(H107,Calendrier!$A$2:$A$367,0)),0),"")</f>
        <v>0</v>
      </c>
      <c r="K107" s="50">
        <f t="shared" si="9"/>
        <v>0</v>
      </c>
      <c r="L107" s="50">
        <f>IF(D107="","",IF(COUNTIF(Paramètres!$A$11:$A$40,D107)&gt;0,1,0))</f>
        <v>1</v>
      </c>
    </row>
    <row r="108" spans="1:12" hidden="1" x14ac:dyDescent="0.25">
      <c r="A108" s="49"/>
      <c r="B108" s="49" t="s">
        <v>73</v>
      </c>
      <c r="C108" s="49" t="s">
        <v>213</v>
      </c>
      <c r="D108" s="50" t="str">
        <f t="shared" si="5"/>
        <v>Mourad Ayari</v>
      </c>
      <c r="E108" s="50" t="str">
        <f t="shared" si="6"/>
        <v>janv</v>
      </c>
      <c r="F108" s="50">
        <f t="shared" si="7"/>
        <v>25</v>
      </c>
      <c r="G108" s="50">
        <f t="shared" si="8"/>
        <v>2026</v>
      </c>
      <c r="H108" s="51">
        <f>IF($C108="","",IFERROR(DATE(G108,VLOOKUP(E108,Paramètres!$K$11:$L$40,2,FALSE()),F108),"?"))</f>
        <v>46047</v>
      </c>
      <c r="I108" s="50">
        <f>IF(ISNUMBER(H108),IF(COUNTIFS($D$2:D108,D108,$H$2:H108,H108)=1,1,0),"")</f>
        <v>1</v>
      </c>
      <c r="J108" s="50">
        <f>IF(ISNUMBER(H108),IFERROR(INDEX(Calendrier!$C$2:$C$367,MATCH(H108,Calendrier!$A$2:$A$367,0)),0),"")</f>
        <v>0</v>
      </c>
      <c r="K108" s="50">
        <f t="shared" si="9"/>
        <v>0</v>
      </c>
      <c r="L108" s="50">
        <f>IF(D108="","",IF(COUNTIF(Paramètres!$A$11:$A$40,D108)&gt;0,1,0))</f>
        <v>1</v>
      </c>
    </row>
    <row r="109" spans="1:12" hidden="1" x14ac:dyDescent="0.25">
      <c r="A109" s="49"/>
      <c r="B109" s="49" t="s">
        <v>73</v>
      </c>
      <c r="C109" s="49" t="s">
        <v>214</v>
      </c>
      <c r="D109" s="50" t="str">
        <f t="shared" si="5"/>
        <v>Mourad Ayari</v>
      </c>
      <c r="E109" s="50" t="str">
        <f t="shared" si="6"/>
        <v>janv</v>
      </c>
      <c r="F109" s="50">
        <f t="shared" si="7"/>
        <v>28</v>
      </c>
      <c r="G109" s="50">
        <f t="shared" si="8"/>
        <v>2026</v>
      </c>
      <c r="H109" s="51">
        <f>IF($C109="","",IFERROR(DATE(G109,VLOOKUP(E109,Paramètres!$K$11:$L$40,2,FALSE()),F109),"?"))</f>
        <v>46050</v>
      </c>
      <c r="I109" s="50">
        <f>IF(ISNUMBER(H109),IF(COUNTIFS($D$2:D109,D109,$H$2:H109,H109)=1,1,0),"")</f>
        <v>1</v>
      </c>
      <c r="J109" s="50">
        <f>IF(ISNUMBER(H109),IFERROR(INDEX(Calendrier!$C$2:$C$367,MATCH(H109,Calendrier!$A$2:$A$367,0)),0),"")</f>
        <v>1</v>
      </c>
      <c r="K109" s="50">
        <f t="shared" si="9"/>
        <v>1</v>
      </c>
      <c r="L109" s="50">
        <f>IF(D109="","",IF(COUNTIF(Paramètres!$A$11:$A$40,D109)&gt;0,1,0))</f>
        <v>1</v>
      </c>
    </row>
    <row r="110" spans="1:12" hidden="1" x14ac:dyDescent="0.25">
      <c r="A110" s="49"/>
      <c r="B110" s="49" t="s">
        <v>61</v>
      </c>
      <c r="C110" s="49" t="s">
        <v>215</v>
      </c>
      <c r="D110" s="50" t="str">
        <f t="shared" si="5"/>
        <v>Ines Farhat</v>
      </c>
      <c r="E110" s="50" t="str">
        <f t="shared" si="6"/>
        <v>janv</v>
      </c>
      <c r="F110" s="50">
        <f t="shared" si="7"/>
        <v>2</v>
      </c>
      <c r="G110" s="50">
        <f t="shared" si="8"/>
        <v>2026</v>
      </c>
      <c r="H110" s="51">
        <f>IF($C110="","",IFERROR(DATE(G110,VLOOKUP(E110,Paramètres!$K$11:$L$40,2,FALSE()),F110),"?"))</f>
        <v>46024</v>
      </c>
      <c r="I110" s="50">
        <f>IF(ISNUMBER(H110),IF(COUNTIFS($D$2:D110,D110,$H$2:H110,H110)=1,1,0),"")</f>
        <v>1</v>
      </c>
      <c r="J110" s="50">
        <f>IF(ISNUMBER(H110),IFERROR(INDEX(Calendrier!$C$2:$C$367,MATCH(H110,Calendrier!$A$2:$A$367,0)),0),"")</f>
        <v>1</v>
      </c>
      <c r="K110" s="50">
        <f t="shared" si="9"/>
        <v>1</v>
      </c>
      <c r="L110" s="50">
        <f>IF(D110="","",IF(COUNTIF(Paramètres!$A$11:$A$40,D110)&gt;0,1,0))</f>
        <v>1</v>
      </c>
    </row>
    <row r="111" spans="1:12" hidden="1" x14ac:dyDescent="0.25">
      <c r="A111" s="49"/>
      <c r="B111" s="49" t="s">
        <v>61</v>
      </c>
      <c r="C111" s="49" t="s">
        <v>216</v>
      </c>
      <c r="D111" s="50" t="str">
        <f t="shared" si="5"/>
        <v>Ines Farhat</v>
      </c>
      <c r="E111" s="50" t="str">
        <f t="shared" si="6"/>
        <v>janv</v>
      </c>
      <c r="F111" s="50">
        <f t="shared" si="7"/>
        <v>3</v>
      </c>
      <c r="G111" s="50">
        <f t="shared" si="8"/>
        <v>2026</v>
      </c>
      <c r="H111" s="51">
        <f>IF($C111="","",IFERROR(DATE(G111,VLOOKUP(E111,Paramètres!$K$11:$L$40,2,FALSE()),F111),"?"))</f>
        <v>46025</v>
      </c>
      <c r="I111" s="50">
        <f>IF(ISNUMBER(H111),IF(COUNTIFS($D$2:D111,D111,$H$2:H111,H111)=1,1,0),"")</f>
        <v>1</v>
      </c>
      <c r="J111" s="50">
        <f>IF(ISNUMBER(H111),IFERROR(INDEX(Calendrier!$C$2:$C$367,MATCH(H111,Calendrier!$A$2:$A$367,0)),0),"")</f>
        <v>0</v>
      </c>
      <c r="K111" s="50">
        <f t="shared" si="9"/>
        <v>0</v>
      </c>
      <c r="L111" s="50">
        <f>IF(D111="","",IF(COUNTIF(Paramètres!$A$11:$A$40,D111)&gt;0,1,0))</f>
        <v>1</v>
      </c>
    </row>
    <row r="112" spans="1:12" hidden="1" x14ac:dyDescent="0.25">
      <c r="A112" s="49"/>
      <c r="B112" s="49" t="s">
        <v>61</v>
      </c>
      <c r="C112" s="49" t="s">
        <v>217</v>
      </c>
      <c r="D112" s="50" t="str">
        <f t="shared" si="5"/>
        <v>Ines Farhat</v>
      </c>
      <c r="E112" s="50" t="str">
        <f t="shared" si="6"/>
        <v>janv</v>
      </c>
      <c r="F112" s="50">
        <f t="shared" si="7"/>
        <v>3</v>
      </c>
      <c r="G112" s="50">
        <f t="shared" si="8"/>
        <v>2026</v>
      </c>
      <c r="H112" s="51">
        <f>IF($C112="","",IFERROR(DATE(G112,VLOOKUP(E112,Paramètres!$K$11:$L$40,2,FALSE()),F112),"?"))</f>
        <v>46025</v>
      </c>
      <c r="I112" s="50">
        <f>IF(ISNUMBER(H112),IF(COUNTIFS($D$2:D112,D112,$H$2:H112,H112)=1,1,0),"")</f>
        <v>0</v>
      </c>
      <c r="J112" s="50">
        <f>IF(ISNUMBER(H112),IFERROR(INDEX(Calendrier!$C$2:$C$367,MATCH(H112,Calendrier!$A$2:$A$367,0)),0),"")</f>
        <v>0</v>
      </c>
      <c r="K112" s="50">
        <f t="shared" si="9"/>
        <v>0</v>
      </c>
      <c r="L112" s="50">
        <f>IF(D112="","",IF(COUNTIF(Paramètres!$A$11:$A$40,D112)&gt;0,1,0))</f>
        <v>1</v>
      </c>
    </row>
    <row r="113" spans="1:12" hidden="1" x14ac:dyDescent="0.25">
      <c r="A113" s="49"/>
      <c r="B113" s="49" t="s">
        <v>61</v>
      </c>
      <c r="C113" s="49" t="s">
        <v>218</v>
      </c>
      <c r="D113" s="50" t="str">
        <f t="shared" si="5"/>
        <v>Ines Farhat</v>
      </c>
      <c r="E113" s="50" t="str">
        <f t="shared" si="6"/>
        <v>janv</v>
      </c>
      <c r="F113" s="50">
        <f t="shared" si="7"/>
        <v>5</v>
      </c>
      <c r="G113" s="50">
        <f t="shared" si="8"/>
        <v>2026</v>
      </c>
      <c r="H113" s="51">
        <f>IF($C113="","",IFERROR(DATE(G113,VLOOKUP(E113,Paramètres!$K$11:$L$40,2,FALSE()),F113),"?"))</f>
        <v>46027</v>
      </c>
      <c r="I113" s="50">
        <f>IF(ISNUMBER(H113),IF(COUNTIFS($D$2:D113,D113,$H$2:H113,H113)=1,1,0),"")</f>
        <v>1</v>
      </c>
      <c r="J113" s="50">
        <f>IF(ISNUMBER(H113),IFERROR(INDEX(Calendrier!$C$2:$C$367,MATCH(H113,Calendrier!$A$2:$A$367,0)),0),"")</f>
        <v>1</v>
      </c>
      <c r="K113" s="50">
        <f t="shared" si="9"/>
        <v>1</v>
      </c>
      <c r="L113" s="50">
        <f>IF(D113="","",IF(COUNTIF(Paramètres!$A$11:$A$40,D113)&gt;0,1,0))</f>
        <v>1</v>
      </c>
    </row>
    <row r="114" spans="1:12" hidden="1" x14ac:dyDescent="0.25">
      <c r="A114" s="49"/>
      <c r="B114" s="49" t="s">
        <v>61</v>
      </c>
      <c r="C114" s="49" t="s">
        <v>219</v>
      </c>
      <c r="D114" s="50" t="str">
        <f t="shared" si="5"/>
        <v>Ines Farhat</v>
      </c>
      <c r="E114" s="50" t="str">
        <f t="shared" si="6"/>
        <v>janv</v>
      </c>
      <c r="F114" s="50">
        <f t="shared" si="7"/>
        <v>7</v>
      </c>
      <c r="G114" s="50">
        <f t="shared" si="8"/>
        <v>2026</v>
      </c>
      <c r="H114" s="51">
        <f>IF($C114="","",IFERROR(DATE(G114,VLOOKUP(E114,Paramètres!$K$11:$L$40,2,FALSE()),F114),"?"))</f>
        <v>46029</v>
      </c>
      <c r="I114" s="50">
        <f>IF(ISNUMBER(H114),IF(COUNTIFS($D$2:D114,D114,$H$2:H114,H114)=1,1,0),"")</f>
        <v>1</v>
      </c>
      <c r="J114" s="50">
        <f>IF(ISNUMBER(H114),IFERROR(INDEX(Calendrier!$C$2:$C$367,MATCH(H114,Calendrier!$A$2:$A$367,0)),0),"")</f>
        <v>1</v>
      </c>
      <c r="K114" s="50">
        <f t="shared" si="9"/>
        <v>1</v>
      </c>
      <c r="L114" s="50">
        <f>IF(D114="","",IF(COUNTIF(Paramètres!$A$11:$A$40,D114)&gt;0,1,0))</f>
        <v>1</v>
      </c>
    </row>
    <row r="115" spans="1:12" hidden="1" x14ac:dyDescent="0.25">
      <c r="A115" s="49"/>
      <c r="B115" s="49" t="s">
        <v>61</v>
      </c>
      <c r="C115" s="49" t="s">
        <v>220</v>
      </c>
      <c r="D115" s="50" t="str">
        <f t="shared" si="5"/>
        <v>Ines Farhat</v>
      </c>
      <c r="E115" s="50" t="str">
        <f t="shared" si="6"/>
        <v>janv</v>
      </c>
      <c r="F115" s="50">
        <f t="shared" si="7"/>
        <v>12</v>
      </c>
      <c r="G115" s="50">
        <f t="shared" si="8"/>
        <v>2026</v>
      </c>
      <c r="H115" s="51">
        <f>IF($C115="","",IFERROR(DATE(G115,VLOOKUP(E115,Paramètres!$K$11:$L$40,2,FALSE()),F115),"?"))</f>
        <v>46034</v>
      </c>
      <c r="I115" s="50">
        <f>IF(ISNUMBER(H115),IF(COUNTIFS($D$2:D115,D115,$H$2:H115,H115)=1,1,0),"")</f>
        <v>1</v>
      </c>
      <c r="J115" s="50">
        <f>IF(ISNUMBER(H115),IFERROR(INDEX(Calendrier!$C$2:$C$367,MATCH(H115,Calendrier!$A$2:$A$367,0)),0),"")</f>
        <v>1</v>
      </c>
      <c r="K115" s="50">
        <f t="shared" si="9"/>
        <v>1</v>
      </c>
      <c r="L115" s="50">
        <f>IF(D115="","",IF(COUNTIF(Paramètres!$A$11:$A$40,D115)&gt;0,1,0))</f>
        <v>1</v>
      </c>
    </row>
    <row r="116" spans="1:12" hidden="1" x14ac:dyDescent="0.25">
      <c r="A116" s="49"/>
      <c r="B116" s="49" t="s">
        <v>61</v>
      </c>
      <c r="C116" s="49" t="s">
        <v>129</v>
      </c>
      <c r="D116" s="50" t="str">
        <f t="shared" si="5"/>
        <v>Ines Farhat</v>
      </c>
      <c r="E116" s="50" t="str">
        <f t="shared" si="6"/>
        <v>janv</v>
      </c>
      <c r="F116" s="50">
        <f t="shared" si="7"/>
        <v>14</v>
      </c>
      <c r="G116" s="50">
        <f t="shared" si="8"/>
        <v>2026</v>
      </c>
      <c r="H116" s="51">
        <f>IF($C116="","",IFERROR(DATE(G116,VLOOKUP(E116,Paramètres!$K$11:$L$40,2,FALSE()),F116),"?"))</f>
        <v>46036</v>
      </c>
      <c r="I116" s="50">
        <f>IF(ISNUMBER(H116),IF(COUNTIFS($D$2:D116,D116,$H$2:H116,H116)=1,1,0),"")</f>
        <v>1</v>
      </c>
      <c r="J116" s="50">
        <f>IF(ISNUMBER(H116),IFERROR(INDEX(Calendrier!$C$2:$C$367,MATCH(H116,Calendrier!$A$2:$A$367,0)),0),"")</f>
        <v>1</v>
      </c>
      <c r="K116" s="50">
        <f t="shared" si="9"/>
        <v>1</v>
      </c>
      <c r="L116" s="50">
        <f>IF(D116="","",IF(COUNTIF(Paramètres!$A$11:$A$40,D116)&gt;0,1,0))</f>
        <v>1</v>
      </c>
    </row>
    <row r="117" spans="1:12" hidden="1" x14ac:dyDescent="0.25">
      <c r="A117" s="49"/>
      <c r="B117" s="49" t="s">
        <v>61</v>
      </c>
      <c r="C117" s="49" t="s">
        <v>221</v>
      </c>
      <c r="D117" s="50" t="str">
        <f t="shared" si="5"/>
        <v>Ines Farhat</v>
      </c>
      <c r="E117" s="50" t="str">
        <f t="shared" si="6"/>
        <v>janv</v>
      </c>
      <c r="F117" s="50">
        <f t="shared" si="7"/>
        <v>15</v>
      </c>
      <c r="G117" s="50">
        <f t="shared" si="8"/>
        <v>2026</v>
      </c>
      <c r="H117" s="51">
        <f>IF($C117="","",IFERROR(DATE(G117,VLOOKUP(E117,Paramètres!$K$11:$L$40,2,FALSE()),F117),"?"))</f>
        <v>46037</v>
      </c>
      <c r="I117" s="50">
        <f>IF(ISNUMBER(H117),IF(COUNTIFS($D$2:D117,D117,$H$2:H117,H117)=1,1,0),"")</f>
        <v>1</v>
      </c>
      <c r="J117" s="50">
        <f>IF(ISNUMBER(H117),IFERROR(INDEX(Calendrier!$C$2:$C$367,MATCH(H117,Calendrier!$A$2:$A$367,0)),0),"")</f>
        <v>1</v>
      </c>
      <c r="K117" s="50">
        <f t="shared" si="9"/>
        <v>1</v>
      </c>
      <c r="L117" s="50">
        <f>IF(D117="","",IF(COUNTIF(Paramètres!$A$11:$A$40,D117)&gt;0,1,0))</f>
        <v>1</v>
      </c>
    </row>
    <row r="118" spans="1:12" hidden="1" x14ac:dyDescent="0.25">
      <c r="A118" s="49"/>
      <c r="B118" s="49" t="s">
        <v>61</v>
      </c>
      <c r="C118" s="49" t="s">
        <v>222</v>
      </c>
      <c r="D118" s="50" t="str">
        <f t="shared" si="5"/>
        <v>Ines Farhat</v>
      </c>
      <c r="E118" s="50" t="str">
        <f t="shared" si="6"/>
        <v>janv</v>
      </c>
      <c r="F118" s="50">
        <f t="shared" si="7"/>
        <v>19</v>
      </c>
      <c r="G118" s="50">
        <f t="shared" si="8"/>
        <v>2026</v>
      </c>
      <c r="H118" s="51">
        <f>IF($C118="","",IFERROR(DATE(G118,VLOOKUP(E118,Paramètres!$K$11:$L$40,2,FALSE()),F118),"?"))</f>
        <v>46041</v>
      </c>
      <c r="I118" s="50">
        <f>IF(ISNUMBER(H118),IF(COUNTIFS($D$2:D118,D118,$H$2:H118,H118)=1,1,0),"")</f>
        <v>1</v>
      </c>
      <c r="J118" s="50">
        <f>IF(ISNUMBER(H118),IFERROR(INDEX(Calendrier!$C$2:$C$367,MATCH(H118,Calendrier!$A$2:$A$367,0)),0),"")</f>
        <v>1</v>
      </c>
      <c r="K118" s="50">
        <f t="shared" si="9"/>
        <v>1</v>
      </c>
      <c r="L118" s="50">
        <f>IF(D118="","",IF(COUNTIF(Paramètres!$A$11:$A$40,D118)&gt;0,1,0))</f>
        <v>1</v>
      </c>
    </row>
    <row r="119" spans="1:12" hidden="1" x14ac:dyDescent="0.25">
      <c r="A119" s="49"/>
      <c r="B119" s="49" t="s">
        <v>61</v>
      </c>
      <c r="C119" s="49" t="s">
        <v>223</v>
      </c>
      <c r="D119" s="50" t="str">
        <f t="shared" si="5"/>
        <v>Ines Farhat</v>
      </c>
      <c r="E119" s="50" t="str">
        <f t="shared" si="6"/>
        <v>janv</v>
      </c>
      <c r="F119" s="50">
        <f t="shared" si="7"/>
        <v>19</v>
      </c>
      <c r="G119" s="50">
        <f t="shared" si="8"/>
        <v>2026</v>
      </c>
      <c r="H119" s="51">
        <f>IF($C119="","",IFERROR(DATE(G119,VLOOKUP(E119,Paramètres!$K$11:$L$40,2,FALSE()),F119),"?"))</f>
        <v>46041</v>
      </c>
      <c r="I119" s="50">
        <f>IF(ISNUMBER(H119),IF(COUNTIFS($D$2:D119,D119,$H$2:H119,H119)=1,1,0),"")</f>
        <v>0</v>
      </c>
      <c r="J119" s="50">
        <f>IF(ISNUMBER(H119),IFERROR(INDEX(Calendrier!$C$2:$C$367,MATCH(H119,Calendrier!$A$2:$A$367,0)),0),"")</f>
        <v>1</v>
      </c>
      <c r="K119" s="50">
        <f t="shared" si="9"/>
        <v>0</v>
      </c>
      <c r="L119" s="50">
        <f>IF(D119="","",IF(COUNTIF(Paramètres!$A$11:$A$40,D119)&gt;0,1,0))</f>
        <v>1</v>
      </c>
    </row>
    <row r="120" spans="1:12" hidden="1" x14ac:dyDescent="0.25">
      <c r="A120" s="49"/>
      <c r="B120" s="49" t="s">
        <v>61</v>
      </c>
      <c r="C120" s="49" t="s">
        <v>224</v>
      </c>
      <c r="D120" s="50" t="str">
        <f t="shared" si="5"/>
        <v>Ines Farhat</v>
      </c>
      <c r="E120" s="50" t="str">
        <f t="shared" si="6"/>
        <v>janv</v>
      </c>
      <c r="F120" s="50">
        <f t="shared" si="7"/>
        <v>21</v>
      </c>
      <c r="G120" s="50">
        <f t="shared" si="8"/>
        <v>2026</v>
      </c>
      <c r="H120" s="51">
        <f>IF($C120="","",IFERROR(DATE(G120,VLOOKUP(E120,Paramètres!$K$11:$L$40,2,FALSE()),F120),"?"))</f>
        <v>46043</v>
      </c>
      <c r="I120" s="50">
        <f>IF(ISNUMBER(H120),IF(COUNTIFS($D$2:D120,D120,$H$2:H120,H120)=1,1,0),"")</f>
        <v>1</v>
      </c>
      <c r="J120" s="50">
        <f>IF(ISNUMBER(H120),IFERROR(INDEX(Calendrier!$C$2:$C$367,MATCH(H120,Calendrier!$A$2:$A$367,0)),0),"")</f>
        <v>1</v>
      </c>
      <c r="K120" s="50">
        <f t="shared" si="9"/>
        <v>1</v>
      </c>
      <c r="L120" s="50">
        <f>IF(D120="","",IF(COUNTIF(Paramètres!$A$11:$A$40,D120)&gt;0,1,0))</f>
        <v>1</v>
      </c>
    </row>
    <row r="121" spans="1:12" hidden="1" x14ac:dyDescent="0.25">
      <c r="A121" s="49"/>
      <c r="B121" s="49" t="s">
        <v>61</v>
      </c>
      <c r="C121" s="49" t="s">
        <v>225</v>
      </c>
      <c r="D121" s="50" t="str">
        <f t="shared" si="5"/>
        <v>Ines Farhat</v>
      </c>
      <c r="E121" s="50" t="str">
        <f t="shared" si="6"/>
        <v>janv</v>
      </c>
      <c r="F121" s="50">
        <f t="shared" si="7"/>
        <v>23</v>
      </c>
      <c r="G121" s="50">
        <f t="shared" si="8"/>
        <v>2026</v>
      </c>
      <c r="H121" s="51">
        <f>IF($C121="","",IFERROR(DATE(G121,VLOOKUP(E121,Paramètres!$K$11:$L$40,2,FALSE()),F121),"?"))</f>
        <v>46045</v>
      </c>
      <c r="I121" s="50">
        <f>IF(ISNUMBER(H121),IF(COUNTIFS($D$2:D121,D121,$H$2:H121,H121)=1,1,0),"")</f>
        <v>1</v>
      </c>
      <c r="J121" s="50">
        <f>IF(ISNUMBER(H121),IFERROR(INDEX(Calendrier!$C$2:$C$367,MATCH(H121,Calendrier!$A$2:$A$367,0)),0),"")</f>
        <v>1</v>
      </c>
      <c r="K121" s="50">
        <f t="shared" si="9"/>
        <v>1</v>
      </c>
      <c r="L121" s="50">
        <f>IF(D121="","",IF(COUNTIF(Paramètres!$A$11:$A$40,D121)&gt;0,1,0))</f>
        <v>1</v>
      </c>
    </row>
    <row r="122" spans="1:12" hidden="1" x14ac:dyDescent="0.25">
      <c r="A122" s="49"/>
      <c r="B122" s="49" t="s">
        <v>61</v>
      </c>
      <c r="C122" s="49" t="s">
        <v>226</v>
      </c>
      <c r="D122" s="50" t="str">
        <f t="shared" si="5"/>
        <v>Ines Farhat</v>
      </c>
      <c r="E122" s="50" t="str">
        <f t="shared" si="6"/>
        <v>janv</v>
      </c>
      <c r="F122" s="50">
        <f t="shared" si="7"/>
        <v>23</v>
      </c>
      <c r="G122" s="50">
        <f t="shared" si="8"/>
        <v>2026</v>
      </c>
      <c r="H122" s="51">
        <f>IF($C122="","",IFERROR(DATE(G122,VLOOKUP(E122,Paramètres!$K$11:$L$40,2,FALSE()),F122),"?"))</f>
        <v>46045</v>
      </c>
      <c r="I122" s="50">
        <f>IF(ISNUMBER(H122),IF(COUNTIFS($D$2:D122,D122,$H$2:H122,H122)=1,1,0),"")</f>
        <v>0</v>
      </c>
      <c r="J122" s="50">
        <f>IF(ISNUMBER(H122),IFERROR(INDEX(Calendrier!$C$2:$C$367,MATCH(H122,Calendrier!$A$2:$A$367,0)),0),"")</f>
        <v>1</v>
      </c>
      <c r="K122" s="50">
        <f t="shared" si="9"/>
        <v>0</v>
      </c>
      <c r="L122" s="50">
        <f>IF(D122="","",IF(COUNTIF(Paramètres!$A$11:$A$40,D122)&gt;0,1,0))</f>
        <v>1</v>
      </c>
    </row>
    <row r="123" spans="1:12" hidden="1" x14ac:dyDescent="0.25">
      <c r="A123" s="49"/>
      <c r="B123" s="49" t="s">
        <v>61</v>
      </c>
      <c r="C123" s="49" t="s">
        <v>226</v>
      </c>
      <c r="D123" s="50" t="str">
        <f t="shared" si="5"/>
        <v>Ines Farhat</v>
      </c>
      <c r="E123" s="50" t="str">
        <f t="shared" si="6"/>
        <v>janv</v>
      </c>
      <c r="F123" s="50">
        <f t="shared" si="7"/>
        <v>23</v>
      </c>
      <c r="G123" s="50">
        <f t="shared" si="8"/>
        <v>2026</v>
      </c>
      <c r="H123" s="51">
        <f>IF($C123="","",IFERROR(DATE(G123,VLOOKUP(E123,Paramètres!$K$11:$L$40,2,FALSE()),F123),"?"))</f>
        <v>46045</v>
      </c>
      <c r="I123" s="50">
        <f>IF(ISNUMBER(H123),IF(COUNTIFS($D$2:D123,D123,$H$2:H123,H123)=1,1,0),"")</f>
        <v>0</v>
      </c>
      <c r="J123" s="50">
        <f>IF(ISNUMBER(H123),IFERROR(INDEX(Calendrier!$C$2:$C$367,MATCH(H123,Calendrier!$A$2:$A$367,0)),0),"")</f>
        <v>1</v>
      </c>
      <c r="K123" s="50">
        <f t="shared" si="9"/>
        <v>0</v>
      </c>
      <c r="L123" s="50">
        <f>IF(D123="","",IF(COUNTIF(Paramètres!$A$11:$A$40,D123)&gt;0,1,0))</f>
        <v>1</v>
      </c>
    </row>
    <row r="124" spans="1:12" hidden="1" x14ac:dyDescent="0.25">
      <c r="A124" s="49"/>
      <c r="B124" s="49" t="s">
        <v>61</v>
      </c>
      <c r="C124" s="49" t="s">
        <v>227</v>
      </c>
      <c r="D124" s="50" t="str">
        <f t="shared" si="5"/>
        <v>Ines Farhat</v>
      </c>
      <c r="E124" s="50" t="str">
        <f t="shared" si="6"/>
        <v>janv</v>
      </c>
      <c r="F124" s="50">
        <f t="shared" si="7"/>
        <v>26</v>
      </c>
      <c r="G124" s="50">
        <f t="shared" si="8"/>
        <v>2026</v>
      </c>
      <c r="H124" s="51">
        <f>IF($C124="","",IFERROR(DATE(G124,VLOOKUP(E124,Paramètres!$K$11:$L$40,2,FALSE()),F124),"?"))</f>
        <v>46048</v>
      </c>
      <c r="I124" s="50">
        <f>IF(ISNUMBER(H124),IF(COUNTIFS($D$2:D124,D124,$H$2:H124,H124)=1,1,0),"")</f>
        <v>1</v>
      </c>
      <c r="J124" s="50">
        <f>IF(ISNUMBER(H124),IFERROR(INDEX(Calendrier!$C$2:$C$367,MATCH(H124,Calendrier!$A$2:$A$367,0)),0),"")</f>
        <v>1</v>
      </c>
      <c r="K124" s="50">
        <f t="shared" si="9"/>
        <v>1</v>
      </c>
      <c r="L124" s="50">
        <f>IF(D124="","",IF(COUNTIF(Paramètres!$A$11:$A$40,D124)&gt;0,1,0))</f>
        <v>1</v>
      </c>
    </row>
    <row r="125" spans="1:12" hidden="1" x14ac:dyDescent="0.25">
      <c r="A125" s="49"/>
      <c r="B125" s="49" t="s">
        <v>61</v>
      </c>
      <c r="C125" s="49" t="s">
        <v>228</v>
      </c>
      <c r="D125" s="50" t="str">
        <f t="shared" si="5"/>
        <v>Ines Farhat</v>
      </c>
      <c r="E125" s="50" t="str">
        <f t="shared" si="6"/>
        <v>janv</v>
      </c>
      <c r="F125" s="50">
        <f t="shared" si="7"/>
        <v>28</v>
      </c>
      <c r="G125" s="50">
        <f t="shared" si="8"/>
        <v>2026</v>
      </c>
      <c r="H125" s="51">
        <f>IF($C125="","",IFERROR(DATE(G125,VLOOKUP(E125,Paramètres!$K$11:$L$40,2,FALSE()),F125),"?"))</f>
        <v>46050</v>
      </c>
      <c r="I125" s="50">
        <f>IF(ISNUMBER(H125),IF(COUNTIFS($D$2:D125,D125,$H$2:H125,H125)=1,1,0),"")</f>
        <v>1</v>
      </c>
      <c r="J125" s="50">
        <f>IF(ISNUMBER(H125),IFERROR(INDEX(Calendrier!$C$2:$C$367,MATCH(H125,Calendrier!$A$2:$A$367,0)),0),"")</f>
        <v>1</v>
      </c>
      <c r="K125" s="50">
        <f t="shared" si="9"/>
        <v>1</v>
      </c>
      <c r="L125" s="50">
        <f>IF(D125="","",IF(COUNTIF(Paramètres!$A$11:$A$40,D125)&gt;0,1,0))</f>
        <v>1</v>
      </c>
    </row>
    <row r="126" spans="1:12" x14ac:dyDescent="0.25">
      <c r="A126" s="49"/>
      <c r="B126" s="49" t="s">
        <v>90</v>
      </c>
      <c r="C126" s="49" t="s">
        <v>229</v>
      </c>
      <c r="D126" s="50" t="str">
        <f t="shared" si="5"/>
        <v>Zouhour Fathallah</v>
      </c>
      <c r="E126" s="50" t="str">
        <f t="shared" si="6"/>
        <v>janv</v>
      </c>
      <c r="F126" s="50">
        <f t="shared" si="7"/>
        <v>13</v>
      </c>
      <c r="G126" s="50">
        <f t="shared" si="8"/>
        <v>2026</v>
      </c>
      <c r="H126" s="51">
        <f>IF($C126="","",IFERROR(DATE(G126,VLOOKUP(E126,Paramètres!$K$11:$L$40,2,FALSE()),F126),"?"))</f>
        <v>46035</v>
      </c>
      <c r="I126" s="50">
        <f>IF(ISNUMBER(H126),IF(COUNTIFS($D$2:D126,D126,$H$2:H126,H126)=1,1,0),"")</f>
        <v>1</v>
      </c>
      <c r="J126" s="50">
        <f>IF(ISNUMBER(H126),IFERROR(INDEX(Calendrier!$C$2:$C$367,MATCH(H126,Calendrier!$A$2:$A$367,0)),0),"")</f>
        <v>1</v>
      </c>
      <c r="K126" s="50">
        <f t="shared" si="9"/>
        <v>1</v>
      </c>
      <c r="L126" s="50">
        <f>IF(D126="","",IF(COUNTIF(Paramètres!$A$11:$A$40,D126)&gt;0,1,0))</f>
        <v>1</v>
      </c>
    </row>
    <row r="127" spans="1:12" x14ac:dyDescent="0.25">
      <c r="A127" s="49"/>
      <c r="B127" s="49" t="s">
        <v>90</v>
      </c>
      <c r="C127" s="49" t="s">
        <v>229</v>
      </c>
      <c r="D127" s="50" t="str">
        <f t="shared" si="5"/>
        <v>Zouhour Fathallah</v>
      </c>
      <c r="E127" s="50" t="str">
        <f t="shared" si="6"/>
        <v>janv</v>
      </c>
      <c r="F127" s="50">
        <f t="shared" si="7"/>
        <v>13</v>
      </c>
      <c r="G127" s="50">
        <f t="shared" si="8"/>
        <v>2026</v>
      </c>
      <c r="H127" s="51">
        <f>IF($C127="","",IFERROR(DATE(G127,VLOOKUP(E127,Paramètres!$K$11:$L$40,2,FALSE()),F127),"?"))</f>
        <v>46035</v>
      </c>
      <c r="I127" s="50">
        <f>IF(ISNUMBER(H127),IF(COUNTIFS($D$2:D127,D127,$H$2:H127,H127)=1,1,0),"")</f>
        <v>0</v>
      </c>
      <c r="J127" s="50">
        <f>IF(ISNUMBER(H127),IFERROR(INDEX(Calendrier!$C$2:$C$367,MATCH(H127,Calendrier!$A$2:$A$367,0)),0),"")</f>
        <v>1</v>
      </c>
      <c r="K127" s="50">
        <f t="shared" si="9"/>
        <v>0</v>
      </c>
      <c r="L127" s="50">
        <f>IF(D127="","",IF(COUNTIF(Paramètres!$A$11:$A$40,D127)&gt;0,1,0))</f>
        <v>1</v>
      </c>
    </row>
    <row r="128" spans="1:12" x14ac:dyDescent="0.25">
      <c r="A128" s="49"/>
      <c r="B128" s="49" t="s">
        <v>90</v>
      </c>
      <c r="C128" s="49" t="s">
        <v>229</v>
      </c>
      <c r="D128" s="50" t="str">
        <f t="shared" si="5"/>
        <v>Zouhour Fathallah</v>
      </c>
      <c r="E128" s="50" t="str">
        <f t="shared" si="6"/>
        <v>janv</v>
      </c>
      <c r="F128" s="50">
        <f t="shared" si="7"/>
        <v>13</v>
      </c>
      <c r="G128" s="50">
        <f t="shared" si="8"/>
        <v>2026</v>
      </c>
      <c r="H128" s="51">
        <f>IF($C128="","",IFERROR(DATE(G128,VLOOKUP(E128,Paramètres!$K$11:$L$40,2,FALSE()),F128),"?"))</f>
        <v>46035</v>
      </c>
      <c r="I128" s="50">
        <f>IF(ISNUMBER(H128),IF(COUNTIFS($D$2:D128,D128,$H$2:H128,H128)=1,1,0),"")</f>
        <v>0</v>
      </c>
      <c r="J128" s="50">
        <f>IF(ISNUMBER(H128),IFERROR(INDEX(Calendrier!$C$2:$C$367,MATCH(H128,Calendrier!$A$2:$A$367,0)),0),"")</f>
        <v>1</v>
      </c>
      <c r="K128" s="50">
        <f t="shared" si="9"/>
        <v>0</v>
      </c>
      <c r="L128" s="50">
        <f>IF(D128="","",IF(COUNTIF(Paramètres!$A$11:$A$40,D128)&gt;0,1,0))</f>
        <v>1</v>
      </c>
    </row>
    <row r="129" spans="1:12" x14ac:dyDescent="0.25">
      <c r="A129" s="49"/>
      <c r="B129" s="49" t="s">
        <v>90</v>
      </c>
      <c r="C129" s="49" t="s">
        <v>230</v>
      </c>
      <c r="D129" s="50" t="str">
        <f t="shared" si="5"/>
        <v>Zouhour Fathallah</v>
      </c>
      <c r="E129" s="50" t="str">
        <f t="shared" si="6"/>
        <v>janv</v>
      </c>
      <c r="F129" s="50">
        <f t="shared" si="7"/>
        <v>16</v>
      </c>
      <c r="G129" s="50">
        <f t="shared" si="8"/>
        <v>2026</v>
      </c>
      <c r="H129" s="51">
        <f>IF($C129="","",IFERROR(DATE(G129,VLOOKUP(E129,Paramètres!$K$11:$L$40,2,FALSE()),F129),"?"))</f>
        <v>46038</v>
      </c>
      <c r="I129" s="50">
        <f>IF(ISNUMBER(H129),IF(COUNTIFS($D$2:D129,D129,$H$2:H129,H129)=1,1,0),"")</f>
        <v>1</v>
      </c>
      <c r="J129" s="50">
        <f>IF(ISNUMBER(H129),IFERROR(INDEX(Calendrier!$C$2:$C$367,MATCH(H129,Calendrier!$A$2:$A$367,0)),0),"")</f>
        <v>1</v>
      </c>
      <c r="K129" s="50">
        <f t="shared" si="9"/>
        <v>1</v>
      </c>
      <c r="L129" s="50">
        <f>IF(D129="","",IF(COUNTIF(Paramètres!$A$11:$A$40,D129)&gt;0,1,0))</f>
        <v>1</v>
      </c>
    </row>
    <row r="130" spans="1:12" x14ac:dyDescent="0.25">
      <c r="A130" s="49"/>
      <c r="B130" s="49" t="s">
        <v>90</v>
      </c>
      <c r="C130" s="49" t="s">
        <v>230</v>
      </c>
      <c r="D130" s="50" t="str">
        <f t="shared" ref="D130:D193" si="10">IF(B130="","",TRIM(B130))</f>
        <v>Zouhour Fathallah</v>
      </c>
      <c r="E130" s="50" t="str">
        <f t="shared" ref="E130:E193" si="11">IF($C130="","",LEFT($C130,FIND(" ",$C130)-1))</f>
        <v>janv</v>
      </c>
      <c r="F130" s="50">
        <f t="shared" ref="F130:F193" si="12">IF($C130="","",IFERROR(VALUE(LEFT(MID($C130,FIND(" ",$C130)+1,20),FIND(" ",MID($C130,FIND(" ",$C130)+1,20))-1)),"?"))</f>
        <v>16</v>
      </c>
      <c r="G130" s="50">
        <f t="shared" ref="G130:G193" si="13">IF($C130="","",IFERROR(VALUE(MID(MID($C130,FIND(" ",$C130)+1,20),FIND(" ",MID($C130,FIND(" ",$C130)+1,20))+1,4)),"?"))</f>
        <v>2026</v>
      </c>
      <c r="H130" s="51">
        <f>IF($C130="","",IFERROR(DATE(G130,VLOOKUP(E130,Paramètres!$K$11:$L$40,2,FALSE()),F130),"?"))</f>
        <v>46038</v>
      </c>
      <c r="I130" s="50">
        <f>IF(ISNUMBER(H130),IF(COUNTIFS($D$2:D130,D130,$H$2:H130,H130)=1,1,0),"")</f>
        <v>0</v>
      </c>
      <c r="J130" s="50">
        <f>IF(ISNUMBER(H130),IFERROR(INDEX(Calendrier!$C$2:$C$367,MATCH(H130,Calendrier!$A$2:$A$367,0)),0),"")</f>
        <v>1</v>
      </c>
      <c r="K130" s="50">
        <f t="shared" ref="K130:K193" si="14">IF(ISNUMBER(H130),I130*J130,"")</f>
        <v>0</v>
      </c>
      <c r="L130" s="50">
        <f>IF(D130="","",IF(COUNTIF(Paramètres!$A$11:$A$40,D130)&gt;0,1,0))</f>
        <v>1</v>
      </c>
    </row>
    <row r="131" spans="1:12" x14ac:dyDescent="0.25">
      <c r="A131" s="49"/>
      <c r="B131" s="49" t="s">
        <v>90</v>
      </c>
      <c r="C131" s="49" t="s">
        <v>231</v>
      </c>
      <c r="D131" s="50" t="str">
        <f t="shared" si="10"/>
        <v>Zouhour Fathallah</v>
      </c>
      <c r="E131" s="50" t="str">
        <f t="shared" si="11"/>
        <v>janv</v>
      </c>
      <c r="F131" s="50">
        <f t="shared" si="12"/>
        <v>21</v>
      </c>
      <c r="G131" s="50">
        <f t="shared" si="13"/>
        <v>2026</v>
      </c>
      <c r="H131" s="51">
        <f>IF($C131="","",IFERROR(DATE(G131,VLOOKUP(E131,Paramètres!$K$11:$L$40,2,FALSE()),F131),"?"))</f>
        <v>46043</v>
      </c>
      <c r="I131" s="50">
        <f>IF(ISNUMBER(H131),IF(COUNTIFS($D$2:D131,D131,$H$2:H131,H131)=1,1,0),"")</f>
        <v>1</v>
      </c>
      <c r="J131" s="50">
        <f>IF(ISNUMBER(H131),IFERROR(INDEX(Calendrier!$C$2:$C$367,MATCH(H131,Calendrier!$A$2:$A$367,0)),0),"")</f>
        <v>1</v>
      </c>
      <c r="K131" s="50">
        <f t="shared" si="14"/>
        <v>1</v>
      </c>
      <c r="L131" s="50">
        <f>IF(D131="","",IF(COUNTIF(Paramètres!$A$11:$A$40,D131)&gt;0,1,0))</f>
        <v>1</v>
      </c>
    </row>
    <row r="132" spans="1:12" hidden="1" x14ac:dyDescent="0.25">
      <c r="A132" s="49"/>
      <c r="B132" s="49" t="s">
        <v>67</v>
      </c>
      <c r="C132" s="49" t="s">
        <v>232</v>
      </c>
      <c r="D132" s="50" t="str">
        <f t="shared" si="10"/>
        <v>Marwa Solaani</v>
      </c>
      <c r="E132" s="50" t="str">
        <f t="shared" si="11"/>
        <v>janv</v>
      </c>
      <c r="F132" s="50">
        <f t="shared" si="12"/>
        <v>3</v>
      </c>
      <c r="G132" s="50">
        <f t="shared" si="13"/>
        <v>2026</v>
      </c>
      <c r="H132" s="51">
        <f>IF($C132="","",IFERROR(DATE(G132,VLOOKUP(E132,Paramètres!$K$11:$L$40,2,FALSE()),F132),"?"))</f>
        <v>46025</v>
      </c>
      <c r="I132" s="50">
        <f>IF(ISNUMBER(H132),IF(COUNTIFS($D$2:D132,D132,$H$2:H132,H132)=1,1,0),"")</f>
        <v>1</v>
      </c>
      <c r="J132" s="50">
        <f>IF(ISNUMBER(H132),IFERROR(INDEX(Calendrier!$C$2:$C$367,MATCH(H132,Calendrier!$A$2:$A$367,0)),0),"")</f>
        <v>0</v>
      </c>
      <c r="K132" s="50">
        <f t="shared" si="14"/>
        <v>0</v>
      </c>
      <c r="L132" s="50">
        <f>IF(D132="","",IF(COUNTIF(Paramètres!$A$11:$A$40,D132)&gt;0,1,0))</f>
        <v>1</v>
      </c>
    </row>
    <row r="133" spans="1:12" hidden="1" x14ac:dyDescent="0.25">
      <c r="A133" s="49"/>
      <c r="B133" s="49" t="s">
        <v>67</v>
      </c>
      <c r="C133" s="49" t="s">
        <v>160</v>
      </c>
      <c r="D133" s="50" t="str">
        <f t="shared" si="10"/>
        <v>Marwa Solaani</v>
      </c>
      <c r="E133" s="50" t="str">
        <f t="shared" si="11"/>
        <v>janv</v>
      </c>
      <c r="F133" s="50">
        <f t="shared" si="12"/>
        <v>7</v>
      </c>
      <c r="G133" s="50">
        <f t="shared" si="13"/>
        <v>2026</v>
      </c>
      <c r="H133" s="51">
        <f>IF($C133="","",IFERROR(DATE(G133,VLOOKUP(E133,Paramètres!$K$11:$L$40,2,FALSE()),F133),"?"))</f>
        <v>46029</v>
      </c>
      <c r="I133" s="50">
        <f>IF(ISNUMBER(H133),IF(COUNTIFS($D$2:D133,D133,$H$2:H133,H133)=1,1,0),"")</f>
        <v>1</v>
      </c>
      <c r="J133" s="50">
        <f>IF(ISNUMBER(H133),IFERROR(INDEX(Calendrier!$C$2:$C$367,MATCH(H133,Calendrier!$A$2:$A$367,0)),0),"")</f>
        <v>1</v>
      </c>
      <c r="K133" s="50">
        <f t="shared" si="14"/>
        <v>1</v>
      </c>
      <c r="L133" s="50">
        <f>IF(D133="","",IF(COUNTIF(Paramètres!$A$11:$A$40,D133)&gt;0,1,0))</f>
        <v>1</v>
      </c>
    </row>
    <row r="134" spans="1:12" hidden="1" x14ac:dyDescent="0.25">
      <c r="A134" s="49"/>
      <c r="B134" s="49" t="s">
        <v>67</v>
      </c>
      <c r="C134" s="49" t="s">
        <v>233</v>
      </c>
      <c r="D134" s="50" t="str">
        <f t="shared" si="10"/>
        <v>Marwa Solaani</v>
      </c>
      <c r="E134" s="50" t="str">
        <f t="shared" si="11"/>
        <v>janv</v>
      </c>
      <c r="F134" s="50">
        <f t="shared" si="12"/>
        <v>8</v>
      </c>
      <c r="G134" s="50">
        <f t="shared" si="13"/>
        <v>2026</v>
      </c>
      <c r="H134" s="51">
        <f>IF($C134="","",IFERROR(DATE(G134,VLOOKUP(E134,Paramètres!$K$11:$L$40,2,FALSE()),F134),"?"))</f>
        <v>46030</v>
      </c>
      <c r="I134" s="50">
        <f>IF(ISNUMBER(H134),IF(COUNTIFS($D$2:D134,D134,$H$2:H134,H134)=1,1,0),"")</f>
        <v>1</v>
      </c>
      <c r="J134" s="50">
        <f>IF(ISNUMBER(H134),IFERROR(INDEX(Calendrier!$C$2:$C$367,MATCH(H134,Calendrier!$A$2:$A$367,0)),0),"")</f>
        <v>1</v>
      </c>
      <c r="K134" s="50">
        <f t="shared" si="14"/>
        <v>1</v>
      </c>
      <c r="L134" s="50">
        <f>IF(D134="","",IF(COUNTIF(Paramètres!$A$11:$A$40,D134)&gt;0,1,0))</f>
        <v>1</v>
      </c>
    </row>
    <row r="135" spans="1:12" hidden="1" x14ac:dyDescent="0.25">
      <c r="A135" s="49"/>
      <c r="B135" s="49" t="s">
        <v>67</v>
      </c>
      <c r="C135" s="49" t="s">
        <v>234</v>
      </c>
      <c r="D135" s="50" t="str">
        <f t="shared" si="10"/>
        <v>Marwa Solaani</v>
      </c>
      <c r="E135" s="50" t="str">
        <f t="shared" si="11"/>
        <v>janv</v>
      </c>
      <c r="F135" s="50">
        <f t="shared" si="12"/>
        <v>19</v>
      </c>
      <c r="G135" s="50">
        <f t="shared" si="13"/>
        <v>2026</v>
      </c>
      <c r="H135" s="51">
        <f>IF($C135="","",IFERROR(DATE(G135,VLOOKUP(E135,Paramètres!$K$11:$L$40,2,FALSE()),F135),"?"))</f>
        <v>46041</v>
      </c>
      <c r="I135" s="50">
        <f>IF(ISNUMBER(H135),IF(COUNTIFS($D$2:D135,D135,$H$2:H135,H135)=1,1,0),"")</f>
        <v>1</v>
      </c>
      <c r="J135" s="50">
        <f>IF(ISNUMBER(H135),IFERROR(INDEX(Calendrier!$C$2:$C$367,MATCH(H135,Calendrier!$A$2:$A$367,0)),0),"")</f>
        <v>1</v>
      </c>
      <c r="K135" s="50">
        <f t="shared" si="14"/>
        <v>1</v>
      </c>
      <c r="L135" s="50">
        <f>IF(D135="","",IF(COUNTIF(Paramètres!$A$11:$A$40,D135)&gt;0,1,0))</f>
        <v>1</v>
      </c>
    </row>
    <row r="136" spans="1:12" hidden="1" x14ac:dyDescent="0.25">
      <c r="A136" s="49"/>
      <c r="B136" s="49" t="s">
        <v>67</v>
      </c>
      <c r="C136" s="49" t="s">
        <v>235</v>
      </c>
      <c r="D136" s="50" t="str">
        <f t="shared" si="10"/>
        <v>Marwa Solaani</v>
      </c>
      <c r="E136" s="50" t="str">
        <f t="shared" si="11"/>
        <v>janv</v>
      </c>
      <c r="F136" s="50">
        <f t="shared" si="12"/>
        <v>21</v>
      </c>
      <c r="G136" s="50">
        <f t="shared" si="13"/>
        <v>2026</v>
      </c>
      <c r="H136" s="51">
        <f>IF($C136="","",IFERROR(DATE(G136,VLOOKUP(E136,Paramètres!$K$11:$L$40,2,FALSE()),F136),"?"))</f>
        <v>46043</v>
      </c>
      <c r="I136" s="50">
        <f>IF(ISNUMBER(H136),IF(COUNTIFS($D$2:D136,D136,$H$2:H136,H136)=1,1,0),"")</f>
        <v>1</v>
      </c>
      <c r="J136" s="50">
        <f>IF(ISNUMBER(H136),IFERROR(INDEX(Calendrier!$C$2:$C$367,MATCH(H136,Calendrier!$A$2:$A$367,0)),0),"")</f>
        <v>1</v>
      </c>
      <c r="K136" s="50">
        <f t="shared" si="14"/>
        <v>1</v>
      </c>
      <c r="L136" s="50">
        <f>IF(D136="","",IF(COUNTIF(Paramètres!$A$11:$A$40,D136)&gt;0,1,0))</f>
        <v>1</v>
      </c>
    </row>
    <row r="137" spans="1:12" hidden="1" x14ac:dyDescent="0.25">
      <c r="A137" s="49"/>
      <c r="B137" s="49" t="s">
        <v>75</v>
      </c>
      <c r="C137" s="49" t="s">
        <v>236</v>
      </c>
      <c r="D137" s="50" t="str">
        <f t="shared" si="10"/>
        <v>Nesrine Laassili</v>
      </c>
      <c r="E137" s="50" t="str">
        <f t="shared" si="11"/>
        <v>janv</v>
      </c>
      <c r="F137" s="50">
        <f t="shared" si="12"/>
        <v>21</v>
      </c>
      <c r="G137" s="50">
        <f t="shared" si="13"/>
        <v>2026</v>
      </c>
      <c r="H137" s="51">
        <f>IF($C137="","",IFERROR(DATE(G137,VLOOKUP(E137,Paramètres!$K$11:$L$40,2,FALSE()),F137),"?"))</f>
        <v>46043</v>
      </c>
      <c r="I137" s="50">
        <f>IF(ISNUMBER(H137),IF(COUNTIFS($D$2:D137,D137,$H$2:H137,H137)=1,1,0),"")</f>
        <v>1</v>
      </c>
      <c r="J137" s="50">
        <f>IF(ISNUMBER(H137),IFERROR(INDEX(Calendrier!$C$2:$C$367,MATCH(H137,Calendrier!$A$2:$A$367,0)),0),"")</f>
        <v>1</v>
      </c>
      <c r="K137" s="50">
        <f t="shared" si="14"/>
        <v>1</v>
      </c>
      <c r="L137" s="50">
        <f>IF(D137="","",IF(COUNTIF(Paramètres!$A$11:$A$40,D137)&gt;0,1,0))</f>
        <v>1</v>
      </c>
    </row>
    <row r="138" spans="1:12" hidden="1" x14ac:dyDescent="0.25">
      <c r="A138" s="49"/>
      <c r="B138" s="49" t="s">
        <v>75</v>
      </c>
      <c r="C138" s="49" t="s">
        <v>237</v>
      </c>
      <c r="D138" s="50" t="str">
        <f t="shared" si="10"/>
        <v>Nesrine Laassili</v>
      </c>
      <c r="E138" s="50" t="str">
        <f t="shared" si="11"/>
        <v>janv</v>
      </c>
      <c r="F138" s="50">
        <f t="shared" si="12"/>
        <v>21</v>
      </c>
      <c r="G138" s="50">
        <f t="shared" si="13"/>
        <v>2026</v>
      </c>
      <c r="H138" s="51">
        <f>IF($C138="","",IFERROR(DATE(G138,VLOOKUP(E138,Paramètres!$K$11:$L$40,2,FALSE()),F138),"?"))</f>
        <v>46043</v>
      </c>
      <c r="I138" s="50">
        <f>IF(ISNUMBER(H138),IF(COUNTIFS($D$2:D138,D138,$H$2:H138,H138)=1,1,0),"")</f>
        <v>0</v>
      </c>
      <c r="J138" s="50">
        <f>IF(ISNUMBER(H138),IFERROR(INDEX(Calendrier!$C$2:$C$367,MATCH(H138,Calendrier!$A$2:$A$367,0)),0),"")</f>
        <v>1</v>
      </c>
      <c r="K138" s="50">
        <f t="shared" si="14"/>
        <v>0</v>
      </c>
      <c r="L138" s="50">
        <f>IF(D138="","",IF(COUNTIF(Paramètres!$A$11:$A$40,D138)&gt;0,1,0))</f>
        <v>1</v>
      </c>
    </row>
    <row r="139" spans="1:12" x14ac:dyDescent="0.25">
      <c r="A139" s="49"/>
      <c r="B139" s="49" t="s">
        <v>90</v>
      </c>
      <c r="C139" s="49" t="s">
        <v>238</v>
      </c>
      <c r="D139" s="50" t="str">
        <f t="shared" si="10"/>
        <v>Zouhour Fathallah</v>
      </c>
      <c r="E139" s="50" t="str">
        <f t="shared" si="11"/>
        <v>janv</v>
      </c>
      <c r="F139" s="50">
        <f t="shared" si="12"/>
        <v>22</v>
      </c>
      <c r="G139" s="50">
        <f t="shared" si="13"/>
        <v>2026</v>
      </c>
      <c r="H139" s="51">
        <f>IF($C139="","",IFERROR(DATE(G139,VLOOKUP(E139,Paramètres!$K$11:$L$40,2,FALSE()),F139),"?"))</f>
        <v>46044</v>
      </c>
      <c r="I139" s="50">
        <f>IF(ISNUMBER(H139),IF(COUNTIFS($D$2:D139,D139,$H$2:H139,H139)=1,1,0),"")</f>
        <v>1</v>
      </c>
      <c r="J139" s="50">
        <f>IF(ISNUMBER(H139),IFERROR(INDEX(Calendrier!$C$2:$C$367,MATCH(H139,Calendrier!$A$2:$A$367,0)),0),"")</f>
        <v>1</v>
      </c>
      <c r="K139" s="50">
        <f t="shared" si="14"/>
        <v>1</v>
      </c>
      <c r="L139" s="50">
        <f>IF(D139="","",IF(COUNTIF(Paramètres!$A$11:$A$40,D139)&gt;0,1,0))</f>
        <v>1</v>
      </c>
    </row>
    <row r="140" spans="1:12" x14ac:dyDescent="0.25">
      <c r="A140" s="49"/>
      <c r="B140" s="49" t="s">
        <v>90</v>
      </c>
      <c r="C140" s="49" t="s">
        <v>239</v>
      </c>
      <c r="D140" s="50" t="str">
        <f t="shared" si="10"/>
        <v>Zouhour Fathallah</v>
      </c>
      <c r="E140" s="50" t="str">
        <f t="shared" si="11"/>
        <v>janv</v>
      </c>
      <c r="F140" s="50">
        <f t="shared" si="12"/>
        <v>22</v>
      </c>
      <c r="G140" s="50">
        <f t="shared" si="13"/>
        <v>2026</v>
      </c>
      <c r="H140" s="51">
        <f>IF($C140="","",IFERROR(DATE(G140,VLOOKUP(E140,Paramètres!$K$11:$L$40,2,FALSE()),F140),"?"))</f>
        <v>46044</v>
      </c>
      <c r="I140" s="50">
        <f>IF(ISNUMBER(H140),IF(COUNTIFS($D$2:D140,D140,$H$2:H140,H140)=1,1,0),"")</f>
        <v>0</v>
      </c>
      <c r="J140" s="50">
        <f>IF(ISNUMBER(H140),IFERROR(INDEX(Calendrier!$C$2:$C$367,MATCH(H140,Calendrier!$A$2:$A$367,0)),0),"")</f>
        <v>1</v>
      </c>
      <c r="K140" s="50">
        <f t="shared" si="14"/>
        <v>0</v>
      </c>
      <c r="L140" s="50">
        <f>IF(D140="","",IF(COUNTIF(Paramètres!$A$11:$A$40,D140)&gt;0,1,0))</f>
        <v>1</v>
      </c>
    </row>
    <row r="141" spans="1:12" x14ac:dyDescent="0.25">
      <c r="A141" s="49"/>
      <c r="B141" s="49" t="s">
        <v>90</v>
      </c>
      <c r="C141" s="49" t="s">
        <v>240</v>
      </c>
      <c r="D141" s="50" t="str">
        <f t="shared" si="10"/>
        <v>Zouhour Fathallah</v>
      </c>
      <c r="E141" s="50" t="str">
        <f t="shared" si="11"/>
        <v>janv</v>
      </c>
      <c r="F141" s="50">
        <f t="shared" si="12"/>
        <v>22</v>
      </c>
      <c r="G141" s="50">
        <f t="shared" si="13"/>
        <v>2026</v>
      </c>
      <c r="H141" s="51">
        <f>IF($C141="","",IFERROR(DATE(G141,VLOOKUP(E141,Paramètres!$K$11:$L$40,2,FALSE()),F141),"?"))</f>
        <v>46044</v>
      </c>
      <c r="I141" s="50">
        <f>IF(ISNUMBER(H141),IF(COUNTIFS($D$2:D141,D141,$H$2:H141,H141)=1,1,0),"")</f>
        <v>0</v>
      </c>
      <c r="J141" s="50">
        <f>IF(ISNUMBER(H141),IFERROR(INDEX(Calendrier!$C$2:$C$367,MATCH(H141,Calendrier!$A$2:$A$367,0)),0),"")</f>
        <v>1</v>
      </c>
      <c r="K141" s="50">
        <f t="shared" si="14"/>
        <v>0</v>
      </c>
      <c r="L141" s="50">
        <f>IF(D141="","",IF(COUNTIF(Paramètres!$A$11:$A$40,D141)&gt;0,1,0))</f>
        <v>1</v>
      </c>
    </row>
    <row r="142" spans="1:12" x14ac:dyDescent="0.25">
      <c r="A142" s="49"/>
      <c r="B142" s="49" t="s">
        <v>90</v>
      </c>
      <c r="C142" s="49" t="s">
        <v>241</v>
      </c>
      <c r="D142" s="50" t="str">
        <f t="shared" si="10"/>
        <v>Zouhour Fathallah</v>
      </c>
      <c r="E142" s="50" t="str">
        <f t="shared" si="11"/>
        <v>janv</v>
      </c>
      <c r="F142" s="50">
        <f t="shared" si="12"/>
        <v>22</v>
      </c>
      <c r="G142" s="50">
        <f t="shared" si="13"/>
        <v>2026</v>
      </c>
      <c r="H142" s="51">
        <f>IF($C142="","",IFERROR(DATE(G142,VLOOKUP(E142,Paramètres!$K$11:$L$40,2,FALSE()),F142),"?"))</f>
        <v>46044</v>
      </c>
      <c r="I142" s="50">
        <f>IF(ISNUMBER(H142),IF(COUNTIFS($D$2:D142,D142,$H$2:H142,H142)=1,1,0),"")</f>
        <v>0</v>
      </c>
      <c r="J142" s="50">
        <f>IF(ISNUMBER(H142),IFERROR(INDEX(Calendrier!$C$2:$C$367,MATCH(H142,Calendrier!$A$2:$A$367,0)),0),"")</f>
        <v>1</v>
      </c>
      <c r="K142" s="50">
        <f t="shared" si="14"/>
        <v>0</v>
      </c>
      <c r="L142" s="50">
        <f>IF(D142="","",IF(COUNTIF(Paramètres!$A$11:$A$40,D142)&gt;0,1,0))</f>
        <v>1</v>
      </c>
    </row>
    <row r="143" spans="1:12" x14ac:dyDescent="0.25">
      <c r="A143" s="49"/>
      <c r="B143" s="49" t="s">
        <v>90</v>
      </c>
      <c r="C143" s="49" t="s">
        <v>242</v>
      </c>
      <c r="D143" s="50" t="str">
        <f t="shared" si="10"/>
        <v>Zouhour Fathallah</v>
      </c>
      <c r="E143" s="50" t="str">
        <f t="shared" si="11"/>
        <v>janv</v>
      </c>
      <c r="F143" s="50">
        <f t="shared" si="12"/>
        <v>26</v>
      </c>
      <c r="G143" s="50">
        <f t="shared" si="13"/>
        <v>2026</v>
      </c>
      <c r="H143" s="51">
        <f>IF($C143="","",IFERROR(DATE(G143,VLOOKUP(E143,Paramètres!$K$11:$L$40,2,FALSE()),F143),"?"))</f>
        <v>46048</v>
      </c>
      <c r="I143" s="50">
        <f>IF(ISNUMBER(H143),IF(COUNTIFS($D$2:D143,D143,$H$2:H143,H143)=1,1,0),"")</f>
        <v>1</v>
      </c>
      <c r="J143" s="50">
        <f>IF(ISNUMBER(H143),IFERROR(INDEX(Calendrier!$C$2:$C$367,MATCH(H143,Calendrier!$A$2:$A$367,0)),0),"")</f>
        <v>1</v>
      </c>
      <c r="K143" s="50">
        <f t="shared" si="14"/>
        <v>1</v>
      </c>
      <c r="L143" s="50">
        <f>IF(D143="","",IF(COUNTIF(Paramètres!$A$11:$A$40,D143)&gt;0,1,0))</f>
        <v>1</v>
      </c>
    </row>
    <row r="144" spans="1:12" x14ac:dyDescent="0.25">
      <c r="A144" s="49"/>
      <c r="B144" s="49" t="s">
        <v>90</v>
      </c>
      <c r="C144" s="49" t="s">
        <v>243</v>
      </c>
      <c r="D144" s="50" t="str">
        <f t="shared" si="10"/>
        <v>Zouhour Fathallah</v>
      </c>
      <c r="E144" s="50" t="str">
        <f t="shared" si="11"/>
        <v>janv</v>
      </c>
      <c r="F144" s="50">
        <f t="shared" si="12"/>
        <v>27</v>
      </c>
      <c r="G144" s="50">
        <f t="shared" si="13"/>
        <v>2026</v>
      </c>
      <c r="H144" s="51">
        <f>IF($C144="","",IFERROR(DATE(G144,VLOOKUP(E144,Paramètres!$K$11:$L$40,2,FALSE()),F144),"?"))</f>
        <v>46049</v>
      </c>
      <c r="I144" s="50">
        <f>IF(ISNUMBER(H144),IF(COUNTIFS($D$2:D144,D144,$H$2:H144,H144)=1,1,0),"")</f>
        <v>1</v>
      </c>
      <c r="J144" s="50">
        <f>IF(ISNUMBER(H144),IFERROR(INDEX(Calendrier!$C$2:$C$367,MATCH(H144,Calendrier!$A$2:$A$367,0)),0),"")</f>
        <v>1</v>
      </c>
      <c r="K144" s="50">
        <f t="shared" si="14"/>
        <v>1</v>
      </c>
      <c r="L144" s="50">
        <f>IF(D144="","",IF(COUNTIF(Paramètres!$A$11:$A$40,D144)&gt;0,1,0))</f>
        <v>1</v>
      </c>
    </row>
    <row r="145" spans="1:12" x14ac:dyDescent="0.25">
      <c r="A145" s="49"/>
      <c r="B145" s="49" t="s">
        <v>90</v>
      </c>
      <c r="C145" s="49" t="s">
        <v>244</v>
      </c>
      <c r="D145" s="50" t="str">
        <f t="shared" si="10"/>
        <v>Zouhour Fathallah</v>
      </c>
      <c r="E145" s="50" t="str">
        <f t="shared" si="11"/>
        <v>janv</v>
      </c>
      <c r="F145" s="50">
        <f t="shared" si="12"/>
        <v>30</v>
      </c>
      <c r="G145" s="50">
        <f t="shared" si="13"/>
        <v>2026</v>
      </c>
      <c r="H145" s="51">
        <f>IF($C145="","",IFERROR(DATE(G145,VLOOKUP(E145,Paramètres!$K$11:$L$40,2,FALSE()),F145),"?"))</f>
        <v>46052</v>
      </c>
      <c r="I145" s="50">
        <f>IF(ISNUMBER(H145),IF(COUNTIFS($D$2:D145,D145,$H$2:H145,H145)=1,1,0),"")</f>
        <v>1</v>
      </c>
      <c r="J145" s="50">
        <f>IF(ISNUMBER(H145),IFERROR(INDEX(Calendrier!$C$2:$C$367,MATCH(H145,Calendrier!$A$2:$A$367,0)),0),"")</f>
        <v>1</v>
      </c>
      <c r="K145" s="50">
        <f t="shared" si="14"/>
        <v>1</v>
      </c>
      <c r="L145" s="50">
        <f>IF(D145="","",IF(COUNTIF(Paramètres!$A$11:$A$40,D145)&gt;0,1,0))</f>
        <v>1</v>
      </c>
    </row>
    <row r="146" spans="1:12" x14ac:dyDescent="0.25">
      <c r="A146" s="49"/>
      <c r="B146" s="49" t="s">
        <v>90</v>
      </c>
      <c r="C146" s="49" t="s">
        <v>245</v>
      </c>
      <c r="D146" s="50" t="str">
        <f t="shared" si="10"/>
        <v>Zouhour Fathallah</v>
      </c>
      <c r="E146" s="50" t="str">
        <f t="shared" si="11"/>
        <v>janv</v>
      </c>
      <c r="F146" s="50">
        <f t="shared" si="12"/>
        <v>30</v>
      </c>
      <c r="G146" s="50">
        <f t="shared" si="13"/>
        <v>2026</v>
      </c>
      <c r="H146" s="51">
        <f>IF($C146="","",IFERROR(DATE(G146,VLOOKUP(E146,Paramètres!$K$11:$L$40,2,FALSE()),F146),"?"))</f>
        <v>46052</v>
      </c>
      <c r="I146" s="50">
        <f>IF(ISNUMBER(H146),IF(COUNTIFS($D$2:D146,D146,$H$2:H146,H146)=1,1,0),"")</f>
        <v>0</v>
      </c>
      <c r="J146" s="50">
        <f>IF(ISNUMBER(H146),IFERROR(INDEX(Calendrier!$C$2:$C$367,MATCH(H146,Calendrier!$A$2:$A$367,0)),0),"")</f>
        <v>1</v>
      </c>
      <c r="K146" s="50">
        <f t="shared" si="14"/>
        <v>0</v>
      </c>
      <c r="L146" s="50">
        <f>IF(D146="","",IF(COUNTIF(Paramètres!$A$11:$A$40,D146)&gt;0,1,0))</f>
        <v>1</v>
      </c>
    </row>
    <row r="147" spans="1:12" x14ac:dyDescent="0.25">
      <c r="A147" s="49"/>
      <c r="B147" s="49" t="s">
        <v>90</v>
      </c>
      <c r="C147" s="49" t="s">
        <v>245</v>
      </c>
      <c r="D147" s="50" t="str">
        <f t="shared" si="10"/>
        <v>Zouhour Fathallah</v>
      </c>
      <c r="E147" s="50" t="str">
        <f t="shared" si="11"/>
        <v>janv</v>
      </c>
      <c r="F147" s="50">
        <f t="shared" si="12"/>
        <v>30</v>
      </c>
      <c r="G147" s="50">
        <f t="shared" si="13"/>
        <v>2026</v>
      </c>
      <c r="H147" s="51">
        <f>IF($C147="","",IFERROR(DATE(G147,VLOOKUP(E147,Paramètres!$K$11:$L$40,2,FALSE()),F147),"?"))</f>
        <v>46052</v>
      </c>
      <c r="I147" s="50">
        <f>IF(ISNUMBER(H147),IF(COUNTIFS($D$2:D147,D147,$H$2:H147,H147)=1,1,0),"")</f>
        <v>0</v>
      </c>
      <c r="J147" s="50">
        <f>IF(ISNUMBER(H147),IFERROR(INDEX(Calendrier!$C$2:$C$367,MATCH(H147,Calendrier!$A$2:$A$367,0)),0),"")</f>
        <v>1</v>
      </c>
      <c r="K147" s="50">
        <f t="shared" si="14"/>
        <v>0</v>
      </c>
      <c r="L147" s="50">
        <f>IF(D147="","",IF(COUNTIF(Paramètres!$A$11:$A$40,D147)&gt;0,1,0))</f>
        <v>1</v>
      </c>
    </row>
    <row r="148" spans="1:12" hidden="1" x14ac:dyDescent="0.25">
      <c r="A148" s="49"/>
      <c r="B148" s="49" t="s">
        <v>59</v>
      </c>
      <c r="C148" s="49" t="s">
        <v>246</v>
      </c>
      <c r="D148" s="50" t="str">
        <f t="shared" si="10"/>
        <v>Imre Kapusi</v>
      </c>
      <c r="E148" s="50" t="str">
        <f t="shared" si="11"/>
        <v>janv</v>
      </c>
      <c r="F148" s="50">
        <f t="shared" si="12"/>
        <v>2</v>
      </c>
      <c r="G148" s="50">
        <f t="shared" si="13"/>
        <v>2026</v>
      </c>
      <c r="H148" s="51">
        <f>IF($C148="","",IFERROR(DATE(G148,VLOOKUP(E148,Paramètres!$K$11:$L$40,2,FALSE()),F148),"?"))</f>
        <v>46024</v>
      </c>
      <c r="I148" s="50">
        <f>IF(ISNUMBER(H148),IF(COUNTIFS($D$2:D148,D148,$H$2:H148,H148)=1,1,0),"")</f>
        <v>1</v>
      </c>
      <c r="J148" s="50">
        <f>IF(ISNUMBER(H148),IFERROR(INDEX(Calendrier!$C$2:$C$367,MATCH(H148,Calendrier!$A$2:$A$367,0)),0),"")</f>
        <v>1</v>
      </c>
      <c r="K148" s="50">
        <f t="shared" si="14"/>
        <v>1</v>
      </c>
      <c r="L148" s="50">
        <f>IF(D148="","",IF(COUNTIF(Paramètres!$A$11:$A$40,D148)&gt;0,1,0))</f>
        <v>1</v>
      </c>
    </row>
    <row r="149" spans="1:12" hidden="1" x14ac:dyDescent="0.25">
      <c r="A149" s="49"/>
      <c r="B149" s="49" t="s">
        <v>59</v>
      </c>
      <c r="C149" s="49" t="s">
        <v>247</v>
      </c>
      <c r="D149" s="50" t="str">
        <f t="shared" si="10"/>
        <v>Imre Kapusi</v>
      </c>
      <c r="E149" s="50" t="str">
        <f t="shared" si="11"/>
        <v>janv</v>
      </c>
      <c r="F149" s="50">
        <f t="shared" si="12"/>
        <v>2</v>
      </c>
      <c r="G149" s="50">
        <f t="shared" si="13"/>
        <v>2026</v>
      </c>
      <c r="H149" s="51">
        <f>IF($C149="","",IFERROR(DATE(G149,VLOOKUP(E149,Paramètres!$K$11:$L$40,2,FALSE()),F149),"?"))</f>
        <v>46024</v>
      </c>
      <c r="I149" s="50">
        <f>IF(ISNUMBER(H149),IF(COUNTIFS($D$2:D149,D149,$H$2:H149,H149)=1,1,0),"")</f>
        <v>0</v>
      </c>
      <c r="J149" s="50">
        <f>IF(ISNUMBER(H149),IFERROR(INDEX(Calendrier!$C$2:$C$367,MATCH(H149,Calendrier!$A$2:$A$367,0)),0),"")</f>
        <v>1</v>
      </c>
      <c r="K149" s="50">
        <f t="shared" si="14"/>
        <v>0</v>
      </c>
      <c r="L149" s="50">
        <f>IF(D149="","",IF(COUNTIF(Paramètres!$A$11:$A$40,D149)&gt;0,1,0))</f>
        <v>1</v>
      </c>
    </row>
    <row r="150" spans="1:12" hidden="1" x14ac:dyDescent="0.25">
      <c r="A150" s="49"/>
      <c r="B150" s="49" t="s">
        <v>59</v>
      </c>
      <c r="C150" s="49" t="s">
        <v>248</v>
      </c>
      <c r="D150" s="50" t="str">
        <f t="shared" si="10"/>
        <v>Imre Kapusi</v>
      </c>
      <c r="E150" s="50" t="str">
        <f t="shared" si="11"/>
        <v>janv</v>
      </c>
      <c r="F150" s="50">
        <f t="shared" si="12"/>
        <v>2</v>
      </c>
      <c r="G150" s="50">
        <f t="shared" si="13"/>
        <v>2026</v>
      </c>
      <c r="H150" s="51">
        <f>IF($C150="","",IFERROR(DATE(G150,VLOOKUP(E150,Paramètres!$K$11:$L$40,2,FALSE()),F150),"?"))</f>
        <v>46024</v>
      </c>
      <c r="I150" s="50">
        <f>IF(ISNUMBER(H150),IF(COUNTIFS($D$2:D150,D150,$H$2:H150,H150)=1,1,0),"")</f>
        <v>0</v>
      </c>
      <c r="J150" s="50">
        <f>IF(ISNUMBER(H150),IFERROR(INDEX(Calendrier!$C$2:$C$367,MATCH(H150,Calendrier!$A$2:$A$367,0)),0),"")</f>
        <v>1</v>
      </c>
      <c r="K150" s="50">
        <f t="shared" si="14"/>
        <v>0</v>
      </c>
      <c r="L150" s="50">
        <f>IF(D150="","",IF(COUNTIF(Paramètres!$A$11:$A$40,D150)&gt;0,1,0))</f>
        <v>1</v>
      </c>
    </row>
    <row r="151" spans="1:12" hidden="1" x14ac:dyDescent="0.25">
      <c r="A151" s="49"/>
      <c r="B151" s="49" t="s">
        <v>59</v>
      </c>
      <c r="C151" s="49" t="s">
        <v>249</v>
      </c>
      <c r="D151" s="50" t="str">
        <f t="shared" si="10"/>
        <v>Imre Kapusi</v>
      </c>
      <c r="E151" s="50" t="str">
        <f t="shared" si="11"/>
        <v>janv</v>
      </c>
      <c r="F151" s="50">
        <f t="shared" si="12"/>
        <v>3</v>
      </c>
      <c r="G151" s="50">
        <f t="shared" si="13"/>
        <v>2026</v>
      </c>
      <c r="H151" s="51">
        <f>IF($C151="","",IFERROR(DATE(G151,VLOOKUP(E151,Paramètres!$K$11:$L$40,2,FALSE()),F151),"?"))</f>
        <v>46025</v>
      </c>
      <c r="I151" s="50">
        <f>IF(ISNUMBER(H151),IF(COUNTIFS($D$2:D151,D151,$H$2:H151,H151)=1,1,0),"")</f>
        <v>1</v>
      </c>
      <c r="J151" s="50">
        <f>IF(ISNUMBER(H151),IFERROR(INDEX(Calendrier!$C$2:$C$367,MATCH(H151,Calendrier!$A$2:$A$367,0)),0),"")</f>
        <v>0</v>
      </c>
      <c r="K151" s="50">
        <f t="shared" si="14"/>
        <v>0</v>
      </c>
      <c r="L151" s="50">
        <f>IF(D151="","",IF(COUNTIF(Paramètres!$A$11:$A$40,D151)&gt;0,1,0))</f>
        <v>1</v>
      </c>
    </row>
    <row r="152" spans="1:12" hidden="1" x14ac:dyDescent="0.25">
      <c r="A152" s="49"/>
      <c r="B152" s="49" t="s">
        <v>59</v>
      </c>
      <c r="C152" s="49" t="s">
        <v>250</v>
      </c>
      <c r="D152" s="50" t="str">
        <f t="shared" si="10"/>
        <v>Imre Kapusi</v>
      </c>
      <c r="E152" s="50" t="str">
        <f t="shared" si="11"/>
        <v>janv</v>
      </c>
      <c r="F152" s="50">
        <f t="shared" si="12"/>
        <v>3</v>
      </c>
      <c r="G152" s="50">
        <f t="shared" si="13"/>
        <v>2026</v>
      </c>
      <c r="H152" s="51">
        <f>IF($C152="","",IFERROR(DATE(G152,VLOOKUP(E152,Paramètres!$K$11:$L$40,2,FALSE()),F152),"?"))</f>
        <v>46025</v>
      </c>
      <c r="I152" s="50">
        <f>IF(ISNUMBER(H152),IF(COUNTIFS($D$2:D152,D152,$H$2:H152,H152)=1,1,0),"")</f>
        <v>0</v>
      </c>
      <c r="J152" s="50">
        <f>IF(ISNUMBER(H152),IFERROR(INDEX(Calendrier!$C$2:$C$367,MATCH(H152,Calendrier!$A$2:$A$367,0)),0),"")</f>
        <v>0</v>
      </c>
      <c r="K152" s="50">
        <f t="shared" si="14"/>
        <v>0</v>
      </c>
      <c r="L152" s="50">
        <f>IF(D152="","",IF(COUNTIF(Paramètres!$A$11:$A$40,D152)&gt;0,1,0))</f>
        <v>1</v>
      </c>
    </row>
    <row r="153" spans="1:12" hidden="1" x14ac:dyDescent="0.25">
      <c r="A153" s="49"/>
      <c r="B153" s="49" t="s">
        <v>59</v>
      </c>
      <c r="C153" s="49" t="s">
        <v>251</v>
      </c>
      <c r="D153" s="50" t="str">
        <f t="shared" si="10"/>
        <v>Imre Kapusi</v>
      </c>
      <c r="E153" s="50" t="str">
        <f t="shared" si="11"/>
        <v>janv</v>
      </c>
      <c r="F153" s="50">
        <f t="shared" si="12"/>
        <v>3</v>
      </c>
      <c r="G153" s="50">
        <f t="shared" si="13"/>
        <v>2026</v>
      </c>
      <c r="H153" s="51">
        <f>IF($C153="","",IFERROR(DATE(G153,VLOOKUP(E153,Paramètres!$K$11:$L$40,2,FALSE()),F153),"?"))</f>
        <v>46025</v>
      </c>
      <c r="I153" s="50">
        <f>IF(ISNUMBER(H153),IF(COUNTIFS($D$2:D153,D153,$H$2:H153,H153)=1,1,0),"")</f>
        <v>0</v>
      </c>
      <c r="J153" s="50">
        <f>IF(ISNUMBER(H153),IFERROR(INDEX(Calendrier!$C$2:$C$367,MATCH(H153,Calendrier!$A$2:$A$367,0)),0),"")</f>
        <v>0</v>
      </c>
      <c r="K153" s="50">
        <f t="shared" si="14"/>
        <v>0</v>
      </c>
      <c r="L153" s="50">
        <f>IF(D153="","",IF(COUNTIF(Paramètres!$A$11:$A$40,D153)&gt;0,1,0))</f>
        <v>1</v>
      </c>
    </row>
    <row r="154" spans="1:12" hidden="1" x14ac:dyDescent="0.25">
      <c r="A154" s="49"/>
      <c r="B154" s="49" t="s">
        <v>59</v>
      </c>
      <c r="C154" s="49" t="s">
        <v>252</v>
      </c>
      <c r="D154" s="50" t="str">
        <f t="shared" si="10"/>
        <v>Imre Kapusi</v>
      </c>
      <c r="E154" s="50" t="str">
        <f t="shared" si="11"/>
        <v>janv</v>
      </c>
      <c r="F154" s="50">
        <f t="shared" si="12"/>
        <v>5</v>
      </c>
      <c r="G154" s="50">
        <f t="shared" si="13"/>
        <v>2026</v>
      </c>
      <c r="H154" s="51">
        <f>IF($C154="","",IFERROR(DATE(G154,VLOOKUP(E154,Paramètres!$K$11:$L$40,2,FALSE()),F154),"?"))</f>
        <v>46027</v>
      </c>
      <c r="I154" s="50">
        <f>IF(ISNUMBER(H154),IF(COUNTIFS($D$2:D154,D154,$H$2:H154,H154)=1,1,0),"")</f>
        <v>1</v>
      </c>
      <c r="J154" s="50">
        <f>IF(ISNUMBER(H154),IFERROR(INDEX(Calendrier!$C$2:$C$367,MATCH(H154,Calendrier!$A$2:$A$367,0)),0),"")</f>
        <v>1</v>
      </c>
      <c r="K154" s="50">
        <f t="shared" si="14"/>
        <v>1</v>
      </c>
      <c r="L154" s="50">
        <f>IF(D154="","",IF(COUNTIF(Paramètres!$A$11:$A$40,D154)&gt;0,1,0))</f>
        <v>1</v>
      </c>
    </row>
    <row r="155" spans="1:12" hidden="1" x14ac:dyDescent="0.25">
      <c r="A155" s="49"/>
      <c r="B155" s="49" t="s">
        <v>59</v>
      </c>
      <c r="C155" s="49" t="s">
        <v>253</v>
      </c>
      <c r="D155" s="50" t="str">
        <f t="shared" si="10"/>
        <v>Imre Kapusi</v>
      </c>
      <c r="E155" s="50" t="str">
        <f t="shared" si="11"/>
        <v>janv</v>
      </c>
      <c r="F155" s="50">
        <f t="shared" si="12"/>
        <v>5</v>
      </c>
      <c r="G155" s="50">
        <f t="shared" si="13"/>
        <v>2026</v>
      </c>
      <c r="H155" s="51">
        <f>IF($C155="","",IFERROR(DATE(G155,VLOOKUP(E155,Paramètres!$K$11:$L$40,2,FALSE()),F155),"?"))</f>
        <v>46027</v>
      </c>
      <c r="I155" s="50">
        <f>IF(ISNUMBER(H155),IF(COUNTIFS($D$2:D155,D155,$H$2:H155,H155)=1,1,0),"")</f>
        <v>0</v>
      </c>
      <c r="J155" s="50">
        <f>IF(ISNUMBER(H155),IFERROR(INDEX(Calendrier!$C$2:$C$367,MATCH(H155,Calendrier!$A$2:$A$367,0)),0),"")</f>
        <v>1</v>
      </c>
      <c r="K155" s="50">
        <f t="shared" si="14"/>
        <v>0</v>
      </c>
      <c r="L155" s="50">
        <f>IF(D155="","",IF(COUNTIF(Paramètres!$A$11:$A$40,D155)&gt;0,1,0))</f>
        <v>1</v>
      </c>
    </row>
    <row r="156" spans="1:12" hidden="1" x14ac:dyDescent="0.25">
      <c r="A156" s="49"/>
      <c r="B156" s="49" t="s">
        <v>59</v>
      </c>
      <c r="C156" s="49" t="s">
        <v>254</v>
      </c>
      <c r="D156" s="50" t="str">
        <f t="shared" si="10"/>
        <v>Imre Kapusi</v>
      </c>
      <c r="E156" s="50" t="str">
        <f t="shared" si="11"/>
        <v>janv</v>
      </c>
      <c r="F156" s="50">
        <f t="shared" si="12"/>
        <v>6</v>
      </c>
      <c r="G156" s="50">
        <f t="shared" si="13"/>
        <v>2026</v>
      </c>
      <c r="H156" s="51">
        <f>IF($C156="","",IFERROR(DATE(G156,VLOOKUP(E156,Paramètres!$K$11:$L$40,2,FALSE()),F156),"?"))</f>
        <v>46028</v>
      </c>
      <c r="I156" s="50">
        <f>IF(ISNUMBER(H156),IF(COUNTIFS($D$2:D156,D156,$H$2:H156,H156)=1,1,0),"")</f>
        <v>1</v>
      </c>
      <c r="J156" s="50">
        <f>IF(ISNUMBER(H156),IFERROR(INDEX(Calendrier!$C$2:$C$367,MATCH(H156,Calendrier!$A$2:$A$367,0)),0),"")</f>
        <v>1</v>
      </c>
      <c r="K156" s="50">
        <f t="shared" si="14"/>
        <v>1</v>
      </c>
      <c r="L156" s="50">
        <f>IF(D156="","",IF(COUNTIF(Paramètres!$A$11:$A$40,D156)&gt;0,1,0))</f>
        <v>1</v>
      </c>
    </row>
    <row r="157" spans="1:12" hidden="1" x14ac:dyDescent="0.25">
      <c r="A157" s="49"/>
      <c r="B157" s="49" t="s">
        <v>59</v>
      </c>
      <c r="C157" s="49" t="s">
        <v>255</v>
      </c>
      <c r="D157" s="50" t="str">
        <f t="shared" si="10"/>
        <v>Imre Kapusi</v>
      </c>
      <c r="E157" s="50" t="str">
        <f t="shared" si="11"/>
        <v>janv</v>
      </c>
      <c r="F157" s="50">
        <f t="shared" si="12"/>
        <v>7</v>
      </c>
      <c r="G157" s="50">
        <f t="shared" si="13"/>
        <v>2026</v>
      </c>
      <c r="H157" s="51">
        <f>IF($C157="","",IFERROR(DATE(G157,VLOOKUP(E157,Paramètres!$K$11:$L$40,2,FALSE()),F157),"?"))</f>
        <v>46029</v>
      </c>
      <c r="I157" s="50">
        <f>IF(ISNUMBER(H157),IF(COUNTIFS($D$2:D157,D157,$H$2:H157,H157)=1,1,0),"")</f>
        <v>1</v>
      </c>
      <c r="J157" s="50">
        <f>IF(ISNUMBER(H157),IFERROR(INDEX(Calendrier!$C$2:$C$367,MATCH(H157,Calendrier!$A$2:$A$367,0)),0),"")</f>
        <v>1</v>
      </c>
      <c r="K157" s="50">
        <f t="shared" si="14"/>
        <v>1</v>
      </c>
      <c r="L157" s="50">
        <f>IF(D157="","",IF(COUNTIF(Paramètres!$A$11:$A$40,D157)&gt;0,1,0))</f>
        <v>1</v>
      </c>
    </row>
    <row r="158" spans="1:12" hidden="1" x14ac:dyDescent="0.25">
      <c r="A158" s="49"/>
      <c r="B158" s="49" t="s">
        <v>59</v>
      </c>
      <c r="C158" s="49" t="s">
        <v>256</v>
      </c>
      <c r="D158" s="50" t="str">
        <f t="shared" si="10"/>
        <v>Imre Kapusi</v>
      </c>
      <c r="E158" s="50" t="str">
        <f t="shared" si="11"/>
        <v>janv</v>
      </c>
      <c r="F158" s="50">
        <f t="shared" si="12"/>
        <v>13</v>
      </c>
      <c r="G158" s="50">
        <f t="shared" si="13"/>
        <v>2026</v>
      </c>
      <c r="H158" s="51">
        <f>IF($C158="","",IFERROR(DATE(G158,VLOOKUP(E158,Paramètres!$K$11:$L$40,2,FALSE()),F158),"?"))</f>
        <v>46035</v>
      </c>
      <c r="I158" s="50">
        <f>IF(ISNUMBER(H158),IF(COUNTIFS($D$2:D158,D158,$H$2:H158,H158)=1,1,0),"")</f>
        <v>1</v>
      </c>
      <c r="J158" s="50">
        <f>IF(ISNUMBER(H158),IFERROR(INDEX(Calendrier!$C$2:$C$367,MATCH(H158,Calendrier!$A$2:$A$367,0)),0),"")</f>
        <v>1</v>
      </c>
      <c r="K158" s="50">
        <f t="shared" si="14"/>
        <v>1</v>
      </c>
      <c r="L158" s="50">
        <f>IF(D158="","",IF(COUNTIF(Paramètres!$A$11:$A$40,D158)&gt;0,1,0))</f>
        <v>1</v>
      </c>
    </row>
    <row r="159" spans="1:12" hidden="1" x14ac:dyDescent="0.25">
      <c r="A159" s="49"/>
      <c r="B159" s="49" t="s">
        <v>59</v>
      </c>
      <c r="C159" s="49" t="s">
        <v>257</v>
      </c>
      <c r="D159" s="50" t="str">
        <f t="shared" si="10"/>
        <v>Imre Kapusi</v>
      </c>
      <c r="E159" s="50" t="str">
        <f t="shared" si="11"/>
        <v>janv</v>
      </c>
      <c r="F159" s="50">
        <f t="shared" si="12"/>
        <v>21</v>
      </c>
      <c r="G159" s="50">
        <f t="shared" si="13"/>
        <v>2026</v>
      </c>
      <c r="H159" s="51">
        <f>IF($C159="","",IFERROR(DATE(G159,VLOOKUP(E159,Paramètres!$K$11:$L$40,2,FALSE()),F159),"?"))</f>
        <v>46043</v>
      </c>
      <c r="I159" s="50">
        <f>IF(ISNUMBER(H159),IF(COUNTIFS($D$2:D159,D159,$H$2:H159,H159)=1,1,0),"")</f>
        <v>1</v>
      </c>
      <c r="J159" s="50">
        <f>IF(ISNUMBER(H159),IFERROR(INDEX(Calendrier!$C$2:$C$367,MATCH(H159,Calendrier!$A$2:$A$367,0)),0),"")</f>
        <v>1</v>
      </c>
      <c r="K159" s="50">
        <f t="shared" si="14"/>
        <v>1</v>
      </c>
      <c r="L159" s="50">
        <f>IF(D159="","",IF(COUNTIF(Paramètres!$A$11:$A$40,D159)&gt;0,1,0))</f>
        <v>1</v>
      </c>
    </row>
    <row r="160" spans="1:12" hidden="1" x14ac:dyDescent="0.25">
      <c r="A160" s="49"/>
      <c r="B160" s="49" t="s">
        <v>59</v>
      </c>
      <c r="C160" s="49" t="s">
        <v>258</v>
      </c>
      <c r="D160" s="50" t="str">
        <f t="shared" si="10"/>
        <v>Imre Kapusi</v>
      </c>
      <c r="E160" s="50" t="str">
        <f t="shared" si="11"/>
        <v>janv</v>
      </c>
      <c r="F160" s="50">
        <f t="shared" si="12"/>
        <v>26</v>
      </c>
      <c r="G160" s="50">
        <f t="shared" si="13"/>
        <v>2026</v>
      </c>
      <c r="H160" s="51">
        <f>IF($C160="","",IFERROR(DATE(G160,VLOOKUP(E160,Paramètres!$K$11:$L$40,2,FALSE()),F160),"?"))</f>
        <v>46048</v>
      </c>
      <c r="I160" s="50">
        <f>IF(ISNUMBER(H160),IF(COUNTIFS($D$2:D160,D160,$H$2:H160,H160)=1,1,0),"")</f>
        <v>1</v>
      </c>
      <c r="J160" s="50">
        <f>IF(ISNUMBER(H160),IFERROR(INDEX(Calendrier!$C$2:$C$367,MATCH(H160,Calendrier!$A$2:$A$367,0)),0),"")</f>
        <v>1</v>
      </c>
      <c r="K160" s="50">
        <f t="shared" si="14"/>
        <v>1</v>
      </c>
      <c r="L160" s="50">
        <f>IF(D160="","",IF(COUNTIF(Paramètres!$A$11:$A$40,D160)&gt;0,1,0))</f>
        <v>1</v>
      </c>
    </row>
    <row r="161" spans="1:12" hidden="1" x14ac:dyDescent="0.25">
      <c r="A161" s="49"/>
      <c r="B161" s="49" t="s">
        <v>59</v>
      </c>
      <c r="C161" s="49" t="s">
        <v>259</v>
      </c>
      <c r="D161" s="50" t="str">
        <f t="shared" si="10"/>
        <v>Imre Kapusi</v>
      </c>
      <c r="E161" s="50" t="str">
        <f t="shared" si="11"/>
        <v>janv</v>
      </c>
      <c r="F161" s="50">
        <f t="shared" si="12"/>
        <v>28</v>
      </c>
      <c r="G161" s="50">
        <f t="shared" si="13"/>
        <v>2026</v>
      </c>
      <c r="H161" s="51">
        <f>IF($C161="","",IFERROR(DATE(G161,VLOOKUP(E161,Paramètres!$K$11:$L$40,2,FALSE()),F161),"?"))</f>
        <v>46050</v>
      </c>
      <c r="I161" s="50">
        <f>IF(ISNUMBER(H161),IF(COUNTIFS($D$2:D161,D161,$H$2:H161,H161)=1,1,0),"")</f>
        <v>1</v>
      </c>
      <c r="J161" s="50">
        <f>IF(ISNUMBER(H161),IFERROR(INDEX(Calendrier!$C$2:$C$367,MATCH(H161,Calendrier!$A$2:$A$367,0)),0),"")</f>
        <v>1</v>
      </c>
      <c r="K161" s="50">
        <f t="shared" si="14"/>
        <v>1</v>
      </c>
      <c r="L161" s="50">
        <f>IF(D161="","",IF(COUNTIF(Paramètres!$A$11:$A$40,D161)&gt;0,1,0))</f>
        <v>1</v>
      </c>
    </row>
    <row r="162" spans="1:12" hidden="1" x14ac:dyDescent="0.25">
      <c r="A162" s="49"/>
      <c r="B162" s="49" t="s">
        <v>45</v>
      </c>
      <c r="C162" s="49" t="s">
        <v>260</v>
      </c>
      <c r="D162" s="50" t="str">
        <f t="shared" si="10"/>
        <v>Ahlem Moussa</v>
      </c>
      <c r="E162" s="50" t="str">
        <f t="shared" si="11"/>
        <v>févr</v>
      </c>
      <c r="F162" s="50">
        <f t="shared" si="12"/>
        <v>2</v>
      </c>
      <c r="G162" s="50">
        <f t="shared" si="13"/>
        <v>2026</v>
      </c>
      <c r="H162" s="51">
        <f>IF($C162="","",IFERROR(DATE(G162,VLOOKUP(E162,Paramètres!$K$11:$L$40,2,FALSE()),F162),"?"))</f>
        <v>46055</v>
      </c>
      <c r="I162" s="50">
        <f>IF(ISNUMBER(H162),IF(COUNTIFS($D$2:D162,D162,$H$2:H162,H162)=1,1,0),"")</f>
        <v>1</v>
      </c>
      <c r="J162" s="50">
        <f>IF(ISNUMBER(H162),IFERROR(INDEX(Calendrier!$C$2:$C$367,MATCH(H162,Calendrier!$A$2:$A$367,0)),0),"")</f>
        <v>1</v>
      </c>
      <c r="K162" s="50">
        <f t="shared" si="14"/>
        <v>1</v>
      </c>
      <c r="L162" s="50">
        <f>IF(D162="","",IF(COUNTIF(Paramètres!$A$11:$A$40,D162)&gt;0,1,0))</f>
        <v>1</v>
      </c>
    </row>
    <row r="163" spans="1:12" hidden="1" x14ac:dyDescent="0.25">
      <c r="A163" s="49"/>
      <c r="B163" s="49" t="s">
        <v>45</v>
      </c>
      <c r="C163" s="49" t="s">
        <v>261</v>
      </c>
      <c r="D163" s="50" t="str">
        <f t="shared" si="10"/>
        <v>Ahlem Moussa</v>
      </c>
      <c r="E163" s="50" t="str">
        <f t="shared" si="11"/>
        <v>févr</v>
      </c>
      <c r="F163" s="50">
        <f t="shared" si="12"/>
        <v>4</v>
      </c>
      <c r="G163" s="50">
        <f t="shared" si="13"/>
        <v>2026</v>
      </c>
      <c r="H163" s="51">
        <f>IF($C163="","",IFERROR(DATE(G163,VLOOKUP(E163,Paramètres!$K$11:$L$40,2,FALSE()),F163),"?"))</f>
        <v>46057</v>
      </c>
      <c r="I163" s="50">
        <f>IF(ISNUMBER(H163),IF(COUNTIFS($D$2:D163,D163,$H$2:H163,H163)=1,1,0),"")</f>
        <v>1</v>
      </c>
      <c r="J163" s="50">
        <f>IF(ISNUMBER(H163),IFERROR(INDEX(Calendrier!$C$2:$C$367,MATCH(H163,Calendrier!$A$2:$A$367,0)),0),"")</f>
        <v>1</v>
      </c>
      <c r="K163" s="50">
        <f t="shared" si="14"/>
        <v>1</v>
      </c>
      <c r="L163" s="50">
        <f>IF(D163="","",IF(COUNTIF(Paramètres!$A$11:$A$40,D163)&gt;0,1,0))</f>
        <v>1</v>
      </c>
    </row>
    <row r="164" spans="1:12" hidden="1" x14ac:dyDescent="0.25">
      <c r="A164" s="49"/>
      <c r="B164" s="49" t="s">
        <v>45</v>
      </c>
      <c r="C164" s="49" t="s">
        <v>262</v>
      </c>
      <c r="D164" s="50" t="str">
        <f t="shared" si="10"/>
        <v>Ahlem Moussa</v>
      </c>
      <c r="E164" s="50" t="str">
        <f t="shared" si="11"/>
        <v>févr</v>
      </c>
      <c r="F164" s="50">
        <f t="shared" si="12"/>
        <v>5</v>
      </c>
      <c r="G164" s="50">
        <f t="shared" si="13"/>
        <v>2026</v>
      </c>
      <c r="H164" s="51">
        <f>IF($C164="","",IFERROR(DATE(G164,VLOOKUP(E164,Paramètres!$K$11:$L$40,2,FALSE()),F164),"?"))</f>
        <v>46058</v>
      </c>
      <c r="I164" s="50">
        <f>IF(ISNUMBER(H164),IF(COUNTIFS($D$2:D164,D164,$H$2:H164,H164)=1,1,0),"")</f>
        <v>1</v>
      </c>
      <c r="J164" s="50">
        <f>IF(ISNUMBER(H164),IFERROR(INDEX(Calendrier!$C$2:$C$367,MATCH(H164,Calendrier!$A$2:$A$367,0)),0),"")</f>
        <v>1</v>
      </c>
      <c r="K164" s="50">
        <f t="shared" si="14"/>
        <v>1</v>
      </c>
      <c r="L164" s="50">
        <f>IF(D164="","",IF(COUNTIF(Paramètres!$A$11:$A$40,D164)&gt;0,1,0))</f>
        <v>1</v>
      </c>
    </row>
    <row r="165" spans="1:12" hidden="1" x14ac:dyDescent="0.25">
      <c r="A165" s="49"/>
      <c r="B165" s="49" t="s">
        <v>45</v>
      </c>
      <c r="C165" s="49" t="s">
        <v>263</v>
      </c>
      <c r="D165" s="50" t="str">
        <f t="shared" si="10"/>
        <v>Ahlem Moussa</v>
      </c>
      <c r="E165" s="50" t="str">
        <f t="shared" si="11"/>
        <v>févr</v>
      </c>
      <c r="F165" s="50">
        <f t="shared" si="12"/>
        <v>6</v>
      </c>
      <c r="G165" s="50">
        <f t="shared" si="13"/>
        <v>2026</v>
      </c>
      <c r="H165" s="51">
        <f>IF($C165="","",IFERROR(DATE(G165,VLOOKUP(E165,Paramètres!$K$11:$L$40,2,FALSE()),F165),"?"))</f>
        <v>46059</v>
      </c>
      <c r="I165" s="50">
        <f>IF(ISNUMBER(H165),IF(COUNTIFS($D$2:D165,D165,$H$2:H165,H165)=1,1,0),"")</f>
        <v>1</v>
      </c>
      <c r="J165" s="50">
        <f>IF(ISNUMBER(H165),IFERROR(INDEX(Calendrier!$C$2:$C$367,MATCH(H165,Calendrier!$A$2:$A$367,0)),0),"")</f>
        <v>1</v>
      </c>
      <c r="K165" s="50">
        <f t="shared" si="14"/>
        <v>1</v>
      </c>
      <c r="L165" s="50">
        <f>IF(D165="","",IF(COUNTIF(Paramètres!$A$11:$A$40,D165)&gt;0,1,0))</f>
        <v>1</v>
      </c>
    </row>
    <row r="166" spans="1:12" hidden="1" x14ac:dyDescent="0.25">
      <c r="A166" s="49"/>
      <c r="B166" s="49" t="s">
        <v>45</v>
      </c>
      <c r="C166" s="49" t="s">
        <v>264</v>
      </c>
      <c r="D166" s="50" t="str">
        <f t="shared" si="10"/>
        <v>Ahlem Moussa</v>
      </c>
      <c r="E166" s="50" t="str">
        <f t="shared" si="11"/>
        <v>févr</v>
      </c>
      <c r="F166" s="50">
        <f t="shared" si="12"/>
        <v>9</v>
      </c>
      <c r="G166" s="50">
        <f t="shared" si="13"/>
        <v>2026</v>
      </c>
      <c r="H166" s="51">
        <f>IF($C166="","",IFERROR(DATE(G166,VLOOKUP(E166,Paramètres!$K$11:$L$40,2,FALSE()),F166),"?"))</f>
        <v>46062</v>
      </c>
      <c r="I166" s="50">
        <f>IF(ISNUMBER(H166),IF(COUNTIFS($D$2:D166,D166,$H$2:H166,H166)=1,1,0),"")</f>
        <v>1</v>
      </c>
      <c r="J166" s="50">
        <f>IF(ISNUMBER(H166),IFERROR(INDEX(Calendrier!$C$2:$C$367,MATCH(H166,Calendrier!$A$2:$A$367,0)),0),"")</f>
        <v>1</v>
      </c>
      <c r="K166" s="50">
        <f t="shared" si="14"/>
        <v>1</v>
      </c>
      <c r="L166" s="50">
        <f>IF(D166="","",IF(COUNTIF(Paramètres!$A$11:$A$40,D166)&gt;0,1,0))</f>
        <v>1</v>
      </c>
    </row>
    <row r="167" spans="1:12" hidden="1" x14ac:dyDescent="0.25">
      <c r="A167" s="49"/>
      <c r="B167" s="49" t="s">
        <v>45</v>
      </c>
      <c r="C167" s="49" t="s">
        <v>265</v>
      </c>
      <c r="D167" s="50" t="str">
        <f t="shared" si="10"/>
        <v>Ahlem Moussa</v>
      </c>
      <c r="E167" s="50" t="str">
        <f t="shared" si="11"/>
        <v>févr</v>
      </c>
      <c r="F167" s="50">
        <f t="shared" si="12"/>
        <v>9</v>
      </c>
      <c r="G167" s="50">
        <f t="shared" si="13"/>
        <v>2026</v>
      </c>
      <c r="H167" s="51">
        <f>IF($C167="","",IFERROR(DATE(G167,VLOOKUP(E167,Paramètres!$K$11:$L$40,2,FALSE()),F167),"?"))</f>
        <v>46062</v>
      </c>
      <c r="I167" s="50">
        <f>IF(ISNUMBER(H167),IF(COUNTIFS($D$2:D167,D167,$H$2:H167,H167)=1,1,0),"")</f>
        <v>0</v>
      </c>
      <c r="J167" s="50">
        <f>IF(ISNUMBER(H167),IFERROR(INDEX(Calendrier!$C$2:$C$367,MATCH(H167,Calendrier!$A$2:$A$367,0)),0),"")</f>
        <v>1</v>
      </c>
      <c r="K167" s="50">
        <f t="shared" si="14"/>
        <v>0</v>
      </c>
      <c r="L167" s="50">
        <f>IF(D167="","",IF(COUNTIF(Paramètres!$A$11:$A$40,D167)&gt;0,1,0))</f>
        <v>1</v>
      </c>
    </row>
    <row r="168" spans="1:12" hidden="1" x14ac:dyDescent="0.25">
      <c r="A168" s="49"/>
      <c r="B168" s="49" t="s">
        <v>45</v>
      </c>
      <c r="C168" s="49" t="s">
        <v>266</v>
      </c>
      <c r="D168" s="50" t="str">
        <f t="shared" si="10"/>
        <v>Ahlem Moussa</v>
      </c>
      <c r="E168" s="50" t="str">
        <f t="shared" si="11"/>
        <v>févr</v>
      </c>
      <c r="F168" s="50">
        <f t="shared" si="12"/>
        <v>13</v>
      </c>
      <c r="G168" s="50">
        <f t="shared" si="13"/>
        <v>2026</v>
      </c>
      <c r="H168" s="51">
        <f>IF($C168="","",IFERROR(DATE(G168,VLOOKUP(E168,Paramètres!$K$11:$L$40,2,FALSE()),F168),"?"))</f>
        <v>46066</v>
      </c>
      <c r="I168" s="50">
        <f>IF(ISNUMBER(H168),IF(COUNTIFS($D$2:D168,D168,$H$2:H168,H168)=1,1,0),"")</f>
        <v>1</v>
      </c>
      <c r="J168" s="50">
        <f>IF(ISNUMBER(H168),IFERROR(INDEX(Calendrier!$C$2:$C$367,MATCH(H168,Calendrier!$A$2:$A$367,0)),0),"")</f>
        <v>1</v>
      </c>
      <c r="K168" s="50">
        <f t="shared" si="14"/>
        <v>1</v>
      </c>
      <c r="L168" s="50">
        <f>IF(D168="","",IF(COUNTIF(Paramètres!$A$11:$A$40,D168)&gt;0,1,0))</f>
        <v>1</v>
      </c>
    </row>
    <row r="169" spans="1:12" hidden="1" x14ac:dyDescent="0.25">
      <c r="A169" s="49"/>
      <c r="B169" s="49" t="s">
        <v>45</v>
      </c>
      <c r="C169" s="49" t="s">
        <v>267</v>
      </c>
      <c r="D169" s="50" t="str">
        <f t="shared" si="10"/>
        <v>Ahlem Moussa</v>
      </c>
      <c r="E169" s="50" t="str">
        <f t="shared" si="11"/>
        <v>févr</v>
      </c>
      <c r="F169" s="50">
        <f t="shared" si="12"/>
        <v>16</v>
      </c>
      <c r="G169" s="50">
        <f t="shared" si="13"/>
        <v>2026</v>
      </c>
      <c r="H169" s="51">
        <f>IF($C169="","",IFERROR(DATE(G169,VLOOKUP(E169,Paramètres!$K$11:$L$40,2,FALSE()),F169),"?"))</f>
        <v>46069</v>
      </c>
      <c r="I169" s="50">
        <f>IF(ISNUMBER(H169),IF(COUNTIFS($D$2:D169,D169,$H$2:H169,H169)=1,1,0),"")</f>
        <v>1</v>
      </c>
      <c r="J169" s="50">
        <f>IF(ISNUMBER(H169),IFERROR(INDEX(Calendrier!$C$2:$C$367,MATCH(H169,Calendrier!$A$2:$A$367,0)),0),"")</f>
        <v>1</v>
      </c>
      <c r="K169" s="50">
        <f t="shared" si="14"/>
        <v>1</v>
      </c>
      <c r="L169" s="50">
        <f>IF(D169="","",IF(COUNTIF(Paramètres!$A$11:$A$40,D169)&gt;0,1,0))</f>
        <v>1</v>
      </c>
    </row>
    <row r="170" spans="1:12" hidden="1" x14ac:dyDescent="0.25">
      <c r="A170" s="49"/>
      <c r="B170" s="49" t="s">
        <v>45</v>
      </c>
      <c r="C170" s="49" t="s">
        <v>268</v>
      </c>
      <c r="D170" s="50" t="str">
        <f t="shared" si="10"/>
        <v>Ahlem Moussa</v>
      </c>
      <c r="E170" s="50" t="str">
        <f t="shared" si="11"/>
        <v>févr</v>
      </c>
      <c r="F170" s="50">
        <f t="shared" si="12"/>
        <v>17</v>
      </c>
      <c r="G170" s="50">
        <f t="shared" si="13"/>
        <v>2026</v>
      </c>
      <c r="H170" s="51">
        <f>IF($C170="","",IFERROR(DATE(G170,VLOOKUP(E170,Paramètres!$K$11:$L$40,2,FALSE()),F170),"?"))</f>
        <v>46070</v>
      </c>
      <c r="I170" s="50">
        <f>IF(ISNUMBER(H170),IF(COUNTIFS($D$2:D170,D170,$H$2:H170,H170)=1,1,0),"")</f>
        <v>1</v>
      </c>
      <c r="J170" s="50">
        <f>IF(ISNUMBER(H170),IFERROR(INDEX(Calendrier!$C$2:$C$367,MATCH(H170,Calendrier!$A$2:$A$367,0)),0),"")</f>
        <v>1</v>
      </c>
      <c r="K170" s="50">
        <f t="shared" si="14"/>
        <v>1</v>
      </c>
      <c r="L170" s="50">
        <f>IF(D170="","",IF(COUNTIF(Paramètres!$A$11:$A$40,D170)&gt;0,1,0))</f>
        <v>1</v>
      </c>
    </row>
    <row r="171" spans="1:12" hidden="1" x14ac:dyDescent="0.25">
      <c r="A171" s="49"/>
      <c r="B171" s="49" t="s">
        <v>45</v>
      </c>
      <c r="C171" s="49" t="s">
        <v>269</v>
      </c>
      <c r="D171" s="50" t="str">
        <f t="shared" si="10"/>
        <v>Ahlem Moussa</v>
      </c>
      <c r="E171" s="50" t="str">
        <f t="shared" si="11"/>
        <v>févr</v>
      </c>
      <c r="F171" s="50">
        <f t="shared" si="12"/>
        <v>19</v>
      </c>
      <c r="G171" s="50">
        <f t="shared" si="13"/>
        <v>2026</v>
      </c>
      <c r="H171" s="51">
        <f>IF($C171="","",IFERROR(DATE(G171,VLOOKUP(E171,Paramètres!$K$11:$L$40,2,FALSE()),F171),"?"))</f>
        <v>46072</v>
      </c>
      <c r="I171" s="50">
        <f>IF(ISNUMBER(H171),IF(COUNTIFS($D$2:D171,D171,$H$2:H171,H171)=1,1,0),"")</f>
        <v>1</v>
      </c>
      <c r="J171" s="50">
        <f>IF(ISNUMBER(H171),IFERROR(INDEX(Calendrier!$C$2:$C$367,MATCH(H171,Calendrier!$A$2:$A$367,0)),0),"")</f>
        <v>1</v>
      </c>
      <c r="K171" s="50">
        <f t="shared" si="14"/>
        <v>1</v>
      </c>
      <c r="L171" s="50">
        <f>IF(D171="","",IF(COUNTIF(Paramètres!$A$11:$A$40,D171)&gt;0,1,0))</f>
        <v>1</v>
      </c>
    </row>
    <row r="172" spans="1:12" hidden="1" x14ac:dyDescent="0.25">
      <c r="A172" s="49"/>
      <c r="B172" s="49" t="s">
        <v>45</v>
      </c>
      <c r="C172" s="49" t="s">
        <v>270</v>
      </c>
      <c r="D172" s="50" t="str">
        <f t="shared" si="10"/>
        <v>Ahlem Moussa</v>
      </c>
      <c r="E172" s="50" t="str">
        <f t="shared" si="11"/>
        <v>févr</v>
      </c>
      <c r="F172" s="50">
        <f t="shared" si="12"/>
        <v>20</v>
      </c>
      <c r="G172" s="50">
        <f t="shared" si="13"/>
        <v>2026</v>
      </c>
      <c r="H172" s="51">
        <f>IF($C172="","",IFERROR(DATE(G172,VLOOKUP(E172,Paramètres!$K$11:$L$40,2,FALSE()),F172),"?"))</f>
        <v>46073</v>
      </c>
      <c r="I172" s="50">
        <f>IF(ISNUMBER(H172),IF(COUNTIFS($D$2:D172,D172,$H$2:H172,H172)=1,1,0),"")</f>
        <v>1</v>
      </c>
      <c r="J172" s="50">
        <f>IF(ISNUMBER(H172),IFERROR(INDEX(Calendrier!$C$2:$C$367,MATCH(H172,Calendrier!$A$2:$A$367,0)),0),"")</f>
        <v>1</v>
      </c>
      <c r="K172" s="50">
        <f t="shared" si="14"/>
        <v>1</v>
      </c>
      <c r="L172" s="50">
        <f>IF(D172="","",IF(COUNTIF(Paramètres!$A$11:$A$40,D172)&gt;0,1,0))</f>
        <v>1</v>
      </c>
    </row>
    <row r="173" spans="1:12" hidden="1" x14ac:dyDescent="0.25">
      <c r="A173" s="49"/>
      <c r="B173" s="49" t="s">
        <v>45</v>
      </c>
      <c r="C173" s="49" t="s">
        <v>271</v>
      </c>
      <c r="D173" s="50" t="str">
        <f t="shared" si="10"/>
        <v>Ahlem Moussa</v>
      </c>
      <c r="E173" s="50" t="str">
        <f t="shared" si="11"/>
        <v>févr</v>
      </c>
      <c r="F173" s="50">
        <f t="shared" si="12"/>
        <v>21</v>
      </c>
      <c r="G173" s="50">
        <f t="shared" si="13"/>
        <v>2026</v>
      </c>
      <c r="H173" s="51">
        <f>IF($C173="","",IFERROR(DATE(G173,VLOOKUP(E173,Paramètres!$K$11:$L$40,2,FALSE()),F173),"?"))</f>
        <v>46074</v>
      </c>
      <c r="I173" s="50">
        <f>IF(ISNUMBER(H173),IF(COUNTIFS($D$2:D173,D173,$H$2:H173,H173)=1,1,0),"")</f>
        <v>1</v>
      </c>
      <c r="J173" s="50">
        <f>IF(ISNUMBER(H173),IFERROR(INDEX(Calendrier!$C$2:$C$367,MATCH(H173,Calendrier!$A$2:$A$367,0)),0),"")</f>
        <v>0</v>
      </c>
      <c r="K173" s="50">
        <f t="shared" si="14"/>
        <v>0</v>
      </c>
      <c r="L173" s="50">
        <f>IF(D173="","",IF(COUNTIF(Paramètres!$A$11:$A$40,D173)&gt;0,1,0))</f>
        <v>1</v>
      </c>
    </row>
    <row r="174" spans="1:12" hidden="1" x14ac:dyDescent="0.25">
      <c r="A174" s="49"/>
      <c r="B174" s="49" t="s">
        <v>45</v>
      </c>
      <c r="C174" s="49" t="s">
        <v>272</v>
      </c>
      <c r="D174" s="50" t="str">
        <f t="shared" si="10"/>
        <v>Ahlem Moussa</v>
      </c>
      <c r="E174" s="50" t="str">
        <f t="shared" si="11"/>
        <v>févr</v>
      </c>
      <c r="F174" s="50">
        <f t="shared" si="12"/>
        <v>23</v>
      </c>
      <c r="G174" s="50">
        <f t="shared" si="13"/>
        <v>2026</v>
      </c>
      <c r="H174" s="51">
        <f>IF($C174="","",IFERROR(DATE(G174,VLOOKUP(E174,Paramètres!$K$11:$L$40,2,FALSE()),F174),"?"))</f>
        <v>46076</v>
      </c>
      <c r="I174" s="50">
        <f>IF(ISNUMBER(H174),IF(COUNTIFS($D$2:D174,D174,$H$2:H174,H174)=1,1,0),"")</f>
        <v>1</v>
      </c>
      <c r="J174" s="50">
        <f>IF(ISNUMBER(H174),IFERROR(INDEX(Calendrier!$C$2:$C$367,MATCH(H174,Calendrier!$A$2:$A$367,0)),0),"")</f>
        <v>1</v>
      </c>
      <c r="K174" s="50">
        <f t="shared" si="14"/>
        <v>1</v>
      </c>
      <c r="L174" s="50">
        <f>IF(D174="","",IF(COUNTIF(Paramètres!$A$11:$A$40,D174)&gt;0,1,0))</f>
        <v>1</v>
      </c>
    </row>
    <row r="175" spans="1:12" hidden="1" x14ac:dyDescent="0.25">
      <c r="A175" s="49"/>
      <c r="B175" s="49" t="s">
        <v>45</v>
      </c>
      <c r="C175" s="49" t="s">
        <v>273</v>
      </c>
      <c r="D175" s="50" t="str">
        <f t="shared" si="10"/>
        <v>Ahlem Moussa</v>
      </c>
      <c r="E175" s="50" t="str">
        <f t="shared" si="11"/>
        <v>févr</v>
      </c>
      <c r="F175" s="50">
        <f t="shared" si="12"/>
        <v>26</v>
      </c>
      <c r="G175" s="50">
        <f t="shared" si="13"/>
        <v>2026</v>
      </c>
      <c r="H175" s="51">
        <f>IF($C175="","",IFERROR(DATE(G175,VLOOKUP(E175,Paramètres!$K$11:$L$40,2,FALSE()),F175),"?"))</f>
        <v>46079</v>
      </c>
      <c r="I175" s="50">
        <f>IF(ISNUMBER(H175),IF(COUNTIFS($D$2:D175,D175,$H$2:H175,H175)=1,1,0),"")</f>
        <v>1</v>
      </c>
      <c r="J175" s="50">
        <f>IF(ISNUMBER(H175),IFERROR(INDEX(Calendrier!$C$2:$C$367,MATCH(H175,Calendrier!$A$2:$A$367,0)),0),"")</f>
        <v>1</v>
      </c>
      <c r="K175" s="50">
        <f t="shared" si="14"/>
        <v>1</v>
      </c>
      <c r="L175" s="50">
        <f>IF(D175="","",IF(COUNTIF(Paramètres!$A$11:$A$40,D175)&gt;0,1,0))</f>
        <v>1</v>
      </c>
    </row>
    <row r="176" spans="1:12" hidden="1" x14ac:dyDescent="0.25">
      <c r="A176" s="49"/>
      <c r="B176" s="49" t="s">
        <v>45</v>
      </c>
      <c r="C176" s="49" t="s">
        <v>274</v>
      </c>
      <c r="D176" s="50" t="str">
        <f t="shared" si="10"/>
        <v>Ahlem Moussa</v>
      </c>
      <c r="E176" s="50" t="str">
        <f t="shared" si="11"/>
        <v>févr</v>
      </c>
      <c r="F176" s="50">
        <f t="shared" si="12"/>
        <v>27</v>
      </c>
      <c r="G176" s="50">
        <f t="shared" si="13"/>
        <v>2026</v>
      </c>
      <c r="H176" s="51">
        <f>IF($C176="","",IFERROR(DATE(G176,VLOOKUP(E176,Paramètres!$K$11:$L$40,2,FALSE()),F176),"?"))</f>
        <v>46080</v>
      </c>
      <c r="I176" s="50">
        <f>IF(ISNUMBER(H176),IF(COUNTIFS($D$2:D176,D176,$H$2:H176,H176)=1,1,0),"")</f>
        <v>1</v>
      </c>
      <c r="J176" s="50">
        <f>IF(ISNUMBER(H176),IFERROR(INDEX(Calendrier!$C$2:$C$367,MATCH(H176,Calendrier!$A$2:$A$367,0)),0),"")</f>
        <v>1</v>
      </c>
      <c r="K176" s="50">
        <f t="shared" si="14"/>
        <v>1</v>
      </c>
      <c r="L176" s="50">
        <f>IF(D176="","",IF(COUNTIF(Paramètres!$A$11:$A$40,D176)&gt;0,1,0))</f>
        <v>1</v>
      </c>
    </row>
    <row r="177" spans="1:12" hidden="1" x14ac:dyDescent="0.25">
      <c r="A177" s="49"/>
      <c r="B177" s="49" t="s">
        <v>48</v>
      </c>
      <c r="C177" s="49" t="s">
        <v>275</v>
      </c>
      <c r="D177" s="50" t="str">
        <f t="shared" si="10"/>
        <v>Amani Nasser</v>
      </c>
      <c r="E177" s="50" t="str">
        <f t="shared" si="11"/>
        <v>févr</v>
      </c>
      <c r="F177" s="50">
        <f t="shared" si="12"/>
        <v>17</v>
      </c>
      <c r="G177" s="50">
        <f t="shared" si="13"/>
        <v>2026</v>
      </c>
      <c r="H177" s="51">
        <f>IF($C177="","",IFERROR(DATE(G177,VLOOKUP(E177,Paramètres!$K$11:$L$40,2,FALSE()),F177),"?"))</f>
        <v>46070</v>
      </c>
      <c r="I177" s="50">
        <f>IF(ISNUMBER(H177),IF(COUNTIFS($D$2:D177,D177,$H$2:H177,H177)=1,1,0),"")</f>
        <v>1</v>
      </c>
      <c r="J177" s="50">
        <f>IF(ISNUMBER(H177),IFERROR(INDEX(Calendrier!$C$2:$C$367,MATCH(H177,Calendrier!$A$2:$A$367,0)),0),"")</f>
        <v>1</v>
      </c>
      <c r="K177" s="50">
        <f t="shared" si="14"/>
        <v>1</v>
      </c>
      <c r="L177" s="50">
        <f>IF(D177="","",IF(COUNTIF(Paramètres!$A$11:$A$40,D177)&gt;0,1,0))</f>
        <v>1</v>
      </c>
    </row>
    <row r="178" spans="1:12" hidden="1" x14ac:dyDescent="0.25">
      <c r="A178" s="49"/>
      <c r="B178" s="49" t="s">
        <v>48</v>
      </c>
      <c r="C178" s="49" t="s">
        <v>276</v>
      </c>
      <c r="D178" s="50" t="str">
        <f t="shared" si="10"/>
        <v>Amani Nasser</v>
      </c>
      <c r="E178" s="50" t="str">
        <f t="shared" si="11"/>
        <v>févr</v>
      </c>
      <c r="F178" s="50">
        <f t="shared" si="12"/>
        <v>18</v>
      </c>
      <c r="G178" s="50">
        <f t="shared" si="13"/>
        <v>2026</v>
      </c>
      <c r="H178" s="51">
        <f>IF($C178="","",IFERROR(DATE(G178,VLOOKUP(E178,Paramètres!$K$11:$L$40,2,FALSE()),F178),"?"))</f>
        <v>46071</v>
      </c>
      <c r="I178" s="50">
        <f>IF(ISNUMBER(H178),IF(COUNTIFS($D$2:D178,D178,$H$2:H178,H178)=1,1,0),"")</f>
        <v>1</v>
      </c>
      <c r="J178" s="50">
        <f>IF(ISNUMBER(H178),IFERROR(INDEX(Calendrier!$C$2:$C$367,MATCH(H178,Calendrier!$A$2:$A$367,0)),0),"")</f>
        <v>1</v>
      </c>
      <c r="K178" s="50">
        <f t="shared" si="14"/>
        <v>1</v>
      </c>
      <c r="L178" s="50">
        <f>IF(D178="","",IF(COUNTIF(Paramètres!$A$11:$A$40,D178)&gt;0,1,0))</f>
        <v>1</v>
      </c>
    </row>
    <row r="179" spans="1:12" hidden="1" x14ac:dyDescent="0.25">
      <c r="A179" s="49"/>
      <c r="B179" s="49" t="s">
        <v>48</v>
      </c>
      <c r="C179" s="49" t="s">
        <v>277</v>
      </c>
      <c r="D179" s="50" t="str">
        <f t="shared" si="10"/>
        <v>Amani Nasser</v>
      </c>
      <c r="E179" s="50" t="str">
        <f t="shared" si="11"/>
        <v>févr</v>
      </c>
      <c r="F179" s="50">
        <f t="shared" si="12"/>
        <v>23</v>
      </c>
      <c r="G179" s="50">
        <f t="shared" si="13"/>
        <v>2026</v>
      </c>
      <c r="H179" s="51">
        <f>IF($C179="","",IFERROR(DATE(G179,VLOOKUP(E179,Paramètres!$K$11:$L$40,2,FALSE()),F179),"?"))</f>
        <v>46076</v>
      </c>
      <c r="I179" s="50">
        <f>IF(ISNUMBER(H179),IF(COUNTIFS($D$2:D179,D179,$H$2:H179,H179)=1,1,0),"")</f>
        <v>1</v>
      </c>
      <c r="J179" s="50">
        <f>IF(ISNUMBER(H179),IFERROR(INDEX(Calendrier!$C$2:$C$367,MATCH(H179,Calendrier!$A$2:$A$367,0)),0),"")</f>
        <v>1</v>
      </c>
      <c r="K179" s="50">
        <f t="shared" si="14"/>
        <v>1</v>
      </c>
      <c r="L179" s="50">
        <f>IF(D179="","",IF(COUNTIF(Paramètres!$A$11:$A$40,D179)&gt;0,1,0))</f>
        <v>1</v>
      </c>
    </row>
    <row r="180" spans="1:12" hidden="1" x14ac:dyDescent="0.25">
      <c r="A180" s="49"/>
      <c r="B180" s="49" t="s">
        <v>48</v>
      </c>
      <c r="C180" s="49" t="s">
        <v>278</v>
      </c>
      <c r="D180" s="50" t="str">
        <f t="shared" si="10"/>
        <v>Amani Nasser</v>
      </c>
      <c r="E180" s="50" t="str">
        <f t="shared" si="11"/>
        <v>févr</v>
      </c>
      <c r="F180" s="50">
        <f t="shared" si="12"/>
        <v>25</v>
      </c>
      <c r="G180" s="50">
        <f t="shared" si="13"/>
        <v>2026</v>
      </c>
      <c r="H180" s="51">
        <f>IF($C180="","",IFERROR(DATE(G180,VLOOKUP(E180,Paramètres!$K$11:$L$40,2,FALSE()),F180),"?"))</f>
        <v>46078</v>
      </c>
      <c r="I180" s="50">
        <f>IF(ISNUMBER(H180),IF(COUNTIFS($D$2:D180,D180,$H$2:H180,H180)=1,1,0),"")</f>
        <v>1</v>
      </c>
      <c r="J180" s="50">
        <f>IF(ISNUMBER(H180),IFERROR(INDEX(Calendrier!$C$2:$C$367,MATCH(H180,Calendrier!$A$2:$A$367,0)),0),"")</f>
        <v>1</v>
      </c>
      <c r="K180" s="50">
        <f t="shared" si="14"/>
        <v>1</v>
      </c>
      <c r="L180" s="50">
        <f>IF(D180="","",IF(COUNTIF(Paramètres!$A$11:$A$40,D180)&gt;0,1,0))</f>
        <v>1</v>
      </c>
    </row>
    <row r="181" spans="1:12" hidden="1" x14ac:dyDescent="0.25">
      <c r="A181" s="49"/>
      <c r="B181" s="49" t="s">
        <v>52</v>
      </c>
      <c r="C181" s="49" t="s">
        <v>279</v>
      </c>
      <c r="D181" s="50" t="str">
        <f t="shared" si="10"/>
        <v>Amine Latrech</v>
      </c>
      <c r="E181" s="50" t="str">
        <f t="shared" si="11"/>
        <v>févr</v>
      </c>
      <c r="F181" s="50">
        <f t="shared" si="12"/>
        <v>10</v>
      </c>
      <c r="G181" s="50">
        <f t="shared" si="13"/>
        <v>2026</v>
      </c>
      <c r="H181" s="51">
        <f>IF($C181="","",IFERROR(DATE(G181,VLOOKUP(E181,Paramètres!$K$11:$L$40,2,FALSE()),F181),"?"))</f>
        <v>46063</v>
      </c>
      <c r="I181" s="50">
        <f>IF(ISNUMBER(H181),IF(COUNTIFS($D$2:D181,D181,$H$2:H181,H181)=1,1,0),"")</f>
        <v>1</v>
      </c>
      <c r="J181" s="50">
        <f>IF(ISNUMBER(H181),IFERROR(INDEX(Calendrier!$C$2:$C$367,MATCH(H181,Calendrier!$A$2:$A$367,0)),0),"")</f>
        <v>1</v>
      </c>
      <c r="K181" s="50">
        <f t="shared" si="14"/>
        <v>1</v>
      </c>
      <c r="L181" s="50">
        <f>IF(D181="","",IF(COUNTIF(Paramètres!$A$11:$A$40,D181)&gt;0,1,0))</f>
        <v>1</v>
      </c>
    </row>
    <row r="182" spans="1:12" hidden="1" x14ac:dyDescent="0.25">
      <c r="A182" s="49"/>
      <c r="B182" s="49" t="s">
        <v>52</v>
      </c>
      <c r="C182" s="49" t="s">
        <v>280</v>
      </c>
      <c r="D182" s="50" t="str">
        <f t="shared" si="10"/>
        <v>Amine Latrech</v>
      </c>
      <c r="E182" s="50" t="str">
        <f t="shared" si="11"/>
        <v>févr</v>
      </c>
      <c r="F182" s="50">
        <f t="shared" si="12"/>
        <v>15</v>
      </c>
      <c r="G182" s="50">
        <f t="shared" si="13"/>
        <v>2026</v>
      </c>
      <c r="H182" s="51">
        <f>IF($C182="","",IFERROR(DATE(G182,VLOOKUP(E182,Paramètres!$K$11:$L$40,2,FALSE()),F182),"?"))</f>
        <v>46068</v>
      </c>
      <c r="I182" s="50">
        <f>IF(ISNUMBER(H182),IF(COUNTIFS($D$2:D182,D182,$H$2:H182,H182)=1,1,0),"")</f>
        <v>1</v>
      </c>
      <c r="J182" s="50">
        <f>IF(ISNUMBER(H182),IFERROR(INDEX(Calendrier!$C$2:$C$367,MATCH(H182,Calendrier!$A$2:$A$367,0)),0),"")</f>
        <v>0</v>
      </c>
      <c r="K182" s="50">
        <f t="shared" si="14"/>
        <v>0</v>
      </c>
      <c r="L182" s="50">
        <f>IF(D182="","",IF(COUNTIF(Paramètres!$A$11:$A$40,D182)&gt;0,1,0))</f>
        <v>1</v>
      </c>
    </row>
    <row r="183" spans="1:12" hidden="1" x14ac:dyDescent="0.25">
      <c r="A183" s="49"/>
      <c r="B183" s="49" t="s">
        <v>52</v>
      </c>
      <c r="C183" s="49" t="s">
        <v>281</v>
      </c>
      <c r="D183" s="50" t="str">
        <f t="shared" si="10"/>
        <v>Amine Latrech</v>
      </c>
      <c r="E183" s="50" t="str">
        <f t="shared" si="11"/>
        <v>févr</v>
      </c>
      <c r="F183" s="50">
        <f t="shared" si="12"/>
        <v>15</v>
      </c>
      <c r="G183" s="50">
        <f t="shared" si="13"/>
        <v>2026</v>
      </c>
      <c r="H183" s="51">
        <f>IF($C183="","",IFERROR(DATE(G183,VLOOKUP(E183,Paramètres!$K$11:$L$40,2,FALSE()),F183),"?"))</f>
        <v>46068</v>
      </c>
      <c r="I183" s="50">
        <f>IF(ISNUMBER(H183),IF(COUNTIFS($D$2:D183,D183,$H$2:H183,H183)=1,1,0),"")</f>
        <v>0</v>
      </c>
      <c r="J183" s="50">
        <f>IF(ISNUMBER(H183),IFERROR(INDEX(Calendrier!$C$2:$C$367,MATCH(H183,Calendrier!$A$2:$A$367,0)),0),"")</f>
        <v>0</v>
      </c>
      <c r="K183" s="50">
        <f t="shared" si="14"/>
        <v>0</v>
      </c>
      <c r="L183" s="50">
        <f>IF(D183="","",IF(COUNTIF(Paramètres!$A$11:$A$40,D183)&gt;0,1,0))</f>
        <v>1</v>
      </c>
    </row>
    <row r="184" spans="1:12" hidden="1" x14ac:dyDescent="0.25">
      <c r="A184" s="49"/>
      <c r="B184" s="49" t="s">
        <v>52</v>
      </c>
      <c r="C184" s="49" t="s">
        <v>281</v>
      </c>
      <c r="D184" s="50" t="str">
        <f t="shared" si="10"/>
        <v>Amine Latrech</v>
      </c>
      <c r="E184" s="50" t="str">
        <f t="shared" si="11"/>
        <v>févr</v>
      </c>
      <c r="F184" s="50">
        <f t="shared" si="12"/>
        <v>15</v>
      </c>
      <c r="G184" s="50">
        <f t="shared" si="13"/>
        <v>2026</v>
      </c>
      <c r="H184" s="51">
        <f>IF($C184="","",IFERROR(DATE(G184,VLOOKUP(E184,Paramètres!$K$11:$L$40,2,FALSE()),F184),"?"))</f>
        <v>46068</v>
      </c>
      <c r="I184" s="50">
        <f>IF(ISNUMBER(H184),IF(COUNTIFS($D$2:D184,D184,$H$2:H184,H184)=1,1,0),"")</f>
        <v>0</v>
      </c>
      <c r="J184" s="50">
        <f>IF(ISNUMBER(H184),IFERROR(INDEX(Calendrier!$C$2:$C$367,MATCH(H184,Calendrier!$A$2:$A$367,0)),0),"")</f>
        <v>0</v>
      </c>
      <c r="K184" s="50">
        <f t="shared" si="14"/>
        <v>0</v>
      </c>
      <c r="L184" s="50">
        <f>IF(D184="","",IF(COUNTIF(Paramètres!$A$11:$A$40,D184)&gt;0,1,0))</f>
        <v>1</v>
      </c>
    </row>
    <row r="185" spans="1:12" hidden="1" x14ac:dyDescent="0.25">
      <c r="A185" s="49"/>
      <c r="B185" s="49" t="s">
        <v>52</v>
      </c>
      <c r="C185" s="49" t="s">
        <v>282</v>
      </c>
      <c r="D185" s="50" t="str">
        <f t="shared" si="10"/>
        <v>Amine Latrech</v>
      </c>
      <c r="E185" s="50" t="str">
        <f t="shared" si="11"/>
        <v>févr</v>
      </c>
      <c r="F185" s="50">
        <f t="shared" si="12"/>
        <v>15</v>
      </c>
      <c r="G185" s="50">
        <f t="shared" si="13"/>
        <v>2026</v>
      </c>
      <c r="H185" s="51">
        <f>IF($C185="","",IFERROR(DATE(G185,VLOOKUP(E185,Paramètres!$K$11:$L$40,2,FALSE()),F185),"?"))</f>
        <v>46068</v>
      </c>
      <c r="I185" s="50">
        <f>IF(ISNUMBER(H185),IF(COUNTIFS($D$2:D185,D185,$H$2:H185,H185)=1,1,0),"")</f>
        <v>0</v>
      </c>
      <c r="J185" s="50">
        <f>IF(ISNUMBER(H185),IFERROR(INDEX(Calendrier!$C$2:$C$367,MATCH(H185,Calendrier!$A$2:$A$367,0)),0),"")</f>
        <v>0</v>
      </c>
      <c r="K185" s="50">
        <f t="shared" si="14"/>
        <v>0</v>
      </c>
      <c r="L185" s="50">
        <f>IF(D185="","",IF(COUNTIF(Paramètres!$A$11:$A$40,D185)&gt;0,1,0))</f>
        <v>1</v>
      </c>
    </row>
    <row r="186" spans="1:12" hidden="1" x14ac:dyDescent="0.25">
      <c r="A186" s="49"/>
      <c r="B186" s="49" t="s">
        <v>52</v>
      </c>
      <c r="C186" s="49" t="s">
        <v>283</v>
      </c>
      <c r="D186" s="50" t="str">
        <f t="shared" si="10"/>
        <v>Amine Latrech</v>
      </c>
      <c r="E186" s="50" t="str">
        <f t="shared" si="11"/>
        <v>févr</v>
      </c>
      <c r="F186" s="50">
        <f t="shared" si="12"/>
        <v>15</v>
      </c>
      <c r="G186" s="50">
        <f t="shared" si="13"/>
        <v>2026</v>
      </c>
      <c r="H186" s="51">
        <f>IF($C186="","",IFERROR(DATE(G186,VLOOKUP(E186,Paramètres!$K$11:$L$40,2,FALSE()),F186),"?"))</f>
        <v>46068</v>
      </c>
      <c r="I186" s="50">
        <f>IF(ISNUMBER(H186),IF(COUNTIFS($D$2:D186,D186,$H$2:H186,H186)=1,1,0),"")</f>
        <v>0</v>
      </c>
      <c r="J186" s="50">
        <f>IF(ISNUMBER(H186),IFERROR(INDEX(Calendrier!$C$2:$C$367,MATCH(H186,Calendrier!$A$2:$A$367,0)),0),"")</f>
        <v>0</v>
      </c>
      <c r="K186" s="50">
        <f t="shared" si="14"/>
        <v>0</v>
      </c>
      <c r="L186" s="50">
        <f>IF(D186="","",IF(COUNTIF(Paramètres!$A$11:$A$40,D186)&gt;0,1,0))</f>
        <v>1</v>
      </c>
    </row>
    <row r="187" spans="1:12" hidden="1" x14ac:dyDescent="0.25">
      <c r="A187" s="49"/>
      <c r="B187" s="49" t="s">
        <v>52</v>
      </c>
      <c r="C187" s="49" t="s">
        <v>284</v>
      </c>
      <c r="D187" s="50" t="str">
        <f t="shared" si="10"/>
        <v>Amine Latrech</v>
      </c>
      <c r="E187" s="50" t="str">
        <f t="shared" si="11"/>
        <v>févr</v>
      </c>
      <c r="F187" s="50">
        <f t="shared" si="12"/>
        <v>17</v>
      </c>
      <c r="G187" s="50">
        <f t="shared" si="13"/>
        <v>2026</v>
      </c>
      <c r="H187" s="51">
        <f>IF($C187="","",IFERROR(DATE(G187,VLOOKUP(E187,Paramètres!$K$11:$L$40,2,FALSE()),F187),"?"))</f>
        <v>46070</v>
      </c>
      <c r="I187" s="50">
        <f>IF(ISNUMBER(H187),IF(COUNTIFS($D$2:D187,D187,$H$2:H187,H187)=1,1,0),"")</f>
        <v>1</v>
      </c>
      <c r="J187" s="50">
        <f>IF(ISNUMBER(H187),IFERROR(INDEX(Calendrier!$C$2:$C$367,MATCH(H187,Calendrier!$A$2:$A$367,0)),0),"")</f>
        <v>1</v>
      </c>
      <c r="K187" s="50">
        <f t="shared" si="14"/>
        <v>1</v>
      </c>
      <c r="L187" s="50">
        <f>IF(D187="","",IF(COUNTIF(Paramètres!$A$11:$A$40,D187)&gt;0,1,0))</f>
        <v>1</v>
      </c>
    </row>
    <row r="188" spans="1:12" hidden="1" x14ac:dyDescent="0.25">
      <c r="A188" s="49"/>
      <c r="B188" s="49" t="s">
        <v>52</v>
      </c>
      <c r="C188" s="49" t="s">
        <v>285</v>
      </c>
      <c r="D188" s="50" t="str">
        <f t="shared" si="10"/>
        <v>Amine Latrech</v>
      </c>
      <c r="E188" s="50" t="str">
        <f t="shared" si="11"/>
        <v>févr</v>
      </c>
      <c r="F188" s="50">
        <f t="shared" si="12"/>
        <v>17</v>
      </c>
      <c r="G188" s="50">
        <f t="shared" si="13"/>
        <v>2026</v>
      </c>
      <c r="H188" s="51">
        <f>IF($C188="","",IFERROR(DATE(G188,VLOOKUP(E188,Paramètres!$K$11:$L$40,2,FALSE()),F188),"?"))</f>
        <v>46070</v>
      </c>
      <c r="I188" s="50">
        <f>IF(ISNUMBER(H188),IF(COUNTIFS($D$2:D188,D188,$H$2:H188,H188)=1,1,0),"")</f>
        <v>0</v>
      </c>
      <c r="J188" s="50">
        <f>IF(ISNUMBER(H188),IFERROR(INDEX(Calendrier!$C$2:$C$367,MATCH(H188,Calendrier!$A$2:$A$367,0)),0),"")</f>
        <v>1</v>
      </c>
      <c r="K188" s="50">
        <f t="shared" si="14"/>
        <v>0</v>
      </c>
      <c r="L188" s="50">
        <f>IF(D188="","",IF(COUNTIF(Paramètres!$A$11:$A$40,D188)&gt;0,1,0))</f>
        <v>1</v>
      </c>
    </row>
    <row r="189" spans="1:12" hidden="1" x14ac:dyDescent="0.25">
      <c r="A189" s="49"/>
      <c r="B189" s="49" t="s">
        <v>52</v>
      </c>
      <c r="C189" s="49" t="s">
        <v>286</v>
      </c>
      <c r="D189" s="50" t="str">
        <f t="shared" si="10"/>
        <v>Amine Latrech</v>
      </c>
      <c r="E189" s="50" t="str">
        <f t="shared" si="11"/>
        <v>févr</v>
      </c>
      <c r="F189" s="50">
        <f t="shared" si="12"/>
        <v>17</v>
      </c>
      <c r="G189" s="50">
        <f t="shared" si="13"/>
        <v>2026</v>
      </c>
      <c r="H189" s="51">
        <f>IF($C189="","",IFERROR(DATE(G189,VLOOKUP(E189,Paramètres!$K$11:$L$40,2,FALSE()),F189),"?"))</f>
        <v>46070</v>
      </c>
      <c r="I189" s="50">
        <f>IF(ISNUMBER(H189),IF(COUNTIFS($D$2:D189,D189,$H$2:H189,H189)=1,1,0),"")</f>
        <v>0</v>
      </c>
      <c r="J189" s="50">
        <f>IF(ISNUMBER(H189),IFERROR(INDEX(Calendrier!$C$2:$C$367,MATCH(H189,Calendrier!$A$2:$A$367,0)),0),"")</f>
        <v>1</v>
      </c>
      <c r="K189" s="50">
        <f t="shared" si="14"/>
        <v>0</v>
      </c>
      <c r="L189" s="50">
        <f>IF(D189="","",IF(COUNTIF(Paramètres!$A$11:$A$40,D189)&gt;0,1,0))</f>
        <v>1</v>
      </c>
    </row>
    <row r="190" spans="1:12" hidden="1" x14ac:dyDescent="0.25">
      <c r="A190" s="49"/>
      <c r="B190" s="49" t="s">
        <v>52</v>
      </c>
      <c r="C190" s="49" t="s">
        <v>287</v>
      </c>
      <c r="D190" s="50" t="str">
        <f t="shared" si="10"/>
        <v>Amine Latrech</v>
      </c>
      <c r="E190" s="50" t="str">
        <f t="shared" si="11"/>
        <v>févr</v>
      </c>
      <c r="F190" s="50">
        <f t="shared" si="12"/>
        <v>24</v>
      </c>
      <c r="G190" s="50">
        <f t="shared" si="13"/>
        <v>2026</v>
      </c>
      <c r="H190" s="51">
        <f>IF($C190="","",IFERROR(DATE(G190,VLOOKUP(E190,Paramètres!$K$11:$L$40,2,FALSE()),F190),"?"))</f>
        <v>46077</v>
      </c>
      <c r="I190" s="50">
        <f>IF(ISNUMBER(H190),IF(COUNTIFS($D$2:D190,D190,$H$2:H190,H190)=1,1,0),"")</f>
        <v>1</v>
      </c>
      <c r="J190" s="50">
        <f>IF(ISNUMBER(H190),IFERROR(INDEX(Calendrier!$C$2:$C$367,MATCH(H190,Calendrier!$A$2:$A$367,0)),0),"")</f>
        <v>1</v>
      </c>
      <c r="K190" s="50">
        <f t="shared" si="14"/>
        <v>1</v>
      </c>
      <c r="L190" s="50">
        <f>IF(D190="","",IF(COUNTIF(Paramètres!$A$11:$A$40,D190)&gt;0,1,0))</f>
        <v>1</v>
      </c>
    </row>
    <row r="191" spans="1:12" hidden="1" x14ac:dyDescent="0.25">
      <c r="A191" s="49"/>
      <c r="B191" s="49" t="s">
        <v>52</v>
      </c>
      <c r="C191" s="49" t="s">
        <v>288</v>
      </c>
      <c r="D191" s="50" t="str">
        <f t="shared" si="10"/>
        <v>Amine Latrech</v>
      </c>
      <c r="E191" s="50" t="str">
        <f t="shared" si="11"/>
        <v>févr</v>
      </c>
      <c r="F191" s="50">
        <f t="shared" si="12"/>
        <v>25</v>
      </c>
      <c r="G191" s="50">
        <f t="shared" si="13"/>
        <v>2026</v>
      </c>
      <c r="H191" s="51">
        <f>IF($C191="","",IFERROR(DATE(G191,VLOOKUP(E191,Paramètres!$K$11:$L$40,2,FALSE()),F191),"?"))</f>
        <v>46078</v>
      </c>
      <c r="I191" s="50">
        <f>IF(ISNUMBER(H191),IF(COUNTIFS($D$2:D191,D191,$H$2:H191,H191)=1,1,0),"")</f>
        <v>1</v>
      </c>
      <c r="J191" s="50">
        <f>IF(ISNUMBER(H191),IFERROR(INDEX(Calendrier!$C$2:$C$367,MATCH(H191,Calendrier!$A$2:$A$367,0)),0),"")</f>
        <v>1</v>
      </c>
      <c r="K191" s="50">
        <f t="shared" si="14"/>
        <v>1</v>
      </c>
      <c r="L191" s="50">
        <f>IF(D191="","",IF(COUNTIF(Paramètres!$A$11:$A$40,D191)&gt;0,1,0))</f>
        <v>1</v>
      </c>
    </row>
    <row r="192" spans="1:12" hidden="1" x14ac:dyDescent="0.25">
      <c r="A192" s="49"/>
      <c r="B192" s="49" t="s">
        <v>52</v>
      </c>
      <c r="C192" s="49" t="s">
        <v>289</v>
      </c>
      <c r="D192" s="50" t="str">
        <f t="shared" si="10"/>
        <v>Amine Latrech</v>
      </c>
      <c r="E192" s="50" t="str">
        <f t="shared" si="11"/>
        <v>févr</v>
      </c>
      <c r="F192" s="50">
        <f t="shared" si="12"/>
        <v>25</v>
      </c>
      <c r="G192" s="50">
        <f t="shared" si="13"/>
        <v>2026</v>
      </c>
      <c r="H192" s="51">
        <f>IF($C192="","",IFERROR(DATE(G192,VLOOKUP(E192,Paramètres!$K$11:$L$40,2,FALSE()),F192),"?"))</f>
        <v>46078</v>
      </c>
      <c r="I192" s="50">
        <f>IF(ISNUMBER(H192),IF(COUNTIFS($D$2:D192,D192,$H$2:H192,H192)=1,1,0),"")</f>
        <v>0</v>
      </c>
      <c r="J192" s="50">
        <f>IF(ISNUMBER(H192),IFERROR(INDEX(Calendrier!$C$2:$C$367,MATCH(H192,Calendrier!$A$2:$A$367,0)),0),"")</f>
        <v>1</v>
      </c>
      <c r="K192" s="50">
        <f t="shared" si="14"/>
        <v>0</v>
      </c>
      <c r="L192" s="50">
        <f>IF(D192="","",IF(COUNTIF(Paramètres!$A$11:$A$40,D192)&gt;0,1,0))</f>
        <v>1</v>
      </c>
    </row>
    <row r="193" spans="1:12" hidden="1" x14ac:dyDescent="0.25">
      <c r="A193" s="49"/>
      <c r="B193" s="49" t="s">
        <v>59</v>
      </c>
      <c r="C193" s="49" t="s">
        <v>290</v>
      </c>
      <c r="D193" s="50" t="str">
        <f t="shared" si="10"/>
        <v>Imre Kapusi</v>
      </c>
      <c r="E193" s="50" t="str">
        <f t="shared" si="11"/>
        <v>févr</v>
      </c>
      <c r="F193" s="50">
        <f t="shared" si="12"/>
        <v>1</v>
      </c>
      <c r="G193" s="50">
        <f t="shared" si="13"/>
        <v>2026</v>
      </c>
      <c r="H193" s="51">
        <f>IF($C193="","",IFERROR(DATE(G193,VLOOKUP(E193,Paramètres!$K$11:$L$40,2,FALSE()),F193),"?"))</f>
        <v>46054</v>
      </c>
      <c r="I193" s="50">
        <f>IF(ISNUMBER(H193),IF(COUNTIFS($D$2:D193,D193,$H$2:H193,H193)=1,1,0),"")</f>
        <v>1</v>
      </c>
      <c r="J193" s="50">
        <f>IF(ISNUMBER(H193),IFERROR(INDEX(Calendrier!$C$2:$C$367,MATCH(H193,Calendrier!$A$2:$A$367,0)),0),"")</f>
        <v>0</v>
      </c>
      <c r="K193" s="50">
        <f t="shared" si="14"/>
        <v>0</v>
      </c>
      <c r="L193" s="50">
        <f>IF(D193="","",IF(COUNTIF(Paramètres!$A$11:$A$40,D193)&gt;0,1,0))</f>
        <v>1</v>
      </c>
    </row>
    <row r="194" spans="1:12" hidden="1" x14ac:dyDescent="0.25">
      <c r="A194" s="49"/>
      <c r="B194" s="49" t="s">
        <v>59</v>
      </c>
      <c r="C194" s="49" t="s">
        <v>291</v>
      </c>
      <c r="D194" s="50" t="str">
        <f t="shared" ref="D194:D257" si="15">IF(B194="","",TRIM(B194))</f>
        <v>Imre Kapusi</v>
      </c>
      <c r="E194" s="50" t="str">
        <f t="shared" ref="E194:E257" si="16">IF($C194="","",LEFT($C194,FIND(" ",$C194)-1))</f>
        <v>févr</v>
      </c>
      <c r="F194" s="50">
        <f t="shared" ref="F194:F257" si="17">IF($C194="","",IFERROR(VALUE(LEFT(MID($C194,FIND(" ",$C194)+1,20),FIND(" ",MID($C194,FIND(" ",$C194)+1,20))-1)),"?"))</f>
        <v>4</v>
      </c>
      <c r="G194" s="50">
        <f t="shared" ref="G194:G257" si="18">IF($C194="","",IFERROR(VALUE(MID(MID($C194,FIND(" ",$C194)+1,20),FIND(" ",MID($C194,FIND(" ",$C194)+1,20))+1,4)),"?"))</f>
        <v>2026</v>
      </c>
      <c r="H194" s="51">
        <f>IF($C194="","",IFERROR(DATE(G194,VLOOKUP(E194,Paramètres!$K$11:$L$40,2,FALSE()),F194),"?"))</f>
        <v>46057</v>
      </c>
      <c r="I194" s="50">
        <f>IF(ISNUMBER(H194),IF(COUNTIFS($D$2:D194,D194,$H$2:H194,H194)=1,1,0),"")</f>
        <v>1</v>
      </c>
      <c r="J194" s="50">
        <f>IF(ISNUMBER(H194),IFERROR(INDEX(Calendrier!$C$2:$C$367,MATCH(H194,Calendrier!$A$2:$A$367,0)),0),"")</f>
        <v>1</v>
      </c>
      <c r="K194" s="50">
        <f t="shared" ref="K194:K257" si="19">IF(ISNUMBER(H194),I194*J194,"")</f>
        <v>1</v>
      </c>
      <c r="L194" s="50">
        <f>IF(D194="","",IF(COUNTIF(Paramètres!$A$11:$A$40,D194)&gt;0,1,0))</f>
        <v>1</v>
      </c>
    </row>
    <row r="195" spans="1:12" hidden="1" x14ac:dyDescent="0.25">
      <c r="A195" s="49"/>
      <c r="B195" s="49" t="s">
        <v>59</v>
      </c>
      <c r="C195" s="49" t="s">
        <v>292</v>
      </c>
      <c r="D195" s="50" t="str">
        <f t="shared" si="15"/>
        <v>Imre Kapusi</v>
      </c>
      <c r="E195" s="50" t="str">
        <f t="shared" si="16"/>
        <v>févr</v>
      </c>
      <c r="F195" s="50">
        <f t="shared" si="17"/>
        <v>6</v>
      </c>
      <c r="G195" s="50">
        <f t="shared" si="18"/>
        <v>2026</v>
      </c>
      <c r="H195" s="51">
        <f>IF($C195="","",IFERROR(DATE(G195,VLOOKUP(E195,Paramètres!$K$11:$L$40,2,FALSE()),F195),"?"))</f>
        <v>46059</v>
      </c>
      <c r="I195" s="50">
        <f>IF(ISNUMBER(H195),IF(COUNTIFS($D$2:D195,D195,$H$2:H195,H195)=1,1,0),"")</f>
        <v>1</v>
      </c>
      <c r="J195" s="50">
        <f>IF(ISNUMBER(H195),IFERROR(INDEX(Calendrier!$C$2:$C$367,MATCH(H195,Calendrier!$A$2:$A$367,0)),0),"")</f>
        <v>1</v>
      </c>
      <c r="K195" s="50">
        <f t="shared" si="19"/>
        <v>1</v>
      </c>
      <c r="L195" s="50">
        <f>IF(D195="","",IF(COUNTIF(Paramètres!$A$11:$A$40,D195)&gt;0,1,0))</f>
        <v>1</v>
      </c>
    </row>
    <row r="196" spans="1:12" hidden="1" x14ac:dyDescent="0.25">
      <c r="A196" s="49"/>
      <c r="B196" s="49" t="s">
        <v>59</v>
      </c>
      <c r="C196" s="49" t="s">
        <v>293</v>
      </c>
      <c r="D196" s="50" t="str">
        <f t="shared" si="15"/>
        <v>Imre Kapusi</v>
      </c>
      <c r="E196" s="50" t="str">
        <f t="shared" si="16"/>
        <v>févr</v>
      </c>
      <c r="F196" s="50">
        <f t="shared" si="17"/>
        <v>11</v>
      </c>
      <c r="G196" s="50">
        <f t="shared" si="18"/>
        <v>2026</v>
      </c>
      <c r="H196" s="51">
        <f>IF($C196="","",IFERROR(DATE(G196,VLOOKUP(E196,Paramètres!$K$11:$L$40,2,FALSE()),F196),"?"))</f>
        <v>46064</v>
      </c>
      <c r="I196" s="50">
        <f>IF(ISNUMBER(H196),IF(COUNTIFS($D$2:D196,D196,$H$2:H196,H196)=1,1,0),"")</f>
        <v>1</v>
      </c>
      <c r="J196" s="50">
        <f>IF(ISNUMBER(H196),IFERROR(INDEX(Calendrier!$C$2:$C$367,MATCH(H196,Calendrier!$A$2:$A$367,0)),0),"")</f>
        <v>1</v>
      </c>
      <c r="K196" s="50">
        <f t="shared" si="19"/>
        <v>1</v>
      </c>
      <c r="L196" s="50">
        <f>IF(D196="","",IF(COUNTIF(Paramètres!$A$11:$A$40,D196)&gt;0,1,0))</f>
        <v>1</v>
      </c>
    </row>
    <row r="197" spans="1:12" hidden="1" x14ac:dyDescent="0.25">
      <c r="A197" s="49"/>
      <c r="B197" s="49" t="s">
        <v>59</v>
      </c>
      <c r="C197" s="49" t="s">
        <v>294</v>
      </c>
      <c r="D197" s="50" t="str">
        <f t="shared" si="15"/>
        <v>Imre Kapusi</v>
      </c>
      <c r="E197" s="50" t="str">
        <f t="shared" si="16"/>
        <v>févr</v>
      </c>
      <c r="F197" s="50">
        <f t="shared" si="17"/>
        <v>16</v>
      </c>
      <c r="G197" s="50">
        <f t="shared" si="18"/>
        <v>2026</v>
      </c>
      <c r="H197" s="51">
        <f>IF($C197="","",IFERROR(DATE(G197,VLOOKUP(E197,Paramètres!$K$11:$L$40,2,FALSE()),F197),"?"))</f>
        <v>46069</v>
      </c>
      <c r="I197" s="50">
        <f>IF(ISNUMBER(H197),IF(COUNTIFS($D$2:D197,D197,$H$2:H197,H197)=1,1,0),"")</f>
        <v>1</v>
      </c>
      <c r="J197" s="50">
        <f>IF(ISNUMBER(H197),IFERROR(INDEX(Calendrier!$C$2:$C$367,MATCH(H197,Calendrier!$A$2:$A$367,0)),0),"")</f>
        <v>1</v>
      </c>
      <c r="K197" s="50">
        <f t="shared" si="19"/>
        <v>1</v>
      </c>
      <c r="L197" s="50">
        <f>IF(D197="","",IF(COUNTIF(Paramètres!$A$11:$A$40,D197)&gt;0,1,0))</f>
        <v>1</v>
      </c>
    </row>
    <row r="198" spans="1:12" hidden="1" x14ac:dyDescent="0.25">
      <c r="A198" s="49"/>
      <c r="B198" s="49" t="s">
        <v>59</v>
      </c>
      <c r="C198" s="49" t="s">
        <v>295</v>
      </c>
      <c r="D198" s="50" t="str">
        <f t="shared" si="15"/>
        <v>Imre Kapusi</v>
      </c>
      <c r="E198" s="50" t="str">
        <f t="shared" si="16"/>
        <v>févr</v>
      </c>
      <c r="F198" s="50">
        <f t="shared" si="17"/>
        <v>18</v>
      </c>
      <c r="G198" s="50">
        <f t="shared" si="18"/>
        <v>2026</v>
      </c>
      <c r="H198" s="51">
        <f>IF($C198="","",IFERROR(DATE(G198,VLOOKUP(E198,Paramètres!$K$11:$L$40,2,FALSE()),F198),"?"))</f>
        <v>46071</v>
      </c>
      <c r="I198" s="50">
        <f>IF(ISNUMBER(H198),IF(COUNTIFS($D$2:D198,D198,$H$2:H198,H198)=1,1,0),"")</f>
        <v>1</v>
      </c>
      <c r="J198" s="50">
        <f>IF(ISNUMBER(H198),IFERROR(INDEX(Calendrier!$C$2:$C$367,MATCH(H198,Calendrier!$A$2:$A$367,0)),0),"")</f>
        <v>1</v>
      </c>
      <c r="K198" s="50">
        <f t="shared" si="19"/>
        <v>1</v>
      </c>
      <c r="L198" s="50">
        <f>IF(D198="","",IF(COUNTIF(Paramètres!$A$11:$A$40,D198)&gt;0,1,0))</f>
        <v>1</v>
      </c>
    </row>
    <row r="199" spans="1:12" hidden="1" x14ac:dyDescent="0.25">
      <c r="A199" s="49"/>
      <c r="B199" s="49" t="s">
        <v>59</v>
      </c>
      <c r="C199" s="49" t="s">
        <v>295</v>
      </c>
      <c r="D199" s="50" t="str">
        <f t="shared" si="15"/>
        <v>Imre Kapusi</v>
      </c>
      <c r="E199" s="50" t="str">
        <f t="shared" si="16"/>
        <v>févr</v>
      </c>
      <c r="F199" s="50">
        <f t="shared" si="17"/>
        <v>18</v>
      </c>
      <c r="G199" s="50">
        <f t="shared" si="18"/>
        <v>2026</v>
      </c>
      <c r="H199" s="51">
        <f>IF($C199="","",IFERROR(DATE(G199,VLOOKUP(E199,Paramètres!$K$11:$L$40,2,FALSE()),F199),"?"))</f>
        <v>46071</v>
      </c>
      <c r="I199" s="50">
        <f>IF(ISNUMBER(H199),IF(COUNTIFS($D$2:D199,D199,$H$2:H199,H199)=1,1,0),"")</f>
        <v>0</v>
      </c>
      <c r="J199" s="50">
        <f>IF(ISNUMBER(H199),IFERROR(INDEX(Calendrier!$C$2:$C$367,MATCH(H199,Calendrier!$A$2:$A$367,0)),0),"")</f>
        <v>1</v>
      </c>
      <c r="K199" s="50">
        <f t="shared" si="19"/>
        <v>0</v>
      </c>
      <c r="L199" s="50">
        <f>IF(D199="","",IF(COUNTIF(Paramètres!$A$11:$A$40,D199)&gt;0,1,0))</f>
        <v>1</v>
      </c>
    </row>
    <row r="200" spans="1:12" hidden="1" x14ac:dyDescent="0.25">
      <c r="A200" s="49"/>
      <c r="B200" s="49" t="s">
        <v>59</v>
      </c>
      <c r="C200" s="49" t="s">
        <v>296</v>
      </c>
      <c r="D200" s="50" t="str">
        <f t="shared" si="15"/>
        <v>Imre Kapusi</v>
      </c>
      <c r="E200" s="50" t="str">
        <f t="shared" si="16"/>
        <v>févr</v>
      </c>
      <c r="F200" s="50">
        <f t="shared" si="17"/>
        <v>20</v>
      </c>
      <c r="G200" s="50">
        <f t="shared" si="18"/>
        <v>2026</v>
      </c>
      <c r="H200" s="51">
        <f>IF($C200="","",IFERROR(DATE(G200,VLOOKUP(E200,Paramètres!$K$11:$L$40,2,FALSE()),F200),"?"))</f>
        <v>46073</v>
      </c>
      <c r="I200" s="50">
        <f>IF(ISNUMBER(H200),IF(COUNTIFS($D$2:D200,D200,$H$2:H200,H200)=1,1,0),"")</f>
        <v>1</v>
      </c>
      <c r="J200" s="50">
        <f>IF(ISNUMBER(H200),IFERROR(INDEX(Calendrier!$C$2:$C$367,MATCH(H200,Calendrier!$A$2:$A$367,0)),0),"")</f>
        <v>1</v>
      </c>
      <c r="K200" s="50">
        <f t="shared" si="19"/>
        <v>1</v>
      </c>
      <c r="L200" s="50">
        <f>IF(D200="","",IF(COUNTIF(Paramètres!$A$11:$A$40,D200)&gt;0,1,0))</f>
        <v>1</v>
      </c>
    </row>
    <row r="201" spans="1:12" hidden="1" x14ac:dyDescent="0.25">
      <c r="A201" s="49"/>
      <c r="B201" s="49" t="s">
        <v>59</v>
      </c>
      <c r="C201" s="49" t="s">
        <v>297</v>
      </c>
      <c r="D201" s="50" t="str">
        <f t="shared" si="15"/>
        <v>Imre Kapusi</v>
      </c>
      <c r="E201" s="50" t="str">
        <f t="shared" si="16"/>
        <v>févr</v>
      </c>
      <c r="F201" s="50">
        <f t="shared" si="17"/>
        <v>24</v>
      </c>
      <c r="G201" s="50">
        <f t="shared" si="18"/>
        <v>2026</v>
      </c>
      <c r="H201" s="51">
        <f>IF($C201="","",IFERROR(DATE(G201,VLOOKUP(E201,Paramètres!$K$11:$L$40,2,FALSE()),F201),"?"))</f>
        <v>46077</v>
      </c>
      <c r="I201" s="50">
        <f>IF(ISNUMBER(H201),IF(COUNTIFS($D$2:D201,D201,$H$2:H201,H201)=1,1,0),"")</f>
        <v>1</v>
      </c>
      <c r="J201" s="50">
        <f>IF(ISNUMBER(H201),IFERROR(INDEX(Calendrier!$C$2:$C$367,MATCH(H201,Calendrier!$A$2:$A$367,0)),0),"")</f>
        <v>1</v>
      </c>
      <c r="K201" s="50">
        <f t="shared" si="19"/>
        <v>1</v>
      </c>
      <c r="L201" s="50">
        <f>IF(D201="","",IF(COUNTIF(Paramètres!$A$11:$A$40,D201)&gt;0,1,0))</f>
        <v>1</v>
      </c>
    </row>
    <row r="202" spans="1:12" hidden="1" x14ac:dyDescent="0.25">
      <c r="A202" s="49"/>
      <c r="B202" s="49" t="s">
        <v>61</v>
      </c>
      <c r="C202" s="49" t="s">
        <v>298</v>
      </c>
      <c r="D202" s="50" t="str">
        <f t="shared" si="15"/>
        <v>Ines Farhat</v>
      </c>
      <c r="E202" s="50" t="str">
        <f t="shared" si="16"/>
        <v>févr</v>
      </c>
      <c r="F202" s="50">
        <f t="shared" si="17"/>
        <v>2</v>
      </c>
      <c r="G202" s="50">
        <f t="shared" si="18"/>
        <v>2026</v>
      </c>
      <c r="H202" s="51">
        <f>IF($C202="","",IFERROR(DATE(G202,VLOOKUP(E202,Paramètres!$K$11:$L$40,2,FALSE()),F202),"?"))</f>
        <v>46055</v>
      </c>
      <c r="I202" s="50">
        <f>IF(ISNUMBER(H202),IF(COUNTIFS($D$2:D202,D202,$H$2:H202,H202)=1,1,0),"")</f>
        <v>1</v>
      </c>
      <c r="J202" s="50">
        <f>IF(ISNUMBER(H202),IFERROR(INDEX(Calendrier!$C$2:$C$367,MATCH(H202,Calendrier!$A$2:$A$367,0)),0),"")</f>
        <v>1</v>
      </c>
      <c r="K202" s="50">
        <f t="shared" si="19"/>
        <v>1</v>
      </c>
      <c r="L202" s="50">
        <f>IF(D202="","",IF(COUNTIF(Paramètres!$A$11:$A$40,D202)&gt;0,1,0))</f>
        <v>1</v>
      </c>
    </row>
    <row r="203" spans="1:12" hidden="1" x14ac:dyDescent="0.25">
      <c r="A203" s="49"/>
      <c r="B203" s="49" t="s">
        <v>61</v>
      </c>
      <c r="C203" s="49" t="s">
        <v>299</v>
      </c>
      <c r="D203" s="50" t="str">
        <f t="shared" si="15"/>
        <v>Ines Farhat</v>
      </c>
      <c r="E203" s="50" t="str">
        <f t="shared" si="16"/>
        <v>févr</v>
      </c>
      <c r="F203" s="50">
        <f t="shared" si="17"/>
        <v>9</v>
      </c>
      <c r="G203" s="50">
        <f t="shared" si="18"/>
        <v>2026</v>
      </c>
      <c r="H203" s="51">
        <f>IF($C203="","",IFERROR(DATE(G203,VLOOKUP(E203,Paramètres!$K$11:$L$40,2,FALSE()),F203),"?"))</f>
        <v>46062</v>
      </c>
      <c r="I203" s="50">
        <f>IF(ISNUMBER(H203),IF(COUNTIFS($D$2:D203,D203,$H$2:H203,H203)=1,1,0),"")</f>
        <v>1</v>
      </c>
      <c r="J203" s="50">
        <f>IF(ISNUMBER(H203),IFERROR(INDEX(Calendrier!$C$2:$C$367,MATCH(H203,Calendrier!$A$2:$A$367,0)),0),"")</f>
        <v>1</v>
      </c>
      <c r="K203" s="50">
        <f t="shared" si="19"/>
        <v>1</v>
      </c>
      <c r="L203" s="50">
        <f>IF(D203="","",IF(COUNTIF(Paramètres!$A$11:$A$40,D203)&gt;0,1,0))</f>
        <v>1</v>
      </c>
    </row>
    <row r="204" spans="1:12" hidden="1" x14ac:dyDescent="0.25">
      <c r="A204" s="49"/>
      <c r="B204" s="49" t="s">
        <v>61</v>
      </c>
      <c r="C204" s="49" t="s">
        <v>300</v>
      </c>
      <c r="D204" s="50" t="str">
        <f t="shared" si="15"/>
        <v>Ines Farhat</v>
      </c>
      <c r="E204" s="50" t="str">
        <f t="shared" si="16"/>
        <v>févr</v>
      </c>
      <c r="F204" s="50">
        <f t="shared" si="17"/>
        <v>11</v>
      </c>
      <c r="G204" s="50">
        <f t="shared" si="18"/>
        <v>2026</v>
      </c>
      <c r="H204" s="51">
        <f>IF($C204="","",IFERROR(DATE(G204,VLOOKUP(E204,Paramètres!$K$11:$L$40,2,FALSE()),F204),"?"))</f>
        <v>46064</v>
      </c>
      <c r="I204" s="50">
        <f>IF(ISNUMBER(H204),IF(COUNTIFS($D$2:D204,D204,$H$2:H204,H204)=1,1,0),"")</f>
        <v>1</v>
      </c>
      <c r="J204" s="50">
        <f>IF(ISNUMBER(H204),IFERROR(INDEX(Calendrier!$C$2:$C$367,MATCH(H204,Calendrier!$A$2:$A$367,0)),0),"")</f>
        <v>1</v>
      </c>
      <c r="K204" s="50">
        <f t="shared" si="19"/>
        <v>1</v>
      </c>
      <c r="L204" s="50">
        <f>IF(D204="","",IF(COUNTIF(Paramètres!$A$11:$A$40,D204)&gt;0,1,0))</f>
        <v>1</v>
      </c>
    </row>
    <row r="205" spans="1:12" hidden="1" x14ac:dyDescent="0.25">
      <c r="A205" s="49"/>
      <c r="B205" s="49" t="s">
        <v>61</v>
      </c>
      <c r="C205" s="49" t="s">
        <v>301</v>
      </c>
      <c r="D205" s="50" t="str">
        <f t="shared" si="15"/>
        <v>Ines Farhat</v>
      </c>
      <c r="E205" s="50" t="str">
        <f t="shared" si="16"/>
        <v>févr</v>
      </c>
      <c r="F205" s="50">
        <f t="shared" si="17"/>
        <v>16</v>
      </c>
      <c r="G205" s="50">
        <f t="shared" si="18"/>
        <v>2026</v>
      </c>
      <c r="H205" s="51">
        <f>IF($C205="","",IFERROR(DATE(G205,VLOOKUP(E205,Paramètres!$K$11:$L$40,2,FALSE()),F205),"?"))</f>
        <v>46069</v>
      </c>
      <c r="I205" s="50">
        <f>IF(ISNUMBER(H205),IF(COUNTIFS($D$2:D205,D205,$H$2:H205,H205)=1,1,0),"")</f>
        <v>1</v>
      </c>
      <c r="J205" s="50">
        <f>IF(ISNUMBER(H205),IFERROR(INDEX(Calendrier!$C$2:$C$367,MATCH(H205,Calendrier!$A$2:$A$367,0)),0),"")</f>
        <v>1</v>
      </c>
      <c r="K205" s="50">
        <f t="shared" si="19"/>
        <v>1</v>
      </c>
      <c r="L205" s="50">
        <f>IF(D205="","",IF(COUNTIF(Paramètres!$A$11:$A$40,D205)&gt;0,1,0))</f>
        <v>1</v>
      </c>
    </row>
    <row r="206" spans="1:12" hidden="1" x14ac:dyDescent="0.25">
      <c r="A206" s="49"/>
      <c r="B206" s="49" t="s">
        <v>61</v>
      </c>
      <c r="C206" s="49" t="s">
        <v>302</v>
      </c>
      <c r="D206" s="50" t="str">
        <f t="shared" si="15"/>
        <v>Ines Farhat</v>
      </c>
      <c r="E206" s="50" t="str">
        <f t="shared" si="16"/>
        <v>févr</v>
      </c>
      <c r="F206" s="50">
        <f t="shared" si="17"/>
        <v>18</v>
      </c>
      <c r="G206" s="50">
        <f t="shared" si="18"/>
        <v>2026</v>
      </c>
      <c r="H206" s="51">
        <f>IF($C206="","",IFERROR(DATE(G206,VLOOKUP(E206,Paramètres!$K$11:$L$40,2,FALSE()),F206),"?"))</f>
        <v>46071</v>
      </c>
      <c r="I206" s="50">
        <f>IF(ISNUMBER(H206),IF(COUNTIFS($D$2:D206,D206,$H$2:H206,H206)=1,1,0),"")</f>
        <v>1</v>
      </c>
      <c r="J206" s="50">
        <f>IF(ISNUMBER(H206),IFERROR(INDEX(Calendrier!$C$2:$C$367,MATCH(H206,Calendrier!$A$2:$A$367,0)),0),"")</f>
        <v>1</v>
      </c>
      <c r="K206" s="50">
        <f t="shared" si="19"/>
        <v>1</v>
      </c>
      <c r="L206" s="50">
        <f>IF(D206="","",IF(COUNTIF(Paramètres!$A$11:$A$40,D206)&gt;0,1,0))</f>
        <v>1</v>
      </c>
    </row>
    <row r="207" spans="1:12" hidden="1" x14ac:dyDescent="0.25">
      <c r="A207" s="49"/>
      <c r="B207" s="49" t="s">
        <v>61</v>
      </c>
      <c r="C207" s="49" t="s">
        <v>303</v>
      </c>
      <c r="D207" s="50" t="str">
        <f t="shared" si="15"/>
        <v>Ines Farhat</v>
      </c>
      <c r="E207" s="50" t="str">
        <f t="shared" si="16"/>
        <v>févr</v>
      </c>
      <c r="F207" s="50">
        <f t="shared" si="17"/>
        <v>21</v>
      </c>
      <c r="G207" s="50">
        <f t="shared" si="18"/>
        <v>2026</v>
      </c>
      <c r="H207" s="51">
        <f>IF($C207="","",IFERROR(DATE(G207,VLOOKUP(E207,Paramètres!$K$11:$L$40,2,FALSE()),F207),"?"))</f>
        <v>46074</v>
      </c>
      <c r="I207" s="50">
        <f>IF(ISNUMBER(H207),IF(COUNTIFS($D$2:D207,D207,$H$2:H207,H207)=1,1,0),"")</f>
        <v>1</v>
      </c>
      <c r="J207" s="50">
        <f>IF(ISNUMBER(H207),IFERROR(INDEX(Calendrier!$C$2:$C$367,MATCH(H207,Calendrier!$A$2:$A$367,0)),0),"")</f>
        <v>0</v>
      </c>
      <c r="K207" s="50">
        <f t="shared" si="19"/>
        <v>0</v>
      </c>
      <c r="L207" s="50">
        <f>IF(D207="","",IF(COUNTIF(Paramètres!$A$11:$A$40,D207)&gt;0,1,0))</f>
        <v>1</v>
      </c>
    </row>
    <row r="208" spans="1:12" hidden="1" x14ac:dyDescent="0.25">
      <c r="A208" s="49"/>
      <c r="B208" s="49" t="s">
        <v>61</v>
      </c>
      <c r="C208" s="49" t="s">
        <v>304</v>
      </c>
      <c r="D208" s="50" t="str">
        <f t="shared" si="15"/>
        <v>Ines Farhat</v>
      </c>
      <c r="E208" s="50" t="str">
        <f t="shared" si="16"/>
        <v>févr</v>
      </c>
      <c r="F208" s="50">
        <f t="shared" si="17"/>
        <v>23</v>
      </c>
      <c r="G208" s="50">
        <f t="shared" si="18"/>
        <v>2026</v>
      </c>
      <c r="H208" s="51">
        <f>IF($C208="","",IFERROR(DATE(G208,VLOOKUP(E208,Paramètres!$K$11:$L$40,2,FALSE()),F208),"?"))</f>
        <v>46076</v>
      </c>
      <c r="I208" s="50">
        <f>IF(ISNUMBER(H208),IF(COUNTIFS($D$2:D208,D208,$H$2:H208,H208)=1,1,0),"")</f>
        <v>1</v>
      </c>
      <c r="J208" s="50">
        <f>IF(ISNUMBER(H208),IFERROR(INDEX(Calendrier!$C$2:$C$367,MATCH(H208,Calendrier!$A$2:$A$367,0)),0),"")</f>
        <v>1</v>
      </c>
      <c r="K208" s="50">
        <f t="shared" si="19"/>
        <v>1</v>
      </c>
      <c r="L208" s="50">
        <f>IF(D208="","",IF(COUNTIF(Paramètres!$A$11:$A$40,D208)&gt;0,1,0))</f>
        <v>1</v>
      </c>
    </row>
    <row r="209" spans="1:12" hidden="1" x14ac:dyDescent="0.25">
      <c r="A209" s="49"/>
      <c r="B209" s="49" t="s">
        <v>61</v>
      </c>
      <c r="C209" s="49" t="s">
        <v>305</v>
      </c>
      <c r="D209" s="50" t="str">
        <f t="shared" si="15"/>
        <v>Ines Farhat</v>
      </c>
      <c r="E209" s="50" t="str">
        <f t="shared" si="16"/>
        <v>févr</v>
      </c>
      <c r="F209" s="50">
        <f t="shared" si="17"/>
        <v>24</v>
      </c>
      <c r="G209" s="50">
        <f t="shared" si="18"/>
        <v>2026</v>
      </c>
      <c r="H209" s="51">
        <f>IF($C209="","",IFERROR(DATE(G209,VLOOKUP(E209,Paramètres!$K$11:$L$40,2,FALSE()),F209),"?"))</f>
        <v>46077</v>
      </c>
      <c r="I209" s="50">
        <f>IF(ISNUMBER(H209),IF(COUNTIFS($D$2:D209,D209,$H$2:H209,H209)=1,1,0),"")</f>
        <v>1</v>
      </c>
      <c r="J209" s="50">
        <f>IF(ISNUMBER(H209),IFERROR(INDEX(Calendrier!$C$2:$C$367,MATCH(H209,Calendrier!$A$2:$A$367,0)),0),"")</f>
        <v>1</v>
      </c>
      <c r="K209" s="50">
        <f t="shared" si="19"/>
        <v>1</v>
      </c>
      <c r="L209" s="50">
        <f>IF(D209="","",IF(COUNTIF(Paramètres!$A$11:$A$40,D209)&gt;0,1,0))</f>
        <v>1</v>
      </c>
    </row>
    <row r="210" spans="1:12" hidden="1" x14ac:dyDescent="0.25">
      <c r="A210" s="49"/>
      <c r="B210" s="49" t="s">
        <v>67</v>
      </c>
      <c r="C210" s="49" t="s">
        <v>306</v>
      </c>
      <c r="D210" s="50" t="str">
        <f t="shared" si="15"/>
        <v>Marwa Solaani</v>
      </c>
      <c r="E210" s="50" t="str">
        <f t="shared" si="16"/>
        <v>févr</v>
      </c>
      <c r="F210" s="50">
        <f t="shared" si="17"/>
        <v>4</v>
      </c>
      <c r="G210" s="50">
        <f t="shared" si="18"/>
        <v>2026</v>
      </c>
      <c r="H210" s="51">
        <f>IF($C210="","",IFERROR(DATE(G210,VLOOKUP(E210,Paramètres!$K$11:$L$40,2,FALSE()),F210),"?"))</f>
        <v>46057</v>
      </c>
      <c r="I210" s="50">
        <f>IF(ISNUMBER(H210),IF(COUNTIFS($D$2:D210,D210,$H$2:H210,H210)=1,1,0),"")</f>
        <v>1</v>
      </c>
      <c r="J210" s="50">
        <f>IF(ISNUMBER(H210),IFERROR(INDEX(Calendrier!$C$2:$C$367,MATCH(H210,Calendrier!$A$2:$A$367,0)),0),"")</f>
        <v>1</v>
      </c>
      <c r="K210" s="50">
        <f t="shared" si="19"/>
        <v>1</v>
      </c>
      <c r="L210" s="50">
        <f>IF(D210="","",IF(COUNTIF(Paramètres!$A$11:$A$40,D210)&gt;0,1,0))</f>
        <v>1</v>
      </c>
    </row>
    <row r="211" spans="1:12" hidden="1" x14ac:dyDescent="0.25">
      <c r="A211" s="49"/>
      <c r="B211" s="49" t="s">
        <v>67</v>
      </c>
      <c r="C211" s="49" t="s">
        <v>307</v>
      </c>
      <c r="D211" s="50" t="str">
        <f t="shared" si="15"/>
        <v>Marwa Solaani</v>
      </c>
      <c r="E211" s="50" t="str">
        <f t="shared" si="16"/>
        <v>févr</v>
      </c>
      <c r="F211" s="50">
        <f t="shared" si="17"/>
        <v>13</v>
      </c>
      <c r="G211" s="50">
        <f t="shared" si="18"/>
        <v>2026</v>
      </c>
      <c r="H211" s="51">
        <f>IF($C211="","",IFERROR(DATE(G211,VLOOKUP(E211,Paramètres!$K$11:$L$40,2,FALSE()),F211),"?"))</f>
        <v>46066</v>
      </c>
      <c r="I211" s="50">
        <f>IF(ISNUMBER(H211),IF(COUNTIFS($D$2:D211,D211,$H$2:H211,H211)=1,1,0),"")</f>
        <v>1</v>
      </c>
      <c r="J211" s="50">
        <f>IF(ISNUMBER(H211),IFERROR(INDEX(Calendrier!$C$2:$C$367,MATCH(H211,Calendrier!$A$2:$A$367,0)),0),"")</f>
        <v>1</v>
      </c>
      <c r="K211" s="50">
        <f t="shared" si="19"/>
        <v>1</v>
      </c>
      <c r="L211" s="50">
        <f>IF(D211="","",IF(COUNTIF(Paramètres!$A$11:$A$40,D211)&gt;0,1,0))</f>
        <v>1</v>
      </c>
    </row>
    <row r="212" spans="1:12" hidden="1" x14ac:dyDescent="0.25">
      <c r="A212" s="49"/>
      <c r="B212" s="49" t="s">
        <v>67</v>
      </c>
      <c r="C212" s="49" t="s">
        <v>308</v>
      </c>
      <c r="D212" s="50" t="str">
        <f t="shared" si="15"/>
        <v>Marwa Solaani</v>
      </c>
      <c r="E212" s="50" t="str">
        <f t="shared" si="16"/>
        <v>févr</v>
      </c>
      <c r="F212" s="50">
        <f t="shared" si="17"/>
        <v>18</v>
      </c>
      <c r="G212" s="50">
        <f t="shared" si="18"/>
        <v>2026</v>
      </c>
      <c r="H212" s="51">
        <f>IF($C212="","",IFERROR(DATE(G212,VLOOKUP(E212,Paramètres!$K$11:$L$40,2,FALSE()),F212),"?"))</f>
        <v>46071</v>
      </c>
      <c r="I212" s="50">
        <f>IF(ISNUMBER(H212),IF(COUNTIFS($D$2:D212,D212,$H$2:H212,H212)=1,1,0),"")</f>
        <v>1</v>
      </c>
      <c r="J212" s="50">
        <f>IF(ISNUMBER(H212),IFERROR(INDEX(Calendrier!$C$2:$C$367,MATCH(H212,Calendrier!$A$2:$A$367,0)),0),"")</f>
        <v>1</v>
      </c>
      <c r="K212" s="50">
        <f t="shared" si="19"/>
        <v>1</v>
      </c>
      <c r="L212" s="50">
        <f>IF(D212="","",IF(COUNTIF(Paramètres!$A$11:$A$40,D212)&gt;0,1,0))</f>
        <v>1</v>
      </c>
    </row>
    <row r="213" spans="1:12" hidden="1" x14ac:dyDescent="0.25">
      <c r="A213" s="49"/>
      <c r="B213" s="49" t="s">
        <v>67</v>
      </c>
      <c r="C213" s="49" t="s">
        <v>309</v>
      </c>
      <c r="D213" s="50" t="str">
        <f t="shared" si="15"/>
        <v>Marwa Solaani</v>
      </c>
      <c r="E213" s="50" t="str">
        <f t="shared" si="16"/>
        <v>févr</v>
      </c>
      <c r="F213" s="50">
        <f t="shared" si="17"/>
        <v>23</v>
      </c>
      <c r="G213" s="50">
        <f t="shared" si="18"/>
        <v>2026</v>
      </c>
      <c r="H213" s="51">
        <f>IF($C213="","",IFERROR(DATE(G213,VLOOKUP(E213,Paramètres!$K$11:$L$40,2,FALSE()),F213),"?"))</f>
        <v>46076</v>
      </c>
      <c r="I213" s="50">
        <f>IF(ISNUMBER(H213),IF(COUNTIFS($D$2:D213,D213,$H$2:H213,H213)=1,1,0),"")</f>
        <v>1</v>
      </c>
      <c r="J213" s="50">
        <f>IF(ISNUMBER(H213),IFERROR(INDEX(Calendrier!$C$2:$C$367,MATCH(H213,Calendrier!$A$2:$A$367,0)),0),"")</f>
        <v>1</v>
      </c>
      <c r="K213" s="50">
        <f t="shared" si="19"/>
        <v>1</v>
      </c>
      <c r="L213" s="50">
        <f>IF(D213="","",IF(COUNTIF(Paramètres!$A$11:$A$40,D213)&gt;0,1,0))</f>
        <v>1</v>
      </c>
    </row>
    <row r="214" spans="1:12" hidden="1" x14ac:dyDescent="0.25">
      <c r="A214" s="49"/>
      <c r="B214" s="49" t="s">
        <v>69</v>
      </c>
      <c r="C214" s="49" t="s">
        <v>310</v>
      </c>
      <c r="D214" s="50" t="str">
        <f t="shared" si="15"/>
        <v>Mina Moussa</v>
      </c>
      <c r="E214" s="50" t="str">
        <f t="shared" si="16"/>
        <v>févr</v>
      </c>
      <c r="F214" s="50">
        <f t="shared" si="17"/>
        <v>2</v>
      </c>
      <c r="G214" s="50">
        <f t="shared" si="18"/>
        <v>2026</v>
      </c>
      <c r="H214" s="51">
        <f>IF($C214="","",IFERROR(DATE(G214,VLOOKUP(E214,Paramètres!$K$11:$L$40,2,FALSE()),F214),"?"))</f>
        <v>46055</v>
      </c>
      <c r="I214" s="50">
        <f>IF(ISNUMBER(H214),IF(COUNTIFS($D$2:D214,D214,$H$2:H214,H214)=1,1,0),"")</f>
        <v>1</v>
      </c>
      <c r="J214" s="50">
        <f>IF(ISNUMBER(H214),IFERROR(INDEX(Calendrier!$C$2:$C$367,MATCH(H214,Calendrier!$A$2:$A$367,0)),0),"")</f>
        <v>1</v>
      </c>
      <c r="K214" s="50">
        <f t="shared" si="19"/>
        <v>1</v>
      </c>
      <c r="L214" s="50">
        <f>IF(D214="","",IF(COUNTIF(Paramètres!$A$11:$A$40,D214)&gt;0,1,0))</f>
        <v>1</v>
      </c>
    </row>
    <row r="215" spans="1:12" hidden="1" x14ac:dyDescent="0.25">
      <c r="A215" s="49"/>
      <c r="B215" s="49" t="s">
        <v>69</v>
      </c>
      <c r="C215" s="49" t="s">
        <v>311</v>
      </c>
      <c r="D215" s="50" t="str">
        <f t="shared" si="15"/>
        <v>Mina Moussa</v>
      </c>
      <c r="E215" s="50" t="str">
        <f t="shared" si="16"/>
        <v>févr</v>
      </c>
      <c r="F215" s="50">
        <f t="shared" si="17"/>
        <v>3</v>
      </c>
      <c r="G215" s="50">
        <f t="shared" si="18"/>
        <v>2026</v>
      </c>
      <c r="H215" s="51">
        <f>IF($C215="","",IFERROR(DATE(G215,VLOOKUP(E215,Paramètres!$K$11:$L$40,2,FALSE()),F215),"?"))</f>
        <v>46056</v>
      </c>
      <c r="I215" s="50">
        <f>IF(ISNUMBER(H215),IF(COUNTIFS($D$2:D215,D215,$H$2:H215,H215)=1,1,0),"")</f>
        <v>1</v>
      </c>
      <c r="J215" s="50">
        <f>IF(ISNUMBER(H215),IFERROR(INDEX(Calendrier!$C$2:$C$367,MATCH(H215,Calendrier!$A$2:$A$367,0)),0),"")</f>
        <v>1</v>
      </c>
      <c r="K215" s="50">
        <f t="shared" si="19"/>
        <v>1</v>
      </c>
      <c r="L215" s="50">
        <f>IF(D215="","",IF(COUNTIF(Paramètres!$A$11:$A$40,D215)&gt;0,1,0))</f>
        <v>1</v>
      </c>
    </row>
    <row r="216" spans="1:12" hidden="1" x14ac:dyDescent="0.25">
      <c r="A216" s="49"/>
      <c r="B216" s="49" t="s">
        <v>69</v>
      </c>
      <c r="C216" s="49" t="s">
        <v>312</v>
      </c>
      <c r="D216" s="50" t="str">
        <f t="shared" si="15"/>
        <v>Mina Moussa</v>
      </c>
      <c r="E216" s="50" t="str">
        <f t="shared" si="16"/>
        <v>févr</v>
      </c>
      <c r="F216" s="50">
        <f t="shared" si="17"/>
        <v>3</v>
      </c>
      <c r="G216" s="50">
        <f t="shared" si="18"/>
        <v>2026</v>
      </c>
      <c r="H216" s="51">
        <f>IF($C216="","",IFERROR(DATE(G216,VLOOKUP(E216,Paramètres!$K$11:$L$40,2,FALSE()),F216),"?"))</f>
        <v>46056</v>
      </c>
      <c r="I216" s="50">
        <f>IF(ISNUMBER(H216),IF(COUNTIFS($D$2:D216,D216,$H$2:H216,H216)=1,1,0),"")</f>
        <v>0</v>
      </c>
      <c r="J216" s="50">
        <f>IF(ISNUMBER(H216),IFERROR(INDEX(Calendrier!$C$2:$C$367,MATCH(H216,Calendrier!$A$2:$A$367,0)),0),"")</f>
        <v>1</v>
      </c>
      <c r="K216" s="50">
        <f t="shared" si="19"/>
        <v>0</v>
      </c>
      <c r="L216" s="50">
        <f>IF(D216="","",IF(COUNTIF(Paramètres!$A$11:$A$40,D216)&gt;0,1,0))</f>
        <v>1</v>
      </c>
    </row>
    <row r="217" spans="1:12" hidden="1" x14ac:dyDescent="0.25">
      <c r="A217" s="49"/>
      <c r="B217" s="49" t="s">
        <v>69</v>
      </c>
      <c r="C217" s="49" t="s">
        <v>313</v>
      </c>
      <c r="D217" s="50" t="str">
        <f t="shared" si="15"/>
        <v>Mina Moussa</v>
      </c>
      <c r="E217" s="50" t="str">
        <f t="shared" si="16"/>
        <v>févr</v>
      </c>
      <c r="F217" s="50">
        <f t="shared" si="17"/>
        <v>3</v>
      </c>
      <c r="G217" s="50">
        <f t="shared" si="18"/>
        <v>2026</v>
      </c>
      <c r="H217" s="51">
        <f>IF($C217="","",IFERROR(DATE(G217,VLOOKUP(E217,Paramètres!$K$11:$L$40,2,FALSE()),F217),"?"))</f>
        <v>46056</v>
      </c>
      <c r="I217" s="50">
        <f>IF(ISNUMBER(H217),IF(COUNTIFS($D$2:D217,D217,$H$2:H217,H217)=1,1,0),"")</f>
        <v>0</v>
      </c>
      <c r="J217" s="50">
        <f>IF(ISNUMBER(H217),IFERROR(INDEX(Calendrier!$C$2:$C$367,MATCH(H217,Calendrier!$A$2:$A$367,0)),0),"")</f>
        <v>1</v>
      </c>
      <c r="K217" s="50">
        <f t="shared" si="19"/>
        <v>0</v>
      </c>
      <c r="L217" s="50">
        <f>IF(D217="","",IF(COUNTIF(Paramètres!$A$11:$A$40,D217)&gt;0,1,0))</f>
        <v>1</v>
      </c>
    </row>
    <row r="218" spans="1:12" hidden="1" x14ac:dyDescent="0.25">
      <c r="A218" s="49"/>
      <c r="B218" s="49" t="s">
        <v>69</v>
      </c>
      <c r="C218" s="49" t="s">
        <v>314</v>
      </c>
      <c r="D218" s="50" t="str">
        <f t="shared" si="15"/>
        <v>Mina Moussa</v>
      </c>
      <c r="E218" s="50" t="str">
        <f t="shared" si="16"/>
        <v>févr</v>
      </c>
      <c r="F218" s="50">
        <f t="shared" si="17"/>
        <v>4</v>
      </c>
      <c r="G218" s="50">
        <f t="shared" si="18"/>
        <v>2026</v>
      </c>
      <c r="H218" s="51">
        <f>IF($C218="","",IFERROR(DATE(G218,VLOOKUP(E218,Paramètres!$K$11:$L$40,2,FALSE()),F218),"?"))</f>
        <v>46057</v>
      </c>
      <c r="I218" s="50">
        <f>IF(ISNUMBER(H218),IF(COUNTIFS($D$2:D218,D218,$H$2:H218,H218)=1,1,0),"")</f>
        <v>1</v>
      </c>
      <c r="J218" s="50">
        <f>IF(ISNUMBER(H218),IFERROR(INDEX(Calendrier!$C$2:$C$367,MATCH(H218,Calendrier!$A$2:$A$367,0)),0),"")</f>
        <v>1</v>
      </c>
      <c r="K218" s="50">
        <f t="shared" si="19"/>
        <v>1</v>
      </c>
      <c r="L218" s="50">
        <f>IF(D218="","",IF(COUNTIF(Paramètres!$A$11:$A$40,D218)&gt;0,1,0))</f>
        <v>1</v>
      </c>
    </row>
    <row r="219" spans="1:12" hidden="1" x14ac:dyDescent="0.25">
      <c r="A219" s="49"/>
      <c r="B219" s="49" t="s">
        <v>69</v>
      </c>
      <c r="C219" s="49" t="s">
        <v>315</v>
      </c>
      <c r="D219" s="50" t="str">
        <f t="shared" si="15"/>
        <v>Mina Moussa</v>
      </c>
      <c r="E219" s="50" t="str">
        <f t="shared" si="16"/>
        <v>févr</v>
      </c>
      <c r="F219" s="50">
        <f t="shared" si="17"/>
        <v>5</v>
      </c>
      <c r="G219" s="50">
        <f t="shared" si="18"/>
        <v>2026</v>
      </c>
      <c r="H219" s="51">
        <f>IF($C219="","",IFERROR(DATE(G219,VLOOKUP(E219,Paramètres!$K$11:$L$40,2,FALSE()),F219),"?"))</f>
        <v>46058</v>
      </c>
      <c r="I219" s="50">
        <f>IF(ISNUMBER(H219),IF(COUNTIFS($D$2:D219,D219,$H$2:H219,H219)=1,1,0),"")</f>
        <v>1</v>
      </c>
      <c r="J219" s="50">
        <f>IF(ISNUMBER(H219),IFERROR(INDEX(Calendrier!$C$2:$C$367,MATCH(H219,Calendrier!$A$2:$A$367,0)),0),"")</f>
        <v>1</v>
      </c>
      <c r="K219" s="50">
        <f t="shared" si="19"/>
        <v>1</v>
      </c>
      <c r="L219" s="50">
        <f>IF(D219="","",IF(COUNTIF(Paramètres!$A$11:$A$40,D219)&gt;0,1,0))</f>
        <v>1</v>
      </c>
    </row>
    <row r="220" spans="1:12" hidden="1" x14ac:dyDescent="0.25">
      <c r="A220" s="49"/>
      <c r="B220" s="49" t="s">
        <v>69</v>
      </c>
      <c r="C220" s="49" t="s">
        <v>316</v>
      </c>
      <c r="D220" s="50" t="str">
        <f t="shared" si="15"/>
        <v>Mina Moussa</v>
      </c>
      <c r="E220" s="50" t="str">
        <f t="shared" si="16"/>
        <v>févr</v>
      </c>
      <c r="F220" s="50">
        <f t="shared" si="17"/>
        <v>6</v>
      </c>
      <c r="G220" s="50">
        <f t="shared" si="18"/>
        <v>2026</v>
      </c>
      <c r="H220" s="51">
        <f>IF($C220="","",IFERROR(DATE(G220,VLOOKUP(E220,Paramètres!$K$11:$L$40,2,FALSE()),F220),"?"))</f>
        <v>46059</v>
      </c>
      <c r="I220" s="50">
        <f>IF(ISNUMBER(H220),IF(COUNTIFS($D$2:D220,D220,$H$2:H220,H220)=1,1,0),"")</f>
        <v>1</v>
      </c>
      <c r="J220" s="50">
        <f>IF(ISNUMBER(H220),IFERROR(INDEX(Calendrier!$C$2:$C$367,MATCH(H220,Calendrier!$A$2:$A$367,0)),0),"")</f>
        <v>1</v>
      </c>
      <c r="K220" s="50">
        <f t="shared" si="19"/>
        <v>1</v>
      </c>
      <c r="L220" s="50">
        <f>IF(D220="","",IF(COUNTIF(Paramètres!$A$11:$A$40,D220)&gt;0,1,0))</f>
        <v>1</v>
      </c>
    </row>
    <row r="221" spans="1:12" hidden="1" x14ac:dyDescent="0.25">
      <c r="A221" s="49"/>
      <c r="B221" s="49" t="s">
        <v>69</v>
      </c>
      <c r="C221" s="49" t="s">
        <v>317</v>
      </c>
      <c r="D221" s="50" t="str">
        <f t="shared" si="15"/>
        <v>Mina Moussa</v>
      </c>
      <c r="E221" s="50" t="str">
        <f t="shared" si="16"/>
        <v>févr</v>
      </c>
      <c r="F221" s="50">
        <f t="shared" si="17"/>
        <v>6</v>
      </c>
      <c r="G221" s="50">
        <f t="shared" si="18"/>
        <v>2026</v>
      </c>
      <c r="H221" s="51">
        <f>IF($C221="","",IFERROR(DATE(G221,VLOOKUP(E221,Paramètres!$K$11:$L$40,2,FALSE()),F221),"?"))</f>
        <v>46059</v>
      </c>
      <c r="I221" s="50">
        <f>IF(ISNUMBER(H221),IF(COUNTIFS($D$2:D221,D221,$H$2:H221,H221)=1,1,0),"")</f>
        <v>0</v>
      </c>
      <c r="J221" s="50">
        <f>IF(ISNUMBER(H221),IFERROR(INDEX(Calendrier!$C$2:$C$367,MATCH(H221,Calendrier!$A$2:$A$367,0)),0),"")</f>
        <v>1</v>
      </c>
      <c r="K221" s="50">
        <f t="shared" si="19"/>
        <v>0</v>
      </c>
      <c r="L221" s="50">
        <f>IF(D221="","",IF(COUNTIF(Paramètres!$A$11:$A$40,D221)&gt;0,1,0))</f>
        <v>1</v>
      </c>
    </row>
    <row r="222" spans="1:12" hidden="1" x14ac:dyDescent="0.25">
      <c r="A222" s="49"/>
      <c r="B222" s="49" t="s">
        <v>69</v>
      </c>
      <c r="C222" s="49" t="s">
        <v>318</v>
      </c>
      <c r="D222" s="50" t="str">
        <f t="shared" si="15"/>
        <v>Mina Moussa</v>
      </c>
      <c r="E222" s="50" t="str">
        <f t="shared" si="16"/>
        <v>févr</v>
      </c>
      <c r="F222" s="50">
        <f t="shared" si="17"/>
        <v>8</v>
      </c>
      <c r="G222" s="50">
        <f t="shared" si="18"/>
        <v>2026</v>
      </c>
      <c r="H222" s="51">
        <f>IF($C222="","",IFERROR(DATE(G222,VLOOKUP(E222,Paramètres!$K$11:$L$40,2,FALSE()),F222),"?"))</f>
        <v>46061</v>
      </c>
      <c r="I222" s="50">
        <f>IF(ISNUMBER(H222),IF(COUNTIFS($D$2:D222,D222,$H$2:H222,H222)=1,1,0),"")</f>
        <v>1</v>
      </c>
      <c r="J222" s="50">
        <f>IF(ISNUMBER(H222),IFERROR(INDEX(Calendrier!$C$2:$C$367,MATCH(H222,Calendrier!$A$2:$A$367,0)),0),"")</f>
        <v>0</v>
      </c>
      <c r="K222" s="50">
        <f t="shared" si="19"/>
        <v>0</v>
      </c>
      <c r="L222" s="50">
        <f>IF(D222="","",IF(COUNTIF(Paramètres!$A$11:$A$40,D222)&gt;0,1,0))</f>
        <v>1</v>
      </c>
    </row>
    <row r="223" spans="1:12" hidden="1" x14ac:dyDescent="0.25">
      <c r="A223" s="49"/>
      <c r="B223" s="49" t="s">
        <v>69</v>
      </c>
      <c r="C223" s="49" t="s">
        <v>319</v>
      </c>
      <c r="D223" s="50" t="str">
        <f t="shared" si="15"/>
        <v>Mina Moussa</v>
      </c>
      <c r="E223" s="50" t="str">
        <f t="shared" si="16"/>
        <v>févr</v>
      </c>
      <c r="F223" s="50">
        <f t="shared" si="17"/>
        <v>9</v>
      </c>
      <c r="G223" s="50">
        <f t="shared" si="18"/>
        <v>2026</v>
      </c>
      <c r="H223" s="51">
        <f>IF($C223="","",IFERROR(DATE(G223,VLOOKUP(E223,Paramètres!$K$11:$L$40,2,FALSE()),F223),"?"))</f>
        <v>46062</v>
      </c>
      <c r="I223" s="50">
        <f>IF(ISNUMBER(H223),IF(COUNTIFS($D$2:D223,D223,$H$2:H223,H223)=1,1,0),"")</f>
        <v>1</v>
      </c>
      <c r="J223" s="50">
        <f>IF(ISNUMBER(H223),IFERROR(INDEX(Calendrier!$C$2:$C$367,MATCH(H223,Calendrier!$A$2:$A$367,0)),0),"")</f>
        <v>1</v>
      </c>
      <c r="K223" s="50">
        <f t="shared" si="19"/>
        <v>1</v>
      </c>
      <c r="L223" s="50">
        <f>IF(D223="","",IF(COUNTIF(Paramètres!$A$11:$A$40,D223)&gt;0,1,0))</f>
        <v>1</v>
      </c>
    </row>
    <row r="224" spans="1:12" hidden="1" x14ac:dyDescent="0.25">
      <c r="A224" s="49"/>
      <c r="B224" s="49" t="s">
        <v>69</v>
      </c>
      <c r="C224" s="49" t="s">
        <v>320</v>
      </c>
      <c r="D224" s="50" t="str">
        <f t="shared" si="15"/>
        <v>Mina Moussa</v>
      </c>
      <c r="E224" s="50" t="str">
        <f t="shared" si="16"/>
        <v>févr</v>
      </c>
      <c r="F224" s="50">
        <f t="shared" si="17"/>
        <v>9</v>
      </c>
      <c r="G224" s="50">
        <f t="shared" si="18"/>
        <v>2026</v>
      </c>
      <c r="H224" s="51">
        <f>IF($C224="","",IFERROR(DATE(G224,VLOOKUP(E224,Paramètres!$K$11:$L$40,2,FALSE()),F224),"?"))</f>
        <v>46062</v>
      </c>
      <c r="I224" s="50">
        <f>IF(ISNUMBER(H224),IF(COUNTIFS($D$2:D224,D224,$H$2:H224,H224)=1,1,0),"")</f>
        <v>0</v>
      </c>
      <c r="J224" s="50">
        <f>IF(ISNUMBER(H224),IFERROR(INDEX(Calendrier!$C$2:$C$367,MATCH(H224,Calendrier!$A$2:$A$367,0)),0),"")</f>
        <v>1</v>
      </c>
      <c r="K224" s="50">
        <f t="shared" si="19"/>
        <v>0</v>
      </c>
      <c r="L224" s="50">
        <f>IF(D224="","",IF(COUNTIF(Paramètres!$A$11:$A$40,D224)&gt;0,1,0))</f>
        <v>1</v>
      </c>
    </row>
    <row r="225" spans="1:12" hidden="1" x14ac:dyDescent="0.25">
      <c r="A225" s="49"/>
      <c r="B225" s="49" t="s">
        <v>69</v>
      </c>
      <c r="C225" s="49" t="s">
        <v>321</v>
      </c>
      <c r="D225" s="50" t="str">
        <f t="shared" si="15"/>
        <v>Mina Moussa</v>
      </c>
      <c r="E225" s="50" t="str">
        <f t="shared" si="16"/>
        <v>févr</v>
      </c>
      <c r="F225" s="50">
        <f t="shared" si="17"/>
        <v>11</v>
      </c>
      <c r="G225" s="50">
        <f t="shared" si="18"/>
        <v>2026</v>
      </c>
      <c r="H225" s="51">
        <f>IF($C225="","",IFERROR(DATE(G225,VLOOKUP(E225,Paramètres!$K$11:$L$40,2,FALSE()),F225),"?"))</f>
        <v>46064</v>
      </c>
      <c r="I225" s="50">
        <f>IF(ISNUMBER(H225),IF(COUNTIFS($D$2:D225,D225,$H$2:H225,H225)=1,1,0),"")</f>
        <v>1</v>
      </c>
      <c r="J225" s="50">
        <f>IF(ISNUMBER(H225),IFERROR(INDEX(Calendrier!$C$2:$C$367,MATCH(H225,Calendrier!$A$2:$A$367,0)),0),"")</f>
        <v>1</v>
      </c>
      <c r="K225" s="50">
        <f t="shared" si="19"/>
        <v>1</v>
      </c>
      <c r="L225" s="50">
        <f>IF(D225="","",IF(COUNTIF(Paramètres!$A$11:$A$40,D225)&gt;0,1,0))</f>
        <v>1</v>
      </c>
    </row>
    <row r="226" spans="1:12" hidden="1" x14ac:dyDescent="0.25">
      <c r="A226" s="49"/>
      <c r="B226" s="49" t="s">
        <v>69</v>
      </c>
      <c r="C226" s="49" t="s">
        <v>322</v>
      </c>
      <c r="D226" s="50" t="str">
        <f t="shared" si="15"/>
        <v>Mina Moussa</v>
      </c>
      <c r="E226" s="50" t="str">
        <f t="shared" si="16"/>
        <v>févr</v>
      </c>
      <c r="F226" s="50">
        <f t="shared" si="17"/>
        <v>11</v>
      </c>
      <c r="G226" s="50">
        <f t="shared" si="18"/>
        <v>2026</v>
      </c>
      <c r="H226" s="51">
        <f>IF($C226="","",IFERROR(DATE(G226,VLOOKUP(E226,Paramètres!$K$11:$L$40,2,FALSE()),F226),"?"))</f>
        <v>46064</v>
      </c>
      <c r="I226" s="50">
        <f>IF(ISNUMBER(H226),IF(COUNTIFS($D$2:D226,D226,$H$2:H226,H226)=1,1,0),"")</f>
        <v>0</v>
      </c>
      <c r="J226" s="50">
        <f>IF(ISNUMBER(H226),IFERROR(INDEX(Calendrier!$C$2:$C$367,MATCH(H226,Calendrier!$A$2:$A$367,0)),0),"")</f>
        <v>1</v>
      </c>
      <c r="K226" s="50">
        <f t="shared" si="19"/>
        <v>0</v>
      </c>
      <c r="L226" s="50">
        <f>IF(D226="","",IF(COUNTIF(Paramètres!$A$11:$A$40,D226)&gt;0,1,0))</f>
        <v>1</v>
      </c>
    </row>
    <row r="227" spans="1:12" hidden="1" x14ac:dyDescent="0.25">
      <c r="A227" s="49"/>
      <c r="B227" s="49" t="s">
        <v>69</v>
      </c>
      <c r="C227" s="49" t="s">
        <v>323</v>
      </c>
      <c r="D227" s="50" t="str">
        <f t="shared" si="15"/>
        <v>Mina Moussa</v>
      </c>
      <c r="E227" s="50" t="str">
        <f t="shared" si="16"/>
        <v>févr</v>
      </c>
      <c r="F227" s="50">
        <f t="shared" si="17"/>
        <v>12</v>
      </c>
      <c r="G227" s="50">
        <f t="shared" si="18"/>
        <v>2026</v>
      </c>
      <c r="H227" s="51">
        <f>IF($C227="","",IFERROR(DATE(G227,VLOOKUP(E227,Paramètres!$K$11:$L$40,2,FALSE()),F227),"?"))</f>
        <v>46065</v>
      </c>
      <c r="I227" s="50">
        <f>IF(ISNUMBER(H227),IF(COUNTIFS($D$2:D227,D227,$H$2:H227,H227)=1,1,0),"")</f>
        <v>1</v>
      </c>
      <c r="J227" s="50">
        <f>IF(ISNUMBER(H227),IFERROR(INDEX(Calendrier!$C$2:$C$367,MATCH(H227,Calendrier!$A$2:$A$367,0)),0),"")</f>
        <v>1</v>
      </c>
      <c r="K227" s="50">
        <f t="shared" si="19"/>
        <v>1</v>
      </c>
      <c r="L227" s="50">
        <f>IF(D227="","",IF(COUNTIF(Paramètres!$A$11:$A$40,D227)&gt;0,1,0))</f>
        <v>1</v>
      </c>
    </row>
    <row r="228" spans="1:12" hidden="1" x14ac:dyDescent="0.25">
      <c r="A228" s="49"/>
      <c r="B228" s="49" t="s">
        <v>69</v>
      </c>
      <c r="C228" s="49" t="s">
        <v>324</v>
      </c>
      <c r="D228" s="50" t="str">
        <f t="shared" si="15"/>
        <v>Mina Moussa</v>
      </c>
      <c r="E228" s="50" t="str">
        <f t="shared" si="16"/>
        <v>févr</v>
      </c>
      <c r="F228" s="50">
        <f t="shared" si="17"/>
        <v>12</v>
      </c>
      <c r="G228" s="50">
        <f t="shared" si="18"/>
        <v>2026</v>
      </c>
      <c r="H228" s="51">
        <f>IF($C228="","",IFERROR(DATE(G228,VLOOKUP(E228,Paramètres!$K$11:$L$40,2,FALSE()),F228),"?"))</f>
        <v>46065</v>
      </c>
      <c r="I228" s="50">
        <f>IF(ISNUMBER(H228),IF(COUNTIFS($D$2:D228,D228,$H$2:H228,H228)=1,1,0),"")</f>
        <v>0</v>
      </c>
      <c r="J228" s="50">
        <f>IF(ISNUMBER(H228),IFERROR(INDEX(Calendrier!$C$2:$C$367,MATCH(H228,Calendrier!$A$2:$A$367,0)),0),"")</f>
        <v>1</v>
      </c>
      <c r="K228" s="50">
        <f t="shared" si="19"/>
        <v>0</v>
      </c>
      <c r="L228" s="50">
        <f>IF(D228="","",IF(COUNTIF(Paramètres!$A$11:$A$40,D228)&gt;0,1,0))</f>
        <v>1</v>
      </c>
    </row>
    <row r="229" spans="1:12" hidden="1" x14ac:dyDescent="0.25">
      <c r="A229" s="49"/>
      <c r="B229" s="49" t="s">
        <v>69</v>
      </c>
      <c r="C229" s="49" t="s">
        <v>325</v>
      </c>
      <c r="D229" s="50" t="str">
        <f t="shared" si="15"/>
        <v>Mina Moussa</v>
      </c>
      <c r="E229" s="50" t="str">
        <f t="shared" si="16"/>
        <v>févr</v>
      </c>
      <c r="F229" s="50">
        <f t="shared" si="17"/>
        <v>12</v>
      </c>
      <c r="G229" s="50">
        <f t="shared" si="18"/>
        <v>2026</v>
      </c>
      <c r="H229" s="51">
        <f>IF($C229="","",IFERROR(DATE(G229,VLOOKUP(E229,Paramètres!$K$11:$L$40,2,FALSE()),F229),"?"))</f>
        <v>46065</v>
      </c>
      <c r="I229" s="50">
        <f>IF(ISNUMBER(H229),IF(COUNTIFS($D$2:D229,D229,$H$2:H229,H229)=1,1,0),"")</f>
        <v>0</v>
      </c>
      <c r="J229" s="50">
        <f>IF(ISNUMBER(H229),IFERROR(INDEX(Calendrier!$C$2:$C$367,MATCH(H229,Calendrier!$A$2:$A$367,0)),0),"")</f>
        <v>1</v>
      </c>
      <c r="K229" s="50">
        <f t="shared" si="19"/>
        <v>0</v>
      </c>
      <c r="L229" s="50">
        <f>IF(D229="","",IF(COUNTIF(Paramètres!$A$11:$A$40,D229)&gt;0,1,0))</f>
        <v>1</v>
      </c>
    </row>
    <row r="230" spans="1:12" hidden="1" x14ac:dyDescent="0.25">
      <c r="A230" s="49"/>
      <c r="B230" s="49" t="s">
        <v>69</v>
      </c>
      <c r="C230" s="49" t="s">
        <v>326</v>
      </c>
      <c r="D230" s="50" t="str">
        <f t="shared" si="15"/>
        <v>Mina Moussa</v>
      </c>
      <c r="E230" s="50" t="str">
        <f t="shared" si="16"/>
        <v>févr</v>
      </c>
      <c r="F230" s="50">
        <f t="shared" si="17"/>
        <v>12</v>
      </c>
      <c r="G230" s="50">
        <f t="shared" si="18"/>
        <v>2026</v>
      </c>
      <c r="H230" s="51">
        <f>IF($C230="","",IFERROR(DATE(G230,VLOOKUP(E230,Paramètres!$K$11:$L$40,2,FALSE()),F230),"?"))</f>
        <v>46065</v>
      </c>
      <c r="I230" s="50">
        <f>IF(ISNUMBER(H230),IF(COUNTIFS($D$2:D230,D230,$H$2:H230,H230)=1,1,0),"")</f>
        <v>0</v>
      </c>
      <c r="J230" s="50">
        <f>IF(ISNUMBER(H230),IFERROR(INDEX(Calendrier!$C$2:$C$367,MATCH(H230,Calendrier!$A$2:$A$367,0)),0),"")</f>
        <v>1</v>
      </c>
      <c r="K230" s="50">
        <f t="shared" si="19"/>
        <v>0</v>
      </c>
      <c r="L230" s="50">
        <f>IF(D230="","",IF(COUNTIF(Paramètres!$A$11:$A$40,D230)&gt;0,1,0))</f>
        <v>1</v>
      </c>
    </row>
    <row r="231" spans="1:12" hidden="1" x14ac:dyDescent="0.25">
      <c r="A231" s="49"/>
      <c r="B231" s="49" t="s">
        <v>69</v>
      </c>
      <c r="C231" s="49" t="s">
        <v>327</v>
      </c>
      <c r="D231" s="50" t="str">
        <f t="shared" si="15"/>
        <v>Mina Moussa</v>
      </c>
      <c r="E231" s="50" t="str">
        <f t="shared" si="16"/>
        <v>févr</v>
      </c>
      <c r="F231" s="50">
        <f t="shared" si="17"/>
        <v>13</v>
      </c>
      <c r="G231" s="50">
        <f t="shared" si="18"/>
        <v>2026</v>
      </c>
      <c r="H231" s="51">
        <f>IF($C231="","",IFERROR(DATE(G231,VLOOKUP(E231,Paramètres!$K$11:$L$40,2,FALSE()),F231),"?"))</f>
        <v>46066</v>
      </c>
      <c r="I231" s="50">
        <f>IF(ISNUMBER(H231),IF(COUNTIFS($D$2:D231,D231,$H$2:H231,H231)=1,1,0),"")</f>
        <v>1</v>
      </c>
      <c r="J231" s="50">
        <f>IF(ISNUMBER(H231),IFERROR(INDEX(Calendrier!$C$2:$C$367,MATCH(H231,Calendrier!$A$2:$A$367,0)),0),"")</f>
        <v>1</v>
      </c>
      <c r="K231" s="50">
        <f t="shared" si="19"/>
        <v>1</v>
      </c>
      <c r="L231" s="50">
        <f>IF(D231="","",IF(COUNTIF(Paramètres!$A$11:$A$40,D231)&gt;0,1,0))</f>
        <v>1</v>
      </c>
    </row>
    <row r="232" spans="1:12" hidden="1" x14ac:dyDescent="0.25">
      <c r="A232" s="49"/>
      <c r="B232" s="49" t="s">
        <v>69</v>
      </c>
      <c r="C232" s="49" t="s">
        <v>328</v>
      </c>
      <c r="D232" s="50" t="str">
        <f t="shared" si="15"/>
        <v>Mina Moussa</v>
      </c>
      <c r="E232" s="50" t="str">
        <f t="shared" si="16"/>
        <v>févr</v>
      </c>
      <c r="F232" s="50">
        <f t="shared" si="17"/>
        <v>13</v>
      </c>
      <c r="G232" s="50">
        <f t="shared" si="18"/>
        <v>2026</v>
      </c>
      <c r="H232" s="51">
        <f>IF($C232="","",IFERROR(DATE(G232,VLOOKUP(E232,Paramètres!$K$11:$L$40,2,FALSE()),F232),"?"))</f>
        <v>46066</v>
      </c>
      <c r="I232" s="50">
        <f>IF(ISNUMBER(H232),IF(COUNTIFS($D$2:D232,D232,$H$2:H232,H232)=1,1,0),"")</f>
        <v>0</v>
      </c>
      <c r="J232" s="50">
        <f>IF(ISNUMBER(H232),IFERROR(INDEX(Calendrier!$C$2:$C$367,MATCH(H232,Calendrier!$A$2:$A$367,0)),0),"")</f>
        <v>1</v>
      </c>
      <c r="K232" s="50">
        <f t="shared" si="19"/>
        <v>0</v>
      </c>
      <c r="L232" s="50">
        <f>IF(D232="","",IF(COUNTIF(Paramètres!$A$11:$A$40,D232)&gt;0,1,0))</f>
        <v>1</v>
      </c>
    </row>
    <row r="233" spans="1:12" hidden="1" x14ac:dyDescent="0.25">
      <c r="A233" s="49"/>
      <c r="B233" s="49" t="s">
        <v>69</v>
      </c>
      <c r="C233" s="49" t="s">
        <v>329</v>
      </c>
      <c r="D233" s="50" t="str">
        <f t="shared" si="15"/>
        <v>Mina Moussa</v>
      </c>
      <c r="E233" s="50" t="str">
        <f t="shared" si="16"/>
        <v>févr</v>
      </c>
      <c r="F233" s="50">
        <f t="shared" si="17"/>
        <v>17</v>
      </c>
      <c r="G233" s="50">
        <f t="shared" si="18"/>
        <v>2026</v>
      </c>
      <c r="H233" s="51">
        <f>IF($C233="","",IFERROR(DATE(G233,VLOOKUP(E233,Paramètres!$K$11:$L$40,2,FALSE()),F233),"?"))</f>
        <v>46070</v>
      </c>
      <c r="I233" s="50">
        <f>IF(ISNUMBER(H233),IF(COUNTIFS($D$2:D233,D233,$H$2:H233,H233)=1,1,0),"")</f>
        <v>1</v>
      </c>
      <c r="J233" s="50">
        <f>IF(ISNUMBER(H233),IFERROR(INDEX(Calendrier!$C$2:$C$367,MATCH(H233,Calendrier!$A$2:$A$367,0)),0),"")</f>
        <v>1</v>
      </c>
      <c r="K233" s="50">
        <f t="shared" si="19"/>
        <v>1</v>
      </c>
      <c r="L233" s="50">
        <f>IF(D233="","",IF(COUNTIF(Paramètres!$A$11:$A$40,D233)&gt;0,1,0))</f>
        <v>1</v>
      </c>
    </row>
    <row r="234" spans="1:12" hidden="1" x14ac:dyDescent="0.25">
      <c r="A234" s="49"/>
      <c r="B234" s="49" t="s">
        <v>69</v>
      </c>
      <c r="C234" s="49" t="s">
        <v>330</v>
      </c>
      <c r="D234" s="50" t="str">
        <f t="shared" si="15"/>
        <v>Mina Moussa</v>
      </c>
      <c r="E234" s="50" t="str">
        <f t="shared" si="16"/>
        <v>févr</v>
      </c>
      <c r="F234" s="50">
        <f t="shared" si="17"/>
        <v>18</v>
      </c>
      <c r="G234" s="50">
        <f t="shared" si="18"/>
        <v>2026</v>
      </c>
      <c r="H234" s="51">
        <f>IF($C234="","",IFERROR(DATE(G234,VLOOKUP(E234,Paramètres!$K$11:$L$40,2,FALSE()),F234),"?"))</f>
        <v>46071</v>
      </c>
      <c r="I234" s="50">
        <f>IF(ISNUMBER(H234),IF(COUNTIFS($D$2:D234,D234,$H$2:H234,H234)=1,1,0),"")</f>
        <v>1</v>
      </c>
      <c r="J234" s="50">
        <f>IF(ISNUMBER(H234),IFERROR(INDEX(Calendrier!$C$2:$C$367,MATCH(H234,Calendrier!$A$2:$A$367,0)),0),"")</f>
        <v>1</v>
      </c>
      <c r="K234" s="50">
        <f t="shared" si="19"/>
        <v>1</v>
      </c>
      <c r="L234" s="50">
        <f>IF(D234="","",IF(COUNTIF(Paramètres!$A$11:$A$40,D234)&gt;0,1,0))</f>
        <v>1</v>
      </c>
    </row>
    <row r="235" spans="1:12" hidden="1" x14ac:dyDescent="0.25">
      <c r="A235" s="49"/>
      <c r="B235" s="49" t="s">
        <v>69</v>
      </c>
      <c r="C235" s="49" t="s">
        <v>331</v>
      </c>
      <c r="D235" s="50" t="str">
        <f t="shared" si="15"/>
        <v>Mina Moussa</v>
      </c>
      <c r="E235" s="50" t="str">
        <f t="shared" si="16"/>
        <v>févr</v>
      </c>
      <c r="F235" s="50">
        <f t="shared" si="17"/>
        <v>21</v>
      </c>
      <c r="G235" s="50">
        <f t="shared" si="18"/>
        <v>2026</v>
      </c>
      <c r="H235" s="51">
        <f>IF($C235="","",IFERROR(DATE(G235,VLOOKUP(E235,Paramètres!$K$11:$L$40,2,FALSE()),F235),"?"))</f>
        <v>46074</v>
      </c>
      <c r="I235" s="50">
        <f>IF(ISNUMBER(H235),IF(COUNTIFS($D$2:D235,D235,$H$2:H235,H235)=1,1,0),"")</f>
        <v>1</v>
      </c>
      <c r="J235" s="50">
        <f>IF(ISNUMBER(H235),IFERROR(INDEX(Calendrier!$C$2:$C$367,MATCH(H235,Calendrier!$A$2:$A$367,0)),0),"")</f>
        <v>0</v>
      </c>
      <c r="K235" s="50">
        <f t="shared" si="19"/>
        <v>0</v>
      </c>
      <c r="L235" s="50">
        <f>IF(D235="","",IF(COUNTIF(Paramètres!$A$11:$A$40,D235)&gt;0,1,0))</f>
        <v>1</v>
      </c>
    </row>
    <row r="236" spans="1:12" hidden="1" x14ac:dyDescent="0.25">
      <c r="A236" s="49"/>
      <c r="B236" s="49" t="s">
        <v>69</v>
      </c>
      <c r="C236" s="49" t="s">
        <v>332</v>
      </c>
      <c r="D236" s="50" t="str">
        <f t="shared" si="15"/>
        <v>Mina Moussa</v>
      </c>
      <c r="E236" s="50" t="str">
        <f t="shared" si="16"/>
        <v>févr</v>
      </c>
      <c r="F236" s="50">
        <f t="shared" si="17"/>
        <v>25</v>
      </c>
      <c r="G236" s="50">
        <f t="shared" si="18"/>
        <v>2026</v>
      </c>
      <c r="H236" s="51">
        <f>IF($C236="","",IFERROR(DATE(G236,VLOOKUP(E236,Paramètres!$K$11:$L$40,2,FALSE()),F236),"?"))</f>
        <v>46078</v>
      </c>
      <c r="I236" s="50">
        <f>IF(ISNUMBER(H236),IF(COUNTIFS($D$2:D236,D236,$H$2:H236,H236)=1,1,0),"")</f>
        <v>1</v>
      </c>
      <c r="J236" s="50">
        <f>IF(ISNUMBER(H236),IFERROR(INDEX(Calendrier!$C$2:$C$367,MATCH(H236,Calendrier!$A$2:$A$367,0)),0),"")</f>
        <v>1</v>
      </c>
      <c r="K236" s="50">
        <f t="shared" si="19"/>
        <v>1</v>
      </c>
      <c r="L236" s="50">
        <f>IF(D236="","",IF(COUNTIF(Paramètres!$A$11:$A$40,D236)&gt;0,1,0))</f>
        <v>1</v>
      </c>
    </row>
    <row r="237" spans="1:12" hidden="1" x14ac:dyDescent="0.25">
      <c r="A237" s="49"/>
      <c r="B237" s="49" t="s">
        <v>73</v>
      </c>
      <c r="C237" s="49" t="s">
        <v>333</v>
      </c>
      <c r="D237" s="50" t="str">
        <f t="shared" si="15"/>
        <v>Mourad Ayari</v>
      </c>
      <c r="E237" s="50" t="str">
        <f t="shared" si="16"/>
        <v>févr</v>
      </c>
      <c r="F237" s="50">
        <f t="shared" si="17"/>
        <v>4</v>
      </c>
      <c r="G237" s="50">
        <f t="shared" si="18"/>
        <v>2026</v>
      </c>
      <c r="H237" s="51">
        <f>IF($C237="","",IFERROR(DATE(G237,VLOOKUP(E237,Paramètres!$K$11:$L$40,2,FALSE()),F237),"?"))</f>
        <v>46057</v>
      </c>
      <c r="I237" s="50">
        <f>IF(ISNUMBER(H237),IF(COUNTIFS($D$2:D237,D237,$H$2:H237,H237)=1,1,0),"")</f>
        <v>1</v>
      </c>
      <c r="J237" s="50">
        <f>IF(ISNUMBER(H237),IFERROR(INDEX(Calendrier!$C$2:$C$367,MATCH(H237,Calendrier!$A$2:$A$367,0)),0),"")</f>
        <v>1</v>
      </c>
      <c r="K237" s="50">
        <f t="shared" si="19"/>
        <v>1</v>
      </c>
      <c r="L237" s="50">
        <f>IF(D237="","",IF(COUNTIF(Paramètres!$A$11:$A$40,D237)&gt;0,1,0))</f>
        <v>1</v>
      </c>
    </row>
    <row r="238" spans="1:12" hidden="1" x14ac:dyDescent="0.25">
      <c r="A238" s="49"/>
      <c r="B238" s="49" t="s">
        <v>73</v>
      </c>
      <c r="C238" s="49" t="s">
        <v>334</v>
      </c>
      <c r="D238" s="50" t="str">
        <f t="shared" si="15"/>
        <v>Mourad Ayari</v>
      </c>
      <c r="E238" s="50" t="str">
        <f t="shared" si="16"/>
        <v>févr</v>
      </c>
      <c r="F238" s="50">
        <f t="shared" si="17"/>
        <v>5</v>
      </c>
      <c r="G238" s="50">
        <f t="shared" si="18"/>
        <v>2026</v>
      </c>
      <c r="H238" s="51">
        <f>IF($C238="","",IFERROR(DATE(G238,VLOOKUP(E238,Paramètres!$K$11:$L$40,2,FALSE()),F238),"?"))</f>
        <v>46058</v>
      </c>
      <c r="I238" s="50">
        <f>IF(ISNUMBER(H238),IF(COUNTIFS($D$2:D238,D238,$H$2:H238,H238)=1,1,0),"")</f>
        <v>1</v>
      </c>
      <c r="J238" s="50">
        <f>IF(ISNUMBER(H238),IFERROR(INDEX(Calendrier!$C$2:$C$367,MATCH(H238,Calendrier!$A$2:$A$367,0)),0),"")</f>
        <v>1</v>
      </c>
      <c r="K238" s="50">
        <f t="shared" si="19"/>
        <v>1</v>
      </c>
      <c r="L238" s="50">
        <f>IF(D238="","",IF(COUNTIF(Paramètres!$A$11:$A$40,D238)&gt;0,1,0))</f>
        <v>1</v>
      </c>
    </row>
    <row r="239" spans="1:12" hidden="1" x14ac:dyDescent="0.25">
      <c r="A239" s="49"/>
      <c r="B239" s="49" t="s">
        <v>73</v>
      </c>
      <c r="C239" s="49" t="s">
        <v>335</v>
      </c>
      <c r="D239" s="50" t="str">
        <f t="shared" si="15"/>
        <v>Mourad Ayari</v>
      </c>
      <c r="E239" s="50" t="str">
        <f t="shared" si="16"/>
        <v>févr</v>
      </c>
      <c r="F239" s="50">
        <f t="shared" si="17"/>
        <v>9</v>
      </c>
      <c r="G239" s="50">
        <f t="shared" si="18"/>
        <v>2026</v>
      </c>
      <c r="H239" s="51">
        <f>IF($C239="","",IFERROR(DATE(G239,VLOOKUP(E239,Paramètres!$K$11:$L$40,2,FALSE()),F239),"?"))</f>
        <v>46062</v>
      </c>
      <c r="I239" s="50">
        <f>IF(ISNUMBER(H239),IF(COUNTIFS($D$2:D239,D239,$H$2:H239,H239)=1,1,0),"")</f>
        <v>1</v>
      </c>
      <c r="J239" s="50">
        <f>IF(ISNUMBER(H239),IFERROR(INDEX(Calendrier!$C$2:$C$367,MATCH(H239,Calendrier!$A$2:$A$367,0)),0),"")</f>
        <v>1</v>
      </c>
      <c r="K239" s="50">
        <f t="shared" si="19"/>
        <v>1</v>
      </c>
      <c r="L239" s="50">
        <f>IF(D239="","",IF(COUNTIF(Paramètres!$A$11:$A$40,D239)&gt;0,1,0))</f>
        <v>1</v>
      </c>
    </row>
    <row r="240" spans="1:12" hidden="1" x14ac:dyDescent="0.25">
      <c r="A240" s="49"/>
      <c r="B240" s="49" t="s">
        <v>73</v>
      </c>
      <c r="C240" s="49" t="s">
        <v>336</v>
      </c>
      <c r="D240" s="50" t="str">
        <f t="shared" si="15"/>
        <v>Mourad Ayari</v>
      </c>
      <c r="E240" s="50" t="str">
        <f t="shared" si="16"/>
        <v>févr</v>
      </c>
      <c r="F240" s="50">
        <f t="shared" si="17"/>
        <v>11</v>
      </c>
      <c r="G240" s="50">
        <f t="shared" si="18"/>
        <v>2026</v>
      </c>
      <c r="H240" s="51">
        <f>IF($C240="","",IFERROR(DATE(G240,VLOOKUP(E240,Paramètres!$K$11:$L$40,2,FALSE()),F240),"?"))</f>
        <v>46064</v>
      </c>
      <c r="I240" s="50">
        <f>IF(ISNUMBER(H240),IF(COUNTIFS($D$2:D240,D240,$H$2:H240,H240)=1,1,0),"")</f>
        <v>1</v>
      </c>
      <c r="J240" s="50">
        <f>IF(ISNUMBER(H240),IFERROR(INDEX(Calendrier!$C$2:$C$367,MATCH(H240,Calendrier!$A$2:$A$367,0)),0),"")</f>
        <v>1</v>
      </c>
      <c r="K240" s="50">
        <f t="shared" si="19"/>
        <v>1</v>
      </c>
      <c r="L240" s="50">
        <f>IF(D240="","",IF(COUNTIF(Paramètres!$A$11:$A$40,D240)&gt;0,1,0))</f>
        <v>1</v>
      </c>
    </row>
    <row r="241" spans="1:12" hidden="1" x14ac:dyDescent="0.25">
      <c r="A241" s="49"/>
      <c r="B241" s="49" t="s">
        <v>73</v>
      </c>
      <c r="C241" s="49" t="s">
        <v>337</v>
      </c>
      <c r="D241" s="50" t="str">
        <f t="shared" si="15"/>
        <v>Mourad Ayari</v>
      </c>
      <c r="E241" s="50" t="str">
        <f t="shared" si="16"/>
        <v>févr</v>
      </c>
      <c r="F241" s="50">
        <f t="shared" si="17"/>
        <v>13</v>
      </c>
      <c r="G241" s="50">
        <f t="shared" si="18"/>
        <v>2026</v>
      </c>
      <c r="H241" s="51">
        <f>IF($C241="","",IFERROR(DATE(G241,VLOOKUP(E241,Paramètres!$K$11:$L$40,2,FALSE()),F241),"?"))</f>
        <v>46066</v>
      </c>
      <c r="I241" s="50">
        <f>IF(ISNUMBER(H241),IF(COUNTIFS($D$2:D241,D241,$H$2:H241,H241)=1,1,0),"")</f>
        <v>1</v>
      </c>
      <c r="J241" s="50">
        <f>IF(ISNUMBER(H241),IFERROR(INDEX(Calendrier!$C$2:$C$367,MATCH(H241,Calendrier!$A$2:$A$367,0)),0),"")</f>
        <v>1</v>
      </c>
      <c r="K241" s="50">
        <f t="shared" si="19"/>
        <v>1</v>
      </c>
      <c r="L241" s="50">
        <f>IF(D241="","",IF(COUNTIF(Paramètres!$A$11:$A$40,D241)&gt;0,1,0))</f>
        <v>1</v>
      </c>
    </row>
    <row r="242" spans="1:12" hidden="1" x14ac:dyDescent="0.25">
      <c r="A242" s="49"/>
      <c r="B242" s="49" t="s">
        <v>73</v>
      </c>
      <c r="C242" s="49" t="s">
        <v>338</v>
      </c>
      <c r="D242" s="50" t="str">
        <f t="shared" si="15"/>
        <v>Mourad Ayari</v>
      </c>
      <c r="E242" s="50" t="str">
        <f t="shared" si="16"/>
        <v>févr</v>
      </c>
      <c r="F242" s="50">
        <f t="shared" si="17"/>
        <v>21</v>
      </c>
      <c r="G242" s="50">
        <f t="shared" si="18"/>
        <v>2026</v>
      </c>
      <c r="H242" s="51">
        <f>IF($C242="","",IFERROR(DATE(G242,VLOOKUP(E242,Paramètres!$K$11:$L$40,2,FALSE()),F242),"?"))</f>
        <v>46074</v>
      </c>
      <c r="I242" s="50">
        <f>IF(ISNUMBER(H242),IF(COUNTIFS($D$2:D242,D242,$H$2:H242,H242)=1,1,0),"")</f>
        <v>1</v>
      </c>
      <c r="J242" s="50">
        <f>IF(ISNUMBER(H242),IFERROR(INDEX(Calendrier!$C$2:$C$367,MATCH(H242,Calendrier!$A$2:$A$367,0)),0),"")</f>
        <v>0</v>
      </c>
      <c r="K242" s="50">
        <f t="shared" si="19"/>
        <v>0</v>
      </c>
      <c r="L242" s="50">
        <f>IF(D242="","",IF(COUNTIF(Paramètres!$A$11:$A$40,D242)&gt;0,1,0))</f>
        <v>1</v>
      </c>
    </row>
    <row r="243" spans="1:12" hidden="1" x14ac:dyDescent="0.25">
      <c r="A243" s="49"/>
      <c r="B243" s="49" t="s">
        <v>73</v>
      </c>
      <c r="C243" s="49" t="s">
        <v>278</v>
      </c>
      <c r="D243" s="50" t="str">
        <f t="shared" si="15"/>
        <v>Mourad Ayari</v>
      </c>
      <c r="E243" s="50" t="str">
        <f t="shared" si="16"/>
        <v>févr</v>
      </c>
      <c r="F243" s="50">
        <f t="shared" si="17"/>
        <v>25</v>
      </c>
      <c r="G243" s="50">
        <f t="shared" si="18"/>
        <v>2026</v>
      </c>
      <c r="H243" s="51">
        <f>IF($C243="","",IFERROR(DATE(G243,VLOOKUP(E243,Paramètres!$K$11:$L$40,2,FALSE()),F243),"?"))</f>
        <v>46078</v>
      </c>
      <c r="I243" s="50">
        <f>IF(ISNUMBER(H243),IF(COUNTIFS($D$2:D243,D243,$H$2:H243,H243)=1,1,0),"")</f>
        <v>1</v>
      </c>
      <c r="J243" s="50">
        <f>IF(ISNUMBER(H243),IFERROR(INDEX(Calendrier!$C$2:$C$367,MATCH(H243,Calendrier!$A$2:$A$367,0)),0),"")</f>
        <v>1</v>
      </c>
      <c r="K243" s="50">
        <f t="shared" si="19"/>
        <v>1</v>
      </c>
      <c r="L243" s="50">
        <f>IF(D243="","",IF(COUNTIF(Paramètres!$A$11:$A$40,D243)&gt;0,1,0))</f>
        <v>1</v>
      </c>
    </row>
    <row r="244" spans="1:12" hidden="1" x14ac:dyDescent="0.25">
      <c r="A244" s="49"/>
      <c r="B244" s="49" t="s">
        <v>75</v>
      </c>
      <c r="C244" s="49" t="s">
        <v>339</v>
      </c>
      <c r="D244" s="50" t="str">
        <f t="shared" si="15"/>
        <v>Nesrine Laassili</v>
      </c>
      <c r="E244" s="50" t="str">
        <f t="shared" si="16"/>
        <v>févr</v>
      </c>
      <c r="F244" s="50">
        <f t="shared" si="17"/>
        <v>4</v>
      </c>
      <c r="G244" s="50">
        <f t="shared" si="18"/>
        <v>2026</v>
      </c>
      <c r="H244" s="51">
        <f>IF($C244="","",IFERROR(DATE(G244,VLOOKUP(E244,Paramètres!$K$11:$L$40,2,FALSE()),F244),"?"))</f>
        <v>46057</v>
      </c>
      <c r="I244" s="50">
        <f>IF(ISNUMBER(H244),IF(COUNTIFS($D$2:D244,D244,$H$2:H244,H244)=1,1,0),"")</f>
        <v>1</v>
      </c>
      <c r="J244" s="50">
        <f>IF(ISNUMBER(H244),IFERROR(INDEX(Calendrier!$C$2:$C$367,MATCH(H244,Calendrier!$A$2:$A$367,0)),0),"")</f>
        <v>1</v>
      </c>
      <c r="K244" s="50">
        <f t="shared" si="19"/>
        <v>1</v>
      </c>
      <c r="L244" s="50">
        <f>IF(D244="","",IF(COUNTIF(Paramètres!$A$11:$A$40,D244)&gt;0,1,0))</f>
        <v>1</v>
      </c>
    </row>
    <row r="245" spans="1:12" hidden="1" x14ac:dyDescent="0.25">
      <c r="A245" s="49"/>
      <c r="B245" s="49" t="s">
        <v>75</v>
      </c>
      <c r="C245" s="49" t="s">
        <v>322</v>
      </c>
      <c r="D245" s="50" t="str">
        <f t="shared" si="15"/>
        <v>Nesrine Laassili</v>
      </c>
      <c r="E245" s="50" t="str">
        <f t="shared" si="16"/>
        <v>févr</v>
      </c>
      <c r="F245" s="50">
        <f t="shared" si="17"/>
        <v>11</v>
      </c>
      <c r="G245" s="50">
        <f t="shared" si="18"/>
        <v>2026</v>
      </c>
      <c r="H245" s="51">
        <f>IF($C245="","",IFERROR(DATE(G245,VLOOKUP(E245,Paramètres!$K$11:$L$40,2,FALSE()),F245),"?"))</f>
        <v>46064</v>
      </c>
      <c r="I245" s="50">
        <f>IF(ISNUMBER(H245),IF(COUNTIFS($D$2:D245,D245,$H$2:H245,H245)=1,1,0),"")</f>
        <v>1</v>
      </c>
      <c r="J245" s="50">
        <f>IF(ISNUMBER(H245),IFERROR(INDEX(Calendrier!$C$2:$C$367,MATCH(H245,Calendrier!$A$2:$A$367,0)),0),"")</f>
        <v>1</v>
      </c>
      <c r="K245" s="50">
        <f t="shared" si="19"/>
        <v>1</v>
      </c>
      <c r="L245" s="50">
        <f>IF(D245="","",IF(COUNTIF(Paramètres!$A$11:$A$40,D245)&gt;0,1,0))</f>
        <v>1</v>
      </c>
    </row>
    <row r="246" spans="1:12" hidden="1" x14ac:dyDescent="0.25">
      <c r="A246" s="49"/>
      <c r="B246" s="49" t="s">
        <v>75</v>
      </c>
      <c r="C246" s="49" t="s">
        <v>322</v>
      </c>
      <c r="D246" s="50" t="str">
        <f t="shared" si="15"/>
        <v>Nesrine Laassili</v>
      </c>
      <c r="E246" s="50" t="str">
        <f t="shared" si="16"/>
        <v>févr</v>
      </c>
      <c r="F246" s="50">
        <f t="shared" si="17"/>
        <v>11</v>
      </c>
      <c r="G246" s="50">
        <f t="shared" si="18"/>
        <v>2026</v>
      </c>
      <c r="H246" s="51">
        <f>IF($C246="","",IFERROR(DATE(G246,VLOOKUP(E246,Paramètres!$K$11:$L$40,2,FALSE()),F246),"?"))</f>
        <v>46064</v>
      </c>
      <c r="I246" s="50">
        <f>IF(ISNUMBER(H246),IF(COUNTIFS($D$2:D246,D246,$H$2:H246,H246)=1,1,0),"")</f>
        <v>0</v>
      </c>
      <c r="J246" s="50">
        <f>IF(ISNUMBER(H246),IFERROR(INDEX(Calendrier!$C$2:$C$367,MATCH(H246,Calendrier!$A$2:$A$367,0)),0),"")</f>
        <v>1</v>
      </c>
      <c r="K246" s="50">
        <f t="shared" si="19"/>
        <v>0</v>
      </c>
      <c r="L246" s="50">
        <f>IF(D246="","",IF(COUNTIF(Paramètres!$A$11:$A$40,D246)&gt;0,1,0))</f>
        <v>1</v>
      </c>
    </row>
    <row r="247" spans="1:12" hidden="1" x14ac:dyDescent="0.25">
      <c r="A247" s="49"/>
      <c r="B247" s="49" t="s">
        <v>81</v>
      </c>
      <c r="C247" s="49" t="s">
        <v>340</v>
      </c>
      <c r="D247" s="50" t="str">
        <f t="shared" si="15"/>
        <v>Sabrine Neffeti</v>
      </c>
      <c r="E247" s="50" t="str">
        <f t="shared" si="16"/>
        <v>févr</v>
      </c>
      <c r="F247" s="50">
        <f t="shared" si="17"/>
        <v>2</v>
      </c>
      <c r="G247" s="50">
        <f t="shared" si="18"/>
        <v>2026</v>
      </c>
      <c r="H247" s="51">
        <f>IF($C247="","",IFERROR(DATE(G247,VLOOKUP(E247,Paramètres!$K$11:$L$40,2,FALSE()),F247),"?"))</f>
        <v>46055</v>
      </c>
      <c r="I247" s="50">
        <f>IF(ISNUMBER(H247),IF(COUNTIFS($D$2:D247,D247,$H$2:H247,H247)=1,1,0),"")</f>
        <v>1</v>
      </c>
      <c r="J247" s="50">
        <f>IF(ISNUMBER(H247),IFERROR(INDEX(Calendrier!$C$2:$C$367,MATCH(H247,Calendrier!$A$2:$A$367,0)),0),"")</f>
        <v>1</v>
      </c>
      <c r="K247" s="50">
        <f t="shared" si="19"/>
        <v>1</v>
      </c>
      <c r="L247" s="50">
        <f>IF(D247="","",IF(COUNTIF(Paramètres!$A$11:$A$40,D247)&gt;0,1,0))</f>
        <v>1</v>
      </c>
    </row>
    <row r="248" spans="1:12" hidden="1" x14ac:dyDescent="0.25">
      <c r="A248" s="49"/>
      <c r="B248" s="49" t="s">
        <v>81</v>
      </c>
      <c r="C248" s="49" t="s">
        <v>341</v>
      </c>
      <c r="D248" s="50" t="str">
        <f t="shared" si="15"/>
        <v>Sabrine Neffeti</v>
      </c>
      <c r="E248" s="50" t="str">
        <f t="shared" si="16"/>
        <v>févr</v>
      </c>
      <c r="F248" s="50">
        <f t="shared" si="17"/>
        <v>3</v>
      </c>
      <c r="G248" s="50">
        <f t="shared" si="18"/>
        <v>2026</v>
      </c>
      <c r="H248" s="51">
        <f>IF($C248="","",IFERROR(DATE(G248,VLOOKUP(E248,Paramètres!$K$11:$L$40,2,FALSE()),F248),"?"))</f>
        <v>46056</v>
      </c>
      <c r="I248" s="50">
        <f>IF(ISNUMBER(H248),IF(COUNTIFS($D$2:D248,D248,$H$2:H248,H248)=1,1,0),"")</f>
        <v>1</v>
      </c>
      <c r="J248" s="50">
        <f>IF(ISNUMBER(H248),IFERROR(INDEX(Calendrier!$C$2:$C$367,MATCH(H248,Calendrier!$A$2:$A$367,0)),0),"")</f>
        <v>1</v>
      </c>
      <c r="K248" s="50">
        <f t="shared" si="19"/>
        <v>1</v>
      </c>
      <c r="L248" s="50">
        <f>IF(D248="","",IF(COUNTIF(Paramètres!$A$11:$A$40,D248)&gt;0,1,0))</f>
        <v>1</v>
      </c>
    </row>
    <row r="249" spans="1:12" hidden="1" x14ac:dyDescent="0.25">
      <c r="A249" s="49"/>
      <c r="B249" s="49" t="s">
        <v>81</v>
      </c>
      <c r="C249" s="49" t="s">
        <v>342</v>
      </c>
      <c r="D249" s="50" t="str">
        <f t="shared" si="15"/>
        <v>Sabrine Neffeti</v>
      </c>
      <c r="E249" s="50" t="str">
        <f t="shared" si="16"/>
        <v>févr</v>
      </c>
      <c r="F249" s="50">
        <f t="shared" si="17"/>
        <v>4</v>
      </c>
      <c r="G249" s="50">
        <f t="shared" si="18"/>
        <v>2026</v>
      </c>
      <c r="H249" s="51">
        <f>IF($C249="","",IFERROR(DATE(G249,VLOOKUP(E249,Paramètres!$K$11:$L$40,2,FALSE()),F249),"?"))</f>
        <v>46057</v>
      </c>
      <c r="I249" s="50">
        <f>IF(ISNUMBER(H249),IF(COUNTIFS($D$2:D249,D249,$H$2:H249,H249)=1,1,0),"")</f>
        <v>1</v>
      </c>
      <c r="J249" s="50">
        <f>IF(ISNUMBER(H249),IFERROR(INDEX(Calendrier!$C$2:$C$367,MATCH(H249,Calendrier!$A$2:$A$367,0)),0),"")</f>
        <v>1</v>
      </c>
      <c r="K249" s="50">
        <f t="shared" si="19"/>
        <v>1</v>
      </c>
      <c r="L249" s="50">
        <f>IF(D249="","",IF(COUNTIF(Paramètres!$A$11:$A$40,D249)&gt;0,1,0))</f>
        <v>1</v>
      </c>
    </row>
    <row r="250" spans="1:12" hidden="1" x14ac:dyDescent="0.25">
      <c r="A250" s="49"/>
      <c r="B250" s="49" t="s">
        <v>81</v>
      </c>
      <c r="C250" s="49" t="s">
        <v>343</v>
      </c>
      <c r="D250" s="50" t="str">
        <f t="shared" si="15"/>
        <v>Sabrine Neffeti</v>
      </c>
      <c r="E250" s="50" t="str">
        <f t="shared" si="16"/>
        <v>févr</v>
      </c>
      <c r="F250" s="50">
        <f t="shared" si="17"/>
        <v>4</v>
      </c>
      <c r="G250" s="50">
        <f t="shared" si="18"/>
        <v>2026</v>
      </c>
      <c r="H250" s="51">
        <f>IF($C250="","",IFERROR(DATE(G250,VLOOKUP(E250,Paramètres!$K$11:$L$40,2,FALSE()),F250),"?"))</f>
        <v>46057</v>
      </c>
      <c r="I250" s="50">
        <f>IF(ISNUMBER(H250),IF(COUNTIFS($D$2:D250,D250,$H$2:H250,H250)=1,1,0),"")</f>
        <v>0</v>
      </c>
      <c r="J250" s="50">
        <f>IF(ISNUMBER(H250),IFERROR(INDEX(Calendrier!$C$2:$C$367,MATCH(H250,Calendrier!$A$2:$A$367,0)),0),"")</f>
        <v>1</v>
      </c>
      <c r="K250" s="50">
        <f t="shared" si="19"/>
        <v>0</v>
      </c>
      <c r="L250" s="50">
        <f>IF(D250="","",IF(COUNTIF(Paramètres!$A$11:$A$40,D250)&gt;0,1,0))</f>
        <v>1</v>
      </c>
    </row>
    <row r="251" spans="1:12" hidden="1" x14ac:dyDescent="0.25">
      <c r="A251" s="49"/>
      <c r="B251" s="49" t="s">
        <v>81</v>
      </c>
      <c r="C251" s="49" t="s">
        <v>344</v>
      </c>
      <c r="D251" s="50" t="str">
        <f t="shared" si="15"/>
        <v>Sabrine Neffeti</v>
      </c>
      <c r="E251" s="50" t="str">
        <f t="shared" si="16"/>
        <v>févr</v>
      </c>
      <c r="F251" s="50">
        <f t="shared" si="17"/>
        <v>13</v>
      </c>
      <c r="G251" s="50">
        <f t="shared" si="18"/>
        <v>2026</v>
      </c>
      <c r="H251" s="51">
        <f>IF($C251="","",IFERROR(DATE(G251,VLOOKUP(E251,Paramètres!$K$11:$L$40,2,FALSE()),F251),"?"))</f>
        <v>46066</v>
      </c>
      <c r="I251" s="50">
        <f>IF(ISNUMBER(H251),IF(COUNTIFS($D$2:D251,D251,$H$2:H251,H251)=1,1,0),"")</f>
        <v>1</v>
      </c>
      <c r="J251" s="50">
        <f>IF(ISNUMBER(H251),IFERROR(INDEX(Calendrier!$C$2:$C$367,MATCH(H251,Calendrier!$A$2:$A$367,0)),0),"")</f>
        <v>1</v>
      </c>
      <c r="K251" s="50">
        <f t="shared" si="19"/>
        <v>1</v>
      </c>
      <c r="L251" s="50">
        <f>IF(D251="","",IF(COUNTIF(Paramètres!$A$11:$A$40,D251)&gt;0,1,0))</f>
        <v>1</v>
      </c>
    </row>
    <row r="252" spans="1:12" hidden="1" x14ac:dyDescent="0.25">
      <c r="A252" s="49"/>
      <c r="B252" s="49" t="s">
        <v>81</v>
      </c>
      <c r="C252" s="49" t="s">
        <v>345</v>
      </c>
      <c r="D252" s="50" t="str">
        <f t="shared" si="15"/>
        <v>Sabrine Neffeti</v>
      </c>
      <c r="E252" s="50" t="str">
        <f t="shared" si="16"/>
        <v>févr</v>
      </c>
      <c r="F252" s="50">
        <f t="shared" si="17"/>
        <v>20</v>
      </c>
      <c r="G252" s="50">
        <f t="shared" si="18"/>
        <v>2026</v>
      </c>
      <c r="H252" s="51">
        <f>IF($C252="","",IFERROR(DATE(G252,VLOOKUP(E252,Paramètres!$K$11:$L$40,2,FALSE()),F252),"?"))</f>
        <v>46073</v>
      </c>
      <c r="I252" s="50">
        <f>IF(ISNUMBER(H252),IF(COUNTIFS($D$2:D252,D252,$H$2:H252,H252)=1,1,0),"")</f>
        <v>1</v>
      </c>
      <c r="J252" s="50">
        <f>IF(ISNUMBER(H252),IFERROR(INDEX(Calendrier!$C$2:$C$367,MATCH(H252,Calendrier!$A$2:$A$367,0)),0),"")</f>
        <v>1</v>
      </c>
      <c r="K252" s="50">
        <f t="shared" si="19"/>
        <v>1</v>
      </c>
      <c r="L252" s="50">
        <f>IF(D252="","",IF(COUNTIF(Paramètres!$A$11:$A$40,D252)&gt;0,1,0))</f>
        <v>1</v>
      </c>
    </row>
    <row r="253" spans="1:12" hidden="1" x14ac:dyDescent="0.25">
      <c r="A253" s="49"/>
      <c r="B253" s="49" t="s">
        <v>81</v>
      </c>
      <c r="C253" s="49" t="s">
        <v>346</v>
      </c>
      <c r="D253" s="50" t="str">
        <f t="shared" si="15"/>
        <v>Sabrine Neffeti</v>
      </c>
      <c r="E253" s="50" t="str">
        <f t="shared" si="16"/>
        <v>févr</v>
      </c>
      <c r="F253" s="50">
        <f t="shared" si="17"/>
        <v>21</v>
      </c>
      <c r="G253" s="50">
        <f t="shared" si="18"/>
        <v>2026</v>
      </c>
      <c r="H253" s="51">
        <f>IF($C253="","",IFERROR(DATE(G253,VLOOKUP(E253,Paramètres!$K$11:$L$40,2,FALSE()),F253),"?"))</f>
        <v>46074</v>
      </c>
      <c r="I253" s="50">
        <f>IF(ISNUMBER(H253),IF(COUNTIFS($D$2:D253,D253,$H$2:H253,H253)=1,1,0),"")</f>
        <v>1</v>
      </c>
      <c r="J253" s="50">
        <f>IF(ISNUMBER(H253),IFERROR(INDEX(Calendrier!$C$2:$C$367,MATCH(H253,Calendrier!$A$2:$A$367,0)),0),"")</f>
        <v>0</v>
      </c>
      <c r="K253" s="50">
        <f t="shared" si="19"/>
        <v>0</v>
      </c>
      <c r="L253" s="50">
        <f>IF(D253="","",IF(COUNTIF(Paramètres!$A$11:$A$40,D253)&gt;0,1,0))</f>
        <v>1</v>
      </c>
    </row>
    <row r="254" spans="1:12" hidden="1" x14ac:dyDescent="0.25">
      <c r="A254" s="49"/>
      <c r="B254" s="49" t="s">
        <v>81</v>
      </c>
      <c r="C254" s="49" t="s">
        <v>347</v>
      </c>
      <c r="D254" s="50" t="str">
        <f t="shared" si="15"/>
        <v>Sabrine Neffeti</v>
      </c>
      <c r="E254" s="50" t="str">
        <f t="shared" si="16"/>
        <v>févr</v>
      </c>
      <c r="F254" s="50">
        <f t="shared" si="17"/>
        <v>23</v>
      </c>
      <c r="G254" s="50">
        <f t="shared" si="18"/>
        <v>2026</v>
      </c>
      <c r="H254" s="51">
        <f>IF($C254="","",IFERROR(DATE(G254,VLOOKUP(E254,Paramètres!$K$11:$L$40,2,FALSE()),F254),"?"))</f>
        <v>46076</v>
      </c>
      <c r="I254" s="50">
        <f>IF(ISNUMBER(H254),IF(COUNTIFS($D$2:D254,D254,$H$2:H254,H254)=1,1,0),"")</f>
        <v>1</v>
      </c>
      <c r="J254" s="50">
        <f>IF(ISNUMBER(H254),IFERROR(INDEX(Calendrier!$C$2:$C$367,MATCH(H254,Calendrier!$A$2:$A$367,0)),0),"")</f>
        <v>1</v>
      </c>
      <c r="K254" s="50">
        <f t="shared" si="19"/>
        <v>1</v>
      </c>
      <c r="L254" s="50">
        <f>IF(D254="","",IF(COUNTIF(Paramètres!$A$11:$A$40,D254)&gt;0,1,0))</f>
        <v>1</v>
      </c>
    </row>
    <row r="255" spans="1:12" hidden="1" x14ac:dyDescent="0.25">
      <c r="A255" s="49"/>
      <c r="B255" s="49" t="s">
        <v>81</v>
      </c>
      <c r="C255" s="49" t="s">
        <v>348</v>
      </c>
      <c r="D255" s="50" t="str">
        <f t="shared" si="15"/>
        <v>Sabrine Neffeti</v>
      </c>
      <c r="E255" s="50" t="str">
        <f t="shared" si="16"/>
        <v>févr</v>
      </c>
      <c r="F255" s="50">
        <f t="shared" si="17"/>
        <v>25</v>
      </c>
      <c r="G255" s="50">
        <f t="shared" si="18"/>
        <v>2026</v>
      </c>
      <c r="H255" s="51">
        <f>IF($C255="","",IFERROR(DATE(G255,VLOOKUP(E255,Paramètres!$K$11:$L$40,2,FALSE()),F255),"?"))</f>
        <v>46078</v>
      </c>
      <c r="I255" s="50">
        <f>IF(ISNUMBER(H255),IF(COUNTIFS($D$2:D255,D255,$H$2:H255,H255)=1,1,0),"")</f>
        <v>1</v>
      </c>
      <c r="J255" s="50">
        <f>IF(ISNUMBER(H255),IFERROR(INDEX(Calendrier!$C$2:$C$367,MATCH(H255,Calendrier!$A$2:$A$367,0)),0),"")</f>
        <v>1</v>
      </c>
      <c r="K255" s="50">
        <f t="shared" si="19"/>
        <v>1</v>
      </c>
      <c r="L255" s="50">
        <f>IF(D255="","",IF(COUNTIF(Paramètres!$A$11:$A$40,D255)&gt;0,1,0))</f>
        <v>1</v>
      </c>
    </row>
    <row r="256" spans="1:12" hidden="1" x14ac:dyDescent="0.25">
      <c r="A256" s="49"/>
      <c r="B256" s="49" t="s">
        <v>81</v>
      </c>
      <c r="C256" s="49" t="s">
        <v>349</v>
      </c>
      <c r="D256" s="50" t="str">
        <f t="shared" si="15"/>
        <v>Sabrine Neffeti</v>
      </c>
      <c r="E256" s="50" t="str">
        <f t="shared" si="16"/>
        <v>févr</v>
      </c>
      <c r="F256" s="50">
        <f t="shared" si="17"/>
        <v>25</v>
      </c>
      <c r="G256" s="50">
        <f t="shared" si="18"/>
        <v>2026</v>
      </c>
      <c r="H256" s="51">
        <f>IF($C256="","",IFERROR(DATE(G256,VLOOKUP(E256,Paramètres!$K$11:$L$40,2,FALSE()),F256),"?"))</f>
        <v>46078</v>
      </c>
      <c r="I256" s="50">
        <f>IF(ISNUMBER(H256),IF(COUNTIFS($D$2:D256,D256,$H$2:H256,H256)=1,1,0),"")</f>
        <v>0</v>
      </c>
      <c r="J256" s="50">
        <f>IF(ISNUMBER(H256),IFERROR(INDEX(Calendrier!$C$2:$C$367,MATCH(H256,Calendrier!$A$2:$A$367,0)),0),"")</f>
        <v>1</v>
      </c>
      <c r="K256" s="50">
        <f t="shared" si="19"/>
        <v>0</v>
      </c>
      <c r="L256" s="50">
        <f>IF(D256="","",IF(COUNTIF(Paramètres!$A$11:$A$40,D256)&gt;0,1,0))</f>
        <v>1</v>
      </c>
    </row>
    <row r="257" spans="1:12" hidden="1" x14ac:dyDescent="0.25">
      <c r="A257" s="49"/>
      <c r="B257" s="49" t="s">
        <v>81</v>
      </c>
      <c r="C257" s="49" t="s">
        <v>350</v>
      </c>
      <c r="D257" s="50" t="str">
        <f t="shared" si="15"/>
        <v>Sabrine Neffeti</v>
      </c>
      <c r="E257" s="50" t="str">
        <f t="shared" si="16"/>
        <v>févr</v>
      </c>
      <c r="F257" s="50">
        <f t="shared" si="17"/>
        <v>25</v>
      </c>
      <c r="G257" s="50">
        <f t="shared" si="18"/>
        <v>2026</v>
      </c>
      <c r="H257" s="51">
        <f>IF($C257="","",IFERROR(DATE(G257,VLOOKUP(E257,Paramètres!$K$11:$L$40,2,FALSE()),F257),"?"))</f>
        <v>46078</v>
      </c>
      <c r="I257" s="50">
        <f>IF(ISNUMBER(H257),IF(COUNTIFS($D$2:D257,D257,$H$2:H257,H257)=1,1,0),"")</f>
        <v>0</v>
      </c>
      <c r="J257" s="50">
        <f>IF(ISNUMBER(H257),IFERROR(INDEX(Calendrier!$C$2:$C$367,MATCH(H257,Calendrier!$A$2:$A$367,0)),0),"")</f>
        <v>1</v>
      </c>
      <c r="K257" s="50">
        <f t="shared" si="19"/>
        <v>0</v>
      </c>
      <c r="L257" s="50">
        <f>IF(D257="","",IF(COUNTIF(Paramètres!$A$11:$A$40,D257)&gt;0,1,0))</f>
        <v>1</v>
      </c>
    </row>
    <row r="258" spans="1:12" hidden="1" x14ac:dyDescent="0.25">
      <c r="A258" s="49"/>
      <c r="B258" s="49" t="s">
        <v>81</v>
      </c>
      <c r="C258" s="49" t="s">
        <v>351</v>
      </c>
      <c r="D258" s="50" t="str">
        <f t="shared" ref="D258:D321" si="20">IF(B258="","",TRIM(B258))</f>
        <v>Sabrine Neffeti</v>
      </c>
      <c r="E258" s="50" t="str">
        <f t="shared" ref="E258:E321" si="21">IF($C258="","",LEFT($C258,FIND(" ",$C258)-1))</f>
        <v>févr</v>
      </c>
      <c r="F258" s="50">
        <f t="shared" ref="F258:F321" si="22">IF($C258="","",IFERROR(VALUE(LEFT(MID($C258,FIND(" ",$C258)+1,20),FIND(" ",MID($C258,FIND(" ",$C258)+1,20))-1)),"?"))</f>
        <v>25</v>
      </c>
      <c r="G258" s="50">
        <f t="shared" ref="G258:G321" si="23">IF($C258="","",IFERROR(VALUE(MID(MID($C258,FIND(" ",$C258)+1,20),FIND(" ",MID($C258,FIND(" ",$C258)+1,20))+1,4)),"?"))</f>
        <v>2026</v>
      </c>
      <c r="H258" s="51">
        <f>IF($C258="","",IFERROR(DATE(G258,VLOOKUP(E258,Paramètres!$K$11:$L$40,2,FALSE()),F258),"?"))</f>
        <v>46078</v>
      </c>
      <c r="I258" s="50">
        <f>IF(ISNUMBER(H258),IF(COUNTIFS($D$2:D258,D258,$H$2:H258,H258)=1,1,0),"")</f>
        <v>0</v>
      </c>
      <c r="J258" s="50">
        <f>IF(ISNUMBER(H258),IFERROR(INDEX(Calendrier!$C$2:$C$367,MATCH(H258,Calendrier!$A$2:$A$367,0)),0),"")</f>
        <v>1</v>
      </c>
      <c r="K258" s="50">
        <f t="shared" ref="K258:K321" si="24">IF(ISNUMBER(H258),I258*J258,"")</f>
        <v>0</v>
      </c>
      <c r="L258" s="50">
        <f>IF(D258="","",IF(COUNTIF(Paramètres!$A$11:$A$40,D258)&gt;0,1,0))</f>
        <v>1</v>
      </c>
    </row>
    <row r="259" spans="1:12" hidden="1" x14ac:dyDescent="0.25">
      <c r="A259" s="49"/>
      <c r="B259" s="49" t="s">
        <v>81</v>
      </c>
      <c r="C259" s="49" t="s">
        <v>352</v>
      </c>
      <c r="D259" s="50" t="str">
        <f t="shared" si="20"/>
        <v>Sabrine Neffeti</v>
      </c>
      <c r="E259" s="50" t="str">
        <f t="shared" si="21"/>
        <v>févr</v>
      </c>
      <c r="F259" s="50">
        <f t="shared" si="22"/>
        <v>25</v>
      </c>
      <c r="G259" s="50">
        <f t="shared" si="23"/>
        <v>2026</v>
      </c>
      <c r="H259" s="51">
        <f>IF($C259="","",IFERROR(DATE(G259,VLOOKUP(E259,Paramètres!$K$11:$L$40,2,FALSE()),F259),"?"))</f>
        <v>46078</v>
      </c>
      <c r="I259" s="50">
        <f>IF(ISNUMBER(H259),IF(COUNTIFS($D$2:D259,D259,$H$2:H259,H259)=1,1,0),"")</f>
        <v>0</v>
      </c>
      <c r="J259" s="50">
        <f>IF(ISNUMBER(H259),IFERROR(INDEX(Calendrier!$C$2:$C$367,MATCH(H259,Calendrier!$A$2:$A$367,0)),0),"")</f>
        <v>1</v>
      </c>
      <c r="K259" s="50">
        <f t="shared" si="24"/>
        <v>0</v>
      </c>
      <c r="L259" s="50">
        <f>IF(D259="","",IF(COUNTIF(Paramètres!$A$11:$A$40,D259)&gt;0,1,0))</f>
        <v>1</v>
      </c>
    </row>
    <row r="260" spans="1:12" hidden="1" x14ac:dyDescent="0.25">
      <c r="A260" s="49"/>
      <c r="B260" s="49" t="s">
        <v>81</v>
      </c>
      <c r="C260" s="49" t="s">
        <v>353</v>
      </c>
      <c r="D260" s="50" t="str">
        <f t="shared" si="20"/>
        <v>Sabrine Neffeti</v>
      </c>
      <c r="E260" s="50" t="str">
        <f t="shared" si="21"/>
        <v>févr</v>
      </c>
      <c r="F260" s="50">
        <f t="shared" si="22"/>
        <v>25</v>
      </c>
      <c r="G260" s="50">
        <f t="shared" si="23"/>
        <v>2026</v>
      </c>
      <c r="H260" s="51">
        <f>IF($C260="","",IFERROR(DATE(G260,VLOOKUP(E260,Paramètres!$K$11:$L$40,2,FALSE()),F260),"?"))</f>
        <v>46078</v>
      </c>
      <c r="I260" s="50">
        <f>IF(ISNUMBER(H260),IF(COUNTIFS($D$2:D260,D260,$H$2:H260,H260)=1,1,0),"")</f>
        <v>0</v>
      </c>
      <c r="J260" s="50">
        <f>IF(ISNUMBER(H260),IFERROR(INDEX(Calendrier!$C$2:$C$367,MATCH(H260,Calendrier!$A$2:$A$367,0)),0),"")</f>
        <v>1</v>
      </c>
      <c r="K260" s="50">
        <f t="shared" si="24"/>
        <v>0</v>
      </c>
      <c r="L260" s="50">
        <f>IF(D260="","",IF(COUNTIF(Paramètres!$A$11:$A$40,D260)&gt;0,1,0))</f>
        <v>1</v>
      </c>
    </row>
    <row r="261" spans="1:12" hidden="1" x14ac:dyDescent="0.25">
      <c r="A261" s="49"/>
      <c r="B261" s="49" t="s">
        <v>81</v>
      </c>
      <c r="C261" s="49" t="s">
        <v>354</v>
      </c>
      <c r="D261" s="50" t="str">
        <f t="shared" si="20"/>
        <v>Sabrine Neffeti</v>
      </c>
      <c r="E261" s="50" t="str">
        <f t="shared" si="21"/>
        <v>févr</v>
      </c>
      <c r="F261" s="50">
        <f t="shared" si="22"/>
        <v>26</v>
      </c>
      <c r="G261" s="50">
        <f t="shared" si="23"/>
        <v>2026</v>
      </c>
      <c r="H261" s="51">
        <f>IF($C261="","",IFERROR(DATE(G261,VLOOKUP(E261,Paramètres!$K$11:$L$40,2,FALSE()),F261),"?"))</f>
        <v>46079</v>
      </c>
      <c r="I261" s="50">
        <f>IF(ISNUMBER(H261),IF(COUNTIFS($D$2:D261,D261,$H$2:H261,H261)=1,1,0),"")</f>
        <v>1</v>
      </c>
      <c r="J261" s="50">
        <f>IF(ISNUMBER(H261),IFERROR(INDEX(Calendrier!$C$2:$C$367,MATCH(H261,Calendrier!$A$2:$A$367,0)),0),"")</f>
        <v>1</v>
      </c>
      <c r="K261" s="50">
        <f t="shared" si="24"/>
        <v>1</v>
      </c>
      <c r="L261" s="50">
        <f>IF(D261="","",IF(COUNTIF(Paramètres!$A$11:$A$40,D261)&gt;0,1,0))</f>
        <v>1</v>
      </c>
    </row>
    <row r="262" spans="1:12" hidden="1" x14ac:dyDescent="0.25">
      <c r="A262" s="49"/>
      <c r="B262" s="49" t="s">
        <v>83</v>
      </c>
      <c r="C262" s="49" t="s">
        <v>355</v>
      </c>
      <c r="D262" s="50" t="str">
        <f t="shared" si="20"/>
        <v>Safouen Magdouli</v>
      </c>
      <c r="E262" s="50" t="str">
        <f t="shared" si="21"/>
        <v>févr</v>
      </c>
      <c r="F262" s="50">
        <f t="shared" si="22"/>
        <v>2</v>
      </c>
      <c r="G262" s="50">
        <f t="shared" si="23"/>
        <v>2026</v>
      </c>
      <c r="H262" s="51">
        <f>IF($C262="","",IFERROR(DATE(G262,VLOOKUP(E262,Paramètres!$K$11:$L$40,2,FALSE()),F262),"?"))</f>
        <v>46055</v>
      </c>
      <c r="I262" s="50">
        <f>IF(ISNUMBER(H262),IF(COUNTIFS($D$2:D262,D262,$H$2:H262,H262)=1,1,0),"")</f>
        <v>1</v>
      </c>
      <c r="J262" s="50">
        <f>IF(ISNUMBER(H262),IFERROR(INDEX(Calendrier!$C$2:$C$367,MATCH(H262,Calendrier!$A$2:$A$367,0)),0),"")</f>
        <v>1</v>
      </c>
      <c r="K262" s="50">
        <f t="shared" si="24"/>
        <v>1</v>
      </c>
      <c r="L262" s="50">
        <f>IF(D262="","",IF(COUNTIF(Paramètres!$A$11:$A$40,D262)&gt;0,1,0))</f>
        <v>1</v>
      </c>
    </row>
    <row r="263" spans="1:12" hidden="1" x14ac:dyDescent="0.25">
      <c r="A263" s="49"/>
      <c r="B263" s="49" t="s">
        <v>83</v>
      </c>
      <c r="C263" s="49" t="s">
        <v>356</v>
      </c>
      <c r="D263" s="50" t="str">
        <f t="shared" si="20"/>
        <v>Safouen Magdouli</v>
      </c>
      <c r="E263" s="50" t="str">
        <f t="shared" si="21"/>
        <v>févr</v>
      </c>
      <c r="F263" s="50">
        <f t="shared" si="22"/>
        <v>4</v>
      </c>
      <c r="G263" s="50">
        <f t="shared" si="23"/>
        <v>2026</v>
      </c>
      <c r="H263" s="51">
        <f>IF($C263="","",IFERROR(DATE(G263,VLOOKUP(E263,Paramètres!$K$11:$L$40,2,FALSE()),F263),"?"))</f>
        <v>46057</v>
      </c>
      <c r="I263" s="50">
        <f>IF(ISNUMBER(H263),IF(COUNTIFS($D$2:D263,D263,$H$2:H263,H263)=1,1,0),"")</f>
        <v>1</v>
      </c>
      <c r="J263" s="50">
        <f>IF(ISNUMBER(H263),IFERROR(INDEX(Calendrier!$C$2:$C$367,MATCH(H263,Calendrier!$A$2:$A$367,0)),0),"")</f>
        <v>1</v>
      </c>
      <c r="K263" s="50">
        <f t="shared" si="24"/>
        <v>1</v>
      </c>
      <c r="L263" s="50">
        <f>IF(D263="","",IF(COUNTIF(Paramètres!$A$11:$A$40,D263)&gt;0,1,0))</f>
        <v>1</v>
      </c>
    </row>
    <row r="264" spans="1:12" hidden="1" x14ac:dyDescent="0.25">
      <c r="A264" s="49"/>
      <c r="B264" s="49" t="s">
        <v>83</v>
      </c>
      <c r="C264" s="49" t="s">
        <v>357</v>
      </c>
      <c r="D264" s="50" t="str">
        <f t="shared" si="20"/>
        <v>Safouen Magdouli</v>
      </c>
      <c r="E264" s="50" t="str">
        <f t="shared" si="21"/>
        <v>févr</v>
      </c>
      <c r="F264" s="50">
        <f t="shared" si="22"/>
        <v>10</v>
      </c>
      <c r="G264" s="50">
        <f t="shared" si="23"/>
        <v>2026</v>
      </c>
      <c r="H264" s="51">
        <f>IF($C264="","",IFERROR(DATE(G264,VLOOKUP(E264,Paramètres!$K$11:$L$40,2,FALSE()),F264),"?"))</f>
        <v>46063</v>
      </c>
      <c r="I264" s="50">
        <f>IF(ISNUMBER(H264),IF(COUNTIFS($D$2:D264,D264,$H$2:H264,H264)=1,1,0),"")</f>
        <v>1</v>
      </c>
      <c r="J264" s="50">
        <f>IF(ISNUMBER(H264),IFERROR(INDEX(Calendrier!$C$2:$C$367,MATCH(H264,Calendrier!$A$2:$A$367,0)),0),"")</f>
        <v>1</v>
      </c>
      <c r="K264" s="50">
        <f t="shared" si="24"/>
        <v>1</v>
      </c>
      <c r="L264" s="50">
        <f>IF(D264="","",IF(COUNTIF(Paramètres!$A$11:$A$40,D264)&gt;0,1,0))</f>
        <v>1</v>
      </c>
    </row>
    <row r="265" spans="1:12" hidden="1" x14ac:dyDescent="0.25">
      <c r="A265" s="49"/>
      <c r="B265" s="49" t="s">
        <v>83</v>
      </c>
      <c r="C265" s="49" t="s">
        <v>358</v>
      </c>
      <c r="D265" s="50" t="str">
        <f t="shared" si="20"/>
        <v>Safouen Magdouli</v>
      </c>
      <c r="E265" s="50" t="str">
        <f t="shared" si="21"/>
        <v>févr</v>
      </c>
      <c r="F265" s="50">
        <f t="shared" si="22"/>
        <v>17</v>
      </c>
      <c r="G265" s="50">
        <f t="shared" si="23"/>
        <v>2026</v>
      </c>
      <c r="H265" s="51">
        <f>IF($C265="","",IFERROR(DATE(G265,VLOOKUP(E265,Paramètres!$K$11:$L$40,2,FALSE()),F265),"?"))</f>
        <v>46070</v>
      </c>
      <c r="I265" s="50">
        <f>IF(ISNUMBER(H265),IF(COUNTIFS($D$2:D265,D265,$H$2:H265,H265)=1,1,0),"")</f>
        <v>1</v>
      </c>
      <c r="J265" s="50">
        <f>IF(ISNUMBER(H265),IFERROR(INDEX(Calendrier!$C$2:$C$367,MATCH(H265,Calendrier!$A$2:$A$367,0)),0),"")</f>
        <v>1</v>
      </c>
      <c r="K265" s="50">
        <f t="shared" si="24"/>
        <v>1</v>
      </c>
      <c r="L265" s="50">
        <f>IF(D265="","",IF(COUNTIF(Paramètres!$A$11:$A$40,D265)&gt;0,1,0))</f>
        <v>1</v>
      </c>
    </row>
    <row r="266" spans="1:12" hidden="1" x14ac:dyDescent="0.25">
      <c r="A266" s="49"/>
      <c r="B266" s="49" t="s">
        <v>83</v>
      </c>
      <c r="C266" s="49" t="s">
        <v>359</v>
      </c>
      <c r="D266" s="50" t="str">
        <f t="shared" si="20"/>
        <v>Safouen Magdouli</v>
      </c>
      <c r="E266" s="50" t="str">
        <f t="shared" si="21"/>
        <v>févr</v>
      </c>
      <c r="F266" s="50">
        <f t="shared" si="22"/>
        <v>25</v>
      </c>
      <c r="G266" s="50">
        <f t="shared" si="23"/>
        <v>2026</v>
      </c>
      <c r="H266" s="51">
        <f>IF($C266="","",IFERROR(DATE(G266,VLOOKUP(E266,Paramètres!$K$11:$L$40,2,FALSE()),F266),"?"))</f>
        <v>46078</v>
      </c>
      <c r="I266" s="50">
        <f>IF(ISNUMBER(H266),IF(COUNTIFS($D$2:D266,D266,$H$2:H266,H266)=1,1,0),"")</f>
        <v>1</v>
      </c>
      <c r="J266" s="50">
        <f>IF(ISNUMBER(H266),IFERROR(INDEX(Calendrier!$C$2:$C$367,MATCH(H266,Calendrier!$A$2:$A$367,0)),0),"")</f>
        <v>1</v>
      </c>
      <c r="K266" s="50">
        <f t="shared" si="24"/>
        <v>1</v>
      </c>
      <c r="L266" s="50">
        <f>IF(D266="","",IF(COUNTIF(Paramètres!$A$11:$A$40,D266)&gt;0,1,0))</f>
        <v>1</v>
      </c>
    </row>
    <row r="267" spans="1:12" hidden="1" x14ac:dyDescent="0.25">
      <c r="A267" s="49"/>
      <c r="B267" s="49" t="s">
        <v>85</v>
      </c>
      <c r="C267" s="49" t="s">
        <v>360</v>
      </c>
      <c r="D267" s="50" t="str">
        <f t="shared" si="20"/>
        <v>Said Hamrouni</v>
      </c>
      <c r="E267" s="50" t="str">
        <f t="shared" si="21"/>
        <v>févr</v>
      </c>
      <c r="F267" s="50">
        <f t="shared" si="22"/>
        <v>4</v>
      </c>
      <c r="G267" s="50">
        <f t="shared" si="23"/>
        <v>2026</v>
      </c>
      <c r="H267" s="51">
        <f>IF($C267="","",IFERROR(DATE(G267,VLOOKUP(E267,Paramètres!$K$11:$L$40,2,FALSE()),F267),"?"))</f>
        <v>46057</v>
      </c>
      <c r="I267" s="50">
        <f>IF(ISNUMBER(H267),IF(COUNTIFS($D$2:D267,D267,$H$2:H267,H267)=1,1,0),"")</f>
        <v>1</v>
      </c>
      <c r="J267" s="50">
        <f>IF(ISNUMBER(H267),IFERROR(INDEX(Calendrier!$C$2:$C$367,MATCH(H267,Calendrier!$A$2:$A$367,0)),0),"")</f>
        <v>1</v>
      </c>
      <c r="K267" s="50">
        <f t="shared" si="24"/>
        <v>1</v>
      </c>
      <c r="L267" s="50">
        <f>IF(D267="","",IF(COUNTIF(Paramètres!$A$11:$A$40,D267)&gt;0,1,0))</f>
        <v>1</v>
      </c>
    </row>
    <row r="268" spans="1:12" hidden="1" x14ac:dyDescent="0.25">
      <c r="A268" s="49"/>
      <c r="B268" s="49" t="s">
        <v>85</v>
      </c>
      <c r="C268" s="49" t="s">
        <v>361</v>
      </c>
      <c r="D268" s="50" t="str">
        <f t="shared" si="20"/>
        <v>Said Hamrouni</v>
      </c>
      <c r="E268" s="50" t="str">
        <f t="shared" si="21"/>
        <v>févr</v>
      </c>
      <c r="F268" s="50">
        <f t="shared" si="22"/>
        <v>9</v>
      </c>
      <c r="G268" s="50">
        <f t="shared" si="23"/>
        <v>2026</v>
      </c>
      <c r="H268" s="51">
        <f>IF($C268="","",IFERROR(DATE(G268,VLOOKUP(E268,Paramètres!$K$11:$L$40,2,FALSE()),F268),"?"))</f>
        <v>46062</v>
      </c>
      <c r="I268" s="50">
        <f>IF(ISNUMBER(H268),IF(COUNTIFS($D$2:D268,D268,$H$2:H268,H268)=1,1,0),"")</f>
        <v>1</v>
      </c>
      <c r="J268" s="50">
        <f>IF(ISNUMBER(H268),IFERROR(INDEX(Calendrier!$C$2:$C$367,MATCH(H268,Calendrier!$A$2:$A$367,0)),0),"")</f>
        <v>1</v>
      </c>
      <c r="K268" s="50">
        <f t="shared" si="24"/>
        <v>1</v>
      </c>
      <c r="L268" s="50">
        <f>IF(D268="","",IF(COUNTIF(Paramètres!$A$11:$A$40,D268)&gt;0,1,0))</f>
        <v>1</v>
      </c>
    </row>
    <row r="269" spans="1:12" hidden="1" x14ac:dyDescent="0.25">
      <c r="A269" s="49"/>
      <c r="B269" s="49" t="s">
        <v>85</v>
      </c>
      <c r="C269" s="49" t="s">
        <v>362</v>
      </c>
      <c r="D269" s="50" t="str">
        <f t="shared" si="20"/>
        <v>Said Hamrouni</v>
      </c>
      <c r="E269" s="50" t="str">
        <f t="shared" si="21"/>
        <v>févr</v>
      </c>
      <c r="F269" s="50">
        <f t="shared" si="22"/>
        <v>11</v>
      </c>
      <c r="G269" s="50">
        <f t="shared" si="23"/>
        <v>2026</v>
      </c>
      <c r="H269" s="51">
        <f>IF($C269="","",IFERROR(DATE(G269,VLOOKUP(E269,Paramètres!$K$11:$L$40,2,FALSE()),F269),"?"))</f>
        <v>46064</v>
      </c>
      <c r="I269" s="50">
        <f>IF(ISNUMBER(H269),IF(COUNTIFS($D$2:D269,D269,$H$2:H269,H269)=1,1,0),"")</f>
        <v>1</v>
      </c>
      <c r="J269" s="50">
        <f>IF(ISNUMBER(H269),IFERROR(INDEX(Calendrier!$C$2:$C$367,MATCH(H269,Calendrier!$A$2:$A$367,0)),0),"")</f>
        <v>1</v>
      </c>
      <c r="K269" s="50">
        <f t="shared" si="24"/>
        <v>1</v>
      </c>
      <c r="L269" s="50">
        <f>IF(D269="","",IF(COUNTIF(Paramètres!$A$11:$A$40,D269)&gt;0,1,0))</f>
        <v>1</v>
      </c>
    </row>
    <row r="270" spans="1:12" hidden="1" x14ac:dyDescent="0.25">
      <c r="A270" s="49"/>
      <c r="B270" s="49" t="s">
        <v>85</v>
      </c>
      <c r="C270" s="49" t="s">
        <v>363</v>
      </c>
      <c r="D270" s="50" t="str">
        <f t="shared" si="20"/>
        <v>Said Hamrouni</v>
      </c>
      <c r="E270" s="50" t="str">
        <f t="shared" si="21"/>
        <v>févr</v>
      </c>
      <c r="F270" s="50">
        <f t="shared" si="22"/>
        <v>16</v>
      </c>
      <c r="G270" s="50">
        <f t="shared" si="23"/>
        <v>2026</v>
      </c>
      <c r="H270" s="51">
        <f>IF($C270="","",IFERROR(DATE(G270,VLOOKUP(E270,Paramètres!$K$11:$L$40,2,FALSE()),F270),"?"))</f>
        <v>46069</v>
      </c>
      <c r="I270" s="50">
        <f>IF(ISNUMBER(H270),IF(COUNTIFS($D$2:D270,D270,$H$2:H270,H270)=1,1,0),"")</f>
        <v>1</v>
      </c>
      <c r="J270" s="50">
        <f>IF(ISNUMBER(H270),IFERROR(INDEX(Calendrier!$C$2:$C$367,MATCH(H270,Calendrier!$A$2:$A$367,0)),0),"")</f>
        <v>1</v>
      </c>
      <c r="K270" s="50">
        <f t="shared" si="24"/>
        <v>1</v>
      </c>
      <c r="L270" s="50">
        <f>IF(D270="","",IF(COUNTIF(Paramètres!$A$11:$A$40,D270)&gt;0,1,0))</f>
        <v>1</v>
      </c>
    </row>
    <row r="271" spans="1:12" hidden="1" x14ac:dyDescent="0.25">
      <c r="A271" s="49"/>
      <c r="B271" s="49" t="s">
        <v>85</v>
      </c>
      <c r="C271" s="49" t="s">
        <v>364</v>
      </c>
      <c r="D271" s="50" t="str">
        <f t="shared" si="20"/>
        <v>Said Hamrouni</v>
      </c>
      <c r="E271" s="50" t="str">
        <f t="shared" si="21"/>
        <v>févr</v>
      </c>
      <c r="F271" s="50">
        <f t="shared" si="22"/>
        <v>16</v>
      </c>
      <c r="G271" s="50">
        <f t="shared" si="23"/>
        <v>2026</v>
      </c>
      <c r="H271" s="51">
        <f>IF($C271="","",IFERROR(DATE(G271,VLOOKUP(E271,Paramètres!$K$11:$L$40,2,FALSE()),F271),"?"))</f>
        <v>46069</v>
      </c>
      <c r="I271" s="50">
        <f>IF(ISNUMBER(H271),IF(COUNTIFS($D$2:D271,D271,$H$2:H271,H271)=1,1,0),"")</f>
        <v>0</v>
      </c>
      <c r="J271" s="50">
        <f>IF(ISNUMBER(H271),IFERROR(INDEX(Calendrier!$C$2:$C$367,MATCH(H271,Calendrier!$A$2:$A$367,0)),0),"")</f>
        <v>1</v>
      </c>
      <c r="K271" s="50">
        <f t="shared" si="24"/>
        <v>0</v>
      </c>
      <c r="L271" s="50">
        <f>IF(D271="","",IF(COUNTIF(Paramètres!$A$11:$A$40,D271)&gt;0,1,0))</f>
        <v>1</v>
      </c>
    </row>
    <row r="272" spans="1:12" hidden="1" x14ac:dyDescent="0.25">
      <c r="A272" s="49"/>
      <c r="B272" s="49" t="s">
        <v>85</v>
      </c>
      <c r="C272" s="49" t="s">
        <v>365</v>
      </c>
      <c r="D272" s="50" t="str">
        <f t="shared" si="20"/>
        <v>Said Hamrouni</v>
      </c>
      <c r="E272" s="50" t="str">
        <f t="shared" si="21"/>
        <v>févr</v>
      </c>
      <c r="F272" s="50">
        <f t="shared" si="22"/>
        <v>17</v>
      </c>
      <c r="G272" s="50">
        <f t="shared" si="23"/>
        <v>2026</v>
      </c>
      <c r="H272" s="51">
        <f>IF($C272="","",IFERROR(DATE(G272,VLOOKUP(E272,Paramètres!$K$11:$L$40,2,FALSE()),F272),"?"))</f>
        <v>46070</v>
      </c>
      <c r="I272" s="50">
        <f>IF(ISNUMBER(H272),IF(COUNTIFS($D$2:D272,D272,$H$2:H272,H272)=1,1,0),"")</f>
        <v>1</v>
      </c>
      <c r="J272" s="50">
        <f>IF(ISNUMBER(H272),IFERROR(INDEX(Calendrier!$C$2:$C$367,MATCH(H272,Calendrier!$A$2:$A$367,0)),0),"")</f>
        <v>1</v>
      </c>
      <c r="K272" s="50">
        <f t="shared" si="24"/>
        <v>1</v>
      </c>
      <c r="L272" s="50">
        <f>IF(D272="","",IF(COUNTIF(Paramètres!$A$11:$A$40,D272)&gt;0,1,0))</f>
        <v>1</v>
      </c>
    </row>
    <row r="273" spans="1:12" hidden="1" x14ac:dyDescent="0.25">
      <c r="A273" s="49"/>
      <c r="B273" s="49" t="s">
        <v>85</v>
      </c>
      <c r="C273" s="49" t="s">
        <v>366</v>
      </c>
      <c r="D273" s="50" t="str">
        <f t="shared" si="20"/>
        <v>Said Hamrouni</v>
      </c>
      <c r="E273" s="50" t="str">
        <f t="shared" si="21"/>
        <v>févr</v>
      </c>
      <c r="F273" s="50">
        <f t="shared" si="22"/>
        <v>17</v>
      </c>
      <c r="G273" s="50">
        <f t="shared" si="23"/>
        <v>2026</v>
      </c>
      <c r="H273" s="51">
        <f>IF($C273="","",IFERROR(DATE(G273,VLOOKUP(E273,Paramètres!$K$11:$L$40,2,FALSE()),F273),"?"))</f>
        <v>46070</v>
      </c>
      <c r="I273" s="50">
        <f>IF(ISNUMBER(H273),IF(COUNTIFS($D$2:D273,D273,$H$2:H273,H273)=1,1,0),"")</f>
        <v>0</v>
      </c>
      <c r="J273" s="50">
        <f>IF(ISNUMBER(H273),IFERROR(INDEX(Calendrier!$C$2:$C$367,MATCH(H273,Calendrier!$A$2:$A$367,0)),0),"")</f>
        <v>1</v>
      </c>
      <c r="K273" s="50">
        <f t="shared" si="24"/>
        <v>0</v>
      </c>
      <c r="L273" s="50">
        <f>IF(D273="","",IF(COUNTIF(Paramètres!$A$11:$A$40,D273)&gt;0,1,0))</f>
        <v>1</v>
      </c>
    </row>
    <row r="274" spans="1:12" hidden="1" x14ac:dyDescent="0.25">
      <c r="A274" s="49"/>
      <c r="B274" s="49" t="s">
        <v>85</v>
      </c>
      <c r="C274" s="49" t="s">
        <v>367</v>
      </c>
      <c r="D274" s="50" t="str">
        <f t="shared" si="20"/>
        <v>Said Hamrouni</v>
      </c>
      <c r="E274" s="50" t="str">
        <f t="shared" si="21"/>
        <v>févr</v>
      </c>
      <c r="F274" s="50">
        <f t="shared" si="22"/>
        <v>18</v>
      </c>
      <c r="G274" s="50">
        <f t="shared" si="23"/>
        <v>2026</v>
      </c>
      <c r="H274" s="51">
        <f>IF($C274="","",IFERROR(DATE(G274,VLOOKUP(E274,Paramètres!$K$11:$L$40,2,FALSE()),F274),"?"))</f>
        <v>46071</v>
      </c>
      <c r="I274" s="50">
        <f>IF(ISNUMBER(H274),IF(COUNTIFS($D$2:D274,D274,$H$2:H274,H274)=1,1,0),"")</f>
        <v>1</v>
      </c>
      <c r="J274" s="50">
        <f>IF(ISNUMBER(H274),IFERROR(INDEX(Calendrier!$C$2:$C$367,MATCH(H274,Calendrier!$A$2:$A$367,0)),0),"")</f>
        <v>1</v>
      </c>
      <c r="K274" s="50">
        <f t="shared" si="24"/>
        <v>1</v>
      </c>
      <c r="L274" s="50">
        <f>IF(D274="","",IF(COUNTIF(Paramètres!$A$11:$A$40,D274)&gt;0,1,0))</f>
        <v>1</v>
      </c>
    </row>
    <row r="275" spans="1:12" hidden="1" x14ac:dyDescent="0.25">
      <c r="A275" s="49"/>
      <c r="B275" s="49" t="s">
        <v>85</v>
      </c>
      <c r="C275" s="49" t="s">
        <v>368</v>
      </c>
      <c r="D275" s="50" t="str">
        <f t="shared" si="20"/>
        <v>Said Hamrouni</v>
      </c>
      <c r="E275" s="50" t="str">
        <f t="shared" si="21"/>
        <v>févr</v>
      </c>
      <c r="F275" s="50">
        <f t="shared" si="22"/>
        <v>24</v>
      </c>
      <c r="G275" s="50">
        <f t="shared" si="23"/>
        <v>2026</v>
      </c>
      <c r="H275" s="51">
        <f>IF($C275="","",IFERROR(DATE(G275,VLOOKUP(E275,Paramètres!$K$11:$L$40,2,FALSE()),F275),"?"))</f>
        <v>46077</v>
      </c>
      <c r="I275" s="50">
        <f>IF(ISNUMBER(H275),IF(COUNTIFS($D$2:D275,D275,$H$2:H275,H275)=1,1,0),"")</f>
        <v>1</v>
      </c>
      <c r="J275" s="50">
        <f>IF(ISNUMBER(H275),IFERROR(INDEX(Calendrier!$C$2:$C$367,MATCH(H275,Calendrier!$A$2:$A$367,0)),0),"")</f>
        <v>1</v>
      </c>
      <c r="K275" s="50">
        <f t="shared" si="24"/>
        <v>1</v>
      </c>
      <c r="L275" s="50">
        <f>IF(D275="","",IF(COUNTIF(Paramètres!$A$11:$A$40,D275)&gt;0,1,0))</f>
        <v>1</v>
      </c>
    </row>
    <row r="276" spans="1:12" hidden="1" x14ac:dyDescent="0.25">
      <c r="A276" s="49"/>
      <c r="B276" s="49" t="s">
        <v>85</v>
      </c>
      <c r="C276" s="49" t="s">
        <v>369</v>
      </c>
      <c r="D276" s="50" t="str">
        <f t="shared" si="20"/>
        <v>Said Hamrouni</v>
      </c>
      <c r="E276" s="50" t="str">
        <f t="shared" si="21"/>
        <v>févr</v>
      </c>
      <c r="F276" s="50">
        <f t="shared" si="22"/>
        <v>25</v>
      </c>
      <c r="G276" s="50">
        <f t="shared" si="23"/>
        <v>2026</v>
      </c>
      <c r="H276" s="51">
        <f>IF($C276="","",IFERROR(DATE(G276,VLOOKUP(E276,Paramètres!$K$11:$L$40,2,FALSE()),F276),"?"))</f>
        <v>46078</v>
      </c>
      <c r="I276" s="50">
        <f>IF(ISNUMBER(H276),IF(COUNTIFS($D$2:D276,D276,$H$2:H276,H276)=1,1,0),"")</f>
        <v>1</v>
      </c>
      <c r="J276" s="50">
        <f>IF(ISNUMBER(H276),IFERROR(INDEX(Calendrier!$C$2:$C$367,MATCH(H276,Calendrier!$A$2:$A$367,0)),0),"")</f>
        <v>1</v>
      </c>
      <c r="K276" s="50">
        <f t="shared" si="24"/>
        <v>1</v>
      </c>
      <c r="L276" s="50">
        <f>IF(D276="","",IF(COUNTIF(Paramètres!$A$11:$A$40,D276)&gt;0,1,0))</f>
        <v>1</v>
      </c>
    </row>
    <row r="277" spans="1:12" hidden="1" x14ac:dyDescent="0.25">
      <c r="A277" s="49"/>
      <c r="B277" s="49" t="s">
        <v>88</v>
      </c>
      <c r="C277" s="49" t="s">
        <v>370</v>
      </c>
      <c r="D277" s="50" t="str">
        <f t="shared" si="20"/>
        <v>Wissem Ben Abdalah</v>
      </c>
      <c r="E277" s="50" t="str">
        <f t="shared" si="21"/>
        <v>févr</v>
      </c>
      <c r="F277" s="50">
        <f t="shared" si="22"/>
        <v>27</v>
      </c>
      <c r="G277" s="50">
        <f t="shared" si="23"/>
        <v>2026</v>
      </c>
      <c r="H277" s="51">
        <f>IF($C277="","",IFERROR(DATE(G277,VLOOKUP(E277,Paramètres!$K$11:$L$40,2,FALSE()),F277),"?"))</f>
        <v>46080</v>
      </c>
      <c r="I277" s="50">
        <f>IF(ISNUMBER(H277),IF(COUNTIFS($D$2:D277,D277,$H$2:H277,H277)=1,1,0),"")</f>
        <v>1</v>
      </c>
      <c r="J277" s="50">
        <f>IF(ISNUMBER(H277),IFERROR(INDEX(Calendrier!$C$2:$C$367,MATCH(H277,Calendrier!$A$2:$A$367,0)),0),"")</f>
        <v>1</v>
      </c>
      <c r="K277" s="50">
        <f t="shared" si="24"/>
        <v>1</v>
      </c>
      <c r="L277" s="50">
        <f>IF(D277="","",IF(COUNTIF(Paramètres!$A$11:$A$40,D277)&gt;0,1,0))</f>
        <v>1</v>
      </c>
    </row>
    <row r="278" spans="1:12" x14ac:dyDescent="0.25">
      <c r="A278" s="49"/>
      <c r="B278" s="49" t="s">
        <v>90</v>
      </c>
      <c r="C278" s="49" t="s">
        <v>371</v>
      </c>
      <c r="D278" s="50" t="str">
        <f t="shared" si="20"/>
        <v>Zouhour Fathallah</v>
      </c>
      <c r="E278" s="50" t="str">
        <f t="shared" si="21"/>
        <v>févr</v>
      </c>
      <c r="F278" s="50">
        <f t="shared" si="22"/>
        <v>2</v>
      </c>
      <c r="G278" s="50">
        <f t="shared" si="23"/>
        <v>2026</v>
      </c>
      <c r="H278" s="51">
        <f>IF($C278="","",IFERROR(DATE(G278,VLOOKUP(E278,Paramètres!$K$11:$L$40,2,FALSE()),F278),"?"))</f>
        <v>46055</v>
      </c>
      <c r="I278" s="50">
        <f>IF(ISNUMBER(H278),IF(COUNTIFS($D$2:D278,D278,$H$2:H278,H278)=1,1,0),"")</f>
        <v>1</v>
      </c>
      <c r="J278" s="50">
        <f>IF(ISNUMBER(H278),IFERROR(INDEX(Calendrier!$C$2:$C$367,MATCH(H278,Calendrier!$A$2:$A$367,0)),0),"")</f>
        <v>1</v>
      </c>
      <c r="K278" s="50">
        <f t="shared" si="24"/>
        <v>1</v>
      </c>
      <c r="L278" s="50">
        <f>IF(D278="","",IF(COUNTIF(Paramètres!$A$11:$A$40,D278)&gt;0,1,0))</f>
        <v>1</v>
      </c>
    </row>
    <row r="279" spans="1:12" x14ac:dyDescent="0.25">
      <c r="A279" s="49"/>
      <c r="B279" s="49" t="s">
        <v>90</v>
      </c>
      <c r="C279" s="49" t="s">
        <v>372</v>
      </c>
      <c r="D279" s="50" t="str">
        <f t="shared" si="20"/>
        <v>Zouhour Fathallah</v>
      </c>
      <c r="E279" s="50" t="str">
        <f t="shared" si="21"/>
        <v>févr</v>
      </c>
      <c r="F279" s="50">
        <f t="shared" si="22"/>
        <v>5</v>
      </c>
      <c r="G279" s="50">
        <f t="shared" si="23"/>
        <v>2026</v>
      </c>
      <c r="H279" s="51">
        <f>IF($C279="","",IFERROR(DATE(G279,VLOOKUP(E279,Paramètres!$K$11:$L$40,2,FALSE()),F279),"?"))</f>
        <v>46058</v>
      </c>
      <c r="I279" s="50">
        <f>IF(ISNUMBER(H279),IF(COUNTIFS($D$2:D279,D279,$H$2:H279,H279)=1,1,0),"")</f>
        <v>1</v>
      </c>
      <c r="J279" s="50">
        <f>IF(ISNUMBER(H279),IFERROR(INDEX(Calendrier!$C$2:$C$367,MATCH(H279,Calendrier!$A$2:$A$367,0)),0),"")</f>
        <v>1</v>
      </c>
      <c r="K279" s="50">
        <f t="shared" si="24"/>
        <v>1</v>
      </c>
      <c r="L279" s="50">
        <f>IF(D279="","",IF(COUNTIF(Paramètres!$A$11:$A$40,D279)&gt;0,1,0))</f>
        <v>1</v>
      </c>
    </row>
    <row r="280" spans="1:12" x14ac:dyDescent="0.25">
      <c r="A280" s="49"/>
      <c r="B280" s="49" t="s">
        <v>90</v>
      </c>
      <c r="C280" s="49" t="s">
        <v>373</v>
      </c>
      <c r="D280" s="50" t="str">
        <f t="shared" si="20"/>
        <v>Zouhour Fathallah</v>
      </c>
      <c r="E280" s="50" t="str">
        <f t="shared" si="21"/>
        <v>févr</v>
      </c>
      <c r="F280" s="50">
        <f t="shared" si="22"/>
        <v>6</v>
      </c>
      <c r="G280" s="50">
        <f t="shared" si="23"/>
        <v>2026</v>
      </c>
      <c r="H280" s="51">
        <f>IF($C280="","",IFERROR(DATE(G280,VLOOKUP(E280,Paramètres!$K$11:$L$40,2,FALSE()),F280),"?"))</f>
        <v>46059</v>
      </c>
      <c r="I280" s="50">
        <f>IF(ISNUMBER(H280),IF(COUNTIFS($D$2:D280,D280,$H$2:H280,H280)=1,1,0),"")</f>
        <v>1</v>
      </c>
      <c r="J280" s="50">
        <f>IF(ISNUMBER(H280),IFERROR(INDEX(Calendrier!$C$2:$C$367,MATCH(H280,Calendrier!$A$2:$A$367,0)),0),"")</f>
        <v>1</v>
      </c>
      <c r="K280" s="50">
        <f t="shared" si="24"/>
        <v>1</v>
      </c>
      <c r="L280" s="50">
        <f>IF(D280="","",IF(COUNTIF(Paramètres!$A$11:$A$40,D280)&gt;0,1,0))</f>
        <v>1</v>
      </c>
    </row>
    <row r="281" spans="1:12" x14ac:dyDescent="0.25">
      <c r="A281" s="49"/>
      <c r="B281" s="49" t="s">
        <v>90</v>
      </c>
      <c r="C281" s="49" t="s">
        <v>374</v>
      </c>
      <c r="D281" s="50" t="str">
        <f t="shared" si="20"/>
        <v>Zouhour Fathallah</v>
      </c>
      <c r="E281" s="50" t="str">
        <f t="shared" si="21"/>
        <v>févr</v>
      </c>
      <c r="F281" s="50">
        <f t="shared" si="22"/>
        <v>9</v>
      </c>
      <c r="G281" s="50">
        <f t="shared" si="23"/>
        <v>2026</v>
      </c>
      <c r="H281" s="51">
        <f>IF($C281="","",IFERROR(DATE(G281,VLOOKUP(E281,Paramètres!$K$11:$L$40,2,FALSE()),F281),"?"))</f>
        <v>46062</v>
      </c>
      <c r="I281" s="50">
        <f>IF(ISNUMBER(H281),IF(COUNTIFS($D$2:D281,D281,$H$2:H281,H281)=1,1,0),"")</f>
        <v>1</v>
      </c>
      <c r="J281" s="50">
        <f>IF(ISNUMBER(H281),IFERROR(INDEX(Calendrier!$C$2:$C$367,MATCH(H281,Calendrier!$A$2:$A$367,0)),0),"")</f>
        <v>1</v>
      </c>
      <c r="K281" s="50">
        <f t="shared" si="24"/>
        <v>1</v>
      </c>
      <c r="L281" s="50">
        <f>IF(D281="","",IF(COUNTIF(Paramètres!$A$11:$A$40,D281)&gt;0,1,0))</f>
        <v>1</v>
      </c>
    </row>
    <row r="282" spans="1:12" x14ac:dyDescent="0.25">
      <c r="A282" s="49"/>
      <c r="B282" s="49" t="s">
        <v>90</v>
      </c>
      <c r="C282" s="49" t="s">
        <v>375</v>
      </c>
      <c r="D282" s="50" t="str">
        <f t="shared" si="20"/>
        <v>Zouhour Fathallah</v>
      </c>
      <c r="E282" s="50" t="str">
        <f t="shared" si="21"/>
        <v>févr</v>
      </c>
      <c r="F282" s="50">
        <f t="shared" si="22"/>
        <v>9</v>
      </c>
      <c r="G282" s="50">
        <f t="shared" si="23"/>
        <v>2026</v>
      </c>
      <c r="H282" s="51">
        <f>IF($C282="","",IFERROR(DATE(G282,VLOOKUP(E282,Paramètres!$K$11:$L$40,2,FALSE()),F282),"?"))</f>
        <v>46062</v>
      </c>
      <c r="I282" s="50">
        <f>IF(ISNUMBER(H282),IF(COUNTIFS($D$2:D282,D282,$H$2:H282,H282)=1,1,0),"")</f>
        <v>0</v>
      </c>
      <c r="J282" s="50">
        <f>IF(ISNUMBER(H282),IFERROR(INDEX(Calendrier!$C$2:$C$367,MATCH(H282,Calendrier!$A$2:$A$367,0)),0),"")</f>
        <v>1</v>
      </c>
      <c r="K282" s="50">
        <f t="shared" si="24"/>
        <v>0</v>
      </c>
      <c r="L282" s="50">
        <f>IF(D282="","",IF(COUNTIF(Paramètres!$A$11:$A$40,D282)&gt;0,1,0))</f>
        <v>1</v>
      </c>
    </row>
    <row r="283" spans="1:12" x14ac:dyDescent="0.25">
      <c r="A283" s="49"/>
      <c r="B283" s="49" t="s">
        <v>90</v>
      </c>
      <c r="C283" s="49" t="s">
        <v>376</v>
      </c>
      <c r="D283" s="50" t="str">
        <f t="shared" si="20"/>
        <v>Zouhour Fathallah</v>
      </c>
      <c r="E283" s="50" t="str">
        <f t="shared" si="21"/>
        <v>févr</v>
      </c>
      <c r="F283" s="50">
        <f t="shared" si="22"/>
        <v>11</v>
      </c>
      <c r="G283" s="50">
        <f t="shared" si="23"/>
        <v>2026</v>
      </c>
      <c r="H283" s="51">
        <f>IF($C283="","",IFERROR(DATE(G283,VLOOKUP(E283,Paramètres!$K$11:$L$40,2,FALSE()),F283),"?"))</f>
        <v>46064</v>
      </c>
      <c r="I283" s="50">
        <f>IF(ISNUMBER(H283),IF(COUNTIFS($D$2:D283,D283,$H$2:H283,H283)=1,1,0),"")</f>
        <v>1</v>
      </c>
      <c r="J283" s="50">
        <f>IF(ISNUMBER(H283),IFERROR(INDEX(Calendrier!$C$2:$C$367,MATCH(H283,Calendrier!$A$2:$A$367,0)),0),"")</f>
        <v>1</v>
      </c>
      <c r="K283" s="50">
        <f t="shared" si="24"/>
        <v>1</v>
      </c>
      <c r="L283" s="50">
        <f>IF(D283="","",IF(COUNTIF(Paramètres!$A$11:$A$40,D283)&gt;0,1,0))</f>
        <v>1</v>
      </c>
    </row>
    <row r="284" spans="1:12" x14ac:dyDescent="0.25">
      <c r="A284" s="49"/>
      <c r="B284" s="49" t="s">
        <v>90</v>
      </c>
      <c r="C284" s="49" t="s">
        <v>377</v>
      </c>
      <c r="D284" s="50" t="str">
        <f t="shared" si="20"/>
        <v>Zouhour Fathallah</v>
      </c>
      <c r="E284" s="50" t="str">
        <f t="shared" si="21"/>
        <v>févr</v>
      </c>
      <c r="F284" s="50">
        <f t="shared" si="22"/>
        <v>13</v>
      </c>
      <c r="G284" s="50">
        <f t="shared" si="23"/>
        <v>2026</v>
      </c>
      <c r="H284" s="51">
        <f>IF($C284="","",IFERROR(DATE(G284,VLOOKUP(E284,Paramètres!$K$11:$L$40,2,FALSE()),F284),"?"))</f>
        <v>46066</v>
      </c>
      <c r="I284" s="50">
        <f>IF(ISNUMBER(H284),IF(COUNTIFS($D$2:D284,D284,$H$2:H284,H284)=1,1,0),"")</f>
        <v>1</v>
      </c>
      <c r="J284" s="50">
        <f>IF(ISNUMBER(H284),IFERROR(INDEX(Calendrier!$C$2:$C$367,MATCH(H284,Calendrier!$A$2:$A$367,0)),0),"")</f>
        <v>1</v>
      </c>
      <c r="K284" s="50">
        <f t="shared" si="24"/>
        <v>1</v>
      </c>
      <c r="L284" s="50">
        <f>IF(D284="","",IF(COUNTIF(Paramètres!$A$11:$A$40,D284)&gt;0,1,0))</f>
        <v>1</v>
      </c>
    </row>
    <row r="285" spans="1:12" x14ac:dyDescent="0.25">
      <c r="A285" s="49"/>
      <c r="B285" s="49" t="s">
        <v>90</v>
      </c>
      <c r="C285" s="49" t="s">
        <v>377</v>
      </c>
      <c r="D285" s="50" t="str">
        <f t="shared" si="20"/>
        <v>Zouhour Fathallah</v>
      </c>
      <c r="E285" s="50" t="str">
        <f t="shared" si="21"/>
        <v>févr</v>
      </c>
      <c r="F285" s="50">
        <f t="shared" si="22"/>
        <v>13</v>
      </c>
      <c r="G285" s="50">
        <f t="shared" si="23"/>
        <v>2026</v>
      </c>
      <c r="H285" s="51">
        <f>IF($C285="","",IFERROR(DATE(G285,VLOOKUP(E285,Paramètres!$K$11:$L$40,2,FALSE()),F285),"?"))</f>
        <v>46066</v>
      </c>
      <c r="I285" s="50">
        <f>IF(ISNUMBER(H285),IF(COUNTIFS($D$2:D285,D285,$H$2:H285,H285)=1,1,0),"")</f>
        <v>0</v>
      </c>
      <c r="J285" s="50">
        <f>IF(ISNUMBER(H285),IFERROR(INDEX(Calendrier!$C$2:$C$367,MATCH(H285,Calendrier!$A$2:$A$367,0)),0),"")</f>
        <v>1</v>
      </c>
      <c r="K285" s="50">
        <f t="shared" si="24"/>
        <v>0</v>
      </c>
      <c r="L285" s="50">
        <f>IF(D285="","",IF(COUNTIF(Paramètres!$A$11:$A$40,D285)&gt;0,1,0))</f>
        <v>1</v>
      </c>
    </row>
    <row r="286" spans="1:12" x14ac:dyDescent="0.25">
      <c r="A286" s="49"/>
      <c r="B286" s="49" t="s">
        <v>90</v>
      </c>
      <c r="C286" s="49" t="s">
        <v>377</v>
      </c>
      <c r="D286" s="50" t="str">
        <f t="shared" si="20"/>
        <v>Zouhour Fathallah</v>
      </c>
      <c r="E286" s="50" t="str">
        <f t="shared" si="21"/>
        <v>févr</v>
      </c>
      <c r="F286" s="50">
        <f t="shared" si="22"/>
        <v>13</v>
      </c>
      <c r="G286" s="50">
        <f t="shared" si="23"/>
        <v>2026</v>
      </c>
      <c r="H286" s="51">
        <f>IF($C286="","",IFERROR(DATE(G286,VLOOKUP(E286,Paramètres!$K$11:$L$40,2,FALSE()),F286),"?"))</f>
        <v>46066</v>
      </c>
      <c r="I286" s="50">
        <f>IF(ISNUMBER(H286),IF(COUNTIFS($D$2:D286,D286,$H$2:H286,H286)=1,1,0),"")</f>
        <v>0</v>
      </c>
      <c r="J286" s="50">
        <f>IF(ISNUMBER(H286),IFERROR(INDEX(Calendrier!$C$2:$C$367,MATCH(H286,Calendrier!$A$2:$A$367,0)),0),"")</f>
        <v>1</v>
      </c>
      <c r="K286" s="50">
        <f t="shared" si="24"/>
        <v>0</v>
      </c>
      <c r="L286" s="50">
        <f>IF(D286="","",IF(COUNTIF(Paramètres!$A$11:$A$40,D286)&gt;0,1,0))</f>
        <v>1</v>
      </c>
    </row>
    <row r="287" spans="1:12" x14ac:dyDescent="0.25">
      <c r="A287" s="49"/>
      <c r="B287" s="49" t="s">
        <v>90</v>
      </c>
      <c r="C287" s="49" t="s">
        <v>378</v>
      </c>
      <c r="D287" s="50" t="str">
        <f t="shared" si="20"/>
        <v>Zouhour Fathallah</v>
      </c>
      <c r="E287" s="50" t="str">
        <f t="shared" si="21"/>
        <v>févr</v>
      </c>
      <c r="F287" s="50">
        <f t="shared" si="22"/>
        <v>16</v>
      </c>
      <c r="G287" s="50">
        <f t="shared" si="23"/>
        <v>2026</v>
      </c>
      <c r="H287" s="51">
        <f>IF($C287="","",IFERROR(DATE(G287,VLOOKUP(E287,Paramètres!$K$11:$L$40,2,FALSE()),F287),"?"))</f>
        <v>46069</v>
      </c>
      <c r="I287" s="50">
        <f>IF(ISNUMBER(H287),IF(COUNTIFS($D$2:D287,D287,$H$2:H287,H287)=1,1,0),"")</f>
        <v>1</v>
      </c>
      <c r="J287" s="50">
        <f>IF(ISNUMBER(H287),IFERROR(INDEX(Calendrier!$C$2:$C$367,MATCH(H287,Calendrier!$A$2:$A$367,0)),0),"")</f>
        <v>1</v>
      </c>
      <c r="K287" s="50">
        <f t="shared" si="24"/>
        <v>1</v>
      </c>
      <c r="L287" s="50">
        <f>IF(D287="","",IF(COUNTIF(Paramètres!$A$11:$A$40,D287)&gt;0,1,0))</f>
        <v>1</v>
      </c>
    </row>
    <row r="288" spans="1:12" x14ac:dyDescent="0.25">
      <c r="A288" s="49"/>
      <c r="B288" s="49" t="s">
        <v>90</v>
      </c>
      <c r="C288" s="49" t="s">
        <v>379</v>
      </c>
      <c r="D288" s="50" t="str">
        <f t="shared" si="20"/>
        <v>Zouhour Fathallah</v>
      </c>
      <c r="E288" s="50" t="str">
        <f t="shared" si="21"/>
        <v>févr</v>
      </c>
      <c r="F288" s="50">
        <f t="shared" si="22"/>
        <v>20</v>
      </c>
      <c r="G288" s="50">
        <f t="shared" si="23"/>
        <v>2026</v>
      </c>
      <c r="H288" s="51">
        <f>IF($C288="","",IFERROR(DATE(G288,VLOOKUP(E288,Paramètres!$K$11:$L$40,2,FALSE()),F288),"?"))</f>
        <v>46073</v>
      </c>
      <c r="I288" s="50">
        <f>IF(ISNUMBER(H288),IF(COUNTIFS($D$2:D288,D288,$H$2:H288,H288)=1,1,0),"")</f>
        <v>1</v>
      </c>
      <c r="J288" s="50">
        <f>IF(ISNUMBER(H288),IFERROR(INDEX(Calendrier!$C$2:$C$367,MATCH(H288,Calendrier!$A$2:$A$367,0)),0),"")</f>
        <v>1</v>
      </c>
      <c r="K288" s="50">
        <f t="shared" si="24"/>
        <v>1</v>
      </c>
      <c r="L288" s="50">
        <f>IF(D288="","",IF(COUNTIF(Paramètres!$A$11:$A$40,D288)&gt;0,1,0))</f>
        <v>1</v>
      </c>
    </row>
    <row r="289" spans="1:12" x14ac:dyDescent="0.25">
      <c r="A289" s="49"/>
      <c r="B289" s="49" t="s">
        <v>90</v>
      </c>
      <c r="C289" s="49" t="s">
        <v>380</v>
      </c>
      <c r="D289" s="50" t="str">
        <f t="shared" si="20"/>
        <v>Zouhour Fathallah</v>
      </c>
      <c r="E289" s="50" t="str">
        <f t="shared" si="21"/>
        <v>févr</v>
      </c>
      <c r="F289" s="50">
        <f t="shared" si="22"/>
        <v>20</v>
      </c>
      <c r="G289" s="50">
        <f t="shared" si="23"/>
        <v>2026</v>
      </c>
      <c r="H289" s="51">
        <f>IF($C289="","",IFERROR(DATE(G289,VLOOKUP(E289,Paramètres!$K$11:$L$40,2,FALSE()),F289),"?"))</f>
        <v>46073</v>
      </c>
      <c r="I289" s="50">
        <f>IF(ISNUMBER(H289),IF(COUNTIFS($D$2:D289,D289,$H$2:H289,H289)=1,1,0),"")</f>
        <v>0</v>
      </c>
      <c r="J289" s="50">
        <f>IF(ISNUMBER(H289),IFERROR(INDEX(Calendrier!$C$2:$C$367,MATCH(H289,Calendrier!$A$2:$A$367,0)),0),"")</f>
        <v>1</v>
      </c>
      <c r="K289" s="50">
        <f t="shared" si="24"/>
        <v>0</v>
      </c>
      <c r="L289" s="50">
        <f>IF(D289="","",IF(COUNTIF(Paramètres!$A$11:$A$40,D289)&gt;0,1,0))</f>
        <v>1</v>
      </c>
    </row>
    <row r="290" spans="1:12" x14ac:dyDescent="0.25">
      <c r="A290" s="49"/>
      <c r="B290" s="49" t="s">
        <v>90</v>
      </c>
      <c r="C290" s="49" t="s">
        <v>381</v>
      </c>
      <c r="D290" s="50" t="str">
        <f t="shared" si="20"/>
        <v>Zouhour Fathallah</v>
      </c>
      <c r="E290" s="50" t="str">
        <f t="shared" si="21"/>
        <v>févr</v>
      </c>
      <c r="F290" s="50">
        <f t="shared" si="22"/>
        <v>24</v>
      </c>
      <c r="G290" s="50">
        <f t="shared" si="23"/>
        <v>2026</v>
      </c>
      <c r="H290" s="51">
        <f>IF($C290="","",IFERROR(DATE(G290,VLOOKUP(E290,Paramètres!$K$11:$L$40,2,FALSE()),F290),"?"))</f>
        <v>46077</v>
      </c>
      <c r="I290" s="50">
        <f>IF(ISNUMBER(H290),IF(COUNTIFS($D$2:D290,D290,$H$2:H290,H290)=1,1,0),"")</f>
        <v>1</v>
      </c>
      <c r="J290" s="50">
        <f>IF(ISNUMBER(H290),IFERROR(INDEX(Calendrier!$C$2:$C$367,MATCH(H290,Calendrier!$A$2:$A$367,0)),0),"")</f>
        <v>1</v>
      </c>
      <c r="K290" s="50">
        <f t="shared" si="24"/>
        <v>1</v>
      </c>
      <c r="L290" s="50">
        <f>IF(D290="","",IF(COUNTIF(Paramètres!$A$11:$A$40,D290)&gt;0,1,0))</f>
        <v>1</v>
      </c>
    </row>
    <row r="291" spans="1:12" x14ac:dyDescent="0.25">
      <c r="A291" s="49"/>
      <c r="B291" s="49" t="s">
        <v>90</v>
      </c>
      <c r="C291" s="49" t="s">
        <v>381</v>
      </c>
      <c r="D291" s="50" t="str">
        <f t="shared" si="20"/>
        <v>Zouhour Fathallah</v>
      </c>
      <c r="E291" s="50" t="str">
        <f t="shared" si="21"/>
        <v>févr</v>
      </c>
      <c r="F291" s="50">
        <f t="shared" si="22"/>
        <v>24</v>
      </c>
      <c r="G291" s="50">
        <f t="shared" si="23"/>
        <v>2026</v>
      </c>
      <c r="H291" s="51">
        <f>IF($C291="","",IFERROR(DATE(G291,VLOOKUP(E291,Paramètres!$K$11:$L$40,2,FALSE()),F291),"?"))</f>
        <v>46077</v>
      </c>
      <c r="I291" s="50">
        <f>IF(ISNUMBER(H291),IF(COUNTIFS($D$2:D291,D291,$H$2:H291,H291)=1,1,0),"")</f>
        <v>0</v>
      </c>
      <c r="J291" s="50">
        <f>IF(ISNUMBER(H291),IFERROR(INDEX(Calendrier!$C$2:$C$367,MATCH(H291,Calendrier!$A$2:$A$367,0)),0),"")</f>
        <v>1</v>
      </c>
      <c r="K291" s="50">
        <f t="shared" si="24"/>
        <v>0</v>
      </c>
      <c r="L291" s="50">
        <f>IF(D291="","",IF(COUNTIF(Paramètres!$A$11:$A$40,D291)&gt;0,1,0))</f>
        <v>1</v>
      </c>
    </row>
    <row r="292" spans="1:12" x14ac:dyDescent="0.25">
      <c r="A292" s="49"/>
      <c r="B292" s="49" t="s">
        <v>90</v>
      </c>
      <c r="C292" s="49" t="s">
        <v>382</v>
      </c>
      <c r="D292" s="50" t="str">
        <f t="shared" si="20"/>
        <v>Zouhour Fathallah</v>
      </c>
      <c r="E292" s="50" t="str">
        <f t="shared" si="21"/>
        <v>févr</v>
      </c>
      <c r="F292" s="50">
        <f t="shared" si="22"/>
        <v>25</v>
      </c>
      <c r="G292" s="50">
        <f t="shared" si="23"/>
        <v>2026</v>
      </c>
      <c r="H292" s="51">
        <f>IF($C292="","",IFERROR(DATE(G292,VLOOKUP(E292,Paramètres!$K$11:$L$40,2,FALSE()),F292),"?"))</f>
        <v>46078</v>
      </c>
      <c r="I292" s="50">
        <f>IF(ISNUMBER(H292),IF(COUNTIFS($D$2:D292,D292,$H$2:H292,H292)=1,1,0),"")</f>
        <v>1</v>
      </c>
      <c r="J292" s="50">
        <f>IF(ISNUMBER(H292),IFERROR(INDEX(Calendrier!$C$2:$C$367,MATCH(H292,Calendrier!$A$2:$A$367,0)),0),"")</f>
        <v>1</v>
      </c>
      <c r="K292" s="50">
        <f t="shared" si="24"/>
        <v>1</v>
      </c>
      <c r="L292" s="50">
        <f>IF(D292="","",IF(COUNTIF(Paramètres!$A$11:$A$40,D292)&gt;0,1,0))</f>
        <v>1</v>
      </c>
    </row>
    <row r="293" spans="1:12" x14ac:dyDescent="0.25">
      <c r="A293" s="49"/>
      <c r="B293" s="49" t="s">
        <v>90</v>
      </c>
      <c r="C293" s="49" t="s">
        <v>383</v>
      </c>
      <c r="D293" s="50" t="str">
        <f t="shared" si="20"/>
        <v>Zouhour Fathallah</v>
      </c>
      <c r="E293" s="50" t="str">
        <f t="shared" si="21"/>
        <v>févr</v>
      </c>
      <c r="F293" s="50">
        <f t="shared" si="22"/>
        <v>27</v>
      </c>
      <c r="G293" s="50">
        <f t="shared" si="23"/>
        <v>2026</v>
      </c>
      <c r="H293" s="51">
        <f>IF($C293="","",IFERROR(DATE(G293,VLOOKUP(E293,Paramètres!$K$11:$L$40,2,FALSE()),F293),"?"))</f>
        <v>46080</v>
      </c>
      <c r="I293" s="50">
        <f>IF(ISNUMBER(H293),IF(COUNTIFS($D$2:D293,D293,$H$2:H293,H293)=1,1,0),"")</f>
        <v>1</v>
      </c>
      <c r="J293" s="50">
        <f>IF(ISNUMBER(H293),IFERROR(INDEX(Calendrier!$C$2:$C$367,MATCH(H293,Calendrier!$A$2:$A$367,0)),0),"")</f>
        <v>1</v>
      </c>
      <c r="K293" s="50">
        <f t="shared" si="24"/>
        <v>1</v>
      </c>
      <c r="L293" s="50">
        <f>IF(D293="","",IF(COUNTIF(Paramètres!$A$11:$A$40,D293)&gt;0,1,0))</f>
        <v>1</v>
      </c>
    </row>
    <row r="294" spans="1:12" hidden="1" x14ac:dyDescent="0.25">
      <c r="A294" s="49"/>
      <c r="B294" s="49" t="s">
        <v>85</v>
      </c>
      <c r="C294" s="49" t="s">
        <v>384</v>
      </c>
      <c r="D294" s="50" t="str">
        <f t="shared" si="20"/>
        <v>Said Hamrouni</v>
      </c>
      <c r="E294" s="50" t="str">
        <f t="shared" si="21"/>
        <v>mars</v>
      </c>
      <c r="F294" s="50">
        <f t="shared" si="22"/>
        <v>10</v>
      </c>
      <c r="G294" s="50">
        <f t="shared" si="23"/>
        <v>2026</v>
      </c>
      <c r="H294" s="51">
        <f>IF($C294="","",IFERROR(DATE(G294,VLOOKUP(E294,Paramètres!$K$11:$L$40,2,FALSE()),F294),"?"))</f>
        <v>46091</v>
      </c>
      <c r="I294" s="50">
        <f>IF(ISNUMBER(H294),IF(COUNTIFS($D$2:D294,D294,$H$2:H294,H294)=1,1,0),"")</f>
        <v>1</v>
      </c>
      <c r="J294" s="50">
        <f>IF(ISNUMBER(H294),IFERROR(INDEX(Calendrier!$C$2:$C$367,MATCH(H294,Calendrier!$A$2:$A$367,0)),0),"")</f>
        <v>1</v>
      </c>
      <c r="K294" s="50">
        <f t="shared" si="24"/>
        <v>1</v>
      </c>
      <c r="L294" s="50">
        <f>IF(D294="","",IF(COUNTIF(Paramètres!$A$11:$A$40,D294)&gt;0,1,0))</f>
        <v>1</v>
      </c>
    </row>
    <row r="295" spans="1:12" hidden="1" x14ac:dyDescent="0.25">
      <c r="A295" s="49"/>
      <c r="B295" s="49" t="s">
        <v>83</v>
      </c>
      <c r="C295" s="49" t="s">
        <v>385</v>
      </c>
      <c r="D295" s="50" t="str">
        <f t="shared" si="20"/>
        <v>Safouen Magdouli</v>
      </c>
      <c r="E295" s="50" t="str">
        <f t="shared" si="21"/>
        <v>mars</v>
      </c>
      <c r="F295" s="50">
        <f t="shared" si="22"/>
        <v>10</v>
      </c>
      <c r="G295" s="50">
        <f t="shared" si="23"/>
        <v>2026</v>
      </c>
      <c r="H295" s="51">
        <f>IF($C295="","",IFERROR(DATE(G295,VLOOKUP(E295,Paramètres!$K$11:$L$40,2,FALSE()),F295),"?"))</f>
        <v>46091</v>
      </c>
      <c r="I295" s="50">
        <f>IF(ISNUMBER(H295),IF(COUNTIFS($D$2:D295,D295,$H$2:H295,H295)=1,1,0),"")</f>
        <v>1</v>
      </c>
      <c r="J295" s="50">
        <f>IF(ISNUMBER(H295),IFERROR(INDEX(Calendrier!$C$2:$C$367,MATCH(H295,Calendrier!$A$2:$A$367,0)),0),"")</f>
        <v>1</v>
      </c>
      <c r="K295" s="50">
        <f t="shared" si="24"/>
        <v>1</v>
      </c>
      <c r="L295" s="50">
        <f>IF(D295="","",IF(COUNTIF(Paramètres!$A$11:$A$40,D295)&gt;0,1,0))</f>
        <v>1</v>
      </c>
    </row>
    <row r="296" spans="1:12" hidden="1" x14ac:dyDescent="0.25">
      <c r="A296" s="49"/>
      <c r="B296" s="49" t="s">
        <v>69</v>
      </c>
      <c r="C296" s="49" t="s">
        <v>386</v>
      </c>
      <c r="D296" s="50" t="str">
        <f t="shared" si="20"/>
        <v>Mina Moussa</v>
      </c>
      <c r="E296" s="50" t="str">
        <f t="shared" si="21"/>
        <v>mars</v>
      </c>
      <c r="F296" s="50">
        <f t="shared" si="22"/>
        <v>10</v>
      </c>
      <c r="G296" s="50">
        <f t="shared" si="23"/>
        <v>2026</v>
      </c>
      <c r="H296" s="51">
        <f>IF($C296="","",IFERROR(DATE(G296,VLOOKUP(E296,Paramètres!$K$11:$L$40,2,FALSE()),F296),"?"))</f>
        <v>46091</v>
      </c>
      <c r="I296" s="50">
        <f>IF(ISNUMBER(H296),IF(COUNTIFS($D$2:D296,D296,$H$2:H296,H296)=1,1,0),"")</f>
        <v>1</v>
      </c>
      <c r="J296" s="50">
        <f>IF(ISNUMBER(H296),IFERROR(INDEX(Calendrier!$C$2:$C$367,MATCH(H296,Calendrier!$A$2:$A$367,0)),0),"")</f>
        <v>1</v>
      </c>
      <c r="K296" s="50">
        <f t="shared" si="24"/>
        <v>1</v>
      </c>
      <c r="L296" s="50">
        <f>IF(D296="","",IF(COUNTIF(Paramètres!$A$11:$A$40,D296)&gt;0,1,0))</f>
        <v>1</v>
      </c>
    </row>
    <row r="297" spans="1:12" hidden="1" x14ac:dyDescent="0.25">
      <c r="A297" s="49"/>
      <c r="B297" s="49" t="s">
        <v>61</v>
      </c>
      <c r="C297" s="49" t="s">
        <v>387</v>
      </c>
      <c r="D297" s="50" t="str">
        <f t="shared" si="20"/>
        <v>Ines Farhat</v>
      </c>
      <c r="E297" s="50" t="str">
        <f t="shared" si="21"/>
        <v>mars</v>
      </c>
      <c r="F297" s="50">
        <f t="shared" si="22"/>
        <v>10</v>
      </c>
      <c r="G297" s="50">
        <f t="shared" si="23"/>
        <v>2026</v>
      </c>
      <c r="H297" s="51">
        <f>IF($C297="","",IFERROR(DATE(G297,VLOOKUP(E297,Paramètres!$K$11:$L$40,2,FALSE()),F297),"?"))</f>
        <v>46091</v>
      </c>
      <c r="I297" s="50">
        <f>IF(ISNUMBER(H297),IF(COUNTIFS($D$2:D297,D297,$H$2:H297,H297)=1,1,0),"")</f>
        <v>1</v>
      </c>
      <c r="J297" s="50">
        <f>IF(ISNUMBER(H297),IFERROR(INDEX(Calendrier!$C$2:$C$367,MATCH(H297,Calendrier!$A$2:$A$367,0)),0),"")</f>
        <v>1</v>
      </c>
      <c r="K297" s="50">
        <f t="shared" si="24"/>
        <v>1</v>
      </c>
      <c r="L297" s="50">
        <f>IF(D297="","",IF(COUNTIF(Paramètres!$A$11:$A$40,D297)&gt;0,1,0))</f>
        <v>1</v>
      </c>
    </row>
    <row r="298" spans="1:12" hidden="1" x14ac:dyDescent="0.25">
      <c r="A298" s="49"/>
      <c r="B298" s="49" t="s">
        <v>45</v>
      </c>
      <c r="C298" s="49" t="s">
        <v>388</v>
      </c>
      <c r="D298" s="50" t="str">
        <f t="shared" si="20"/>
        <v>Ahlem Moussa</v>
      </c>
      <c r="E298" s="50" t="str">
        <f t="shared" si="21"/>
        <v>mars</v>
      </c>
      <c r="F298" s="50">
        <f t="shared" si="22"/>
        <v>11</v>
      </c>
      <c r="G298" s="50">
        <f t="shared" si="23"/>
        <v>2026</v>
      </c>
      <c r="H298" s="51">
        <f>IF($C298="","",IFERROR(DATE(G298,VLOOKUP(E298,Paramètres!$K$11:$L$40,2,FALSE()),F298),"?"))</f>
        <v>46092</v>
      </c>
      <c r="I298" s="50">
        <f>IF(ISNUMBER(H298),IF(COUNTIFS($D$2:D298,D298,$H$2:H298,H298)=1,1,0),"")</f>
        <v>1</v>
      </c>
      <c r="J298" s="50">
        <f>IF(ISNUMBER(H298),IFERROR(INDEX(Calendrier!$C$2:$C$367,MATCH(H298,Calendrier!$A$2:$A$367,0)),0),"")</f>
        <v>1</v>
      </c>
      <c r="K298" s="50">
        <f t="shared" si="24"/>
        <v>1</v>
      </c>
      <c r="L298" s="50">
        <f>IF(D298="","",IF(COUNTIF(Paramètres!$A$11:$A$40,D298)&gt;0,1,0))</f>
        <v>1</v>
      </c>
    </row>
    <row r="299" spans="1:12" hidden="1" x14ac:dyDescent="0.25">
      <c r="A299" s="49"/>
      <c r="B299" s="49" t="s">
        <v>85</v>
      </c>
      <c r="C299" s="49" t="s">
        <v>389</v>
      </c>
      <c r="D299" s="50" t="str">
        <f t="shared" si="20"/>
        <v>Said Hamrouni</v>
      </c>
      <c r="E299" s="50" t="str">
        <f t="shared" si="21"/>
        <v>mars</v>
      </c>
      <c r="F299" s="50">
        <f t="shared" si="22"/>
        <v>11</v>
      </c>
      <c r="G299" s="50">
        <f t="shared" si="23"/>
        <v>2026</v>
      </c>
      <c r="H299" s="51">
        <f>IF($C299="","",IFERROR(DATE(G299,VLOOKUP(E299,Paramètres!$K$11:$L$40,2,FALSE()),F299),"?"))</f>
        <v>46092</v>
      </c>
      <c r="I299" s="50">
        <f>IF(ISNUMBER(H299),IF(COUNTIFS($D$2:D299,D299,$H$2:H299,H299)=1,1,0),"")</f>
        <v>1</v>
      </c>
      <c r="J299" s="50">
        <f>IF(ISNUMBER(H299),IFERROR(INDEX(Calendrier!$C$2:$C$367,MATCH(H299,Calendrier!$A$2:$A$367,0)),0),"")</f>
        <v>1</v>
      </c>
      <c r="K299" s="50">
        <f t="shared" si="24"/>
        <v>1</v>
      </c>
      <c r="L299" s="50">
        <f>IF(D299="","",IF(COUNTIF(Paramètres!$A$11:$A$40,D299)&gt;0,1,0))</f>
        <v>1</v>
      </c>
    </row>
    <row r="300" spans="1:12" hidden="1" x14ac:dyDescent="0.25">
      <c r="A300" s="49"/>
      <c r="B300" s="49" t="s">
        <v>73</v>
      </c>
      <c r="C300" s="49" t="s">
        <v>390</v>
      </c>
      <c r="D300" s="50" t="str">
        <f t="shared" si="20"/>
        <v>Mourad Ayari</v>
      </c>
      <c r="E300" s="50" t="str">
        <f t="shared" si="21"/>
        <v>mars</v>
      </c>
      <c r="F300" s="50">
        <f t="shared" si="22"/>
        <v>11</v>
      </c>
      <c r="G300" s="50">
        <f t="shared" si="23"/>
        <v>2026</v>
      </c>
      <c r="H300" s="51">
        <f>IF($C300="","",IFERROR(DATE(G300,VLOOKUP(E300,Paramètres!$K$11:$L$40,2,FALSE()),F300),"?"))</f>
        <v>46092</v>
      </c>
      <c r="I300" s="50">
        <f>IF(ISNUMBER(H300),IF(COUNTIFS($D$2:D300,D300,$H$2:H300,H300)=1,1,0),"")</f>
        <v>1</v>
      </c>
      <c r="J300" s="50">
        <f>IF(ISNUMBER(H300),IFERROR(INDEX(Calendrier!$C$2:$C$367,MATCH(H300,Calendrier!$A$2:$A$367,0)),0),"")</f>
        <v>1</v>
      </c>
      <c r="K300" s="50">
        <f t="shared" si="24"/>
        <v>1</v>
      </c>
      <c r="L300" s="50">
        <f>IF(D300="","",IF(COUNTIF(Paramètres!$A$11:$A$40,D300)&gt;0,1,0))</f>
        <v>1</v>
      </c>
    </row>
    <row r="301" spans="1:12" hidden="1" x14ac:dyDescent="0.25">
      <c r="A301" s="49"/>
      <c r="B301" s="49" t="s">
        <v>45</v>
      </c>
      <c r="C301" s="49" t="s">
        <v>391</v>
      </c>
      <c r="D301" s="50" t="str">
        <f t="shared" si="20"/>
        <v>Ahlem Moussa</v>
      </c>
      <c r="E301" s="50" t="str">
        <f t="shared" si="21"/>
        <v>mars</v>
      </c>
      <c r="F301" s="50">
        <f t="shared" si="22"/>
        <v>12</v>
      </c>
      <c r="G301" s="50">
        <f t="shared" si="23"/>
        <v>2026</v>
      </c>
      <c r="H301" s="51">
        <f>IF($C301="","",IFERROR(DATE(G301,VLOOKUP(E301,Paramètres!$K$11:$L$40,2,FALSE()),F301),"?"))</f>
        <v>46093</v>
      </c>
      <c r="I301" s="50">
        <f>IF(ISNUMBER(H301),IF(COUNTIFS($D$2:D301,D301,$H$2:H301,H301)=1,1,0),"")</f>
        <v>1</v>
      </c>
      <c r="J301" s="50">
        <f>IF(ISNUMBER(H301),IFERROR(INDEX(Calendrier!$C$2:$C$367,MATCH(H301,Calendrier!$A$2:$A$367,0)),0),"")</f>
        <v>1</v>
      </c>
      <c r="K301" s="50">
        <f t="shared" si="24"/>
        <v>1</v>
      </c>
      <c r="L301" s="50">
        <f>IF(D301="","",IF(COUNTIF(Paramètres!$A$11:$A$40,D301)&gt;0,1,0))</f>
        <v>1</v>
      </c>
    </row>
    <row r="302" spans="1:12" hidden="1" x14ac:dyDescent="0.25">
      <c r="A302" s="49"/>
      <c r="B302" s="49" t="s">
        <v>69</v>
      </c>
      <c r="C302" s="49" t="s">
        <v>392</v>
      </c>
      <c r="D302" s="50" t="str">
        <f t="shared" si="20"/>
        <v>Mina Moussa</v>
      </c>
      <c r="E302" s="50" t="str">
        <f t="shared" si="21"/>
        <v>mars</v>
      </c>
      <c r="F302" s="50">
        <f t="shared" si="22"/>
        <v>12</v>
      </c>
      <c r="G302" s="50">
        <f t="shared" si="23"/>
        <v>2026</v>
      </c>
      <c r="H302" s="51">
        <f>IF($C302="","",IFERROR(DATE(G302,VLOOKUP(E302,Paramètres!$K$11:$L$40,2,FALSE()),F302),"?"))</f>
        <v>46093</v>
      </c>
      <c r="I302" s="50">
        <f>IF(ISNUMBER(H302),IF(COUNTIFS($D$2:D302,D302,$H$2:H302,H302)=1,1,0),"")</f>
        <v>1</v>
      </c>
      <c r="J302" s="50">
        <f>IF(ISNUMBER(H302),IFERROR(INDEX(Calendrier!$C$2:$C$367,MATCH(H302,Calendrier!$A$2:$A$367,0)),0),"")</f>
        <v>1</v>
      </c>
      <c r="K302" s="50">
        <f t="shared" si="24"/>
        <v>1</v>
      </c>
      <c r="L302" s="50">
        <f>IF(D302="","",IF(COUNTIF(Paramètres!$A$11:$A$40,D302)&gt;0,1,0))</f>
        <v>1</v>
      </c>
    </row>
    <row r="303" spans="1:12" hidden="1" x14ac:dyDescent="0.25">
      <c r="A303" s="49"/>
      <c r="B303" s="49" t="s">
        <v>69</v>
      </c>
      <c r="C303" s="49" t="s">
        <v>393</v>
      </c>
      <c r="D303" s="50" t="str">
        <f t="shared" si="20"/>
        <v>Mina Moussa</v>
      </c>
      <c r="E303" s="50" t="str">
        <f t="shared" si="21"/>
        <v>mars</v>
      </c>
      <c r="F303" s="50">
        <f t="shared" si="22"/>
        <v>12</v>
      </c>
      <c r="G303" s="50">
        <f t="shared" si="23"/>
        <v>2026</v>
      </c>
      <c r="H303" s="51">
        <f>IF($C303="","",IFERROR(DATE(G303,VLOOKUP(E303,Paramètres!$K$11:$L$40,2,FALSE()),F303),"?"))</f>
        <v>46093</v>
      </c>
      <c r="I303" s="50">
        <f>IF(ISNUMBER(H303),IF(COUNTIFS($D$2:D303,D303,$H$2:H303,H303)=1,1,0),"")</f>
        <v>0</v>
      </c>
      <c r="J303" s="50">
        <f>IF(ISNUMBER(H303),IFERROR(INDEX(Calendrier!$C$2:$C$367,MATCH(H303,Calendrier!$A$2:$A$367,0)),0),"")</f>
        <v>1</v>
      </c>
      <c r="K303" s="50">
        <f t="shared" si="24"/>
        <v>0</v>
      </c>
      <c r="L303" s="50">
        <f>IF(D303="","",IF(COUNTIF(Paramètres!$A$11:$A$40,D303)&gt;0,1,0))</f>
        <v>1</v>
      </c>
    </row>
    <row r="304" spans="1:12" x14ac:dyDescent="0.25">
      <c r="A304" s="49"/>
      <c r="B304" s="49" t="s">
        <v>90</v>
      </c>
      <c r="C304" s="49" t="s">
        <v>394</v>
      </c>
      <c r="D304" s="50" t="str">
        <f t="shared" si="20"/>
        <v>Zouhour Fathallah</v>
      </c>
      <c r="E304" s="50" t="str">
        <f t="shared" si="21"/>
        <v>mars</v>
      </c>
      <c r="F304" s="50">
        <f t="shared" si="22"/>
        <v>12</v>
      </c>
      <c r="G304" s="50">
        <f t="shared" si="23"/>
        <v>2026</v>
      </c>
      <c r="H304" s="51">
        <f>IF($C304="","",IFERROR(DATE(G304,VLOOKUP(E304,Paramètres!$K$11:$L$40,2,FALSE()),F304),"?"))</f>
        <v>46093</v>
      </c>
      <c r="I304" s="50">
        <f>IF(ISNUMBER(H304),IF(COUNTIFS($D$2:D304,D304,$H$2:H304,H304)=1,1,0),"")</f>
        <v>1</v>
      </c>
      <c r="J304" s="50">
        <f>IF(ISNUMBER(H304),IFERROR(INDEX(Calendrier!$C$2:$C$367,MATCH(H304,Calendrier!$A$2:$A$367,0)),0),"")</f>
        <v>1</v>
      </c>
      <c r="K304" s="50">
        <f t="shared" si="24"/>
        <v>1</v>
      </c>
      <c r="L304" s="50">
        <f>IF(D304="","",IF(COUNTIF(Paramètres!$A$11:$A$40,D304)&gt;0,1,0))</f>
        <v>1</v>
      </c>
    </row>
    <row r="305" spans="1:12" hidden="1" x14ac:dyDescent="0.25">
      <c r="A305" s="49"/>
      <c r="B305" s="49" t="s">
        <v>45</v>
      </c>
      <c r="C305" s="49" t="s">
        <v>395</v>
      </c>
      <c r="D305" s="50" t="str">
        <f t="shared" si="20"/>
        <v>Ahlem Moussa</v>
      </c>
      <c r="E305" s="50" t="str">
        <f t="shared" si="21"/>
        <v>mars</v>
      </c>
      <c r="F305" s="50">
        <f t="shared" si="22"/>
        <v>13</v>
      </c>
      <c r="G305" s="50">
        <f t="shared" si="23"/>
        <v>2026</v>
      </c>
      <c r="H305" s="51">
        <f>IF($C305="","",IFERROR(DATE(G305,VLOOKUP(E305,Paramètres!$K$11:$L$40,2,FALSE()),F305),"?"))</f>
        <v>46094</v>
      </c>
      <c r="I305" s="50">
        <f>IF(ISNUMBER(H305),IF(COUNTIFS($D$2:D305,D305,$H$2:H305,H305)=1,1,0),"")</f>
        <v>1</v>
      </c>
      <c r="J305" s="50">
        <f>IF(ISNUMBER(H305),IFERROR(INDEX(Calendrier!$C$2:$C$367,MATCH(H305,Calendrier!$A$2:$A$367,0)),0),"")</f>
        <v>1</v>
      </c>
      <c r="K305" s="50">
        <f t="shared" si="24"/>
        <v>1</v>
      </c>
      <c r="L305" s="50">
        <f>IF(D305="","",IF(COUNTIF(Paramètres!$A$11:$A$40,D305)&gt;0,1,0))</f>
        <v>1</v>
      </c>
    </row>
    <row r="306" spans="1:12" hidden="1" x14ac:dyDescent="0.25">
      <c r="A306" s="49"/>
      <c r="B306" s="49" t="s">
        <v>61</v>
      </c>
      <c r="C306" s="49" t="s">
        <v>396</v>
      </c>
      <c r="D306" s="50" t="str">
        <f t="shared" si="20"/>
        <v>Ines Farhat</v>
      </c>
      <c r="E306" s="50" t="str">
        <f t="shared" si="21"/>
        <v>mars</v>
      </c>
      <c r="F306" s="50">
        <f t="shared" si="22"/>
        <v>13</v>
      </c>
      <c r="G306" s="50">
        <f t="shared" si="23"/>
        <v>2026</v>
      </c>
      <c r="H306" s="51">
        <f>IF($C306="","",IFERROR(DATE(G306,VLOOKUP(E306,Paramètres!$K$11:$L$40,2,FALSE()),F306),"?"))</f>
        <v>46094</v>
      </c>
      <c r="I306" s="50">
        <f>IF(ISNUMBER(H306),IF(COUNTIFS($D$2:D306,D306,$H$2:H306,H306)=1,1,0),"")</f>
        <v>1</v>
      </c>
      <c r="J306" s="50">
        <f>IF(ISNUMBER(H306),IFERROR(INDEX(Calendrier!$C$2:$C$367,MATCH(H306,Calendrier!$A$2:$A$367,0)),0),"")</f>
        <v>1</v>
      </c>
      <c r="K306" s="50">
        <f t="shared" si="24"/>
        <v>1</v>
      </c>
      <c r="L306" s="50">
        <f>IF(D306="","",IF(COUNTIF(Paramètres!$A$11:$A$40,D306)&gt;0,1,0))</f>
        <v>1</v>
      </c>
    </row>
    <row r="307" spans="1:12" x14ac:dyDescent="0.25">
      <c r="A307" s="49"/>
      <c r="B307" s="49" t="s">
        <v>90</v>
      </c>
      <c r="C307" s="49" t="s">
        <v>397</v>
      </c>
      <c r="D307" s="50" t="str">
        <f t="shared" si="20"/>
        <v>Zouhour Fathallah</v>
      </c>
      <c r="E307" s="50" t="str">
        <f t="shared" si="21"/>
        <v>mars</v>
      </c>
      <c r="F307" s="50">
        <f t="shared" si="22"/>
        <v>13</v>
      </c>
      <c r="G307" s="50">
        <f t="shared" si="23"/>
        <v>2026</v>
      </c>
      <c r="H307" s="51">
        <f>IF($C307="","",IFERROR(DATE(G307,VLOOKUP(E307,Paramètres!$K$11:$L$40,2,FALSE()),F307),"?"))</f>
        <v>46094</v>
      </c>
      <c r="I307" s="50">
        <f>IF(ISNUMBER(H307),IF(COUNTIFS($D$2:D307,D307,$H$2:H307,H307)=1,1,0),"")</f>
        <v>1</v>
      </c>
      <c r="J307" s="50">
        <f>IF(ISNUMBER(H307),IFERROR(INDEX(Calendrier!$C$2:$C$367,MATCH(H307,Calendrier!$A$2:$A$367,0)),0),"")</f>
        <v>1</v>
      </c>
      <c r="K307" s="50">
        <f t="shared" si="24"/>
        <v>1</v>
      </c>
      <c r="L307" s="50">
        <f>IF(D307="","",IF(COUNTIF(Paramètres!$A$11:$A$40,D307)&gt;0,1,0))</f>
        <v>1</v>
      </c>
    </row>
    <row r="308" spans="1:12" hidden="1" x14ac:dyDescent="0.25">
      <c r="A308" s="49"/>
      <c r="B308" s="49" t="s">
        <v>45</v>
      </c>
      <c r="C308" s="49" t="s">
        <v>398</v>
      </c>
      <c r="D308" s="50" t="str">
        <f t="shared" si="20"/>
        <v>Ahlem Moussa</v>
      </c>
      <c r="E308" s="50" t="str">
        <f t="shared" si="21"/>
        <v>mars</v>
      </c>
      <c r="F308" s="50">
        <f t="shared" si="22"/>
        <v>14</v>
      </c>
      <c r="G308" s="50">
        <f t="shared" si="23"/>
        <v>2026</v>
      </c>
      <c r="H308" s="51">
        <f>IF($C308="","",IFERROR(DATE(G308,VLOOKUP(E308,Paramètres!$K$11:$L$40,2,FALSE()),F308),"?"))</f>
        <v>46095</v>
      </c>
      <c r="I308" s="50">
        <f>IF(ISNUMBER(H308),IF(COUNTIFS($D$2:D308,D308,$H$2:H308,H308)=1,1,0),"")</f>
        <v>1</v>
      </c>
      <c r="J308" s="50">
        <f>IF(ISNUMBER(H308),IFERROR(INDEX(Calendrier!$C$2:$C$367,MATCH(H308,Calendrier!$A$2:$A$367,0)),0),"")</f>
        <v>0</v>
      </c>
      <c r="K308" s="50">
        <f t="shared" si="24"/>
        <v>0</v>
      </c>
      <c r="L308" s="50">
        <f>IF(D308="","",IF(COUNTIF(Paramètres!$A$11:$A$40,D308)&gt;0,1,0))</f>
        <v>1</v>
      </c>
    </row>
    <row r="309" spans="1:12" x14ac:dyDescent="0.25">
      <c r="A309" s="49"/>
      <c r="B309" s="49" t="s">
        <v>90</v>
      </c>
      <c r="C309" s="49" t="s">
        <v>399</v>
      </c>
      <c r="D309" s="50" t="str">
        <f t="shared" si="20"/>
        <v>Zouhour Fathallah</v>
      </c>
      <c r="E309" s="50" t="str">
        <f t="shared" si="21"/>
        <v>mars</v>
      </c>
      <c r="F309" s="50">
        <f t="shared" si="22"/>
        <v>14</v>
      </c>
      <c r="G309" s="50">
        <f t="shared" si="23"/>
        <v>2026</v>
      </c>
      <c r="H309" s="51">
        <f>IF($C309="","",IFERROR(DATE(G309,VLOOKUP(E309,Paramètres!$K$11:$L$40,2,FALSE()),F309),"?"))</f>
        <v>46095</v>
      </c>
      <c r="I309" s="50">
        <f>IF(ISNUMBER(H309),IF(COUNTIFS($D$2:D309,D309,$H$2:H309,H309)=1,1,0),"")</f>
        <v>1</v>
      </c>
      <c r="J309" s="50">
        <f>IF(ISNUMBER(H309),IFERROR(INDEX(Calendrier!$C$2:$C$367,MATCH(H309,Calendrier!$A$2:$A$367,0)),0),"")</f>
        <v>0</v>
      </c>
      <c r="K309" s="50">
        <f t="shared" si="24"/>
        <v>0</v>
      </c>
      <c r="L309" s="50">
        <f>IF(D309="","",IF(COUNTIF(Paramètres!$A$11:$A$40,D309)&gt;0,1,0))</f>
        <v>1</v>
      </c>
    </row>
    <row r="310" spans="1:12" hidden="1" x14ac:dyDescent="0.25">
      <c r="A310" s="49"/>
      <c r="B310" s="49" t="s">
        <v>69</v>
      </c>
      <c r="C310" s="49" t="s">
        <v>400</v>
      </c>
      <c r="D310" s="50" t="str">
        <f t="shared" si="20"/>
        <v>Mina Moussa</v>
      </c>
      <c r="E310" s="50" t="str">
        <f t="shared" si="21"/>
        <v>mars</v>
      </c>
      <c r="F310" s="50">
        <f t="shared" si="22"/>
        <v>14</v>
      </c>
      <c r="G310" s="50">
        <f t="shared" si="23"/>
        <v>2026</v>
      </c>
      <c r="H310" s="51">
        <f>IF($C310="","",IFERROR(DATE(G310,VLOOKUP(E310,Paramètres!$K$11:$L$40,2,FALSE()),F310),"?"))</f>
        <v>46095</v>
      </c>
      <c r="I310" s="50">
        <f>IF(ISNUMBER(H310),IF(COUNTIFS($D$2:D310,D310,$H$2:H310,H310)=1,1,0),"")</f>
        <v>1</v>
      </c>
      <c r="J310" s="50">
        <f>IF(ISNUMBER(H310),IFERROR(INDEX(Calendrier!$C$2:$C$367,MATCH(H310,Calendrier!$A$2:$A$367,0)),0),"")</f>
        <v>0</v>
      </c>
      <c r="K310" s="50">
        <f t="shared" si="24"/>
        <v>0</v>
      </c>
      <c r="L310" s="50">
        <f>IF(D310="","",IF(COUNTIF(Paramètres!$A$11:$A$40,D310)&gt;0,1,0))</f>
        <v>1</v>
      </c>
    </row>
    <row r="311" spans="1:12" hidden="1" x14ac:dyDescent="0.25">
      <c r="A311" s="49"/>
      <c r="B311" s="49" t="s">
        <v>69</v>
      </c>
      <c r="C311" s="49" t="s">
        <v>401</v>
      </c>
      <c r="D311" s="50" t="str">
        <f t="shared" si="20"/>
        <v>Mina Moussa</v>
      </c>
      <c r="E311" s="50" t="str">
        <f t="shared" si="21"/>
        <v>mars</v>
      </c>
      <c r="F311" s="50">
        <f t="shared" si="22"/>
        <v>16</v>
      </c>
      <c r="G311" s="50">
        <f t="shared" si="23"/>
        <v>2026</v>
      </c>
      <c r="H311" s="51">
        <f>IF($C311="","",IFERROR(DATE(G311,VLOOKUP(E311,Paramètres!$K$11:$L$40,2,FALSE()),F311),"?"))</f>
        <v>46097</v>
      </c>
      <c r="I311" s="50">
        <f>IF(ISNUMBER(H311),IF(COUNTIFS($D$2:D311,D311,$H$2:H311,H311)=1,1,0),"")</f>
        <v>1</v>
      </c>
      <c r="J311" s="50">
        <f>IF(ISNUMBER(H311),IFERROR(INDEX(Calendrier!$C$2:$C$367,MATCH(H311,Calendrier!$A$2:$A$367,0)),0),"")</f>
        <v>1</v>
      </c>
      <c r="K311" s="50">
        <f t="shared" si="24"/>
        <v>1</v>
      </c>
      <c r="L311" s="50">
        <f>IF(D311="","",IF(COUNTIF(Paramètres!$A$11:$A$40,D311)&gt;0,1,0))</f>
        <v>1</v>
      </c>
    </row>
    <row r="312" spans="1:12" x14ac:dyDescent="0.25">
      <c r="A312" s="49"/>
      <c r="B312" s="49" t="s">
        <v>90</v>
      </c>
      <c r="C312" s="49" t="s">
        <v>402</v>
      </c>
      <c r="D312" s="50" t="str">
        <f t="shared" si="20"/>
        <v>Zouhour Fathallah</v>
      </c>
      <c r="E312" s="50" t="str">
        <f t="shared" si="21"/>
        <v>mars</v>
      </c>
      <c r="F312" s="50">
        <f t="shared" si="22"/>
        <v>16</v>
      </c>
      <c r="G312" s="50">
        <f t="shared" si="23"/>
        <v>2026</v>
      </c>
      <c r="H312" s="51">
        <f>IF($C312="","",IFERROR(DATE(G312,VLOOKUP(E312,Paramètres!$K$11:$L$40,2,FALSE()),F312),"?"))</f>
        <v>46097</v>
      </c>
      <c r="I312" s="50">
        <f>IF(ISNUMBER(H312),IF(COUNTIFS($D$2:D312,D312,$H$2:H312,H312)=1,1,0),"")</f>
        <v>1</v>
      </c>
      <c r="J312" s="50">
        <f>IF(ISNUMBER(H312),IFERROR(INDEX(Calendrier!$C$2:$C$367,MATCH(H312,Calendrier!$A$2:$A$367,0)),0),"")</f>
        <v>1</v>
      </c>
      <c r="K312" s="50">
        <f t="shared" si="24"/>
        <v>1</v>
      </c>
      <c r="L312" s="50">
        <f>IF(D312="","",IF(COUNTIF(Paramètres!$A$11:$A$40,D312)&gt;0,1,0))</f>
        <v>1</v>
      </c>
    </row>
    <row r="313" spans="1:12" hidden="1" x14ac:dyDescent="0.25">
      <c r="A313" s="49"/>
      <c r="B313" s="49" t="s">
        <v>69</v>
      </c>
      <c r="C313" s="49" t="s">
        <v>403</v>
      </c>
      <c r="D313" s="50" t="str">
        <f t="shared" si="20"/>
        <v>Mina Moussa</v>
      </c>
      <c r="E313" s="50" t="str">
        <f t="shared" si="21"/>
        <v>mars</v>
      </c>
      <c r="F313" s="50">
        <f t="shared" si="22"/>
        <v>16</v>
      </c>
      <c r="G313" s="50">
        <f t="shared" si="23"/>
        <v>2026</v>
      </c>
      <c r="H313" s="51">
        <f>IF($C313="","",IFERROR(DATE(G313,VLOOKUP(E313,Paramètres!$K$11:$L$40,2,FALSE()),F313),"?"))</f>
        <v>46097</v>
      </c>
      <c r="I313" s="50">
        <f>IF(ISNUMBER(H313),IF(COUNTIFS($D$2:D313,D313,$H$2:H313,H313)=1,1,0),"")</f>
        <v>0</v>
      </c>
      <c r="J313" s="50">
        <f>IF(ISNUMBER(H313),IFERROR(INDEX(Calendrier!$C$2:$C$367,MATCH(H313,Calendrier!$A$2:$A$367,0)),0),"")</f>
        <v>1</v>
      </c>
      <c r="K313" s="50">
        <f t="shared" si="24"/>
        <v>0</v>
      </c>
      <c r="L313" s="50">
        <f>IF(D313="","",IF(COUNTIF(Paramètres!$A$11:$A$40,D313)&gt;0,1,0))</f>
        <v>1</v>
      </c>
    </row>
    <row r="314" spans="1:12" hidden="1" x14ac:dyDescent="0.25">
      <c r="A314" s="49"/>
      <c r="B314" s="49" t="s">
        <v>59</v>
      </c>
      <c r="C314" s="49" t="s">
        <v>404</v>
      </c>
      <c r="D314" s="50" t="str">
        <f t="shared" si="20"/>
        <v>Imre Kapusi</v>
      </c>
      <c r="E314" s="50" t="str">
        <f t="shared" si="21"/>
        <v>mars</v>
      </c>
      <c r="F314" s="50">
        <f t="shared" si="22"/>
        <v>16</v>
      </c>
      <c r="G314" s="50">
        <f t="shared" si="23"/>
        <v>2026</v>
      </c>
      <c r="H314" s="51">
        <f>IF($C314="","",IFERROR(DATE(G314,VLOOKUP(E314,Paramètres!$K$11:$L$40,2,FALSE()),F314),"?"))</f>
        <v>46097</v>
      </c>
      <c r="I314" s="50">
        <f>IF(ISNUMBER(H314),IF(COUNTIFS($D$2:D314,D314,$H$2:H314,H314)=1,1,0),"")</f>
        <v>1</v>
      </c>
      <c r="J314" s="50">
        <f>IF(ISNUMBER(H314),IFERROR(INDEX(Calendrier!$C$2:$C$367,MATCH(H314,Calendrier!$A$2:$A$367,0)),0),"")</f>
        <v>1</v>
      </c>
      <c r="K314" s="50">
        <f t="shared" si="24"/>
        <v>1</v>
      </c>
      <c r="L314" s="50">
        <f>IF(D314="","",IF(COUNTIF(Paramètres!$A$11:$A$40,D314)&gt;0,1,0))</f>
        <v>1</v>
      </c>
    </row>
    <row r="315" spans="1:12" x14ac:dyDescent="0.25">
      <c r="A315" s="49"/>
      <c r="B315" s="49" t="s">
        <v>90</v>
      </c>
      <c r="C315" s="49" t="s">
        <v>405</v>
      </c>
      <c r="D315" s="50" t="str">
        <f t="shared" si="20"/>
        <v>Zouhour Fathallah</v>
      </c>
      <c r="E315" s="50" t="str">
        <f t="shared" si="21"/>
        <v>mars</v>
      </c>
      <c r="F315" s="50">
        <f t="shared" si="22"/>
        <v>16</v>
      </c>
      <c r="G315" s="50">
        <f t="shared" si="23"/>
        <v>2026</v>
      </c>
      <c r="H315" s="51">
        <f>IF($C315="","",IFERROR(DATE(G315,VLOOKUP(E315,Paramètres!$K$11:$L$40,2,FALSE()),F315),"?"))</f>
        <v>46097</v>
      </c>
      <c r="I315" s="50">
        <f>IF(ISNUMBER(H315),IF(COUNTIFS($D$2:D315,D315,$H$2:H315,H315)=1,1,0),"")</f>
        <v>0</v>
      </c>
      <c r="J315" s="50">
        <f>IF(ISNUMBER(H315),IFERROR(INDEX(Calendrier!$C$2:$C$367,MATCH(H315,Calendrier!$A$2:$A$367,0)),0),"")</f>
        <v>1</v>
      </c>
      <c r="K315" s="50">
        <f t="shared" si="24"/>
        <v>0</v>
      </c>
      <c r="L315" s="50">
        <f>IF(D315="","",IF(COUNTIF(Paramètres!$A$11:$A$40,D315)&gt;0,1,0))</f>
        <v>1</v>
      </c>
    </row>
    <row r="316" spans="1:12" hidden="1" x14ac:dyDescent="0.25">
      <c r="A316" s="49"/>
      <c r="B316" s="49" t="s">
        <v>45</v>
      </c>
      <c r="C316" s="49" t="s">
        <v>406</v>
      </c>
      <c r="D316" s="50" t="str">
        <f t="shared" si="20"/>
        <v>Ahlem Moussa</v>
      </c>
      <c r="E316" s="50" t="str">
        <f t="shared" si="21"/>
        <v>mars</v>
      </c>
      <c r="F316" s="50">
        <f t="shared" si="22"/>
        <v>16</v>
      </c>
      <c r="G316" s="50">
        <f t="shared" si="23"/>
        <v>2026</v>
      </c>
      <c r="H316" s="51">
        <f>IF($C316="","",IFERROR(DATE(G316,VLOOKUP(E316,Paramètres!$K$11:$L$40,2,FALSE()),F316),"?"))</f>
        <v>46097</v>
      </c>
      <c r="I316" s="50">
        <f>IF(ISNUMBER(H316),IF(COUNTIFS($D$2:D316,D316,$H$2:H316,H316)=1,1,0),"")</f>
        <v>1</v>
      </c>
      <c r="J316" s="50">
        <f>IF(ISNUMBER(H316),IFERROR(INDEX(Calendrier!$C$2:$C$367,MATCH(H316,Calendrier!$A$2:$A$367,0)),0),"")</f>
        <v>1</v>
      </c>
      <c r="K316" s="50">
        <f t="shared" si="24"/>
        <v>1</v>
      </c>
      <c r="L316" s="50">
        <f>IF(D316="","",IF(COUNTIF(Paramètres!$A$11:$A$40,D316)&gt;0,1,0))</f>
        <v>1</v>
      </c>
    </row>
    <row r="317" spans="1:12" x14ac:dyDescent="0.25">
      <c r="A317" s="49"/>
      <c r="B317" s="49" t="s">
        <v>90</v>
      </c>
      <c r="C317" s="49" t="s">
        <v>407</v>
      </c>
      <c r="D317" s="50" t="str">
        <f t="shared" si="20"/>
        <v>Zouhour Fathallah</v>
      </c>
      <c r="E317" s="50" t="str">
        <f t="shared" si="21"/>
        <v>mars</v>
      </c>
      <c r="F317" s="50">
        <f t="shared" si="22"/>
        <v>17</v>
      </c>
      <c r="G317" s="50">
        <f t="shared" si="23"/>
        <v>2026</v>
      </c>
      <c r="H317" s="51">
        <f>IF($C317="","",IFERROR(DATE(G317,VLOOKUP(E317,Paramètres!$K$11:$L$40,2,FALSE()),F317),"?"))</f>
        <v>46098</v>
      </c>
      <c r="I317" s="50">
        <f>IF(ISNUMBER(H317),IF(COUNTIFS($D$2:D317,D317,$H$2:H317,H317)=1,1,0),"")</f>
        <v>1</v>
      </c>
      <c r="J317" s="50">
        <f>IF(ISNUMBER(H317),IFERROR(INDEX(Calendrier!$C$2:$C$367,MATCH(H317,Calendrier!$A$2:$A$367,0)),0),"")</f>
        <v>1</v>
      </c>
      <c r="K317" s="50">
        <f t="shared" si="24"/>
        <v>1</v>
      </c>
      <c r="L317" s="50">
        <f>IF(D317="","",IF(COUNTIF(Paramètres!$A$11:$A$40,D317)&gt;0,1,0))</f>
        <v>1</v>
      </c>
    </row>
    <row r="318" spans="1:12" x14ac:dyDescent="0.25">
      <c r="A318" s="49"/>
      <c r="B318" s="49" t="s">
        <v>90</v>
      </c>
      <c r="C318" s="49" t="s">
        <v>408</v>
      </c>
      <c r="D318" s="50" t="str">
        <f t="shared" si="20"/>
        <v>Zouhour Fathallah</v>
      </c>
      <c r="E318" s="50" t="str">
        <f t="shared" si="21"/>
        <v>mars</v>
      </c>
      <c r="F318" s="50">
        <f t="shared" si="22"/>
        <v>17</v>
      </c>
      <c r="G318" s="50">
        <f t="shared" si="23"/>
        <v>2026</v>
      </c>
      <c r="H318" s="51">
        <f>IF($C318="","",IFERROR(DATE(G318,VLOOKUP(E318,Paramètres!$K$11:$L$40,2,FALSE()),F318),"?"))</f>
        <v>46098</v>
      </c>
      <c r="I318" s="50">
        <f>IF(ISNUMBER(H318),IF(COUNTIFS($D$2:D318,D318,$H$2:H318,H318)=1,1,0),"")</f>
        <v>0</v>
      </c>
      <c r="J318" s="50">
        <f>IF(ISNUMBER(H318),IFERROR(INDEX(Calendrier!$C$2:$C$367,MATCH(H318,Calendrier!$A$2:$A$367,0)),0),"")</f>
        <v>1</v>
      </c>
      <c r="K318" s="50">
        <f t="shared" si="24"/>
        <v>0</v>
      </c>
      <c r="L318" s="50">
        <f>IF(D318="","",IF(COUNTIF(Paramètres!$A$11:$A$40,D318)&gt;0,1,0))</f>
        <v>1</v>
      </c>
    </row>
    <row r="319" spans="1:12" hidden="1" x14ac:dyDescent="0.25">
      <c r="A319" s="49"/>
      <c r="B319" s="49" t="s">
        <v>59</v>
      </c>
      <c r="C319" s="49" t="s">
        <v>409</v>
      </c>
      <c r="D319" s="50" t="str">
        <f t="shared" si="20"/>
        <v>Imre Kapusi</v>
      </c>
      <c r="E319" s="50" t="str">
        <f t="shared" si="21"/>
        <v>mars</v>
      </c>
      <c r="F319" s="50">
        <f t="shared" si="22"/>
        <v>17</v>
      </c>
      <c r="G319" s="50">
        <f t="shared" si="23"/>
        <v>2026</v>
      </c>
      <c r="H319" s="51">
        <f>IF($C319="","",IFERROR(DATE(G319,VLOOKUP(E319,Paramètres!$K$11:$L$40,2,FALSE()),F319),"?"))</f>
        <v>46098</v>
      </c>
      <c r="I319" s="50">
        <f>IF(ISNUMBER(H319),IF(COUNTIFS($D$2:D319,D319,$H$2:H319,H319)=1,1,0),"")</f>
        <v>1</v>
      </c>
      <c r="J319" s="50">
        <f>IF(ISNUMBER(H319),IFERROR(INDEX(Calendrier!$C$2:$C$367,MATCH(H319,Calendrier!$A$2:$A$367,0)),0),"")</f>
        <v>1</v>
      </c>
      <c r="K319" s="50">
        <f t="shared" si="24"/>
        <v>1</v>
      </c>
      <c r="L319" s="50">
        <f>IF(D319="","",IF(COUNTIF(Paramètres!$A$11:$A$40,D319)&gt;0,1,0))</f>
        <v>1</v>
      </c>
    </row>
    <row r="320" spans="1:12" hidden="1" x14ac:dyDescent="0.25">
      <c r="A320" s="49"/>
      <c r="B320" s="49" t="s">
        <v>73</v>
      </c>
      <c r="C320" s="49" t="s">
        <v>410</v>
      </c>
      <c r="D320" s="50" t="str">
        <f t="shared" si="20"/>
        <v>Mourad Ayari</v>
      </c>
      <c r="E320" s="50" t="str">
        <f t="shared" si="21"/>
        <v>mars</v>
      </c>
      <c r="F320" s="50">
        <f t="shared" si="22"/>
        <v>17</v>
      </c>
      <c r="G320" s="50">
        <f t="shared" si="23"/>
        <v>2026</v>
      </c>
      <c r="H320" s="51">
        <f>IF($C320="","",IFERROR(DATE(G320,VLOOKUP(E320,Paramètres!$K$11:$L$40,2,FALSE()),F320),"?"))</f>
        <v>46098</v>
      </c>
      <c r="I320" s="50">
        <f>IF(ISNUMBER(H320),IF(COUNTIFS($D$2:D320,D320,$H$2:H320,H320)=1,1,0),"")</f>
        <v>1</v>
      </c>
      <c r="J320" s="50">
        <f>IF(ISNUMBER(H320),IFERROR(INDEX(Calendrier!$C$2:$C$367,MATCH(H320,Calendrier!$A$2:$A$367,0)),0),"")</f>
        <v>1</v>
      </c>
      <c r="K320" s="50">
        <f t="shared" si="24"/>
        <v>1</v>
      </c>
      <c r="L320" s="50">
        <f>IF(D320="","",IF(COUNTIF(Paramètres!$A$11:$A$40,D320)&gt;0,1,0))</f>
        <v>1</v>
      </c>
    </row>
    <row r="321" spans="1:12" hidden="1" x14ac:dyDescent="0.25">
      <c r="A321" s="49"/>
      <c r="B321" s="49" t="s">
        <v>83</v>
      </c>
      <c r="C321" s="49" t="s">
        <v>411</v>
      </c>
      <c r="D321" s="50" t="str">
        <f t="shared" si="20"/>
        <v>Safouen Magdouli</v>
      </c>
      <c r="E321" s="50" t="str">
        <f t="shared" si="21"/>
        <v>mars</v>
      </c>
      <c r="F321" s="50">
        <f t="shared" si="22"/>
        <v>17</v>
      </c>
      <c r="G321" s="50">
        <f t="shared" si="23"/>
        <v>2026</v>
      </c>
      <c r="H321" s="51">
        <f>IF($C321="","",IFERROR(DATE(G321,VLOOKUP(E321,Paramètres!$K$11:$L$40,2,FALSE()),F321),"?"))</f>
        <v>46098</v>
      </c>
      <c r="I321" s="50">
        <f>IF(ISNUMBER(H321),IF(COUNTIFS($D$2:D321,D321,$H$2:H321,H321)=1,1,0),"")</f>
        <v>1</v>
      </c>
      <c r="J321" s="50">
        <f>IF(ISNUMBER(H321),IFERROR(INDEX(Calendrier!$C$2:$C$367,MATCH(H321,Calendrier!$A$2:$A$367,0)),0),"")</f>
        <v>1</v>
      </c>
      <c r="K321" s="50">
        <f t="shared" si="24"/>
        <v>1</v>
      </c>
      <c r="L321" s="50">
        <f>IF(D321="","",IF(COUNTIF(Paramètres!$A$11:$A$40,D321)&gt;0,1,0))</f>
        <v>1</v>
      </c>
    </row>
    <row r="322" spans="1:12" hidden="1" x14ac:dyDescent="0.25">
      <c r="A322" s="49"/>
      <c r="B322" s="49" t="s">
        <v>85</v>
      </c>
      <c r="C322" s="49" t="s">
        <v>412</v>
      </c>
      <c r="D322" s="50" t="str">
        <f t="shared" ref="D322:D385" si="25">IF(B322="","",TRIM(B322))</f>
        <v>Said Hamrouni</v>
      </c>
      <c r="E322" s="50" t="str">
        <f t="shared" ref="E322:E385" si="26">IF($C322="","",LEFT($C322,FIND(" ",$C322)-1))</f>
        <v>mars</v>
      </c>
      <c r="F322" s="50">
        <f t="shared" ref="F322:F385" si="27">IF($C322="","",IFERROR(VALUE(LEFT(MID($C322,FIND(" ",$C322)+1,20),FIND(" ",MID($C322,FIND(" ",$C322)+1,20))-1)),"?"))</f>
        <v>17</v>
      </c>
      <c r="G322" s="50">
        <f t="shared" ref="G322:G385" si="28">IF($C322="","",IFERROR(VALUE(MID(MID($C322,FIND(" ",$C322)+1,20),FIND(" ",MID($C322,FIND(" ",$C322)+1,20))+1,4)),"?"))</f>
        <v>2026</v>
      </c>
      <c r="H322" s="51">
        <f>IF($C322="","",IFERROR(DATE(G322,VLOOKUP(E322,Paramètres!$K$11:$L$40,2,FALSE()),F322),"?"))</f>
        <v>46098</v>
      </c>
      <c r="I322" s="50">
        <f>IF(ISNUMBER(H322),IF(COUNTIFS($D$2:D322,D322,$H$2:H322,H322)=1,1,0),"")</f>
        <v>1</v>
      </c>
      <c r="J322" s="50">
        <f>IF(ISNUMBER(H322),IFERROR(INDEX(Calendrier!$C$2:$C$367,MATCH(H322,Calendrier!$A$2:$A$367,0)),0),"")</f>
        <v>1</v>
      </c>
      <c r="K322" s="50">
        <f t="shared" ref="K322:K385" si="29">IF(ISNUMBER(H322),I322*J322,"")</f>
        <v>1</v>
      </c>
      <c r="L322" s="50">
        <f>IF(D322="","",IF(COUNTIF(Paramètres!$A$11:$A$40,D322)&gt;0,1,0))</f>
        <v>1</v>
      </c>
    </row>
    <row r="323" spans="1:12" hidden="1" x14ac:dyDescent="0.25">
      <c r="A323" s="49"/>
      <c r="B323" s="49" t="s">
        <v>67</v>
      </c>
      <c r="C323" s="49" t="s">
        <v>413</v>
      </c>
      <c r="D323" s="50" t="str">
        <f t="shared" si="25"/>
        <v>Marwa Solaani</v>
      </c>
      <c r="E323" s="50" t="str">
        <f t="shared" si="26"/>
        <v>mars</v>
      </c>
      <c r="F323" s="50">
        <f t="shared" si="27"/>
        <v>17</v>
      </c>
      <c r="G323" s="50">
        <f t="shared" si="28"/>
        <v>2026</v>
      </c>
      <c r="H323" s="51">
        <f>IF($C323="","",IFERROR(DATE(G323,VLOOKUP(E323,Paramètres!$K$11:$L$40,2,FALSE()),F323),"?"))</f>
        <v>46098</v>
      </c>
      <c r="I323" s="50">
        <f>IF(ISNUMBER(H323),IF(COUNTIFS($D$2:D323,D323,$H$2:H323,H323)=1,1,0),"")</f>
        <v>1</v>
      </c>
      <c r="J323" s="50">
        <f>IF(ISNUMBER(H323),IFERROR(INDEX(Calendrier!$C$2:$C$367,MATCH(H323,Calendrier!$A$2:$A$367,0)),0),"")</f>
        <v>1</v>
      </c>
      <c r="K323" s="50">
        <f t="shared" si="29"/>
        <v>1</v>
      </c>
      <c r="L323" s="50">
        <f>IF(D323="","",IF(COUNTIF(Paramètres!$A$11:$A$40,D323)&gt;0,1,0))</f>
        <v>1</v>
      </c>
    </row>
    <row r="324" spans="1:12" hidden="1" x14ac:dyDescent="0.25">
      <c r="A324" s="49"/>
      <c r="B324" s="49" t="s">
        <v>61</v>
      </c>
      <c r="C324" s="49" t="s">
        <v>414</v>
      </c>
      <c r="D324" s="50" t="str">
        <f t="shared" si="25"/>
        <v>Ines Farhat</v>
      </c>
      <c r="E324" s="50" t="str">
        <f t="shared" si="26"/>
        <v>mars</v>
      </c>
      <c r="F324" s="50">
        <f t="shared" si="27"/>
        <v>17</v>
      </c>
      <c r="G324" s="50">
        <f t="shared" si="28"/>
        <v>2026</v>
      </c>
      <c r="H324" s="51">
        <f>IF($C324="","",IFERROR(DATE(G324,VLOOKUP(E324,Paramètres!$K$11:$L$40,2,FALSE()),F324),"?"))</f>
        <v>46098</v>
      </c>
      <c r="I324" s="50">
        <f>IF(ISNUMBER(H324),IF(COUNTIFS($D$2:D324,D324,$H$2:H324,H324)=1,1,0),"")</f>
        <v>1</v>
      </c>
      <c r="J324" s="50">
        <f>IF(ISNUMBER(H324),IFERROR(INDEX(Calendrier!$C$2:$C$367,MATCH(H324,Calendrier!$A$2:$A$367,0)),0),"")</f>
        <v>1</v>
      </c>
      <c r="K324" s="50">
        <f t="shared" si="29"/>
        <v>1</v>
      </c>
      <c r="L324" s="50">
        <f>IF(D324="","",IF(COUNTIF(Paramètres!$A$11:$A$40,D324)&gt;0,1,0))</f>
        <v>1</v>
      </c>
    </row>
    <row r="325" spans="1:12" hidden="1" x14ac:dyDescent="0.25">
      <c r="A325" s="49"/>
      <c r="B325" s="49" t="s">
        <v>71</v>
      </c>
      <c r="C325" s="49" t="s">
        <v>415</v>
      </c>
      <c r="D325" s="50" t="str">
        <f t="shared" si="25"/>
        <v>Mohamed Sniha</v>
      </c>
      <c r="E325" s="50" t="str">
        <f t="shared" si="26"/>
        <v>mars</v>
      </c>
      <c r="F325" s="50">
        <f t="shared" si="27"/>
        <v>18</v>
      </c>
      <c r="G325" s="50">
        <f t="shared" si="28"/>
        <v>2026</v>
      </c>
      <c r="H325" s="51">
        <f>IF($C325="","",IFERROR(DATE(G325,VLOOKUP(E325,Paramètres!$K$11:$L$40,2,FALSE()),F325),"?"))</f>
        <v>46099</v>
      </c>
      <c r="I325" s="50">
        <f>IF(ISNUMBER(H325),IF(COUNTIFS($D$2:D325,D325,$H$2:H325,H325)=1,1,0),"")</f>
        <v>1</v>
      </c>
      <c r="J325" s="50">
        <f>IF(ISNUMBER(H325),IFERROR(INDEX(Calendrier!$C$2:$C$367,MATCH(H325,Calendrier!$A$2:$A$367,0)),0),"")</f>
        <v>1</v>
      </c>
      <c r="K325" s="50">
        <f t="shared" si="29"/>
        <v>1</v>
      </c>
      <c r="L325" s="50">
        <f>IF(D325="","",IF(COUNTIF(Paramètres!$A$11:$A$40,D325)&gt;0,1,0))</f>
        <v>1</v>
      </c>
    </row>
    <row r="326" spans="1:12" hidden="1" x14ac:dyDescent="0.25">
      <c r="A326" s="49"/>
      <c r="B326" s="49" t="s">
        <v>59</v>
      </c>
      <c r="C326" s="49" t="s">
        <v>416</v>
      </c>
      <c r="D326" s="50" t="str">
        <f t="shared" si="25"/>
        <v>Imre Kapusi</v>
      </c>
      <c r="E326" s="50" t="str">
        <f t="shared" si="26"/>
        <v>mars</v>
      </c>
      <c r="F326" s="50">
        <f t="shared" si="27"/>
        <v>18</v>
      </c>
      <c r="G326" s="50">
        <f t="shared" si="28"/>
        <v>2026</v>
      </c>
      <c r="H326" s="51">
        <f>IF($C326="","",IFERROR(DATE(G326,VLOOKUP(E326,Paramètres!$K$11:$L$40,2,FALSE()),F326),"?"))</f>
        <v>46099</v>
      </c>
      <c r="I326" s="50">
        <f>IF(ISNUMBER(H326),IF(COUNTIFS($D$2:D326,D326,$H$2:H326,H326)=1,1,0),"")</f>
        <v>1</v>
      </c>
      <c r="J326" s="50">
        <f>IF(ISNUMBER(H326),IFERROR(INDEX(Calendrier!$C$2:$C$367,MATCH(H326,Calendrier!$A$2:$A$367,0)),0),"")</f>
        <v>1</v>
      </c>
      <c r="K326" s="50">
        <f t="shared" si="29"/>
        <v>1</v>
      </c>
      <c r="L326" s="50">
        <f>IF(D326="","",IF(COUNTIF(Paramètres!$A$11:$A$40,D326)&gt;0,1,0))</f>
        <v>1</v>
      </c>
    </row>
    <row r="327" spans="1:12" hidden="1" x14ac:dyDescent="0.25">
      <c r="A327" s="49"/>
      <c r="B327" s="49" t="s">
        <v>69</v>
      </c>
      <c r="C327" s="49" t="s">
        <v>417</v>
      </c>
      <c r="D327" s="50" t="str">
        <f t="shared" si="25"/>
        <v>Mina Moussa</v>
      </c>
      <c r="E327" s="50" t="str">
        <f t="shared" si="26"/>
        <v>mars</v>
      </c>
      <c r="F327" s="50">
        <f t="shared" si="27"/>
        <v>18</v>
      </c>
      <c r="G327" s="50">
        <f t="shared" si="28"/>
        <v>2026</v>
      </c>
      <c r="H327" s="51">
        <f>IF($C327="","",IFERROR(DATE(G327,VLOOKUP(E327,Paramètres!$K$11:$L$40,2,FALSE()),F327),"?"))</f>
        <v>46099</v>
      </c>
      <c r="I327" s="50">
        <f>IF(ISNUMBER(H327),IF(COUNTIFS($D$2:D327,D327,$H$2:H327,H327)=1,1,0),"")</f>
        <v>1</v>
      </c>
      <c r="J327" s="50">
        <f>IF(ISNUMBER(H327),IFERROR(INDEX(Calendrier!$C$2:$C$367,MATCH(H327,Calendrier!$A$2:$A$367,0)),0),"")</f>
        <v>1</v>
      </c>
      <c r="K327" s="50">
        <f t="shared" si="29"/>
        <v>1</v>
      </c>
      <c r="L327" s="50">
        <f>IF(D327="","",IF(COUNTIF(Paramètres!$A$11:$A$40,D327)&gt;0,1,0))</f>
        <v>1</v>
      </c>
    </row>
    <row r="328" spans="1:12" hidden="1" x14ac:dyDescent="0.25">
      <c r="A328" s="49"/>
      <c r="B328" s="49" t="s">
        <v>45</v>
      </c>
      <c r="C328" s="49" t="s">
        <v>418</v>
      </c>
      <c r="D328" s="50" t="str">
        <f t="shared" si="25"/>
        <v>Ahlem Moussa</v>
      </c>
      <c r="E328" s="50" t="str">
        <f t="shared" si="26"/>
        <v>mars</v>
      </c>
      <c r="F328" s="50">
        <f t="shared" si="27"/>
        <v>18</v>
      </c>
      <c r="G328" s="50">
        <f t="shared" si="28"/>
        <v>2026</v>
      </c>
      <c r="H328" s="51">
        <f>IF($C328="","",IFERROR(DATE(G328,VLOOKUP(E328,Paramètres!$K$11:$L$40,2,FALSE()),F328),"?"))</f>
        <v>46099</v>
      </c>
      <c r="I328" s="50">
        <f>IF(ISNUMBER(H328),IF(COUNTIFS($D$2:D328,D328,$H$2:H328,H328)=1,1,0),"")</f>
        <v>1</v>
      </c>
      <c r="J328" s="50">
        <f>IF(ISNUMBER(H328),IFERROR(INDEX(Calendrier!$C$2:$C$367,MATCH(H328,Calendrier!$A$2:$A$367,0)),0),"")</f>
        <v>1</v>
      </c>
      <c r="K328" s="50">
        <f t="shared" si="29"/>
        <v>1</v>
      </c>
      <c r="L328" s="50">
        <f>IF(D328="","",IF(COUNTIF(Paramètres!$A$11:$A$40,D328)&gt;0,1,0))</f>
        <v>1</v>
      </c>
    </row>
    <row r="329" spans="1:12" hidden="1" x14ac:dyDescent="0.25">
      <c r="A329" s="49"/>
      <c r="B329" s="49" t="s">
        <v>61</v>
      </c>
      <c r="C329" s="49" t="s">
        <v>419</v>
      </c>
      <c r="D329" s="50" t="str">
        <f t="shared" si="25"/>
        <v>Ines Farhat</v>
      </c>
      <c r="E329" s="50" t="str">
        <f t="shared" si="26"/>
        <v>mars</v>
      </c>
      <c r="F329" s="50">
        <f t="shared" si="27"/>
        <v>18</v>
      </c>
      <c r="G329" s="50">
        <f t="shared" si="28"/>
        <v>2026</v>
      </c>
      <c r="H329" s="51">
        <f>IF($C329="","",IFERROR(DATE(G329,VLOOKUP(E329,Paramètres!$K$11:$L$40,2,FALSE()),F329),"?"))</f>
        <v>46099</v>
      </c>
      <c r="I329" s="50">
        <f>IF(ISNUMBER(H329),IF(COUNTIFS($D$2:D329,D329,$H$2:H329,H329)=1,1,0),"")</f>
        <v>1</v>
      </c>
      <c r="J329" s="50">
        <f>IF(ISNUMBER(H329),IFERROR(INDEX(Calendrier!$C$2:$C$367,MATCH(H329,Calendrier!$A$2:$A$367,0)),0),"")</f>
        <v>1</v>
      </c>
      <c r="K329" s="50">
        <f t="shared" si="29"/>
        <v>1</v>
      </c>
      <c r="L329" s="50">
        <f>IF(D329="","",IF(COUNTIF(Paramètres!$A$11:$A$40,D329)&gt;0,1,0))</f>
        <v>1</v>
      </c>
    </row>
    <row r="330" spans="1:12" hidden="1" x14ac:dyDescent="0.25">
      <c r="A330" s="49"/>
      <c r="B330" s="49" t="s">
        <v>75</v>
      </c>
      <c r="C330" s="49" t="s">
        <v>420</v>
      </c>
      <c r="D330" s="50" t="str">
        <f t="shared" si="25"/>
        <v>Nesrine Laassili</v>
      </c>
      <c r="E330" s="50" t="str">
        <f t="shared" si="26"/>
        <v>mars</v>
      </c>
      <c r="F330" s="50">
        <f t="shared" si="27"/>
        <v>18</v>
      </c>
      <c r="G330" s="50">
        <f t="shared" si="28"/>
        <v>2026</v>
      </c>
      <c r="H330" s="51">
        <f>IF($C330="","",IFERROR(DATE(G330,VLOOKUP(E330,Paramètres!$K$11:$L$40,2,FALSE()),F330),"?"))</f>
        <v>46099</v>
      </c>
      <c r="I330" s="50">
        <f>IF(ISNUMBER(H330),IF(COUNTIFS($D$2:D330,D330,$H$2:H330,H330)=1,1,0),"")</f>
        <v>1</v>
      </c>
      <c r="J330" s="50">
        <f>IF(ISNUMBER(H330),IFERROR(INDEX(Calendrier!$C$2:$C$367,MATCH(H330,Calendrier!$A$2:$A$367,0)),0),"")</f>
        <v>1</v>
      </c>
      <c r="K330" s="50">
        <f t="shared" si="29"/>
        <v>1</v>
      </c>
      <c r="L330" s="50">
        <f>IF(D330="","",IF(COUNTIF(Paramètres!$A$11:$A$40,D330)&gt;0,1,0))</f>
        <v>1</v>
      </c>
    </row>
    <row r="331" spans="1:12" hidden="1" x14ac:dyDescent="0.25">
      <c r="A331" s="49"/>
      <c r="B331" s="49" t="s">
        <v>85</v>
      </c>
      <c r="C331" s="49" t="s">
        <v>421</v>
      </c>
      <c r="D331" s="50" t="str">
        <f t="shared" si="25"/>
        <v>Said Hamrouni</v>
      </c>
      <c r="E331" s="50" t="str">
        <f t="shared" si="26"/>
        <v>mars</v>
      </c>
      <c r="F331" s="50">
        <f t="shared" si="27"/>
        <v>18</v>
      </c>
      <c r="G331" s="50">
        <f t="shared" si="28"/>
        <v>2026</v>
      </c>
      <c r="H331" s="51">
        <f>IF($C331="","",IFERROR(DATE(G331,VLOOKUP(E331,Paramètres!$K$11:$L$40,2,FALSE()),F331),"?"))</f>
        <v>46099</v>
      </c>
      <c r="I331" s="50">
        <f>IF(ISNUMBER(H331),IF(COUNTIFS($D$2:D331,D331,$H$2:H331,H331)=1,1,0),"")</f>
        <v>1</v>
      </c>
      <c r="J331" s="50">
        <f>IF(ISNUMBER(H331),IFERROR(INDEX(Calendrier!$C$2:$C$367,MATCH(H331,Calendrier!$A$2:$A$367,0)),0),"")</f>
        <v>1</v>
      </c>
      <c r="K331" s="50">
        <f t="shared" si="29"/>
        <v>1</v>
      </c>
      <c r="L331" s="50">
        <f>IF(D331="","",IF(COUNTIF(Paramètres!$A$11:$A$40,D331)&gt;0,1,0))</f>
        <v>1</v>
      </c>
    </row>
    <row r="332" spans="1:12" hidden="1" x14ac:dyDescent="0.25">
      <c r="A332" s="49"/>
      <c r="B332" s="49" t="s">
        <v>69</v>
      </c>
      <c r="C332" s="49" t="s">
        <v>422</v>
      </c>
      <c r="D332" s="50" t="str">
        <f t="shared" si="25"/>
        <v>Mina Moussa</v>
      </c>
      <c r="E332" s="50" t="str">
        <f t="shared" si="26"/>
        <v>mars</v>
      </c>
      <c r="F332" s="50">
        <f t="shared" si="27"/>
        <v>2</v>
      </c>
      <c r="G332" s="50">
        <f t="shared" si="28"/>
        <v>2026</v>
      </c>
      <c r="H332" s="51">
        <f>IF($C332="","",IFERROR(DATE(G332,VLOOKUP(E332,Paramètres!$K$11:$L$40,2,FALSE()),F332),"?"))</f>
        <v>46083</v>
      </c>
      <c r="I332" s="50">
        <f>IF(ISNUMBER(H332),IF(COUNTIFS($D$2:D332,D332,$H$2:H332,H332)=1,1,0),"")</f>
        <v>1</v>
      </c>
      <c r="J332" s="50">
        <f>IF(ISNUMBER(H332),IFERROR(INDEX(Calendrier!$C$2:$C$367,MATCH(H332,Calendrier!$A$2:$A$367,0)),0),"")</f>
        <v>1</v>
      </c>
      <c r="K332" s="50">
        <f t="shared" si="29"/>
        <v>1</v>
      </c>
      <c r="L332" s="50">
        <f>IF(D332="","",IF(COUNTIF(Paramètres!$A$11:$A$40,D332)&gt;0,1,0))</f>
        <v>1</v>
      </c>
    </row>
    <row r="333" spans="1:12" hidden="1" x14ac:dyDescent="0.25">
      <c r="A333" s="49"/>
      <c r="B333" s="49" t="s">
        <v>61</v>
      </c>
      <c r="C333" s="49" t="s">
        <v>423</v>
      </c>
      <c r="D333" s="50" t="str">
        <f t="shared" si="25"/>
        <v>Ines Farhat</v>
      </c>
      <c r="E333" s="50" t="str">
        <f t="shared" si="26"/>
        <v>mars</v>
      </c>
      <c r="F333" s="50">
        <f t="shared" si="27"/>
        <v>2</v>
      </c>
      <c r="G333" s="50">
        <f t="shared" si="28"/>
        <v>2026</v>
      </c>
      <c r="H333" s="51">
        <f>IF($C333="","",IFERROR(DATE(G333,VLOOKUP(E333,Paramètres!$K$11:$L$40,2,FALSE()),F333),"?"))</f>
        <v>46083</v>
      </c>
      <c r="I333" s="50">
        <f>IF(ISNUMBER(H333),IF(COUNTIFS($D$2:D333,D333,$H$2:H333,H333)=1,1,0),"")</f>
        <v>1</v>
      </c>
      <c r="J333" s="50">
        <f>IF(ISNUMBER(H333),IFERROR(INDEX(Calendrier!$C$2:$C$367,MATCH(H333,Calendrier!$A$2:$A$367,0)),0),"")</f>
        <v>1</v>
      </c>
      <c r="K333" s="50">
        <f t="shared" si="29"/>
        <v>1</v>
      </c>
      <c r="L333" s="50">
        <f>IF(D333="","",IF(COUNTIF(Paramètres!$A$11:$A$40,D333)&gt;0,1,0))</f>
        <v>1</v>
      </c>
    </row>
    <row r="334" spans="1:12" hidden="1" x14ac:dyDescent="0.25">
      <c r="A334" s="49"/>
      <c r="B334" s="49" t="s">
        <v>81</v>
      </c>
      <c r="C334" s="49" t="s">
        <v>424</v>
      </c>
      <c r="D334" s="50" t="str">
        <f t="shared" si="25"/>
        <v>Sabrine Neffeti</v>
      </c>
      <c r="E334" s="50" t="str">
        <f t="shared" si="26"/>
        <v>mars</v>
      </c>
      <c r="F334" s="50">
        <f t="shared" si="27"/>
        <v>2</v>
      </c>
      <c r="G334" s="50">
        <f t="shared" si="28"/>
        <v>2026</v>
      </c>
      <c r="H334" s="51">
        <f>IF($C334="","",IFERROR(DATE(G334,VLOOKUP(E334,Paramètres!$K$11:$L$40,2,FALSE()),F334),"?"))</f>
        <v>46083</v>
      </c>
      <c r="I334" s="50">
        <f>IF(ISNUMBER(H334),IF(COUNTIFS($D$2:D334,D334,$H$2:H334,H334)=1,1,0),"")</f>
        <v>1</v>
      </c>
      <c r="J334" s="50">
        <f>IF(ISNUMBER(H334),IFERROR(INDEX(Calendrier!$C$2:$C$367,MATCH(H334,Calendrier!$A$2:$A$367,0)),0),"")</f>
        <v>1</v>
      </c>
      <c r="K334" s="50">
        <f t="shared" si="29"/>
        <v>1</v>
      </c>
      <c r="L334" s="50">
        <f>IF(D334="","",IF(COUNTIF(Paramètres!$A$11:$A$40,D334)&gt;0,1,0))</f>
        <v>1</v>
      </c>
    </row>
    <row r="335" spans="1:12" hidden="1" x14ac:dyDescent="0.25">
      <c r="A335" s="49"/>
      <c r="B335" s="49" t="s">
        <v>81</v>
      </c>
      <c r="C335" s="49" t="s">
        <v>425</v>
      </c>
      <c r="D335" s="50" t="str">
        <f t="shared" si="25"/>
        <v>Sabrine Neffeti</v>
      </c>
      <c r="E335" s="50" t="str">
        <f t="shared" si="26"/>
        <v>mars</v>
      </c>
      <c r="F335" s="50">
        <f t="shared" si="27"/>
        <v>2</v>
      </c>
      <c r="G335" s="50">
        <f t="shared" si="28"/>
        <v>2026</v>
      </c>
      <c r="H335" s="51">
        <f>IF($C335="","",IFERROR(DATE(G335,VLOOKUP(E335,Paramètres!$K$11:$L$40,2,FALSE()),F335),"?"))</f>
        <v>46083</v>
      </c>
      <c r="I335" s="50">
        <f>IF(ISNUMBER(H335),IF(COUNTIFS($D$2:D335,D335,$H$2:H335,H335)=1,1,0),"")</f>
        <v>0</v>
      </c>
      <c r="J335" s="50">
        <f>IF(ISNUMBER(H335),IFERROR(INDEX(Calendrier!$C$2:$C$367,MATCH(H335,Calendrier!$A$2:$A$367,0)),0),"")</f>
        <v>1</v>
      </c>
      <c r="K335" s="50">
        <f t="shared" si="29"/>
        <v>0</v>
      </c>
      <c r="L335" s="50">
        <f>IF(D335="","",IF(COUNTIF(Paramètres!$A$11:$A$40,D335)&gt;0,1,0))</f>
        <v>1</v>
      </c>
    </row>
    <row r="336" spans="1:12" hidden="1" x14ac:dyDescent="0.25">
      <c r="A336" s="49"/>
      <c r="B336" s="49" t="s">
        <v>73</v>
      </c>
      <c r="C336" s="49" t="s">
        <v>426</v>
      </c>
      <c r="D336" s="50" t="str">
        <f t="shared" si="25"/>
        <v>Mourad Ayari</v>
      </c>
      <c r="E336" s="50" t="str">
        <f t="shared" si="26"/>
        <v>mars</v>
      </c>
      <c r="F336" s="50">
        <f t="shared" si="27"/>
        <v>2</v>
      </c>
      <c r="G336" s="50">
        <f t="shared" si="28"/>
        <v>2026</v>
      </c>
      <c r="H336" s="51">
        <f>IF($C336="","",IFERROR(DATE(G336,VLOOKUP(E336,Paramètres!$K$11:$L$40,2,FALSE()),F336),"?"))</f>
        <v>46083</v>
      </c>
      <c r="I336" s="50">
        <f>IF(ISNUMBER(H336),IF(COUNTIFS($D$2:D336,D336,$H$2:H336,H336)=1,1,0),"")</f>
        <v>1</v>
      </c>
      <c r="J336" s="50">
        <f>IF(ISNUMBER(H336),IFERROR(INDEX(Calendrier!$C$2:$C$367,MATCH(H336,Calendrier!$A$2:$A$367,0)),0),"")</f>
        <v>1</v>
      </c>
      <c r="K336" s="50">
        <f t="shared" si="29"/>
        <v>1</v>
      </c>
      <c r="L336" s="50">
        <f>IF(D336="","",IF(COUNTIF(Paramètres!$A$11:$A$40,D336)&gt;0,1,0))</f>
        <v>1</v>
      </c>
    </row>
    <row r="337" spans="1:12" hidden="1" x14ac:dyDescent="0.25">
      <c r="A337" s="49"/>
      <c r="B337" s="49" t="s">
        <v>45</v>
      </c>
      <c r="C337" s="49" t="s">
        <v>427</v>
      </c>
      <c r="D337" s="50" t="str">
        <f t="shared" si="25"/>
        <v>Ahlem Moussa</v>
      </c>
      <c r="E337" s="50" t="str">
        <f t="shared" si="26"/>
        <v>mars</v>
      </c>
      <c r="F337" s="50">
        <f t="shared" si="27"/>
        <v>2</v>
      </c>
      <c r="G337" s="50">
        <f t="shared" si="28"/>
        <v>2026</v>
      </c>
      <c r="H337" s="51">
        <f>IF($C337="","",IFERROR(DATE(G337,VLOOKUP(E337,Paramètres!$K$11:$L$40,2,FALSE()),F337),"?"))</f>
        <v>46083</v>
      </c>
      <c r="I337" s="50">
        <f>IF(ISNUMBER(H337),IF(COUNTIFS($D$2:D337,D337,$H$2:H337,H337)=1,1,0),"")</f>
        <v>1</v>
      </c>
      <c r="J337" s="50">
        <f>IF(ISNUMBER(H337),IFERROR(INDEX(Calendrier!$C$2:$C$367,MATCH(H337,Calendrier!$A$2:$A$367,0)),0),"")</f>
        <v>1</v>
      </c>
      <c r="K337" s="50">
        <f t="shared" si="29"/>
        <v>1</v>
      </c>
      <c r="L337" s="50">
        <f>IF(D337="","",IF(COUNTIF(Paramètres!$A$11:$A$40,D337)&gt;0,1,0))</f>
        <v>1</v>
      </c>
    </row>
    <row r="338" spans="1:12" hidden="1" x14ac:dyDescent="0.25">
      <c r="A338" s="49"/>
      <c r="B338" s="49" t="s">
        <v>69</v>
      </c>
      <c r="C338" s="49" t="s">
        <v>428</v>
      </c>
      <c r="D338" s="50" t="str">
        <f t="shared" si="25"/>
        <v>Mina Moussa</v>
      </c>
      <c r="E338" s="50" t="str">
        <f t="shared" si="26"/>
        <v>mars</v>
      </c>
      <c r="F338" s="50">
        <f t="shared" si="27"/>
        <v>20</v>
      </c>
      <c r="G338" s="50">
        <f t="shared" si="28"/>
        <v>2026</v>
      </c>
      <c r="H338" s="51">
        <f>IF($C338="","",IFERROR(DATE(G338,VLOOKUP(E338,Paramètres!$K$11:$L$40,2,FALSE()),F338),"?"))</f>
        <v>46101</v>
      </c>
      <c r="I338" s="50">
        <f>IF(ISNUMBER(H338),IF(COUNTIFS($D$2:D338,D338,$H$2:H338,H338)=1,1,0),"")</f>
        <v>1</v>
      </c>
      <c r="J338" s="50">
        <f>IF(ISNUMBER(H338),IFERROR(INDEX(Calendrier!$C$2:$C$367,MATCH(H338,Calendrier!$A$2:$A$367,0)),0),"")</f>
        <v>0</v>
      </c>
      <c r="K338" s="50">
        <f t="shared" si="29"/>
        <v>0</v>
      </c>
      <c r="L338" s="50">
        <f>IF(D338="","",IF(COUNTIF(Paramètres!$A$11:$A$40,D338)&gt;0,1,0))</f>
        <v>1</v>
      </c>
    </row>
    <row r="339" spans="1:12" hidden="1" x14ac:dyDescent="0.25">
      <c r="A339" s="49"/>
      <c r="B339" s="49" t="s">
        <v>45</v>
      </c>
      <c r="C339" s="49" t="s">
        <v>429</v>
      </c>
      <c r="D339" s="50" t="str">
        <f t="shared" si="25"/>
        <v>Ahlem Moussa</v>
      </c>
      <c r="E339" s="50" t="str">
        <f t="shared" si="26"/>
        <v>mars</v>
      </c>
      <c r="F339" s="50">
        <f t="shared" si="27"/>
        <v>23</v>
      </c>
      <c r="G339" s="50">
        <f t="shared" si="28"/>
        <v>2026</v>
      </c>
      <c r="H339" s="51">
        <f>IF($C339="","",IFERROR(DATE(G339,VLOOKUP(E339,Paramètres!$K$11:$L$40,2,FALSE()),F339),"?"))</f>
        <v>46104</v>
      </c>
      <c r="I339" s="50">
        <f>IF(ISNUMBER(H339),IF(COUNTIFS($D$2:D339,D339,$H$2:H339,H339)=1,1,0),"")</f>
        <v>1</v>
      </c>
      <c r="J339" s="50">
        <f>IF(ISNUMBER(H339),IFERROR(INDEX(Calendrier!$C$2:$C$367,MATCH(H339,Calendrier!$A$2:$A$367,0)),0),"")</f>
        <v>1</v>
      </c>
      <c r="K339" s="50">
        <f t="shared" si="29"/>
        <v>1</v>
      </c>
      <c r="L339" s="50">
        <f>IF(D339="","",IF(COUNTIF(Paramètres!$A$11:$A$40,D339)&gt;0,1,0))</f>
        <v>1</v>
      </c>
    </row>
    <row r="340" spans="1:12" hidden="1" x14ac:dyDescent="0.25">
      <c r="A340" s="49"/>
      <c r="B340" s="49" t="s">
        <v>59</v>
      </c>
      <c r="C340" s="49" t="s">
        <v>430</v>
      </c>
      <c r="D340" s="50" t="str">
        <f t="shared" si="25"/>
        <v>Imre Kapusi</v>
      </c>
      <c r="E340" s="50" t="str">
        <f t="shared" si="26"/>
        <v>mars</v>
      </c>
      <c r="F340" s="50">
        <f t="shared" si="27"/>
        <v>23</v>
      </c>
      <c r="G340" s="50">
        <f t="shared" si="28"/>
        <v>2026</v>
      </c>
      <c r="H340" s="51">
        <f>IF($C340="","",IFERROR(DATE(G340,VLOOKUP(E340,Paramètres!$K$11:$L$40,2,FALSE()),F340),"?"))</f>
        <v>46104</v>
      </c>
      <c r="I340" s="50">
        <f>IF(ISNUMBER(H340),IF(COUNTIFS($D$2:D340,D340,$H$2:H340,H340)=1,1,0),"")</f>
        <v>1</v>
      </c>
      <c r="J340" s="50">
        <f>IF(ISNUMBER(H340),IFERROR(INDEX(Calendrier!$C$2:$C$367,MATCH(H340,Calendrier!$A$2:$A$367,0)),0),"")</f>
        <v>1</v>
      </c>
      <c r="K340" s="50">
        <f t="shared" si="29"/>
        <v>1</v>
      </c>
      <c r="L340" s="50">
        <f>IF(D340="","",IF(COUNTIF(Paramètres!$A$11:$A$40,D340)&gt;0,1,0))</f>
        <v>1</v>
      </c>
    </row>
    <row r="341" spans="1:12" x14ac:dyDescent="0.25">
      <c r="A341" s="49"/>
      <c r="B341" s="49" t="s">
        <v>90</v>
      </c>
      <c r="C341" s="49" t="s">
        <v>431</v>
      </c>
      <c r="D341" s="50" t="str">
        <f t="shared" si="25"/>
        <v>Zouhour Fathallah</v>
      </c>
      <c r="E341" s="50" t="str">
        <f t="shared" si="26"/>
        <v>mars</v>
      </c>
      <c r="F341" s="50">
        <f t="shared" si="27"/>
        <v>23</v>
      </c>
      <c r="G341" s="50">
        <f t="shared" si="28"/>
        <v>2026</v>
      </c>
      <c r="H341" s="51">
        <f>IF($C341="","",IFERROR(DATE(G341,VLOOKUP(E341,Paramètres!$K$11:$L$40,2,FALSE()),F341),"?"))</f>
        <v>46104</v>
      </c>
      <c r="I341" s="50">
        <f>IF(ISNUMBER(H341),IF(COUNTIFS($D$2:D341,D341,$H$2:H341,H341)=1,1,0),"")</f>
        <v>1</v>
      </c>
      <c r="J341" s="50">
        <f>IF(ISNUMBER(H341),IFERROR(INDEX(Calendrier!$C$2:$C$367,MATCH(H341,Calendrier!$A$2:$A$367,0)),0),"")</f>
        <v>1</v>
      </c>
      <c r="K341" s="50">
        <f t="shared" si="29"/>
        <v>1</v>
      </c>
      <c r="L341" s="50">
        <f>IF(D341="","",IF(COUNTIF(Paramètres!$A$11:$A$40,D341)&gt;0,1,0))</f>
        <v>1</v>
      </c>
    </row>
    <row r="342" spans="1:12" hidden="1" x14ac:dyDescent="0.25">
      <c r="A342" s="49"/>
      <c r="B342" s="49" t="s">
        <v>69</v>
      </c>
      <c r="C342" s="49" t="s">
        <v>432</v>
      </c>
      <c r="D342" s="50" t="str">
        <f t="shared" si="25"/>
        <v>Mina Moussa</v>
      </c>
      <c r="E342" s="50" t="str">
        <f t="shared" si="26"/>
        <v>mars</v>
      </c>
      <c r="F342" s="50">
        <f t="shared" si="27"/>
        <v>23</v>
      </c>
      <c r="G342" s="50">
        <f t="shared" si="28"/>
        <v>2026</v>
      </c>
      <c r="H342" s="51">
        <f>IF($C342="","",IFERROR(DATE(G342,VLOOKUP(E342,Paramètres!$K$11:$L$40,2,FALSE()),F342),"?"))</f>
        <v>46104</v>
      </c>
      <c r="I342" s="50">
        <f>IF(ISNUMBER(H342),IF(COUNTIFS($D$2:D342,D342,$H$2:H342,H342)=1,1,0),"")</f>
        <v>1</v>
      </c>
      <c r="J342" s="50">
        <f>IF(ISNUMBER(H342),IFERROR(INDEX(Calendrier!$C$2:$C$367,MATCH(H342,Calendrier!$A$2:$A$367,0)),0),"")</f>
        <v>1</v>
      </c>
      <c r="K342" s="50">
        <f t="shared" si="29"/>
        <v>1</v>
      </c>
      <c r="L342" s="50">
        <f>IF(D342="","",IF(COUNTIF(Paramètres!$A$11:$A$40,D342)&gt;0,1,0))</f>
        <v>1</v>
      </c>
    </row>
    <row r="343" spans="1:12" hidden="1" x14ac:dyDescent="0.25">
      <c r="A343" s="49"/>
      <c r="B343" s="49" t="s">
        <v>85</v>
      </c>
      <c r="C343" s="49" t="s">
        <v>433</v>
      </c>
      <c r="D343" s="50" t="str">
        <f t="shared" si="25"/>
        <v>Said Hamrouni</v>
      </c>
      <c r="E343" s="50" t="str">
        <f t="shared" si="26"/>
        <v>mars</v>
      </c>
      <c r="F343" s="50">
        <f t="shared" si="27"/>
        <v>23</v>
      </c>
      <c r="G343" s="50">
        <f t="shared" si="28"/>
        <v>2026</v>
      </c>
      <c r="H343" s="51">
        <f>IF($C343="","",IFERROR(DATE(G343,VLOOKUP(E343,Paramètres!$K$11:$L$40,2,FALSE()),F343),"?"))</f>
        <v>46104</v>
      </c>
      <c r="I343" s="50">
        <f>IF(ISNUMBER(H343),IF(COUNTIFS($D$2:D343,D343,$H$2:H343,H343)=1,1,0),"")</f>
        <v>1</v>
      </c>
      <c r="J343" s="50">
        <f>IF(ISNUMBER(H343),IFERROR(INDEX(Calendrier!$C$2:$C$367,MATCH(H343,Calendrier!$A$2:$A$367,0)),0),"")</f>
        <v>1</v>
      </c>
      <c r="K343" s="50">
        <f t="shared" si="29"/>
        <v>1</v>
      </c>
      <c r="L343" s="50">
        <f>IF(D343="","",IF(COUNTIF(Paramètres!$A$11:$A$40,D343)&gt;0,1,0))</f>
        <v>1</v>
      </c>
    </row>
    <row r="344" spans="1:12" hidden="1" x14ac:dyDescent="0.25">
      <c r="A344" s="49"/>
      <c r="B344" s="49" t="s">
        <v>61</v>
      </c>
      <c r="C344" s="49" t="s">
        <v>434</v>
      </c>
      <c r="D344" s="50" t="str">
        <f t="shared" si="25"/>
        <v>Ines Farhat</v>
      </c>
      <c r="E344" s="50" t="str">
        <f t="shared" si="26"/>
        <v>mars</v>
      </c>
      <c r="F344" s="50">
        <f t="shared" si="27"/>
        <v>23</v>
      </c>
      <c r="G344" s="50">
        <f t="shared" si="28"/>
        <v>2026</v>
      </c>
      <c r="H344" s="51">
        <f>IF($C344="","",IFERROR(DATE(G344,VLOOKUP(E344,Paramètres!$K$11:$L$40,2,FALSE()),F344),"?"))</f>
        <v>46104</v>
      </c>
      <c r="I344" s="50">
        <f>IF(ISNUMBER(H344),IF(COUNTIFS($D$2:D344,D344,$H$2:H344,H344)=1,1,0),"")</f>
        <v>1</v>
      </c>
      <c r="J344" s="50">
        <f>IF(ISNUMBER(H344),IFERROR(INDEX(Calendrier!$C$2:$C$367,MATCH(H344,Calendrier!$A$2:$A$367,0)),0),"")</f>
        <v>1</v>
      </c>
      <c r="K344" s="50">
        <f t="shared" si="29"/>
        <v>1</v>
      </c>
      <c r="L344" s="50">
        <f>IF(D344="","",IF(COUNTIF(Paramètres!$A$11:$A$40,D344)&gt;0,1,0))</f>
        <v>1</v>
      </c>
    </row>
    <row r="345" spans="1:12" hidden="1" x14ac:dyDescent="0.25">
      <c r="A345" s="49"/>
      <c r="B345" s="49" t="s">
        <v>67</v>
      </c>
      <c r="C345" s="49" t="s">
        <v>435</v>
      </c>
      <c r="D345" s="50" t="str">
        <f t="shared" si="25"/>
        <v>Marwa Solaani</v>
      </c>
      <c r="E345" s="50" t="str">
        <f t="shared" si="26"/>
        <v>mars</v>
      </c>
      <c r="F345" s="50">
        <f t="shared" si="27"/>
        <v>24</v>
      </c>
      <c r="G345" s="50">
        <f t="shared" si="28"/>
        <v>2026</v>
      </c>
      <c r="H345" s="51">
        <f>IF($C345="","",IFERROR(DATE(G345,VLOOKUP(E345,Paramètres!$K$11:$L$40,2,FALSE()),F345),"?"))</f>
        <v>46105</v>
      </c>
      <c r="I345" s="50">
        <f>IF(ISNUMBER(H345),IF(COUNTIFS($D$2:D345,D345,$H$2:H345,H345)=1,1,0),"")</f>
        <v>1</v>
      </c>
      <c r="J345" s="50">
        <f>IF(ISNUMBER(H345),IFERROR(INDEX(Calendrier!$C$2:$C$367,MATCH(H345,Calendrier!$A$2:$A$367,0)),0),"")</f>
        <v>1</v>
      </c>
      <c r="K345" s="50">
        <f t="shared" si="29"/>
        <v>1</v>
      </c>
      <c r="L345" s="50">
        <f>IF(D345="","",IF(COUNTIF(Paramètres!$A$11:$A$40,D345)&gt;0,1,0))</f>
        <v>1</v>
      </c>
    </row>
    <row r="346" spans="1:12" hidden="1" x14ac:dyDescent="0.25">
      <c r="A346" s="49"/>
      <c r="B346" s="49" t="s">
        <v>69</v>
      </c>
      <c r="C346" s="49" t="s">
        <v>436</v>
      </c>
      <c r="D346" s="50" t="str">
        <f t="shared" si="25"/>
        <v>Mina Moussa</v>
      </c>
      <c r="E346" s="50" t="str">
        <f t="shared" si="26"/>
        <v>mars</v>
      </c>
      <c r="F346" s="50">
        <f t="shared" si="27"/>
        <v>24</v>
      </c>
      <c r="G346" s="50">
        <f t="shared" si="28"/>
        <v>2026</v>
      </c>
      <c r="H346" s="51">
        <f>IF($C346="","",IFERROR(DATE(G346,VLOOKUP(E346,Paramètres!$K$11:$L$40,2,FALSE()),F346),"?"))</f>
        <v>46105</v>
      </c>
      <c r="I346" s="50">
        <f>IF(ISNUMBER(H346),IF(COUNTIFS($D$2:D346,D346,$H$2:H346,H346)=1,1,0),"")</f>
        <v>1</v>
      </c>
      <c r="J346" s="50">
        <f>IF(ISNUMBER(H346),IFERROR(INDEX(Calendrier!$C$2:$C$367,MATCH(H346,Calendrier!$A$2:$A$367,0)),0),"")</f>
        <v>1</v>
      </c>
      <c r="K346" s="50">
        <f t="shared" si="29"/>
        <v>1</v>
      </c>
      <c r="L346" s="50">
        <f>IF(D346="","",IF(COUNTIF(Paramètres!$A$11:$A$40,D346)&gt;0,1,0))</f>
        <v>1</v>
      </c>
    </row>
    <row r="347" spans="1:12" hidden="1" x14ac:dyDescent="0.25">
      <c r="A347" s="49"/>
      <c r="B347" s="49" t="s">
        <v>85</v>
      </c>
      <c r="C347" s="49" t="s">
        <v>437</v>
      </c>
      <c r="D347" s="50" t="str">
        <f t="shared" si="25"/>
        <v>Said Hamrouni</v>
      </c>
      <c r="E347" s="50" t="str">
        <f t="shared" si="26"/>
        <v>mars</v>
      </c>
      <c r="F347" s="50">
        <f t="shared" si="27"/>
        <v>24</v>
      </c>
      <c r="G347" s="50">
        <f t="shared" si="28"/>
        <v>2026</v>
      </c>
      <c r="H347" s="51">
        <f>IF($C347="","",IFERROR(DATE(G347,VLOOKUP(E347,Paramètres!$K$11:$L$40,2,FALSE()),F347),"?"))</f>
        <v>46105</v>
      </c>
      <c r="I347" s="50">
        <f>IF(ISNUMBER(H347),IF(COUNTIFS($D$2:D347,D347,$H$2:H347,H347)=1,1,0),"")</f>
        <v>1</v>
      </c>
      <c r="J347" s="50">
        <f>IF(ISNUMBER(H347),IFERROR(INDEX(Calendrier!$C$2:$C$367,MATCH(H347,Calendrier!$A$2:$A$367,0)),0),"")</f>
        <v>1</v>
      </c>
      <c r="K347" s="50">
        <f t="shared" si="29"/>
        <v>1</v>
      </c>
      <c r="L347" s="50">
        <f>IF(D347="","",IF(COUNTIF(Paramètres!$A$11:$A$40,D347)&gt;0,1,0))</f>
        <v>1</v>
      </c>
    </row>
    <row r="348" spans="1:12" hidden="1" x14ac:dyDescent="0.25">
      <c r="A348" s="49"/>
      <c r="B348" s="49" t="s">
        <v>81</v>
      </c>
      <c r="C348" s="49" t="s">
        <v>438</v>
      </c>
      <c r="D348" s="50" t="str">
        <f t="shared" si="25"/>
        <v>Sabrine Neffeti</v>
      </c>
      <c r="E348" s="50" t="str">
        <f t="shared" si="26"/>
        <v>mars</v>
      </c>
      <c r="F348" s="50">
        <f t="shared" si="27"/>
        <v>25</v>
      </c>
      <c r="G348" s="50">
        <f t="shared" si="28"/>
        <v>2026</v>
      </c>
      <c r="H348" s="51">
        <f>IF($C348="","",IFERROR(DATE(G348,VLOOKUP(E348,Paramètres!$K$11:$L$40,2,FALSE()),F348),"?"))</f>
        <v>46106</v>
      </c>
      <c r="I348" s="50">
        <f>IF(ISNUMBER(H348),IF(COUNTIFS($D$2:D348,D348,$H$2:H348,H348)=1,1,0),"")</f>
        <v>1</v>
      </c>
      <c r="J348" s="50">
        <f>IF(ISNUMBER(H348),IFERROR(INDEX(Calendrier!$C$2:$C$367,MATCH(H348,Calendrier!$A$2:$A$367,0)),0),"")</f>
        <v>1</v>
      </c>
      <c r="K348" s="50">
        <f t="shared" si="29"/>
        <v>1</v>
      </c>
      <c r="L348" s="50">
        <f>IF(D348="","",IF(COUNTIF(Paramètres!$A$11:$A$40,D348)&gt;0,1,0))</f>
        <v>1</v>
      </c>
    </row>
    <row r="349" spans="1:12" hidden="1" x14ac:dyDescent="0.25">
      <c r="A349" s="49"/>
      <c r="B349" s="49" t="s">
        <v>59</v>
      </c>
      <c r="C349" s="49" t="s">
        <v>439</v>
      </c>
      <c r="D349" s="50" t="str">
        <f t="shared" si="25"/>
        <v>Imre Kapusi</v>
      </c>
      <c r="E349" s="50" t="str">
        <f t="shared" si="26"/>
        <v>mars</v>
      </c>
      <c r="F349" s="50">
        <f t="shared" si="27"/>
        <v>25</v>
      </c>
      <c r="G349" s="50">
        <f t="shared" si="28"/>
        <v>2026</v>
      </c>
      <c r="H349" s="51">
        <f>IF($C349="","",IFERROR(DATE(G349,VLOOKUP(E349,Paramètres!$K$11:$L$40,2,FALSE()),F349),"?"))</f>
        <v>46106</v>
      </c>
      <c r="I349" s="50">
        <f>IF(ISNUMBER(H349),IF(COUNTIFS($D$2:D349,D349,$H$2:H349,H349)=1,1,0),"")</f>
        <v>1</v>
      </c>
      <c r="J349" s="50">
        <f>IF(ISNUMBER(H349),IFERROR(INDEX(Calendrier!$C$2:$C$367,MATCH(H349,Calendrier!$A$2:$A$367,0)),0),"")</f>
        <v>1</v>
      </c>
      <c r="K349" s="50">
        <f t="shared" si="29"/>
        <v>1</v>
      </c>
      <c r="L349" s="50">
        <f>IF(D349="","",IF(COUNTIF(Paramètres!$A$11:$A$40,D349)&gt;0,1,0))</f>
        <v>1</v>
      </c>
    </row>
    <row r="350" spans="1:12" hidden="1" x14ac:dyDescent="0.25">
      <c r="A350" s="49"/>
      <c r="B350" s="49" t="s">
        <v>75</v>
      </c>
      <c r="C350" s="49" t="s">
        <v>440</v>
      </c>
      <c r="D350" s="50" t="str">
        <f t="shared" si="25"/>
        <v>Nesrine Laassili</v>
      </c>
      <c r="E350" s="50" t="str">
        <f t="shared" si="26"/>
        <v>mars</v>
      </c>
      <c r="F350" s="50">
        <f t="shared" si="27"/>
        <v>25</v>
      </c>
      <c r="G350" s="50">
        <f t="shared" si="28"/>
        <v>2026</v>
      </c>
      <c r="H350" s="51">
        <f>IF($C350="","",IFERROR(DATE(G350,VLOOKUP(E350,Paramètres!$K$11:$L$40,2,FALSE()),F350),"?"))</f>
        <v>46106</v>
      </c>
      <c r="I350" s="50">
        <f>IF(ISNUMBER(H350),IF(COUNTIFS($D$2:D350,D350,$H$2:H350,H350)=1,1,0),"")</f>
        <v>1</v>
      </c>
      <c r="J350" s="50">
        <f>IF(ISNUMBER(H350),IFERROR(INDEX(Calendrier!$C$2:$C$367,MATCH(H350,Calendrier!$A$2:$A$367,0)),0),"")</f>
        <v>1</v>
      </c>
      <c r="K350" s="50">
        <f t="shared" si="29"/>
        <v>1</v>
      </c>
      <c r="L350" s="50">
        <f>IF(D350="","",IF(COUNTIF(Paramètres!$A$11:$A$40,D350)&gt;0,1,0))</f>
        <v>1</v>
      </c>
    </row>
    <row r="351" spans="1:12" hidden="1" x14ac:dyDescent="0.25">
      <c r="A351" s="49"/>
      <c r="B351" s="49" t="s">
        <v>75</v>
      </c>
      <c r="C351" s="49" t="s">
        <v>440</v>
      </c>
      <c r="D351" s="50" t="str">
        <f t="shared" si="25"/>
        <v>Nesrine Laassili</v>
      </c>
      <c r="E351" s="50" t="str">
        <f t="shared" si="26"/>
        <v>mars</v>
      </c>
      <c r="F351" s="50">
        <f t="shared" si="27"/>
        <v>25</v>
      </c>
      <c r="G351" s="50">
        <f t="shared" si="28"/>
        <v>2026</v>
      </c>
      <c r="H351" s="51">
        <f>IF($C351="","",IFERROR(DATE(G351,VLOOKUP(E351,Paramètres!$K$11:$L$40,2,FALSE()),F351),"?"))</f>
        <v>46106</v>
      </c>
      <c r="I351" s="50">
        <f>IF(ISNUMBER(H351),IF(COUNTIFS($D$2:D351,D351,$H$2:H351,H351)=1,1,0),"")</f>
        <v>0</v>
      </c>
      <c r="J351" s="50">
        <f>IF(ISNUMBER(H351),IFERROR(INDEX(Calendrier!$C$2:$C$367,MATCH(H351,Calendrier!$A$2:$A$367,0)),0),"")</f>
        <v>1</v>
      </c>
      <c r="K351" s="50">
        <f t="shared" si="29"/>
        <v>0</v>
      </c>
      <c r="L351" s="50">
        <f>IF(D351="","",IF(COUNTIF(Paramètres!$A$11:$A$40,D351)&gt;0,1,0))</f>
        <v>1</v>
      </c>
    </row>
    <row r="352" spans="1:12" hidden="1" x14ac:dyDescent="0.25">
      <c r="A352" s="49"/>
      <c r="B352" s="49" t="s">
        <v>75</v>
      </c>
      <c r="C352" s="49" t="s">
        <v>441</v>
      </c>
      <c r="D352" s="50" t="str">
        <f t="shared" si="25"/>
        <v>Nesrine Laassili</v>
      </c>
      <c r="E352" s="50" t="str">
        <f t="shared" si="26"/>
        <v>mars</v>
      </c>
      <c r="F352" s="50">
        <f t="shared" si="27"/>
        <v>25</v>
      </c>
      <c r="G352" s="50">
        <f t="shared" si="28"/>
        <v>2026</v>
      </c>
      <c r="H352" s="51">
        <f>IF($C352="","",IFERROR(DATE(G352,VLOOKUP(E352,Paramètres!$K$11:$L$40,2,FALSE()),F352),"?"))</f>
        <v>46106</v>
      </c>
      <c r="I352" s="50">
        <f>IF(ISNUMBER(H352),IF(COUNTIFS($D$2:D352,D352,$H$2:H352,H352)=1,1,0),"")</f>
        <v>0</v>
      </c>
      <c r="J352" s="50">
        <f>IF(ISNUMBER(H352),IFERROR(INDEX(Calendrier!$C$2:$C$367,MATCH(H352,Calendrier!$A$2:$A$367,0)),0),"")</f>
        <v>1</v>
      </c>
      <c r="K352" s="50">
        <f t="shared" si="29"/>
        <v>0</v>
      </c>
      <c r="L352" s="50">
        <f>IF(D352="","",IF(COUNTIF(Paramètres!$A$11:$A$40,D352)&gt;0,1,0))</f>
        <v>1</v>
      </c>
    </row>
    <row r="353" spans="1:12" hidden="1" x14ac:dyDescent="0.25">
      <c r="A353" s="49"/>
      <c r="B353" s="49" t="s">
        <v>73</v>
      </c>
      <c r="C353" s="49" t="s">
        <v>442</v>
      </c>
      <c r="D353" s="50" t="str">
        <f t="shared" si="25"/>
        <v>Mourad Ayari</v>
      </c>
      <c r="E353" s="50" t="str">
        <f t="shared" si="26"/>
        <v>mars</v>
      </c>
      <c r="F353" s="50">
        <f t="shared" si="27"/>
        <v>25</v>
      </c>
      <c r="G353" s="50">
        <f t="shared" si="28"/>
        <v>2026</v>
      </c>
      <c r="H353" s="51">
        <f>IF($C353="","",IFERROR(DATE(G353,VLOOKUP(E353,Paramètres!$K$11:$L$40,2,FALSE()),F353),"?"))</f>
        <v>46106</v>
      </c>
      <c r="I353" s="50">
        <f>IF(ISNUMBER(H353),IF(COUNTIFS($D$2:D353,D353,$H$2:H353,H353)=1,1,0),"")</f>
        <v>1</v>
      </c>
      <c r="J353" s="50">
        <f>IF(ISNUMBER(H353),IFERROR(INDEX(Calendrier!$C$2:$C$367,MATCH(H353,Calendrier!$A$2:$A$367,0)),0),"")</f>
        <v>1</v>
      </c>
      <c r="K353" s="50">
        <f t="shared" si="29"/>
        <v>1</v>
      </c>
      <c r="L353" s="50">
        <f>IF(D353="","",IF(COUNTIF(Paramètres!$A$11:$A$40,D353)&gt;0,1,0))</f>
        <v>1</v>
      </c>
    </row>
    <row r="354" spans="1:12" hidden="1" x14ac:dyDescent="0.25">
      <c r="A354" s="49"/>
      <c r="B354" s="49" t="s">
        <v>75</v>
      </c>
      <c r="C354" s="49" t="s">
        <v>442</v>
      </c>
      <c r="D354" s="50" t="str">
        <f t="shared" si="25"/>
        <v>Nesrine Laassili</v>
      </c>
      <c r="E354" s="50" t="str">
        <f t="shared" si="26"/>
        <v>mars</v>
      </c>
      <c r="F354" s="50">
        <f t="shared" si="27"/>
        <v>25</v>
      </c>
      <c r="G354" s="50">
        <f t="shared" si="28"/>
        <v>2026</v>
      </c>
      <c r="H354" s="51">
        <f>IF($C354="","",IFERROR(DATE(G354,VLOOKUP(E354,Paramètres!$K$11:$L$40,2,FALSE()),F354),"?"))</f>
        <v>46106</v>
      </c>
      <c r="I354" s="50">
        <f>IF(ISNUMBER(H354),IF(COUNTIFS($D$2:D354,D354,$H$2:H354,H354)=1,1,0),"")</f>
        <v>0</v>
      </c>
      <c r="J354" s="50">
        <f>IF(ISNUMBER(H354),IFERROR(INDEX(Calendrier!$C$2:$C$367,MATCH(H354,Calendrier!$A$2:$A$367,0)),0),"")</f>
        <v>1</v>
      </c>
      <c r="K354" s="50">
        <f t="shared" si="29"/>
        <v>0</v>
      </c>
      <c r="L354" s="50">
        <f>IF(D354="","",IF(COUNTIF(Paramètres!$A$11:$A$40,D354)&gt;0,1,0))</f>
        <v>1</v>
      </c>
    </row>
    <row r="355" spans="1:12" hidden="1" x14ac:dyDescent="0.25">
      <c r="A355" s="49"/>
      <c r="B355" s="49" t="s">
        <v>85</v>
      </c>
      <c r="C355" s="49" t="s">
        <v>443</v>
      </c>
      <c r="D355" s="50" t="str">
        <f t="shared" si="25"/>
        <v>Said Hamrouni</v>
      </c>
      <c r="E355" s="50" t="str">
        <f t="shared" si="26"/>
        <v>mars</v>
      </c>
      <c r="F355" s="50">
        <f t="shared" si="27"/>
        <v>25</v>
      </c>
      <c r="G355" s="50">
        <f t="shared" si="28"/>
        <v>2026</v>
      </c>
      <c r="H355" s="51">
        <f>IF($C355="","",IFERROR(DATE(G355,VLOOKUP(E355,Paramètres!$K$11:$L$40,2,FALSE()),F355),"?"))</f>
        <v>46106</v>
      </c>
      <c r="I355" s="50">
        <f>IF(ISNUMBER(H355),IF(COUNTIFS($D$2:D355,D355,$H$2:H355,H355)=1,1,0),"")</f>
        <v>1</v>
      </c>
      <c r="J355" s="50">
        <f>IF(ISNUMBER(H355),IFERROR(INDEX(Calendrier!$C$2:$C$367,MATCH(H355,Calendrier!$A$2:$A$367,0)),0),"")</f>
        <v>1</v>
      </c>
      <c r="K355" s="50">
        <f t="shared" si="29"/>
        <v>1</v>
      </c>
      <c r="L355" s="50">
        <f>IF(D355="","",IF(COUNTIF(Paramètres!$A$11:$A$40,D355)&gt;0,1,0))</f>
        <v>1</v>
      </c>
    </row>
    <row r="356" spans="1:12" hidden="1" x14ac:dyDescent="0.25">
      <c r="A356" s="49"/>
      <c r="B356" s="49" t="s">
        <v>61</v>
      </c>
      <c r="C356" s="49" t="s">
        <v>444</v>
      </c>
      <c r="D356" s="50" t="str">
        <f t="shared" si="25"/>
        <v>Ines Farhat</v>
      </c>
      <c r="E356" s="50" t="str">
        <f t="shared" si="26"/>
        <v>mars</v>
      </c>
      <c r="F356" s="50">
        <f t="shared" si="27"/>
        <v>25</v>
      </c>
      <c r="G356" s="50">
        <f t="shared" si="28"/>
        <v>2026</v>
      </c>
      <c r="H356" s="51">
        <f>IF($C356="","",IFERROR(DATE(G356,VLOOKUP(E356,Paramètres!$K$11:$L$40,2,FALSE()),F356),"?"))</f>
        <v>46106</v>
      </c>
      <c r="I356" s="50">
        <f>IF(ISNUMBER(H356),IF(COUNTIFS($D$2:D356,D356,$H$2:H356,H356)=1,1,0),"")</f>
        <v>1</v>
      </c>
      <c r="J356" s="50">
        <f>IF(ISNUMBER(H356),IFERROR(INDEX(Calendrier!$C$2:$C$367,MATCH(H356,Calendrier!$A$2:$A$367,0)),0),"")</f>
        <v>1</v>
      </c>
      <c r="K356" s="50">
        <f t="shared" si="29"/>
        <v>1</v>
      </c>
      <c r="L356" s="50">
        <f>IF(D356="","",IF(COUNTIF(Paramètres!$A$11:$A$40,D356)&gt;0,1,0))</f>
        <v>1</v>
      </c>
    </row>
    <row r="357" spans="1:12" hidden="1" x14ac:dyDescent="0.25">
      <c r="A357" s="49"/>
      <c r="B357" s="49" t="s">
        <v>61</v>
      </c>
      <c r="C357" s="49" t="s">
        <v>445</v>
      </c>
      <c r="D357" s="50" t="str">
        <f t="shared" si="25"/>
        <v>Ines Farhat</v>
      </c>
      <c r="E357" s="50" t="str">
        <f t="shared" si="26"/>
        <v>mars</v>
      </c>
      <c r="F357" s="50">
        <f t="shared" si="27"/>
        <v>26</v>
      </c>
      <c r="G357" s="50">
        <f t="shared" si="28"/>
        <v>2026</v>
      </c>
      <c r="H357" s="51">
        <f>IF($C357="","",IFERROR(DATE(G357,VLOOKUP(E357,Paramètres!$K$11:$L$40,2,FALSE()),F357),"?"))</f>
        <v>46107</v>
      </c>
      <c r="I357" s="50">
        <f>IF(ISNUMBER(H357),IF(COUNTIFS($D$2:D357,D357,$H$2:H357,H357)=1,1,0),"")</f>
        <v>1</v>
      </c>
      <c r="J357" s="50">
        <f>IF(ISNUMBER(H357),IFERROR(INDEX(Calendrier!$C$2:$C$367,MATCH(H357,Calendrier!$A$2:$A$367,0)),0),"")</f>
        <v>1</v>
      </c>
      <c r="K357" s="50">
        <f t="shared" si="29"/>
        <v>1</v>
      </c>
      <c r="L357" s="50">
        <f>IF(D357="","",IF(COUNTIF(Paramètres!$A$11:$A$40,D357)&gt;0,1,0))</f>
        <v>1</v>
      </c>
    </row>
    <row r="358" spans="1:12" hidden="1" x14ac:dyDescent="0.25">
      <c r="A358" s="49"/>
      <c r="B358" s="49" t="s">
        <v>69</v>
      </c>
      <c r="C358" s="49" t="s">
        <v>446</v>
      </c>
      <c r="D358" s="50" t="str">
        <f t="shared" si="25"/>
        <v>Mina Moussa</v>
      </c>
      <c r="E358" s="50" t="str">
        <f t="shared" si="26"/>
        <v>mars</v>
      </c>
      <c r="F358" s="50">
        <f t="shared" si="27"/>
        <v>26</v>
      </c>
      <c r="G358" s="50">
        <f t="shared" si="28"/>
        <v>2026</v>
      </c>
      <c r="H358" s="51">
        <f>IF($C358="","",IFERROR(DATE(G358,VLOOKUP(E358,Paramètres!$K$11:$L$40,2,FALSE()),F358),"?"))</f>
        <v>46107</v>
      </c>
      <c r="I358" s="50">
        <f>IF(ISNUMBER(H358),IF(COUNTIFS($D$2:D358,D358,$H$2:H358,H358)=1,1,0),"")</f>
        <v>1</v>
      </c>
      <c r="J358" s="50">
        <f>IF(ISNUMBER(H358),IFERROR(INDEX(Calendrier!$C$2:$C$367,MATCH(H358,Calendrier!$A$2:$A$367,0)),0),"")</f>
        <v>1</v>
      </c>
      <c r="K358" s="50">
        <f t="shared" si="29"/>
        <v>1</v>
      </c>
      <c r="L358" s="50">
        <f>IF(D358="","",IF(COUNTIF(Paramètres!$A$11:$A$40,D358)&gt;0,1,0))</f>
        <v>1</v>
      </c>
    </row>
    <row r="359" spans="1:12" hidden="1" x14ac:dyDescent="0.25">
      <c r="A359" s="49"/>
      <c r="B359" s="49" t="s">
        <v>45</v>
      </c>
      <c r="C359" s="49" t="s">
        <v>446</v>
      </c>
      <c r="D359" s="50" t="str">
        <f t="shared" si="25"/>
        <v>Ahlem Moussa</v>
      </c>
      <c r="E359" s="50" t="str">
        <f t="shared" si="26"/>
        <v>mars</v>
      </c>
      <c r="F359" s="50">
        <f t="shared" si="27"/>
        <v>26</v>
      </c>
      <c r="G359" s="50">
        <f t="shared" si="28"/>
        <v>2026</v>
      </c>
      <c r="H359" s="51">
        <f>IF($C359="","",IFERROR(DATE(G359,VLOOKUP(E359,Paramètres!$K$11:$L$40,2,FALSE()),F359),"?"))</f>
        <v>46107</v>
      </c>
      <c r="I359" s="50">
        <f>IF(ISNUMBER(H359),IF(COUNTIFS($D$2:D359,D359,$H$2:H359,H359)=1,1,0),"")</f>
        <v>1</v>
      </c>
      <c r="J359" s="50">
        <f>IF(ISNUMBER(H359),IFERROR(INDEX(Calendrier!$C$2:$C$367,MATCH(H359,Calendrier!$A$2:$A$367,0)),0),"")</f>
        <v>1</v>
      </c>
      <c r="K359" s="50">
        <f t="shared" si="29"/>
        <v>1</v>
      </c>
      <c r="L359" s="50">
        <f>IF(D359="","",IF(COUNTIF(Paramètres!$A$11:$A$40,D359)&gt;0,1,0))</f>
        <v>1</v>
      </c>
    </row>
    <row r="360" spans="1:12" x14ac:dyDescent="0.25">
      <c r="A360" s="49"/>
      <c r="B360" s="49" t="s">
        <v>90</v>
      </c>
      <c r="C360" s="49" t="s">
        <v>446</v>
      </c>
      <c r="D360" s="50" t="str">
        <f t="shared" si="25"/>
        <v>Zouhour Fathallah</v>
      </c>
      <c r="E360" s="50" t="str">
        <f t="shared" si="26"/>
        <v>mars</v>
      </c>
      <c r="F360" s="50">
        <f t="shared" si="27"/>
        <v>26</v>
      </c>
      <c r="G360" s="50">
        <f t="shared" si="28"/>
        <v>2026</v>
      </c>
      <c r="H360" s="51">
        <f>IF($C360="","",IFERROR(DATE(G360,VLOOKUP(E360,Paramètres!$K$11:$L$40,2,FALSE()),F360),"?"))</f>
        <v>46107</v>
      </c>
      <c r="I360" s="50">
        <f>IF(ISNUMBER(H360),IF(COUNTIFS($D$2:D360,D360,$H$2:H360,H360)=1,1,0),"")</f>
        <v>1</v>
      </c>
      <c r="J360" s="50">
        <f>IF(ISNUMBER(H360),IFERROR(INDEX(Calendrier!$C$2:$C$367,MATCH(H360,Calendrier!$A$2:$A$367,0)),0),"")</f>
        <v>1</v>
      </c>
      <c r="K360" s="50">
        <f t="shared" si="29"/>
        <v>1</v>
      </c>
      <c r="L360" s="50">
        <f>IF(D360="","",IF(COUNTIF(Paramètres!$A$11:$A$40,D360)&gt;0,1,0))</f>
        <v>1</v>
      </c>
    </row>
    <row r="361" spans="1:12" hidden="1" x14ac:dyDescent="0.25">
      <c r="A361" s="49"/>
      <c r="B361" s="49" t="s">
        <v>59</v>
      </c>
      <c r="C361" s="49" t="s">
        <v>447</v>
      </c>
      <c r="D361" s="50" t="str">
        <f t="shared" si="25"/>
        <v>Imre Kapusi</v>
      </c>
      <c r="E361" s="50" t="str">
        <f t="shared" si="26"/>
        <v>mars</v>
      </c>
      <c r="F361" s="50">
        <f t="shared" si="27"/>
        <v>26</v>
      </c>
      <c r="G361" s="50">
        <f t="shared" si="28"/>
        <v>2026</v>
      </c>
      <c r="H361" s="51">
        <f>IF($C361="","",IFERROR(DATE(G361,VLOOKUP(E361,Paramètres!$K$11:$L$40,2,FALSE()),F361),"?"))</f>
        <v>46107</v>
      </c>
      <c r="I361" s="50">
        <f>IF(ISNUMBER(H361),IF(COUNTIFS($D$2:D361,D361,$H$2:H361,H361)=1,1,0),"")</f>
        <v>1</v>
      </c>
      <c r="J361" s="50">
        <f>IF(ISNUMBER(H361),IFERROR(INDEX(Calendrier!$C$2:$C$367,MATCH(H361,Calendrier!$A$2:$A$367,0)),0),"")</f>
        <v>1</v>
      </c>
      <c r="K361" s="50">
        <f t="shared" si="29"/>
        <v>1</v>
      </c>
      <c r="L361" s="50">
        <f>IF(D361="","",IF(COUNTIF(Paramètres!$A$11:$A$40,D361)&gt;0,1,0))</f>
        <v>1</v>
      </c>
    </row>
    <row r="362" spans="1:12" hidden="1" x14ac:dyDescent="0.25">
      <c r="A362" s="49"/>
      <c r="B362" s="49" t="s">
        <v>81</v>
      </c>
      <c r="C362" s="49" t="s">
        <v>448</v>
      </c>
      <c r="D362" s="50" t="str">
        <f t="shared" si="25"/>
        <v>Sabrine Neffeti</v>
      </c>
      <c r="E362" s="50" t="str">
        <f t="shared" si="26"/>
        <v>mars</v>
      </c>
      <c r="F362" s="50">
        <f t="shared" si="27"/>
        <v>26</v>
      </c>
      <c r="G362" s="50">
        <f t="shared" si="28"/>
        <v>2026</v>
      </c>
      <c r="H362" s="51">
        <f>IF($C362="","",IFERROR(DATE(G362,VLOOKUP(E362,Paramètres!$K$11:$L$40,2,FALSE()),F362),"?"))</f>
        <v>46107</v>
      </c>
      <c r="I362" s="50">
        <f>IF(ISNUMBER(H362),IF(COUNTIFS($D$2:D362,D362,$H$2:H362,H362)=1,1,0),"")</f>
        <v>1</v>
      </c>
      <c r="J362" s="50">
        <f>IF(ISNUMBER(H362),IFERROR(INDEX(Calendrier!$C$2:$C$367,MATCH(H362,Calendrier!$A$2:$A$367,0)),0),"")</f>
        <v>1</v>
      </c>
      <c r="K362" s="50">
        <f t="shared" si="29"/>
        <v>1</v>
      </c>
      <c r="L362" s="50">
        <f>IF(D362="","",IF(COUNTIF(Paramètres!$A$11:$A$40,D362)&gt;0,1,0))</f>
        <v>1</v>
      </c>
    </row>
    <row r="363" spans="1:12" hidden="1" x14ac:dyDescent="0.25">
      <c r="A363" s="49"/>
      <c r="B363" s="49" t="s">
        <v>45</v>
      </c>
      <c r="C363" s="49" t="s">
        <v>449</v>
      </c>
      <c r="D363" s="50" t="str">
        <f t="shared" si="25"/>
        <v>Ahlem Moussa</v>
      </c>
      <c r="E363" s="50" t="str">
        <f t="shared" si="26"/>
        <v>mars</v>
      </c>
      <c r="F363" s="50">
        <f t="shared" si="27"/>
        <v>26</v>
      </c>
      <c r="G363" s="50">
        <f t="shared" si="28"/>
        <v>2026</v>
      </c>
      <c r="H363" s="51">
        <f>IF($C363="","",IFERROR(DATE(G363,VLOOKUP(E363,Paramètres!$K$11:$L$40,2,FALSE()),F363),"?"))</f>
        <v>46107</v>
      </c>
      <c r="I363" s="50">
        <f>IF(ISNUMBER(H363),IF(COUNTIFS($D$2:D363,D363,$H$2:H363,H363)=1,1,0),"")</f>
        <v>0</v>
      </c>
      <c r="J363" s="50">
        <f>IF(ISNUMBER(H363),IFERROR(INDEX(Calendrier!$C$2:$C$367,MATCH(H363,Calendrier!$A$2:$A$367,0)),0),"")</f>
        <v>1</v>
      </c>
      <c r="K363" s="50">
        <f t="shared" si="29"/>
        <v>0</v>
      </c>
      <c r="L363" s="50">
        <f>IF(D363="","",IF(COUNTIF(Paramètres!$A$11:$A$40,D363)&gt;0,1,0))</f>
        <v>1</v>
      </c>
    </row>
    <row r="364" spans="1:12" x14ac:dyDescent="0.25">
      <c r="A364" s="49"/>
      <c r="B364" s="49" t="s">
        <v>90</v>
      </c>
      <c r="C364" s="49" t="s">
        <v>450</v>
      </c>
      <c r="D364" s="50" t="str">
        <f t="shared" si="25"/>
        <v>Zouhour Fathallah</v>
      </c>
      <c r="E364" s="50" t="str">
        <f t="shared" si="26"/>
        <v>mars</v>
      </c>
      <c r="F364" s="50">
        <f t="shared" si="27"/>
        <v>26</v>
      </c>
      <c r="G364" s="50">
        <f t="shared" si="28"/>
        <v>2026</v>
      </c>
      <c r="H364" s="51">
        <f>IF($C364="","",IFERROR(DATE(G364,VLOOKUP(E364,Paramètres!$K$11:$L$40,2,FALSE()),F364),"?"))</f>
        <v>46107</v>
      </c>
      <c r="I364" s="50">
        <f>IF(ISNUMBER(H364),IF(COUNTIFS($D$2:D364,D364,$H$2:H364,H364)=1,1,0),"")</f>
        <v>0</v>
      </c>
      <c r="J364" s="50">
        <f>IF(ISNUMBER(H364),IFERROR(INDEX(Calendrier!$C$2:$C$367,MATCH(H364,Calendrier!$A$2:$A$367,0)),0),"")</f>
        <v>1</v>
      </c>
      <c r="K364" s="50">
        <f t="shared" si="29"/>
        <v>0</v>
      </c>
      <c r="L364" s="50">
        <f>IF(D364="","",IF(COUNTIF(Paramètres!$A$11:$A$40,D364)&gt;0,1,0))</f>
        <v>1</v>
      </c>
    </row>
    <row r="365" spans="1:12" x14ac:dyDescent="0.25">
      <c r="A365" s="49"/>
      <c r="B365" s="49" t="s">
        <v>90</v>
      </c>
      <c r="C365" s="49" t="s">
        <v>451</v>
      </c>
      <c r="D365" s="50" t="str">
        <f t="shared" si="25"/>
        <v>Zouhour Fathallah</v>
      </c>
      <c r="E365" s="50" t="str">
        <f t="shared" si="26"/>
        <v>mars</v>
      </c>
      <c r="F365" s="50">
        <f t="shared" si="27"/>
        <v>26</v>
      </c>
      <c r="G365" s="50">
        <f t="shared" si="28"/>
        <v>2026</v>
      </c>
      <c r="H365" s="51">
        <f>IF($C365="","",IFERROR(DATE(G365,VLOOKUP(E365,Paramètres!$K$11:$L$40,2,FALSE()),F365),"?"))</f>
        <v>46107</v>
      </c>
      <c r="I365" s="50">
        <f>IF(ISNUMBER(H365),IF(COUNTIFS($D$2:D365,D365,$H$2:H365,H365)=1,1,0),"")</f>
        <v>0</v>
      </c>
      <c r="J365" s="50">
        <f>IF(ISNUMBER(H365),IFERROR(INDEX(Calendrier!$C$2:$C$367,MATCH(H365,Calendrier!$A$2:$A$367,0)),0),"")</f>
        <v>1</v>
      </c>
      <c r="K365" s="50">
        <f t="shared" si="29"/>
        <v>0</v>
      </c>
      <c r="L365" s="50">
        <f>IF(D365="","",IF(COUNTIF(Paramètres!$A$11:$A$40,D365)&gt;0,1,0))</f>
        <v>1</v>
      </c>
    </row>
    <row r="366" spans="1:12" hidden="1" x14ac:dyDescent="0.25">
      <c r="A366" s="49"/>
      <c r="B366" s="49" t="s">
        <v>69</v>
      </c>
      <c r="C366" s="49" t="s">
        <v>452</v>
      </c>
      <c r="D366" s="50" t="str">
        <f t="shared" si="25"/>
        <v>Mina Moussa</v>
      </c>
      <c r="E366" s="50" t="str">
        <f t="shared" si="26"/>
        <v>mars</v>
      </c>
      <c r="F366" s="50">
        <f t="shared" si="27"/>
        <v>26</v>
      </c>
      <c r="G366" s="50">
        <f t="shared" si="28"/>
        <v>2026</v>
      </c>
      <c r="H366" s="51">
        <f>IF($C366="","",IFERROR(DATE(G366,VLOOKUP(E366,Paramètres!$K$11:$L$40,2,FALSE()),F366),"?"))</f>
        <v>46107</v>
      </c>
      <c r="I366" s="50">
        <f>IF(ISNUMBER(H366),IF(COUNTIFS($D$2:D366,D366,$H$2:H366,H366)=1,1,0),"")</f>
        <v>0</v>
      </c>
      <c r="J366" s="50">
        <f>IF(ISNUMBER(H366),IFERROR(INDEX(Calendrier!$C$2:$C$367,MATCH(H366,Calendrier!$A$2:$A$367,0)),0),"")</f>
        <v>1</v>
      </c>
      <c r="K366" s="50">
        <f t="shared" si="29"/>
        <v>0</v>
      </c>
      <c r="L366" s="50">
        <f>IF(D366="","",IF(COUNTIF(Paramètres!$A$11:$A$40,D366)&gt;0,1,0))</f>
        <v>1</v>
      </c>
    </row>
    <row r="367" spans="1:12" hidden="1" x14ac:dyDescent="0.25">
      <c r="A367" s="49"/>
      <c r="B367" s="49" t="s">
        <v>75</v>
      </c>
      <c r="C367" s="49" t="s">
        <v>453</v>
      </c>
      <c r="D367" s="50" t="str">
        <f t="shared" si="25"/>
        <v>Nesrine Laassili</v>
      </c>
      <c r="E367" s="50" t="str">
        <f t="shared" si="26"/>
        <v>mars</v>
      </c>
      <c r="F367" s="50">
        <f t="shared" si="27"/>
        <v>27</v>
      </c>
      <c r="G367" s="50">
        <f t="shared" si="28"/>
        <v>2026</v>
      </c>
      <c r="H367" s="51">
        <f>IF($C367="","",IFERROR(DATE(G367,VLOOKUP(E367,Paramètres!$K$11:$L$40,2,FALSE()),F367),"?"))</f>
        <v>46108</v>
      </c>
      <c r="I367" s="50">
        <f>IF(ISNUMBER(H367),IF(COUNTIFS($D$2:D367,D367,$H$2:H367,H367)=1,1,0),"")</f>
        <v>1</v>
      </c>
      <c r="J367" s="50">
        <f>IF(ISNUMBER(H367),IFERROR(INDEX(Calendrier!$C$2:$C$367,MATCH(H367,Calendrier!$A$2:$A$367,0)),0),"")</f>
        <v>1</v>
      </c>
      <c r="K367" s="50">
        <f t="shared" si="29"/>
        <v>1</v>
      </c>
      <c r="L367" s="50">
        <f>IF(D367="","",IF(COUNTIF(Paramètres!$A$11:$A$40,D367)&gt;0,1,0))</f>
        <v>1</v>
      </c>
    </row>
    <row r="368" spans="1:12" hidden="1" x14ac:dyDescent="0.25">
      <c r="A368" s="49"/>
      <c r="B368" s="49" t="s">
        <v>75</v>
      </c>
      <c r="C368" s="49" t="s">
        <v>454</v>
      </c>
      <c r="D368" s="50" t="str">
        <f t="shared" si="25"/>
        <v>Nesrine Laassili</v>
      </c>
      <c r="E368" s="50" t="str">
        <f t="shared" si="26"/>
        <v>mars</v>
      </c>
      <c r="F368" s="50">
        <f t="shared" si="27"/>
        <v>27</v>
      </c>
      <c r="G368" s="50">
        <f t="shared" si="28"/>
        <v>2026</v>
      </c>
      <c r="H368" s="51">
        <f>IF($C368="","",IFERROR(DATE(G368,VLOOKUP(E368,Paramètres!$K$11:$L$40,2,FALSE()),F368),"?"))</f>
        <v>46108</v>
      </c>
      <c r="I368" s="50">
        <f>IF(ISNUMBER(H368),IF(COUNTIFS($D$2:D368,D368,$H$2:H368,H368)=1,1,0),"")</f>
        <v>0</v>
      </c>
      <c r="J368" s="50">
        <f>IF(ISNUMBER(H368),IFERROR(INDEX(Calendrier!$C$2:$C$367,MATCH(H368,Calendrier!$A$2:$A$367,0)),0),"")</f>
        <v>1</v>
      </c>
      <c r="K368" s="50">
        <f t="shared" si="29"/>
        <v>0</v>
      </c>
      <c r="L368" s="50">
        <f>IF(D368="","",IF(COUNTIF(Paramètres!$A$11:$A$40,D368)&gt;0,1,0))</f>
        <v>1</v>
      </c>
    </row>
    <row r="369" spans="1:12" hidden="1" x14ac:dyDescent="0.25">
      <c r="A369" s="49"/>
      <c r="B369" s="49" t="s">
        <v>48</v>
      </c>
      <c r="C369" s="49" t="s">
        <v>455</v>
      </c>
      <c r="D369" s="50" t="str">
        <f t="shared" si="25"/>
        <v>Amani Nasser</v>
      </c>
      <c r="E369" s="50" t="str">
        <f t="shared" si="26"/>
        <v>mars</v>
      </c>
      <c r="F369" s="50">
        <f t="shared" si="27"/>
        <v>27</v>
      </c>
      <c r="G369" s="50">
        <f t="shared" si="28"/>
        <v>2026</v>
      </c>
      <c r="H369" s="51">
        <f>IF($C369="","",IFERROR(DATE(G369,VLOOKUP(E369,Paramètres!$K$11:$L$40,2,FALSE()),F369),"?"))</f>
        <v>46108</v>
      </c>
      <c r="I369" s="50">
        <f>IF(ISNUMBER(H369),IF(COUNTIFS($D$2:D369,D369,$H$2:H369,H369)=1,1,0),"")</f>
        <v>1</v>
      </c>
      <c r="J369" s="50">
        <f>IF(ISNUMBER(H369),IFERROR(INDEX(Calendrier!$C$2:$C$367,MATCH(H369,Calendrier!$A$2:$A$367,0)),0),"")</f>
        <v>1</v>
      </c>
      <c r="K369" s="50">
        <f t="shared" si="29"/>
        <v>1</v>
      </c>
      <c r="L369" s="50">
        <f>IF(D369="","",IF(COUNTIF(Paramètres!$A$11:$A$40,D369)&gt;0,1,0))</f>
        <v>1</v>
      </c>
    </row>
    <row r="370" spans="1:12" hidden="1" x14ac:dyDescent="0.25">
      <c r="A370" s="49"/>
      <c r="B370" s="49" t="s">
        <v>45</v>
      </c>
      <c r="C370" s="49" t="s">
        <v>456</v>
      </c>
      <c r="D370" s="50" t="str">
        <f t="shared" si="25"/>
        <v>Ahlem Moussa</v>
      </c>
      <c r="E370" s="50" t="str">
        <f t="shared" si="26"/>
        <v>mars</v>
      </c>
      <c r="F370" s="50">
        <f t="shared" si="27"/>
        <v>27</v>
      </c>
      <c r="G370" s="50">
        <f t="shared" si="28"/>
        <v>2026</v>
      </c>
      <c r="H370" s="51">
        <f>IF($C370="","",IFERROR(DATE(G370,VLOOKUP(E370,Paramètres!$K$11:$L$40,2,FALSE()),F370),"?"))</f>
        <v>46108</v>
      </c>
      <c r="I370" s="50">
        <f>IF(ISNUMBER(H370),IF(COUNTIFS($D$2:D370,D370,$H$2:H370,H370)=1,1,0),"")</f>
        <v>1</v>
      </c>
      <c r="J370" s="50">
        <f>IF(ISNUMBER(H370),IFERROR(INDEX(Calendrier!$C$2:$C$367,MATCH(H370,Calendrier!$A$2:$A$367,0)),0),"")</f>
        <v>1</v>
      </c>
      <c r="K370" s="50">
        <f t="shared" si="29"/>
        <v>1</v>
      </c>
      <c r="L370" s="50">
        <f>IF(D370="","",IF(COUNTIF(Paramètres!$A$11:$A$40,D370)&gt;0,1,0))</f>
        <v>1</v>
      </c>
    </row>
    <row r="371" spans="1:12" hidden="1" x14ac:dyDescent="0.25">
      <c r="A371" s="49"/>
      <c r="B371" s="49" t="s">
        <v>67</v>
      </c>
      <c r="C371" s="49" t="s">
        <v>457</v>
      </c>
      <c r="D371" s="50" t="str">
        <f t="shared" si="25"/>
        <v>Marwa Solaani</v>
      </c>
      <c r="E371" s="50" t="str">
        <f t="shared" si="26"/>
        <v>mars</v>
      </c>
      <c r="F371" s="50">
        <f t="shared" si="27"/>
        <v>29</v>
      </c>
      <c r="G371" s="50">
        <f t="shared" si="28"/>
        <v>2026</v>
      </c>
      <c r="H371" s="51">
        <f>IF($C371="","",IFERROR(DATE(G371,VLOOKUP(E371,Paramètres!$K$11:$L$40,2,FALSE()),F371),"?"))</f>
        <v>46110</v>
      </c>
      <c r="I371" s="50">
        <f>IF(ISNUMBER(H371),IF(COUNTIFS($D$2:D371,D371,$H$2:H371,H371)=1,1,0),"")</f>
        <v>1</v>
      </c>
      <c r="J371" s="50">
        <f>IF(ISNUMBER(H371),IFERROR(INDEX(Calendrier!$C$2:$C$367,MATCH(H371,Calendrier!$A$2:$A$367,0)),0),"")</f>
        <v>0</v>
      </c>
      <c r="K371" s="50">
        <f t="shared" si="29"/>
        <v>0</v>
      </c>
      <c r="L371" s="50">
        <f>IF(D371="","",IF(COUNTIF(Paramètres!$A$11:$A$40,D371)&gt;0,1,0))</f>
        <v>1</v>
      </c>
    </row>
    <row r="372" spans="1:12" hidden="1" x14ac:dyDescent="0.25">
      <c r="A372" s="49"/>
      <c r="B372" s="49" t="s">
        <v>67</v>
      </c>
      <c r="C372" s="49" t="s">
        <v>457</v>
      </c>
      <c r="D372" s="50" t="str">
        <f t="shared" si="25"/>
        <v>Marwa Solaani</v>
      </c>
      <c r="E372" s="50" t="str">
        <f t="shared" si="26"/>
        <v>mars</v>
      </c>
      <c r="F372" s="50">
        <f t="shared" si="27"/>
        <v>29</v>
      </c>
      <c r="G372" s="50">
        <f t="shared" si="28"/>
        <v>2026</v>
      </c>
      <c r="H372" s="51">
        <f>IF($C372="","",IFERROR(DATE(G372,VLOOKUP(E372,Paramètres!$K$11:$L$40,2,FALSE()),F372),"?"))</f>
        <v>46110</v>
      </c>
      <c r="I372" s="50">
        <f>IF(ISNUMBER(H372),IF(COUNTIFS($D$2:D372,D372,$H$2:H372,H372)=1,1,0),"")</f>
        <v>0</v>
      </c>
      <c r="J372" s="50">
        <f>IF(ISNUMBER(H372),IFERROR(INDEX(Calendrier!$C$2:$C$367,MATCH(H372,Calendrier!$A$2:$A$367,0)),0),"")</f>
        <v>0</v>
      </c>
      <c r="K372" s="50">
        <f t="shared" si="29"/>
        <v>0</v>
      </c>
      <c r="L372" s="50">
        <f>IF(D372="","",IF(COUNTIF(Paramètres!$A$11:$A$40,D372)&gt;0,1,0))</f>
        <v>1</v>
      </c>
    </row>
    <row r="373" spans="1:12" hidden="1" x14ac:dyDescent="0.25">
      <c r="A373" s="49"/>
      <c r="B373" s="49" t="s">
        <v>52</v>
      </c>
      <c r="C373" s="49" t="s">
        <v>458</v>
      </c>
      <c r="D373" s="50" t="str">
        <f t="shared" si="25"/>
        <v>Amine Latrech</v>
      </c>
      <c r="E373" s="50" t="str">
        <f t="shared" si="26"/>
        <v>mars</v>
      </c>
      <c r="F373" s="50">
        <f t="shared" si="27"/>
        <v>3</v>
      </c>
      <c r="G373" s="50">
        <f t="shared" si="28"/>
        <v>2026</v>
      </c>
      <c r="H373" s="51">
        <f>IF($C373="","",IFERROR(DATE(G373,VLOOKUP(E373,Paramètres!$K$11:$L$40,2,FALSE()),F373),"?"))</f>
        <v>46084</v>
      </c>
      <c r="I373" s="50">
        <f>IF(ISNUMBER(H373),IF(COUNTIFS($D$2:D373,D373,$H$2:H373,H373)=1,1,0),"")</f>
        <v>1</v>
      </c>
      <c r="J373" s="50">
        <f>IF(ISNUMBER(H373),IFERROR(INDEX(Calendrier!$C$2:$C$367,MATCH(H373,Calendrier!$A$2:$A$367,0)),0),"")</f>
        <v>1</v>
      </c>
      <c r="K373" s="50">
        <f t="shared" si="29"/>
        <v>1</v>
      </c>
      <c r="L373" s="50">
        <f>IF(D373="","",IF(COUNTIF(Paramètres!$A$11:$A$40,D373)&gt;0,1,0))</f>
        <v>1</v>
      </c>
    </row>
    <row r="374" spans="1:12" hidden="1" x14ac:dyDescent="0.25">
      <c r="A374" s="49"/>
      <c r="B374" s="49" t="s">
        <v>45</v>
      </c>
      <c r="C374" s="49" t="s">
        <v>459</v>
      </c>
      <c r="D374" s="50" t="str">
        <f t="shared" si="25"/>
        <v>Ahlem Moussa</v>
      </c>
      <c r="E374" s="50" t="str">
        <f t="shared" si="26"/>
        <v>mars</v>
      </c>
      <c r="F374" s="50">
        <f t="shared" si="27"/>
        <v>3</v>
      </c>
      <c r="G374" s="50">
        <f t="shared" si="28"/>
        <v>2026</v>
      </c>
      <c r="H374" s="51">
        <f>IF($C374="","",IFERROR(DATE(G374,VLOOKUP(E374,Paramètres!$K$11:$L$40,2,FALSE()),F374),"?"))</f>
        <v>46084</v>
      </c>
      <c r="I374" s="50">
        <f>IF(ISNUMBER(H374),IF(COUNTIFS($D$2:D374,D374,$H$2:H374,H374)=1,1,0),"")</f>
        <v>1</v>
      </c>
      <c r="J374" s="50">
        <f>IF(ISNUMBER(H374),IFERROR(INDEX(Calendrier!$C$2:$C$367,MATCH(H374,Calendrier!$A$2:$A$367,0)),0),"")</f>
        <v>1</v>
      </c>
      <c r="K374" s="50">
        <f t="shared" si="29"/>
        <v>1</v>
      </c>
      <c r="L374" s="50">
        <f>IF(D374="","",IF(COUNTIF(Paramètres!$A$11:$A$40,D374)&gt;0,1,0))</f>
        <v>1</v>
      </c>
    </row>
    <row r="375" spans="1:12" hidden="1" x14ac:dyDescent="0.25">
      <c r="A375" s="49"/>
      <c r="B375" s="49" t="s">
        <v>59</v>
      </c>
      <c r="C375" s="49" t="s">
        <v>460</v>
      </c>
      <c r="D375" s="50" t="str">
        <f t="shared" si="25"/>
        <v>Imre Kapusi</v>
      </c>
      <c r="E375" s="50" t="str">
        <f t="shared" si="26"/>
        <v>mars</v>
      </c>
      <c r="F375" s="50">
        <f t="shared" si="27"/>
        <v>3</v>
      </c>
      <c r="G375" s="50">
        <f t="shared" si="28"/>
        <v>2026</v>
      </c>
      <c r="H375" s="51">
        <f>IF($C375="","",IFERROR(DATE(G375,VLOOKUP(E375,Paramètres!$K$11:$L$40,2,FALSE()),F375),"?"))</f>
        <v>46084</v>
      </c>
      <c r="I375" s="50">
        <f>IF(ISNUMBER(H375),IF(COUNTIFS($D$2:D375,D375,$H$2:H375,H375)=1,1,0),"")</f>
        <v>1</v>
      </c>
      <c r="J375" s="50">
        <f>IF(ISNUMBER(H375),IFERROR(INDEX(Calendrier!$C$2:$C$367,MATCH(H375,Calendrier!$A$2:$A$367,0)),0),"")</f>
        <v>1</v>
      </c>
      <c r="K375" s="50">
        <f t="shared" si="29"/>
        <v>1</v>
      </c>
      <c r="L375" s="50">
        <f>IF(D375="","",IF(COUNTIF(Paramètres!$A$11:$A$40,D375)&gt;0,1,0))</f>
        <v>1</v>
      </c>
    </row>
    <row r="376" spans="1:12" hidden="1" x14ac:dyDescent="0.25">
      <c r="A376" s="49"/>
      <c r="B376" s="49" t="s">
        <v>85</v>
      </c>
      <c r="C376" s="49" t="s">
        <v>461</v>
      </c>
      <c r="D376" s="50" t="str">
        <f t="shared" si="25"/>
        <v>Said Hamrouni</v>
      </c>
      <c r="E376" s="50" t="str">
        <f t="shared" si="26"/>
        <v>mars</v>
      </c>
      <c r="F376" s="50">
        <f t="shared" si="27"/>
        <v>3</v>
      </c>
      <c r="G376" s="50">
        <f t="shared" si="28"/>
        <v>2026</v>
      </c>
      <c r="H376" s="51">
        <f>IF($C376="","",IFERROR(DATE(G376,VLOOKUP(E376,Paramètres!$K$11:$L$40,2,FALSE()),F376),"?"))</f>
        <v>46084</v>
      </c>
      <c r="I376" s="50">
        <f>IF(ISNUMBER(H376),IF(COUNTIFS($D$2:D376,D376,$H$2:H376,H376)=1,1,0),"")</f>
        <v>1</v>
      </c>
      <c r="J376" s="50">
        <f>IF(ISNUMBER(H376),IFERROR(INDEX(Calendrier!$C$2:$C$367,MATCH(H376,Calendrier!$A$2:$A$367,0)),0),"")</f>
        <v>1</v>
      </c>
      <c r="K376" s="50">
        <f t="shared" si="29"/>
        <v>1</v>
      </c>
      <c r="L376" s="50">
        <f>IF(D376="","",IF(COUNTIF(Paramètres!$A$11:$A$40,D376)&gt;0,1,0))</f>
        <v>1</v>
      </c>
    </row>
    <row r="377" spans="1:12" x14ac:dyDescent="0.25">
      <c r="A377" s="49"/>
      <c r="B377" s="49" t="s">
        <v>90</v>
      </c>
      <c r="C377" s="49" t="s">
        <v>462</v>
      </c>
      <c r="D377" s="50" t="str">
        <f t="shared" si="25"/>
        <v>Zouhour Fathallah</v>
      </c>
      <c r="E377" s="50" t="str">
        <f t="shared" si="26"/>
        <v>mars</v>
      </c>
      <c r="F377" s="50">
        <f t="shared" si="27"/>
        <v>3</v>
      </c>
      <c r="G377" s="50">
        <f t="shared" si="28"/>
        <v>2026</v>
      </c>
      <c r="H377" s="51">
        <f>IF($C377="","",IFERROR(DATE(G377,VLOOKUP(E377,Paramètres!$K$11:$L$40,2,FALSE()),F377),"?"))</f>
        <v>46084</v>
      </c>
      <c r="I377" s="50">
        <f>IF(ISNUMBER(H377),IF(COUNTIFS($D$2:D377,D377,$H$2:H377,H377)=1,1,0),"")</f>
        <v>1</v>
      </c>
      <c r="J377" s="50">
        <f>IF(ISNUMBER(H377),IFERROR(INDEX(Calendrier!$C$2:$C$367,MATCH(H377,Calendrier!$A$2:$A$367,0)),0),"")</f>
        <v>1</v>
      </c>
      <c r="K377" s="50">
        <f t="shared" si="29"/>
        <v>1</v>
      </c>
      <c r="L377" s="50">
        <f>IF(D377="","",IF(COUNTIF(Paramètres!$A$11:$A$40,D377)&gt;0,1,0))</f>
        <v>1</v>
      </c>
    </row>
    <row r="378" spans="1:12" hidden="1" x14ac:dyDescent="0.25">
      <c r="A378" s="49"/>
      <c r="B378" s="49" t="s">
        <v>61</v>
      </c>
      <c r="C378" s="49" t="s">
        <v>463</v>
      </c>
      <c r="D378" s="50" t="str">
        <f t="shared" si="25"/>
        <v>Ines Farhat</v>
      </c>
      <c r="E378" s="50" t="str">
        <f t="shared" si="26"/>
        <v>mars</v>
      </c>
      <c r="F378" s="50">
        <f t="shared" si="27"/>
        <v>30</v>
      </c>
      <c r="G378" s="50">
        <f t="shared" si="28"/>
        <v>2026</v>
      </c>
      <c r="H378" s="51">
        <f>IF($C378="","",IFERROR(DATE(G378,VLOOKUP(E378,Paramètres!$K$11:$L$40,2,FALSE()),F378),"?"))</f>
        <v>46111</v>
      </c>
      <c r="I378" s="50">
        <f>IF(ISNUMBER(H378),IF(COUNTIFS($D$2:D378,D378,$H$2:H378,H378)=1,1,0),"")</f>
        <v>1</v>
      </c>
      <c r="J378" s="50">
        <f>IF(ISNUMBER(H378),IFERROR(INDEX(Calendrier!$C$2:$C$367,MATCH(H378,Calendrier!$A$2:$A$367,0)),0),"")</f>
        <v>1</v>
      </c>
      <c r="K378" s="50">
        <f t="shared" si="29"/>
        <v>1</v>
      </c>
      <c r="L378" s="50">
        <f>IF(D378="","",IF(COUNTIF(Paramètres!$A$11:$A$40,D378)&gt;0,1,0))</f>
        <v>1</v>
      </c>
    </row>
    <row r="379" spans="1:12" hidden="1" x14ac:dyDescent="0.25">
      <c r="A379" s="49"/>
      <c r="B379" s="49" t="s">
        <v>59</v>
      </c>
      <c r="C379" s="49" t="s">
        <v>464</v>
      </c>
      <c r="D379" s="50" t="str">
        <f t="shared" si="25"/>
        <v>Imre Kapusi</v>
      </c>
      <c r="E379" s="50" t="str">
        <f t="shared" si="26"/>
        <v>mars</v>
      </c>
      <c r="F379" s="50">
        <f t="shared" si="27"/>
        <v>30</v>
      </c>
      <c r="G379" s="50">
        <f t="shared" si="28"/>
        <v>2026</v>
      </c>
      <c r="H379" s="51">
        <f>IF($C379="","",IFERROR(DATE(G379,VLOOKUP(E379,Paramètres!$K$11:$L$40,2,FALSE()),F379),"?"))</f>
        <v>46111</v>
      </c>
      <c r="I379" s="50">
        <f>IF(ISNUMBER(H379),IF(COUNTIFS($D$2:D379,D379,$H$2:H379,H379)=1,1,0),"")</f>
        <v>1</v>
      </c>
      <c r="J379" s="50">
        <f>IF(ISNUMBER(H379),IFERROR(INDEX(Calendrier!$C$2:$C$367,MATCH(H379,Calendrier!$A$2:$A$367,0)),0),"")</f>
        <v>1</v>
      </c>
      <c r="K379" s="50">
        <f t="shared" si="29"/>
        <v>1</v>
      </c>
      <c r="L379" s="50">
        <f>IF(D379="","",IF(COUNTIF(Paramètres!$A$11:$A$40,D379)&gt;0,1,0))</f>
        <v>1</v>
      </c>
    </row>
    <row r="380" spans="1:12" hidden="1" x14ac:dyDescent="0.25">
      <c r="A380" s="49"/>
      <c r="B380" s="49" t="s">
        <v>69</v>
      </c>
      <c r="C380" s="49" t="s">
        <v>465</v>
      </c>
      <c r="D380" s="50" t="str">
        <f t="shared" si="25"/>
        <v>Mina Moussa</v>
      </c>
      <c r="E380" s="50" t="str">
        <f t="shared" si="26"/>
        <v>mars</v>
      </c>
      <c r="F380" s="50">
        <f t="shared" si="27"/>
        <v>30</v>
      </c>
      <c r="G380" s="50">
        <f t="shared" si="28"/>
        <v>2026</v>
      </c>
      <c r="H380" s="51">
        <f>IF($C380="","",IFERROR(DATE(G380,VLOOKUP(E380,Paramètres!$K$11:$L$40,2,FALSE()),F380),"?"))</f>
        <v>46111</v>
      </c>
      <c r="I380" s="50">
        <f>IF(ISNUMBER(H380),IF(COUNTIFS($D$2:D380,D380,$H$2:H380,H380)=1,1,0),"")</f>
        <v>1</v>
      </c>
      <c r="J380" s="50">
        <f>IF(ISNUMBER(H380),IFERROR(INDEX(Calendrier!$C$2:$C$367,MATCH(H380,Calendrier!$A$2:$A$367,0)),0),"")</f>
        <v>1</v>
      </c>
      <c r="K380" s="50">
        <f t="shared" si="29"/>
        <v>1</v>
      </c>
      <c r="L380" s="50">
        <f>IF(D380="","",IF(COUNTIF(Paramètres!$A$11:$A$40,D380)&gt;0,1,0))</f>
        <v>1</v>
      </c>
    </row>
    <row r="381" spans="1:12" x14ac:dyDescent="0.25">
      <c r="A381" s="49"/>
      <c r="B381" s="49" t="s">
        <v>90</v>
      </c>
      <c r="C381" s="49" t="s">
        <v>466</v>
      </c>
      <c r="D381" s="50" t="str">
        <f t="shared" si="25"/>
        <v>Zouhour Fathallah</v>
      </c>
      <c r="E381" s="50" t="str">
        <f t="shared" si="26"/>
        <v>mars</v>
      </c>
      <c r="F381" s="50">
        <f t="shared" si="27"/>
        <v>30</v>
      </c>
      <c r="G381" s="50">
        <f t="shared" si="28"/>
        <v>2026</v>
      </c>
      <c r="H381" s="51">
        <f>IF($C381="","",IFERROR(DATE(G381,VLOOKUP(E381,Paramètres!$K$11:$L$40,2,FALSE()),F381),"?"))</f>
        <v>46111</v>
      </c>
      <c r="I381" s="50">
        <f>IF(ISNUMBER(H381),IF(COUNTIFS($D$2:D381,D381,$H$2:H381,H381)=1,1,0),"")</f>
        <v>1</v>
      </c>
      <c r="J381" s="50">
        <f>IF(ISNUMBER(H381),IFERROR(INDEX(Calendrier!$C$2:$C$367,MATCH(H381,Calendrier!$A$2:$A$367,0)),0),"")</f>
        <v>1</v>
      </c>
      <c r="K381" s="50">
        <f t="shared" si="29"/>
        <v>1</v>
      </c>
      <c r="L381" s="50">
        <f>IF(D381="","",IF(COUNTIF(Paramètres!$A$11:$A$40,D381)&gt;0,1,0))</f>
        <v>1</v>
      </c>
    </row>
    <row r="382" spans="1:12" x14ac:dyDescent="0.25">
      <c r="A382" s="49"/>
      <c r="B382" s="49" t="s">
        <v>90</v>
      </c>
      <c r="C382" s="49" t="s">
        <v>467</v>
      </c>
      <c r="D382" s="50" t="str">
        <f t="shared" si="25"/>
        <v>Zouhour Fathallah</v>
      </c>
      <c r="E382" s="50" t="str">
        <f t="shared" si="26"/>
        <v>mars</v>
      </c>
      <c r="F382" s="50">
        <f t="shared" si="27"/>
        <v>31</v>
      </c>
      <c r="G382" s="50">
        <f t="shared" si="28"/>
        <v>2026</v>
      </c>
      <c r="H382" s="51">
        <f>IF($C382="","",IFERROR(DATE(G382,VLOOKUP(E382,Paramètres!$K$11:$L$40,2,FALSE()),F382),"?"))</f>
        <v>46112</v>
      </c>
      <c r="I382" s="50">
        <f>IF(ISNUMBER(H382),IF(COUNTIFS($D$2:D382,D382,$H$2:H382,H382)=1,1,0),"")</f>
        <v>1</v>
      </c>
      <c r="J382" s="50">
        <f>IF(ISNUMBER(H382),IFERROR(INDEX(Calendrier!$C$2:$C$367,MATCH(H382,Calendrier!$A$2:$A$367,0)),0),"")</f>
        <v>1</v>
      </c>
      <c r="K382" s="50">
        <f t="shared" si="29"/>
        <v>1</v>
      </c>
      <c r="L382" s="50">
        <f>IF(D382="","",IF(COUNTIF(Paramètres!$A$11:$A$40,D382)&gt;0,1,0))</f>
        <v>1</v>
      </c>
    </row>
    <row r="383" spans="1:12" hidden="1" x14ac:dyDescent="0.25">
      <c r="A383" s="49"/>
      <c r="B383" s="49" t="s">
        <v>59</v>
      </c>
      <c r="C383" s="49" t="s">
        <v>468</v>
      </c>
      <c r="D383" s="50" t="str">
        <f t="shared" si="25"/>
        <v>Imre Kapusi</v>
      </c>
      <c r="E383" s="50" t="str">
        <f t="shared" si="26"/>
        <v>mars</v>
      </c>
      <c r="F383" s="50">
        <f t="shared" si="27"/>
        <v>31</v>
      </c>
      <c r="G383" s="50">
        <f t="shared" si="28"/>
        <v>2026</v>
      </c>
      <c r="H383" s="51">
        <f>IF($C383="","",IFERROR(DATE(G383,VLOOKUP(E383,Paramètres!$K$11:$L$40,2,FALSE()),F383),"?"))</f>
        <v>46112</v>
      </c>
      <c r="I383" s="50">
        <f>IF(ISNUMBER(H383),IF(COUNTIFS($D$2:D383,D383,$H$2:H383,H383)=1,1,0),"")</f>
        <v>1</v>
      </c>
      <c r="J383" s="50">
        <f>IF(ISNUMBER(H383),IFERROR(INDEX(Calendrier!$C$2:$C$367,MATCH(H383,Calendrier!$A$2:$A$367,0)),0),"")</f>
        <v>1</v>
      </c>
      <c r="K383" s="50">
        <f t="shared" si="29"/>
        <v>1</v>
      </c>
      <c r="L383" s="50">
        <f>IF(D383="","",IF(COUNTIF(Paramètres!$A$11:$A$40,D383)&gt;0,1,0))</f>
        <v>1</v>
      </c>
    </row>
    <row r="384" spans="1:12" x14ac:dyDescent="0.25">
      <c r="A384" s="49"/>
      <c r="B384" s="49" t="s">
        <v>90</v>
      </c>
      <c r="C384" s="49" t="s">
        <v>469</v>
      </c>
      <c r="D384" s="50" t="str">
        <f t="shared" si="25"/>
        <v>Zouhour Fathallah</v>
      </c>
      <c r="E384" s="50" t="str">
        <f t="shared" si="26"/>
        <v>mars</v>
      </c>
      <c r="F384" s="50">
        <f t="shared" si="27"/>
        <v>4</v>
      </c>
      <c r="G384" s="50">
        <f t="shared" si="28"/>
        <v>2026</v>
      </c>
      <c r="H384" s="51">
        <f>IF($C384="","",IFERROR(DATE(G384,VLOOKUP(E384,Paramètres!$K$11:$L$40,2,FALSE()),F384),"?"))</f>
        <v>46085</v>
      </c>
      <c r="I384" s="50">
        <f>IF(ISNUMBER(H384),IF(COUNTIFS($D$2:D384,D384,$H$2:H384,H384)=1,1,0),"")</f>
        <v>1</v>
      </c>
      <c r="J384" s="50">
        <f>IF(ISNUMBER(H384),IFERROR(INDEX(Calendrier!$C$2:$C$367,MATCH(H384,Calendrier!$A$2:$A$367,0)),0),"")</f>
        <v>1</v>
      </c>
      <c r="K384" s="50">
        <f t="shared" si="29"/>
        <v>1</v>
      </c>
      <c r="L384" s="50">
        <f>IF(D384="","",IF(COUNTIF(Paramètres!$A$11:$A$40,D384)&gt;0,1,0))</f>
        <v>1</v>
      </c>
    </row>
    <row r="385" spans="1:12" x14ac:dyDescent="0.25">
      <c r="A385" s="49"/>
      <c r="B385" s="49" t="s">
        <v>90</v>
      </c>
      <c r="C385" s="49" t="s">
        <v>469</v>
      </c>
      <c r="D385" s="50" t="str">
        <f t="shared" si="25"/>
        <v>Zouhour Fathallah</v>
      </c>
      <c r="E385" s="50" t="str">
        <f t="shared" si="26"/>
        <v>mars</v>
      </c>
      <c r="F385" s="50">
        <f t="shared" si="27"/>
        <v>4</v>
      </c>
      <c r="G385" s="50">
        <f t="shared" si="28"/>
        <v>2026</v>
      </c>
      <c r="H385" s="51">
        <f>IF($C385="","",IFERROR(DATE(G385,VLOOKUP(E385,Paramètres!$K$11:$L$40,2,FALSE()),F385),"?"))</f>
        <v>46085</v>
      </c>
      <c r="I385" s="50">
        <f>IF(ISNUMBER(H385),IF(COUNTIFS($D$2:D385,D385,$H$2:H385,H385)=1,1,0),"")</f>
        <v>0</v>
      </c>
      <c r="J385" s="50">
        <f>IF(ISNUMBER(H385),IFERROR(INDEX(Calendrier!$C$2:$C$367,MATCH(H385,Calendrier!$A$2:$A$367,0)),0),"")</f>
        <v>1</v>
      </c>
      <c r="K385" s="50">
        <f t="shared" si="29"/>
        <v>0</v>
      </c>
      <c r="L385" s="50">
        <f>IF(D385="","",IF(COUNTIF(Paramètres!$A$11:$A$40,D385)&gt;0,1,0))</f>
        <v>1</v>
      </c>
    </row>
    <row r="386" spans="1:12" x14ac:dyDescent="0.25">
      <c r="A386" s="49"/>
      <c r="B386" s="49" t="s">
        <v>90</v>
      </c>
      <c r="C386" s="49" t="s">
        <v>469</v>
      </c>
      <c r="D386" s="50" t="str">
        <f t="shared" ref="D386:D449" si="30">IF(B386="","",TRIM(B386))</f>
        <v>Zouhour Fathallah</v>
      </c>
      <c r="E386" s="50" t="str">
        <f t="shared" ref="E386:E449" si="31">IF($C386="","",LEFT($C386,FIND(" ",$C386)-1))</f>
        <v>mars</v>
      </c>
      <c r="F386" s="50">
        <f t="shared" ref="F386:F449" si="32">IF($C386="","",IFERROR(VALUE(LEFT(MID($C386,FIND(" ",$C386)+1,20),FIND(" ",MID($C386,FIND(" ",$C386)+1,20))-1)),"?"))</f>
        <v>4</v>
      </c>
      <c r="G386" s="50">
        <f t="shared" ref="G386:G449" si="33">IF($C386="","",IFERROR(VALUE(MID(MID($C386,FIND(" ",$C386)+1,20),FIND(" ",MID($C386,FIND(" ",$C386)+1,20))+1,4)),"?"))</f>
        <v>2026</v>
      </c>
      <c r="H386" s="51">
        <f>IF($C386="","",IFERROR(DATE(G386,VLOOKUP(E386,Paramètres!$K$11:$L$40,2,FALSE()),F386),"?"))</f>
        <v>46085</v>
      </c>
      <c r="I386" s="50">
        <f>IF(ISNUMBER(H386),IF(COUNTIFS($D$2:D386,D386,$H$2:H386,H386)=1,1,0),"")</f>
        <v>0</v>
      </c>
      <c r="J386" s="50">
        <f>IF(ISNUMBER(H386),IFERROR(INDEX(Calendrier!$C$2:$C$367,MATCH(H386,Calendrier!$A$2:$A$367,0)),0),"")</f>
        <v>1</v>
      </c>
      <c r="K386" s="50">
        <f t="shared" ref="K386:K449" si="34">IF(ISNUMBER(H386),I386*J386,"")</f>
        <v>0</v>
      </c>
      <c r="L386" s="50">
        <f>IF(D386="","",IF(COUNTIF(Paramètres!$A$11:$A$40,D386)&gt;0,1,0))</f>
        <v>1</v>
      </c>
    </row>
    <row r="387" spans="1:12" hidden="1" x14ac:dyDescent="0.25">
      <c r="A387" s="49"/>
      <c r="B387" s="49" t="s">
        <v>69</v>
      </c>
      <c r="C387" s="49" t="s">
        <v>470</v>
      </c>
      <c r="D387" s="50" t="str">
        <f t="shared" si="30"/>
        <v>Mina Moussa</v>
      </c>
      <c r="E387" s="50" t="str">
        <f t="shared" si="31"/>
        <v>mars</v>
      </c>
      <c r="F387" s="50">
        <f t="shared" si="32"/>
        <v>4</v>
      </c>
      <c r="G387" s="50">
        <f t="shared" si="33"/>
        <v>2026</v>
      </c>
      <c r="H387" s="51">
        <f>IF($C387="","",IFERROR(DATE(G387,VLOOKUP(E387,Paramètres!$K$11:$L$40,2,FALSE()),F387),"?"))</f>
        <v>46085</v>
      </c>
      <c r="I387" s="50">
        <f>IF(ISNUMBER(H387),IF(COUNTIFS($D$2:D387,D387,$H$2:H387,H387)=1,1,0),"")</f>
        <v>1</v>
      </c>
      <c r="J387" s="50">
        <f>IF(ISNUMBER(H387),IFERROR(INDEX(Calendrier!$C$2:$C$367,MATCH(H387,Calendrier!$A$2:$A$367,0)),0),"")</f>
        <v>1</v>
      </c>
      <c r="K387" s="50">
        <f t="shared" si="34"/>
        <v>1</v>
      </c>
      <c r="L387" s="50">
        <f>IF(D387="","",IF(COUNTIF(Paramètres!$A$11:$A$40,D387)&gt;0,1,0))</f>
        <v>1</v>
      </c>
    </row>
    <row r="388" spans="1:12" x14ac:dyDescent="0.25">
      <c r="A388" s="49"/>
      <c r="B388" s="49" t="s">
        <v>90</v>
      </c>
      <c r="C388" s="49" t="s">
        <v>470</v>
      </c>
      <c r="D388" s="50" t="str">
        <f t="shared" si="30"/>
        <v>Zouhour Fathallah</v>
      </c>
      <c r="E388" s="50" t="str">
        <f t="shared" si="31"/>
        <v>mars</v>
      </c>
      <c r="F388" s="50">
        <f t="shared" si="32"/>
        <v>4</v>
      </c>
      <c r="G388" s="50">
        <f t="shared" si="33"/>
        <v>2026</v>
      </c>
      <c r="H388" s="51">
        <f>IF($C388="","",IFERROR(DATE(G388,VLOOKUP(E388,Paramètres!$K$11:$L$40,2,FALSE()),F388),"?"))</f>
        <v>46085</v>
      </c>
      <c r="I388" s="50">
        <f>IF(ISNUMBER(H388),IF(COUNTIFS($D$2:D388,D388,$H$2:H388,H388)=1,1,0),"")</f>
        <v>0</v>
      </c>
      <c r="J388" s="50">
        <f>IF(ISNUMBER(H388),IFERROR(INDEX(Calendrier!$C$2:$C$367,MATCH(H388,Calendrier!$A$2:$A$367,0)),0),"")</f>
        <v>1</v>
      </c>
      <c r="K388" s="50">
        <f t="shared" si="34"/>
        <v>0</v>
      </c>
      <c r="L388" s="50">
        <f>IF(D388="","",IF(COUNTIF(Paramètres!$A$11:$A$40,D388)&gt;0,1,0))</f>
        <v>1</v>
      </c>
    </row>
    <row r="389" spans="1:12" x14ac:dyDescent="0.25">
      <c r="A389" s="49"/>
      <c r="B389" s="49" t="s">
        <v>90</v>
      </c>
      <c r="C389" s="49" t="s">
        <v>470</v>
      </c>
      <c r="D389" s="50" t="str">
        <f t="shared" si="30"/>
        <v>Zouhour Fathallah</v>
      </c>
      <c r="E389" s="50" t="str">
        <f t="shared" si="31"/>
        <v>mars</v>
      </c>
      <c r="F389" s="50">
        <f t="shared" si="32"/>
        <v>4</v>
      </c>
      <c r="G389" s="50">
        <f t="shared" si="33"/>
        <v>2026</v>
      </c>
      <c r="H389" s="51">
        <f>IF($C389="","",IFERROR(DATE(G389,VLOOKUP(E389,Paramètres!$K$11:$L$40,2,FALSE()),F389),"?"))</f>
        <v>46085</v>
      </c>
      <c r="I389" s="50">
        <f>IF(ISNUMBER(H389),IF(COUNTIFS($D$2:D389,D389,$H$2:H389,H389)=1,1,0),"")</f>
        <v>0</v>
      </c>
      <c r="J389" s="50">
        <f>IF(ISNUMBER(H389),IFERROR(INDEX(Calendrier!$C$2:$C$367,MATCH(H389,Calendrier!$A$2:$A$367,0)),0),"")</f>
        <v>1</v>
      </c>
      <c r="K389" s="50">
        <f t="shared" si="34"/>
        <v>0</v>
      </c>
      <c r="L389" s="50">
        <f>IF(D389="","",IF(COUNTIF(Paramètres!$A$11:$A$40,D389)&gt;0,1,0))</f>
        <v>1</v>
      </c>
    </row>
    <row r="390" spans="1:12" x14ac:dyDescent="0.25">
      <c r="A390" s="49"/>
      <c r="B390" s="49" t="s">
        <v>90</v>
      </c>
      <c r="C390" s="49" t="s">
        <v>471</v>
      </c>
      <c r="D390" s="50" t="str">
        <f t="shared" si="30"/>
        <v>Zouhour Fathallah</v>
      </c>
      <c r="E390" s="50" t="str">
        <f t="shared" si="31"/>
        <v>mars</v>
      </c>
      <c r="F390" s="50">
        <f t="shared" si="32"/>
        <v>4</v>
      </c>
      <c r="G390" s="50">
        <f t="shared" si="33"/>
        <v>2026</v>
      </c>
      <c r="H390" s="51">
        <f>IF($C390="","",IFERROR(DATE(G390,VLOOKUP(E390,Paramètres!$K$11:$L$40,2,FALSE()),F390),"?"))</f>
        <v>46085</v>
      </c>
      <c r="I390" s="50">
        <f>IF(ISNUMBER(H390),IF(COUNTIFS($D$2:D390,D390,$H$2:H390,H390)=1,1,0),"")</f>
        <v>0</v>
      </c>
      <c r="J390" s="50">
        <f>IF(ISNUMBER(H390),IFERROR(INDEX(Calendrier!$C$2:$C$367,MATCH(H390,Calendrier!$A$2:$A$367,0)),0),"")</f>
        <v>1</v>
      </c>
      <c r="K390" s="50">
        <f t="shared" si="34"/>
        <v>0</v>
      </c>
      <c r="L390" s="50">
        <f>IF(D390="","",IF(COUNTIF(Paramètres!$A$11:$A$40,D390)&gt;0,1,0))</f>
        <v>1</v>
      </c>
    </row>
    <row r="391" spans="1:12" x14ac:dyDescent="0.25">
      <c r="A391" s="49"/>
      <c r="B391" s="49" t="s">
        <v>90</v>
      </c>
      <c r="C391" s="49" t="s">
        <v>472</v>
      </c>
      <c r="D391" s="50" t="str">
        <f t="shared" si="30"/>
        <v>Zouhour Fathallah</v>
      </c>
      <c r="E391" s="50" t="str">
        <f t="shared" si="31"/>
        <v>mars</v>
      </c>
      <c r="F391" s="50">
        <f t="shared" si="32"/>
        <v>4</v>
      </c>
      <c r="G391" s="50">
        <f t="shared" si="33"/>
        <v>2026</v>
      </c>
      <c r="H391" s="51">
        <f>IF($C391="","",IFERROR(DATE(G391,VLOOKUP(E391,Paramètres!$K$11:$L$40,2,FALSE()),F391),"?"))</f>
        <v>46085</v>
      </c>
      <c r="I391" s="50">
        <f>IF(ISNUMBER(H391),IF(COUNTIFS($D$2:D391,D391,$H$2:H391,H391)=1,1,0),"")</f>
        <v>0</v>
      </c>
      <c r="J391" s="50">
        <f>IF(ISNUMBER(H391),IFERROR(INDEX(Calendrier!$C$2:$C$367,MATCH(H391,Calendrier!$A$2:$A$367,0)),0),"")</f>
        <v>1</v>
      </c>
      <c r="K391" s="50">
        <f t="shared" si="34"/>
        <v>0</v>
      </c>
      <c r="L391" s="50">
        <f>IF(D391="","",IF(COUNTIF(Paramètres!$A$11:$A$40,D391)&gt;0,1,0))</f>
        <v>1</v>
      </c>
    </row>
    <row r="392" spans="1:12" hidden="1" x14ac:dyDescent="0.25">
      <c r="A392" s="49"/>
      <c r="B392" s="49" t="s">
        <v>45</v>
      </c>
      <c r="C392" s="49" t="s">
        <v>473</v>
      </c>
      <c r="D392" s="50" t="str">
        <f t="shared" si="30"/>
        <v>Ahlem Moussa</v>
      </c>
      <c r="E392" s="50" t="str">
        <f t="shared" si="31"/>
        <v>mars</v>
      </c>
      <c r="F392" s="50">
        <f t="shared" si="32"/>
        <v>4</v>
      </c>
      <c r="G392" s="50">
        <f t="shared" si="33"/>
        <v>2026</v>
      </c>
      <c r="H392" s="51">
        <f>IF($C392="","",IFERROR(DATE(G392,VLOOKUP(E392,Paramètres!$K$11:$L$40,2,FALSE()),F392),"?"))</f>
        <v>46085</v>
      </c>
      <c r="I392" s="50">
        <f>IF(ISNUMBER(H392),IF(COUNTIFS($D$2:D392,D392,$H$2:H392,H392)=1,1,0),"")</f>
        <v>1</v>
      </c>
      <c r="J392" s="50">
        <f>IF(ISNUMBER(H392),IFERROR(INDEX(Calendrier!$C$2:$C$367,MATCH(H392,Calendrier!$A$2:$A$367,0)),0),"")</f>
        <v>1</v>
      </c>
      <c r="K392" s="50">
        <f t="shared" si="34"/>
        <v>1</v>
      </c>
      <c r="L392" s="50">
        <f>IF(D392="","",IF(COUNTIF(Paramètres!$A$11:$A$40,D392)&gt;0,1,0))</f>
        <v>1</v>
      </c>
    </row>
    <row r="393" spans="1:12" hidden="1" x14ac:dyDescent="0.25">
      <c r="A393" s="49"/>
      <c r="B393" s="49" t="s">
        <v>73</v>
      </c>
      <c r="C393" s="49" t="s">
        <v>474</v>
      </c>
      <c r="D393" s="50" t="str">
        <f t="shared" si="30"/>
        <v>Mourad Ayari</v>
      </c>
      <c r="E393" s="50" t="str">
        <f t="shared" si="31"/>
        <v>mars</v>
      </c>
      <c r="F393" s="50">
        <f t="shared" si="32"/>
        <v>4</v>
      </c>
      <c r="G393" s="50">
        <f t="shared" si="33"/>
        <v>2026</v>
      </c>
      <c r="H393" s="51">
        <f>IF($C393="","",IFERROR(DATE(G393,VLOOKUP(E393,Paramètres!$K$11:$L$40,2,FALSE()),F393),"?"))</f>
        <v>46085</v>
      </c>
      <c r="I393" s="50">
        <f>IF(ISNUMBER(H393),IF(COUNTIFS($D$2:D393,D393,$H$2:H393,H393)=1,1,0),"")</f>
        <v>1</v>
      </c>
      <c r="J393" s="50">
        <f>IF(ISNUMBER(H393),IFERROR(INDEX(Calendrier!$C$2:$C$367,MATCH(H393,Calendrier!$A$2:$A$367,0)),0),"")</f>
        <v>1</v>
      </c>
      <c r="K393" s="50">
        <f t="shared" si="34"/>
        <v>1</v>
      </c>
      <c r="L393" s="50">
        <f>IF(D393="","",IF(COUNTIF(Paramètres!$A$11:$A$40,D393)&gt;0,1,0))</f>
        <v>1</v>
      </c>
    </row>
    <row r="394" spans="1:12" hidden="1" x14ac:dyDescent="0.25">
      <c r="A394" s="49"/>
      <c r="B394" s="49" t="s">
        <v>83</v>
      </c>
      <c r="C394" s="49" t="s">
        <v>475</v>
      </c>
      <c r="D394" s="50" t="str">
        <f t="shared" si="30"/>
        <v>Safouen Magdouli</v>
      </c>
      <c r="E394" s="50" t="str">
        <f t="shared" si="31"/>
        <v>mars</v>
      </c>
      <c r="F394" s="50">
        <f t="shared" si="32"/>
        <v>4</v>
      </c>
      <c r="G394" s="50">
        <f t="shared" si="33"/>
        <v>2026</v>
      </c>
      <c r="H394" s="51">
        <f>IF($C394="","",IFERROR(DATE(G394,VLOOKUP(E394,Paramètres!$K$11:$L$40,2,FALSE()),F394),"?"))</f>
        <v>46085</v>
      </c>
      <c r="I394" s="50">
        <f>IF(ISNUMBER(H394),IF(COUNTIFS($D$2:D394,D394,$H$2:H394,H394)=1,1,0),"")</f>
        <v>1</v>
      </c>
      <c r="J394" s="50">
        <f>IF(ISNUMBER(H394),IFERROR(INDEX(Calendrier!$C$2:$C$367,MATCH(H394,Calendrier!$A$2:$A$367,0)),0),"")</f>
        <v>1</v>
      </c>
      <c r="K394" s="50">
        <f t="shared" si="34"/>
        <v>1</v>
      </c>
      <c r="L394" s="50">
        <f>IF(D394="","",IF(COUNTIF(Paramètres!$A$11:$A$40,D394)&gt;0,1,0))</f>
        <v>1</v>
      </c>
    </row>
    <row r="395" spans="1:12" hidden="1" x14ac:dyDescent="0.25">
      <c r="A395" s="49"/>
      <c r="B395" s="49" t="s">
        <v>61</v>
      </c>
      <c r="C395" s="49" t="s">
        <v>475</v>
      </c>
      <c r="D395" s="50" t="str">
        <f t="shared" si="30"/>
        <v>Ines Farhat</v>
      </c>
      <c r="E395" s="50" t="str">
        <f t="shared" si="31"/>
        <v>mars</v>
      </c>
      <c r="F395" s="50">
        <f t="shared" si="32"/>
        <v>4</v>
      </c>
      <c r="G395" s="50">
        <f t="shared" si="33"/>
        <v>2026</v>
      </c>
      <c r="H395" s="51">
        <f>IF($C395="","",IFERROR(DATE(G395,VLOOKUP(E395,Paramètres!$K$11:$L$40,2,FALSE()),F395),"?"))</f>
        <v>46085</v>
      </c>
      <c r="I395" s="50">
        <f>IF(ISNUMBER(H395),IF(COUNTIFS($D$2:D395,D395,$H$2:H395,H395)=1,1,0),"")</f>
        <v>1</v>
      </c>
      <c r="J395" s="50">
        <f>IF(ISNUMBER(H395),IFERROR(INDEX(Calendrier!$C$2:$C$367,MATCH(H395,Calendrier!$A$2:$A$367,0)),0),"")</f>
        <v>1</v>
      </c>
      <c r="K395" s="50">
        <f t="shared" si="34"/>
        <v>1</v>
      </c>
      <c r="L395" s="50">
        <f>IF(D395="","",IF(COUNTIF(Paramètres!$A$11:$A$40,D395)&gt;0,1,0))</f>
        <v>1</v>
      </c>
    </row>
    <row r="396" spans="1:12" hidden="1" x14ac:dyDescent="0.25">
      <c r="A396" s="49"/>
      <c r="B396" s="49" t="s">
        <v>85</v>
      </c>
      <c r="C396" s="49" t="s">
        <v>476</v>
      </c>
      <c r="D396" s="50" t="str">
        <f t="shared" si="30"/>
        <v>Said Hamrouni</v>
      </c>
      <c r="E396" s="50" t="str">
        <f t="shared" si="31"/>
        <v>mars</v>
      </c>
      <c r="F396" s="50">
        <f t="shared" si="32"/>
        <v>4</v>
      </c>
      <c r="G396" s="50">
        <f t="shared" si="33"/>
        <v>2026</v>
      </c>
      <c r="H396" s="51">
        <f>IF($C396="","",IFERROR(DATE(G396,VLOOKUP(E396,Paramètres!$K$11:$L$40,2,FALSE()),F396),"?"))</f>
        <v>46085</v>
      </c>
      <c r="I396" s="50">
        <f>IF(ISNUMBER(H396),IF(COUNTIFS($D$2:D396,D396,$H$2:H396,H396)=1,1,0),"")</f>
        <v>1</v>
      </c>
      <c r="J396" s="50">
        <f>IF(ISNUMBER(H396),IFERROR(INDEX(Calendrier!$C$2:$C$367,MATCH(H396,Calendrier!$A$2:$A$367,0)),0),"")</f>
        <v>1</v>
      </c>
      <c r="K396" s="50">
        <f t="shared" si="34"/>
        <v>1</v>
      </c>
      <c r="L396" s="50">
        <f>IF(D396="","",IF(COUNTIF(Paramètres!$A$11:$A$40,D396)&gt;0,1,0))</f>
        <v>1</v>
      </c>
    </row>
    <row r="397" spans="1:12" hidden="1" x14ac:dyDescent="0.25">
      <c r="A397" s="49"/>
      <c r="B397" s="49" t="s">
        <v>75</v>
      </c>
      <c r="C397" s="49" t="s">
        <v>477</v>
      </c>
      <c r="D397" s="50" t="str">
        <f t="shared" si="30"/>
        <v>Nesrine Laassili</v>
      </c>
      <c r="E397" s="50" t="str">
        <f t="shared" si="31"/>
        <v>mars</v>
      </c>
      <c r="F397" s="50">
        <f t="shared" si="32"/>
        <v>4</v>
      </c>
      <c r="G397" s="50">
        <f t="shared" si="33"/>
        <v>2026</v>
      </c>
      <c r="H397" s="51">
        <f>IF($C397="","",IFERROR(DATE(G397,VLOOKUP(E397,Paramètres!$K$11:$L$40,2,FALSE()),F397),"?"))</f>
        <v>46085</v>
      </c>
      <c r="I397" s="50">
        <f>IF(ISNUMBER(H397),IF(COUNTIFS($D$2:D397,D397,$H$2:H397,H397)=1,1,0),"")</f>
        <v>1</v>
      </c>
      <c r="J397" s="50">
        <f>IF(ISNUMBER(H397),IFERROR(INDEX(Calendrier!$C$2:$C$367,MATCH(H397,Calendrier!$A$2:$A$367,0)),0),"")</f>
        <v>1</v>
      </c>
      <c r="K397" s="50">
        <f t="shared" si="34"/>
        <v>1</v>
      </c>
      <c r="L397" s="50">
        <f>IF(D397="","",IF(COUNTIF(Paramètres!$A$11:$A$40,D397)&gt;0,1,0))</f>
        <v>1</v>
      </c>
    </row>
    <row r="398" spans="1:12" hidden="1" x14ac:dyDescent="0.25">
      <c r="A398" s="49"/>
      <c r="B398" s="49" t="s">
        <v>75</v>
      </c>
      <c r="C398" s="49" t="s">
        <v>477</v>
      </c>
      <c r="D398" s="50" t="str">
        <f t="shared" si="30"/>
        <v>Nesrine Laassili</v>
      </c>
      <c r="E398" s="50" t="str">
        <f t="shared" si="31"/>
        <v>mars</v>
      </c>
      <c r="F398" s="50">
        <f t="shared" si="32"/>
        <v>4</v>
      </c>
      <c r="G398" s="50">
        <f t="shared" si="33"/>
        <v>2026</v>
      </c>
      <c r="H398" s="51">
        <f>IF($C398="","",IFERROR(DATE(G398,VLOOKUP(E398,Paramètres!$K$11:$L$40,2,FALSE()),F398),"?"))</f>
        <v>46085</v>
      </c>
      <c r="I398" s="50">
        <f>IF(ISNUMBER(H398),IF(COUNTIFS($D$2:D398,D398,$H$2:H398,H398)=1,1,0),"")</f>
        <v>0</v>
      </c>
      <c r="J398" s="50">
        <f>IF(ISNUMBER(H398),IFERROR(INDEX(Calendrier!$C$2:$C$367,MATCH(H398,Calendrier!$A$2:$A$367,0)),0),"")</f>
        <v>1</v>
      </c>
      <c r="K398" s="50">
        <f t="shared" si="34"/>
        <v>0</v>
      </c>
      <c r="L398" s="50">
        <f>IF(D398="","",IF(COUNTIF(Paramètres!$A$11:$A$40,D398)&gt;0,1,0))</f>
        <v>1</v>
      </c>
    </row>
    <row r="399" spans="1:12" hidden="1" x14ac:dyDescent="0.25">
      <c r="A399" s="49"/>
      <c r="B399" s="49" t="s">
        <v>69</v>
      </c>
      <c r="C399" s="49" t="s">
        <v>478</v>
      </c>
      <c r="D399" s="50" t="str">
        <f t="shared" si="30"/>
        <v>Mina Moussa</v>
      </c>
      <c r="E399" s="50" t="str">
        <f t="shared" si="31"/>
        <v>mars</v>
      </c>
      <c r="F399" s="50">
        <f t="shared" si="32"/>
        <v>4</v>
      </c>
      <c r="G399" s="50">
        <f t="shared" si="33"/>
        <v>2026</v>
      </c>
      <c r="H399" s="51">
        <f>IF($C399="","",IFERROR(DATE(G399,VLOOKUP(E399,Paramètres!$K$11:$L$40,2,FALSE()),F399),"?"))</f>
        <v>46085</v>
      </c>
      <c r="I399" s="50">
        <f>IF(ISNUMBER(H399),IF(COUNTIFS($D$2:D399,D399,$H$2:H399,H399)=1,1,0),"")</f>
        <v>0</v>
      </c>
      <c r="J399" s="50">
        <f>IF(ISNUMBER(H399),IFERROR(INDEX(Calendrier!$C$2:$C$367,MATCH(H399,Calendrier!$A$2:$A$367,0)),0),"")</f>
        <v>1</v>
      </c>
      <c r="K399" s="50">
        <f t="shared" si="34"/>
        <v>0</v>
      </c>
      <c r="L399" s="50">
        <f>IF(D399="","",IF(COUNTIF(Paramètres!$A$11:$A$40,D399)&gt;0,1,0))</f>
        <v>1</v>
      </c>
    </row>
    <row r="400" spans="1:12" hidden="1" x14ac:dyDescent="0.25">
      <c r="A400" s="49"/>
      <c r="B400" s="49" t="s">
        <v>69</v>
      </c>
      <c r="C400" s="49" t="s">
        <v>479</v>
      </c>
      <c r="D400" s="50" t="str">
        <f t="shared" si="30"/>
        <v>Mina Moussa</v>
      </c>
      <c r="E400" s="50" t="str">
        <f t="shared" si="31"/>
        <v>mars</v>
      </c>
      <c r="F400" s="50">
        <f t="shared" si="32"/>
        <v>5</v>
      </c>
      <c r="G400" s="50">
        <f t="shared" si="33"/>
        <v>2026</v>
      </c>
      <c r="H400" s="51">
        <f>IF($C400="","",IFERROR(DATE(G400,VLOOKUP(E400,Paramètres!$K$11:$L$40,2,FALSE()),F400),"?"))</f>
        <v>46086</v>
      </c>
      <c r="I400" s="50">
        <f>IF(ISNUMBER(H400),IF(COUNTIFS($D$2:D400,D400,$H$2:H400,H400)=1,1,0),"")</f>
        <v>1</v>
      </c>
      <c r="J400" s="50">
        <f>IF(ISNUMBER(H400),IFERROR(INDEX(Calendrier!$C$2:$C$367,MATCH(H400,Calendrier!$A$2:$A$367,0)),0),"")</f>
        <v>1</v>
      </c>
      <c r="K400" s="50">
        <f t="shared" si="34"/>
        <v>1</v>
      </c>
      <c r="L400" s="50">
        <f>IF(D400="","",IF(COUNTIF(Paramètres!$A$11:$A$40,D400)&gt;0,1,0))</f>
        <v>1</v>
      </c>
    </row>
    <row r="401" spans="1:12" x14ac:dyDescent="0.25">
      <c r="A401" s="49"/>
      <c r="B401" s="49" t="s">
        <v>90</v>
      </c>
      <c r="C401" s="49" t="s">
        <v>480</v>
      </c>
      <c r="D401" s="50" t="str">
        <f t="shared" si="30"/>
        <v>Zouhour Fathallah</v>
      </c>
      <c r="E401" s="50" t="str">
        <f t="shared" si="31"/>
        <v>mars</v>
      </c>
      <c r="F401" s="50">
        <f t="shared" si="32"/>
        <v>6</v>
      </c>
      <c r="G401" s="50">
        <f t="shared" si="33"/>
        <v>2026</v>
      </c>
      <c r="H401" s="51">
        <f>IF($C401="","",IFERROR(DATE(G401,VLOOKUP(E401,Paramètres!$K$11:$L$40,2,FALSE()),F401),"?"))</f>
        <v>46087</v>
      </c>
      <c r="I401" s="50">
        <f>IF(ISNUMBER(H401),IF(COUNTIFS($D$2:D401,D401,$H$2:H401,H401)=1,1,0),"")</f>
        <v>1</v>
      </c>
      <c r="J401" s="50">
        <f>IF(ISNUMBER(H401),IFERROR(INDEX(Calendrier!$C$2:$C$367,MATCH(H401,Calendrier!$A$2:$A$367,0)),0),"")</f>
        <v>1</v>
      </c>
      <c r="K401" s="50">
        <f t="shared" si="34"/>
        <v>1</v>
      </c>
      <c r="L401" s="50">
        <f>IF(D401="","",IF(COUNTIF(Paramètres!$A$11:$A$40,D401)&gt;0,1,0))</f>
        <v>1</v>
      </c>
    </row>
    <row r="402" spans="1:12" hidden="1" x14ac:dyDescent="0.25">
      <c r="A402" s="49"/>
      <c r="B402" s="49" t="s">
        <v>45</v>
      </c>
      <c r="C402" s="49" t="s">
        <v>481</v>
      </c>
      <c r="D402" s="50" t="str">
        <f t="shared" si="30"/>
        <v>Ahlem Moussa</v>
      </c>
      <c r="E402" s="50" t="str">
        <f t="shared" si="31"/>
        <v>mars</v>
      </c>
      <c r="F402" s="50">
        <f t="shared" si="32"/>
        <v>6</v>
      </c>
      <c r="G402" s="50">
        <f t="shared" si="33"/>
        <v>2026</v>
      </c>
      <c r="H402" s="51">
        <f>IF($C402="","",IFERROR(DATE(G402,VLOOKUP(E402,Paramètres!$K$11:$L$40,2,FALSE()),F402),"?"))</f>
        <v>46087</v>
      </c>
      <c r="I402" s="50">
        <f>IF(ISNUMBER(H402),IF(COUNTIFS($D$2:D402,D402,$H$2:H402,H402)=1,1,0),"")</f>
        <v>1</v>
      </c>
      <c r="J402" s="50">
        <f>IF(ISNUMBER(H402),IFERROR(INDEX(Calendrier!$C$2:$C$367,MATCH(H402,Calendrier!$A$2:$A$367,0)),0),"")</f>
        <v>1</v>
      </c>
      <c r="K402" s="50">
        <f t="shared" si="34"/>
        <v>1</v>
      </c>
      <c r="L402" s="50">
        <f>IF(D402="","",IF(COUNTIF(Paramètres!$A$11:$A$40,D402)&gt;0,1,0))</f>
        <v>1</v>
      </c>
    </row>
    <row r="403" spans="1:12" hidden="1" x14ac:dyDescent="0.25">
      <c r="A403" s="49"/>
      <c r="B403" s="49" t="s">
        <v>81</v>
      </c>
      <c r="C403" s="49" t="s">
        <v>482</v>
      </c>
      <c r="D403" s="50" t="str">
        <f t="shared" si="30"/>
        <v>Sabrine Neffeti</v>
      </c>
      <c r="E403" s="50" t="str">
        <f t="shared" si="31"/>
        <v>mars</v>
      </c>
      <c r="F403" s="50">
        <f t="shared" si="32"/>
        <v>6</v>
      </c>
      <c r="G403" s="50">
        <f t="shared" si="33"/>
        <v>2026</v>
      </c>
      <c r="H403" s="51">
        <f>IF($C403="","",IFERROR(DATE(G403,VLOOKUP(E403,Paramètres!$K$11:$L$40,2,FALSE()),F403),"?"))</f>
        <v>46087</v>
      </c>
      <c r="I403" s="50">
        <f>IF(ISNUMBER(H403),IF(COUNTIFS($D$2:D403,D403,$H$2:H403,H403)=1,1,0),"")</f>
        <v>1</v>
      </c>
      <c r="J403" s="50">
        <f>IF(ISNUMBER(H403),IFERROR(INDEX(Calendrier!$C$2:$C$367,MATCH(H403,Calendrier!$A$2:$A$367,0)),0),"")</f>
        <v>1</v>
      </c>
      <c r="K403" s="50">
        <f t="shared" si="34"/>
        <v>1</v>
      </c>
      <c r="L403" s="50">
        <f>IF(D403="","",IF(COUNTIF(Paramètres!$A$11:$A$40,D403)&gt;0,1,0))</f>
        <v>1</v>
      </c>
    </row>
    <row r="404" spans="1:12" hidden="1" x14ac:dyDescent="0.25">
      <c r="A404" s="49"/>
      <c r="B404" s="49" t="s">
        <v>81</v>
      </c>
      <c r="C404" s="49" t="s">
        <v>483</v>
      </c>
      <c r="D404" s="50" t="str">
        <f t="shared" si="30"/>
        <v>Sabrine Neffeti</v>
      </c>
      <c r="E404" s="50" t="str">
        <f t="shared" si="31"/>
        <v>mars</v>
      </c>
      <c r="F404" s="50">
        <f t="shared" si="32"/>
        <v>7</v>
      </c>
      <c r="G404" s="50">
        <f t="shared" si="33"/>
        <v>2026</v>
      </c>
      <c r="H404" s="51">
        <f>IF($C404="","",IFERROR(DATE(G404,VLOOKUP(E404,Paramètres!$K$11:$L$40,2,FALSE()),F404),"?"))</f>
        <v>46088</v>
      </c>
      <c r="I404" s="50">
        <f>IF(ISNUMBER(H404),IF(COUNTIFS($D$2:D404,D404,$H$2:H404,H404)=1,1,0),"")</f>
        <v>1</v>
      </c>
      <c r="J404" s="50">
        <f>IF(ISNUMBER(H404),IFERROR(INDEX(Calendrier!$C$2:$C$367,MATCH(H404,Calendrier!$A$2:$A$367,0)),0),"")</f>
        <v>0</v>
      </c>
      <c r="K404" s="50">
        <f t="shared" si="34"/>
        <v>0</v>
      </c>
      <c r="L404" s="50">
        <f>IF(D404="","",IF(COUNTIF(Paramètres!$A$11:$A$40,D404)&gt;0,1,0))</f>
        <v>1</v>
      </c>
    </row>
    <row r="405" spans="1:12" hidden="1" x14ac:dyDescent="0.25">
      <c r="A405" s="49"/>
      <c r="B405" s="49" t="s">
        <v>83</v>
      </c>
      <c r="C405" s="49" t="s">
        <v>484</v>
      </c>
      <c r="D405" s="50" t="str">
        <f t="shared" si="30"/>
        <v>Safouen Magdouli</v>
      </c>
      <c r="E405" s="50" t="str">
        <f t="shared" si="31"/>
        <v>mars</v>
      </c>
      <c r="F405" s="50">
        <f t="shared" si="32"/>
        <v>7</v>
      </c>
      <c r="G405" s="50">
        <f t="shared" si="33"/>
        <v>2026</v>
      </c>
      <c r="H405" s="51">
        <f>IF($C405="","",IFERROR(DATE(G405,VLOOKUP(E405,Paramètres!$K$11:$L$40,2,FALSE()),F405),"?"))</f>
        <v>46088</v>
      </c>
      <c r="I405" s="50">
        <f>IF(ISNUMBER(H405),IF(COUNTIFS($D$2:D405,D405,$H$2:H405,H405)=1,1,0),"")</f>
        <v>1</v>
      </c>
      <c r="J405" s="50">
        <f>IF(ISNUMBER(H405),IFERROR(INDEX(Calendrier!$C$2:$C$367,MATCH(H405,Calendrier!$A$2:$A$367,0)),0),"")</f>
        <v>0</v>
      </c>
      <c r="K405" s="50">
        <f t="shared" si="34"/>
        <v>0</v>
      </c>
      <c r="L405" s="50">
        <f>IF(D405="","",IF(COUNTIF(Paramètres!$A$11:$A$40,D405)&gt;0,1,0))</f>
        <v>1</v>
      </c>
    </row>
    <row r="406" spans="1:12" hidden="1" x14ac:dyDescent="0.25">
      <c r="A406" s="49"/>
      <c r="B406" s="49" t="s">
        <v>69</v>
      </c>
      <c r="C406" s="49" t="s">
        <v>485</v>
      </c>
      <c r="D406" s="50" t="str">
        <f t="shared" si="30"/>
        <v>Mina Moussa</v>
      </c>
      <c r="E406" s="50" t="str">
        <f t="shared" si="31"/>
        <v>mars</v>
      </c>
      <c r="F406" s="50">
        <f t="shared" si="32"/>
        <v>8</v>
      </c>
      <c r="G406" s="50">
        <f t="shared" si="33"/>
        <v>2026</v>
      </c>
      <c r="H406" s="51">
        <f>IF($C406="","",IFERROR(DATE(G406,VLOOKUP(E406,Paramètres!$K$11:$L$40,2,FALSE()),F406),"?"))</f>
        <v>46089</v>
      </c>
      <c r="I406" s="50">
        <f>IF(ISNUMBER(H406),IF(COUNTIFS($D$2:D406,D406,$H$2:H406,H406)=1,1,0),"")</f>
        <v>1</v>
      </c>
      <c r="J406" s="50">
        <f>IF(ISNUMBER(H406),IFERROR(INDEX(Calendrier!$C$2:$C$367,MATCH(H406,Calendrier!$A$2:$A$367,0)),0),"")</f>
        <v>0</v>
      </c>
      <c r="K406" s="50">
        <f t="shared" si="34"/>
        <v>0</v>
      </c>
      <c r="L406" s="50">
        <f>IF(D406="","",IF(COUNTIF(Paramètres!$A$11:$A$40,D406)&gt;0,1,0))</f>
        <v>1</v>
      </c>
    </row>
    <row r="407" spans="1:12" hidden="1" x14ac:dyDescent="0.25">
      <c r="A407" s="49"/>
      <c r="B407" s="49" t="s">
        <v>45</v>
      </c>
      <c r="C407" s="49" t="s">
        <v>486</v>
      </c>
      <c r="D407" s="50" t="str">
        <f t="shared" si="30"/>
        <v>Ahlem Moussa</v>
      </c>
      <c r="E407" s="50" t="str">
        <f t="shared" si="31"/>
        <v>mars</v>
      </c>
      <c r="F407" s="50">
        <f t="shared" si="32"/>
        <v>9</v>
      </c>
      <c r="G407" s="50">
        <f t="shared" si="33"/>
        <v>2026</v>
      </c>
      <c r="H407" s="51">
        <f>IF($C407="","",IFERROR(DATE(G407,VLOOKUP(E407,Paramètres!$K$11:$L$40,2,FALSE()),F407),"?"))</f>
        <v>46090</v>
      </c>
      <c r="I407" s="50">
        <f>IF(ISNUMBER(H407),IF(COUNTIFS($D$2:D407,D407,$H$2:H407,H407)=1,1,0),"")</f>
        <v>1</v>
      </c>
      <c r="J407" s="50">
        <f>IF(ISNUMBER(H407),IFERROR(INDEX(Calendrier!$C$2:$C$367,MATCH(H407,Calendrier!$A$2:$A$367,0)),0),"")</f>
        <v>1</v>
      </c>
      <c r="K407" s="50">
        <f t="shared" si="34"/>
        <v>1</v>
      </c>
      <c r="L407" s="50">
        <f>IF(D407="","",IF(COUNTIF(Paramètres!$A$11:$A$40,D407)&gt;0,1,0))</f>
        <v>1</v>
      </c>
    </row>
    <row r="408" spans="1:12" hidden="1" x14ac:dyDescent="0.25">
      <c r="A408" s="49"/>
      <c r="B408" s="49" t="s">
        <v>88</v>
      </c>
      <c r="C408" s="49" t="s">
        <v>487</v>
      </c>
      <c r="D408" s="50" t="str">
        <f t="shared" si="30"/>
        <v>Wissem Ben Abdalah</v>
      </c>
      <c r="E408" s="50" t="str">
        <f t="shared" si="31"/>
        <v>mars</v>
      </c>
      <c r="F408" s="50">
        <f t="shared" si="32"/>
        <v>9</v>
      </c>
      <c r="G408" s="50">
        <f t="shared" si="33"/>
        <v>2026</v>
      </c>
      <c r="H408" s="51">
        <f>IF($C408="","",IFERROR(DATE(G408,VLOOKUP(E408,Paramètres!$K$11:$L$40,2,FALSE()),F408),"?"))</f>
        <v>46090</v>
      </c>
      <c r="I408" s="50">
        <f>IF(ISNUMBER(H408),IF(COUNTIFS($D$2:D408,D408,$H$2:H408,H408)=1,1,0),"")</f>
        <v>1</v>
      </c>
      <c r="J408" s="50">
        <f>IF(ISNUMBER(H408),IFERROR(INDEX(Calendrier!$C$2:$C$367,MATCH(H408,Calendrier!$A$2:$A$367,0)),0),"")</f>
        <v>1</v>
      </c>
      <c r="K408" s="50">
        <f t="shared" si="34"/>
        <v>1</v>
      </c>
      <c r="L408" s="50">
        <f>IF(D408="","",IF(COUNTIF(Paramètres!$A$11:$A$40,D408)&gt;0,1,0))</f>
        <v>1</v>
      </c>
    </row>
    <row r="409" spans="1:12" hidden="1" x14ac:dyDescent="0.25">
      <c r="A409" s="49"/>
      <c r="B409" s="49" t="s">
        <v>88</v>
      </c>
      <c r="C409" s="49" t="s">
        <v>487</v>
      </c>
      <c r="D409" s="50" t="str">
        <f t="shared" si="30"/>
        <v>Wissem Ben Abdalah</v>
      </c>
      <c r="E409" s="50" t="str">
        <f t="shared" si="31"/>
        <v>mars</v>
      </c>
      <c r="F409" s="50">
        <f t="shared" si="32"/>
        <v>9</v>
      </c>
      <c r="G409" s="50">
        <f t="shared" si="33"/>
        <v>2026</v>
      </c>
      <c r="H409" s="51">
        <f>IF($C409="","",IFERROR(DATE(G409,VLOOKUP(E409,Paramètres!$K$11:$L$40,2,FALSE()),F409),"?"))</f>
        <v>46090</v>
      </c>
      <c r="I409" s="50">
        <f>IF(ISNUMBER(H409),IF(COUNTIFS($D$2:D409,D409,$H$2:H409,H409)=1,1,0),"")</f>
        <v>0</v>
      </c>
      <c r="J409" s="50">
        <f>IF(ISNUMBER(H409),IFERROR(INDEX(Calendrier!$C$2:$C$367,MATCH(H409,Calendrier!$A$2:$A$367,0)),0),"")</f>
        <v>1</v>
      </c>
      <c r="K409" s="50">
        <f t="shared" si="34"/>
        <v>0</v>
      </c>
      <c r="L409" s="50">
        <f>IF(D409="","",IF(COUNTIF(Paramètres!$A$11:$A$40,D409)&gt;0,1,0))</f>
        <v>1</v>
      </c>
    </row>
    <row r="410" spans="1:12" hidden="1" x14ac:dyDescent="0.25">
      <c r="A410" s="49"/>
      <c r="B410" s="49" t="s">
        <v>59</v>
      </c>
      <c r="C410" s="49" t="s">
        <v>488</v>
      </c>
      <c r="D410" s="50" t="str">
        <f t="shared" si="30"/>
        <v>Imre Kapusi</v>
      </c>
      <c r="E410" s="50" t="str">
        <f t="shared" si="31"/>
        <v>mars</v>
      </c>
      <c r="F410" s="50">
        <f t="shared" si="32"/>
        <v>9</v>
      </c>
      <c r="G410" s="50">
        <f t="shared" si="33"/>
        <v>2026</v>
      </c>
      <c r="H410" s="51">
        <f>IF($C410="","",IFERROR(DATE(G410,VLOOKUP(E410,Paramètres!$K$11:$L$40,2,FALSE()),F410),"?"))</f>
        <v>46090</v>
      </c>
      <c r="I410" s="50">
        <f>IF(ISNUMBER(H410),IF(COUNTIFS($D$2:D410,D410,$H$2:H410,H410)=1,1,0),"")</f>
        <v>1</v>
      </c>
      <c r="J410" s="50">
        <f>IF(ISNUMBER(H410),IFERROR(INDEX(Calendrier!$C$2:$C$367,MATCH(H410,Calendrier!$A$2:$A$367,0)),0),"")</f>
        <v>1</v>
      </c>
      <c r="K410" s="50">
        <f t="shared" si="34"/>
        <v>1</v>
      </c>
      <c r="L410" s="50">
        <f>IF(D410="","",IF(COUNTIF(Paramètres!$A$11:$A$40,D410)&gt;0,1,0))</f>
        <v>1</v>
      </c>
    </row>
    <row r="411" spans="1:12" hidden="1" x14ac:dyDescent="0.25">
      <c r="A411" s="49"/>
      <c r="B411" s="49" t="s">
        <v>81</v>
      </c>
      <c r="C411" s="49" t="s">
        <v>489</v>
      </c>
      <c r="D411" s="50" t="str">
        <f t="shared" si="30"/>
        <v>Sabrine Neffeti</v>
      </c>
      <c r="E411" s="50" t="str">
        <f t="shared" si="31"/>
        <v>mars</v>
      </c>
      <c r="F411" s="50">
        <f t="shared" si="32"/>
        <v>9</v>
      </c>
      <c r="G411" s="50">
        <f t="shared" si="33"/>
        <v>2026</v>
      </c>
      <c r="H411" s="51">
        <f>IF($C411="","",IFERROR(DATE(G411,VLOOKUP(E411,Paramètres!$K$11:$L$40,2,FALSE()),F411),"?"))</f>
        <v>46090</v>
      </c>
      <c r="I411" s="50">
        <f>IF(ISNUMBER(H411),IF(COUNTIFS($D$2:D411,D411,$H$2:H411,H411)=1,1,0),"")</f>
        <v>1</v>
      </c>
      <c r="J411" s="50">
        <f>IF(ISNUMBER(H411),IFERROR(INDEX(Calendrier!$C$2:$C$367,MATCH(H411,Calendrier!$A$2:$A$367,0)),0),"")</f>
        <v>1</v>
      </c>
      <c r="K411" s="50">
        <f t="shared" si="34"/>
        <v>1</v>
      </c>
      <c r="L411" s="50">
        <f>IF(D411="","",IF(COUNTIF(Paramètres!$A$11:$A$40,D411)&gt;0,1,0))</f>
        <v>1</v>
      </c>
    </row>
    <row r="412" spans="1:12" hidden="1" x14ac:dyDescent="0.25">
      <c r="A412" s="49"/>
      <c r="B412" s="49" t="s">
        <v>81</v>
      </c>
      <c r="C412" s="49" t="s">
        <v>490</v>
      </c>
      <c r="D412" s="50" t="str">
        <f t="shared" si="30"/>
        <v>Sabrine Neffeti</v>
      </c>
      <c r="E412" s="50" t="str">
        <f t="shared" si="31"/>
        <v>mars</v>
      </c>
      <c r="F412" s="50">
        <f t="shared" si="32"/>
        <v>9</v>
      </c>
      <c r="G412" s="50">
        <f t="shared" si="33"/>
        <v>2026</v>
      </c>
      <c r="H412" s="51">
        <f>IF($C412="","",IFERROR(DATE(G412,VLOOKUP(E412,Paramètres!$K$11:$L$40,2,FALSE()),F412),"?"))</f>
        <v>46090</v>
      </c>
      <c r="I412" s="50">
        <f>IF(ISNUMBER(H412),IF(COUNTIFS($D$2:D412,D412,$H$2:H412,H412)=1,1,0),"")</f>
        <v>0</v>
      </c>
      <c r="J412" s="50">
        <f>IF(ISNUMBER(H412),IFERROR(INDEX(Calendrier!$C$2:$C$367,MATCH(H412,Calendrier!$A$2:$A$367,0)),0),"")</f>
        <v>1</v>
      </c>
      <c r="K412" s="50">
        <f t="shared" si="34"/>
        <v>0</v>
      </c>
      <c r="L412" s="50">
        <f>IF(D412="","",IF(COUNTIF(Paramètres!$A$11:$A$40,D412)&gt;0,1,0))</f>
        <v>1</v>
      </c>
    </row>
    <row r="413" spans="1:12" hidden="1" x14ac:dyDescent="0.25">
      <c r="A413" s="49"/>
      <c r="B413" s="49" t="s">
        <v>67</v>
      </c>
      <c r="C413" s="49" t="s">
        <v>491</v>
      </c>
      <c r="D413" s="50" t="str">
        <f t="shared" si="30"/>
        <v>Marwa Solaani</v>
      </c>
      <c r="E413" s="50" t="str">
        <f t="shared" si="31"/>
        <v>mars</v>
      </c>
      <c r="F413" s="50">
        <f t="shared" si="32"/>
        <v>9</v>
      </c>
      <c r="G413" s="50">
        <f t="shared" si="33"/>
        <v>2026</v>
      </c>
      <c r="H413" s="51">
        <f>IF($C413="","",IFERROR(DATE(G413,VLOOKUP(E413,Paramètres!$K$11:$L$40,2,FALSE()),F413),"?"))</f>
        <v>46090</v>
      </c>
      <c r="I413" s="50">
        <f>IF(ISNUMBER(H413),IF(COUNTIFS($D$2:D413,D413,$H$2:H413,H413)=1,1,0),"")</f>
        <v>1</v>
      </c>
      <c r="J413" s="50">
        <f>IF(ISNUMBER(H413),IFERROR(INDEX(Calendrier!$C$2:$C$367,MATCH(H413,Calendrier!$A$2:$A$367,0)),0),"")</f>
        <v>1</v>
      </c>
      <c r="K413" s="50">
        <f t="shared" si="34"/>
        <v>1</v>
      </c>
      <c r="L413" s="50">
        <f>IF(D413="","",IF(COUNTIF(Paramètres!$A$11:$A$40,D413)&gt;0,1,0))</f>
        <v>1</v>
      </c>
    </row>
    <row r="414" spans="1:12" hidden="1" x14ac:dyDescent="0.25">
      <c r="A414" s="49"/>
      <c r="B414" s="49" t="s">
        <v>69</v>
      </c>
      <c r="C414" s="49" t="s">
        <v>492</v>
      </c>
      <c r="D414" s="50" t="str">
        <f t="shared" si="30"/>
        <v>Mina Moussa</v>
      </c>
      <c r="E414" s="50" t="str">
        <f t="shared" si="31"/>
        <v>avril</v>
      </c>
      <c r="F414" s="50">
        <f t="shared" si="32"/>
        <v>1</v>
      </c>
      <c r="G414" s="50">
        <f t="shared" si="33"/>
        <v>2026</v>
      </c>
      <c r="H414" s="51">
        <f>IF($C414="","",IFERROR(DATE(G414,VLOOKUP(E414,Paramètres!$K$11:$L$40,2,FALSE()),F414),"?"))</f>
        <v>46113</v>
      </c>
      <c r="I414" s="50">
        <f>IF(ISNUMBER(H414),IF(COUNTIFS($D$2:D414,D414,$H$2:H414,H414)=1,1,0),"")</f>
        <v>1</v>
      </c>
      <c r="J414" s="50">
        <f>IF(ISNUMBER(H414),IFERROR(INDEX(Calendrier!$C$2:$C$367,MATCH(H414,Calendrier!$A$2:$A$367,0)),0),"")</f>
        <v>1</v>
      </c>
      <c r="K414" s="50">
        <f t="shared" si="34"/>
        <v>1</v>
      </c>
      <c r="L414" s="50">
        <f>IF(D414="","",IF(COUNTIF(Paramètres!$A$11:$A$40,D414)&gt;0,1,0))</f>
        <v>1</v>
      </c>
    </row>
    <row r="415" spans="1:12" hidden="1" x14ac:dyDescent="0.25">
      <c r="A415" s="49"/>
      <c r="B415" s="49" t="s">
        <v>69</v>
      </c>
      <c r="C415" s="49" t="s">
        <v>493</v>
      </c>
      <c r="D415" s="50" t="str">
        <f t="shared" si="30"/>
        <v>Mina Moussa</v>
      </c>
      <c r="E415" s="50" t="str">
        <f t="shared" si="31"/>
        <v>avr</v>
      </c>
      <c r="F415" s="50">
        <f t="shared" si="32"/>
        <v>3</v>
      </c>
      <c r="G415" s="50">
        <f t="shared" si="33"/>
        <v>2026</v>
      </c>
      <c r="H415" s="51">
        <f>IF($C415="","",IFERROR(DATE(G415,VLOOKUP(E415,Paramètres!$K$11:$L$40,2,FALSE()),F415),"?"))</f>
        <v>46115</v>
      </c>
      <c r="I415" s="50">
        <f>IF(ISNUMBER(H415),IF(COUNTIFS($D$2:D415,D415,$H$2:H415,H415)=1,1,0),"")</f>
        <v>1</v>
      </c>
      <c r="J415" s="50">
        <f>IF(ISNUMBER(H415),IFERROR(INDEX(Calendrier!$C$2:$C$367,MATCH(H415,Calendrier!$A$2:$A$367,0)),0),"")</f>
        <v>1</v>
      </c>
      <c r="K415" s="50">
        <f t="shared" si="34"/>
        <v>1</v>
      </c>
      <c r="L415" s="50">
        <f>IF(D415="","",IF(COUNTIF(Paramètres!$A$11:$A$40,D415)&gt;0,1,0))</f>
        <v>1</v>
      </c>
    </row>
    <row r="416" spans="1:12" hidden="1" x14ac:dyDescent="0.25">
      <c r="A416" s="49"/>
      <c r="B416" s="49" t="s">
        <v>69</v>
      </c>
      <c r="C416" s="49" t="s">
        <v>494</v>
      </c>
      <c r="D416" s="50" t="str">
        <f t="shared" si="30"/>
        <v>Mina Moussa</v>
      </c>
      <c r="E416" s="50" t="str">
        <f t="shared" si="31"/>
        <v>avr</v>
      </c>
      <c r="F416" s="50">
        <f t="shared" si="32"/>
        <v>6</v>
      </c>
      <c r="G416" s="50">
        <f t="shared" si="33"/>
        <v>2026</v>
      </c>
      <c r="H416" s="51">
        <f>IF($C416="","",IFERROR(DATE(G416,VLOOKUP(E416,Paramètres!$K$11:$L$40,2,FALSE()),F416),"?"))</f>
        <v>46118</v>
      </c>
      <c r="I416" s="50">
        <f>IF(ISNUMBER(H416),IF(COUNTIFS($D$2:D416,D416,$H$2:H416,H416)=1,1,0),"")</f>
        <v>1</v>
      </c>
      <c r="J416" s="50">
        <f>IF(ISNUMBER(H416),IFERROR(INDEX(Calendrier!$C$2:$C$367,MATCH(H416,Calendrier!$A$2:$A$367,0)),0),"")</f>
        <v>1</v>
      </c>
      <c r="K416" s="50">
        <f t="shared" si="34"/>
        <v>1</v>
      </c>
      <c r="L416" s="50">
        <f>IF(D416="","",IF(COUNTIF(Paramètres!$A$11:$A$40,D416)&gt;0,1,0))</f>
        <v>1</v>
      </c>
    </row>
    <row r="417" spans="1:12" hidden="1" x14ac:dyDescent="0.25">
      <c r="A417" s="49"/>
      <c r="B417" s="49" t="s">
        <v>69</v>
      </c>
      <c r="C417" s="49" t="s">
        <v>495</v>
      </c>
      <c r="D417" s="50" t="str">
        <f t="shared" si="30"/>
        <v>Mina Moussa</v>
      </c>
      <c r="E417" s="50" t="str">
        <f t="shared" si="31"/>
        <v>avr</v>
      </c>
      <c r="F417" s="50">
        <f t="shared" si="32"/>
        <v>8</v>
      </c>
      <c r="G417" s="50">
        <f t="shared" si="33"/>
        <v>2026</v>
      </c>
      <c r="H417" s="51">
        <f>IF($C417="","",IFERROR(DATE(G417,VLOOKUP(E417,Paramètres!$K$11:$L$40,2,FALSE()),F417),"?"))</f>
        <v>46120</v>
      </c>
      <c r="I417" s="50">
        <f>IF(ISNUMBER(H417),IF(COUNTIFS($D$2:D417,D417,$H$2:H417,H417)=1,1,0),"")</f>
        <v>1</v>
      </c>
      <c r="J417" s="50">
        <f>IF(ISNUMBER(H417),IFERROR(INDEX(Calendrier!$C$2:$C$367,MATCH(H417,Calendrier!$A$2:$A$367,0)),0),"")</f>
        <v>1</v>
      </c>
      <c r="K417" s="50">
        <f t="shared" si="34"/>
        <v>1</v>
      </c>
      <c r="L417" s="50">
        <f>IF(D417="","",IF(COUNTIF(Paramètres!$A$11:$A$40,D417)&gt;0,1,0))</f>
        <v>1</v>
      </c>
    </row>
    <row r="418" spans="1:12" hidden="1" x14ac:dyDescent="0.25">
      <c r="A418" s="49"/>
      <c r="B418" s="49" t="s">
        <v>69</v>
      </c>
      <c r="C418" s="49" t="s">
        <v>496</v>
      </c>
      <c r="D418" s="50" t="str">
        <f t="shared" si="30"/>
        <v>Mina Moussa</v>
      </c>
      <c r="E418" s="50" t="str">
        <f t="shared" si="31"/>
        <v>avr</v>
      </c>
      <c r="F418" s="50">
        <f t="shared" si="32"/>
        <v>13</v>
      </c>
      <c r="G418" s="50">
        <f t="shared" si="33"/>
        <v>2026</v>
      </c>
      <c r="H418" s="51">
        <f>IF($C418="","",IFERROR(DATE(G418,VLOOKUP(E418,Paramètres!$K$11:$L$40,2,FALSE()),F418),"?"))</f>
        <v>46125</v>
      </c>
      <c r="I418" s="50">
        <f>IF(ISNUMBER(H418),IF(COUNTIFS($D$2:D418,D418,$H$2:H418,H418)=1,1,0),"")</f>
        <v>1</v>
      </c>
      <c r="J418" s="50">
        <f>IF(ISNUMBER(H418),IFERROR(INDEX(Calendrier!$C$2:$C$367,MATCH(H418,Calendrier!$A$2:$A$367,0)),0),"")</f>
        <v>1</v>
      </c>
      <c r="K418" s="50">
        <f t="shared" si="34"/>
        <v>1</v>
      </c>
      <c r="L418" s="50">
        <f>IF(D418="","",IF(COUNTIF(Paramètres!$A$11:$A$40,D418)&gt;0,1,0))</f>
        <v>1</v>
      </c>
    </row>
    <row r="419" spans="1:12" hidden="1" x14ac:dyDescent="0.25">
      <c r="A419" s="49"/>
      <c r="B419" s="49" t="s">
        <v>69</v>
      </c>
      <c r="C419" s="49" t="s">
        <v>497</v>
      </c>
      <c r="D419" s="50" t="str">
        <f t="shared" si="30"/>
        <v>Mina Moussa</v>
      </c>
      <c r="E419" s="50" t="str">
        <f t="shared" si="31"/>
        <v>avr</v>
      </c>
      <c r="F419" s="50">
        <f t="shared" si="32"/>
        <v>17</v>
      </c>
      <c r="G419" s="50">
        <f t="shared" si="33"/>
        <v>2026</v>
      </c>
      <c r="H419" s="51">
        <f>IF($C419="","",IFERROR(DATE(G419,VLOOKUP(E419,Paramètres!$K$11:$L$40,2,FALSE()),F419),"?"))</f>
        <v>46129</v>
      </c>
      <c r="I419" s="50">
        <f>IF(ISNUMBER(H419),IF(COUNTIFS($D$2:D419,D419,$H$2:H419,H419)=1,1,0),"")</f>
        <v>1</v>
      </c>
      <c r="J419" s="50">
        <f>IF(ISNUMBER(H419),IFERROR(INDEX(Calendrier!$C$2:$C$367,MATCH(H419,Calendrier!$A$2:$A$367,0)),0),"")</f>
        <v>1</v>
      </c>
      <c r="K419" s="50">
        <f t="shared" si="34"/>
        <v>1</v>
      </c>
      <c r="L419" s="50">
        <f>IF(D419="","",IF(COUNTIF(Paramètres!$A$11:$A$40,D419)&gt;0,1,0))</f>
        <v>1</v>
      </c>
    </row>
    <row r="420" spans="1:12" hidden="1" x14ac:dyDescent="0.25">
      <c r="A420" s="49"/>
      <c r="B420" s="49" t="s">
        <v>69</v>
      </c>
      <c r="C420" s="49" t="s">
        <v>498</v>
      </c>
      <c r="D420" s="50" t="str">
        <f t="shared" si="30"/>
        <v>Mina Moussa</v>
      </c>
      <c r="E420" s="50" t="str">
        <f t="shared" si="31"/>
        <v>avr</v>
      </c>
      <c r="F420" s="50">
        <f t="shared" si="32"/>
        <v>20</v>
      </c>
      <c r="G420" s="50">
        <f t="shared" si="33"/>
        <v>2026</v>
      </c>
      <c r="H420" s="51">
        <f>IF($C420="","",IFERROR(DATE(G420,VLOOKUP(E420,Paramètres!$K$11:$L$40,2,FALSE()),F420),"?"))</f>
        <v>46132</v>
      </c>
      <c r="I420" s="50">
        <f>IF(ISNUMBER(H420),IF(COUNTIFS($D$2:D420,D420,$H$2:H420,H420)=1,1,0),"")</f>
        <v>1</v>
      </c>
      <c r="J420" s="50">
        <f>IF(ISNUMBER(H420),IFERROR(INDEX(Calendrier!$C$2:$C$367,MATCH(H420,Calendrier!$A$2:$A$367,0)),0),"")</f>
        <v>1</v>
      </c>
      <c r="K420" s="50">
        <f t="shared" si="34"/>
        <v>1</v>
      </c>
      <c r="L420" s="50">
        <f>IF(D420="","",IF(COUNTIF(Paramètres!$A$11:$A$40,D420)&gt;0,1,0))</f>
        <v>1</v>
      </c>
    </row>
    <row r="421" spans="1:12" hidden="1" x14ac:dyDescent="0.25">
      <c r="A421" s="49"/>
      <c r="B421" s="49" t="s">
        <v>69</v>
      </c>
      <c r="C421" s="49" t="s">
        <v>499</v>
      </c>
      <c r="D421" s="50" t="str">
        <f t="shared" si="30"/>
        <v>Mina Moussa</v>
      </c>
      <c r="E421" s="50" t="str">
        <f t="shared" si="31"/>
        <v>avr</v>
      </c>
      <c r="F421" s="50">
        <f t="shared" si="32"/>
        <v>21</v>
      </c>
      <c r="G421" s="50">
        <f t="shared" si="33"/>
        <v>2026</v>
      </c>
      <c r="H421" s="51">
        <f>IF($C421="","",IFERROR(DATE(G421,VLOOKUP(E421,Paramètres!$K$11:$L$40,2,FALSE()),F421),"?"))</f>
        <v>46133</v>
      </c>
      <c r="I421" s="50">
        <f>IF(ISNUMBER(H421),IF(COUNTIFS($D$2:D421,D421,$H$2:H421,H421)=1,1,0),"")</f>
        <v>1</v>
      </c>
      <c r="J421" s="50">
        <f>IF(ISNUMBER(H421),IFERROR(INDEX(Calendrier!$C$2:$C$367,MATCH(H421,Calendrier!$A$2:$A$367,0)),0),"")</f>
        <v>1</v>
      </c>
      <c r="K421" s="50">
        <f t="shared" si="34"/>
        <v>1</v>
      </c>
      <c r="L421" s="50">
        <f>IF(D421="","",IF(COUNTIF(Paramètres!$A$11:$A$40,D421)&gt;0,1,0))</f>
        <v>1</v>
      </c>
    </row>
    <row r="422" spans="1:12" hidden="1" x14ac:dyDescent="0.25">
      <c r="A422" s="49"/>
      <c r="B422" s="49" t="s">
        <v>69</v>
      </c>
      <c r="C422" s="49" t="s">
        <v>500</v>
      </c>
      <c r="D422" s="50" t="str">
        <f t="shared" si="30"/>
        <v>Mina Moussa</v>
      </c>
      <c r="E422" s="50" t="str">
        <f t="shared" si="31"/>
        <v>avr</v>
      </c>
      <c r="F422" s="50">
        <f t="shared" si="32"/>
        <v>29</v>
      </c>
      <c r="G422" s="50">
        <f t="shared" si="33"/>
        <v>2026</v>
      </c>
      <c r="H422" s="51">
        <f>IF($C422="","",IFERROR(DATE(G422,VLOOKUP(E422,Paramètres!$K$11:$L$40,2,FALSE()),F422),"?"))</f>
        <v>46141</v>
      </c>
      <c r="I422" s="50">
        <f>IF(ISNUMBER(H422),IF(COUNTIFS($D$2:D422,D422,$H$2:H422,H422)=1,1,0),"")</f>
        <v>1</v>
      </c>
      <c r="J422" s="50">
        <f>IF(ISNUMBER(H422),IFERROR(INDEX(Calendrier!$C$2:$C$367,MATCH(H422,Calendrier!$A$2:$A$367,0)),0),"")</f>
        <v>1</v>
      </c>
      <c r="K422" s="50">
        <f t="shared" si="34"/>
        <v>1</v>
      </c>
      <c r="L422" s="50">
        <f>IF(D422="","",IF(COUNTIF(Paramètres!$A$11:$A$40,D422)&gt;0,1,0))</f>
        <v>1</v>
      </c>
    </row>
    <row r="423" spans="1:12" hidden="1" x14ac:dyDescent="0.25">
      <c r="A423" s="49"/>
      <c r="B423" s="49" t="s">
        <v>52</v>
      </c>
      <c r="C423" s="49" t="s">
        <v>501</v>
      </c>
      <c r="D423" s="50" t="str">
        <f t="shared" si="30"/>
        <v>Amine Latrech</v>
      </c>
      <c r="E423" s="50" t="str">
        <f t="shared" si="31"/>
        <v>avr</v>
      </c>
      <c r="F423" s="50">
        <f t="shared" si="32"/>
        <v>1</v>
      </c>
      <c r="G423" s="50">
        <f t="shared" si="33"/>
        <v>2026</v>
      </c>
      <c r="H423" s="51">
        <f>IF($C423="","",IFERROR(DATE(G423,VLOOKUP(E423,Paramètres!$K$11:$L$40,2,FALSE()),F423),"?"))</f>
        <v>46113</v>
      </c>
      <c r="I423" s="50">
        <f>IF(ISNUMBER(H423),IF(COUNTIFS($D$2:D423,D423,$H$2:H423,H423)=1,1,0),"")</f>
        <v>1</v>
      </c>
      <c r="J423" s="50">
        <f>IF(ISNUMBER(H423),IFERROR(INDEX(Calendrier!$C$2:$C$367,MATCH(H423,Calendrier!$A$2:$A$367,0)),0),"")</f>
        <v>1</v>
      </c>
      <c r="K423" s="50">
        <f t="shared" si="34"/>
        <v>1</v>
      </c>
      <c r="L423" s="50">
        <f>IF(D423="","",IF(COUNTIF(Paramètres!$A$11:$A$40,D423)&gt;0,1,0))</f>
        <v>1</v>
      </c>
    </row>
    <row r="424" spans="1:12" hidden="1" x14ac:dyDescent="0.25">
      <c r="A424" s="49"/>
      <c r="B424" s="49" t="s">
        <v>52</v>
      </c>
      <c r="C424" s="49" t="s">
        <v>502</v>
      </c>
      <c r="D424" s="50" t="str">
        <f t="shared" si="30"/>
        <v>Amine Latrech</v>
      </c>
      <c r="E424" s="50" t="str">
        <f t="shared" si="31"/>
        <v>avr</v>
      </c>
      <c r="F424" s="50">
        <f t="shared" si="32"/>
        <v>14</v>
      </c>
      <c r="G424" s="50">
        <f t="shared" si="33"/>
        <v>2026</v>
      </c>
      <c r="H424" s="51">
        <f>IF($C424="","",IFERROR(DATE(G424,VLOOKUP(E424,Paramètres!$K$11:$L$40,2,FALSE()),F424),"?"))</f>
        <v>46126</v>
      </c>
      <c r="I424" s="50">
        <f>IF(ISNUMBER(H424),IF(COUNTIFS($D$2:D424,D424,$H$2:H424,H424)=1,1,0),"")</f>
        <v>1</v>
      </c>
      <c r="J424" s="50">
        <f>IF(ISNUMBER(H424),IFERROR(INDEX(Calendrier!$C$2:$C$367,MATCH(H424,Calendrier!$A$2:$A$367,0)),0),"")</f>
        <v>1</v>
      </c>
      <c r="K424" s="50">
        <f t="shared" si="34"/>
        <v>1</v>
      </c>
      <c r="L424" s="50">
        <f>IF(D424="","",IF(COUNTIF(Paramètres!$A$11:$A$40,D424)&gt;0,1,0))</f>
        <v>1</v>
      </c>
    </row>
    <row r="425" spans="1:12" hidden="1" x14ac:dyDescent="0.25">
      <c r="A425" s="49"/>
      <c r="B425" s="49" t="s">
        <v>52</v>
      </c>
      <c r="C425" s="49" t="s">
        <v>503</v>
      </c>
      <c r="D425" s="50" t="str">
        <f t="shared" si="30"/>
        <v>Amine Latrech</v>
      </c>
      <c r="E425" s="50" t="str">
        <f t="shared" si="31"/>
        <v>avr</v>
      </c>
      <c r="F425" s="50">
        <f t="shared" si="32"/>
        <v>22</v>
      </c>
      <c r="G425" s="50">
        <f t="shared" si="33"/>
        <v>2026</v>
      </c>
      <c r="H425" s="51">
        <f>IF($C425="","",IFERROR(DATE(G425,VLOOKUP(E425,Paramètres!$K$11:$L$40,2,FALSE()),F425),"?"))</f>
        <v>46134</v>
      </c>
      <c r="I425" s="50">
        <f>IF(ISNUMBER(H425),IF(COUNTIFS($D$2:D425,D425,$H$2:H425,H425)=1,1,0),"")</f>
        <v>1</v>
      </c>
      <c r="J425" s="50">
        <f>IF(ISNUMBER(H425),IFERROR(INDEX(Calendrier!$C$2:$C$367,MATCH(H425,Calendrier!$A$2:$A$367,0)),0),"")</f>
        <v>1</v>
      </c>
      <c r="K425" s="50">
        <f t="shared" si="34"/>
        <v>1</v>
      </c>
      <c r="L425" s="50">
        <f>IF(D425="","",IF(COUNTIF(Paramètres!$A$11:$A$40,D425)&gt;0,1,0))</f>
        <v>1</v>
      </c>
    </row>
    <row r="426" spans="1:12" hidden="1" x14ac:dyDescent="0.25">
      <c r="A426" s="49"/>
      <c r="B426" s="49" t="s">
        <v>52</v>
      </c>
      <c r="C426" s="49" t="s">
        <v>504</v>
      </c>
      <c r="D426" s="50" t="str">
        <f t="shared" si="30"/>
        <v>Amine Latrech</v>
      </c>
      <c r="E426" s="50" t="str">
        <f t="shared" si="31"/>
        <v>avr</v>
      </c>
      <c r="F426" s="50">
        <f t="shared" si="32"/>
        <v>22</v>
      </c>
      <c r="G426" s="50">
        <f t="shared" si="33"/>
        <v>2026</v>
      </c>
      <c r="H426" s="51">
        <f>IF($C426="","",IFERROR(DATE(G426,VLOOKUP(E426,Paramètres!$K$11:$L$40,2,FALSE()),F426),"?"))</f>
        <v>46134</v>
      </c>
      <c r="I426" s="50">
        <f>IF(ISNUMBER(H426),IF(COUNTIFS($D$2:D426,D426,$H$2:H426,H426)=1,1,0),"")</f>
        <v>0</v>
      </c>
      <c r="J426" s="50">
        <f>IF(ISNUMBER(H426),IFERROR(INDEX(Calendrier!$C$2:$C$367,MATCH(H426,Calendrier!$A$2:$A$367,0)),0),"")</f>
        <v>1</v>
      </c>
      <c r="K426" s="50">
        <f t="shared" si="34"/>
        <v>0</v>
      </c>
      <c r="L426" s="50">
        <f>IF(D426="","",IF(COUNTIF(Paramètres!$A$11:$A$40,D426)&gt;0,1,0))</f>
        <v>1</v>
      </c>
    </row>
    <row r="427" spans="1:12" hidden="1" x14ac:dyDescent="0.25">
      <c r="A427" s="49"/>
      <c r="B427" s="49" t="s">
        <v>52</v>
      </c>
      <c r="C427" s="49" t="s">
        <v>505</v>
      </c>
      <c r="D427" s="50" t="str">
        <f t="shared" si="30"/>
        <v>Amine Latrech</v>
      </c>
      <c r="E427" s="50" t="str">
        <f t="shared" si="31"/>
        <v>avr</v>
      </c>
      <c r="F427" s="50">
        <f t="shared" si="32"/>
        <v>22</v>
      </c>
      <c r="G427" s="50">
        <f t="shared" si="33"/>
        <v>2026</v>
      </c>
      <c r="H427" s="51">
        <f>IF($C427="","",IFERROR(DATE(G427,VLOOKUP(E427,Paramètres!$K$11:$L$40,2,FALSE()),F427),"?"))</f>
        <v>46134</v>
      </c>
      <c r="I427" s="50">
        <f>IF(ISNUMBER(H427),IF(COUNTIFS($D$2:D427,D427,$H$2:H427,H427)=1,1,0),"")</f>
        <v>0</v>
      </c>
      <c r="J427" s="50">
        <f>IF(ISNUMBER(H427),IFERROR(INDEX(Calendrier!$C$2:$C$367,MATCH(H427,Calendrier!$A$2:$A$367,0)),0),"")</f>
        <v>1</v>
      </c>
      <c r="K427" s="50">
        <f t="shared" si="34"/>
        <v>0</v>
      </c>
      <c r="L427" s="50">
        <f>IF(D427="","",IF(COUNTIF(Paramètres!$A$11:$A$40,D427)&gt;0,1,0))</f>
        <v>1</v>
      </c>
    </row>
    <row r="428" spans="1:12" hidden="1" x14ac:dyDescent="0.25">
      <c r="A428" s="49"/>
      <c r="B428" s="49" t="s">
        <v>52</v>
      </c>
      <c r="C428" s="49" t="s">
        <v>506</v>
      </c>
      <c r="D428" s="50" t="str">
        <f t="shared" si="30"/>
        <v>Amine Latrech</v>
      </c>
      <c r="E428" s="50" t="str">
        <f t="shared" si="31"/>
        <v>avr</v>
      </c>
      <c r="F428" s="50">
        <f t="shared" si="32"/>
        <v>22</v>
      </c>
      <c r="G428" s="50">
        <f t="shared" si="33"/>
        <v>2026</v>
      </c>
      <c r="H428" s="51">
        <f>IF($C428="","",IFERROR(DATE(G428,VLOOKUP(E428,Paramètres!$K$11:$L$40,2,FALSE()),F428),"?"))</f>
        <v>46134</v>
      </c>
      <c r="I428" s="50">
        <f>IF(ISNUMBER(H428),IF(COUNTIFS($D$2:D428,D428,$H$2:H428,H428)=1,1,0),"")</f>
        <v>0</v>
      </c>
      <c r="J428" s="50">
        <f>IF(ISNUMBER(H428),IFERROR(INDEX(Calendrier!$C$2:$C$367,MATCH(H428,Calendrier!$A$2:$A$367,0)),0),"")</f>
        <v>1</v>
      </c>
      <c r="K428" s="50">
        <f t="shared" si="34"/>
        <v>0</v>
      </c>
      <c r="L428" s="50">
        <f>IF(D428="","",IF(COUNTIF(Paramètres!$A$11:$A$40,D428)&gt;0,1,0))</f>
        <v>1</v>
      </c>
    </row>
    <row r="429" spans="1:12" hidden="1" x14ac:dyDescent="0.25">
      <c r="A429" s="49"/>
      <c r="B429" s="49" t="s">
        <v>52</v>
      </c>
      <c r="C429" s="49" t="s">
        <v>507</v>
      </c>
      <c r="D429" s="50" t="str">
        <f t="shared" si="30"/>
        <v>Amine Latrech</v>
      </c>
      <c r="E429" s="50" t="str">
        <f t="shared" si="31"/>
        <v>avr</v>
      </c>
      <c r="F429" s="50">
        <f t="shared" si="32"/>
        <v>22</v>
      </c>
      <c r="G429" s="50">
        <f t="shared" si="33"/>
        <v>2026</v>
      </c>
      <c r="H429" s="51">
        <f>IF($C429="","",IFERROR(DATE(G429,VLOOKUP(E429,Paramètres!$K$11:$L$40,2,FALSE()),F429),"?"))</f>
        <v>46134</v>
      </c>
      <c r="I429" s="50">
        <f>IF(ISNUMBER(H429),IF(COUNTIFS($D$2:D429,D429,$H$2:H429,H429)=1,1,0),"")</f>
        <v>0</v>
      </c>
      <c r="J429" s="50">
        <f>IF(ISNUMBER(H429),IFERROR(INDEX(Calendrier!$C$2:$C$367,MATCH(H429,Calendrier!$A$2:$A$367,0)),0),"")</f>
        <v>1</v>
      </c>
      <c r="K429" s="50">
        <f t="shared" si="34"/>
        <v>0</v>
      </c>
      <c r="L429" s="50">
        <f>IF(D429="","",IF(COUNTIF(Paramètres!$A$11:$A$40,D429)&gt;0,1,0))</f>
        <v>1</v>
      </c>
    </row>
    <row r="430" spans="1:12" hidden="1" x14ac:dyDescent="0.25">
      <c r="A430" s="49"/>
      <c r="B430" s="49" t="s">
        <v>52</v>
      </c>
      <c r="C430" s="49" t="s">
        <v>508</v>
      </c>
      <c r="D430" s="50" t="str">
        <f t="shared" si="30"/>
        <v>Amine Latrech</v>
      </c>
      <c r="E430" s="50" t="str">
        <f t="shared" si="31"/>
        <v>avr</v>
      </c>
      <c r="F430" s="50">
        <f t="shared" si="32"/>
        <v>22</v>
      </c>
      <c r="G430" s="50">
        <f t="shared" si="33"/>
        <v>2026</v>
      </c>
      <c r="H430" s="51">
        <f>IF($C430="","",IFERROR(DATE(G430,VLOOKUP(E430,Paramètres!$K$11:$L$40,2,FALSE()),F430),"?"))</f>
        <v>46134</v>
      </c>
      <c r="I430" s="50">
        <f>IF(ISNUMBER(H430),IF(COUNTIFS($D$2:D430,D430,$H$2:H430,H430)=1,1,0),"")</f>
        <v>0</v>
      </c>
      <c r="J430" s="50">
        <f>IF(ISNUMBER(H430),IFERROR(INDEX(Calendrier!$C$2:$C$367,MATCH(H430,Calendrier!$A$2:$A$367,0)),0),"")</f>
        <v>1</v>
      </c>
      <c r="K430" s="50">
        <f t="shared" si="34"/>
        <v>0</v>
      </c>
      <c r="L430" s="50">
        <f>IF(D430="","",IF(COUNTIF(Paramètres!$A$11:$A$40,D430)&gt;0,1,0))</f>
        <v>1</v>
      </c>
    </row>
    <row r="431" spans="1:12" hidden="1" x14ac:dyDescent="0.25">
      <c r="A431" s="49"/>
      <c r="B431" s="49" t="s">
        <v>52</v>
      </c>
      <c r="C431" s="49" t="s">
        <v>509</v>
      </c>
      <c r="D431" s="50" t="str">
        <f t="shared" si="30"/>
        <v>Amine Latrech</v>
      </c>
      <c r="E431" s="50" t="str">
        <f t="shared" si="31"/>
        <v>avr</v>
      </c>
      <c r="F431" s="50">
        <f t="shared" si="32"/>
        <v>29</v>
      </c>
      <c r="G431" s="50">
        <f t="shared" si="33"/>
        <v>2026</v>
      </c>
      <c r="H431" s="51">
        <f>IF($C431="","",IFERROR(DATE(G431,VLOOKUP(E431,Paramètres!$K$11:$L$40,2,FALSE()),F431),"?"))</f>
        <v>46141</v>
      </c>
      <c r="I431" s="50">
        <f>IF(ISNUMBER(H431),IF(COUNTIFS($D$2:D431,D431,$H$2:H431,H431)=1,1,0),"")</f>
        <v>1</v>
      </c>
      <c r="J431" s="50">
        <f>IF(ISNUMBER(H431),IFERROR(INDEX(Calendrier!$C$2:$C$367,MATCH(H431,Calendrier!$A$2:$A$367,0)),0),"")</f>
        <v>1</v>
      </c>
      <c r="K431" s="50">
        <f t="shared" si="34"/>
        <v>1</v>
      </c>
      <c r="L431" s="50">
        <f>IF(D431="","",IF(COUNTIF(Paramètres!$A$11:$A$40,D431)&gt;0,1,0))</f>
        <v>1</v>
      </c>
    </row>
    <row r="432" spans="1:12" hidden="1" x14ac:dyDescent="0.25">
      <c r="A432" s="49"/>
      <c r="B432" s="49" t="s">
        <v>83</v>
      </c>
      <c r="C432" s="49" t="s">
        <v>510</v>
      </c>
      <c r="D432" s="50" t="str">
        <f t="shared" si="30"/>
        <v>Safouen Magdouli</v>
      </c>
      <c r="E432" s="50" t="str">
        <f t="shared" si="31"/>
        <v>avr</v>
      </c>
      <c r="F432" s="50">
        <f t="shared" si="32"/>
        <v>1</v>
      </c>
      <c r="G432" s="50">
        <f t="shared" si="33"/>
        <v>2026</v>
      </c>
      <c r="H432" s="51">
        <f>IF($C432="","",IFERROR(DATE(G432,VLOOKUP(E432,Paramètres!$K$11:$L$40,2,FALSE()),F432),"?"))</f>
        <v>46113</v>
      </c>
      <c r="I432" s="50">
        <f>IF(ISNUMBER(H432),IF(COUNTIFS($D$2:D432,D432,$H$2:H432,H432)=1,1,0),"")</f>
        <v>1</v>
      </c>
      <c r="J432" s="50">
        <f>IF(ISNUMBER(H432),IFERROR(INDEX(Calendrier!$C$2:$C$367,MATCH(H432,Calendrier!$A$2:$A$367,0)),0),"")</f>
        <v>1</v>
      </c>
      <c r="K432" s="50">
        <f t="shared" si="34"/>
        <v>1</v>
      </c>
      <c r="L432" s="50">
        <f>IF(D432="","",IF(COUNTIF(Paramètres!$A$11:$A$40,D432)&gt;0,1,0))</f>
        <v>1</v>
      </c>
    </row>
    <row r="433" spans="1:12" hidden="1" x14ac:dyDescent="0.25">
      <c r="A433" s="49"/>
      <c r="B433" s="49" t="s">
        <v>83</v>
      </c>
      <c r="C433" s="49" t="s">
        <v>511</v>
      </c>
      <c r="D433" s="50" t="str">
        <f t="shared" si="30"/>
        <v>Safouen Magdouli</v>
      </c>
      <c r="E433" s="50" t="str">
        <f t="shared" si="31"/>
        <v>avr</v>
      </c>
      <c r="F433" s="50">
        <f t="shared" si="32"/>
        <v>8</v>
      </c>
      <c r="G433" s="50">
        <f t="shared" si="33"/>
        <v>2026</v>
      </c>
      <c r="H433" s="51">
        <f>IF($C433="","",IFERROR(DATE(G433,VLOOKUP(E433,Paramètres!$K$11:$L$40,2,FALSE()),F433),"?"))</f>
        <v>46120</v>
      </c>
      <c r="I433" s="50">
        <f>IF(ISNUMBER(H433),IF(COUNTIFS($D$2:D433,D433,$H$2:H433,H433)=1,1,0),"")</f>
        <v>1</v>
      </c>
      <c r="J433" s="50">
        <f>IF(ISNUMBER(H433),IFERROR(INDEX(Calendrier!$C$2:$C$367,MATCH(H433,Calendrier!$A$2:$A$367,0)),0),"")</f>
        <v>1</v>
      </c>
      <c r="K433" s="50">
        <f t="shared" si="34"/>
        <v>1</v>
      </c>
      <c r="L433" s="50">
        <f>IF(D433="","",IF(COUNTIF(Paramètres!$A$11:$A$40,D433)&gt;0,1,0))</f>
        <v>1</v>
      </c>
    </row>
    <row r="434" spans="1:12" hidden="1" x14ac:dyDescent="0.25">
      <c r="A434" s="49"/>
      <c r="B434" s="49" t="s">
        <v>83</v>
      </c>
      <c r="C434" s="49" t="s">
        <v>512</v>
      </c>
      <c r="D434" s="50" t="str">
        <f t="shared" si="30"/>
        <v>Safouen Magdouli</v>
      </c>
      <c r="E434" s="50" t="str">
        <f t="shared" si="31"/>
        <v>avr</v>
      </c>
      <c r="F434" s="50">
        <f t="shared" si="32"/>
        <v>15</v>
      </c>
      <c r="G434" s="50">
        <f t="shared" si="33"/>
        <v>2026</v>
      </c>
      <c r="H434" s="51">
        <f>IF($C434="","",IFERROR(DATE(G434,VLOOKUP(E434,Paramètres!$K$11:$L$40,2,FALSE()),F434),"?"))</f>
        <v>46127</v>
      </c>
      <c r="I434" s="50">
        <f>IF(ISNUMBER(H434),IF(COUNTIFS($D$2:D434,D434,$H$2:H434,H434)=1,1,0),"")</f>
        <v>1</v>
      </c>
      <c r="J434" s="50">
        <f>IF(ISNUMBER(H434),IFERROR(INDEX(Calendrier!$C$2:$C$367,MATCH(H434,Calendrier!$A$2:$A$367,0)),0),"")</f>
        <v>1</v>
      </c>
      <c r="K434" s="50">
        <f t="shared" si="34"/>
        <v>1</v>
      </c>
      <c r="L434" s="50">
        <f>IF(D434="","",IF(COUNTIF(Paramètres!$A$11:$A$40,D434)&gt;0,1,0))</f>
        <v>1</v>
      </c>
    </row>
    <row r="435" spans="1:12" hidden="1" x14ac:dyDescent="0.25">
      <c r="A435" s="49"/>
      <c r="B435" s="49" t="s">
        <v>83</v>
      </c>
      <c r="C435" s="49" t="s">
        <v>513</v>
      </c>
      <c r="D435" s="50" t="str">
        <f t="shared" si="30"/>
        <v>Safouen Magdouli</v>
      </c>
      <c r="E435" s="50" t="str">
        <f t="shared" si="31"/>
        <v>avr</v>
      </c>
      <c r="F435" s="50">
        <f t="shared" si="32"/>
        <v>22</v>
      </c>
      <c r="G435" s="50">
        <f t="shared" si="33"/>
        <v>2026</v>
      </c>
      <c r="H435" s="51">
        <f>IF($C435="","",IFERROR(DATE(G435,VLOOKUP(E435,Paramètres!$K$11:$L$40,2,FALSE()),F435),"?"))</f>
        <v>46134</v>
      </c>
      <c r="I435" s="50">
        <f>IF(ISNUMBER(H435),IF(COUNTIFS($D$2:D435,D435,$H$2:H435,H435)=1,1,0),"")</f>
        <v>1</v>
      </c>
      <c r="J435" s="50">
        <f>IF(ISNUMBER(H435),IFERROR(INDEX(Calendrier!$C$2:$C$367,MATCH(H435,Calendrier!$A$2:$A$367,0)),0),"")</f>
        <v>1</v>
      </c>
      <c r="K435" s="50">
        <f t="shared" si="34"/>
        <v>1</v>
      </c>
      <c r="L435" s="50">
        <f>IF(D435="","",IF(COUNTIF(Paramètres!$A$11:$A$40,D435)&gt;0,1,0))</f>
        <v>1</v>
      </c>
    </row>
    <row r="436" spans="1:12" hidden="1" x14ac:dyDescent="0.25">
      <c r="A436" s="49"/>
      <c r="B436" s="49" t="s">
        <v>83</v>
      </c>
      <c r="C436" s="49" t="s">
        <v>514</v>
      </c>
      <c r="D436" s="50" t="str">
        <f t="shared" si="30"/>
        <v>Safouen Magdouli</v>
      </c>
      <c r="E436" s="50" t="str">
        <f t="shared" si="31"/>
        <v>avr</v>
      </c>
      <c r="F436" s="50">
        <f t="shared" si="32"/>
        <v>24</v>
      </c>
      <c r="G436" s="50">
        <f t="shared" si="33"/>
        <v>2026</v>
      </c>
      <c r="H436" s="51">
        <f>IF($C436="","",IFERROR(DATE(G436,VLOOKUP(E436,Paramètres!$K$11:$L$40,2,FALSE()),F436),"?"))</f>
        <v>46136</v>
      </c>
      <c r="I436" s="50">
        <f>IF(ISNUMBER(H436),IF(COUNTIFS($D$2:D436,D436,$H$2:H436,H436)=1,1,0),"")</f>
        <v>1</v>
      </c>
      <c r="J436" s="50">
        <f>IF(ISNUMBER(H436),IFERROR(INDEX(Calendrier!$C$2:$C$367,MATCH(H436,Calendrier!$A$2:$A$367,0)),0),"")</f>
        <v>1</v>
      </c>
      <c r="K436" s="50">
        <f t="shared" si="34"/>
        <v>1</v>
      </c>
      <c r="L436" s="50">
        <f>IF(D436="","",IF(COUNTIF(Paramètres!$A$11:$A$40,D436)&gt;0,1,0))</f>
        <v>1</v>
      </c>
    </row>
    <row r="437" spans="1:12" hidden="1" x14ac:dyDescent="0.25">
      <c r="A437" s="49"/>
      <c r="B437" s="49" t="s">
        <v>83</v>
      </c>
      <c r="C437" s="49" t="s">
        <v>515</v>
      </c>
      <c r="D437" s="50" t="str">
        <f t="shared" si="30"/>
        <v>Safouen Magdouli</v>
      </c>
      <c r="E437" s="50" t="str">
        <f t="shared" si="31"/>
        <v>avr</v>
      </c>
      <c r="F437" s="50">
        <f t="shared" si="32"/>
        <v>29</v>
      </c>
      <c r="G437" s="50">
        <f t="shared" si="33"/>
        <v>2026</v>
      </c>
      <c r="H437" s="51">
        <f>IF($C437="","",IFERROR(DATE(G437,VLOOKUP(E437,Paramètres!$K$11:$L$40,2,FALSE()),F437),"?"))</f>
        <v>46141</v>
      </c>
      <c r="I437" s="50">
        <f>IF(ISNUMBER(H437),IF(COUNTIFS($D$2:D437,D437,$H$2:H437,H437)=1,1,0),"")</f>
        <v>1</v>
      </c>
      <c r="J437" s="50">
        <f>IF(ISNUMBER(H437),IFERROR(INDEX(Calendrier!$C$2:$C$367,MATCH(H437,Calendrier!$A$2:$A$367,0)),0),"")</f>
        <v>1</v>
      </c>
      <c r="K437" s="50">
        <f t="shared" si="34"/>
        <v>1</v>
      </c>
      <c r="L437" s="50">
        <f>IF(D437="","",IF(COUNTIF(Paramètres!$A$11:$A$40,D437)&gt;0,1,0))</f>
        <v>1</v>
      </c>
    </row>
    <row r="438" spans="1:12" hidden="1" x14ac:dyDescent="0.25">
      <c r="A438" s="49"/>
      <c r="B438" s="49" t="s">
        <v>81</v>
      </c>
      <c r="C438" s="49" t="s">
        <v>516</v>
      </c>
      <c r="D438" s="50" t="str">
        <f t="shared" si="30"/>
        <v>Sabrine Neffeti</v>
      </c>
      <c r="E438" s="50" t="str">
        <f t="shared" si="31"/>
        <v>avr</v>
      </c>
      <c r="F438" s="50">
        <f t="shared" si="32"/>
        <v>1</v>
      </c>
      <c r="G438" s="50">
        <f t="shared" si="33"/>
        <v>2026</v>
      </c>
      <c r="H438" s="51">
        <f>IF($C438="","",IFERROR(DATE(G438,VLOOKUP(E438,Paramètres!$K$11:$L$40,2,FALSE()),F438),"?"))</f>
        <v>46113</v>
      </c>
      <c r="I438" s="50">
        <f>IF(ISNUMBER(H438),IF(COUNTIFS($D$2:D438,D438,$H$2:H438,H438)=1,1,0),"")</f>
        <v>1</v>
      </c>
      <c r="J438" s="50">
        <f>IF(ISNUMBER(H438),IFERROR(INDEX(Calendrier!$C$2:$C$367,MATCH(H438,Calendrier!$A$2:$A$367,0)),0),"")</f>
        <v>1</v>
      </c>
      <c r="K438" s="50">
        <f t="shared" si="34"/>
        <v>1</v>
      </c>
      <c r="L438" s="50">
        <f>IF(D438="","",IF(COUNTIF(Paramètres!$A$11:$A$40,D438)&gt;0,1,0))</f>
        <v>1</v>
      </c>
    </row>
    <row r="439" spans="1:12" hidden="1" x14ac:dyDescent="0.25">
      <c r="A439" s="49"/>
      <c r="B439" s="49" t="s">
        <v>81</v>
      </c>
      <c r="C439" s="49" t="s">
        <v>517</v>
      </c>
      <c r="D439" s="50" t="str">
        <f t="shared" si="30"/>
        <v>Sabrine Neffeti</v>
      </c>
      <c r="E439" s="50" t="str">
        <f t="shared" si="31"/>
        <v>avr</v>
      </c>
      <c r="F439" s="50">
        <f t="shared" si="32"/>
        <v>2</v>
      </c>
      <c r="G439" s="50">
        <f t="shared" si="33"/>
        <v>2026</v>
      </c>
      <c r="H439" s="51">
        <f>IF($C439="","",IFERROR(DATE(G439,VLOOKUP(E439,Paramètres!$K$11:$L$40,2,FALSE()),F439),"?"))</f>
        <v>46114</v>
      </c>
      <c r="I439" s="50">
        <f>IF(ISNUMBER(H439),IF(COUNTIFS($D$2:D439,D439,$H$2:H439,H439)=1,1,0),"")</f>
        <v>1</v>
      </c>
      <c r="J439" s="50">
        <f>IF(ISNUMBER(H439),IFERROR(INDEX(Calendrier!$C$2:$C$367,MATCH(H439,Calendrier!$A$2:$A$367,0)),0),"")</f>
        <v>1</v>
      </c>
      <c r="K439" s="50">
        <f t="shared" si="34"/>
        <v>1</v>
      </c>
      <c r="L439" s="50">
        <f>IF(D439="","",IF(COUNTIF(Paramètres!$A$11:$A$40,D439)&gt;0,1,0))</f>
        <v>1</v>
      </c>
    </row>
    <row r="440" spans="1:12" hidden="1" x14ac:dyDescent="0.25">
      <c r="A440" s="49"/>
      <c r="B440" s="49" t="s">
        <v>81</v>
      </c>
      <c r="C440" s="49" t="s">
        <v>518</v>
      </c>
      <c r="D440" s="50" t="str">
        <f t="shared" si="30"/>
        <v>Sabrine Neffeti</v>
      </c>
      <c r="E440" s="50" t="str">
        <f t="shared" si="31"/>
        <v>avr</v>
      </c>
      <c r="F440" s="50">
        <f t="shared" si="32"/>
        <v>3</v>
      </c>
      <c r="G440" s="50">
        <f t="shared" si="33"/>
        <v>2026</v>
      </c>
      <c r="H440" s="51">
        <f>IF($C440="","",IFERROR(DATE(G440,VLOOKUP(E440,Paramètres!$K$11:$L$40,2,FALSE()),F440),"?"))</f>
        <v>46115</v>
      </c>
      <c r="I440" s="50">
        <f>IF(ISNUMBER(H440),IF(COUNTIFS($D$2:D440,D440,$H$2:H440,H440)=1,1,0),"")</f>
        <v>1</v>
      </c>
      <c r="J440" s="50">
        <f>IF(ISNUMBER(H440),IFERROR(INDEX(Calendrier!$C$2:$C$367,MATCH(H440,Calendrier!$A$2:$A$367,0)),0),"")</f>
        <v>1</v>
      </c>
      <c r="K440" s="50">
        <f t="shared" si="34"/>
        <v>1</v>
      </c>
      <c r="L440" s="50">
        <f>IF(D440="","",IF(COUNTIF(Paramètres!$A$11:$A$40,D440)&gt;0,1,0))</f>
        <v>1</v>
      </c>
    </row>
    <row r="441" spans="1:12" hidden="1" x14ac:dyDescent="0.25">
      <c r="A441" s="49"/>
      <c r="B441" s="49" t="s">
        <v>81</v>
      </c>
      <c r="C441" s="49" t="s">
        <v>519</v>
      </c>
      <c r="D441" s="50" t="str">
        <f t="shared" si="30"/>
        <v>Sabrine Neffeti</v>
      </c>
      <c r="E441" s="50" t="str">
        <f t="shared" si="31"/>
        <v>avr</v>
      </c>
      <c r="F441" s="50">
        <f t="shared" si="32"/>
        <v>6</v>
      </c>
      <c r="G441" s="50">
        <f t="shared" si="33"/>
        <v>2026</v>
      </c>
      <c r="H441" s="51">
        <f>IF($C441="","",IFERROR(DATE(G441,VLOOKUP(E441,Paramètres!$K$11:$L$40,2,FALSE()),F441),"?"))</f>
        <v>46118</v>
      </c>
      <c r="I441" s="50">
        <f>IF(ISNUMBER(H441),IF(COUNTIFS($D$2:D441,D441,$H$2:H441,H441)=1,1,0),"")</f>
        <v>1</v>
      </c>
      <c r="J441" s="50">
        <f>IF(ISNUMBER(H441),IFERROR(INDEX(Calendrier!$C$2:$C$367,MATCH(H441,Calendrier!$A$2:$A$367,0)),0),"")</f>
        <v>1</v>
      </c>
      <c r="K441" s="50">
        <f t="shared" si="34"/>
        <v>1</v>
      </c>
      <c r="L441" s="50">
        <f>IF(D441="","",IF(COUNTIF(Paramètres!$A$11:$A$40,D441)&gt;0,1,0))</f>
        <v>1</v>
      </c>
    </row>
    <row r="442" spans="1:12" hidden="1" x14ac:dyDescent="0.25">
      <c r="A442" s="49"/>
      <c r="B442" s="49" t="s">
        <v>81</v>
      </c>
      <c r="C442" s="49" t="s">
        <v>520</v>
      </c>
      <c r="D442" s="50" t="str">
        <f t="shared" si="30"/>
        <v>Sabrine Neffeti</v>
      </c>
      <c r="E442" s="50" t="str">
        <f t="shared" si="31"/>
        <v>avr</v>
      </c>
      <c r="F442" s="50">
        <f t="shared" si="32"/>
        <v>6</v>
      </c>
      <c r="G442" s="50">
        <f t="shared" si="33"/>
        <v>2026</v>
      </c>
      <c r="H442" s="51">
        <f>IF($C442="","",IFERROR(DATE(G442,VLOOKUP(E442,Paramètres!$K$11:$L$40,2,FALSE()),F442),"?"))</f>
        <v>46118</v>
      </c>
      <c r="I442" s="50">
        <f>IF(ISNUMBER(H442),IF(COUNTIFS($D$2:D442,D442,$H$2:H442,H442)=1,1,0),"")</f>
        <v>0</v>
      </c>
      <c r="J442" s="50">
        <f>IF(ISNUMBER(H442),IFERROR(INDEX(Calendrier!$C$2:$C$367,MATCH(H442,Calendrier!$A$2:$A$367,0)),0),"")</f>
        <v>1</v>
      </c>
      <c r="K442" s="50">
        <f t="shared" si="34"/>
        <v>0</v>
      </c>
      <c r="L442" s="50">
        <f>IF(D442="","",IF(COUNTIF(Paramètres!$A$11:$A$40,D442)&gt;0,1,0))</f>
        <v>1</v>
      </c>
    </row>
    <row r="443" spans="1:12" hidden="1" x14ac:dyDescent="0.25">
      <c r="A443" s="49"/>
      <c r="B443" s="49" t="s">
        <v>81</v>
      </c>
      <c r="C443" s="49" t="s">
        <v>521</v>
      </c>
      <c r="D443" s="50" t="str">
        <f t="shared" si="30"/>
        <v>Sabrine Neffeti</v>
      </c>
      <c r="E443" s="50" t="str">
        <f t="shared" si="31"/>
        <v>avr</v>
      </c>
      <c r="F443" s="50">
        <f t="shared" si="32"/>
        <v>7</v>
      </c>
      <c r="G443" s="50">
        <f t="shared" si="33"/>
        <v>2026</v>
      </c>
      <c r="H443" s="51">
        <f>IF($C443="","",IFERROR(DATE(G443,VLOOKUP(E443,Paramètres!$K$11:$L$40,2,FALSE()),F443),"?"))</f>
        <v>46119</v>
      </c>
      <c r="I443" s="50">
        <f>IF(ISNUMBER(H443),IF(COUNTIFS($D$2:D443,D443,$H$2:H443,H443)=1,1,0),"")</f>
        <v>1</v>
      </c>
      <c r="J443" s="50">
        <f>IF(ISNUMBER(H443),IFERROR(INDEX(Calendrier!$C$2:$C$367,MATCH(H443,Calendrier!$A$2:$A$367,0)),0),"")</f>
        <v>1</v>
      </c>
      <c r="K443" s="50">
        <f t="shared" si="34"/>
        <v>1</v>
      </c>
      <c r="L443" s="50">
        <f>IF(D443="","",IF(COUNTIF(Paramètres!$A$11:$A$40,D443)&gt;0,1,0))</f>
        <v>1</v>
      </c>
    </row>
    <row r="444" spans="1:12" hidden="1" x14ac:dyDescent="0.25">
      <c r="A444" s="49"/>
      <c r="B444" s="49" t="s">
        <v>81</v>
      </c>
      <c r="C444" s="49" t="s">
        <v>522</v>
      </c>
      <c r="D444" s="50" t="str">
        <f t="shared" si="30"/>
        <v>Sabrine Neffeti</v>
      </c>
      <c r="E444" s="50" t="str">
        <f t="shared" si="31"/>
        <v>avr</v>
      </c>
      <c r="F444" s="50">
        <f t="shared" si="32"/>
        <v>7</v>
      </c>
      <c r="G444" s="50">
        <f t="shared" si="33"/>
        <v>2026</v>
      </c>
      <c r="H444" s="51">
        <f>IF($C444="","",IFERROR(DATE(G444,VLOOKUP(E444,Paramètres!$K$11:$L$40,2,FALSE()),F444),"?"))</f>
        <v>46119</v>
      </c>
      <c r="I444" s="50">
        <f>IF(ISNUMBER(H444),IF(COUNTIFS($D$2:D444,D444,$H$2:H444,H444)=1,1,0),"")</f>
        <v>0</v>
      </c>
      <c r="J444" s="50">
        <f>IF(ISNUMBER(H444),IFERROR(INDEX(Calendrier!$C$2:$C$367,MATCH(H444,Calendrier!$A$2:$A$367,0)),0),"")</f>
        <v>1</v>
      </c>
      <c r="K444" s="50">
        <f t="shared" si="34"/>
        <v>0</v>
      </c>
      <c r="L444" s="50">
        <f>IF(D444="","",IF(COUNTIF(Paramètres!$A$11:$A$40,D444)&gt;0,1,0))</f>
        <v>1</v>
      </c>
    </row>
    <row r="445" spans="1:12" hidden="1" x14ac:dyDescent="0.25">
      <c r="A445" s="49"/>
      <c r="B445" s="49" t="s">
        <v>81</v>
      </c>
      <c r="C445" s="49" t="s">
        <v>523</v>
      </c>
      <c r="D445" s="50" t="str">
        <f t="shared" si="30"/>
        <v>Sabrine Neffeti</v>
      </c>
      <c r="E445" s="50" t="str">
        <f t="shared" si="31"/>
        <v>avr</v>
      </c>
      <c r="F445" s="50">
        <f t="shared" si="32"/>
        <v>7</v>
      </c>
      <c r="G445" s="50">
        <f t="shared" si="33"/>
        <v>2026</v>
      </c>
      <c r="H445" s="51">
        <f>IF($C445="","",IFERROR(DATE(G445,VLOOKUP(E445,Paramètres!$K$11:$L$40,2,FALSE()),F445),"?"))</f>
        <v>46119</v>
      </c>
      <c r="I445" s="50">
        <f>IF(ISNUMBER(H445),IF(COUNTIFS($D$2:D445,D445,$H$2:H445,H445)=1,1,0),"")</f>
        <v>0</v>
      </c>
      <c r="J445" s="50">
        <f>IF(ISNUMBER(H445),IFERROR(INDEX(Calendrier!$C$2:$C$367,MATCH(H445,Calendrier!$A$2:$A$367,0)),0),"")</f>
        <v>1</v>
      </c>
      <c r="K445" s="50">
        <f t="shared" si="34"/>
        <v>0</v>
      </c>
      <c r="L445" s="50">
        <f>IF(D445="","",IF(COUNTIF(Paramètres!$A$11:$A$40,D445)&gt;0,1,0))</f>
        <v>1</v>
      </c>
    </row>
    <row r="446" spans="1:12" hidden="1" x14ac:dyDescent="0.25">
      <c r="A446" s="49"/>
      <c r="B446" s="49" t="s">
        <v>81</v>
      </c>
      <c r="C446" s="49" t="s">
        <v>524</v>
      </c>
      <c r="D446" s="50" t="str">
        <f t="shared" si="30"/>
        <v>Sabrine Neffeti</v>
      </c>
      <c r="E446" s="50" t="str">
        <f t="shared" si="31"/>
        <v>avr</v>
      </c>
      <c r="F446" s="50">
        <f t="shared" si="32"/>
        <v>7</v>
      </c>
      <c r="G446" s="50">
        <f t="shared" si="33"/>
        <v>2026</v>
      </c>
      <c r="H446" s="51">
        <f>IF($C446="","",IFERROR(DATE(G446,VLOOKUP(E446,Paramètres!$K$11:$L$40,2,FALSE()),F446),"?"))</f>
        <v>46119</v>
      </c>
      <c r="I446" s="50">
        <f>IF(ISNUMBER(H446),IF(COUNTIFS($D$2:D446,D446,$H$2:H446,H446)=1,1,0),"")</f>
        <v>0</v>
      </c>
      <c r="J446" s="50">
        <f>IF(ISNUMBER(H446),IFERROR(INDEX(Calendrier!$C$2:$C$367,MATCH(H446,Calendrier!$A$2:$A$367,0)),0),"")</f>
        <v>1</v>
      </c>
      <c r="K446" s="50">
        <f t="shared" si="34"/>
        <v>0</v>
      </c>
      <c r="L446" s="50">
        <f>IF(D446="","",IF(COUNTIF(Paramètres!$A$11:$A$40,D446)&gt;0,1,0))</f>
        <v>1</v>
      </c>
    </row>
    <row r="447" spans="1:12" hidden="1" x14ac:dyDescent="0.25">
      <c r="A447" s="49"/>
      <c r="B447" s="49" t="s">
        <v>81</v>
      </c>
      <c r="C447" s="49" t="s">
        <v>525</v>
      </c>
      <c r="D447" s="50" t="str">
        <f t="shared" si="30"/>
        <v>Sabrine Neffeti</v>
      </c>
      <c r="E447" s="50" t="str">
        <f t="shared" si="31"/>
        <v>avr</v>
      </c>
      <c r="F447" s="50">
        <f t="shared" si="32"/>
        <v>7</v>
      </c>
      <c r="G447" s="50">
        <f t="shared" si="33"/>
        <v>2026</v>
      </c>
      <c r="H447" s="51">
        <f>IF($C447="","",IFERROR(DATE(G447,VLOOKUP(E447,Paramètres!$K$11:$L$40,2,FALSE()),F447),"?"))</f>
        <v>46119</v>
      </c>
      <c r="I447" s="50">
        <f>IF(ISNUMBER(H447),IF(COUNTIFS($D$2:D447,D447,$H$2:H447,H447)=1,1,0),"")</f>
        <v>0</v>
      </c>
      <c r="J447" s="50">
        <f>IF(ISNUMBER(H447),IFERROR(INDEX(Calendrier!$C$2:$C$367,MATCH(H447,Calendrier!$A$2:$A$367,0)),0),"")</f>
        <v>1</v>
      </c>
      <c r="K447" s="50">
        <f t="shared" si="34"/>
        <v>0</v>
      </c>
      <c r="L447" s="50">
        <f>IF(D447="","",IF(COUNTIF(Paramètres!$A$11:$A$40,D447)&gt;0,1,0))</f>
        <v>1</v>
      </c>
    </row>
    <row r="448" spans="1:12" hidden="1" x14ac:dyDescent="0.25">
      <c r="A448" s="49"/>
      <c r="B448" s="49" t="s">
        <v>81</v>
      </c>
      <c r="C448" s="49" t="s">
        <v>526</v>
      </c>
      <c r="D448" s="50" t="str">
        <f t="shared" si="30"/>
        <v>Sabrine Neffeti</v>
      </c>
      <c r="E448" s="50" t="str">
        <f t="shared" si="31"/>
        <v>avr</v>
      </c>
      <c r="F448" s="50">
        <f t="shared" si="32"/>
        <v>8</v>
      </c>
      <c r="G448" s="50">
        <f t="shared" si="33"/>
        <v>2026</v>
      </c>
      <c r="H448" s="51">
        <f>IF($C448="","",IFERROR(DATE(G448,VLOOKUP(E448,Paramètres!$K$11:$L$40,2,FALSE()),F448),"?"))</f>
        <v>46120</v>
      </c>
      <c r="I448" s="50">
        <f>IF(ISNUMBER(H448),IF(COUNTIFS($D$2:D448,D448,$H$2:H448,H448)=1,1,0),"")</f>
        <v>1</v>
      </c>
      <c r="J448" s="50">
        <f>IF(ISNUMBER(H448),IFERROR(INDEX(Calendrier!$C$2:$C$367,MATCH(H448,Calendrier!$A$2:$A$367,0)),0),"")</f>
        <v>1</v>
      </c>
      <c r="K448" s="50">
        <f t="shared" si="34"/>
        <v>1</v>
      </c>
      <c r="L448" s="50">
        <f>IF(D448="","",IF(COUNTIF(Paramètres!$A$11:$A$40,D448)&gt;0,1,0))</f>
        <v>1</v>
      </c>
    </row>
    <row r="449" spans="1:12" hidden="1" x14ac:dyDescent="0.25">
      <c r="A449" s="49"/>
      <c r="B449" s="49" t="s">
        <v>81</v>
      </c>
      <c r="C449" s="49" t="s">
        <v>527</v>
      </c>
      <c r="D449" s="50" t="str">
        <f t="shared" si="30"/>
        <v>Sabrine Neffeti</v>
      </c>
      <c r="E449" s="50" t="str">
        <f t="shared" si="31"/>
        <v>avr</v>
      </c>
      <c r="F449" s="50">
        <f t="shared" si="32"/>
        <v>9</v>
      </c>
      <c r="G449" s="50">
        <f t="shared" si="33"/>
        <v>2026</v>
      </c>
      <c r="H449" s="51">
        <f>IF($C449="","",IFERROR(DATE(G449,VLOOKUP(E449,Paramètres!$K$11:$L$40,2,FALSE()),F449),"?"))</f>
        <v>46121</v>
      </c>
      <c r="I449" s="50">
        <f>IF(ISNUMBER(H449),IF(COUNTIFS($D$2:D449,D449,$H$2:H449,H449)=1,1,0),"")</f>
        <v>1</v>
      </c>
      <c r="J449" s="50">
        <f>IF(ISNUMBER(H449),IFERROR(INDEX(Calendrier!$C$2:$C$367,MATCH(H449,Calendrier!$A$2:$A$367,0)),0),"")</f>
        <v>1</v>
      </c>
      <c r="K449" s="50">
        <f t="shared" si="34"/>
        <v>1</v>
      </c>
      <c r="L449" s="50">
        <f>IF(D449="","",IF(COUNTIF(Paramètres!$A$11:$A$40,D449)&gt;0,1,0))</f>
        <v>1</v>
      </c>
    </row>
    <row r="450" spans="1:12" hidden="1" x14ac:dyDescent="0.25">
      <c r="A450" s="49"/>
      <c r="B450" s="49" t="s">
        <v>81</v>
      </c>
      <c r="C450" s="49" t="s">
        <v>528</v>
      </c>
      <c r="D450" s="50" t="str">
        <f t="shared" ref="D450:D513" si="35">IF(B450="","",TRIM(B450))</f>
        <v>Sabrine Neffeti</v>
      </c>
      <c r="E450" s="50" t="str">
        <f t="shared" ref="E450:E513" si="36">IF($C450="","",LEFT($C450,FIND(" ",$C450)-1))</f>
        <v>avr</v>
      </c>
      <c r="F450" s="50">
        <f t="shared" ref="F450:F513" si="37">IF($C450="","",IFERROR(VALUE(LEFT(MID($C450,FIND(" ",$C450)+1,20),FIND(" ",MID($C450,FIND(" ",$C450)+1,20))-1)),"?"))</f>
        <v>9</v>
      </c>
      <c r="G450" s="50">
        <f t="shared" ref="G450:G513" si="38">IF($C450="","",IFERROR(VALUE(MID(MID($C450,FIND(" ",$C450)+1,20),FIND(" ",MID($C450,FIND(" ",$C450)+1,20))+1,4)),"?"))</f>
        <v>2026</v>
      </c>
      <c r="H450" s="51">
        <f>IF($C450="","",IFERROR(DATE(G450,VLOOKUP(E450,Paramètres!$K$11:$L$40,2,FALSE()),F450),"?"))</f>
        <v>46121</v>
      </c>
      <c r="I450" s="50">
        <f>IF(ISNUMBER(H450),IF(COUNTIFS($D$2:D450,D450,$H$2:H450,H450)=1,1,0),"")</f>
        <v>0</v>
      </c>
      <c r="J450" s="50">
        <f>IF(ISNUMBER(H450),IFERROR(INDEX(Calendrier!$C$2:$C$367,MATCH(H450,Calendrier!$A$2:$A$367,0)),0),"")</f>
        <v>1</v>
      </c>
      <c r="K450" s="50">
        <f t="shared" ref="K450:K513" si="39">IF(ISNUMBER(H450),I450*J450,"")</f>
        <v>0</v>
      </c>
      <c r="L450" s="50">
        <f>IF(D450="","",IF(COUNTIF(Paramètres!$A$11:$A$40,D450)&gt;0,1,0))</f>
        <v>1</v>
      </c>
    </row>
    <row r="451" spans="1:12" hidden="1" x14ac:dyDescent="0.25">
      <c r="A451" s="49"/>
      <c r="B451" s="49" t="s">
        <v>81</v>
      </c>
      <c r="C451" s="49" t="s">
        <v>529</v>
      </c>
      <c r="D451" s="50" t="str">
        <f t="shared" si="35"/>
        <v>Sabrine Neffeti</v>
      </c>
      <c r="E451" s="50" t="str">
        <f t="shared" si="36"/>
        <v>avr</v>
      </c>
      <c r="F451" s="50">
        <f t="shared" si="37"/>
        <v>9</v>
      </c>
      <c r="G451" s="50">
        <f t="shared" si="38"/>
        <v>2026</v>
      </c>
      <c r="H451" s="51">
        <f>IF($C451="","",IFERROR(DATE(G451,VLOOKUP(E451,Paramètres!$K$11:$L$40,2,FALSE()),F451),"?"))</f>
        <v>46121</v>
      </c>
      <c r="I451" s="50">
        <f>IF(ISNUMBER(H451),IF(COUNTIFS($D$2:D451,D451,$H$2:H451,H451)=1,1,0),"")</f>
        <v>0</v>
      </c>
      <c r="J451" s="50">
        <f>IF(ISNUMBER(H451),IFERROR(INDEX(Calendrier!$C$2:$C$367,MATCH(H451,Calendrier!$A$2:$A$367,0)),0),"")</f>
        <v>1</v>
      </c>
      <c r="K451" s="50">
        <f t="shared" si="39"/>
        <v>0</v>
      </c>
      <c r="L451" s="50">
        <f>IF(D451="","",IF(COUNTIF(Paramètres!$A$11:$A$40,D451)&gt;0,1,0))</f>
        <v>1</v>
      </c>
    </row>
    <row r="452" spans="1:12" hidden="1" x14ac:dyDescent="0.25">
      <c r="A452" s="49"/>
      <c r="B452" s="49" t="s">
        <v>81</v>
      </c>
      <c r="C452" s="49" t="s">
        <v>530</v>
      </c>
      <c r="D452" s="50" t="str">
        <f t="shared" si="35"/>
        <v>Sabrine Neffeti</v>
      </c>
      <c r="E452" s="50" t="str">
        <f t="shared" si="36"/>
        <v>avr</v>
      </c>
      <c r="F452" s="50">
        <f t="shared" si="37"/>
        <v>13</v>
      </c>
      <c r="G452" s="50">
        <f t="shared" si="38"/>
        <v>2026</v>
      </c>
      <c r="H452" s="51">
        <f>IF($C452="","",IFERROR(DATE(G452,VLOOKUP(E452,Paramètres!$K$11:$L$40,2,FALSE()),F452),"?"))</f>
        <v>46125</v>
      </c>
      <c r="I452" s="50">
        <f>IF(ISNUMBER(H452),IF(COUNTIFS($D$2:D452,D452,$H$2:H452,H452)=1,1,0),"")</f>
        <v>1</v>
      </c>
      <c r="J452" s="50">
        <f>IF(ISNUMBER(H452),IFERROR(INDEX(Calendrier!$C$2:$C$367,MATCH(H452,Calendrier!$A$2:$A$367,0)),0),"")</f>
        <v>1</v>
      </c>
      <c r="K452" s="50">
        <f t="shared" si="39"/>
        <v>1</v>
      </c>
      <c r="L452" s="50">
        <f>IF(D452="","",IF(COUNTIF(Paramètres!$A$11:$A$40,D452)&gt;0,1,0))</f>
        <v>1</v>
      </c>
    </row>
    <row r="453" spans="1:12" hidden="1" x14ac:dyDescent="0.25">
      <c r="A453" s="49"/>
      <c r="B453" s="49" t="s">
        <v>81</v>
      </c>
      <c r="C453" s="49" t="s">
        <v>531</v>
      </c>
      <c r="D453" s="50" t="str">
        <f t="shared" si="35"/>
        <v>Sabrine Neffeti</v>
      </c>
      <c r="E453" s="50" t="str">
        <f t="shared" si="36"/>
        <v>avr</v>
      </c>
      <c r="F453" s="50">
        <f t="shared" si="37"/>
        <v>13</v>
      </c>
      <c r="G453" s="50">
        <f t="shared" si="38"/>
        <v>2026</v>
      </c>
      <c r="H453" s="51">
        <f>IF($C453="","",IFERROR(DATE(G453,VLOOKUP(E453,Paramètres!$K$11:$L$40,2,FALSE()),F453),"?"))</f>
        <v>46125</v>
      </c>
      <c r="I453" s="50">
        <f>IF(ISNUMBER(H453),IF(COUNTIFS($D$2:D453,D453,$H$2:H453,H453)=1,1,0),"")</f>
        <v>0</v>
      </c>
      <c r="J453" s="50">
        <f>IF(ISNUMBER(H453),IFERROR(INDEX(Calendrier!$C$2:$C$367,MATCH(H453,Calendrier!$A$2:$A$367,0)),0),"")</f>
        <v>1</v>
      </c>
      <c r="K453" s="50">
        <f t="shared" si="39"/>
        <v>0</v>
      </c>
      <c r="L453" s="50">
        <f>IF(D453="","",IF(COUNTIF(Paramètres!$A$11:$A$40,D453)&gt;0,1,0))</f>
        <v>1</v>
      </c>
    </row>
    <row r="454" spans="1:12" hidden="1" x14ac:dyDescent="0.25">
      <c r="A454" s="49"/>
      <c r="B454" s="49" t="s">
        <v>81</v>
      </c>
      <c r="C454" s="49" t="s">
        <v>532</v>
      </c>
      <c r="D454" s="50" t="str">
        <f t="shared" si="35"/>
        <v>Sabrine Neffeti</v>
      </c>
      <c r="E454" s="50" t="str">
        <f t="shared" si="36"/>
        <v>avr</v>
      </c>
      <c r="F454" s="50">
        <f t="shared" si="37"/>
        <v>15</v>
      </c>
      <c r="G454" s="50">
        <f t="shared" si="38"/>
        <v>2026</v>
      </c>
      <c r="H454" s="51">
        <f>IF($C454="","",IFERROR(DATE(G454,VLOOKUP(E454,Paramètres!$K$11:$L$40,2,FALSE()),F454),"?"))</f>
        <v>46127</v>
      </c>
      <c r="I454" s="50">
        <f>IF(ISNUMBER(H454),IF(COUNTIFS($D$2:D454,D454,$H$2:H454,H454)=1,1,0),"")</f>
        <v>1</v>
      </c>
      <c r="J454" s="50">
        <f>IF(ISNUMBER(H454),IFERROR(INDEX(Calendrier!$C$2:$C$367,MATCH(H454,Calendrier!$A$2:$A$367,0)),0),"")</f>
        <v>1</v>
      </c>
      <c r="K454" s="50">
        <f t="shared" si="39"/>
        <v>1</v>
      </c>
      <c r="L454" s="50">
        <f>IF(D454="","",IF(COUNTIF(Paramètres!$A$11:$A$40,D454)&gt;0,1,0))</f>
        <v>1</v>
      </c>
    </row>
    <row r="455" spans="1:12" hidden="1" x14ac:dyDescent="0.25">
      <c r="A455" s="49"/>
      <c r="B455" s="49" t="s">
        <v>81</v>
      </c>
      <c r="C455" s="49" t="s">
        <v>533</v>
      </c>
      <c r="D455" s="50" t="str">
        <f t="shared" si="35"/>
        <v>Sabrine Neffeti</v>
      </c>
      <c r="E455" s="50" t="str">
        <f t="shared" si="36"/>
        <v>avr</v>
      </c>
      <c r="F455" s="50">
        <f t="shared" si="37"/>
        <v>15</v>
      </c>
      <c r="G455" s="50">
        <f t="shared" si="38"/>
        <v>2026</v>
      </c>
      <c r="H455" s="51">
        <f>IF($C455="","",IFERROR(DATE(G455,VLOOKUP(E455,Paramètres!$K$11:$L$40,2,FALSE()),F455),"?"))</f>
        <v>46127</v>
      </c>
      <c r="I455" s="50">
        <f>IF(ISNUMBER(H455),IF(COUNTIFS($D$2:D455,D455,$H$2:H455,H455)=1,1,0),"")</f>
        <v>0</v>
      </c>
      <c r="J455" s="50">
        <f>IF(ISNUMBER(H455),IFERROR(INDEX(Calendrier!$C$2:$C$367,MATCH(H455,Calendrier!$A$2:$A$367,0)),0),"")</f>
        <v>1</v>
      </c>
      <c r="K455" s="50">
        <f t="shared" si="39"/>
        <v>0</v>
      </c>
      <c r="L455" s="50">
        <f>IF(D455="","",IF(COUNTIF(Paramètres!$A$11:$A$40,D455)&gt;0,1,0))</f>
        <v>1</v>
      </c>
    </row>
    <row r="456" spans="1:12" hidden="1" x14ac:dyDescent="0.25">
      <c r="A456" s="49"/>
      <c r="B456" s="49" t="s">
        <v>81</v>
      </c>
      <c r="C456" s="49" t="s">
        <v>534</v>
      </c>
      <c r="D456" s="50" t="str">
        <f t="shared" si="35"/>
        <v>Sabrine Neffeti</v>
      </c>
      <c r="E456" s="50" t="str">
        <f t="shared" si="36"/>
        <v>avr</v>
      </c>
      <c r="F456" s="50">
        <f t="shared" si="37"/>
        <v>18</v>
      </c>
      <c r="G456" s="50">
        <f t="shared" si="38"/>
        <v>2026</v>
      </c>
      <c r="H456" s="51">
        <f>IF($C456="","",IFERROR(DATE(G456,VLOOKUP(E456,Paramètres!$K$11:$L$40,2,FALSE()),F456),"?"))</f>
        <v>46130</v>
      </c>
      <c r="I456" s="50">
        <f>IF(ISNUMBER(H456),IF(COUNTIFS($D$2:D456,D456,$H$2:H456,H456)=1,1,0),"")</f>
        <v>1</v>
      </c>
      <c r="J456" s="50">
        <f>IF(ISNUMBER(H456),IFERROR(INDEX(Calendrier!$C$2:$C$367,MATCH(H456,Calendrier!$A$2:$A$367,0)),0),"")</f>
        <v>0</v>
      </c>
      <c r="K456" s="50">
        <f t="shared" si="39"/>
        <v>0</v>
      </c>
      <c r="L456" s="50">
        <f>IF(D456="","",IF(COUNTIF(Paramètres!$A$11:$A$40,D456)&gt;0,1,0))</f>
        <v>1</v>
      </c>
    </row>
    <row r="457" spans="1:12" hidden="1" x14ac:dyDescent="0.25">
      <c r="A457" s="49"/>
      <c r="B457" s="49" t="s">
        <v>81</v>
      </c>
      <c r="C457" s="49" t="s">
        <v>535</v>
      </c>
      <c r="D457" s="50" t="str">
        <f t="shared" si="35"/>
        <v>Sabrine Neffeti</v>
      </c>
      <c r="E457" s="50" t="str">
        <f t="shared" si="36"/>
        <v>avr</v>
      </c>
      <c r="F457" s="50">
        <f t="shared" si="37"/>
        <v>18</v>
      </c>
      <c r="G457" s="50">
        <f t="shared" si="38"/>
        <v>2026</v>
      </c>
      <c r="H457" s="51">
        <f>IF($C457="","",IFERROR(DATE(G457,VLOOKUP(E457,Paramètres!$K$11:$L$40,2,FALSE()),F457),"?"))</f>
        <v>46130</v>
      </c>
      <c r="I457" s="50">
        <f>IF(ISNUMBER(H457),IF(COUNTIFS($D$2:D457,D457,$H$2:H457,H457)=1,1,0),"")</f>
        <v>0</v>
      </c>
      <c r="J457" s="50">
        <f>IF(ISNUMBER(H457),IFERROR(INDEX(Calendrier!$C$2:$C$367,MATCH(H457,Calendrier!$A$2:$A$367,0)),0),"")</f>
        <v>0</v>
      </c>
      <c r="K457" s="50">
        <f t="shared" si="39"/>
        <v>0</v>
      </c>
      <c r="L457" s="50">
        <f>IF(D457="","",IF(COUNTIF(Paramètres!$A$11:$A$40,D457)&gt;0,1,0))</f>
        <v>1</v>
      </c>
    </row>
    <row r="458" spans="1:12" hidden="1" x14ac:dyDescent="0.25">
      <c r="A458" s="49"/>
      <c r="B458" s="49" t="s">
        <v>81</v>
      </c>
      <c r="C458" s="49" t="s">
        <v>536</v>
      </c>
      <c r="D458" s="50" t="str">
        <f t="shared" si="35"/>
        <v>Sabrine Neffeti</v>
      </c>
      <c r="E458" s="50" t="str">
        <f t="shared" si="36"/>
        <v>avr</v>
      </c>
      <c r="F458" s="50">
        <f t="shared" si="37"/>
        <v>18</v>
      </c>
      <c r="G458" s="50">
        <f t="shared" si="38"/>
        <v>2026</v>
      </c>
      <c r="H458" s="51">
        <f>IF($C458="","",IFERROR(DATE(G458,VLOOKUP(E458,Paramètres!$K$11:$L$40,2,FALSE()),F458),"?"))</f>
        <v>46130</v>
      </c>
      <c r="I458" s="50">
        <f>IF(ISNUMBER(H458),IF(COUNTIFS($D$2:D458,D458,$H$2:H458,H458)=1,1,0),"")</f>
        <v>0</v>
      </c>
      <c r="J458" s="50">
        <f>IF(ISNUMBER(H458),IFERROR(INDEX(Calendrier!$C$2:$C$367,MATCH(H458,Calendrier!$A$2:$A$367,0)),0),"")</f>
        <v>0</v>
      </c>
      <c r="K458" s="50">
        <f t="shared" si="39"/>
        <v>0</v>
      </c>
      <c r="L458" s="50">
        <f>IF(D458="","",IF(COUNTIF(Paramètres!$A$11:$A$40,D458)&gt;0,1,0))</f>
        <v>1</v>
      </c>
    </row>
    <row r="459" spans="1:12" hidden="1" x14ac:dyDescent="0.25">
      <c r="A459" s="49"/>
      <c r="B459" s="49" t="s">
        <v>81</v>
      </c>
      <c r="C459" s="49" t="s">
        <v>537</v>
      </c>
      <c r="D459" s="50" t="str">
        <f t="shared" si="35"/>
        <v>Sabrine Neffeti</v>
      </c>
      <c r="E459" s="50" t="str">
        <f t="shared" si="36"/>
        <v>avr</v>
      </c>
      <c r="F459" s="50">
        <f t="shared" si="37"/>
        <v>20</v>
      </c>
      <c r="G459" s="50">
        <f t="shared" si="38"/>
        <v>2026</v>
      </c>
      <c r="H459" s="51">
        <f>IF($C459="","",IFERROR(DATE(G459,VLOOKUP(E459,Paramètres!$K$11:$L$40,2,FALSE()),F459),"?"))</f>
        <v>46132</v>
      </c>
      <c r="I459" s="50">
        <f>IF(ISNUMBER(H459),IF(COUNTIFS($D$2:D459,D459,$H$2:H459,H459)=1,1,0),"")</f>
        <v>1</v>
      </c>
      <c r="J459" s="50">
        <f>IF(ISNUMBER(H459),IFERROR(INDEX(Calendrier!$C$2:$C$367,MATCH(H459,Calendrier!$A$2:$A$367,0)),0),"")</f>
        <v>1</v>
      </c>
      <c r="K459" s="50">
        <f t="shared" si="39"/>
        <v>1</v>
      </c>
      <c r="L459" s="50">
        <f>IF(D459="","",IF(COUNTIF(Paramètres!$A$11:$A$40,D459)&gt;0,1,0))</f>
        <v>1</v>
      </c>
    </row>
    <row r="460" spans="1:12" hidden="1" x14ac:dyDescent="0.25">
      <c r="A460" s="49"/>
      <c r="B460" s="49" t="s">
        <v>81</v>
      </c>
      <c r="C460" s="49" t="s">
        <v>538</v>
      </c>
      <c r="D460" s="50" t="str">
        <f t="shared" si="35"/>
        <v>Sabrine Neffeti</v>
      </c>
      <c r="E460" s="50" t="str">
        <f t="shared" si="36"/>
        <v>avr</v>
      </c>
      <c r="F460" s="50">
        <f t="shared" si="37"/>
        <v>21</v>
      </c>
      <c r="G460" s="50">
        <f t="shared" si="38"/>
        <v>2026</v>
      </c>
      <c r="H460" s="51">
        <f>IF($C460="","",IFERROR(DATE(G460,VLOOKUP(E460,Paramètres!$K$11:$L$40,2,FALSE()),F460),"?"))</f>
        <v>46133</v>
      </c>
      <c r="I460" s="50">
        <f>IF(ISNUMBER(H460),IF(COUNTIFS($D$2:D460,D460,$H$2:H460,H460)=1,1,0),"")</f>
        <v>1</v>
      </c>
      <c r="J460" s="50">
        <f>IF(ISNUMBER(H460),IFERROR(INDEX(Calendrier!$C$2:$C$367,MATCH(H460,Calendrier!$A$2:$A$367,0)),0),"")</f>
        <v>1</v>
      </c>
      <c r="K460" s="50">
        <f t="shared" si="39"/>
        <v>1</v>
      </c>
      <c r="L460" s="50">
        <f>IF(D460="","",IF(COUNTIF(Paramètres!$A$11:$A$40,D460)&gt;0,1,0))</f>
        <v>1</v>
      </c>
    </row>
    <row r="461" spans="1:12" hidden="1" x14ac:dyDescent="0.25">
      <c r="A461" s="49"/>
      <c r="B461" s="49" t="s">
        <v>81</v>
      </c>
      <c r="C461" s="49" t="s">
        <v>539</v>
      </c>
      <c r="D461" s="50" t="str">
        <f t="shared" si="35"/>
        <v>Sabrine Neffeti</v>
      </c>
      <c r="E461" s="50" t="str">
        <f t="shared" si="36"/>
        <v>avr</v>
      </c>
      <c r="F461" s="50">
        <f t="shared" si="37"/>
        <v>22</v>
      </c>
      <c r="G461" s="50">
        <f t="shared" si="38"/>
        <v>2026</v>
      </c>
      <c r="H461" s="51">
        <f>IF($C461="","",IFERROR(DATE(G461,VLOOKUP(E461,Paramètres!$K$11:$L$40,2,FALSE()),F461),"?"))</f>
        <v>46134</v>
      </c>
      <c r="I461" s="50">
        <f>IF(ISNUMBER(H461),IF(COUNTIFS($D$2:D461,D461,$H$2:H461,H461)=1,1,0),"")</f>
        <v>1</v>
      </c>
      <c r="J461" s="50">
        <f>IF(ISNUMBER(H461),IFERROR(INDEX(Calendrier!$C$2:$C$367,MATCH(H461,Calendrier!$A$2:$A$367,0)),0),"")</f>
        <v>1</v>
      </c>
      <c r="K461" s="50">
        <f t="shared" si="39"/>
        <v>1</v>
      </c>
      <c r="L461" s="50">
        <f>IF(D461="","",IF(COUNTIF(Paramètres!$A$11:$A$40,D461)&gt;0,1,0))</f>
        <v>1</v>
      </c>
    </row>
    <row r="462" spans="1:12" hidden="1" x14ac:dyDescent="0.25">
      <c r="A462" s="49"/>
      <c r="B462" s="49" t="s">
        <v>81</v>
      </c>
      <c r="C462" s="49" t="s">
        <v>540</v>
      </c>
      <c r="D462" s="50" t="str">
        <f t="shared" si="35"/>
        <v>Sabrine Neffeti</v>
      </c>
      <c r="E462" s="50" t="str">
        <f t="shared" si="36"/>
        <v>avr</v>
      </c>
      <c r="F462" s="50">
        <f t="shared" si="37"/>
        <v>28</v>
      </c>
      <c r="G462" s="50">
        <f t="shared" si="38"/>
        <v>2026</v>
      </c>
      <c r="H462" s="51">
        <f>IF($C462="","",IFERROR(DATE(G462,VLOOKUP(E462,Paramètres!$K$11:$L$40,2,FALSE()),F462),"?"))</f>
        <v>46140</v>
      </c>
      <c r="I462" s="50">
        <f>IF(ISNUMBER(H462),IF(COUNTIFS($D$2:D462,D462,$H$2:H462,H462)=1,1,0),"")</f>
        <v>1</v>
      </c>
      <c r="J462" s="50">
        <f>IF(ISNUMBER(H462),IFERROR(INDEX(Calendrier!$C$2:$C$367,MATCH(H462,Calendrier!$A$2:$A$367,0)),0),"")</f>
        <v>1</v>
      </c>
      <c r="K462" s="50">
        <f t="shared" si="39"/>
        <v>1</v>
      </c>
      <c r="L462" s="50">
        <f>IF(D462="","",IF(COUNTIF(Paramètres!$A$11:$A$40,D462)&gt;0,1,0))</f>
        <v>1</v>
      </c>
    </row>
    <row r="463" spans="1:12" hidden="1" x14ac:dyDescent="0.25">
      <c r="A463" s="49"/>
      <c r="B463" s="49" t="s">
        <v>81</v>
      </c>
      <c r="C463" s="49" t="s">
        <v>541</v>
      </c>
      <c r="D463" s="50" t="str">
        <f t="shared" si="35"/>
        <v>Sabrine Neffeti</v>
      </c>
      <c r="E463" s="50" t="str">
        <f t="shared" si="36"/>
        <v>avr</v>
      </c>
      <c r="F463" s="50">
        <f t="shared" si="37"/>
        <v>29</v>
      </c>
      <c r="G463" s="50">
        <f t="shared" si="38"/>
        <v>2026</v>
      </c>
      <c r="H463" s="51">
        <f>IF($C463="","",IFERROR(DATE(G463,VLOOKUP(E463,Paramètres!$K$11:$L$40,2,FALSE()),F463),"?"))</f>
        <v>46141</v>
      </c>
      <c r="I463" s="50">
        <f>IF(ISNUMBER(H463),IF(COUNTIFS($D$2:D463,D463,$H$2:H463,H463)=1,1,0),"")</f>
        <v>1</v>
      </c>
      <c r="J463" s="50">
        <f>IF(ISNUMBER(H463),IFERROR(INDEX(Calendrier!$C$2:$C$367,MATCH(H463,Calendrier!$A$2:$A$367,0)),0),"")</f>
        <v>1</v>
      </c>
      <c r="K463" s="50">
        <f t="shared" si="39"/>
        <v>1</v>
      </c>
      <c r="L463" s="50">
        <f>IF(D463="","",IF(COUNTIF(Paramètres!$A$11:$A$40,D463)&gt;0,1,0))</f>
        <v>1</v>
      </c>
    </row>
    <row r="464" spans="1:12" hidden="1" x14ac:dyDescent="0.25">
      <c r="A464" s="49"/>
      <c r="B464" s="49" t="s">
        <v>81</v>
      </c>
      <c r="C464" s="49" t="s">
        <v>542</v>
      </c>
      <c r="D464" s="50" t="str">
        <f t="shared" si="35"/>
        <v>Sabrine Neffeti</v>
      </c>
      <c r="E464" s="50" t="str">
        <f t="shared" si="36"/>
        <v>avr</v>
      </c>
      <c r="F464" s="50">
        <f t="shared" si="37"/>
        <v>29</v>
      </c>
      <c r="G464" s="50">
        <f t="shared" si="38"/>
        <v>2026</v>
      </c>
      <c r="H464" s="51">
        <f>IF($C464="","",IFERROR(DATE(G464,VLOOKUP(E464,Paramètres!$K$11:$L$40,2,FALSE()),F464),"?"))</f>
        <v>46141</v>
      </c>
      <c r="I464" s="50">
        <f>IF(ISNUMBER(H464),IF(COUNTIFS($D$2:D464,D464,$H$2:H464,H464)=1,1,0),"")</f>
        <v>0</v>
      </c>
      <c r="J464" s="50">
        <f>IF(ISNUMBER(H464),IFERROR(INDEX(Calendrier!$C$2:$C$367,MATCH(H464,Calendrier!$A$2:$A$367,0)),0),"")</f>
        <v>1</v>
      </c>
      <c r="K464" s="50">
        <f t="shared" si="39"/>
        <v>0</v>
      </c>
      <c r="L464" s="50">
        <f>IF(D464="","",IF(COUNTIF(Paramètres!$A$11:$A$40,D464)&gt;0,1,0))</f>
        <v>1</v>
      </c>
    </row>
    <row r="465" spans="1:12" hidden="1" x14ac:dyDescent="0.25">
      <c r="A465" s="49"/>
      <c r="B465" s="49" t="s">
        <v>85</v>
      </c>
      <c r="C465" s="49" t="s">
        <v>543</v>
      </c>
      <c r="D465" s="50" t="str">
        <f t="shared" si="35"/>
        <v>Said Hamrouni</v>
      </c>
      <c r="E465" s="50" t="str">
        <f t="shared" si="36"/>
        <v>avr</v>
      </c>
      <c r="F465" s="50">
        <f t="shared" si="37"/>
        <v>1</v>
      </c>
      <c r="G465" s="50">
        <f t="shared" si="38"/>
        <v>2026</v>
      </c>
      <c r="H465" s="51">
        <f>IF($C465="","",IFERROR(DATE(G465,VLOOKUP(E465,Paramètres!$K$11:$L$40,2,FALSE()),F465),"?"))</f>
        <v>46113</v>
      </c>
      <c r="I465" s="50">
        <f>IF(ISNUMBER(H465),IF(COUNTIFS($D$2:D465,D465,$H$2:H465,H465)=1,1,0),"")</f>
        <v>1</v>
      </c>
      <c r="J465" s="50">
        <f>IF(ISNUMBER(H465),IFERROR(INDEX(Calendrier!$C$2:$C$367,MATCH(H465,Calendrier!$A$2:$A$367,0)),0),"")</f>
        <v>1</v>
      </c>
      <c r="K465" s="50">
        <f t="shared" si="39"/>
        <v>1</v>
      </c>
      <c r="L465" s="50">
        <f>IF(D465="","",IF(COUNTIF(Paramètres!$A$11:$A$40,D465)&gt;0,1,0))</f>
        <v>1</v>
      </c>
    </row>
    <row r="466" spans="1:12" hidden="1" x14ac:dyDescent="0.25">
      <c r="A466" s="49"/>
      <c r="B466" s="49" t="s">
        <v>85</v>
      </c>
      <c r="C466" s="49" t="s">
        <v>544</v>
      </c>
      <c r="D466" s="50" t="str">
        <f t="shared" si="35"/>
        <v>Said Hamrouni</v>
      </c>
      <c r="E466" s="50" t="str">
        <f t="shared" si="36"/>
        <v>avr</v>
      </c>
      <c r="F466" s="50">
        <f t="shared" si="37"/>
        <v>8</v>
      </c>
      <c r="G466" s="50">
        <f t="shared" si="38"/>
        <v>2026</v>
      </c>
      <c r="H466" s="51">
        <f>IF($C466="","",IFERROR(DATE(G466,VLOOKUP(E466,Paramètres!$K$11:$L$40,2,FALSE()),F466),"?"))</f>
        <v>46120</v>
      </c>
      <c r="I466" s="50">
        <f>IF(ISNUMBER(H466),IF(COUNTIFS($D$2:D466,D466,$H$2:H466,H466)=1,1,0),"")</f>
        <v>1</v>
      </c>
      <c r="J466" s="50">
        <f>IF(ISNUMBER(H466),IFERROR(INDEX(Calendrier!$C$2:$C$367,MATCH(H466,Calendrier!$A$2:$A$367,0)),0),"")</f>
        <v>1</v>
      </c>
      <c r="K466" s="50">
        <f t="shared" si="39"/>
        <v>1</v>
      </c>
      <c r="L466" s="50">
        <f>IF(D466="","",IF(COUNTIF(Paramètres!$A$11:$A$40,D466)&gt;0,1,0))</f>
        <v>1</v>
      </c>
    </row>
    <row r="467" spans="1:12" hidden="1" x14ac:dyDescent="0.25">
      <c r="A467" s="49"/>
      <c r="B467" s="49" t="s">
        <v>85</v>
      </c>
      <c r="C467" s="49" t="s">
        <v>545</v>
      </c>
      <c r="D467" s="50" t="str">
        <f t="shared" si="35"/>
        <v>Said Hamrouni</v>
      </c>
      <c r="E467" s="50" t="str">
        <f t="shared" si="36"/>
        <v>avr</v>
      </c>
      <c r="F467" s="50">
        <f t="shared" si="37"/>
        <v>13</v>
      </c>
      <c r="G467" s="50">
        <f t="shared" si="38"/>
        <v>2026</v>
      </c>
      <c r="H467" s="51">
        <f>IF($C467="","",IFERROR(DATE(G467,VLOOKUP(E467,Paramètres!$K$11:$L$40,2,FALSE()),F467),"?"))</f>
        <v>46125</v>
      </c>
      <c r="I467" s="50">
        <f>IF(ISNUMBER(H467),IF(COUNTIFS($D$2:D467,D467,$H$2:H467,H467)=1,1,0),"")</f>
        <v>1</v>
      </c>
      <c r="J467" s="50">
        <f>IF(ISNUMBER(H467),IFERROR(INDEX(Calendrier!$C$2:$C$367,MATCH(H467,Calendrier!$A$2:$A$367,0)),0),"")</f>
        <v>1</v>
      </c>
      <c r="K467" s="50">
        <f t="shared" si="39"/>
        <v>1</v>
      </c>
      <c r="L467" s="50">
        <f>IF(D467="","",IF(COUNTIF(Paramètres!$A$11:$A$40,D467)&gt;0,1,0))</f>
        <v>1</v>
      </c>
    </row>
    <row r="468" spans="1:12" hidden="1" x14ac:dyDescent="0.25">
      <c r="A468" s="49"/>
      <c r="B468" s="49" t="s">
        <v>85</v>
      </c>
      <c r="C468" s="49" t="s">
        <v>546</v>
      </c>
      <c r="D468" s="50" t="str">
        <f t="shared" si="35"/>
        <v>Said Hamrouni</v>
      </c>
      <c r="E468" s="50" t="str">
        <f t="shared" si="36"/>
        <v>avr</v>
      </c>
      <c r="F468" s="50">
        <f t="shared" si="37"/>
        <v>14</v>
      </c>
      <c r="G468" s="50">
        <f t="shared" si="38"/>
        <v>2026</v>
      </c>
      <c r="H468" s="51">
        <f>IF($C468="","",IFERROR(DATE(G468,VLOOKUP(E468,Paramètres!$K$11:$L$40,2,FALSE()),F468),"?"))</f>
        <v>46126</v>
      </c>
      <c r="I468" s="50">
        <f>IF(ISNUMBER(H468),IF(COUNTIFS($D$2:D468,D468,$H$2:H468,H468)=1,1,0),"")</f>
        <v>1</v>
      </c>
      <c r="J468" s="50">
        <f>IF(ISNUMBER(H468),IFERROR(INDEX(Calendrier!$C$2:$C$367,MATCH(H468,Calendrier!$A$2:$A$367,0)),0),"")</f>
        <v>1</v>
      </c>
      <c r="K468" s="50">
        <f t="shared" si="39"/>
        <v>1</v>
      </c>
      <c r="L468" s="50">
        <f>IF(D468="","",IF(COUNTIF(Paramètres!$A$11:$A$40,D468)&gt;0,1,0))</f>
        <v>1</v>
      </c>
    </row>
    <row r="469" spans="1:12" hidden="1" x14ac:dyDescent="0.25">
      <c r="A469" s="49"/>
      <c r="B469" s="49" t="s">
        <v>85</v>
      </c>
      <c r="C469" s="49" t="s">
        <v>547</v>
      </c>
      <c r="D469" s="50" t="str">
        <f t="shared" si="35"/>
        <v>Said Hamrouni</v>
      </c>
      <c r="E469" s="50" t="str">
        <f t="shared" si="36"/>
        <v>avr</v>
      </c>
      <c r="F469" s="50">
        <f t="shared" si="37"/>
        <v>22</v>
      </c>
      <c r="G469" s="50">
        <f t="shared" si="38"/>
        <v>2026</v>
      </c>
      <c r="H469" s="51">
        <f>IF($C469="","",IFERROR(DATE(G469,VLOOKUP(E469,Paramètres!$K$11:$L$40,2,FALSE()),F469),"?"))</f>
        <v>46134</v>
      </c>
      <c r="I469" s="50">
        <f>IF(ISNUMBER(H469),IF(COUNTIFS($D$2:D469,D469,$H$2:H469,H469)=1,1,0),"")</f>
        <v>1</v>
      </c>
      <c r="J469" s="50">
        <f>IF(ISNUMBER(H469),IFERROR(INDEX(Calendrier!$C$2:$C$367,MATCH(H469,Calendrier!$A$2:$A$367,0)),0),"")</f>
        <v>1</v>
      </c>
      <c r="K469" s="50">
        <f t="shared" si="39"/>
        <v>1</v>
      </c>
      <c r="L469" s="50">
        <f>IF(D469="","",IF(COUNTIF(Paramètres!$A$11:$A$40,D469)&gt;0,1,0))</f>
        <v>1</v>
      </c>
    </row>
    <row r="470" spans="1:12" hidden="1" x14ac:dyDescent="0.25">
      <c r="A470" s="49"/>
      <c r="B470" s="49" t="s">
        <v>85</v>
      </c>
      <c r="C470" s="49" t="s">
        <v>548</v>
      </c>
      <c r="D470" s="50" t="str">
        <f t="shared" si="35"/>
        <v>Said Hamrouni</v>
      </c>
      <c r="E470" s="50" t="str">
        <f t="shared" si="36"/>
        <v>avr</v>
      </c>
      <c r="F470" s="50">
        <f t="shared" si="37"/>
        <v>29</v>
      </c>
      <c r="G470" s="50">
        <f t="shared" si="38"/>
        <v>2026</v>
      </c>
      <c r="H470" s="51">
        <f>IF($C470="","",IFERROR(DATE(G470,VLOOKUP(E470,Paramètres!$K$11:$L$40,2,FALSE()),F470),"?"))</f>
        <v>46141</v>
      </c>
      <c r="I470" s="50">
        <f>IF(ISNUMBER(H470),IF(COUNTIFS($D$2:D470,D470,$H$2:H470,H470)=1,1,0),"")</f>
        <v>1</v>
      </c>
      <c r="J470" s="50">
        <f>IF(ISNUMBER(H470),IFERROR(INDEX(Calendrier!$C$2:$C$367,MATCH(H470,Calendrier!$A$2:$A$367,0)),0),"")</f>
        <v>1</v>
      </c>
      <c r="K470" s="50">
        <f t="shared" si="39"/>
        <v>1</v>
      </c>
      <c r="L470" s="50">
        <f>IF(D470="","",IF(COUNTIF(Paramètres!$A$11:$A$40,D470)&gt;0,1,0))</f>
        <v>1</v>
      </c>
    </row>
    <row r="471" spans="1:12" hidden="1" x14ac:dyDescent="0.25">
      <c r="A471" s="49"/>
      <c r="B471" s="49" t="s">
        <v>45</v>
      </c>
      <c r="C471" s="49" t="s">
        <v>549</v>
      </c>
      <c r="D471" s="50" t="str">
        <f t="shared" si="35"/>
        <v>Ahlem Moussa</v>
      </c>
      <c r="E471" s="50" t="str">
        <f t="shared" si="36"/>
        <v>avr</v>
      </c>
      <c r="F471" s="50">
        <f t="shared" si="37"/>
        <v>3</v>
      </c>
      <c r="G471" s="50">
        <f t="shared" si="38"/>
        <v>2026</v>
      </c>
      <c r="H471" s="51">
        <f>IF($C471="","",IFERROR(DATE(G471,VLOOKUP(E471,Paramètres!$K$11:$L$40,2,FALSE()),F471),"?"))</f>
        <v>46115</v>
      </c>
      <c r="I471" s="50">
        <f>IF(ISNUMBER(H471),IF(COUNTIFS($D$2:D471,D471,$H$2:H471,H471)=1,1,0),"")</f>
        <v>1</v>
      </c>
      <c r="J471" s="50">
        <f>IF(ISNUMBER(H471),IFERROR(INDEX(Calendrier!$C$2:$C$367,MATCH(H471,Calendrier!$A$2:$A$367,0)),0),"")</f>
        <v>1</v>
      </c>
      <c r="K471" s="50">
        <f t="shared" si="39"/>
        <v>1</v>
      </c>
      <c r="L471" s="50">
        <f>IF(D471="","",IF(COUNTIF(Paramètres!$A$11:$A$40,D471)&gt;0,1,0))</f>
        <v>1</v>
      </c>
    </row>
    <row r="472" spans="1:12" hidden="1" x14ac:dyDescent="0.25">
      <c r="A472" s="49"/>
      <c r="B472" s="49" t="s">
        <v>45</v>
      </c>
      <c r="C472" s="49" t="s">
        <v>550</v>
      </c>
      <c r="D472" s="50" t="str">
        <f t="shared" si="35"/>
        <v>Ahlem Moussa</v>
      </c>
      <c r="E472" s="50" t="str">
        <f t="shared" si="36"/>
        <v>avr</v>
      </c>
      <c r="F472" s="50">
        <f t="shared" si="37"/>
        <v>6</v>
      </c>
      <c r="G472" s="50">
        <f t="shared" si="38"/>
        <v>2026</v>
      </c>
      <c r="H472" s="51">
        <f>IF($C472="","",IFERROR(DATE(G472,VLOOKUP(E472,Paramètres!$K$11:$L$40,2,FALSE()),F472),"?"))</f>
        <v>46118</v>
      </c>
      <c r="I472" s="50">
        <f>IF(ISNUMBER(H472),IF(COUNTIFS($D$2:D472,D472,$H$2:H472,H472)=1,1,0),"")</f>
        <v>1</v>
      </c>
      <c r="J472" s="50">
        <f>IF(ISNUMBER(H472),IFERROR(INDEX(Calendrier!$C$2:$C$367,MATCH(H472,Calendrier!$A$2:$A$367,0)),0),"")</f>
        <v>1</v>
      </c>
      <c r="K472" s="50">
        <f t="shared" si="39"/>
        <v>1</v>
      </c>
      <c r="L472" s="50">
        <f>IF(D472="","",IF(COUNTIF(Paramètres!$A$11:$A$40,D472)&gt;0,1,0))</f>
        <v>1</v>
      </c>
    </row>
    <row r="473" spans="1:12" hidden="1" x14ac:dyDescent="0.25">
      <c r="A473" s="49"/>
      <c r="B473" s="49" t="s">
        <v>45</v>
      </c>
      <c r="C473" s="49" t="s">
        <v>551</v>
      </c>
      <c r="D473" s="50" t="str">
        <f t="shared" si="35"/>
        <v>Ahlem Moussa</v>
      </c>
      <c r="E473" s="50" t="str">
        <f t="shared" si="36"/>
        <v>avr</v>
      </c>
      <c r="F473" s="50">
        <f t="shared" si="37"/>
        <v>7</v>
      </c>
      <c r="G473" s="50">
        <f t="shared" si="38"/>
        <v>2026</v>
      </c>
      <c r="H473" s="51">
        <f>IF($C473="","",IFERROR(DATE(G473,VLOOKUP(E473,Paramètres!$K$11:$L$40,2,FALSE()),F473),"?"))</f>
        <v>46119</v>
      </c>
      <c r="I473" s="50">
        <f>IF(ISNUMBER(H473),IF(COUNTIFS($D$2:D473,D473,$H$2:H473,H473)=1,1,0),"")</f>
        <v>1</v>
      </c>
      <c r="J473" s="50">
        <f>IF(ISNUMBER(H473),IFERROR(INDEX(Calendrier!$C$2:$C$367,MATCH(H473,Calendrier!$A$2:$A$367,0)),0),"")</f>
        <v>1</v>
      </c>
      <c r="K473" s="50">
        <f t="shared" si="39"/>
        <v>1</v>
      </c>
      <c r="L473" s="50">
        <f>IF(D473="","",IF(COUNTIF(Paramètres!$A$11:$A$40,D473)&gt;0,1,0))</f>
        <v>1</v>
      </c>
    </row>
    <row r="474" spans="1:12" hidden="1" x14ac:dyDescent="0.25">
      <c r="A474" s="49"/>
      <c r="B474" s="49" t="s">
        <v>45</v>
      </c>
      <c r="C474" s="49" t="s">
        <v>552</v>
      </c>
      <c r="D474" s="50" t="str">
        <f t="shared" si="35"/>
        <v>Ahlem Moussa</v>
      </c>
      <c r="E474" s="50" t="str">
        <f t="shared" si="36"/>
        <v>avr</v>
      </c>
      <c r="F474" s="50">
        <f t="shared" si="37"/>
        <v>10</v>
      </c>
      <c r="G474" s="50">
        <f t="shared" si="38"/>
        <v>2026</v>
      </c>
      <c r="H474" s="51">
        <f>IF($C474="","",IFERROR(DATE(G474,VLOOKUP(E474,Paramètres!$K$11:$L$40,2,FALSE()),F474),"?"))</f>
        <v>46122</v>
      </c>
      <c r="I474" s="50">
        <f>IF(ISNUMBER(H474),IF(COUNTIFS($D$2:D474,D474,$H$2:H474,H474)=1,1,0),"")</f>
        <v>1</v>
      </c>
      <c r="J474" s="50">
        <f>IF(ISNUMBER(H474),IFERROR(INDEX(Calendrier!$C$2:$C$367,MATCH(H474,Calendrier!$A$2:$A$367,0)),0),"")</f>
        <v>1</v>
      </c>
      <c r="K474" s="50">
        <f t="shared" si="39"/>
        <v>1</v>
      </c>
      <c r="L474" s="50">
        <f>IF(D474="","",IF(COUNTIF(Paramètres!$A$11:$A$40,D474)&gt;0,1,0))</f>
        <v>1</v>
      </c>
    </row>
    <row r="475" spans="1:12" hidden="1" x14ac:dyDescent="0.25">
      <c r="A475" s="49"/>
      <c r="B475" s="49" t="s">
        <v>45</v>
      </c>
      <c r="C475" s="49" t="s">
        <v>553</v>
      </c>
      <c r="D475" s="50" t="str">
        <f t="shared" si="35"/>
        <v>Ahlem Moussa</v>
      </c>
      <c r="E475" s="50" t="str">
        <f t="shared" si="36"/>
        <v>avr</v>
      </c>
      <c r="F475" s="50">
        <f t="shared" si="37"/>
        <v>13</v>
      </c>
      <c r="G475" s="50">
        <f t="shared" si="38"/>
        <v>2026</v>
      </c>
      <c r="H475" s="51">
        <f>IF($C475="","",IFERROR(DATE(G475,VLOOKUP(E475,Paramètres!$K$11:$L$40,2,FALSE()),F475),"?"))</f>
        <v>46125</v>
      </c>
      <c r="I475" s="50">
        <f>IF(ISNUMBER(H475),IF(COUNTIFS($D$2:D475,D475,$H$2:H475,H475)=1,1,0),"")</f>
        <v>1</v>
      </c>
      <c r="J475" s="50">
        <f>IF(ISNUMBER(H475),IFERROR(INDEX(Calendrier!$C$2:$C$367,MATCH(H475,Calendrier!$A$2:$A$367,0)),0),"")</f>
        <v>1</v>
      </c>
      <c r="K475" s="50">
        <f t="shared" si="39"/>
        <v>1</v>
      </c>
      <c r="L475" s="50">
        <f>IF(D475="","",IF(COUNTIF(Paramètres!$A$11:$A$40,D475)&gt;0,1,0))</f>
        <v>1</v>
      </c>
    </row>
    <row r="476" spans="1:12" hidden="1" x14ac:dyDescent="0.25">
      <c r="A476" s="49"/>
      <c r="B476" s="49" t="s">
        <v>45</v>
      </c>
      <c r="C476" s="49" t="s">
        <v>554</v>
      </c>
      <c r="D476" s="50" t="str">
        <f t="shared" si="35"/>
        <v>Ahlem Moussa</v>
      </c>
      <c r="E476" s="50" t="str">
        <f t="shared" si="36"/>
        <v>avr</v>
      </c>
      <c r="F476" s="50">
        <f t="shared" si="37"/>
        <v>14</v>
      </c>
      <c r="G476" s="50">
        <f t="shared" si="38"/>
        <v>2026</v>
      </c>
      <c r="H476" s="51">
        <f>IF($C476="","",IFERROR(DATE(G476,VLOOKUP(E476,Paramètres!$K$11:$L$40,2,FALSE()),F476),"?"))</f>
        <v>46126</v>
      </c>
      <c r="I476" s="50">
        <f>IF(ISNUMBER(H476),IF(COUNTIFS($D$2:D476,D476,$H$2:H476,H476)=1,1,0),"")</f>
        <v>1</v>
      </c>
      <c r="J476" s="50">
        <f>IF(ISNUMBER(H476),IFERROR(INDEX(Calendrier!$C$2:$C$367,MATCH(H476,Calendrier!$A$2:$A$367,0)),0),"")</f>
        <v>1</v>
      </c>
      <c r="K476" s="50">
        <f t="shared" si="39"/>
        <v>1</v>
      </c>
      <c r="L476" s="50">
        <f>IF(D476="","",IF(COUNTIF(Paramètres!$A$11:$A$40,D476)&gt;0,1,0))</f>
        <v>1</v>
      </c>
    </row>
    <row r="477" spans="1:12" hidden="1" x14ac:dyDescent="0.25">
      <c r="A477" s="49"/>
      <c r="B477" s="49" t="s">
        <v>45</v>
      </c>
      <c r="C477" s="49" t="s">
        <v>555</v>
      </c>
      <c r="D477" s="50" t="str">
        <f t="shared" si="35"/>
        <v>Ahlem Moussa</v>
      </c>
      <c r="E477" s="50" t="str">
        <f t="shared" si="36"/>
        <v>avr</v>
      </c>
      <c r="F477" s="50">
        <f t="shared" si="37"/>
        <v>15</v>
      </c>
      <c r="G477" s="50">
        <f t="shared" si="38"/>
        <v>2026</v>
      </c>
      <c r="H477" s="51">
        <f>IF($C477="","",IFERROR(DATE(G477,VLOOKUP(E477,Paramètres!$K$11:$L$40,2,FALSE()),F477),"?"))</f>
        <v>46127</v>
      </c>
      <c r="I477" s="50">
        <f>IF(ISNUMBER(H477),IF(COUNTIFS($D$2:D477,D477,$H$2:H477,H477)=1,1,0),"")</f>
        <v>1</v>
      </c>
      <c r="J477" s="50">
        <f>IF(ISNUMBER(H477),IFERROR(INDEX(Calendrier!$C$2:$C$367,MATCH(H477,Calendrier!$A$2:$A$367,0)),0),"")</f>
        <v>1</v>
      </c>
      <c r="K477" s="50">
        <f t="shared" si="39"/>
        <v>1</v>
      </c>
      <c r="L477" s="50">
        <f>IF(D477="","",IF(COUNTIF(Paramètres!$A$11:$A$40,D477)&gt;0,1,0))</f>
        <v>1</v>
      </c>
    </row>
    <row r="478" spans="1:12" hidden="1" x14ac:dyDescent="0.25">
      <c r="A478" s="49"/>
      <c r="B478" s="49" t="s">
        <v>45</v>
      </c>
      <c r="C478" s="49" t="s">
        <v>556</v>
      </c>
      <c r="D478" s="50" t="str">
        <f t="shared" si="35"/>
        <v>Ahlem Moussa</v>
      </c>
      <c r="E478" s="50" t="str">
        <f t="shared" si="36"/>
        <v>avr</v>
      </c>
      <c r="F478" s="50">
        <f t="shared" si="37"/>
        <v>16</v>
      </c>
      <c r="G478" s="50">
        <f t="shared" si="38"/>
        <v>2026</v>
      </c>
      <c r="H478" s="51">
        <f>IF($C478="","",IFERROR(DATE(G478,VLOOKUP(E478,Paramètres!$K$11:$L$40,2,FALSE()),F478),"?"))</f>
        <v>46128</v>
      </c>
      <c r="I478" s="50">
        <f>IF(ISNUMBER(H478),IF(COUNTIFS($D$2:D478,D478,$H$2:H478,H478)=1,1,0),"")</f>
        <v>1</v>
      </c>
      <c r="J478" s="50">
        <f>IF(ISNUMBER(H478),IFERROR(INDEX(Calendrier!$C$2:$C$367,MATCH(H478,Calendrier!$A$2:$A$367,0)),0),"")</f>
        <v>1</v>
      </c>
      <c r="K478" s="50">
        <f t="shared" si="39"/>
        <v>1</v>
      </c>
      <c r="L478" s="50">
        <f>IF(D478="","",IF(COUNTIF(Paramètres!$A$11:$A$40,D478)&gt;0,1,0))</f>
        <v>1</v>
      </c>
    </row>
    <row r="479" spans="1:12" hidden="1" x14ac:dyDescent="0.25">
      <c r="A479" s="49"/>
      <c r="B479" s="49" t="s">
        <v>45</v>
      </c>
      <c r="C479" s="49" t="s">
        <v>557</v>
      </c>
      <c r="D479" s="50" t="str">
        <f t="shared" si="35"/>
        <v>Ahlem Moussa</v>
      </c>
      <c r="E479" s="50" t="str">
        <f t="shared" si="36"/>
        <v>avr</v>
      </c>
      <c r="F479" s="50">
        <f t="shared" si="37"/>
        <v>17</v>
      </c>
      <c r="G479" s="50">
        <f t="shared" si="38"/>
        <v>2026</v>
      </c>
      <c r="H479" s="51">
        <f>IF($C479="","",IFERROR(DATE(G479,VLOOKUP(E479,Paramètres!$K$11:$L$40,2,FALSE()),F479),"?"))</f>
        <v>46129</v>
      </c>
      <c r="I479" s="50">
        <f>IF(ISNUMBER(H479),IF(COUNTIFS($D$2:D479,D479,$H$2:H479,H479)=1,1,0),"")</f>
        <v>1</v>
      </c>
      <c r="J479" s="50">
        <f>IF(ISNUMBER(H479),IFERROR(INDEX(Calendrier!$C$2:$C$367,MATCH(H479,Calendrier!$A$2:$A$367,0)),0),"")</f>
        <v>1</v>
      </c>
      <c r="K479" s="50">
        <f t="shared" si="39"/>
        <v>1</v>
      </c>
      <c r="L479" s="50">
        <f>IF(D479="","",IF(COUNTIF(Paramètres!$A$11:$A$40,D479)&gt;0,1,0))</f>
        <v>1</v>
      </c>
    </row>
    <row r="480" spans="1:12" hidden="1" x14ac:dyDescent="0.25">
      <c r="A480" s="49"/>
      <c r="B480" s="49" t="s">
        <v>45</v>
      </c>
      <c r="C480" s="49" t="s">
        <v>558</v>
      </c>
      <c r="D480" s="50" t="str">
        <f t="shared" si="35"/>
        <v>Ahlem Moussa</v>
      </c>
      <c r="E480" s="50" t="str">
        <f t="shared" si="36"/>
        <v>avr</v>
      </c>
      <c r="F480" s="50">
        <f t="shared" si="37"/>
        <v>20</v>
      </c>
      <c r="G480" s="50">
        <f t="shared" si="38"/>
        <v>2026</v>
      </c>
      <c r="H480" s="51">
        <f>IF($C480="","",IFERROR(DATE(G480,VLOOKUP(E480,Paramètres!$K$11:$L$40,2,FALSE()),F480),"?"))</f>
        <v>46132</v>
      </c>
      <c r="I480" s="50">
        <f>IF(ISNUMBER(H480),IF(COUNTIFS($D$2:D480,D480,$H$2:H480,H480)=1,1,0),"")</f>
        <v>1</v>
      </c>
      <c r="J480" s="50">
        <f>IF(ISNUMBER(H480),IFERROR(INDEX(Calendrier!$C$2:$C$367,MATCH(H480,Calendrier!$A$2:$A$367,0)),0),"")</f>
        <v>1</v>
      </c>
      <c r="K480" s="50">
        <f t="shared" si="39"/>
        <v>1</v>
      </c>
      <c r="L480" s="50">
        <f>IF(D480="","",IF(COUNTIF(Paramètres!$A$11:$A$40,D480)&gt;0,1,0))</f>
        <v>1</v>
      </c>
    </row>
    <row r="481" spans="1:12" hidden="1" x14ac:dyDescent="0.25">
      <c r="A481" s="49"/>
      <c r="B481" s="49" t="s">
        <v>45</v>
      </c>
      <c r="C481" s="49" t="s">
        <v>559</v>
      </c>
      <c r="D481" s="50" t="str">
        <f t="shared" si="35"/>
        <v>Ahlem Moussa</v>
      </c>
      <c r="E481" s="50" t="str">
        <f t="shared" si="36"/>
        <v>avr</v>
      </c>
      <c r="F481" s="50">
        <f t="shared" si="37"/>
        <v>21</v>
      </c>
      <c r="G481" s="50">
        <f t="shared" si="38"/>
        <v>2026</v>
      </c>
      <c r="H481" s="51">
        <f>IF($C481="","",IFERROR(DATE(G481,VLOOKUP(E481,Paramètres!$K$11:$L$40,2,FALSE()),F481),"?"))</f>
        <v>46133</v>
      </c>
      <c r="I481" s="50">
        <f>IF(ISNUMBER(H481),IF(COUNTIFS($D$2:D481,D481,$H$2:H481,H481)=1,1,0),"")</f>
        <v>1</v>
      </c>
      <c r="J481" s="50">
        <f>IF(ISNUMBER(H481),IFERROR(INDEX(Calendrier!$C$2:$C$367,MATCH(H481,Calendrier!$A$2:$A$367,0)),0),"")</f>
        <v>1</v>
      </c>
      <c r="K481" s="50">
        <f t="shared" si="39"/>
        <v>1</v>
      </c>
      <c r="L481" s="50">
        <f>IF(D481="","",IF(COUNTIF(Paramètres!$A$11:$A$40,D481)&gt;0,1,0))</f>
        <v>1</v>
      </c>
    </row>
    <row r="482" spans="1:12" hidden="1" x14ac:dyDescent="0.25">
      <c r="A482" s="49"/>
      <c r="B482" s="49" t="s">
        <v>45</v>
      </c>
      <c r="C482" s="49" t="s">
        <v>560</v>
      </c>
      <c r="D482" s="50" t="str">
        <f t="shared" si="35"/>
        <v>Ahlem Moussa</v>
      </c>
      <c r="E482" s="50" t="str">
        <f t="shared" si="36"/>
        <v>avr</v>
      </c>
      <c r="F482" s="50">
        <f t="shared" si="37"/>
        <v>22</v>
      </c>
      <c r="G482" s="50">
        <f t="shared" si="38"/>
        <v>2026</v>
      </c>
      <c r="H482" s="51">
        <f>IF($C482="","",IFERROR(DATE(G482,VLOOKUP(E482,Paramètres!$K$11:$L$40,2,FALSE()),F482),"?"))</f>
        <v>46134</v>
      </c>
      <c r="I482" s="50">
        <f>IF(ISNUMBER(H482),IF(COUNTIFS($D$2:D482,D482,$H$2:H482,H482)=1,1,0),"")</f>
        <v>1</v>
      </c>
      <c r="J482" s="50">
        <f>IF(ISNUMBER(H482),IFERROR(INDEX(Calendrier!$C$2:$C$367,MATCH(H482,Calendrier!$A$2:$A$367,0)),0),"")</f>
        <v>1</v>
      </c>
      <c r="K482" s="50">
        <f t="shared" si="39"/>
        <v>1</v>
      </c>
      <c r="L482" s="50">
        <f>IF(D482="","",IF(COUNTIF(Paramètres!$A$11:$A$40,D482)&gt;0,1,0))</f>
        <v>1</v>
      </c>
    </row>
    <row r="483" spans="1:12" hidden="1" x14ac:dyDescent="0.25">
      <c r="A483" s="49"/>
      <c r="B483" s="49" t="s">
        <v>45</v>
      </c>
      <c r="C483" s="49" t="s">
        <v>561</v>
      </c>
      <c r="D483" s="50" t="str">
        <f t="shared" si="35"/>
        <v>Ahlem Moussa</v>
      </c>
      <c r="E483" s="50" t="str">
        <f t="shared" si="36"/>
        <v>avr</v>
      </c>
      <c r="F483" s="50">
        <f t="shared" si="37"/>
        <v>23</v>
      </c>
      <c r="G483" s="50">
        <f t="shared" si="38"/>
        <v>2026</v>
      </c>
      <c r="H483" s="51">
        <f>IF($C483="","",IFERROR(DATE(G483,VLOOKUP(E483,Paramètres!$K$11:$L$40,2,FALSE()),F483),"?"))</f>
        <v>46135</v>
      </c>
      <c r="I483" s="50">
        <f>IF(ISNUMBER(H483),IF(COUNTIFS($D$2:D483,D483,$H$2:H483,H483)=1,1,0),"")</f>
        <v>1</v>
      </c>
      <c r="J483" s="50">
        <f>IF(ISNUMBER(H483),IFERROR(INDEX(Calendrier!$C$2:$C$367,MATCH(H483,Calendrier!$A$2:$A$367,0)),0),"")</f>
        <v>1</v>
      </c>
      <c r="K483" s="50">
        <f t="shared" si="39"/>
        <v>1</v>
      </c>
      <c r="L483" s="50">
        <f>IF(D483="","",IF(COUNTIF(Paramètres!$A$11:$A$40,D483)&gt;0,1,0))</f>
        <v>1</v>
      </c>
    </row>
    <row r="484" spans="1:12" hidden="1" x14ac:dyDescent="0.25">
      <c r="A484" s="49"/>
      <c r="B484" s="49" t="s">
        <v>45</v>
      </c>
      <c r="C484" s="49" t="s">
        <v>562</v>
      </c>
      <c r="D484" s="50" t="str">
        <f t="shared" si="35"/>
        <v>Ahlem Moussa</v>
      </c>
      <c r="E484" s="50" t="str">
        <f t="shared" si="36"/>
        <v>avr</v>
      </c>
      <c r="F484" s="50">
        <f t="shared" si="37"/>
        <v>27</v>
      </c>
      <c r="G484" s="50">
        <f t="shared" si="38"/>
        <v>2026</v>
      </c>
      <c r="H484" s="51">
        <f>IF($C484="","",IFERROR(DATE(G484,VLOOKUP(E484,Paramètres!$K$11:$L$40,2,FALSE()),F484),"?"))</f>
        <v>46139</v>
      </c>
      <c r="I484" s="50">
        <f>IF(ISNUMBER(H484),IF(COUNTIFS($D$2:D484,D484,$H$2:H484,H484)=1,1,0),"")</f>
        <v>1</v>
      </c>
      <c r="J484" s="50">
        <f>IF(ISNUMBER(H484),IFERROR(INDEX(Calendrier!$C$2:$C$367,MATCH(H484,Calendrier!$A$2:$A$367,0)),0),"")</f>
        <v>1</v>
      </c>
      <c r="K484" s="50">
        <f t="shared" si="39"/>
        <v>1</v>
      </c>
      <c r="L484" s="50">
        <f>IF(D484="","",IF(COUNTIF(Paramètres!$A$11:$A$40,D484)&gt;0,1,0))</f>
        <v>1</v>
      </c>
    </row>
    <row r="485" spans="1:12" hidden="1" x14ac:dyDescent="0.25">
      <c r="A485" s="49"/>
      <c r="B485" s="49" t="s">
        <v>45</v>
      </c>
      <c r="C485" s="49" t="s">
        <v>563</v>
      </c>
      <c r="D485" s="50" t="str">
        <f t="shared" si="35"/>
        <v>Ahlem Moussa</v>
      </c>
      <c r="E485" s="50" t="str">
        <f t="shared" si="36"/>
        <v>avr</v>
      </c>
      <c r="F485" s="50">
        <f t="shared" si="37"/>
        <v>29</v>
      </c>
      <c r="G485" s="50">
        <f t="shared" si="38"/>
        <v>2026</v>
      </c>
      <c r="H485" s="51">
        <f>IF($C485="","",IFERROR(DATE(G485,VLOOKUP(E485,Paramètres!$K$11:$L$40,2,FALSE()),F485),"?"))</f>
        <v>46141</v>
      </c>
      <c r="I485" s="50">
        <f>IF(ISNUMBER(H485),IF(COUNTIFS($D$2:D485,D485,$H$2:H485,H485)=1,1,0),"")</f>
        <v>1</v>
      </c>
      <c r="J485" s="50">
        <f>IF(ISNUMBER(H485),IFERROR(INDEX(Calendrier!$C$2:$C$367,MATCH(H485,Calendrier!$A$2:$A$367,0)),0),"")</f>
        <v>1</v>
      </c>
      <c r="K485" s="50">
        <f t="shared" si="39"/>
        <v>1</v>
      </c>
      <c r="L485" s="50">
        <f>IF(D485="","",IF(COUNTIF(Paramètres!$A$11:$A$40,D485)&gt;0,1,0))</f>
        <v>1</v>
      </c>
    </row>
    <row r="486" spans="1:12" hidden="1" x14ac:dyDescent="0.25">
      <c r="A486" s="49"/>
      <c r="B486" s="49" t="s">
        <v>48</v>
      </c>
      <c r="C486" s="49" t="s">
        <v>564</v>
      </c>
      <c r="D486" s="50" t="str">
        <f t="shared" si="35"/>
        <v>Amani Nasser</v>
      </c>
      <c r="E486" s="50" t="str">
        <f t="shared" si="36"/>
        <v>avr</v>
      </c>
      <c r="F486" s="50">
        <f t="shared" si="37"/>
        <v>13</v>
      </c>
      <c r="G486" s="50">
        <f t="shared" si="38"/>
        <v>2026</v>
      </c>
      <c r="H486" s="51">
        <f>IF($C486="","",IFERROR(DATE(G486,VLOOKUP(E486,Paramètres!$K$11:$L$40,2,FALSE()),F486),"?"))</f>
        <v>46125</v>
      </c>
      <c r="I486" s="50">
        <f>IF(ISNUMBER(H486),IF(COUNTIFS($D$2:D486,D486,$H$2:H486,H486)=1,1,0),"")</f>
        <v>1</v>
      </c>
      <c r="J486" s="50">
        <f>IF(ISNUMBER(H486),IFERROR(INDEX(Calendrier!$C$2:$C$367,MATCH(H486,Calendrier!$A$2:$A$367,0)),0),"")</f>
        <v>1</v>
      </c>
      <c r="K486" s="50">
        <f t="shared" si="39"/>
        <v>1</v>
      </c>
      <c r="L486" s="50">
        <f>IF(D486="","",IF(COUNTIF(Paramètres!$A$11:$A$40,D486)&gt;0,1,0))</f>
        <v>1</v>
      </c>
    </row>
    <row r="487" spans="1:12" hidden="1" x14ac:dyDescent="0.25">
      <c r="A487" s="49"/>
      <c r="B487" s="49" t="s">
        <v>73</v>
      </c>
      <c r="C487" s="49" t="s">
        <v>565</v>
      </c>
      <c r="D487" s="50" t="str">
        <f t="shared" si="35"/>
        <v>Mourad Ayari</v>
      </c>
      <c r="E487" s="50" t="str">
        <f t="shared" si="36"/>
        <v>avr</v>
      </c>
      <c r="F487" s="50">
        <f t="shared" si="37"/>
        <v>4</v>
      </c>
      <c r="G487" s="50">
        <f t="shared" si="38"/>
        <v>2026</v>
      </c>
      <c r="H487" s="51">
        <f>IF($C487="","",IFERROR(DATE(G487,VLOOKUP(E487,Paramètres!$K$11:$L$40,2,FALSE()),F487),"?"))</f>
        <v>46116</v>
      </c>
      <c r="I487" s="50">
        <f>IF(ISNUMBER(H487),IF(COUNTIFS($D$2:D487,D487,$H$2:H487,H487)=1,1,0),"")</f>
        <v>1</v>
      </c>
      <c r="J487" s="50">
        <f>IF(ISNUMBER(H487),IFERROR(INDEX(Calendrier!$C$2:$C$367,MATCH(H487,Calendrier!$A$2:$A$367,0)),0),"")</f>
        <v>0</v>
      </c>
      <c r="K487" s="50">
        <f t="shared" si="39"/>
        <v>0</v>
      </c>
      <c r="L487" s="50">
        <f>IF(D487="","",IF(COUNTIF(Paramètres!$A$11:$A$40,D487)&gt;0,1,0))</f>
        <v>1</v>
      </c>
    </row>
    <row r="488" spans="1:12" hidden="1" x14ac:dyDescent="0.25">
      <c r="A488" s="49"/>
      <c r="B488" s="49" t="s">
        <v>73</v>
      </c>
      <c r="C488" s="49" t="s">
        <v>566</v>
      </c>
      <c r="D488" s="50" t="str">
        <f t="shared" si="35"/>
        <v>Mourad Ayari</v>
      </c>
      <c r="E488" s="50" t="str">
        <f t="shared" si="36"/>
        <v>avr</v>
      </c>
      <c r="F488" s="50">
        <f t="shared" si="37"/>
        <v>6</v>
      </c>
      <c r="G488" s="50">
        <f t="shared" si="38"/>
        <v>2026</v>
      </c>
      <c r="H488" s="51">
        <f>IF($C488="","",IFERROR(DATE(G488,VLOOKUP(E488,Paramètres!$K$11:$L$40,2,FALSE()),F488),"?"))</f>
        <v>46118</v>
      </c>
      <c r="I488" s="50">
        <f>IF(ISNUMBER(H488),IF(COUNTIFS($D$2:D488,D488,$H$2:H488,H488)=1,1,0),"")</f>
        <v>1</v>
      </c>
      <c r="J488" s="50">
        <f>IF(ISNUMBER(H488),IFERROR(INDEX(Calendrier!$C$2:$C$367,MATCH(H488,Calendrier!$A$2:$A$367,0)),0),"")</f>
        <v>1</v>
      </c>
      <c r="K488" s="50">
        <f t="shared" si="39"/>
        <v>1</v>
      </c>
      <c r="L488" s="50">
        <f>IF(D488="","",IF(COUNTIF(Paramètres!$A$11:$A$40,D488)&gt;0,1,0))</f>
        <v>1</v>
      </c>
    </row>
    <row r="489" spans="1:12" hidden="1" x14ac:dyDescent="0.25">
      <c r="A489" s="49"/>
      <c r="B489" s="49" t="s">
        <v>73</v>
      </c>
      <c r="C489" s="49" t="s">
        <v>567</v>
      </c>
      <c r="D489" s="50" t="str">
        <f t="shared" si="35"/>
        <v>Mourad Ayari</v>
      </c>
      <c r="E489" s="50" t="str">
        <f t="shared" si="36"/>
        <v>avr</v>
      </c>
      <c r="F489" s="50">
        <f t="shared" si="37"/>
        <v>7</v>
      </c>
      <c r="G489" s="50">
        <f t="shared" si="38"/>
        <v>2026</v>
      </c>
      <c r="H489" s="51">
        <f>IF($C489="","",IFERROR(DATE(G489,VLOOKUP(E489,Paramètres!$K$11:$L$40,2,FALSE()),F489),"?"))</f>
        <v>46119</v>
      </c>
      <c r="I489" s="50">
        <f>IF(ISNUMBER(H489),IF(COUNTIFS($D$2:D489,D489,$H$2:H489,H489)=1,1,0),"")</f>
        <v>1</v>
      </c>
      <c r="J489" s="50">
        <f>IF(ISNUMBER(H489),IFERROR(INDEX(Calendrier!$C$2:$C$367,MATCH(H489,Calendrier!$A$2:$A$367,0)),0),"")</f>
        <v>1</v>
      </c>
      <c r="K489" s="50">
        <f t="shared" si="39"/>
        <v>1</v>
      </c>
      <c r="L489" s="50">
        <f>IF(D489="","",IF(COUNTIF(Paramètres!$A$11:$A$40,D489)&gt;0,1,0))</f>
        <v>1</v>
      </c>
    </row>
    <row r="490" spans="1:12" hidden="1" x14ac:dyDescent="0.25">
      <c r="A490" s="49"/>
      <c r="B490" s="49" t="s">
        <v>73</v>
      </c>
      <c r="C490" s="49" t="s">
        <v>568</v>
      </c>
      <c r="D490" s="50" t="str">
        <f t="shared" si="35"/>
        <v>Mourad Ayari</v>
      </c>
      <c r="E490" s="50" t="str">
        <f t="shared" si="36"/>
        <v>avr</v>
      </c>
      <c r="F490" s="50">
        <f t="shared" si="37"/>
        <v>8</v>
      </c>
      <c r="G490" s="50">
        <f t="shared" si="38"/>
        <v>2026</v>
      </c>
      <c r="H490" s="51">
        <f>IF($C490="","",IFERROR(DATE(G490,VLOOKUP(E490,Paramètres!$K$11:$L$40,2,FALSE()),F490),"?"))</f>
        <v>46120</v>
      </c>
      <c r="I490" s="50">
        <f>IF(ISNUMBER(H490),IF(COUNTIFS($D$2:D490,D490,$H$2:H490,H490)=1,1,0),"")</f>
        <v>1</v>
      </c>
      <c r="J490" s="50">
        <f>IF(ISNUMBER(H490),IFERROR(INDEX(Calendrier!$C$2:$C$367,MATCH(H490,Calendrier!$A$2:$A$367,0)),0),"")</f>
        <v>1</v>
      </c>
      <c r="K490" s="50">
        <f t="shared" si="39"/>
        <v>1</v>
      </c>
      <c r="L490" s="50">
        <f>IF(D490="","",IF(COUNTIF(Paramètres!$A$11:$A$40,D490)&gt;0,1,0))</f>
        <v>1</v>
      </c>
    </row>
    <row r="491" spans="1:12" hidden="1" x14ac:dyDescent="0.25">
      <c r="A491" s="49"/>
      <c r="B491" s="49" t="s">
        <v>73</v>
      </c>
      <c r="C491" s="49" t="s">
        <v>569</v>
      </c>
      <c r="D491" s="50" t="str">
        <f t="shared" si="35"/>
        <v>Mourad Ayari</v>
      </c>
      <c r="E491" s="50" t="str">
        <f t="shared" si="36"/>
        <v>avr</v>
      </c>
      <c r="F491" s="50">
        <f t="shared" si="37"/>
        <v>10</v>
      </c>
      <c r="G491" s="50">
        <f t="shared" si="38"/>
        <v>2026</v>
      </c>
      <c r="H491" s="51">
        <f>IF($C491="","",IFERROR(DATE(G491,VLOOKUP(E491,Paramètres!$K$11:$L$40,2,FALSE()),F491),"?"))</f>
        <v>46122</v>
      </c>
      <c r="I491" s="50">
        <f>IF(ISNUMBER(H491),IF(COUNTIFS($D$2:D491,D491,$H$2:H491,H491)=1,1,0),"")</f>
        <v>1</v>
      </c>
      <c r="J491" s="50">
        <f>IF(ISNUMBER(H491),IFERROR(INDEX(Calendrier!$C$2:$C$367,MATCH(H491,Calendrier!$A$2:$A$367,0)),0),"")</f>
        <v>1</v>
      </c>
      <c r="K491" s="50">
        <f t="shared" si="39"/>
        <v>1</v>
      </c>
      <c r="L491" s="50">
        <f>IF(D491="","",IF(COUNTIF(Paramètres!$A$11:$A$40,D491)&gt;0,1,0))</f>
        <v>1</v>
      </c>
    </row>
    <row r="492" spans="1:12" hidden="1" x14ac:dyDescent="0.25">
      <c r="A492" s="49"/>
      <c r="B492" s="49" t="s">
        <v>73</v>
      </c>
      <c r="C492" s="49" t="s">
        <v>570</v>
      </c>
      <c r="D492" s="50" t="str">
        <f t="shared" si="35"/>
        <v>Mourad Ayari</v>
      </c>
      <c r="E492" s="50" t="str">
        <f t="shared" si="36"/>
        <v>avr</v>
      </c>
      <c r="F492" s="50">
        <f t="shared" si="37"/>
        <v>15</v>
      </c>
      <c r="G492" s="50">
        <f t="shared" si="38"/>
        <v>2026</v>
      </c>
      <c r="H492" s="51">
        <f>IF($C492="","",IFERROR(DATE(G492,VLOOKUP(E492,Paramètres!$K$11:$L$40,2,FALSE()),F492),"?"))</f>
        <v>46127</v>
      </c>
      <c r="I492" s="50">
        <f>IF(ISNUMBER(H492),IF(COUNTIFS($D$2:D492,D492,$H$2:H492,H492)=1,1,0),"")</f>
        <v>1</v>
      </c>
      <c r="J492" s="50">
        <f>IF(ISNUMBER(H492),IFERROR(INDEX(Calendrier!$C$2:$C$367,MATCH(H492,Calendrier!$A$2:$A$367,0)),0),"")</f>
        <v>1</v>
      </c>
      <c r="K492" s="50">
        <f t="shared" si="39"/>
        <v>1</v>
      </c>
      <c r="L492" s="50">
        <f>IF(D492="","",IF(COUNTIF(Paramètres!$A$11:$A$40,D492)&gt;0,1,0))</f>
        <v>1</v>
      </c>
    </row>
    <row r="493" spans="1:12" hidden="1" x14ac:dyDescent="0.25">
      <c r="A493" s="49"/>
      <c r="B493" s="49" t="s">
        <v>73</v>
      </c>
      <c r="C493" s="49" t="s">
        <v>571</v>
      </c>
      <c r="D493" s="50" t="str">
        <f t="shared" si="35"/>
        <v>Mourad Ayari</v>
      </c>
      <c r="E493" s="50" t="str">
        <f t="shared" si="36"/>
        <v>avr</v>
      </c>
      <c r="F493" s="50">
        <f t="shared" si="37"/>
        <v>18</v>
      </c>
      <c r="G493" s="50">
        <f t="shared" si="38"/>
        <v>2026</v>
      </c>
      <c r="H493" s="51">
        <f>IF($C493="","",IFERROR(DATE(G493,VLOOKUP(E493,Paramètres!$K$11:$L$40,2,FALSE()),F493),"?"))</f>
        <v>46130</v>
      </c>
      <c r="I493" s="50">
        <f>IF(ISNUMBER(H493),IF(COUNTIFS($D$2:D493,D493,$H$2:H493,H493)=1,1,0),"")</f>
        <v>1</v>
      </c>
      <c r="J493" s="50">
        <f>IF(ISNUMBER(H493),IFERROR(INDEX(Calendrier!$C$2:$C$367,MATCH(H493,Calendrier!$A$2:$A$367,0)),0),"")</f>
        <v>0</v>
      </c>
      <c r="K493" s="50">
        <f t="shared" si="39"/>
        <v>0</v>
      </c>
      <c r="L493" s="50">
        <f>IF(D493="","",IF(COUNTIF(Paramètres!$A$11:$A$40,D493)&gt;0,1,0))</f>
        <v>1</v>
      </c>
    </row>
    <row r="494" spans="1:12" hidden="1" x14ac:dyDescent="0.25">
      <c r="A494" s="49"/>
      <c r="B494" s="49" t="s">
        <v>73</v>
      </c>
      <c r="C494" s="49" t="s">
        <v>572</v>
      </c>
      <c r="D494" s="50" t="str">
        <f t="shared" si="35"/>
        <v>Mourad Ayari</v>
      </c>
      <c r="E494" s="50" t="str">
        <f t="shared" si="36"/>
        <v>avr</v>
      </c>
      <c r="F494" s="50">
        <f t="shared" si="37"/>
        <v>21</v>
      </c>
      <c r="G494" s="50">
        <f t="shared" si="38"/>
        <v>2026</v>
      </c>
      <c r="H494" s="51">
        <f>IF($C494="","",IFERROR(DATE(G494,VLOOKUP(E494,Paramètres!$K$11:$L$40,2,FALSE()),F494),"?"))</f>
        <v>46133</v>
      </c>
      <c r="I494" s="50">
        <f>IF(ISNUMBER(H494),IF(COUNTIFS($D$2:D494,D494,$H$2:H494,H494)=1,1,0),"")</f>
        <v>1</v>
      </c>
      <c r="J494" s="50">
        <f>IF(ISNUMBER(H494),IFERROR(INDEX(Calendrier!$C$2:$C$367,MATCH(H494,Calendrier!$A$2:$A$367,0)),0),"")</f>
        <v>1</v>
      </c>
      <c r="K494" s="50">
        <f t="shared" si="39"/>
        <v>1</v>
      </c>
      <c r="L494" s="50">
        <f>IF(D494="","",IF(COUNTIF(Paramètres!$A$11:$A$40,D494)&gt;0,1,0))</f>
        <v>1</v>
      </c>
    </row>
    <row r="495" spans="1:12" hidden="1" x14ac:dyDescent="0.25">
      <c r="A495" s="49"/>
      <c r="B495" s="49" t="s">
        <v>73</v>
      </c>
      <c r="C495" s="49" t="s">
        <v>573</v>
      </c>
      <c r="D495" s="50" t="str">
        <f t="shared" si="35"/>
        <v>Mourad Ayari</v>
      </c>
      <c r="E495" s="50" t="str">
        <f t="shared" si="36"/>
        <v>avr</v>
      </c>
      <c r="F495" s="50">
        <f t="shared" si="37"/>
        <v>29</v>
      </c>
      <c r="G495" s="50">
        <f t="shared" si="38"/>
        <v>2026</v>
      </c>
      <c r="H495" s="51">
        <f>IF($C495="","",IFERROR(DATE(G495,VLOOKUP(E495,Paramètres!$K$11:$L$40,2,FALSE()),F495),"?"))</f>
        <v>46141</v>
      </c>
      <c r="I495" s="50">
        <f>IF(ISNUMBER(H495),IF(COUNTIFS($D$2:D495,D495,$H$2:H495,H495)=1,1,0),"")</f>
        <v>1</v>
      </c>
      <c r="J495" s="50">
        <f>IF(ISNUMBER(H495),IFERROR(INDEX(Calendrier!$C$2:$C$367,MATCH(H495,Calendrier!$A$2:$A$367,0)),0),"")</f>
        <v>1</v>
      </c>
      <c r="K495" s="50">
        <f t="shared" si="39"/>
        <v>1</v>
      </c>
      <c r="L495" s="50">
        <f>IF(D495="","",IF(COUNTIF(Paramètres!$A$11:$A$40,D495)&gt;0,1,0))</f>
        <v>1</v>
      </c>
    </row>
    <row r="496" spans="1:12" hidden="1" x14ac:dyDescent="0.25">
      <c r="A496" s="49"/>
      <c r="B496" s="49" t="s">
        <v>61</v>
      </c>
      <c r="C496" s="49" t="s">
        <v>574</v>
      </c>
      <c r="D496" s="50" t="str">
        <f t="shared" si="35"/>
        <v>Ines Farhat</v>
      </c>
      <c r="E496" s="50" t="str">
        <f t="shared" si="36"/>
        <v>avr</v>
      </c>
      <c r="F496" s="50">
        <f t="shared" si="37"/>
        <v>3</v>
      </c>
      <c r="G496" s="50">
        <f t="shared" si="38"/>
        <v>2026</v>
      </c>
      <c r="H496" s="51">
        <f>IF($C496="","",IFERROR(DATE(G496,VLOOKUP(E496,Paramètres!$K$11:$L$40,2,FALSE()),F496),"?"))</f>
        <v>46115</v>
      </c>
      <c r="I496" s="50">
        <f>IF(ISNUMBER(H496),IF(COUNTIFS($D$2:D496,D496,$H$2:H496,H496)=1,1,0),"")</f>
        <v>1</v>
      </c>
      <c r="J496" s="50">
        <f>IF(ISNUMBER(H496),IFERROR(INDEX(Calendrier!$C$2:$C$367,MATCH(H496,Calendrier!$A$2:$A$367,0)),0),"")</f>
        <v>1</v>
      </c>
      <c r="K496" s="50">
        <f t="shared" si="39"/>
        <v>1</v>
      </c>
      <c r="L496" s="50">
        <f>IF(D496="","",IF(COUNTIF(Paramètres!$A$11:$A$40,D496)&gt;0,1,0))</f>
        <v>1</v>
      </c>
    </row>
    <row r="497" spans="1:12" hidden="1" x14ac:dyDescent="0.25">
      <c r="A497" s="49"/>
      <c r="B497" s="49" t="s">
        <v>61</v>
      </c>
      <c r="C497" s="49" t="s">
        <v>575</v>
      </c>
      <c r="D497" s="50" t="str">
        <f t="shared" si="35"/>
        <v>Ines Farhat</v>
      </c>
      <c r="E497" s="50" t="str">
        <f t="shared" si="36"/>
        <v>avr</v>
      </c>
      <c r="F497" s="50">
        <f t="shared" si="37"/>
        <v>6</v>
      </c>
      <c r="G497" s="50">
        <f t="shared" si="38"/>
        <v>2026</v>
      </c>
      <c r="H497" s="51">
        <f>IF($C497="","",IFERROR(DATE(G497,VLOOKUP(E497,Paramètres!$K$11:$L$40,2,FALSE()),F497),"?"))</f>
        <v>46118</v>
      </c>
      <c r="I497" s="50">
        <f>IF(ISNUMBER(H497),IF(COUNTIFS($D$2:D497,D497,$H$2:H497,H497)=1,1,0),"")</f>
        <v>1</v>
      </c>
      <c r="J497" s="50">
        <f>IF(ISNUMBER(H497),IFERROR(INDEX(Calendrier!$C$2:$C$367,MATCH(H497,Calendrier!$A$2:$A$367,0)),0),"")</f>
        <v>1</v>
      </c>
      <c r="K497" s="50">
        <f t="shared" si="39"/>
        <v>1</v>
      </c>
      <c r="L497" s="50">
        <f>IF(D497="","",IF(COUNTIF(Paramètres!$A$11:$A$40,D497)&gt;0,1,0))</f>
        <v>1</v>
      </c>
    </row>
    <row r="498" spans="1:12" hidden="1" x14ac:dyDescent="0.25">
      <c r="A498" s="49"/>
      <c r="B498" s="49" t="s">
        <v>61</v>
      </c>
      <c r="C498" s="49" t="s">
        <v>576</v>
      </c>
      <c r="D498" s="50" t="str">
        <f t="shared" si="35"/>
        <v>Ines Farhat</v>
      </c>
      <c r="E498" s="50" t="str">
        <f t="shared" si="36"/>
        <v>avr</v>
      </c>
      <c r="F498" s="50">
        <f t="shared" si="37"/>
        <v>7</v>
      </c>
      <c r="G498" s="50">
        <f t="shared" si="38"/>
        <v>2026</v>
      </c>
      <c r="H498" s="51">
        <f>IF($C498="","",IFERROR(DATE(G498,VLOOKUP(E498,Paramètres!$K$11:$L$40,2,FALSE()),F498),"?"))</f>
        <v>46119</v>
      </c>
      <c r="I498" s="50">
        <f>IF(ISNUMBER(H498),IF(COUNTIFS($D$2:D498,D498,$H$2:H498,H498)=1,1,0),"")</f>
        <v>1</v>
      </c>
      <c r="J498" s="50">
        <f>IF(ISNUMBER(H498),IFERROR(INDEX(Calendrier!$C$2:$C$367,MATCH(H498,Calendrier!$A$2:$A$367,0)),0),"")</f>
        <v>1</v>
      </c>
      <c r="K498" s="50">
        <f t="shared" si="39"/>
        <v>1</v>
      </c>
      <c r="L498" s="50">
        <f>IF(D498="","",IF(COUNTIF(Paramètres!$A$11:$A$40,D498)&gt;0,1,0))</f>
        <v>1</v>
      </c>
    </row>
    <row r="499" spans="1:12" hidden="1" x14ac:dyDescent="0.25">
      <c r="A499" s="49"/>
      <c r="B499" s="49" t="s">
        <v>61</v>
      </c>
      <c r="C499" s="49" t="s">
        <v>577</v>
      </c>
      <c r="D499" s="50" t="str">
        <f t="shared" si="35"/>
        <v>Ines Farhat</v>
      </c>
      <c r="E499" s="50" t="str">
        <f t="shared" si="36"/>
        <v>avr</v>
      </c>
      <c r="F499" s="50">
        <f t="shared" si="37"/>
        <v>9</v>
      </c>
      <c r="G499" s="50">
        <f t="shared" si="38"/>
        <v>2026</v>
      </c>
      <c r="H499" s="51">
        <f>IF($C499="","",IFERROR(DATE(G499,VLOOKUP(E499,Paramètres!$K$11:$L$40,2,FALSE()),F499),"?"))</f>
        <v>46121</v>
      </c>
      <c r="I499" s="50">
        <f>IF(ISNUMBER(H499),IF(COUNTIFS($D$2:D499,D499,$H$2:H499,H499)=1,1,0),"")</f>
        <v>1</v>
      </c>
      <c r="J499" s="50">
        <f>IF(ISNUMBER(H499),IFERROR(INDEX(Calendrier!$C$2:$C$367,MATCH(H499,Calendrier!$A$2:$A$367,0)),0),"")</f>
        <v>1</v>
      </c>
      <c r="K499" s="50">
        <f t="shared" si="39"/>
        <v>1</v>
      </c>
      <c r="L499" s="50">
        <f>IF(D499="","",IF(COUNTIF(Paramètres!$A$11:$A$40,D499)&gt;0,1,0))</f>
        <v>1</v>
      </c>
    </row>
    <row r="500" spans="1:12" hidden="1" x14ac:dyDescent="0.25">
      <c r="A500" s="49"/>
      <c r="B500" s="49" t="s">
        <v>61</v>
      </c>
      <c r="C500" s="49" t="s">
        <v>578</v>
      </c>
      <c r="D500" s="50" t="str">
        <f t="shared" si="35"/>
        <v>Ines Farhat</v>
      </c>
      <c r="E500" s="50" t="str">
        <f t="shared" si="36"/>
        <v>avr</v>
      </c>
      <c r="F500" s="50">
        <f t="shared" si="37"/>
        <v>13</v>
      </c>
      <c r="G500" s="50">
        <f t="shared" si="38"/>
        <v>2026</v>
      </c>
      <c r="H500" s="51">
        <f>IF($C500="","",IFERROR(DATE(G500,VLOOKUP(E500,Paramètres!$K$11:$L$40,2,FALSE()),F500),"?"))</f>
        <v>46125</v>
      </c>
      <c r="I500" s="50">
        <f>IF(ISNUMBER(H500),IF(COUNTIFS($D$2:D500,D500,$H$2:H500,H500)=1,1,0),"")</f>
        <v>1</v>
      </c>
      <c r="J500" s="50">
        <f>IF(ISNUMBER(H500),IFERROR(INDEX(Calendrier!$C$2:$C$367,MATCH(H500,Calendrier!$A$2:$A$367,0)),0),"")</f>
        <v>1</v>
      </c>
      <c r="K500" s="50">
        <f t="shared" si="39"/>
        <v>1</v>
      </c>
      <c r="L500" s="50">
        <f>IF(D500="","",IF(COUNTIF(Paramètres!$A$11:$A$40,D500)&gt;0,1,0))</f>
        <v>1</v>
      </c>
    </row>
    <row r="501" spans="1:12" hidden="1" x14ac:dyDescent="0.25">
      <c r="A501" s="49"/>
      <c r="B501" s="49" t="s">
        <v>61</v>
      </c>
      <c r="C501" s="49" t="s">
        <v>579</v>
      </c>
      <c r="D501" s="50" t="str">
        <f t="shared" si="35"/>
        <v>Ines Farhat</v>
      </c>
      <c r="E501" s="50" t="str">
        <f t="shared" si="36"/>
        <v>avr</v>
      </c>
      <c r="F501" s="50">
        <f t="shared" si="37"/>
        <v>15</v>
      </c>
      <c r="G501" s="50">
        <f t="shared" si="38"/>
        <v>2026</v>
      </c>
      <c r="H501" s="51">
        <f>IF($C501="","",IFERROR(DATE(G501,VLOOKUP(E501,Paramètres!$K$11:$L$40,2,FALSE()),F501),"?"))</f>
        <v>46127</v>
      </c>
      <c r="I501" s="50">
        <f>IF(ISNUMBER(H501),IF(COUNTIFS($D$2:D501,D501,$H$2:H501,H501)=1,1,0),"")</f>
        <v>1</v>
      </c>
      <c r="J501" s="50">
        <f>IF(ISNUMBER(H501),IFERROR(INDEX(Calendrier!$C$2:$C$367,MATCH(H501,Calendrier!$A$2:$A$367,0)),0),"")</f>
        <v>1</v>
      </c>
      <c r="K501" s="50">
        <f t="shared" si="39"/>
        <v>1</v>
      </c>
      <c r="L501" s="50">
        <f>IF(D501="","",IF(COUNTIF(Paramètres!$A$11:$A$40,D501)&gt;0,1,0))</f>
        <v>1</v>
      </c>
    </row>
    <row r="502" spans="1:12" hidden="1" x14ac:dyDescent="0.25">
      <c r="A502" s="49"/>
      <c r="B502" s="49" t="s">
        <v>61</v>
      </c>
      <c r="C502" s="49" t="s">
        <v>580</v>
      </c>
      <c r="D502" s="50" t="str">
        <f t="shared" si="35"/>
        <v>Ines Farhat</v>
      </c>
      <c r="E502" s="50" t="str">
        <f t="shared" si="36"/>
        <v>avr</v>
      </c>
      <c r="F502" s="50">
        <f t="shared" si="37"/>
        <v>20</v>
      </c>
      <c r="G502" s="50">
        <f t="shared" si="38"/>
        <v>2026</v>
      </c>
      <c r="H502" s="51">
        <f>IF($C502="","",IFERROR(DATE(G502,VLOOKUP(E502,Paramètres!$K$11:$L$40,2,FALSE()),F502),"?"))</f>
        <v>46132</v>
      </c>
      <c r="I502" s="50">
        <f>IF(ISNUMBER(H502),IF(COUNTIFS($D$2:D502,D502,$H$2:H502,H502)=1,1,0),"")</f>
        <v>1</v>
      </c>
      <c r="J502" s="50">
        <f>IF(ISNUMBER(H502),IFERROR(INDEX(Calendrier!$C$2:$C$367,MATCH(H502,Calendrier!$A$2:$A$367,0)),0),"")</f>
        <v>1</v>
      </c>
      <c r="K502" s="50">
        <f t="shared" si="39"/>
        <v>1</v>
      </c>
      <c r="L502" s="50">
        <f>IF(D502="","",IF(COUNTIF(Paramètres!$A$11:$A$40,D502)&gt;0,1,0))</f>
        <v>1</v>
      </c>
    </row>
    <row r="503" spans="1:12" hidden="1" x14ac:dyDescent="0.25">
      <c r="A503" s="49"/>
      <c r="B503" s="49" t="s">
        <v>61</v>
      </c>
      <c r="C503" s="49" t="s">
        <v>581</v>
      </c>
      <c r="D503" s="50" t="str">
        <f t="shared" si="35"/>
        <v>Ines Farhat</v>
      </c>
      <c r="E503" s="50" t="str">
        <f t="shared" si="36"/>
        <v>avr</v>
      </c>
      <c r="F503" s="50">
        <f t="shared" si="37"/>
        <v>23</v>
      </c>
      <c r="G503" s="50">
        <f t="shared" si="38"/>
        <v>2026</v>
      </c>
      <c r="H503" s="51">
        <f>IF($C503="","",IFERROR(DATE(G503,VLOOKUP(E503,Paramètres!$K$11:$L$40,2,FALSE()),F503),"?"))</f>
        <v>46135</v>
      </c>
      <c r="I503" s="50">
        <f>IF(ISNUMBER(H503),IF(COUNTIFS($D$2:D503,D503,$H$2:H503,H503)=1,1,0),"")</f>
        <v>1</v>
      </c>
      <c r="J503" s="50">
        <f>IF(ISNUMBER(H503),IFERROR(INDEX(Calendrier!$C$2:$C$367,MATCH(H503,Calendrier!$A$2:$A$367,0)),0),"")</f>
        <v>1</v>
      </c>
      <c r="K503" s="50">
        <f t="shared" si="39"/>
        <v>1</v>
      </c>
      <c r="L503" s="50">
        <f>IF(D503="","",IF(COUNTIF(Paramètres!$A$11:$A$40,D503)&gt;0,1,0))</f>
        <v>1</v>
      </c>
    </row>
    <row r="504" spans="1:12" hidden="1" x14ac:dyDescent="0.25">
      <c r="A504" s="49"/>
      <c r="B504" s="49" t="s">
        <v>61</v>
      </c>
      <c r="C504" s="49" t="s">
        <v>582</v>
      </c>
      <c r="D504" s="50" t="str">
        <f t="shared" si="35"/>
        <v>Ines Farhat</v>
      </c>
      <c r="E504" s="50" t="str">
        <f t="shared" si="36"/>
        <v>avr</v>
      </c>
      <c r="F504" s="50">
        <f t="shared" si="37"/>
        <v>23</v>
      </c>
      <c r="G504" s="50">
        <f t="shared" si="38"/>
        <v>2026</v>
      </c>
      <c r="H504" s="51">
        <f>IF($C504="","",IFERROR(DATE(G504,VLOOKUP(E504,Paramètres!$K$11:$L$40,2,FALSE()),F504),"?"))</f>
        <v>46135</v>
      </c>
      <c r="I504" s="50">
        <f>IF(ISNUMBER(H504),IF(COUNTIFS($D$2:D504,D504,$H$2:H504,H504)=1,1,0),"")</f>
        <v>0</v>
      </c>
      <c r="J504" s="50">
        <f>IF(ISNUMBER(H504),IFERROR(INDEX(Calendrier!$C$2:$C$367,MATCH(H504,Calendrier!$A$2:$A$367,0)),0),"")</f>
        <v>1</v>
      </c>
      <c r="K504" s="50">
        <f t="shared" si="39"/>
        <v>0</v>
      </c>
      <c r="L504" s="50">
        <f>IF(D504="","",IF(COUNTIF(Paramètres!$A$11:$A$40,D504)&gt;0,1,0))</f>
        <v>1</v>
      </c>
    </row>
    <row r="505" spans="1:12" hidden="1" x14ac:dyDescent="0.25">
      <c r="A505" s="49"/>
      <c r="B505" s="49" t="s">
        <v>61</v>
      </c>
      <c r="C505" s="49" t="s">
        <v>583</v>
      </c>
      <c r="D505" s="50" t="str">
        <f t="shared" si="35"/>
        <v>Ines Farhat</v>
      </c>
      <c r="E505" s="50" t="str">
        <f t="shared" si="36"/>
        <v>avr</v>
      </c>
      <c r="F505" s="50">
        <f t="shared" si="37"/>
        <v>27</v>
      </c>
      <c r="G505" s="50">
        <f t="shared" si="38"/>
        <v>2026</v>
      </c>
      <c r="H505" s="51">
        <f>IF($C505="","",IFERROR(DATE(G505,VLOOKUP(E505,Paramètres!$K$11:$L$40,2,FALSE()),F505),"?"))</f>
        <v>46139</v>
      </c>
      <c r="I505" s="50">
        <f>IF(ISNUMBER(H505),IF(COUNTIFS($D$2:D505,D505,$H$2:H505,H505)=1,1,0),"")</f>
        <v>1</v>
      </c>
      <c r="J505" s="50">
        <f>IF(ISNUMBER(H505),IFERROR(INDEX(Calendrier!$C$2:$C$367,MATCH(H505,Calendrier!$A$2:$A$367,0)),0),"")</f>
        <v>1</v>
      </c>
      <c r="K505" s="50">
        <f t="shared" si="39"/>
        <v>1</v>
      </c>
      <c r="L505" s="50">
        <f>IF(D505="","",IF(COUNTIF(Paramètres!$A$11:$A$40,D505)&gt;0,1,0))</f>
        <v>1</v>
      </c>
    </row>
    <row r="506" spans="1:12" hidden="1" x14ac:dyDescent="0.25">
      <c r="A506" s="49"/>
      <c r="B506" s="49" t="s">
        <v>61</v>
      </c>
      <c r="C506" s="49" t="s">
        <v>584</v>
      </c>
      <c r="D506" s="50" t="str">
        <f t="shared" si="35"/>
        <v>Ines Farhat</v>
      </c>
      <c r="E506" s="50" t="str">
        <f t="shared" si="36"/>
        <v>avr</v>
      </c>
      <c r="F506" s="50">
        <f t="shared" si="37"/>
        <v>28</v>
      </c>
      <c r="G506" s="50">
        <f t="shared" si="38"/>
        <v>2026</v>
      </c>
      <c r="H506" s="51">
        <f>IF($C506="","",IFERROR(DATE(G506,VLOOKUP(E506,Paramètres!$K$11:$L$40,2,FALSE()),F506),"?"))</f>
        <v>46140</v>
      </c>
      <c r="I506" s="50">
        <f>IF(ISNUMBER(H506),IF(COUNTIFS($D$2:D506,D506,$H$2:H506,H506)=1,1,0),"")</f>
        <v>1</v>
      </c>
      <c r="J506" s="50">
        <f>IF(ISNUMBER(H506),IFERROR(INDEX(Calendrier!$C$2:$C$367,MATCH(H506,Calendrier!$A$2:$A$367,0)),0),"")</f>
        <v>1</v>
      </c>
      <c r="K506" s="50">
        <f t="shared" si="39"/>
        <v>1</v>
      </c>
      <c r="L506" s="50">
        <f>IF(D506="","",IF(COUNTIF(Paramètres!$A$11:$A$40,D506)&gt;0,1,0))</f>
        <v>1</v>
      </c>
    </row>
    <row r="507" spans="1:12" hidden="1" x14ac:dyDescent="0.25">
      <c r="A507" s="49"/>
      <c r="B507" s="49" t="s">
        <v>67</v>
      </c>
      <c r="C507" s="49" t="s">
        <v>585</v>
      </c>
      <c r="D507" s="50" t="str">
        <f t="shared" si="35"/>
        <v>Marwa Solaani</v>
      </c>
      <c r="E507" s="50" t="str">
        <f t="shared" si="36"/>
        <v>avr</v>
      </c>
      <c r="F507" s="50">
        <f t="shared" si="37"/>
        <v>6</v>
      </c>
      <c r="G507" s="50">
        <f t="shared" si="38"/>
        <v>2026</v>
      </c>
      <c r="H507" s="51">
        <f>IF($C507="","",IFERROR(DATE(G507,VLOOKUP(E507,Paramètres!$K$11:$L$40,2,FALSE()),F507),"?"))</f>
        <v>46118</v>
      </c>
      <c r="I507" s="50">
        <f>IF(ISNUMBER(H507),IF(COUNTIFS($D$2:D507,D507,$H$2:H507,H507)=1,1,0),"")</f>
        <v>1</v>
      </c>
      <c r="J507" s="50">
        <f>IF(ISNUMBER(H507),IFERROR(INDEX(Calendrier!$C$2:$C$367,MATCH(H507,Calendrier!$A$2:$A$367,0)),0),"")</f>
        <v>1</v>
      </c>
      <c r="K507" s="50">
        <f t="shared" si="39"/>
        <v>1</v>
      </c>
      <c r="L507" s="50">
        <f>IF(D507="","",IF(COUNTIF(Paramètres!$A$11:$A$40,D507)&gt;0,1,0))</f>
        <v>1</v>
      </c>
    </row>
    <row r="508" spans="1:12" x14ac:dyDescent="0.25">
      <c r="A508" s="49"/>
      <c r="B508" s="49" t="s">
        <v>90</v>
      </c>
      <c r="C508" s="49" t="s">
        <v>586</v>
      </c>
      <c r="D508" s="50" t="str">
        <f t="shared" si="35"/>
        <v>Zouhour Fathallah</v>
      </c>
      <c r="E508" s="50" t="str">
        <f t="shared" si="36"/>
        <v>avr</v>
      </c>
      <c r="F508" s="50">
        <f t="shared" si="37"/>
        <v>9</v>
      </c>
      <c r="G508" s="50">
        <f t="shared" si="38"/>
        <v>2026</v>
      </c>
      <c r="H508" s="51">
        <f>IF($C508="","",IFERROR(DATE(G508,VLOOKUP(E508,Paramètres!$K$11:$L$40,2,FALSE()),F508),"?"))</f>
        <v>46121</v>
      </c>
      <c r="I508" s="50">
        <f>IF(ISNUMBER(H508),IF(COUNTIFS($D$2:D508,D508,$H$2:H508,H508)=1,1,0),"")</f>
        <v>1</v>
      </c>
      <c r="J508" s="50">
        <f>IF(ISNUMBER(H508),IFERROR(INDEX(Calendrier!$C$2:$C$367,MATCH(H508,Calendrier!$A$2:$A$367,0)),0),"")</f>
        <v>1</v>
      </c>
      <c r="K508" s="50">
        <f t="shared" si="39"/>
        <v>1</v>
      </c>
      <c r="L508" s="50">
        <f>IF(D508="","",IF(COUNTIF(Paramètres!$A$11:$A$40,D508)&gt;0,1,0))</f>
        <v>1</v>
      </c>
    </row>
    <row r="509" spans="1:12" x14ac:dyDescent="0.25">
      <c r="A509" s="49"/>
      <c r="B509" s="49" t="s">
        <v>90</v>
      </c>
      <c r="C509" s="49" t="s">
        <v>587</v>
      </c>
      <c r="D509" s="50" t="str">
        <f t="shared" si="35"/>
        <v>Zouhour Fathallah</v>
      </c>
      <c r="E509" s="50" t="str">
        <f t="shared" si="36"/>
        <v>avr</v>
      </c>
      <c r="F509" s="50">
        <f t="shared" si="37"/>
        <v>11</v>
      </c>
      <c r="G509" s="50">
        <f t="shared" si="38"/>
        <v>2026</v>
      </c>
      <c r="H509" s="51">
        <f>IF($C509="","",IFERROR(DATE(G509,VLOOKUP(E509,Paramètres!$K$11:$L$40,2,FALSE()),F509),"?"))</f>
        <v>46123</v>
      </c>
      <c r="I509" s="50">
        <f>IF(ISNUMBER(H509),IF(COUNTIFS($D$2:D509,D509,$H$2:H509,H509)=1,1,0),"")</f>
        <v>1</v>
      </c>
      <c r="J509" s="50">
        <f>IF(ISNUMBER(H509),IFERROR(INDEX(Calendrier!$C$2:$C$367,MATCH(H509,Calendrier!$A$2:$A$367,0)),0),"")</f>
        <v>0</v>
      </c>
      <c r="K509" s="50">
        <f t="shared" si="39"/>
        <v>0</v>
      </c>
      <c r="L509" s="50">
        <f>IF(D509="","",IF(COUNTIF(Paramètres!$A$11:$A$40,D509)&gt;0,1,0))</f>
        <v>1</v>
      </c>
    </row>
    <row r="510" spans="1:12" x14ac:dyDescent="0.25">
      <c r="A510" s="49"/>
      <c r="B510" s="49" t="s">
        <v>90</v>
      </c>
      <c r="C510" s="49" t="s">
        <v>588</v>
      </c>
      <c r="D510" s="50" t="str">
        <f t="shared" si="35"/>
        <v>Zouhour Fathallah</v>
      </c>
      <c r="E510" s="50" t="str">
        <f t="shared" si="36"/>
        <v>avr</v>
      </c>
      <c r="F510" s="50">
        <f t="shared" si="37"/>
        <v>18</v>
      </c>
      <c r="G510" s="50">
        <f t="shared" si="38"/>
        <v>2026</v>
      </c>
      <c r="H510" s="51">
        <f>IF($C510="","",IFERROR(DATE(G510,VLOOKUP(E510,Paramètres!$K$11:$L$40,2,FALSE()),F510),"?"))</f>
        <v>46130</v>
      </c>
      <c r="I510" s="50">
        <f>IF(ISNUMBER(H510),IF(COUNTIFS($D$2:D510,D510,$H$2:H510,H510)=1,1,0),"")</f>
        <v>1</v>
      </c>
      <c r="J510" s="50">
        <f>IF(ISNUMBER(H510),IFERROR(INDEX(Calendrier!$C$2:$C$367,MATCH(H510,Calendrier!$A$2:$A$367,0)),0),"")</f>
        <v>0</v>
      </c>
      <c r="K510" s="50">
        <f t="shared" si="39"/>
        <v>0</v>
      </c>
      <c r="L510" s="50">
        <f>IF(D510="","",IF(COUNTIF(Paramètres!$A$11:$A$40,D510)&gt;0,1,0))</f>
        <v>1</v>
      </c>
    </row>
    <row r="511" spans="1:12" x14ac:dyDescent="0.25">
      <c r="A511" s="49"/>
      <c r="B511" s="49" t="s">
        <v>90</v>
      </c>
      <c r="C511" s="49" t="s">
        <v>589</v>
      </c>
      <c r="D511" s="50" t="str">
        <f t="shared" si="35"/>
        <v>Zouhour Fathallah</v>
      </c>
      <c r="E511" s="50" t="str">
        <f t="shared" si="36"/>
        <v>avr</v>
      </c>
      <c r="F511" s="50">
        <f t="shared" si="37"/>
        <v>20</v>
      </c>
      <c r="G511" s="50">
        <f t="shared" si="38"/>
        <v>2026</v>
      </c>
      <c r="H511" s="51">
        <f>IF($C511="","",IFERROR(DATE(G511,VLOOKUP(E511,Paramètres!$K$11:$L$40,2,FALSE()),F511),"?"))</f>
        <v>46132</v>
      </c>
      <c r="I511" s="50">
        <f>IF(ISNUMBER(H511),IF(COUNTIFS($D$2:D511,D511,$H$2:H511,H511)=1,1,0),"")</f>
        <v>1</v>
      </c>
      <c r="J511" s="50">
        <f>IF(ISNUMBER(H511),IFERROR(INDEX(Calendrier!$C$2:$C$367,MATCH(H511,Calendrier!$A$2:$A$367,0)),0),"")</f>
        <v>1</v>
      </c>
      <c r="K511" s="50">
        <f t="shared" si="39"/>
        <v>1</v>
      </c>
      <c r="L511" s="50">
        <f>IF(D511="","",IF(COUNTIF(Paramètres!$A$11:$A$40,D511)&gt;0,1,0))</f>
        <v>1</v>
      </c>
    </row>
    <row r="512" spans="1:12" x14ac:dyDescent="0.25">
      <c r="A512" s="49"/>
      <c r="B512" s="49" t="s">
        <v>90</v>
      </c>
      <c r="C512" s="49" t="s">
        <v>590</v>
      </c>
      <c r="D512" s="50" t="str">
        <f t="shared" si="35"/>
        <v>Zouhour Fathallah</v>
      </c>
      <c r="E512" s="50" t="str">
        <f t="shared" si="36"/>
        <v>avr</v>
      </c>
      <c r="F512" s="50">
        <f t="shared" si="37"/>
        <v>27</v>
      </c>
      <c r="G512" s="50">
        <f t="shared" si="38"/>
        <v>2026</v>
      </c>
      <c r="H512" s="51">
        <f>IF($C512="","",IFERROR(DATE(G512,VLOOKUP(E512,Paramètres!$K$11:$L$40,2,FALSE()),F512),"?"))</f>
        <v>46139</v>
      </c>
      <c r="I512" s="50">
        <f>IF(ISNUMBER(H512),IF(COUNTIFS($D$2:D512,D512,$H$2:H512,H512)=1,1,0),"")</f>
        <v>1</v>
      </c>
      <c r="J512" s="50">
        <f>IF(ISNUMBER(H512),IFERROR(INDEX(Calendrier!$C$2:$C$367,MATCH(H512,Calendrier!$A$2:$A$367,0)),0),"")</f>
        <v>1</v>
      </c>
      <c r="K512" s="50">
        <f t="shared" si="39"/>
        <v>1</v>
      </c>
      <c r="L512" s="50">
        <f>IF(D512="","",IF(COUNTIF(Paramètres!$A$11:$A$40,D512)&gt;0,1,0))</f>
        <v>1</v>
      </c>
    </row>
    <row r="513" spans="1:12" hidden="1" x14ac:dyDescent="0.25">
      <c r="A513" s="49"/>
      <c r="B513" s="49" t="s">
        <v>59</v>
      </c>
      <c r="C513" s="49" t="s">
        <v>591</v>
      </c>
      <c r="D513" s="50" t="str">
        <f t="shared" si="35"/>
        <v>Imre Kapusi</v>
      </c>
      <c r="E513" s="50" t="str">
        <f t="shared" si="36"/>
        <v>avr</v>
      </c>
      <c r="F513" s="50">
        <f t="shared" si="37"/>
        <v>1</v>
      </c>
      <c r="G513" s="50">
        <f t="shared" si="38"/>
        <v>2026</v>
      </c>
      <c r="H513" s="51">
        <f>IF($C513="","",IFERROR(DATE(G513,VLOOKUP(E513,Paramètres!$K$11:$L$40,2,FALSE()),F513),"?"))</f>
        <v>46113</v>
      </c>
      <c r="I513" s="50">
        <f>IF(ISNUMBER(H513),IF(COUNTIFS($D$2:D513,D513,$H$2:H513,H513)=1,1,0),"")</f>
        <v>1</v>
      </c>
      <c r="J513" s="50">
        <f>IF(ISNUMBER(H513),IFERROR(INDEX(Calendrier!$C$2:$C$367,MATCH(H513,Calendrier!$A$2:$A$367,0)),0),"")</f>
        <v>1</v>
      </c>
      <c r="K513" s="50">
        <f t="shared" si="39"/>
        <v>1</v>
      </c>
      <c r="L513" s="50">
        <f>IF(D513="","",IF(COUNTIF(Paramètres!$A$11:$A$40,D513)&gt;0,1,0))</f>
        <v>1</v>
      </c>
    </row>
    <row r="514" spans="1:12" hidden="1" x14ac:dyDescent="0.25">
      <c r="A514" s="49"/>
      <c r="B514" s="49" t="s">
        <v>59</v>
      </c>
      <c r="C514" s="49" t="s">
        <v>592</v>
      </c>
      <c r="D514" s="50" t="str">
        <f t="shared" ref="D514:D577" si="40">IF(B514="","",TRIM(B514))</f>
        <v>Imre Kapusi</v>
      </c>
      <c r="E514" s="50" t="str">
        <f t="shared" ref="E514:E577" si="41">IF($C514="","",LEFT($C514,FIND(" ",$C514)-1))</f>
        <v>avr</v>
      </c>
      <c r="F514" s="50">
        <f t="shared" ref="F514:F577" si="42">IF($C514="","",IFERROR(VALUE(LEFT(MID($C514,FIND(" ",$C514)+1,20),FIND(" ",MID($C514,FIND(" ",$C514)+1,20))-1)),"?"))</f>
        <v>7</v>
      </c>
      <c r="G514" s="50">
        <f t="shared" ref="G514:G577" si="43">IF($C514="","",IFERROR(VALUE(MID(MID($C514,FIND(" ",$C514)+1,20),FIND(" ",MID($C514,FIND(" ",$C514)+1,20))+1,4)),"?"))</f>
        <v>2026</v>
      </c>
      <c r="H514" s="51">
        <f>IF($C514="","",IFERROR(DATE(G514,VLOOKUP(E514,Paramètres!$K$11:$L$40,2,FALSE()),F514),"?"))</f>
        <v>46119</v>
      </c>
      <c r="I514" s="50">
        <f>IF(ISNUMBER(H514),IF(COUNTIFS($D$2:D514,D514,$H$2:H514,H514)=1,1,0),"")</f>
        <v>1</v>
      </c>
      <c r="J514" s="50">
        <f>IF(ISNUMBER(H514),IFERROR(INDEX(Calendrier!$C$2:$C$367,MATCH(H514,Calendrier!$A$2:$A$367,0)),0),"")</f>
        <v>1</v>
      </c>
      <c r="K514" s="50">
        <f t="shared" ref="K514:K577" si="44">IF(ISNUMBER(H514),I514*J514,"")</f>
        <v>1</v>
      </c>
      <c r="L514" s="50">
        <f>IF(D514="","",IF(COUNTIF(Paramètres!$A$11:$A$40,D514)&gt;0,1,0))</f>
        <v>1</v>
      </c>
    </row>
    <row r="515" spans="1:12" hidden="1" x14ac:dyDescent="0.25">
      <c r="A515" s="49"/>
      <c r="B515" s="49" t="s">
        <v>59</v>
      </c>
      <c r="C515" s="49" t="s">
        <v>593</v>
      </c>
      <c r="D515" s="50" t="str">
        <f t="shared" si="40"/>
        <v>Imre Kapusi</v>
      </c>
      <c r="E515" s="50" t="str">
        <f t="shared" si="41"/>
        <v>avr</v>
      </c>
      <c r="F515" s="50">
        <f t="shared" si="42"/>
        <v>13</v>
      </c>
      <c r="G515" s="50">
        <f t="shared" si="43"/>
        <v>2026</v>
      </c>
      <c r="H515" s="51">
        <f>IF($C515="","",IFERROR(DATE(G515,VLOOKUP(E515,Paramètres!$K$11:$L$40,2,FALSE()),F515),"?"))</f>
        <v>46125</v>
      </c>
      <c r="I515" s="50">
        <f>IF(ISNUMBER(H515),IF(COUNTIFS($D$2:D515,D515,$H$2:H515,H515)=1,1,0),"")</f>
        <v>1</v>
      </c>
      <c r="J515" s="50">
        <f>IF(ISNUMBER(H515),IFERROR(INDEX(Calendrier!$C$2:$C$367,MATCH(H515,Calendrier!$A$2:$A$367,0)),0),"")</f>
        <v>1</v>
      </c>
      <c r="K515" s="50">
        <f t="shared" si="44"/>
        <v>1</v>
      </c>
      <c r="L515" s="50">
        <f>IF(D515="","",IF(COUNTIF(Paramètres!$A$11:$A$40,D515)&gt;0,1,0))</f>
        <v>1</v>
      </c>
    </row>
    <row r="516" spans="1:12" hidden="1" x14ac:dyDescent="0.25">
      <c r="A516" s="49"/>
      <c r="B516" s="49" t="s">
        <v>59</v>
      </c>
      <c r="C516" s="49" t="s">
        <v>594</v>
      </c>
      <c r="D516" s="50" t="str">
        <f t="shared" si="40"/>
        <v>Imre Kapusi</v>
      </c>
      <c r="E516" s="50" t="str">
        <f t="shared" si="41"/>
        <v>avr</v>
      </c>
      <c r="F516" s="50">
        <f t="shared" si="42"/>
        <v>15</v>
      </c>
      <c r="G516" s="50">
        <f t="shared" si="43"/>
        <v>2026</v>
      </c>
      <c r="H516" s="51">
        <f>IF($C516="","",IFERROR(DATE(G516,VLOOKUP(E516,Paramètres!$K$11:$L$40,2,FALSE()),F516),"?"))</f>
        <v>46127</v>
      </c>
      <c r="I516" s="50">
        <f>IF(ISNUMBER(H516),IF(COUNTIFS($D$2:D516,D516,$H$2:H516,H516)=1,1,0),"")</f>
        <v>1</v>
      </c>
      <c r="J516" s="50">
        <f>IF(ISNUMBER(H516),IFERROR(INDEX(Calendrier!$C$2:$C$367,MATCH(H516,Calendrier!$A$2:$A$367,0)),0),"")</f>
        <v>1</v>
      </c>
      <c r="K516" s="50">
        <f t="shared" si="44"/>
        <v>1</v>
      </c>
      <c r="L516" s="50">
        <f>IF(D516="","",IF(COUNTIF(Paramètres!$A$11:$A$40,D516)&gt;0,1,0))</f>
        <v>1</v>
      </c>
    </row>
    <row r="517" spans="1:12" hidden="1" x14ac:dyDescent="0.25">
      <c r="A517" s="49"/>
      <c r="B517" s="49" t="s">
        <v>59</v>
      </c>
      <c r="C517" s="49" t="s">
        <v>595</v>
      </c>
      <c r="D517" s="50" t="str">
        <f t="shared" si="40"/>
        <v>Imre Kapusi</v>
      </c>
      <c r="E517" s="50" t="str">
        <f t="shared" si="41"/>
        <v>avr</v>
      </c>
      <c r="F517" s="50">
        <f t="shared" si="42"/>
        <v>17</v>
      </c>
      <c r="G517" s="50">
        <f t="shared" si="43"/>
        <v>2026</v>
      </c>
      <c r="H517" s="51">
        <f>IF($C517="","",IFERROR(DATE(G517,VLOOKUP(E517,Paramètres!$K$11:$L$40,2,FALSE()),F517),"?"))</f>
        <v>46129</v>
      </c>
      <c r="I517" s="50">
        <f>IF(ISNUMBER(H517),IF(COUNTIFS($D$2:D517,D517,$H$2:H517,H517)=1,1,0),"")</f>
        <v>1</v>
      </c>
      <c r="J517" s="50">
        <f>IF(ISNUMBER(H517),IFERROR(INDEX(Calendrier!$C$2:$C$367,MATCH(H517,Calendrier!$A$2:$A$367,0)),0),"")</f>
        <v>1</v>
      </c>
      <c r="K517" s="50">
        <f t="shared" si="44"/>
        <v>1</v>
      </c>
      <c r="L517" s="50">
        <f>IF(D517="","",IF(COUNTIF(Paramètres!$A$11:$A$40,D517)&gt;0,1,0))</f>
        <v>1</v>
      </c>
    </row>
    <row r="518" spans="1:12" hidden="1" x14ac:dyDescent="0.25">
      <c r="A518" s="49"/>
      <c r="B518" s="49" t="s">
        <v>59</v>
      </c>
      <c r="C518" s="49" t="s">
        <v>596</v>
      </c>
      <c r="D518" s="50" t="str">
        <f t="shared" si="40"/>
        <v>Imre Kapusi</v>
      </c>
      <c r="E518" s="50" t="str">
        <f t="shared" si="41"/>
        <v>avr</v>
      </c>
      <c r="F518" s="50">
        <f t="shared" si="42"/>
        <v>18</v>
      </c>
      <c r="G518" s="50">
        <f t="shared" si="43"/>
        <v>2026</v>
      </c>
      <c r="H518" s="51">
        <f>IF($C518="","",IFERROR(DATE(G518,VLOOKUP(E518,Paramètres!$K$11:$L$40,2,FALSE()),F518),"?"))</f>
        <v>46130</v>
      </c>
      <c r="I518" s="50">
        <f>IF(ISNUMBER(H518),IF(COUNTIFS($D$2:D518,D518,$H$2:H518,H518)=1,1,0),"")</f>
        <v>1</v>
      </c>
      <c r="J518" s="50">
        <f>IF(ISNUMBER(H518),IFERROR(INDEX(Calendrier!$C$2:$C$367,MATCH(H518,Calendrier!$A$2:$A$367,0)),0),"")</f>
        <v>0</v>
      </c>
      <c r="K518" s="50">
        <f t="shared" si="44"/>
        <v>0</v>
      </c>
      <c r="L518" s="50">
        <f>IF(D518="","",IF(COUNTIF(Paramètres!$A$11:$A$40,D518)&gt;0,1,0))</f>
        <v>1</v>
      </c>
    </row>
    <row r="519" spans="1:12" hidden="1" x14ac:dyDescent="0.25">
      <c r="A519" s="49"/>
      <c r="B519" s="49" t="s">
        <v>59</v>
      </c>
      <c r="C519" s="49" t="s">
        <v>597</v>
      </c>
      <c r="D519" s="50" t="str">
        <f t="shared" si="40"/>
        <v>Imre Kapusi</v>
      </c>
      <c r="E519" s="50" t="str">
        <f t="shared" si="41"/>
        <v>avr</v>
      </c>
      <c r="F519" s="50">
        <f t="shared" si="42"/>
        <v>22</v>
      </c>
      <c r="G519" s="50">
        <f t="shared" si="43"/>
        <v>2026</v>
      </c>
      <c r="H519" s="51">
        <f>IF($C519="","",IFERROR(DATE(G519,VLOOKUP(E519,Paramètres!$K$11:$L$40,2,FALSE()),F519),"?"))</f>
        <v>46134</v>
      </c>
      <c r="I519" s="50">
        <f>IF(ISNUMBER(H519),IF(COUNTIFS($D$2:D519,D519,$H$2:H519,H519)=1,1,0),"")</f>
        <v>1</v>
      </c>
      <c r="J519" s="50">
        <f>IF(ISNUMBER(H519),IFERROR(INDEX(Calendrier!$C$2:$C$367,MATCH(H519,Calendrier!$A$2:$A$367,0)),0),"")</f>
        <v>1</v>
      </c>
      <c r="K519" s="50">
        <f t="shared" si="44"/>
        <v>1</v>
      </c>
      <c r="L519" s="50">
        <f>IF(D519="","",IF(COUNTIF(Paramètres!$A$11:$A$40,D519)&gt;0,1,0))</f>
        <v>1</v>
      </c>
    </row>
    <row r="520" spans="1:12" hidden="1" x14ac:dyDescent="0.25">
      <c r="A520" s="49"/>
      <c r="B520" s="49" t="s">
        <v>59</v>
      </c>
      <c r="C520" s="49" t="s">
        <v>598</v>
      </c>
      <c r="D520" s="50" t="str">
        <f t="shared" si="40"/>
        <v>Imre Kapusi</v>
      </c>
      <c r="E520" s="50" t="str">
        <f t="shared" si="41"/>
        <v>avr</v>
      </c>
      <c r="F520" s="50">
        <f t="shared" si="42"/>
        <v>28</v>
      </c>
      <c r="G520" s="50">
        <f t="shared" si="43"/>
        <v>2026</v>
      </c>
      <c r="H520" s="51">
        <f>IF($C520="","",IFERROR(DATE(G520,VLOOKUP(E520,Paramètres!$K$11:$L$40,2,FALSE()),F520),"?"))</f>
        <v>46140</v>
      </c>
      <c r="I520" s="50">
        <f>IF(ISNUMBER(H520),IF(COUNTIFS($D$2:D520,D520,$H$2:H520,H520)=1,1,0),"")</f>
        <v>1</v>
      </c>
      <c r="J520" s="50">
        <f>IF(ISNUMBER(H520),IFERROR(INDEX(Calendrier!$C$2:$C$367,MATCH(H520,Calendrier!$A$2:$A$367,0)),0),"")</f>
        <v>1</v>
      </c>
      <c r="K520" s="50">
        <f t="shared" si="44"/>
        <v>1</v>
      </c>
      <c r="L520" s="50">
        <f>IF(D520="","",IF(COUNTIF(Paramètres!$A$11:$A$40,D520)&gt;0,1,0))</f>
        <v>1</v>
      </c>
    </row>
    <row r="521" spans="1:12" hidden="1" x14ac:dyDescent="0.25">
      <c r="A521" s="49"/>
      <c r="B521" s="49" t="s">
        <v>81</v>
      </c>
      <c r="C521" s="49" t="s">
        <v>518</v>
      </c>
      <c r="D521" s="50" t="str">
        <f t="shared" si="40"/>
        <v>Sabrine Neffeti</v>
      </c>
      <c r="E521" s="50" t="str">
        <f t="shared" si="41"/>
        <v>avr</v>
      </c>
      <c r="F521" s="50">
        <f t="shared" si="42"/>
        <v>3</v>
      </c>
      <c r="G521" s="50">
        <f t="shared" si="43"/>
        <v>2026</v>
      </c>
      <c r="H521" s="51">
        <f>IF($C521="","",IFERROR(DATE(G521,VLOOKUP(E521,Paramètres!$K$11:$L$40,2,FALSE()),F521),"?"))</f>
        <v>46115</v>
      </c>
      <c r="I521" s="50">
        <f>IF(ISNUMBER(H521),IF(COUNTIFS($D$2:D521,D521,$H$2:H521,H521)=1,1,0),"")</f>
        <v>0</v>
      </c>
      <c r="J521" s="50">
        <f>IF(ISNUMBER(H521),IFERROR(INDEX(Calendrier!$C$2:$C$367,MATCH(H521,Calendrier!$A$2:$A$367,0)),0),"")</f>
        <v>1</v>
      </c>
      <c r="K521" s="50">
        <f t="shared" si="44"/>
        <v>0</v>
      </c>
      <c r="L521" s="50">
        <f>IF(D521="","",IF(COUNTIF(Paramètres!$A$11:$A$40,D521)&gt;0,1,0))</f>
        <v>1</v>
      </c>
    </row>
    <row r="522" spans="1:12" hidden="1" x14ac:dyDescent="0.25">
      <c r="A522" s="49"/>
      <c r="B522" s="49" t="s">
        <v>81</v>
      </c>
      <c r="C522" s="49" t="s">
        <v>526</v>
      </c>
      <c r="D522" s="50" t="str">
        <f t="shared" si="40"/>
        <v>Sabrine Neffeti</v>
      </c>
      <c r="E522" s="50" t="str">
        <f t="shared" si="41"/>
        <v>avr</v>
      </c>
      <c r="F522" s="50">
        <f t="shared" si="42"/>
        <v>8</v>
      </c>
      <c r="G522" s="50">
        <f t="shared" si="43"/>
        <v>2026</v>
      </c>
      <c r="H522" s="51">
        <f>IF($C522="","",IFERROR(DATE(G522,VLOOKUP(E522,Paramètres!$K$11:$L$40,2,FALSE()),F522),"?"))</f>
        <v>46120</v>
      </c>
      <c r="I522" s="50">
        <f>IF(ISNUMBER(H522),IF(COUNTIFS($D$2:D522,D522,$H$2:H522,H522)=1,1,0),"")</f>
        <v>0</v>
      </c>
      <c r="J522" s="50">
        <f>IF(ISNUMBER(H522),IFERROR(INDEX(Calendrier!$C$2:$C$367,MATCH(H522,Calendrier!$A$2:$A$367,0)),0),"")</f>
        <v>1</v>
      </c>
      <c r="K522" s="50">
        <f t="shared" si="44"/>
        <v>0</v>
      </c>
      <c r="L522" s="50">
        <f>IF(D522="","",IF(COUNTIF(Paramètres!$A$11:$A$40,D522)&gt;0,1,0))</f>
        <v>1</v>
      </c>
    </row>
    <row r="523" spans="1:12" hidden="1" x14ac:dyDescent="0.25">
      <c r="A523" s="49"/>
      <c r="B523" s="49" t="s">
        <v>85</v>
      </c>
      <c r="C523" s="49" t="s">
        <v>547</v>
      </c>
      <c r="D523" s="50" t="str">
        <f t="shared" si="40"/>
        <v>Said Hamrouni</v>
      </c>
      <c r="E523" s="50" t="str">
        <f t="shared" si="41"/>
        <v>avr</v>
      </c>
      <c r="F523" s="50">
        <f t="shared" si="42"/>
        <v>22</v>
      </c>
      <c r="G523" s="50">
        <f t="shared" si="43"/>
        <v>2026</v>
      </c>
      <c r="H523" s="51">
        <f>IF($C523="","",IFERROR(DATE(G523,VLOOKUP(E523,Paramètres!$K$11:$L$40,2,FALSE()),F523),"?"))</f>
        <v>46134</v>
      </c>
      <c r="I523" s="50">
        <f>IF(ISNUMBER(H523),IF(COUNTIFS($D$2:D523,D523,$H$2:H523,H523)=1,1,0),"")</f>
        <v>0</v>
      </c>
      <c r="J523" s="50">
        <f>IF(ISNUMBER(H523),IFERROR(INDEX(Calendrier!$C$2:$C$367,MATCH(H523,Calendrier!$A$2:$A$367,0)),0),"")</f>
        <v>1</v>
      </c>
      <c r="K523" s="50">
        <f t="shared" si="44"/>
        <v>0</v>
      </c>
      <c r="L523" s="50">
        <f>IF(D523="","",IF(COUNTIF(Paramètres!$A$11:$A$40,D523)&gt;0,1,0))</f>
        <v>1</v>
      </c>
    </row>
    <row r="524" spans="1:12" hidden="1" x14ac:dyDescent="0.25">
      <c r="A524" s="49"/>
      <c r="B524" s="49" t="s">
        <v>59</v>
      </c>
      <c r="C524" s="49" t="s">
        <v>591</v>
      </c>
      <c r="D524" s="50" t="str">
        <f t="shared" si="40"/>
        <v>Imre Kapusi</v>
      </c>
      <c r="E524" s="50" t="str">
        <f t="shared" si="41"/>
        <v>avr</v>
      </c>
      <c r="F524" s="50">
        <f t="shared" si="42"/>
        <v>1</v>
      </c>
      <c r="G524" s="50">
        <f t="shared" si="43"/>
        <v>2026</v>
      </c>
      <c r="H524" s="51">
        <f>IF($C524="","",IFERROR(DATE(G524,VLOOKUP(E524,Paramètres!$K$11:$L$40,2,FALSE()),F524),"?"))</f>
        <v>46113</v>
      </c>
      <c r="I524" s="50">
        <f>IF(ISNUMBER(H524),IF(COUNTIFS($D$2:D524,D524,$H$2:H524,H524)=1,1,0),"")</f>
        <v>0</v>
      </c>
      <c r="J524" s="50">
        <f>IF(ISNUMBER(H524),IFERROR(INDEX(Calendrier!$C$2:$C$367,MATCH(H524,Calendrier!$A$2:$A$367,0)),0),"")</f>
        <v>1</v>
      </c>
      <c r="K524" s="50">
        <f t="shared" si="44"/>
        <v>0</v>
      </c>
      <c r="L524" s="50">
        <f>IF(D524="","",IF(COUNTIF(Paramètres!$A$11:$A$40,D524)&gt;0,1,0))</f>
        <v>1</v>
      </c>
    </row>
    <row r="525" spans="1:12" hidden="1" x14ac:dyDescent="0.25">
      <c r="A525" s="49"/>
      <c r="B525" s="49" t="s">
        <v>69</v>
      </c>
      <c r="C525" s="49" t="s">
        <v>599</v>
      </c>
      <c r="D525" s="50" t="str">
        <f t="shared" si="40"/>
        <v>Mina Moussa</v>
      </c>
      <c r="E525" s="50" t="str">
        <f t="shared" si="41"/>
        <v>mai</v>
      </c>
      <c r="F525" s="50">
        <f t="shared" si="42"/>
        <v>4</v>
      </c>
      <c r="G525" s="50">
        <f t="shared" si="43"/>
        <v>2026</v>
      </c>
      <c r="H525" s="51">
        <f>IF($C525="","",IFERROR(DATE(G525,VLOOKUP(E525,Paramètres!$K$11:$L$40,2,FALSE()),F525),"?"))</f>
        <v>46146</v>
      </c>
      <c r="I525" s="50">
        <f>IF(ISNUMBER(H525),IF(COUNTIFS($D$2:D525,D525,$H$2:H525,H525)=1,1,0),"")</f>
        <v>1</v>
      </c>
      <c r="J525" s="50">
        <f>IF(ISNUMBER(H525),IFERROR(INDEX(Calendrier!$C$2:$C$367,MATCH(H525,Calendrier!$A$2:$A$367,0)),0),"")</f>
        <v>1</v>
      </c>
      <c r="K525" s="50">
        <f t="shared" si="44"/>
        <v>1</v>
      </c>
      <c r="L525" s="50">
        <f>IF(D525="","",IF(COUNTIF(Paramètres!$A$11:$A$40,D525)&gt;0,1,0))</f>
        <v>1</v>
      </c>
    </row>
    <row r="526" spans="1:12" hidden="1" x14ac:dyDescent="0.25">
      <c r="A526" s="49"/>
      <c r="B526" s="49" t="s">
        <v>69</v>
      </c>
      <c r="C526" s="49" t="s">
        <v>600</v>
      </c>
      <c r="D526" s="50" t="str">
        <f t="shared" si="40"/>
        <v>Mina Moussa</v>
      </c>
      <c r="E526" s="50" t="str">
        <f t="shared" si="41"/>
        <v>mai</v>
      </c>
      <c r="F526" s="50">
        <f t="shared" si="42"/>
        <v>7</v>
      </c>
      <c r="G526" s="50">
        <f t="shared" si="43"/>
        <v>2026</v>
      </c>
      <c r="H526" s="51">
        <f>IF($C526="","",IFERROR(DATE(G526,VLOOKUP(E526,Paramètres!$K$11:$L$40,2,FALSE()),F526),"?"))</f>
        <v>46149</v>
      </c>
      <c r="I526" s="50">
        <f>IF(ISNUMBER(H526),IF(COUNTIFS($D$2:D526,D526,$H$2:H526,H526)=1,1,0),"")</f>
        <v>1</v>
      </c>
      <c r="J526" s="50">
        <f>IF(ISNUMBER(H526),IFERROR(INDEX(Calendrier!$C$2:$C$367,MATCH(H526,Calendrier!$A$2:$A$367,0)),0),"")</f>
        <v>1</v>
      </c>
      <c r="K526" s="50">
        <f t="shared" si="44"/>
        <v>1</v>
      </c>
      <c r="L526" s="50">
        <f>IF(D526="","",IF(COUNTIF(Paramètres!$A$11:$A$40,D526)&gt;0,1,0))</f>
        <v>1</v>
      </c>
    </row>
    <row r="527" spans="1:12" hidden="1" x14ac:dyDescent="0.25">
      <c r="A527" s="49"/>
      <c r="B527" s="49" t="s">
        <v>69</v>
      </c>
      <c r="C527" s="49" t="s">
        <v>601</v>
      </c>
      <c r="D527" s="50" t="str">
        <f t="shared" si="40"/>
        <v>Mina Moussa</v>
      </c>
      <c r="E527" s="50" t="str">
        <f t="shared" si="41"/>
        <v>mai</v>
      </c>
      <c r="F527" s="50">
        <f t="shared" si="42"/>
        <v>13</v>
      </c>
      <c r="G527" s="50">
        <f t="shared" si="43"/>
        <v>2026</v>
      </c>
      <c r="H527" s="51">
        <f>IF($C527="","",IFERROR(DATE(G527,VLOOKUP(E527,Paramètres!$K$11:$L$40,2,FALSE()),F527),"?"))</f>
        <v>46155</v>
      </c>
      <c r="I527" s="50">
        <f>IF(ISNUMBER(H527),IF(COUNTIFS($D$2:D527,D527,$H$2:H527,H527)=1,1,0),"")</f>
        <v>1</v>
      </c>
      <c r="J527" s="50">
        <f>IF(ISNUMBER(H527),IFERROR(INDEX(Calendrier!$C$2:$C$367,MATCH(H527,Calendrier!$A$2:$A$367,0)),0),"")</f>
        <v>1</v>
      </c>
      <c r="K527" s="50">
        <f t="shared" si="44"/>
        <v>1</v>
      </c>
      <c r="L527" s="50">
        <f>IF(D527="","",IF(COUNTIF(Paramètres!$A$11:$A$40,D527)&gt;0,1,0))</f>
        <v>1</v>
      </c>
    </row>
    <row r="528" spans="1:12" hidden="1" x14ac:dyDescent="0.25">
      <c r="A528" s="49"/>
      <c r="B528" s="49" t="s">
        <v>69</v>
      </c>
      <c r="C528" s="49" t="s">
        <v>602</v>
      </c>
      <c r="D528" s="50" t="str">
        <f t="shared" si="40"/>
        <v>Mina Moussa</v>
      </c>
      <c r="E528" s="50" t="str">
        <f t="shared" si="41"/>
        <v>mai</v>
      </c>
      <c r="F528" s="50">
        <f t="shared" si="42"/>
        <v>18</v>
      </c>
      <c r="G528" s="50">
        <f t="shared" si="43"/>
        <v>2026</v>
      </c>
      <c r="H528" s="51">
        <f>IF($C528="","",IFERROR(DATE(G528,VLOOKUP(E528,Paramètres!$K$11:$L$40,2,FALSE()),F528),"?"))</f>
        <v>46160</v>
      </c>
      <c r="I528" s="50">
        <f>IF(ISNUMBER(H528),IF(COUNTIFS($D$2:D528,D528,$H$2:H528,H528)=1,1,0),"")</f>
        <v>1</v>
      </c>
      <c r="J528" s="50">
        <f>IF(ISNUMBER(H528),IFERROR(INDEX(Calendrier!$C$2:$C$367,MATCH(H528,Calendrier!$A$2:$A$367,0)),0),"")</f>
        <v>1</v>
      </c>
      <c r="K528" s="50">
        <f t="shared" si="44"/>
        <v>1</v>
      </c>
      <c r="L528" s="50">
        <f>IF(D528="","",IF(COUNTIF(Paramètres!$A$11:$A$40,D528)&gt;0,1,0))</f>
        <v>1</v>
      </c>
    </row>
    <row r="529" spans="1:12" hidden="1" x14ac:dyDescent="0.25">
      <c r="A529" s="49"/>
      <c r="B529" s="49" t="s">
        <v>69</v>
      </c>
      <c r="C529" s="49" t="s">
        <v>603</v>
      </c>
      <c r="D529" s="50" t="str">
        <f t="shared" si="40"/>
        <v>Mina Moussa</v>
      </c>
      <c r="E529" s="50" t="str">
        <f t="shared" si="41"/>
        <v>mai</v>
      </c>
      <c r="F529" s="50">
        <f t="shared" si="42"/>
        <v>22</v>
      </c>
      <c r="G529" s="50">
        <f t="shared" si="43"/>
        <v>2026</v>
      </c>
      <c r="H529" s="51">
        <f>IF($C529="","",IFERROR(DATE(G529,VLOOKUP(E529,Paramètres!$K$11:$L$40,2,FALSE()),F529),"?"))</f>
        <v>46164</v>
      </c>
      <c r="I529" s="50">
        <f>IF(ISNUMBER(H529),IF(COUNTIFS($D$2:D529,D529,$H$2:H529,H529)=1,1,0),"")</f>
        <v>1</v>
      </c>
      <c r="J529" s="50">
        <f>IF(ISNUMBER(H529),IFERROR(INDEX(Calendrier!$C$2:$C$367,MATCH(H529,Calendrier!$A$2:$A$367,0)),0),"")</f>
        <v>1</v>
      </c>
      <c r="K529" s="50">
        <f t="shared" si="44"/>
        <v>1</v>
      </c>
      <c r="L529" s="50">
        <f>IF(D529="","",IF(COUNTIF(Paramètres!$A$11:$A$40,D529)&gt;0,1,0))</f>
        <v>1</v>
      </c>
    </row>
    <row r="530" spans="1:12" hidden="1" x14ac:dyDescent="0.25">
      <c r="A530" s="49"/>
      <c r="B530" s="49" t="s">
        <v>69</v>
      </c>
      <c r="C530" s="49" t="s">
        <v>604</v>
      </c>
      <c r="D530" s="50" t="str">
        <f t="shared" si="40"/>
        <v>Mina Moussa</v>
      </c>
      <c r="E530" s="50" t="str">
        <f t="shared" si="41"/>
        <v>mai</v>
      </c>
      <c r="F530" s="50">
        <f t="shared" si="42"/>
        <v>26</v>
      </c>
      <c r="G530" s="50">
        <f t="shared" si="43"/>
        <v>2026</v>
      </c>
      <c r="H530" s="51">
        <f>IF($C530="","",IFERROR(DATE(G530,VLOOKUP(E530,Paramètres!$K$11:$L$40,2,FALSE()),F530),"?"))</f>
        <v>46168</v>
      </c>
      <c r="I530" s="50">
        <f>IF(ISNUMBER(H530),IF(COUNTIFS($D$2:D530,D530,$H$2:H530,H530)=1,1,0),"")</f>
        <v>1</v>
      </c>
      <c r="J530" s="50">
        <f>IF(ISNUMBER(H530),IFERROR(INDEX(Calendrier!$C$2:$C$367,MATCH(H530,Calendrier!$A$2:$A$367,0)),0),"")</f>
        <v>1</v>
      </c>
      <c r="K530" s="50">
        <f t="shared" si="44"/>
        <v>1</v>
      </c>
      <c r="L530" s="50">
        <f>IF(D530="","",IF(COUNTIF(Paramètres!$A$11:$A$40,D530)&gt;0,1,0))</f>
        <v>1</v>
      </c>
    </row>
    <row r="531" spans="1:12" hidden="1" x14ac:dyDescent="0.25">
      <c r="A531" s="49"/>
      <c r="B531" s="49" t="s">
        <v>52</v>
      </c>
      <c r="C531" s="49" t="s">
        <v>605</v>
      </c>
      <c r="D531" s="50" t="str">
        <f t="shared" si="40"/>
        <v>Amine Latrech</v>
      </c>
      <c r="E531" s="50" t="str">
        <f t="shared" si="41"/>
        <v>mai</v>
      </c>
      <c r="F531" s="50">
        <f t="shared" si="42"/>
        <v>5</v>
      </c>
      <c r="G531" s="50">
        <f t="shared" si="43"/>
        <v>2026</v>
      </c>
      <c r="H531" s="51">
        <f>IF($C531="","",IFERROR(DATE(G531,VLOOKUP(E531,Paramètres!$K$11:$L$40,2,FALSE()),F531),"?"))</f>
        <v>46147</v>
      </c>
      <c r="I531" s="50">
        <f>IF(ISNUMBER(H531),IF(COUNTIFS($D$2:D531,D531,$H$2:H531,H531)=1,1,0),"")</f>
        <v>1</v>
      </c>
      <c r="J531" s="50">
        <f>IF(ISNUMBER(H531),IFERROR(INDEX(Calendrier!$C$2:$C$367,MATCH(H531,Calendrier!$A$2:$A$367,0)),0),"")</f>
        <v>1</v>
      </c>
      <c r="K531" s="50">
        <f t="shared" si="44"/>
        <v>1</v>
      </c>
      <c r="L531" s="50">
        <f>IF(D531="","",IF(COUNTIF(Paramètres!$A$11:$A$40,D531)&gt;0,1,0))</f>
        <v>1</v>
      </c>
    </row>
    <row r="532" spans="1:12" hidden="1" x14ac:dyDescent="0.25">
      <c r="A532" s="49"/>
      <c r="B532" s="49" t="s">
        <v>52</v>
      </c>
      <c r="C532" s="49" t="s">
        <v>606</v>
      </c>
      <c r="D532" s="50" t="str">
        <f t="shared" si="40"/>
        <v>Amine Latrech</v>
      </c>
      <c r="E532" s="50" t="str">
        <f t="shared" si="41"/>
        <v>mai</v>
      </c>
      <c r="F532" s="50">
        <f t="shared" si="42"/>
        <v>5</v>
      </c>
      <c r="G532" s="50">
        <f t="shared" si="43"/>
        <v>2026</v>
      </c>
      <c r="H532" s="51">
        <f>IF($C532="","",IFERROR(DATE(G532,VLOOKUP(E532,Paramètres!$K$11:$L$40,2,FALSE()),F532),"?"))</f>
        <v>46147</v>
      </c>
      <c r="I532" s="50">
        <f>IF(ISNUMBER(H532),IF(COUNTIFS($D$2:D532,D532,$H$2:H532,H532)=1,1,0),"")</f>
        <v>0</v>
      </c>
      <c r="J532" s="50">
        <f>IF(ISNUMBER(H532),IFERROR(INDEX(Calendrier!$C$2:$C$367,MATCH(H532,Calendrier!$A$2:$A$367,0)),0),"")</f>
        <v>1</v>
      </c>
      <c r="K532" s="50">
        <f t="shared" si="44"/>
        <v>0</v>
      </c>
      <c r="L532" s="50">
        <f>IF(D532="","",IF(COUNTIF(Paramètres!$A$11:$A$40,D532)&gt;0,1,0))</f>
        <v>1</v>
      </c>
    </row>
    <row r="533" spans="1:12" hidden="1" x14ac:dyDescent="0.25">
      <c r="A533" s="49"/>
      <c r="B533" s="49" t="s">
        <v>52</v>
      </c>
      <c r="C533" s="49" t="s">
        <v>607</v>
      </c>
      <c r="D533" s="50" t="str">
        <f t="shared" si="40"/>
        <v>Amine Latrech</v>
      </c>
      <c r="E533" s="50" t="str">
        <f t="shared" si="41"/>
        <v>mai</v>
      </c>
      <c r="F533" s="50">
        <f t="shared" si="42"/>
        <v>12</v>
      </c>
      <c r="G533" s="50">
        <f t="shared" si="43"/>
        <v>2026</v>
      </c>
      <c r="H533" s="51">
        <f>IF($C533="","",IFERROR(DATE(G533,VLOOKUP(E533,Paramètres!$K$11:$L$40,2,FALSE()),F533),"?"))</f>
        <v>46154</v>
      </c>
      <c r="I533" s="50">
        <f>IF(ISNUMBER(H533),IF(COUNTIFS($D$2:D533,D533,$H$2:H533,H533)=1,1,0),"")</f>
        <v>1</v>
      </c>
      <c r="J533" s="50">
        <f>IF(ISNUMBER(H533),IFERROR(INDEX(Calendrier!$C$2:$C$367,MATCH(H533,Calendrier!$A$2:$A$367,0)),0),"")</f>
        <v>1</v>
      </c>
      <c r="K533" s="50">
        <f t="shared" si="44"/>
        <v>1</v>
      </c>
      <c r="L533" s="50">
        <f>IF(D533="","",IF(COUNTIF(Paramètres!$A$11:$A$40,D533)&gt;0,1,0))</f>
        <v>1</v>
      </c>
    </row>
    <row r="534" spans="1:12" hidden="1" x14ac:dyDescent="0.25">
      <c r="A534" s="49"/>
      <c r="B534" s="49" t="s">
        <v>52</v>
      </c>
      <c r="C534" s="49" t="s">
        <v>608</v>
      </c>
      <c r="D534" s="50" t="str">
        <f t="shared" si="40"/>
        <v>Amine Latrech</v>
      </c>
      <c r="E534" s="50" t="str">
        <f t="shared" si="41"/>
        <v>mai</v>
      </c>
      <c r="F534" s="50">
        <f t="shared" si="42"/>
        <v>13</v>
      </c>
      <c r="G534" s="50">
        <f t="shared" si="43"/>
        <v>2026</v>
      </c>
      <c r="H534" s="51">
        <f>IF($C534="","",IFERROR(DATE(G534,VLOOKUP(E534,Paramètres!$K$11:$L$40,2,FALSE()),F534),"?"))</f>
        <v>46155</v>
      </c>
      <c r="I534" s="50">
        <f>IF(ISNUMBER(H534),IF(COUNTIFS($D$2:D534,D534,$H$2:H534,H534)=1,1,0),"")</f>
        <v>1</v>
      </c>
      <c r="J534" s="50">
        <f>IF(ISNUMBER(H534),IFERROR(INDEX(Calendrier!$C$2:$C$367,MATCH(H534,Calendrier!$A$2:$A$367,0)),0),"")</f>
        <v>1</v>
      </c>
      <c r="K534" s="50">
        <f t="shared" si="44"/>
        <v>1</v>
      </c>
      <c r="L534" s="50">
        <f>IF(D534="","",IF(COUNTIF(Paramètres!$A$11:$A$40,D534)&gt;0,1,0))</f>
        <v>1</v>
      </c>
    </row>
    <row r="535" spans="1:12" hidden="1" x14ac:dyDescent="0.25">
      <c r="A535" s="49"/>
      <c r="B535" s="49" t="s">
        <v>52</v>
      </c>
      <c r="C535" s="49" t="s">
        <v>609</v>
      </c>
      <c r="D535" s="50" t="str">
        <f t="shared" si="40"/>
        <v>Amine Latrech</v>
      </c>
      <c r="E535" s="50" t="str">
        <f t="shared" si="41"/>
        <v>mai</v>
      </c>
      <c r="F535" s="50">
        <f t="shared" si="42"/>
        <v>20</v>
      </c>
      <c r="G535" s="50">
        <f t="shared" si="43"/>
        <v>2026</v>
      </c>
      <c r="H535" s="51">
        <f>IF($C535="","",IFERROR(DATE(G535,VLOOKUP(E535,Paramètres!$K$11:$L$40,2,FALSE()),F535),"?"))</f>
        <v>46162</v>
      </c>
      <c r="I535" s="50">
        <f>IF(ISNUMBER(H535),IF(COUNTIFS($D$2:D535,D535,$H$2:H535,H535)=1,1,0),"")</f>
        <v>1</v>
      </c>
      <c r="J535" s="50">
        <f>IF(ISNUMBER(H535),IFERROR(INDEX(Calendrier!$C$2:$C$367,MATCH(H535,Calendrier!$A$2:$A$367,0)),0),"")</f>
        <v>1</v>
      </c>
      <c r="K535" s="50">
        <f t="shared" si="44"/>
        <v>1</v>
      </c>
      <c r="L535" s="50">
        <f>IF(D535="","",IF(COUNTIF(Paramètres!$A$11:$A$40,D535)&gt;0,1,0))</f>
        <v>1</v>
      </c>
    </row>
    <row r="536" spans="1:12" hidden="1" x14ac:dyDescent="0.25">
      <c r="A536" s="49"/>
      <c r="B536" s="49" t="s">
        <v>88</v>
      </c>
      <c r="C536" s="49" t="s">
        <v>610</v>
      </c>
      <c r="D536" s="50" t="str">
        <f t="shared" si="40"/>
        <v>Wissem Ben Abdalah</v>
      </c>
      <c r="E536" s="50" t="str">
        <f t="shared" si="41"/>
        <v>mai</v>
      </c>
      <c r="F536" s="50">
        <f t="shared" si="42"/>
        <v>21</v>
      </c>
      <c r="G536" s="50">
        <f t="shared" si="43"/>
        <v>2026</v>
      </c>
      <c r="H536" s="51">
        <f>IF($C536="","",IFERROR(DATE(G536,VLOOKUP(E536,Paramètres!$K$11:$L$40,2,FALSE()),F536),"?"))</f>
        <v>46163</v>
      </c>
      <c r="I536" s="50">
        <f>IF(ISNUMBER(H536),IF(COUNTIFS($D$2:D536,D536,$H$2:H536,H536)=1,1,0),"")</f>
        <v>1</v>
      </c>
      <c r="J536" s="50">
        <f>IF(ISNUMBER(H536),IFERROR(INDEX(Calendrier!$C$2:$C$367,MATCH(H536,Calendrier!$A$2:$A$367,0)),0),"")</f>
        <v>1</v>
      </c>
      <c r="K536" s="50">
        <f t="shared" si="44"/>
        <v>1</v>
      </c>
      <c r="L536" s="50">
        <f>IF(D536="","",IF(COUNTIF(Paramètres!$A$11:$A$40,D536)&gt;0,1,0))</f>
        <v>1</v>
      </c>
    </row>
    <row r="537" spans="1:12" hidden="1" x14ac:dyDescent="0.25">
      <c r="A537" s="49"/>
      <c r="B537" s="49" t="s">
        <v>83</v>
      </c>
      <c r="C537" s="49" t="s">
        <v>611</v>
      </c>
      <c r="D537" s="50" t="str">
        <f t="shared" si="40"/>
        <v>Safouen Magdouli</v>
      </c>
      <c r="E537" s="50" t="str">
        <f t="shared" si="41"/>
        <v>mai</v>
      </c>
      <c r="F537" s="50">
        <f t="shared" si="42"/>
        <v>4</v>
      </c>
      <c r="G537" s="50">
        <f t="shared" si="43"/>
        <v>2026</v>
      </c>
      <c r="H537" s="51">
        <f>IF($C537="","",IFERROR(DATE(G537,VLOOKUP(E537,Paramètres!$K$11:$L$40,2,FALSE()),F537),"?"))</f>
        <v>46146</v>
      </c>
      <c r="I537" s="50">
        <f>IF(ISNUMBER(H537),IF(COUNTIFS($D$2:D537,D537,$H$2:H537,H537)=1,1,0),"")</f>
        <v>1</v>
      </c>
      <c r="J537" s="50">
        <f>IF(ISNUMBER(H537),IFERROR(INDEX(Calendrier!$C$2:$C$367,MATCH(H537,Calendrier!$A$2:$A$367,0)),0),"")</f>
        <v>1</v>
      </c>
      <c r="K537" s="50">
        <f t="shared" si="44"/>
        <v>1</v>
      </c>
      <c r="L537" s="50">
        <f>IF(D537="","",IF(COUNTIF(Paramètres!$A$11:$A$40,D537)&gt;0,1,0))</f>
        <v>1</v>
      </c>
    </row>
    <row r="538" spans="1:12" hidden="1" x14ac:dyDescent="0.25">
      <c r="A538" s="49"/>
      <c r="B538" s="49" t="s">
        <v>83</v>
      </c>
      <c r="C538" s="49" t="s">
        <v>612</v>
      </c>
      <c r="D538" s="50" t="str">
        <f t="shared" si="40"/>
        <v>Safouen Magdouli</v>
      </c>
      <c r="E538" s="50" t="str">
        <f t="shared" si="41"/>
        <v>mai</v>
      </c>
      <c r="F538" s="50">
        <f t="shared" si="42"/>
        <v>6</v>
      </c>
      <c r="G538" s="50">
        <f t="shared" si="43"/>
        <v>2026</v>
      </c>
      <c r="H538" s="51">
        <f>IF($C538="","",IFERROR(DATE(G538,VLOOKUP(E538,Paramètres!$K$11:$L$40,2,FALSE()),F538),"?"))</f>
        <v>46148</v>
      </c>
      <c r="I538" s="50">
        <f>IF(ISNUMBER(H538),IF(COUNTIFS($D$2:D538,D538,$H$2:H538,H538)=1,1,0),"")</f>
        <v>1</v>
      </c>
      <c r="J538" s="50">
        <f>IF(ISNUMBER(H538),IFERROR(INDEX(Calendrier!$C$2:$C$367,MATCH(H538,Calendrier!$A$2:$A$367,0)),0),"")</f>
        <v>1</v>
      </c>
      <c r="K538" s="50">
        <f t="shared" si="44"/>
        <v>1</v>
      </c>
      <c r="L538" s="50">
        <f>IF(D538="","",IF(COUNTIF(Paramètres!$A$11:$A$40,D538)&gt;0,1,0))</f>
        <v>1</v>
      </c>
    </row>
    <row r="539" spans="1:12" hidden="1" x14ac:dyDescent="0.25">
      <c r="A539" s="49"/>
      <c r="B539" s="49" t="s">
        <v>83</v>
      </c>
      <c r="C539" s="49" t="s">
        <v>613</v>
      </c>
      <c r="D539" s="50" t="str">
        <f t="shared" si="40"/>
        <v>Safouen Magdouli</v>
      </c>
      <c r="E539" s="50" t="str">
        <f t="shared" si="41"/>
        <v>mai</v>
      </c>
      <c r="F539" s="50">
        <f t="shared" si="42"/>
        <v>7</v>
      </c>
      <c r="G539" s="50">
        <f t="shared" si="43"/>
        <v>2026</v>
      </c>
      <c r="H539" s="51">
        <f>IF($C539="","",IFERROR(DATE(G539,VLOOKUP(E539,Paramètres!$K$11:$L$40,2,FALSE()),F539),"?"))</f>
        <v>46149</v>
      </c>
      <c r="I539" s="50">
        <f>IF(ISNUMBER(H539),IF(COUNTIFS($D$2:D539,D539,$H$2:H539,H539)=1,1,0),"")</f>
        <v>1</v>
      </c>
      <c r="J539" s="50">
        <f>IF(ISNUMBER(H539),IFERROR(INDEX(Calendrier!$C$2:$C$367,MATCH(H539,Calendrier!$A$2:$A$367,0)),0),"")</f>
        <v>1</v>
      </c>
      <c r="K539" s="50">
        <f t="shared" si="44"/>
        <v>1</v>
      </c>
      <c r="L539" s="50">
        <f>IF(D539="","",IF(COUNTIF(Paramètres!$A$11:$A$40,D539)&gt;0,1,0))</f>
        <v>1</v>
      </c>
    </row>
    <row r="540" spans="1:12" hidden="1" x14ac:dyDescent="0.25">
      <c r="A540" s="49"/>
      <c r="B540" s="49" t="s">
        <v>83</v>
      </c>
      <c r="C540" s="49" t="s">
        <v>614</v>
      </c>
      <c r="D540" s="50" t="str">
        <f t="shared" si="40"/>
        <v>Safouen Magdouli</v>
      </c>
      <c r="E540" s="50" t="str">
        <f t="shared" si="41"/>
        <v>mai</v>
      </c>
      <c r="F540" s="50">
        <f t="shared" si="42"/>
        <v>11</v>
      </c>
      <c r="G540" s="50">
        <f t="shared" si="43"/>
        <v>2026</v>
      </c>
      <c r="H540" s="51">
        <f>IF($C540="","",IFERROR(DATE(G540,VLOOKUP(E540,Paramètres!$K$11:$L$40,2,FALSE()),F540),"?"))</f>
        <v>46153</v>
      </c>
      <c r="I540" s="50">
        <f>IF(ISNUMBER(H540),IF(COUNTIFS($D$2:D540,D540,$H$2:H540,H540)=1,1,0),"")</f>
        <v>1</v>
      </c>
      <c r="J540" s="50">
        <f>IF(ISNUMBER(H540),IFERROR(INDEX(Calendrier!$C$2:$C$367,MATCH(H540,Calendrier!$A$2:$A$367,0)),0),"")</f>
        <v>1</v>
      </c>
      <c r="K540" s="50">
        <f t="shared" si="44"/>
        <v>1</v>
      </c>
      <c r="L540" s="50">
        <f>IF(D540="","",IF(COUNTIF(Paramètres!$A$11:$A$40,D540)&gt;0,1,0))</f>
        <v>1</v>
      </c>
    </row>
    <row r="541" spans="1:12" hidden="1" x14ac:dyDescent="0.25">
      <c r="A541" s="49"/>
      <c r="B541" s="49" t="s">
        <v>83</v>
      </c>
      <c r="C541" s="49" t="s">
        <v>615</v>
      </c>
      <c r="D541" s="50" t="str">
        <f t="shared" si="40"/>
        <v>Safouen Magdouli</v>
      </c>
      <c r="E541" s="50" t="str">
        <f t="shared" si="41"/>
        <v>mai</v>
      </c>
      <c r="F541" s="50">
        <f t="shared" si="42"/>
        <v>13</v>
      </c>
      <c r="G541" s="50">
        <f t="shared" si="43"/>
        <v>2026</v>
      </c>
      <c r="H541" s="51">
        <f>IF($C541="","",IFERROR(DATE(G541,VLOOKUP(E541,Paramètres!$K$11:$L$40,2,FALSE()),F541),"?"))</f>
        <v>46155</v>
      </c>
      <c r="I541" s="50">
        <f>IF(ISNUMBER(H541),IF(COUNTIFS($D$2:D541,D541,$H$2:H541,H541)=1,1,0),"")</f>
        <v>1</v>
      </c>
      <c r="J541" s="50">
        <f>IF(ISNUMBER(H541),IFERROR(INDEX(Calendrier!$C$2:$C$367,MATCH(H541,Calendrier!$A$2:$A$367,0)),0),"")</f>
        <v>1</v>
      </c>
      <c r="K541" s="50">
        <f t="shared" si="44"/>
        <v>1</v>
      </c>
      <c r="L541" s="50">
        <f>IF(D541="","",IF(COUNTIF(Paramètres!$A$11:$A$40,D541)&gt;0,1,0))</f>
        <v>1</v>
      </c>
    </row>
    <row r="542" spans="1:12" hidden="1" x14ac:dyDescent="0.25">
      <c r="A542" s="49"/>
      <c r="B542" s="49" t="s">
        <v>83</v>
      </c>
      <c r="C542" s="49" t="s">
        <v>616</v>
      </c>
      <c r="D542" s="50" t="str">
        <f t="shared" si="40"/>
        <v>Safouen Magdouli</v>
      </c>
      <c r="E542" s="50" t="str">
        <f t="shared" si="41"/>
        <v>mai</v>
      </c>
      <c r="F542" s="50">
        <f t="shared" si="42"/>
        <v>14</v>
      </c>
      <c r="G542" s="50">
        <f t="shared" si="43"/>
        <v>2026</v>
      </c>
      <c r="H542" s="51">
        <f>IF($C542="","",IFERROR(DATE(G542,VLOOKUP(E542,Paramètres!$K$11:$L$40,2,FALSE()),F542),"?"))</f>
        <v>46156</v>
      </c>
      <c r="I542" s="50">
        <f>IF(ISNUMBER(H542),IF(COUNTIFS($D$2:D542,D542,$H$2:H542,H542)=1,1,0),"")</f>
        <v>1</v>
      </c>
      <c r="J542" s="50">
        <f>IF(ISNUMBER(H542),IFERROR(INDEX(Calendrier!$C$2:$C$367,MATCH(H542,Calendrier!$A$2:$A$367,0)),0),"")</f>
        <v>1</v>
      </c>
      <c r="K542" s="50">
        <f t="shared" si="44"/>
        <v>1</v>
      </c>
      <c r="L542" s="50">
        <f>IF(D542="","",IF(COUNTIF(Paramètres!$A$11:$A$40,D542)&gt;0,1,0))</f>
        <v>1</v>
      </c>
    </row>
    <row r="543" spans="1:12" hidden="1" x14ac:dyDescent="0.25">
      <c r="A543" s="49"/>
      <c r="B543" s="49" t="s">
        <v>83</v>
      </c>
      <c r="C543" s="49" t="s">
        <v>617</v>
      </c>
      <c r="D543" s="50" t="str">
        <f t="shared" si="40"/>
        <v>Safouen Magdouli</v>
      </c>
      <c r="E543" s="50" t="str">
        <f t="shared" si="41"/>
        <v>mai</v>
      </c>
      <c r="F543" s="50">
        <f t="shared" si="42"/>
        <v>19</v>
      </c>
      <c r="G543" s="50">
        <f t="shared" si="43"/>
        <v>2026</v>
      </c>
      <c r="H543" s="51">
        <f>IF($C543="","",IFERROR(DATE(G543,VLOOKUP(E543,Paramètres!$K$11:$L$40,2,FALSE()),F543),"?"))</f>
        <v>46161</v>
      </c>
      <c r="I543" s="50">
        <f>IF(ISNUMBER(H543),IF(COUNTIFS($D$2:D543,D543,$H$2:H543,H543)=1,1,0),"")</f>
        <v>1</v>
      </c>
      <c r="J543" s="50">
        <f>IF(ISNUMBER(H543),IFERROR(INDEX(Calendrier!$C$2:$C$367,MATCH(H543,Calendrier!$A$2:$A$367,0)),0),"")</f>
        <v>1</v>
      </c>
      <c r="K543" s="50">
        <f t="shared" si="44"/>
        <v>1</v>
      </c>
      <c r="L543" s="50">
        <f>IF(D543="","",IF(COUNTIF(Paramètres!$A$11:$A$40,D543)&gt;0,1,0))</f>
        <v>1</v>
      </c>
    </row>
    <row r="544" spans="1:12" hidden="1" x14ac:dyDescent="0.25">
      <c r="A544" s="49"/>
      <c r="B544" s="49" t="s">
        <v>81</v>
      </c>
      <c r="C544" s="49" t="s">
        <v>618</v>
      </c>
      <c r="D544" s="50" t="str">
        <f t="shared" si="40"/>
        <v>Sabrine Neffeti</v>
      </c>
      <c r="E544" s="50" t="str">
        <f t="shared" si="41"/>
        <v>mai</v>
      </c>
      <c r="F544" s="50">
        <f t="shared" si="42"/>
        <v>4</v>
      </c>
      <c r="G544" s="50">
        <f t="shared" si="43"/>
        <v>2026</v>
      </c>
      <c r="H544" s="51">
        <f>IF($C544="","",IFERROR(DATE(G544,VLOOKUP(E544,Paramètres!$K$11:$L$40,2,FALSE()),F544),"?"))</f>
        <v>46146</v>
      </c>
      <c r="I544" s="50">
        <f>IF(ISNUMBER(H544),IF(COUNTIFS($D$2:D544,D544,$H$2:H544,H544)=1,1,0),"")</f>
        <v>1</v>
      </c>
      <c r="J544" s="50">
        <f>IF(ISNUMBER(H544),IFERROR(INDEX(Calendrier!$C$2:$C$367,MATCH(H544,Calendrier!$A$2:$A$367,0)),0),"")</f>
        <v>1</v>
      </c>
      <c r="K544" s="50">
        <f t="shared" si="44"/>
        <v>1</v>
      </c>
      <c r="L544" s="50">
        <f>IF(D544="","",IF(COUNTIF(Paramètres!$A$11:$A$40,D544)&gt;0,1,0))</f>
        <v>1</v>
      </c>
    </row>
    <row r="545" spans="1:12" hidden="1" x14ac:dyDescent="0.25">
      <c r="A545" s="49"/>
      <c r="B545" s="49" t="s">
        <v>81</v>
      </c>
      <c r="C545" s="49" t="s">
        <v>619</v>
      </c>
      <c r="D545" s="50" t="str">
        <f t="shared" si="40"/>
        <v>Sabrine Neffeti</v>
      </c>
      <c r="E545" s="50" t="str">
        <f t="shared" si="41"/>
        <v>mai</v>
      </c>
      <c r="F545" s="50">
        <f t="shared" si="42"/>
        <v>14</v>
      </c>
      <c r="G545" s="50">
        <f t="shared" si="43"/>
        <v>2026</v>
      </c>
      <c r="H545" s="51">
        <f>IF($C545="","",IFERROR(DATE(G545,VLOOKUP(E545,Paramètres!$K$11:$L$40,2,FALSE()),F545),"?"))</f>
        <v>46156</v>
      </c>
      <c r="I545" s="50">
        <f>IF(ISNUMBER(H545),IF(COUNTIFS($D$2:D545,D545,$H$2:H545,H545)=1,1,0),"")</f>
        <v>1</v>
      </c>
      <c r="J545" s="50">
        <f>IF(ISNUMBER(H545),IFERROR(INDEX(Calendrier!$C$2:$C$367,MATCH(H545,Calendrier!$A$2:$A$367,0)),0),"")</f>
        <v>1</v>
      </c>
      <c r="K545" s="50">
        <f t="shared" si="44"/>
        <v>1</v>
      </c>
      <c r="L545" s="50">
        <f>IF(D545="","",IF(COUNTIF(Paramètres!$A$11:$A$40,D545)&gt;0,1,0))</f>
        <v>1</v>
      </c>
    </row>
    <row r="546" spans="1:12" hidden="1" x14ac:dyDescent="0.25">
      <c r="A546" s="49"/>
      <c r="B546" s="49" t="s">
        <v>81</v>
      </c>
      <c r="C546" s="49" t="s">
        <v>620</v>
      </c>
      <c r="D546" s="50" t="str">
        <f t="shared" si="40"/>
        <v>Sabrine Neffeti</v>
      </c>
      <c r="E546" s="50" t="str">
        <f t="shared" si="41"/>
        <v>mai</v>
      </c>
      <c r="F546" s="50">
        <f t="shared" si="42"/>
        <v>22</v>
      </c>
      <c r="G546" s="50">
        <f t="shared" si="43"/>
        <v>2026</v>
      </c>
      <c r="H546" s="51">
        <f>IF($C546="","",IFERROR(DATE(G546,VLOOKUP(E546,Paramètres!$K$11:$L$40,2,FALSE()),F546),"?"))</f>
        <v>46164</v>
      </c>
      <c r="I546" s="50">
        <f>IF(ISNUMBER(H546),IF(COUNTIFS($D$2:D546,D546,$H$2:H546,H546)=1,1,0),"")</f>
        <v>1</v>
      </c>
      <c r="J546" s="50">
        <f>IF(ISNUMBER(H546),IFERROR(INDEX(Calendrier!$C$2:$C$367,MATCH(H546,Calendrier!$A$2:$A$367,0)),0),"")</f>
        <v>1</v>
      </c>
      <c r="K546" s="50">
        <f t="shared" si="44"/>
        <v>1</v>
      </c>
      <c r="L546" s="50">
        <f>IF(D546="","",IF(COUNTIF(Paramètres!$A$11:$A$40,D546)&gt;0,1,0))</f>
        <v>1</v>
      </c>
    </row>
    <row r="547" spans="1:12" hidden="1" x14ac:dyDescent="0.25">
      <c r="A547" s="49"/>
      <c r="B547" s="49" t="s">
        <v>81</v>
      </c>
      <c r="C547" s="49" t="s">
        <v>621</v>
      </c>
      <c r="D547" s="50" t="str">
        <f t="shared" si="40"/>
        <v>Sabrine Neffeti</v>
      </c>
      <c r="E547" s="50" t="str">
        <f t="shared" si="41"/>
        <v>mai</v>
      </c>
      <c r="F547" s="50">
        <f t="shared" si="42"/>
        <v>25</v>
      </c>
      <c r="G547" s="50">
        <f t="shared" si="43"/>
        <v>2026</v>
      </c>
      <c r="H547" s="51">
        <f>IF($C547="","",IFERROR(DATE(G547,VLOOKUP(E547,Paramètres!$K$11:$L$40,2,FALSE()),F547),"?"))</f>
        <v>46167</v>
      </c>
      <c r="I547" s="50">
        <f>IF(ISNUMBER(H547),IF(COUNTIFS($D$2:D547,D547,$H$2:H547,H547)=1,1,0),"")</f>
        <v>1</v>
      </c>
      <c r="J547" s="50">
        <f>IF(ISNUMBER(H547),IFERROR(INDEX(Calendrier!$C$2:$C$367,MATCH(H547,Calendrier!$A$2:$A$367,0)),0),"")</f>
        <v>1</v>
      </c>
      <c r="K547" s="50">
        <f t="shared" si="44"/>
        <v>1</v>
      </c>
      <c r="L547" s="50">
        <f>IF(D547="","",IF(COUNTIF(Paramètres!$A$11:$A$40,D547)&gt;0,1,0))</f>
        <v>1</v>
      </c>
    </row>
    <row r="548" spans="1:12" hidden="1" x14ac:dyDescent="0.25">
      <c r="A548" s="49"/>
      <c r="B548" s="49" t="s">
        <v>85</v>
      </c>
      <c r="C548" s="49" t="s">
        <v>622</v>
      </c>
      <c r="D548" s="50" t="str">
        <f t="shared" si="40"/>
        <v>Said Hamrouni</v>
      </c>
      <c r="E548" s="50" t="str">
        <f t="shared" si="41"/>
        <v>mai</v>
      </c>
      <c r="F548" s="50">
        <f t="shared" si="42"/>
        <v>13</v>
      </c>
      <c r="G548" s="50">
        <f t="shared" si="43"/>
        <v>2026</v>
      </c>
      <c r="H548" s="51">
        <f>IF($C548="","",IFERROR(DATE(G548,VLOOKUP(E548,Paramètres!$K$11:$L$40,2,FALSE()),F548),"?"))</f>
        <v>46155</v>
      </c>
      <c r="I548" s="50">
        <f>IF(ISNUMBER(H548),IF(COUNTIFS($D$2:D548,D548,$H$2:H548,H548)=1,1,0),"")</f>
        <v>1</v>
      </c>
      <c r="J548" s="50">
        <f>IF(ISNUMBER(H548),IFERROR(INDEX(Calendrier!$C$2:$C$367,MATCH(H548,Calendrier!$A$2:$A$367,0)),0),"")</f>
        <v>1</v>
      </c>
      <c r="K548" s="50">
        <f t="shared" si="44"/>
        <v>1</v>
      </c>
      <c r="L548" s="50">
        <f>IF(D548="","",IF(COUNTIF(Paramètres!$A$11:$A$40,D548)&gt;0,1,0))</f>
        <v>1</v>
      </c>
    </row>
    <row r="549" spans="1:12" hidden="1" x14ac:dyDescent="0.25">
      <c r="A549" s="49"/>
      <c r="B549" s="49" t="s">
        <v>85</v>
      </c>
      <c r="C549" s="49" t="s">
        <v>623</v>
      </c>
      <c r="D549" s="50" t="str">
        <f t="shared" si="40"/>
        <v>Said Hamrouni</v>
      </c>
      <c r="E549" s="50" t="str">
        <f t="shared" si="41"/>
        <v>mai</v>
      </c>
      <c r="F549" s="50">
        <f t="shared" si="42"/>
        <v>20</v>
      </c>
      <c r="G549" s="50">
        <f t="shared" si="43"/>
        <v>2026</v>
      </c>
      <c r="H549" s="51">
        <f>IF($C549="","",IFERROR(DATE(G549,VLOOKUP(E549,Paramètres!$K$11:$L$40,2,FALSE()),F549),"?"))</f>
        <v>46162</v>
      </c>
      <c r="I549" s="50">
        <f>IF(ISNUMBER(H549),IF(COUNTIFS($D$2:D549,D549,$H$2:H549,H549)=1,1,0),"")</f>
        <v>1</v>
      </c>
      <c r="J549" s="50">
        <f>IF(ISNUMBER(H549),IFERROR(INDEX(Calendrier!$C$2:$C$367,MATCH(H549,Calendrier!$A$2:$A$367,0)),0),"")</f>
        <v>1</v>
      </c>
      <c r="K549" s="50">
        <f t="shared" si="44"/>
        <v>1</v>
      </c>
      <c r="L549" s="50">
        <f>IF(D549="","",IF(COUNTIF(Paramètres!$A$11:$A$40,D549)&gt;0,1,0))</f>
        <v>1</v>
      </c>
    </row>
    <row r="550" spans="1:12" hidden="1" x14ac:dyDescent="0.25">
      <c r="A550" s="49"/>
      <c r="B550" s="49" t="s">
        <v>85</v>
      </c>
      <c r="C550" s="49" t="s">
        <v>624</v>
      </c>
      <c r="D550" s="50" t="str">
        <f t="shared" si="40"/>
        <v>Said Hamrouni</v>
      </c>
      <c r="E550" s="50" t="str">
        <f t="shared" si="41"/>
        <v>mai</v>
      </c>
      <c r="F550" s="50">
        <f t="shared" si="42"/>
        <v>20</v>
      </c>
      <c r="G550" s="50">
        <f t="shared" si="43"/>
        <v>2026</v>
      </c>
      <c r="H550" s="51">
        <f>IF($C550="","",IFERROR(DATE(G550,VLOOKUP(E550,Paramètres!$K$11:$L$40,2,FALSE()),F550),"?"))</f>
        <v>46162</v>
      </c>
      <c r="I550" s="50">
        <f>IF(ISNUMBER(H550),IF(COUNTIFS($D$2:D550,D550,$H$2:H550,H550)=1,1,0),"")</f>
        <v>0</v>
      </c>
      <c r="J550" s="50">
        <f>IF(ISNUMBER(H550),IFERROR(INDEX(Calendrier!$C$2:$C$367,MATCH(H550,Calendrier!$A$2:$A$367,0)),0),"")</f>
        <v>1</v>
      </c>
      <c r="K550" s="50">
        <f t="shared" si="44"/>
        <v>0</v>
      </c>
      <c r="L550" s="50">
        <f>IF(D550="","",IF(COUNTIF(Paramètres!$A$11:$A$40,D550)&gt;0,1,0))</f>
        <v>1</v>
      </c>
    </row>
    <row r="551" spans="1:12" hidden="1" x14ac:dyDescent="0.25">
      <c r="A551" s="49"/>
      <c r="B551" s="49" t="s">
        <v>45</v>
      </c>
      <c r="C551" s="49" t="s">
        <v>625</v>
      </c>
      <c r="D551" s="50" t="str">
        <f t="shared" si="40"/>
        <v>Ahlem Moussa</v>
      </c>
      <c r="E551" s="50" t="str">
        <f t="shared" si="41"/>
        <v>mai</v>
      </c>
      <c r="F551" s="50">
        <f t="shared" si="42"/>
        <v>4</v>
      </c>
      <c r="G551" s="50">
        <f t="shared" si="43"/>
        <v>2026</v>
      </c>
      <c r="H551" s="51">
        <f>IF($C551="","",IFERROR(DATE(G551,VLOOKUP(E551,Paramètres!$K$11:$L$40,2,FALSE()),F551),"?"))</f>
        <v>46146</v>
      </c>
      <c r="I551" s="50">
        <f>IF(ISNUMBER(H551),IF(COUNTIFS($D$2:D551,D551,$H$2:H551,H551)=1,1,0),"")</f>
        <v>1</v>
      </c>
      <c r="J551" s="50">
        <f>IF(ISNUMBER(H551),IFERROR(INDEX(Calendrier!$C$2:$C$367,MATCH(H551,Calendrier!$A$2:$A$367,0)),0),"")</f>
        <v>1</v>
      </c>
      <c r="K551" s="50">
        <f t="shared" si="44"/>
        <v>1</v>
      </c>
      <c r="L551" s="50">
        <f>IF(D551="","",IF(COUNTIF(Paramètres!$A$11:$A$40,D551)&gt;0,1,0))</f>
        <v>1</v>
      </c>
    </row>
    <row r="552" spans="1:12" hidden="1" x14ac:dyDescent="0.25">
      <c r="A552" s="49"/>
      <c r="B552" s="49" t="s">
        <v>45</v>
      </c>
      <c r="C552" s="49" t="s">
        <v>626</v>
      </c>
      <c r="D552" s="50" t="str">
        <f t="shared" si="40"/>
        <v>Ahlem Moussa</v>
      </c>
      <c r="E552" s="50" t="str">
        <f t="shared" si="41"/>
        <v>mai</v>
      </c>
      <c r="F552" s="50">
        <f t="shared" si="42"/>
        <v>5</v>
      </c>
      <c r="G552" s="50">
        <f t="shared" si="43"/>
        <v>2026</v>
      </c>
      <c r="H552" s="51">
        <f>IF($C552="","",IFERROR(DATE(G552,VLOOKUP(E552,Paramètres!$K$11:$L$40,2,FALSE()),F552),"?"))</f>
        <v>46147</v>
      </c>
      <c r="I552" s="50">
        <f>IF(ISNUMBER(H552),IF(COUNTIFS($D$2:D552,D552,$H$2:H552,H552)=1,1,0),"")</f>
        <v>1</v>
      </c>
      <c r="J552" s="50">
        <f>IF(ISNUMBER(H552),IFERROR(INDEX(Calendrier!$C$2:$C$367,MATCH(H552,Calendrier!$A$2:$A$367,0)),0),"")</f>
        <v>1</v>
      </c>
      <c r="K552" s="50">
        <f t="shared" si="44"/>
        <v>1</v>
      </c>
      <c r="L552" s="50">
        <f>IF(D552="","",IF(COUNTIF(Paramètres!$A$11:$A$40,D552)&gt;0,1,0))</f>
        <v>1</v>
      </c>
    </row>
    <row r="553" spans="1:12" hidden="1" x14ac:dyDescent="0.25">
      <c r="A553" s="49"/>
      <c r="B553" s="49" t="s">
        <v>45</v>
      </c>
      <c r="C553" s="49" t="s">
        <v>627</v>
      </c>
      <c r="D553" s="50" t="str">
        <f t="shared" si="40"/>
        <v>Ahlem Moussa</v>
      </c>
      <c r="E553" s="50" t="str">
        <f t="shared" si="41"/>
        <v>mai</v>
      </c>
      <c r="F553" s="50">
        <f t="shared" si="42"/>
        <v>7</v>
      </c>
      <c r="G553" s="50">
        <f t="shared" si="43"/>
        <v>2026</v>
      </c>
      <c r="H553" s="51">
        <f>IF($C553="","",IFERROR(DATE(G553,VLOOKUP(E553,Paramètres!$K$11:$L$40,2,FALSE()),F553),"?"))</f>
        <v>46149</v>
      </c>
      <c r="I553" s="50">
        <f>IF(ISNUMBER(H553),IF(COUNTIFS($D$2:D553,D553,$H$2:H553,H553)=1,1,0),"")</f>
        <v>1</v>
      </c>
      <c r="J553" s="50">
        <f>IF(ISNUMBER(H553),IFERROR(INDEX(Calendrier!$C$2:$C$367,MATCH(H553,Calendrier!$A$2:$A$367,0)),0),"")</f>
        <v>1</v>
      </c>
      <c r="K553" s="50">
        <f t="shared" si="44"/>
        <v>1</v>
      </c>
      <c r="L553" s="50">
        <f>IF(D553="","",IF(COUNTIF(Paramètres!$A$11:$A$40,D553)&gt;0,1,0))</f>
        <v>1</v>
      </c>
    </row>
    <row r="554" spans="1:12" hidden="1" x14ac:dyDescent="0.25">
      <c r="A554" s="49"/>
      <c r="B554" s="49" t="s">
        <v>45</v>
      </c>
      <c r="C554" s="49" t="s">
        <v>628</v>
      </c>
      <c r="D554" s="50" t="str">
        <f t="shared" si="40"/>
        <v>Ahlem Moussa</v>
      </c>
      <c r="E554" s="50" t="str">
        <f t="shared" si="41"/>
        <v>mai</v>
      </c>
      <c r="F554" s="50">
        <f t="shared" si="42"/>
        <v>8</v>
      </c>
      <c r="G554" s="50">
        <f t="shared" si="43"/>
        <v>2026</v>
      </c>
      <c r="H554" s="51">
        <f>IF($C554="","",IFERROR(DATE(G554,VLOOKUP(E554,Paramètres!$K$11:$L$40,2,FALSE()),F554),"?"))</f>
        <v>46150</v>
      </c>
      <c r="I554" s="50">
        <f>IF(ISNUMBER(H554),IF(COUNTIFS($D$2:D554,D554,$H$2:H554,H554)=1,1,0),"")</f>
        <v>1</v>
      </c>
      <c r="J554" s="50">
        <f>IF(ISNUMBER(H554),IFERROR(INDEX(Calendrier!$C$2:$C$367,MATCH(H554,Calendrier!$A$2:$A$367,0)),0),"")</f>
        <v>1</v>
      </c>
      <c r="K554" s="50">
        <f t="shared" si="44"/>
        <v>1</v>
      </c>
      <c r="L554" s="50">
        <f>IF(D554="","",IF(COUNTIF(Paramètres!$A$11:$A$40,D554)&gt;0,1,0))</f>
        <v>1</v>
      </c>
    </row>
    <row r="555" spans="1:12" hidden="1" x14ac:dyDescent="0.25">
      <c r="A555" s="49"/>
      <c r="B555" s="49" t="s">
        <v>45</v>
      </c>
      <c r="C555" s="49" t="s">
        <v>629</v>
      </c>
      <c r="D555" s="50" t="str">
        <f t="shared" si="40"/>
        <v>Ahlem Moussa</v>
      </c>
      <c r="E555" s="50" t="str">
        <f t="shared" si="41"/>
        <v>mai</v>
      </c>
      <c r="F555" s="50">
        <f t="shared" si="42"/>
        <v>11</v>
      </c>
      <c r="G555" s="50">
        <f t="shared" si="43"/>
        <v>2026</v>
      </c>
      <c r="H555" s="51">
        <f>IF($C555="","",IFERROR(DATE(G555,VLOOKUP(E555,Paramètres!$K$11:$L$40,2,FALSE()),F555),"?"))</f>
        <v>46153</v>
      </c>
      <c r="I555" s="50">
        <f>IF(ISNUMBER(H555),IF(COUNTIFS($D$2:D555,D555,$H$2:H555,H555)=1,1,0),"")</f>
        <v>1</v>
      </c>
      <c r="J555" s="50">
        <f>IF(ISNUMBER(H555),IFERROR(INDEX(Calendrier!$C$2:$C$367,MATCH(H555,Calendrier!$A$2:$A$367,0)),0),"")</f>
        <v>1</v>
      </c>
      <c r="K555" s="50">
        <f t="shared" si="44"/>
        <v>1</v>
      </c>
      <c r="L555" s="50">
        <f>IF(D555="","",IF(COUNTIF(Paramètres!$A$11:$A$40,D555)&gt;0,1,0))</f>
        <v>1</v>
      </c>
    </row>
    <row r="556" spans="1:12" hidden="1" x14ac:dyDescent="0.25">
      <c r="A556" s="49"/>
      <c r="B556" s="49" t="s">
        <v>45</v>
      </c>
      <c r="C556" s="49" t="s">
        <v>630</v>
      </c>
      <c r="D556" s="50" t="str">
        <f t="shared" si="40"/>
        <v>Ahlem Moussa</v>
      </c>
      <c r="E556" s="50" t="str">
        <f t="shared" si="41"/>
        <v>mai</v>
      </c>
      <c r="F556" s="50">
        <f t="shared" si="42"/>
        <v>15</v>
      </c>
      <c r="G556" s="50">
        <f t="shared" si="43"/>
        <v>2026</v>
      </c>
      <c r="H556" s="51">
        <f>IF($C556="","",IFERROR(DATE(G556,VLOOKUP(E556,Paramètres!$K$11:$L$40,2,FALSE()),F556),"?"))</f>
        <v>46157</v>
      </c>
      <c r="I556" s="50">
        <f>IF(ISNUMBER(H556),IF(COUNTIFS($D$2:D556,D556,$H$2:H556,H556)=1,1,0),"")</f>
        <v>1</v>
      </c>
      <c r="J556" s="50">
        <f>IF(ISNUMBER(H556),IFERROR(INDEX(Calendrier!$C$2:$C$367,MATCH(H556,Calendrier!$A$2:$A$367,0)),0),"")</f>
        <v>1</v>
      </c>
      <c r="K556" s="50">
        <f t="shared" si="44"/>
        <v>1</v>
      </c>
      <c r="L556" s="50">
        <f>IF(D556="","",IF(COUNTIF(Paramètres!$A$11:$A$40,D556)&gt;0,1,0))</f>
        <v>1</v>
      </c>
    </row>
    <row r="557" spans="1:12" hidden="1" x14ac:dyDescent="0.25">
      <c r="A557" s="49"/>
      <c r="B557" s="49" t="s">
        <v>45</v>
      </c>
      <c r="C557" s="49" t="s">
        <v>631</v>
      </c>
      <c r="D557" s="50" t="str">
        <f t="shared" si="40"/>
        <v>Ahlem Moussa</v>
      </c>
      <c r="E557" s="50" t="str">
        <f t="shared" si="41"/>
        <v>mai</v>
      </c>
      <c r="F557" s="50">
        <f t="shared" si="42"/>
        <v>18</v>
      </c>
      <c r="G557" s="50">
        <f t="shared" si="43"/>
        <v>2026</v>
      </c>
      <c r="H557" s="51">
        <f>IF($C557="","",IFERROR(DATE(G557,VLOOKUP(E557,Paramètres!$K$11:$L$40,2,FALSE()),F557),"?"))</f>
        <v>46160</v>
      </c>
      <c r="I557" s="50">
        <f>IF(ISNUMBER(H557),IF(COUNTIFS($D$2:D557,D557,$H$2:H557,H557)=1,1,0),"")</f>
        <v>1</v>
      </c>
      <c r="J557" s="50">
        <f>IF(ISNUMBER(H557),IFERROR(INDEX(Calendrier!$C$2:$C$367,MATCH(H557,Calendrier!$A$2:$A$367,0)),0),"")</f>
        <v>1</v>
      </c>
      <c r="K557" s="50">
        <f t="shared" si="44"/>
        <v>1</v>
      </c>
      <c r="L557" s="50">
        <f>IF(D557="","",IF(COUNTIF(Paramètres!$A$11:$A$40,D557)&gt;0,1,0))</f>
        <v>1</v>
      </c>
    </row>
    <row r="558" spans="1:12" hidden="1" x14ac:dyDescent="0.25">
      <c r="A558" s="49"/>
      <c r="B558" s="49" t="s">
        <v>45</v>
      </c>
      <c r="C558" s="49" t="s">
        <v>632</v>
      </c>
      <c r="D558" s="50" t="str">
        <f t="shared" si="40"/>
        <v>Ahlem Moussa</v>
      </c>
      <c r="E558" s="50" t="str">
        <f t="shared" si="41"/>
        <v>mai</v>
      </c>
      <c r="F558" s="50">
        <f t="shared" si="42"/>
        <v>19</v>
      </c>
      <c r="G558" s="50">
        <f t="shared" si="43"/>
        <v>2026</v>
      </c>
      <c r="H558" s="51">
        <f>IF($C558="","",IFERROR(DATE(G558,VLOOKUP(E558,Paramètres!$K$11:$L$40,2,FALSE()),F558),"?"))</f>
        <v>46161</v>
      </c>
      <c r="I558" s="50">
        <f>IF(ISNUMBER(H558),IF(COUNTIFS($D$2:D558,D558,$H$2:H558,H558)=1,1,0),"")</f>
        <v>1</v>
      </c>
      <c r="J558" s="50">
        <f>IF(ISNUMBER(H558),IFERROR(INDEX(Calendrier!$C$2:$C$367,MATCH(H558,Calendrier!$A$2:$A$367,0)),0),"")</f>
        <v>1</v>
      </c>
      <c r="K558" s="50">
        <f t="shared" si="44"/>
        <v>1</v>
      </c>
      <c r="L558" s="50">
        <f>IF(D558="","",IF(COUNTIF(Paramètres!$A$11:$A$40,D558)&gt;0,1,0))</f>
        <v>1</v>
      </c>
    </row>
    <row r="559" spans="1:12" hidden="1" x14ac:dyDescent="0.25">
      <c r="A559" s="49"/>
      <c r="B559" s="49" t="s">
        <v>45</v>
      </c>
      <c r="C559" s="49" t="s">
        <v>633</v>
      </c>
      <c r="D559" s="50" t="str">
        <f t="shared" si="40"/>
        <v>Ahlem Moussa</v>
      </c>
      <c r="E559" s="50" t="str">
        <f t="shared" si="41"/>
        <v>mai</v>
      </c>
      <c r="F559" s="50">
        <f t="shared" si="42"/>
        <v>21</v>
      </c>
      <c r="G559" s="50">
        <f t="shared" si="43"/>
        <v>2026</v>
      </c>
      <c r="H559" s="51">
        <f>IF($C559="","",IFERROR(DATE(G559,VLOOKUP(E559,Paramètres!$K$11:$L$40,2,FALSE()),F559),"?"))</f>
        <v>46163</v>
      </c>
      <c r="I559" s="50">
        <f>IF(ISNUMBER(H559),IF(COUNTIFS($D$2:D559,D559,$H$2:H559,H559)=1,1,0),"")</f>
        <v>1</v>
      </c>
      <c r="J559" s="50">
        <f>IF(ISNUMBER(H559),IFERROR(INDEX(Calendrier!$C$2:$C$367,MATCH(H559,Calendrier!$A$2:$A$367,0)),0),"")</f>
        <v>1</v>
      </c>
      <c r="K559" s="50">
        <f t="shared" si="44"/>
        <v>1</v>
      </c>
      <c r="L559" s="50">
        <f>IF(D559="","",IF(COUNTIF(Paramètres!$A$11:$A$40,D559)&gt;0,1,0))</f>
        <v>1</v>
      </c>
    </row>
    <row r="560" spans="1:12" hidden="1" x14ac:dyDescent="0.25">
      <c r="A560" s="49"/>
      <c r="B560" s="49" t="s">
        <v>45</v>
      </c>
      <c r="C560" s="49" t="s">
        <v>634</v>
      </c>
      <c r="D560" s="50" t="str">
        <f t="shared" si="40"/>
        <v>Ahlem Moussa</v>
      </c>
      <c r="E560" s="50" t="str">
        <f t="shared" si="41"/>
        <v>mai</v>
      </c>
      <c r="F560" s="50">
        <f t="shared" si="42"/>
        <v>25</v>
      </c>
      <c r="G560" s="50">
        <f t="shared" si="43"/>
        <v>2026</v>
      </c>
      <c r="H560" s="51">
        <f>IF($C560="","",IFERROR(DATE(G560,VLOOKUP(E560,Paramètres!$K$11:$L$40,2,FALSE()),F560),"?"))</f>
        <v>46167</v>
      </c>
      <c r="I560" s="50">
        <f>IF(ISNUMBER(H560),IF(COUNTIFS($D$2:D560,D560,$H$2:H560,H560)=1,1,0),"")</f>
        <v>1</v>
      </c>
      <c r="J560" s="50">
        <f>IF(ISNUMBER(H560),IFERROR(INDEX(Calendrier!$C$2:$C$367,MATCH(H560,Calendrier!$A$2:$A$367,0)),0),"")</f>
        <v>1</v>
      </c>
      <c r="K560" s="50">
        <f t="shared" si="44"/>
        <v>1</v>
      </c>
      <c r="L560" s="50">
        <f>IF(D560="","",IF(COUNTIF(Paramètres!$A$11:$A$40,D560)&gt;0,1,0))</f>
        <v>1</v>
      </c>
    </row>
    <row r="561" spans="1:12" hidden="1" x14ac:dyDescent="0.25">
      <c r="A561" s="49"/>
      <c r="B561" s="49" t="s">
        <v>45</v>
      </c>
      <c r="C561" s="49" t="s">
        <v>635</v>
      </c>
      <c r="D561" s="50" t="str">
        <f t="shared" si="40"/>
        <v>Ahlem Moussa</v>
      </c>
      <c r="E561" s="50" t="str">
        <f t="shared" si="41"/>
        <v>mai</v>
      </c>
      <c r="F561" s="50">
        <f t="shared" si="42"/>
        <v>29</v>
      </c>
      <c r="G561" s="50">
        <f t="shared" si="43"/>
        <v>2026</v>
      </c>
      <c r="H561" s="51">
        <f>IF($C561="","",IFERROR(DATE(G561,VLOOKUP(E561,Paramètres!$K$11:$L$40,2,FALSE()),F561),"?"))</f>
        <v>46171</v>
      </c>
      <c r="I561" s="50">
        <f>IF(ISNUMBER(H561),IF(COUNTIFS($D$2:D561,D561,$H$2:H561,H561)=1,1,0),"")</f>
        <v>1</v>
      </c>
      <c r="J561" s="50">
        <f>IF(ISNUMBER(H561),IFERROR(INDEX(Calendrier!$C$2:$C$367,MATCH(H561,Calendrier!$A$2:$A$367,0)),0),"")</f>
        <v>0</v>
      </c>
      <c r="K561" s="50">
        <f t="shared" si="44"/>
        <v>0</v>
      </c>
      <c r="L561" s="50">
        <f>IF(D561="","",IF(COUNTIF(Paramètres!$A$11:$A$40,D561)&gt;0,1,0))</f>
        <v>1</v>
      </c>
    </row>
    <row r="562" spans="1:12" hidden="1" x14ac:dyDescent="0.25">
      <c r="A562" s="49"/>
      <c r="B562" s="49" t="s">
        <v>71</v>
      </c>
      <c r="C562" s="49" t="s">
        <v>636</v>
      </c>
      <c r="D562" s="50" t="str">
        <f t="shared" si="40"/>
        <v>Mohamed Sniha</v>
      </c>
      <c r="E562" s="50" t="str">
        <f t="shared" si="41"/>
        <v>mai</v>
      </c>
      <c r="F562" s="50">
        <f t="shared" si="42"/>
        <v>22</v>
      </c>
      <c r="G562" s="50">
        <f t="shared" si="43"/>
        <v>2026</v>
      </c>
      <c r="H562" s="51">
        <f>IF($C562="","",IFERROR(DATE(G562,VLOOKUP(E562,Paramètres!$K$11:$L$40,2,FALSE()),F562),"?"))</f>
        <v>46164</v>
      </c>
      <c r="I562" s="50">
        <f>IF(ISNUMBER(H562),IF(COUNTIFS($D$2:D562,D562,$H$2:H562,H562)=1,1,0),"")</f>
        <v>1</v>
      </c>
      <c r="J562" s="50">
        <f>IF(ISNUMBER(H562),IFERROR(INDEX(Calendrier!$C$2:$C$367,MATCH(H562,Calendrier!$A$2:$A$367,0)),0),"")</f>
        <v>1</v>
      </c>
      <c r="K562" s="50">
        <f t="shared" si="44"/>
        <v>1</v>
      </c>
      <c r="L562" s="50">
        <f>IF(D562="","",IF(COUNTIF(Paramètres!$A$11:$A$40,D562)&gt;0,1,0))</f>
        <v>1</v>
      </c>
    </row>
    <row r="563" spans="1:12" hidden="1" x14ac:dyDescent="0.25">
      <c r="A563" s="49"/>
      <c r="B563" s="49" t="s">
        <v>71</v>
      </c>
      <c r="C563" s="49" t="s">
        <v>637</v>
      </c>
      <c r="D563" s="50" t="str">
        <f t="shared" si="40"/>
        <v>Mohamed Sniha</v>
      </c>
      <c r="E563" s="50" t="str">
        <f t="shared" si="41"/>
        <v>mai</v>
      </c>
      <c r="F563" s="50">
        <f t="shared" si="42"/>
        <v>29</v>
      </c>
      <c r="G563" s="50">
        <f t="shared" si="43"/>
        <v>2026</v>
      </c>
      <c r="H563" s="51">
        <f>IF($C563="","",IFERROR(DATE(G563,VLOOKUP(E563,Paramètres!$K$11:$L$40,2,FALSE()),F563),"?"))</f>
        <v>46171</v>
      </c>
      <c r="I563" s="50">
        <f>IF(ISNUMBER(H563),IF(COUNTIFS($D$2:D563,D563,$H$2:H563,H563)=1,1,0),"")</f>
        <v>1</v>
      </c>
      <c r="J563" s="50">
        <f>IF(ISNUMBER(H563),IFERROR(INDEX(Calendrier!$C$2:$C$367,MATCH(H563,Calendrier!$A$2:$A$367,0)),0),"")</f>
        <v>0</v>
      </c>
      <c r="K563" s="50">
        <f t="shared" si="44"/>
        <v>0</v>
      </c>
      <c r="L563" s="50">
        <f>IF(D563="","",IF(COUNTIF(Paramètres!$A$11:$A$40,D563)&gt;0,1,0))</f>
        <v>1</v>
      </c>
    </row>
    <row r="564" spans="1:12" hidden="1" x14ac:dyDescent="0.25">
      <c r="A564" s="49"/>
      <c r="B564" s="49" t="s">
        <v>73</v>
      </c>
      <c r="C564" s="49" t="s">
        <v>638</v>
      </c>
      <c r="D564" s="50" t="str">
        <f t="shared" si="40"/>
        <v>Mourad Ayari</v>
      </c>
      <c r="E564" s="50" t="str">
        <f t="shared" si="41"/>
        <v>mai</v>
      </c>
      <c r="F564" s="50">
        <f t="shared" si="42"/>
        <v>4</v>
      </c>
      <c r="G564" s="50">
        <f t="shared" si="43"/>
        <v>2026</v>
      </c>
      <c r="H564" s="51">
        <f>IF($C564="","",IFERROR(DATE(G564,VLOOKUP(E564,Paramètres!$K$11:$L$40,2,FALSE()),F564),"?"))</f>
        <v>46146</v>
      </c>
      <c r="I564" s="50">
        <f>IF(ISNUMBER(H564),IF(COUNTIFS($D$2:D564,D564,$H$2:H564,H564)=1,1,0),"")</f>
        <v>1</v>
      </c>
      <c r="J564" s="50">
        <f>IF(ISNUMBER(H564),IFERROR(INDEX(Calendrier!$C$2:$C$367,MATCH(H564,Calendrier!$A$2:$A$367,0)),0),"")</f>
        <v>1</v>
      </c>
      <c r="K564" s="50">
        <f t="shared" si="44"/>
        <v>1</v>
      </c>
      <c r="L564" s="50">
        <f>IF(D564="","",IF(COUNTIF(Paramètres!$A$11:$A$40,D564)&gt;0,1,0))</f>
        <v>1</v>
      </c>
    </row>
    <row r="565" spans="1:12" hidden="1" x14ac:dyDescent="0.25">
      <c r="A565" s="49"/>
      <c r="B565" s="49" t="s">
        <v>73</v>
      </c>
      <c r="C565" s="49" t="s">
        <v>639</v>
      </c>
      <c r="D565" s="50" t="str">
        <f t="shared" si="40"/>
        <v>Mourad Ayari</v>
      </c>
      <c r="E565" s="50" t="str">
        <f t="shared" si="41"/>
        <v>mai</v>
      </c>
      <c r="F565" s="50">
        <f t="shared" si="42"/>
        <v>5</v>
      </c>
      <c r="G565" s="50">
        <f t="shared" si="43"/>
        <v>2026</v>
      </c>
      <c r="H565" s="51">
        <f>IF($C565="","",IFERROR(DATE(G565,VLOOKUP(E565,Paramètres!$K$11:$L$40,2,FALSE()),F565),"?"))</f>
        <v>46147</v>
      </c>
      <c r="I565" s="50">
        <f>IF(ISNUMBER(H565),IF(COUNTIFS($D$2:D565,D565,$H$2:H565,H565)=1,1,0),"")</f>
        <v>1</v>
      </c>
      <c r="J565" s="50">
        <f>IF(ISNUMBER(H565),IFERROR(INDEX(Calendrier!$C$2:$C$367,MATCH(H565,Calendrier!$A$2:$A$367,0)),0),"")</f>
        <v>1</v>
      </c>
      <c r="K565" s="50">
        <f t="shared" si="44"/>
        <v>1</v>
      </c>
      <c r="L565" s="50">
        <f>IF(D565="","",IF(COUNTIF(Paramètres!$A$11:$A$40,D565)&gt;0,1,0))</f>
        <v>1</v>
      </c>
    </row>
    <row r="566" spans="1:12" hidden="1" x14ac:dyDescent="0.25">
      <c r="A566" s="49"/>
      <c r="B566" s="49" t="s">
        <v>73</v>
      </c>
      <c r="C566" s="49" t="s">
        <v>640</v>
      </c>
      <c r="D566" s="50" t="str">
        <f t="shared" si="40"/>
        <v>Mourad Ayari</v>
      </c>
      <c r="E566" s="50" t="str">
        <f t="shared" si="41"/>
        <v>mai</v>
      </c>
      <c r="F566" s="50">
        <f t="shared" si="42"/>
        <v>11</v>
      </c>
      <c r="G566" s="50">
        <f t="shared" si="43"/>
        <v>2026</v>
      </c>
      <c r="H566" s="51">
        <f>IF($C566="","",IFERROR(DATE(G566,VLOOKUP(E566,Paramètres!$K$11:$L$40,2,FALSE()),F566),"?"))</f>
        <v>46153</v>
      </c>
      <c r="I566" s="50">
        <f>IF(ISNUMBER(H566),IF(COUNTIFS($D$2:D566,D566,$H$2:H566,H566)=1,1,0),"")</f>
        <v>1</v>
      </c>
      <c r="J566" s="50">
        <f>IF(ISNUMBER(H566),IFERROR(INDEX(Calendrier!$C$2:$C$367,MATCH(H566,Calendrier!$A$2:$A$367,0)),0),"")</f>
        <v>1</v>
      </c>
      <c r="K566" s="50">
        <f t="shared" si="44"/>
        <v>1</v>
      </c>
      <c r="L566" s="50">
        <f>IF(D566="","",IF(COUNTIF(Paramètres!$A$11:$A$40,D566)&gt;0,1,0))</f>
        <v>1</v>
      </c>
    </row>
    <row r="567" spans="1:12" hidden="1" x14ac:dyDescent="0.25">
      <c r="A567" s="49"/>
      <c r="B567" s="49" t="s">
        <v>73</v>
      </c>
      <c r="C567" s="49" t="s">
        <v>641</v>
      </c>
      <c r="D567" s="50" t="str">
        <f t="shared" si="40"/>
        <v>Mourad Ayari</v>
      </c>
      <c r="E567" s="50" t="str">
        <f t="shared" si="41"/>
        <v>mai</v>
      </c>
      <c r="F567" s="50">
        <f t="shared" si="42"/>
        <v>14</v>
      </c>
      <c r="G567" s="50">
        <f t="shared" si="43"/>
        <v>2026</v>
      </c>
      <c r="H567" s="51">
        <f>IF($C567="","",IFERROR(DATE(G567,VLOOKUP(E567,Paramètres!$K$11:$L$40,2,FALSE()),F567),"?"))</f>
        <v>46156</v>
      </c>
      <c r="I567" s="50">
        <f>IF(ISNUMBER(H567),IF(COUNTIFS($D$2:D567,D567,$H$2:H567,H567)=1,1,0),"")</f>
        <v>1</v>
      </c>
      <c r="J567" s="50">
        <f>IF(ISNUMBER(H567),IFERROR(INDEX(Calendrier!$C$2:$C$367,MATCH(H567,Calendrier!$A$2:$A$367,0)),0),"")</f>
        <v>1</v>
      </c>
      <c r="K567" s="50">
        <f t="shared" si="44"/>
        <v>1</v>
      </c>
      <c r="L567" s="50">
        <f>IF(D567="","",IF(COUNTIF(Paramètres!$A$11:$A$40,D567)&gt;0,1,0))</f>
        <v>1</v>
      </c>
    </row>
    <row r="568" spans="1:12" hidden="1" x14ac:dyDescent="0.25">
      <c r="A568" s="49"/>
      <c r="B568" s="49" t="s">
        <v>73</v>
      </c>
      <c r="C568" s="49" t="s">
        <v>642</v>
      </c>
      <c r="D568" s="50" t="str">
        <f t="shared" si="40"/>
        <v>Mourad Ayari</v>
      </c>
      <c r="E568" s="50" t="str">
        <f t="shared" si="41"/>
        <v>mai</v>
      </c>
      <c r="F568" s="50">
        <f t="shared" si="42"/>
        <v>18</v>
      </c>
      <c r="G568" s="50">
        <f t="shared" si="43"/>
        <v>2026</v>
      </c>
      <c r="H568" s="51">
        <f>IF($C568="","",IFERROR(DATE(G568,VLOOKUP(E568,Paramètres!$K$11:$L$40,2,FALSE()),F568),"?"))</f>
        <v>46160</v>
      </c>
      <c r="I568" s="50">
        <f>IF(ISNUMBER(H568),IF(COUNTIFS($D$2:D568,D568,$H$2:H568,H568)=1,1,0),"")</f>
        <v>1</v>
      </c>
      <c r="J568" s="50">
        <f>IF(ISNUMBER(H568),IFERROR(INDEX(Calendrier!$C$2:$C$367,MATCH(H568,Calendrier!$A$2:$A$367,0)),0),"")</f>
        <v>1</v>
      </c>
      <c r="K568" s="50">
        <f t="shared" si="44"/>
        <v>1</v>
      </c>
      <c r="L568" s="50">
        <f>IF(D568="","",IF(COUNTIF(Paramètres!$A$11:$A$40,D568)&gt;0,1,0))</f>
        <v>1</v>
      </c>
    </row>
    <row r="569" spans="1:12" hidden="1" x14ac:dyDescent="0.25">
      <c r="A569" s="49"/>
      <c r="B569" s="49" t="s">
        <v>73</v>
      </c>
      <c r="C569" s="49" t="s">
        <v>643</v>
      </c>
      <c r="D569" s="50" t="str">
        <f t="shared" si="40"/>
        <v>Mourad Ayari</v>
      </c>
      <c r="E569" s="50" t="str">
        <f t="shared" si="41"/>
        <v>mai</v>
      </c>
      <c r="F569" s="50">
        <f t="shared" si="42"/>
        <v>21</v>
      </c>
      <c r="G569" s="50">
        <f t="shared" si="43"/>
        <v>2026</v>
      </c>
      <c r="H569" s="51">
        <f>IF($C569="","",IFERROR(DATE(G569,VLOOKUP(E569,Paramètres!$K$11:$L$40,2,FALSE()),F569),"?"))</f>
        <v>46163</v>
      </c>
      <c r="I569" s="50">
        <f>IF(ISNUMBER(H569),IF(COUNTIFS($D$2:D569,D569,$H$2:H569,H569)=1,1,0),"")</f>
        <v>1</v>
      </c>
      <c r="J569" s="50">
        <f>IF(ISNUMBER(H569),IFERROR(INDEX(Calendrier!$C$2:$C$367,MATCH(H569,Calendrier!$A$2:$A$367,0)),0),"")</f>
        <v>1</v>
      </c>
      <c r="K569" s="50">
        <f t="shared" si="44"/>
        <v>1</v>
      </c>
      <c r="L569" s="50">
        <f>IF(D569="","",IF(COUNTIF(Paramètres!$A$11:$A$40,D569)&gt;0,1,0))</f>
        <v>1</v>
      </c>
    </row>
    <row r="570" spans="1:12" hidden="1" x14ac:dyDescent="0.25">
      <c r="A570" s="49"/>
      <c r="B570" s="49" t="s">
        <v>73</v>
      </c>
      <c r="C570" s="49" t="s">
        <v>644</v>
      </c>
      <c r="D570" s="50" t="str">
        <f t="shared" si="40"/>
        <v>Mourad Ayari</v>
      </c>
      <c r="E570" s="50" t="str">
        <f t="shared" si="41"/>
        <v>mai</v>
      </c>
      <c r="F570" s="50">
        <f t="shared" si="42"/>
        <v>22</v>
      </c>
      <c r="G570" s="50">
        <f t="shared" si="43"/>
        <v>2026</v>
      </c>
      <c r="H570" s="51">
        <f>IF($C570="","",IFERROR(DATE(G570,VLOOKUP(E570,Paramètres!$K$11:$L$40,2,FALSE()),F570),"?"))</f>
        <v>46164</v>
      </c>
      <c r="I570" s="50">
        <f>IF(ISNUMBER(H570),IF(COUNTIFS($D$2:D570,D570,$H$2:H570,H570)=1,1,0),"")</f>
        <v>1</v>
      </c>
      <c r="J570" s="50">
        <f>IF(ISNUMBER(H570),IFERROR(INDEX(Calendrier!$C$2:$C$367,MATCH(H570,Calendrier!$A$2:$A$367,0)),0),"")</f>
        <v>1</v>
      </c>
      <c r="K570" s="50">
        <f t="shared" si="44"/>
        <v>1</v>
      </c>
      <c r="L570" s="50">
        <f>IF(D570="","",IF(COUNTIF(Paramètres!$A$11:$A$40,D570)&gt;0,1,0))</f>
        <v>1</v>
      </c>
    </row>
    <row r="571" spans="1:12" hidden="1" x14ac:dyDescent="0.25">
      <c r="A571" s="49"/>
      <c r="B571" s="49" t="s">
        <v>73</v>
      </c>
      <c r="C571" s="49" t="s">
        <v>645</v>
      </c>
      <c r="D571" s="50" t="str">
        <f t="shared" si="40"/>
        <v>Mourad Ayari</v>
      </c>
      <c r="E571" s="50" t="str">
        <f t="shared" si="41"/>
        <v>mai</v>
      </c>
      <c r="F571" s="50">
        <f t="shared" si="42"/>
        <v>23</v>
      </c>
      <c r="G571" s="50">
        <f t="shared" si="43"/>
        <v>2026</v>
      </c>
      <c r="H571" s="51">
        <f>IF($C571="","",IFERROR(DATE(G571,VLOOKUP(E571,Paramètres!$K$11:$L$40,2,FALSE()),F571),"?"))</f>
        <v>46165</v>
      </c>
      <c r="I571" s="50">
        <f>IF(ISNUMBER(H571),IF(COUNTIFS($D$2:D571,D571,$H$2:H571,H571)=1,1,0),"")</f>
        <v>1</v>
      </c>
      <c r="J571" s="50">
        <f>IF(ISNUMBER(H571),IFERROR(INDEX(Calendrier!$C$2:$C$367,MATCH(H571,Calendrier!$A$2:$A$367,0)),0),"")</f>
        <v>0</v>
      </c>
      <c r="K571" s="50">
        <f t="shared" si="44"/>
        <v>0</v>
      </c>
      <c r="L571" s="50">
        <f>IF(D571="","",IF(COUNTIF(Paramètres!$A$11:$A$40,D571)&gt;0,1,0))</f>
        <v>1</v>
      </c>
    </row>
    <row r="572" spans="1:12" hidden="1" x14ac:dyDescent="0.25">
      <c r="A572" s="49"/>
      <c r="B572" s="49" t="s">
        <v>73</v>
      </c>
      <c r="C572" s="49" t="s">
        <v>646</v>
      </c>
      <c r="D572" s="50" t="str">
        <f t="shared" si="40"/>
        <v>Mourad Ayari</v>
      </c>
      <c r="E572" s="50" t="str">
        <f t="shared" si="41"/>
        <v>mai</v>
      </c>
      <c r="F572" s="50">
        <f t="shared" si="42"/>
        <v>25</v>
      </c>
      <c r="G572" s="50">
        <f t="shared" si="43"/>
        <v>2026</v>
      </c>
      <c r="H572" s="51">
        <f>IF($C572="","",IFERROR(DATE(G572,VLOOKUP(E572,Paramètres!$K$11:$L$40,2,FALSE()),F572),"?"))</f>
        <v>46167</v>
      </c>
      <c r="I572" s="50">
        <f>IF(ISNUMBER(H572),IF(COUNTIFS($D$2:D572,D572,$H$2:H572,H572)=1,1,0),"")</f>
        <v>1</v>
      </c>
      <c r="J572" s="50">
        <f>IF(ISNUMBER(H572),IFERROR(INDEX(Calendrier!$C$2:$C$367,MATCH(H572,Calendrier!$A$2:$A$367,0)),0),"")</f>
        <v>1</v>
      </c>
      <c r="K572" s="50">
        <f t="shared" si="44"/>
        <v>1</v>
      </c>
      <c r="L572" s="50">
        <f>IF(D572="","",IF(COUNTIF(Paramètres!$A$11:$A$40,D572)&gt;0,1,0))</f>
        <v>1</v>
      </c>
    </row>
    <row r="573" spans="1:12" hidden="1" x14ac:dyDescent="0.25">
      <c r="A573" s="49"/>
      <c r="B573" s="49" t="s">
        <v>61</v>
      </c>
      <c r="C573" s="49" t="s">
        <v>647</v>
      </c>
      <c r="D573" s="50" t="str">
        <f t="shared" si="40"/>
        <v>Ines Farhat</v>
      </c>
      <c r="E573" s="50" t="str">
        <f t="shared" si="41"/>
        <v>mai</v>
      </c>
      <c r="F573" s="50">
        <f t="shared" si="42"/>
        <v>4</v>
      </c>
      <c r="G573" s="50">
        <f t="shared" si="43"/>
        <v>2026</v>
      </c>
      <c r="H573" s="51">
        <f>IF($C573="","",IFERROR(DATE(G573,VLOOKUP(E573,Paramètres!$K$11:$L$40,2,FALSE()),F573),"?"))</f>
        <v>46146</v>
      </c>
      <c r="I573" s="50">
        <f>IF(ISNUMBER(H573),IF(COUNTIFS($D$2:D573,D573,$H$2:H573,H573)=1,1,0),"")</f>
        <v>1</v>
      </c>
      <c r="J573" s="50">
        <f>IF(ISNUMBER(H573),IFERROR(INDEX(Calendrier!$C$2:$C$367,MATCH(H573,Calendrier!$A$2:$A$367,0)),0),"")</f>
        <v>1</v>
      </c>
      <c r="K573" s="50">
        <f t="shared" si="44"/>
        <v>1</v>
      </c>
      <c r="L573" s="50">
        <f>IF(D573="","",IF(COUNTIF(Paramètres!$A$11:$A$40,D573)&gt;0,1,0))</f>
        <v>1</v>
      </c>
    </row>
    <row r="574" spans="1:12" hidden="1" x14ac:dyDescent="0.25">
      <c r="A574" s="49"/>
      <c r="B574" s="49" t="s">
        <v>61</v>
      </c>
      <c r="C574" s="49" t="s">
        <v>648</v>
      </c>
      <c r="D574" s="50" t="str">
        <f t="shared" si="40"/>
        <v>Ines Farhat</v>
      </c>
      <c r="E574" s="50" t="str">
        <f t="shared" si="41"/>
        <v>mai</v>
      </c>
      <c r="F574" s="50">
        <f t="shared" si="42"/>
        <v>6</v>
      </c>
      <c r="G574" s="50">
        <f t="shared" si="43"/>
        <v>2026</v>
      </c>
      <c r="H574" s="51">
        <f>IF($C574="","",IFERROR(DATE(G574,VLOOKUP(E574,Paramètres!$K$11:$L$40,2,FALSE()),F574),"?"))</f>
        <v>46148</v>
      </c>
      <c r="I574" s="50">
        <f>IF(ISNUMBER(H574),IF(COUNTIFS($D$2:D574,D574,$H$2:H574,H574)=1,1,0),"")</f>
        <v>1</v>
      </c>
      <c r="J574" s="50">
        <f>IF(ISNUMBER(H574),IFERROR(INDEX(Calendrier!$C$2:$C$367,MATCH(H574,Calendrier!$A$2:$A$367,0)),0),"")</f>
        <v>1</v>
      </c>
      <c r="K574" s="50">
        <f t="shared" si="44"/>
        <v>1</v>
      </c>
      <c r="L574" s="50">
        <f>IF(D574="","",IF(COUNTIF(Paramètres!$A$11:$A$40,D574)&gt;0,1,0))</f>
        <v>1</v>
      </c>
    </row>
    <row r="575" spans="1:12" hidden="1" x14ac:dyDescent="0.25">
      <c r="A575" s="49"/>
      <c r="B575" s="49" t="s">
        <v>61</v>
      </c>
      <c r="C575" s="49" t="s">
        <v>649</v>
      </c>
      <c r="D575" s="50" t="str">
        <f t="shared" si="40"/>
        <v>Ines Farhat</v>
      </c>
      <c r="E575" s="50" t="str">
        <f t="shared" si="41"/>
        <v>mai</v>
      </c>
      <c r="F575" s="50">
        <f t="shared" si="42"/>
        <v>8</v>
      </c>
      <c r="G575" s="50">
        <f t="shared" si="43"/>
        <v>2026</v>
      </c>
      <c r="H575" s="51">
        <f>IF($C575="","",IFERROR(DATE(G575,VLOOKUP(E575,Paramètres!$K$11:$L$40,2,FALSE()),F575),"?"))</f>
        <v>46150</v>
      </c>
      <c r="I575" s="50">
        <f>IF(ISNUMBER(H575),IF(COUNTIFS($D$2:D575,D575,$H$2:H575,H575)=1,1,0),"")</f>
        <v>1</v>
      </c>
      <c r="J575" s="50">
        <f>IF(ISNUMBER(H575),IFERROR(INDEX(Calendrier!$C$2:$C$367,MATCH(H575,Calendrier!$A$2:$A$367,0)),0),"")</f>
        <v>1</v>
      </c>
      <c r="K575" s="50">
        <f t="shared" si="44"/>
        <v>1</v>
      </c>
      <c r="L575" s="50">
        <f>IF(D575="","",IF(COUNTIF(Paramètres!$A$11:$A$40,D575)&gt;0,1,0))</f>
        <v>1</v>
      </c>
    </row>
    <row r="576" spans="1:12" hidden="1" x14ac:dyDescent="0.25">
      <c r="A576" s="49"/>
      <c r="B576" s="49" t="s">
        <v>61</v>
      </c>
      <c r="C576" s="49" t="s">
        <v>650</v>
      </c>
      <c r="D576" s="50" t="str">
        <f t="shared" si="40"/>
        <v>Ines Farhat</v>
      </c>
      <c r="E576" s="50" t="str">
        <f t="shared" si="41"/>
        <v>mai</v>
      </c>
      <c r="F576" s="50">
        <f t="shared" si="42"/>
        <v>11</v>
      </c>
      <c r="G576" s="50">
        <f t="shared" si="43"/>
        <v>2026</v>
      </c>
      <c r="H576" s="51">
        <f>IF($C576="","",IFERROR(DATE(G576,VLOOKUP(E576,Paramètres!$K$11:$L$40,2,FALSE()),F576),"?"))</f>
        <v>46153</v>
      </c>
      <c r="I576" s="50">
        <f>IF(ISNUMBER(H576),IF(COUNTIFS($D$2:D576,D576,$H$2:H576,H576)=1,1,0),"")</f>
        <v>1</v>
      </c>
      <c r="J576" s="50">
        <f>IF(ISNUMBER(H576),IFERROR(INDEX(Calendrier!$C$2:$C$367,MATCH(H576,Calendrier!$A$2:$A$367,0)),0),"")</f>
        <v>1</v>
      </c>
      <c r="K576" s="50">
        <f t="shared" si="44"/>
        <v>1</v>
      </c>
      <c r="L576" s="50">
        <f>IF(D576="","",IF(COUNTIF(Paramètres!$A$11:$A$40,D576)&gt;0,1,0))</f>
        <v>1</v>
      </c>
    </row>
    <row r="577" spans="1:12" hidden="1" x14ac:dyDescent="0.25">
      <c r="A577" s="49"/>
      <c r="B577" s="49" t="s">
        <v>61</v>
      </c>
      <c r="C577" s="49" t="s">
        <v>651</v>
      </c>
      <c r="D577" s="50" t="str">
        <f t="shared" si="40"/>
        <v>Ines Farhat</v>
      </c>
      <c r="E577" s="50" t="str">
        <f t="shared" si="41"/>
        <v>mai</v>
      </c>
      <c r="F577" s="50">
        <f t="shared" si="42"/>
        <v>13</v>
      </c>
      <c r="G577" s="50">
        <f t="shared" si="43"/>
        <v>2026</v>
      </c>
      <c r="H577" s="51">
        <f>IF($C577="","",IFERROR(DATE(G577,VLOOKUP(E577,Paramètres!$K$11:$L$40,2,FALSE()),F577),"?"))</f>
        <v>46155</v>
      </c>
      <c r="I577" s="50">
        <f>IF(ISNUMBER(H577),IF(COUNTIFS($D$2:D577,D577,$H$2:H577,H577)=1,1,0),"")</f>
        <v>1</v>
      </c>
      <c r="J577" s="50">
        <f>IF(ISNUMBER(H577),IFERROR(INDEX(Calendrier!$C$2:$C$367,MATCH(H577,Calendrier!$A$2:$A$367,0)),0),"")</f>
        <v>1</v>
      </c>
      <c r="K577" s="50">
        <f t="shared" si="44"/>
        <v>1</v>
      </c>
      <c r="L577" s="50">
        <f>IF(D577="","",IF(COUNTIF(Paramètres!$A$11:$A$40,D577)&gt;0,1,0))</f>
        <v>1</v>
      </c>
    </row>
    <row r="578" spans="1:12" hidden="1" x14ac:dyDescent="0.25">
      <c r="A578" s="49"/>
      <c r="B578" s="49" t="s">
        <v>61</v>
      </c>
      <c r="C578" s="49" t="s">
        <v>652</v>
      </c>
      <c r="D578" s="50" t="str">
        <f t="shared" ref="D578:D641" si="45">IF(B578="","",TRIM(B578))</f>
        <v>Ines Farhat</v>
      </c>
      <c r="E578" s="50" t="str">
        <f t="shared" ref="E578:E641" si="46">IF($C578="","",LEFT($C578,FIND(" ",$C578)-1))</f>
        <v>mai</v>
      </c>
      <c r="F578" s="50">
        <f t="shared" ref="F578:F641" si="47">IF($C578="","",IFERROR(VALUE(LEFT(MID($C578,FIND(" ",$C578)+1,20),FIND(" ",MID($C578,FIND(" ",$C578)+1,20))-1)),"?"))</f>
        <v>18</v>
      </c>
      <c r="G578" s="50">
        <f t="shared" ref="G578:G641" si="48">IF($C578="","",IFERROR(VALUE(MID(MID($C578,FIND(" ",$C578)+1,20),FIND(" ",MID($C578,FIND(" ",$C578)+1,20))+1,4)),"?"))</f>
        <v>2026</v>
      </c>
      <c r="H578" s="51">
        <f>IF($C578="","",IFERROR(DATE(G578,VLOOKUP(E578,Paramètres!$K$11:$L$40,2,FALSE()),F578),"?"))</f>
        <v>46160</v>
      </c>
      <c r="I578" s="50">
        <f>IF(ISNUMBER(H578),IF(COUNTIFS($D$2:D578,D578,$H$2:H578,H578)=1,1,0),"")</f>
        <v>1</v>
      </c>
      <c r="J578" s="50">
        <f>IF(ISNUMBER(H578),IFERROR(INDEX(Calendrier!$C$2:$C$367,MATCH(H578,Calendrier!$A$2:$A$367,0)),0),"")</f>
        <v>1</v>
      </c>
      <c r="K578" s="50">
        <f t="shared" ref="K578:K641" si="49">IF(ISNUMBER(H578),I578*J578,"")</f>
        <v>1</v>
      </c>
      <c r="L578" s="50">
        <f>IF(D578="","",IF(COUNTIF(Paramètres!$A$11:$A$40,D578)&gt;0,1,0))</f>
        <v>1</v>
      </c>
    </row>
    <row r="579" spans="1:12" hidden="1" x14ac:dyDescent="0.25">
      <c r="A579" s="49"/>
      <c r="B579" s="49" t="s">
        <v>61</v>
      </c>
      <c r="C579" s="49" t="s">
        <v>653</v>
      </c>
      <c r="D579" s="50" t="str">
        <f t="shared" si="45"/>
        <v>Ines Farhat</v>
      </c>
      <c r="E579" s="50" t="str">
        <f t="shared" si="46"/>
        <v>mai</v>
      </c>
      <c r="F579" s="50">
        <f t="shared" si="47"/>
        <v>22</v>
      </c>
      <c r="G579" s="50">
        <f t="shared" si="48"/>
        <v>2026</v>
      </c>
      <c r="H579" s="51">
        <f>IF($C579="","",IFERROR(DATE(G579,VLOOKUP(E579,Paramètres!$K$11:$L$40,2,FALSE()),F579),"?"))</f>
        <v>46164</v>
      </c>
      <c r="I579" s="50">
        <f>IF(ISNUMBER(H579),IF(COUNTIFS($D$2:D579,D579,$H$2:H579,H579)=1,1,0),"")</f>
        <v>1</v>
      </c>
      <c r="J579" s="50">
        <f>IF(ISNUMBER(H579),IFERROR(INDEX(Calendrier!$C$2:$C$367,MATCH(H579,Calendrier!$A$2:$A$367,0)),0),"")</f>
        <v>1</v>
      </c>
      <c r="K579" s="50">
        <f t="shared" si="49"/>
        <v>1</v>
      </c>
      <c r="L579" s="50">
        <f>IF(D579="","",IF(COUNTIF(Paramètres!$A$11:$A$40,D579)&gt;0,1,0))</f>
        <v>1</v>
      </c>
    </row>
    <row r="580" spans="1:12" hidden="1" x14ac:dyDescent="0.25">
      <c r="A580" s="49"/>
      <c r="B580" s="49" t="s">
        <v>61</v>
      </c>
      <c r="C580" s="49" t="s">
        <v>654</v>
      </c>
      <c r="D580" s="50" t="str">
        <f t="shared" si="45"/>
        <v>Ines Farhat</v>
      </c>
      <c r="E580" s="50" t="str">
        <f t="shared" si="46"/>
        <v>mai</v>
      </c>
      <c r="F580" s="50">
        <f t="shared" si="47"/>
        <v>25</v>
      </c>
      <c r="G580" s="50">
        <f t="shared" si="48"/>
        <v>2026</v>
      </c>
      <c r="H580" s="51">
        <f>IF($C580="","",IFERROR(DATE(G580,VLOOKUP(E580,Paramètres!$K$11:$L$40,2,FALSE()),F580),"?"))</f>
        <v>46167</v>
      </c>
      <c r="I580" s="50">
        <f>IF(ISNUMBER(H580),IF(COUNTIFS($D$2:D580,D580,$H$2:H580,H580)=1,1,0),"")</f>
        <v>1</v>
      </c>
      <c r="J580" s="50">
        <f>IF(ISNUMBER(H580),IFERROR(INDEX(Calendrier!$C$2:$C$367,MATCH(H580,Calendrier!$A$2:$A$367,0)),0),"")</f>
        <v>1</v>
      </c>
      <c r="K580" s="50">
        <f t="shared" si="49"/>
        <v>1</v>
      </c>
      <c r="L580" s="50">
        <f>IF(D580="","",IF(COUNTIF(Paramètres!$A$11:$A$40,D580)&gt;0,1,0))</f>
        <v>1</v>
      </c>
    </row>
    <row r="581" spans="1:12" hidden="1" x14ac:dyDescent="0.25">
      <c r="A581" s="49"/>
      <c r="B581" s="49" t="s">
        <v>61</v>
      </c>
      <c r="C581" s="49" t="s">
        <v>655</v>
      </c>
      <c r="D581" s="50" t="str">
        <f t="shared" si="45"/>
        <v>Ines Farhat</v>
      </c>
      <c r="E581" s="50" t="str">
        <f t="shared" si="46"/>
        <v>mai</v>
      </c>
      <c r="F581" s="50">
        <f t="shared" si="47"/>
        <v>29</v>
      </c>
      <c r="G581" s="50">
        <f t="shared" si="48"/>
        <v>2026</v>
      </c>
      <c r="H581" s="51">
        <f>IF($C581="","",IFERROR(DATE(G581,VLOOKUP(E581,Paramètres!$K$11:$L$40,2,FALSE()),F581),"?"))</f>
        <v>46171</v>
      </c>
      <c r="I581" s="50">
        <f>IF(ISNUMBER(H581),IF(COUNTIFS($D$2:D581,D581,$H$2:H581,H581)=1,1,0),"")</f>
        <v>1</v>
      </c>
      <c r="J581" s="50">
        <f>IF(ISNUMBER(H581),IFERROR(INDEX(Calendrier!$C$2:$C$367,MATCH(H581,Calendrier!$A$2:$A$367,0)),0),"")</f>
        <v>0</v>
      </c>
      <c r="K581" s="50">
        <f t="shared" si="49"/>
        <v>0</v>
      </c>
      <c r="L581" s="50">
        <f>IF(D581="","",IF(COUNTIF(Paramètres!$A$11:$A$40,D581)&gt;0,1,0))</f>
        <v>1</v>
      </c>
    </row>
    <row r="582" spans="1:12" hidden="1" x14ac:dyDescent="0.25">
      <c r="A582" s="49"/>
      <c r="B582" s="49" t="s">
        <v>67</v>
      </c>
      <c r="C582" s="49" t="s">
        <v>656</v>
      </c>
      <c r="D582" s="50" t="str">
        <f t="shared" si="45"/>
        <v>Marwa Solaani</v>
      </c>
      <c r="E582" s="50" t="str">
        <f t="shared" si="46"/>
        <v>mai</v>
      </c>
      <c r="F582" s="50">
        <f t="shared" si="47"/>
        <v>20</v>
      </c>
      <c r="G582" s="50">
        <f t="shared" si="48"/>
        <v>2026</v>
      </c>
      <c r="H582" s="51">
        <f>IF($C582="","",IFERROR(DATE(G582,VLOOKUP(E582,Paramètres!$K$11:$L$40,2,FALSE()),F582),"?"))</f>
        <v>46162</v>
      </c>
      <c r="I582" s="50">
        <f>IF(ISNUMBER(H582),IF(COUNTIFS($D$2:D582,D582,$H$2:H582,H582)=1,1,0),"")</f>
        <v>1</v>
      </c>
      <c r="J582" s="50">
        <f>IF(ISNUMBER(H582),IFERROR(INDEX(Calendrier!$C$2:$C$367,MATCH(H582,Calendrier!$A$2:$A$367,0)),0),"")</f>
        <v>1</v>
      </c>
      <c r="K582" s="50">
        <f t="shared" si="49"/>
        <v>1</v>
      </c>
      <c r="L582" s="50">
        <f>IF(D582="","",IF(COUNTIF(Paramètres!$A$11:$A$40,D582)&gt;0,1,0))</f>
        <v>1</v>
      </c>
    </row>
    <row r="583" spans="1:12" hidden="1" x14ac:dyDescent="0.25">
      <c r="A583" s="49"/>
      <c r="B583" s="49" t="s">
        <v>67</v>
      </c>
      <c r="C583" s="49" t="s">
        <v>657</v>
      </c>
      <c r="D583" s="50" t="str">
        <f t="shared" si="45"/>
        <v>Marwa Solaani</v>
      </c>
      <c r="E583" s="50" t="str">
        <f t="shared" si="46"/>
        <v>mai</v>
      </c>
      <c r="F583" s="50">
        <f t="shared" si="47"/>
        <v>21</v>
      </c>
      <c r="G583" s="50">
        <f t="shared" si="48"/>
        <v>2026</v>
      </c>
      <c r="H583" s="51">
        <f>IF($C583="","",IFERROR(DATE(G583,VLOOKUP(E583,Paramètres!$K$11:$L$40,2,FALSE()),F583),"?"))</f>
        <v>46163</v>
      </c>
      <c r="I583" s="50">
        <f>IF(ISNUMBER(H583),IF(COUNTIFS($D$2:D583,D583,$H$2:H583,H583)=1,1,0),"")</f>
        <v>1</v>
      </c>
      <c r="J583" s="50">
        <f>IF(ISNUMBER(H583),IFERROR(INDEX(Calendrier!$C$2:$C$367,MATCH(H583,Calendrier!$A$2:$A$367,0)),0),"")</f>
        <v>1</v>
      </c>
      <c r="K583" s="50">
        <f t="shared" si="49"/>
        <v>1</v>
      </c>
      <c r="L583" s="50">
        <f>IF(D583="","",IF(COUNTIF(Paramètres!$A$11:$A$40,D583)&gt;0,1,0))</f>
        <v>1</v>
      </c>
    </row>
    <row r="584" spans="1:12" x14ac:dyDescent="0.25">
      <c r="A584" s="49"/>
      <c r="B584" s="49" t="s">
        <v>90</v>
      </c>
      <c r="C584" s="49" t="s">
        <v>658</v>
      </c>
      <c r="D584" s="50" t="str">
        <f t="shared" si="45"/>
        <v>Zouhour Fathallah</v>
      </c>
      <c r="E584" s="50" t="str">
        <f t="shared" si="46"/>
        <v>mai</v>
      </c>
      <c r="F584" s="50">
        <f t="shared" si="47"/>
        <v>3</v>
      </c>
      <c r="G584" s="50">
        <f t="shared" si="48"/>
        <v>2026</v>
      </c>
      <c r="H584" s="51">
        <f>IF($C584="","",IFERROR(DATE(G584,VLOOKUP(E584,Paramètres!$K$11:$L$40,2,FALSE()),F584),"?"))</f>
        <v>46145</v>
      </c>
      <c r="I584" s="50">
        <f>IF(ISNUMBER(H584),IF(COUNTIFS($D$2:D584,D584,$H$2:H584,H584)=1,1,0),"")</f>
        <v>1</v>
      </c>
      <c r="J584" s="50">
        <f>IF(ISNUMBER(H584),IFERROR(INDEX(Calendrier!$C$2:$C$367,MATCH(H584,Calendrier!$A$2:$A$367,0)),0),"")</f>
        <v>0</v>
      </c>
      <c r="K584" s="50">
        <f t="shared" si="49"/>
        <v>0</v>
      </c>
      <c r="L584" s="50">
        <f>IF(D584="","",IF(COUNTIF(Paramètres!$A$11:$A$40,D584)&gt;0,1,0))</f>
        <v>1</v>
      </c>
    </row>
    <row r="585" spans="1:12" x14ac:dyDescent="0.25">
      <c r="A585" s="49"/>
      <c r="B585" s="49" t="s">
        <v>90</v>
      </c>
      <c r="C585" s="49" t="s">
        <v>659</v>
      </c>
      <c r="D585" s="50" t="str">
        <f t="shared" si="45"/>
        <v>Zouhour Fathallah</v>
      </c>
      <c r="E585" s="50" t="str">
        <f t="shared" si="46"/>
        <v>mai</v>
      </c>
      <c r="F585" s="50">
        <f t="shared" si="47"/>
        <v>14</v>
      </c>
      <c r="G585" s="50">
        <f t="shared" si="48"/>
        <v>2026</v>
      </c>
      <c r="H585" s="51">
        <f>IF($C585="","",IFERROR(DATE(G585,VLOOKUP(E585,Paramètres!$K$11:$L$40,2,FALSE()),F585),"?"))</f>
        <v>46156</v>
      </c>
      <c r="I585" s="50">
        <f>IF(ISNUMBER(H585),IF(COUNTIFS($D$2:D585,D585,$H$2:H585,H585)=1,1,0),"")</f>
        <v>1</v>
      </c>
      <c r="J585" s="50">
        <f>IF(ISNUMBER(H585),IFERROR(INDEX(Calendrier!$C$2:$C$367,MATCH(H585,Calendrier!$A$2:$A$367,0)),0),"")</f>
        <v>1</v>
      </c>
      <c r="K585" s="50">
        <f t="shared" si="49"/>
        <v>1</v>
      </c>
      <c r="L585" s="50">
        <f>IF(D585="","",IF(COUNTIF(Paramètres!$A$11:$A$40,D585)&gt;0,1,0))</f>
        <v>1</v>
      </c>
    </row>
    <row r="586" spans="1:12" x14ac:dyDescent="0.25">
      <c r="A586" s="49"/>
      <c r="B586" s="49" t="s">
        <v>90</v>
      </c>
      <c r="C586" s="49" t="s">
        <v>660</v>
      </c>
      <c r="D586" s="50" t="str">
        <f t="shared" si="45"/>
        <v>Zouhour Fathallah</v>
      </c>
      <c r="E586" s="50" t="str">
        <f t="shared" si="46"/>
        <v>mai</v>
      </c>
      <c r="F586" s="50">
        <f t="shared" si="47"/>
        <v>18</v>
      </c>
      <c r="G586" s="50">
        <f t="shared" si="48"/>
        <v>2026</v>
      </c>
      <c r="H586" s="51">
        <f>IF($C586="","",IFERROR(DATE(G586,VLOOKUP(E586,Paramètres!$K$11:$L$40,2,FALSE()),F586),"?"))</f>
        <v>46160</v>
      </c>
      <c r="I586" s="50">
        <f>IF(ISNUMBER(H586),IF(COUNTIFS($D$2:D586,D586,$H$2:H586,H586)=1,1,0),"")</f>
        <v>1</v>
      </c>
      <c r="J586" s="50">
        <f>IF(ISNUMBER(H586),IFERROR(INDEX(Calendrier!$C$2:$C$367,MATCH(H586,Calendrier!$A$2:$A$367,0)),0),"")</f>
        <v>1</v>
      </c>
      <c r="K586" s="50">
        <f t="shared" si="49"/>
        <v>1</v>
      </c>
      <c r="L586" s="50">
        <f>IF(D586="","",IF(COUNTIF(Paramètres!$A$11:$A$40,D586)&gt;0,1,0))</f>
        <v>1</v>
      </c>
    </row>
    <row r="587" spans="1:12" x14ac:dyDescent="0.25">
      <c r="A587" s="49"/>
      <c r="B587" s="49" t="s">
        <v>90</v>
      </c>
      <c r="C587" s="49" t="s">
        <v>661</v>
      </c>
      <c r="D587" s="50" t="str">
        <f t="shared" si="45"/>
        <v>Zouhour Fathallah</v>
      </c>
      <c r="E587" s="50" t="str">
        <f t="shared" si="46"/>
        <v>mai</v>
      </c>
      <c r="F587" s="50">
        <f t="shared" si="47"/>
        <v>20</v>
      </c>
      <c r="G587" s="50">
        <f t="shared" si="48"/>
        <v>2026</v>
      </c>
      <c r="H587" s="51">
        <f>IF($C587="","",IFERROR(DATE(G587,VLOOKUP(E587,Paramètres!$K$11:$L$40,2,FALSE()),F587),"?"))</f>
        <v>46162</v>
      </c>
      <c r="I587" s="50">
        <f>IF(ISNUMBER(H587),IF(COUNTIFS($D$2:D587,D587,$H$2:H587,H587)=1,1,0),"")</f>
        <v>1</v>
      </c>
      <c r="J587" s="50">
        <f>IF(ISNUMBER(H587),IFERROR(INDEX(Calendrier!$C$2:$C$367,MATCH(H587,Calendrier!$A$2:$A$367,0)),0),"")</f>
        <v>1</v>
      </c>
      <c r="K587" s="50">
        <f t="shared" si="49"/>
        <v>1</v>
      </c>
      <c r="L587" s="50">
        <f>IF(D587="","",IF(COUNTIF(Paramètres!$A$11:$A$40,D587)&gt;0,1,0))</f>
        <v>1</v>
      </c>
    </row>
    <row r="588" spans="1:12" x14ac:dyDescent="0.25">
      <c r="A588" s="49"/>
      <c r="B588" s="49" t="s">
        <v>90</v>
      </c>
      <c r="C588" s="49" t="s">
        <v>662</v>
      </c>
      <c r="D588" s="50" t="str">
        <f t="shared" si="45"/>
        <v>Zouhour Fathallah</v>
      </c>
      <c r="E588" s="50" t="str">
        <f t="shared" si="46"/>
        <v>mai</v>
      </c>
      <c r="F588" s="50">
        <f t="shared" si="47"/>
        <v>21</v>
      </c>
      <c r="G588" s="50">
        <f t="shared" si="48"/>
        <v>2026</v>
      </c>
      <c r="H588" s="51">
        <f>IF($C588="","",IFERROR(DATE(G588,VLOOKUP(E588,Paramètres!$K$11:$L$40,2,FALSE()),F588),"?"))</f>
        <v>46163</v>
      </c>
      <c r="I588" s="50">
        <f>IF(ISNUMBER(H588),IF(COUNTIFS($D$2:D588,D588,$H$2:H588,H588)=1,1,0),"")</f>
        <v>1</v>
      </c>
      <c r="J588" s="50">
        <f>IF(ISNUMBER(H588),IFERROR(INDEX(Calendrier!$C$2:$C$367,MATCH(H588,Calendrier!$A$2:$A$367,0)),0),"")</f>
        <v>1</v>
      </c>
      <c r="K588" s="50">
        <f t="shared" si="49"/>
        <v>1</v>
      </c>
      <c r="L588" s="50">
        <f>IF(D588="","",IF(COUNTIF(Paramètres!$A$11:$A$40,D588)&gt;0,1,0))</f>
        <v>1</v>
      </c>
    </row>
    <row r="589" spans="1:12" x14ac:dyDescent="0.25">
      <c r="A589" s="49"/>
      <c r="B589" s="49" t="s">
        <v>90</v>
      </c>
      <c r="C589" s="49" t="s">
        <v>663</v>
      </c>
      <c r="D589" s="50" t="str">
        <f t="shared" si="45"/>
        <v>Zouhour Fathallah</v>
      </c>
      <c r="E589" s="50" t="str">
        <f t="shared" si="46"/>
        <v>mai</v>
      </c>
      <c r="F589" s="50">
        <f t="shared" si="47"/>
        <v>25</v>
      </c>
      <c r="G589" s="50">
        <f t="shared" si="48"/>
        <v>2026</v>
      </c>
      <c r="H589" s="51">
        <f>IF($C589="","",IFERROR(DATE(G589,VLOOKUP(E589,Paramètres!$K$11:$L$40,2,FALSE()),F589),"?"))</f>
        <v>46167</v>
      </c>
      <c r="I589" s="50">
        <f>IF(ISNUMBER(H589),IF(COUNTIFS($D$2:D589,D589,$H$2:H589,H589)=1,1,0),"")</f>
        <v>1</v>
      </c>
      <c r="J589" s="50">
        <f>IF(ISNUMBER(H589),IFERROR(INDEX(Calendrier!$C$2:$C$367,MATCH(H589,Calendrier!$A$2:$A$367,0)),0),"")</f>
        <v>1</v>
      </c>
      <c r="K589" s="50">
        <f t="shared" si="49"/>
        <v>1</v>
      </c>
      <c r="L589" s="50">
        <f>IF(D589="","",IF(COUNTIF(Paramètres!$A$11:$A$40,D589)&gt;0,1,0))</f>
        <v>1</v>
      </c>
    </row>
    <row r="590" spans="1:12" x14ac:dyDescent="0.25">
      <c r="A590" s="49"/>
      <c r="B590" s="49" t="s">
        <v>90</v>
      </c>
      <c r="C590" s="49" t="s">
        <v>664</v>
      </c>
      <c r="D590" s="50" t="str">
        <f t="shared" si="45"/>
        <v>Zouhour Fathallah</v>
      </c>
      <c r="E590" s="50" t="str">
        <f t="shared" si="46"/>
        <v>mai</v>
      </c>
      <c r="F590" s="50">
        <f t="shared" si="47"/>
        <v>29</v>
      </c>
      <c r="G590" s="50">
        <f t="shared" si="48"/>
        <v>2026</v>
      </c>
      <c r="H590" s="51">
        <f>IF($C590="","",IFERROR(DATE(G590,VLOOKUP(E590,Paramètres!$K$11:$L$40,2,FALSE()),F590),"?"))</f>
        <v>46171</v>
      </c>
      <c r="I590" s="50">
        <f>IF(ISNUMBER(H590),IF(COUNTIFS($D$2:D590,D590,$H$2:H590,H590)=1,1,0),"")</f>
        <v>1</v>
      </c>
      <c r="J590" s="50">
        <f>IF(ISNUMBER(H590),IFERROR(INDEX(Calendrier!$C$2:$C$367,MATCH(H590,Calendrier!$A$2:$A$367,0)),0),"")</f>
        <v>0</v>
      </c>
      <c r="K590" s="50">
        <f t="shared" si="49"/>
        <v>0</v>
      </c>
      <c r="L590" s="50">
        <f>IF(D590="","",IF(COUNTIF(Paramètres!$A$11:$A$40,D590)&gt;0,1,0))</f>
        <v>1</v>
      </c>
    </row>
    <row r="591" spans="1:12" hidden="1" x14ac:dyDescent="0.25">
      <c r="A591" s="49"/>
      <c r="B591" s="49" t="s">
        <v>59</v>
      </c>
      <c r="C591" s="49" t="s">
        <v>665</v>
      </c>
      <c r="D591" s="50" t="str">
        <f t="shared" si="45"/>
        <v>Imre Kapusi</v>
      </c>
      <c r="E591" s="50" t="str">
        <f t="shared" si="46"/>
        <v>mai</v>
      </c>
      <c r="F591" s="50">
        <f t="shared" si="47"/>
        <v>4</v>
      </c>
      <c r="G591" s="50">
        <f t="shared" si="48"/>
        <v>2026</v>
      </c>
      <c r="H591" s="51">
        <f>IF($C591="","",IFERROR(DATE(G591,VLOOKUP(E591,Paramètres!$K$11:$L$40,2,FALSE()),F591),"?"))</f>
        <v>46146</v>
      </c>
      <c r="I591" s="50">
        <f>IF(ISNUMBER(H591),IF(COUNTIFS($D$2:D591,D591,$H$2:H591,H591)=1,1,0),"")</f>
        <v>1</v>
      </c>
      <c r="J591" s="50">
        <f>IF(ISNUMBER(H591),IFERROR(INDEX(Calendrier!$C$2:$C$367,MATCH(H591,Calendrier!$A$2:$A$367,0)),0),"")</f>
        <v>1</v>
      </c>
      <c r="K591" s="50">
        <f t="shared" si="49"/>
        <v>1</v>
      </c>
      <c r="L591" s="50">
        <f>IF(D591="","",IF(COUNTIF(Paramètres!$A$11:$A$40,D591)&gt;0,1,0))</f>
        <v>1</v>
      </c>
    </row>
    <row r="592" spans="1:12" hidden="1" x14ac:dyDescent="0.25">
      <c r="A592" s="49"/>
      <c r="B592" s="49" t="s">
        <v>59</v>
      </c>
      <c r="C592" s="49" t="s">
        <v>666</v>
      </c>
      <c r="D592" s="50" t="str">
        <f t="shared" si="45"/>
        <v>Imre Kapusi</v>
      </c>
      <c r="E592" s="50" t="str">
        <f t="shared" si="46"/>
        <v>mai</v>
      </c>
      <c r="F592" s="50">
        <f t="shared" si="47"/>
        <v>5</v>
      </c>
      <c r="G592" s="50">
        <f t="shared" si="48"/>
        <v>2026</v>
      </c>
      <c r="H592" s="51">
        <f>IF($C592="","",IFERROR(DATE(G592,VLOOKUP(E592,Paramètres!$K$11:$L$40,2,FALSE()),F592),"?"))</f>
        <v>46147</v>
      </c>
      <c r="I592" s="50">
        <f>IF(ISNUMBER(H592),IF(COUNTIFS($D$2:D592,D592,$H$2:H592,H592)=1,1,0),"")</f>
        <v>1</v>
      </c>
      <c r="J592" s="50">
        <f>IF(ISNUMBER(H592),IFERROR(INDEX(Calendrier!$C$2:$C$367,MATCH(H592,Calendrier!$A$2:$A$367,0)),0),"")</f>
        <v>1</v>
      </c>
      <c r="K592" s="50">
        <f t="shared" si="49"/>
        <v>1</v>
      </c>
      <c r="L592" s="50">
        <f>IF(D592="","",IF(COUNTIF(Paramètres!$A$11:$A$40,D592)&gt;0,1,0))</f>
        <v>1</v>
      </c>
    </row>
    <row r="593" spans="1:12" hidden="1" x14ac:dyDescent="0.25">
      <c r="A593" s="49"/>
      <c r="B593" s="49" t="s">
        <v>59</v>
      </c>
      <c r="C593" s="49" t="s">
        <v>667</v>
      </c>
      <c r="D593" s="50" t="str">
        <f t="shared" si="45"/>
        <v>Imre Kapusi</v>
      </c>
      <c r="E593" s="50" t="str">
        <f t="shared" si="46"/>
        <v>mai</v>
      </c>
      <c r="F593" s="50">
        <f t="shared" si="47"/>
        <v>12</v>
      </c>
      <c r="G593" s="50">
        <f t="shared" si="48"/>
        <v>2026</v>
      </c>
      <c r="H593" s="51">
        <f>IF($C593="","",IFERROR(DATE(G593,VLOOKUP(E593,Paramètres!$K$11:$L$40,2,FALSE()),F593),"?"))</f>
        <v>46154</v>
      </c>
      <c r="I593" s="50">
        <f>IF(ISNUMBER(H593),IF(COUNTIFS($D$2:D593,D593,$H$2:H593,H593)=1,1,0),"")</f>
        <v>1</v>
      </c>
      <c r="J593" s="50">
        <f>IF(ISNUMBER(H593),IFERROR(INDEX(Calendrier!$C$2:$C$367,MATCH(H593,Calendrier!$A$2:$A$367,0)),0),"")</f>
        <v>1</v>
      </c>
      <c r="K593" s="50">
        <f t="shared" si="49"/>
        <v>1</v>
      </c>
      <c r="L593" s="50">
        <f>IF(D593="","",IF(COUNTIF(Paramètres!$A$11:$A$40,D593)&gt;0,1,0))</f>
        <v>1</v>
      </c>
    </row>
    <row r="594" spans="1:12" hidden="1" x14ac:dyDescent="0.25">
      <c r="A594" s="49"/>
      <c r="B594" s="49" t="s">
        <v>59</v>
      </c>
      <c r="C594" s="49" t="s">
        <v>668</v>
      </c>
      <c r="D594" s="50" t="str">
        <f t="shared" si="45"/>
        <v>Imre Kapusi</v>
      </c>
      <c r="E594" s="50" t="str">
        <f t="shared" si="46"/>
        <v>mai</v>
      </c>
      <c r="F594" s="50">
        <f t="shared" si="47"/>
        <v>20</v>
      </c>
      <c r="G594" s="50">
        <f t="shared" si="48"/>
        <v>2026</v>
      </c>
      <c r="H594" s="51">
        <f>IF($C594="","",IFERROR(DATE(G594,VLOOKUP(E594,Paramètres!$K$11:$L$40,2,FALSE()),F594),"?"))</f>
        <v>46162</v>
      </c>
      <c r="I594" s="50">
        <f>IF(ISNUMBER(H594),IF(COUNTIFS($D$2:D594,D594,$H$2:H594,H594)=1,1,0),"")</f>
        <v>1</v>
      </c>
      <c r="J594" s="50">
        <f>IF(ISNUMBER(H594),IFERROR(INDEX(Calendrier!$C$2:$C$367,MATCH(H594,Calendrier!$A$2:$A$367,0)),0),"")</f>
        <v>1</v>
      </c>
      <c r="K594" s="50">
        <f t="shared" si="49"/>
        <v>1</v>
      </c>
      <c r="L594" s="50">
        <f>IF(D594="","",IF(COUNTIF(Paramètres!$A$11:$A$40,D594)&gt;0,1,0))</f>
        <v>1</v>
      </c>
    </row>
    <row r="595" spans="1:12" hidden="1" x14ac:dyDescent="0.25">
      <c r="A595" s="49"/>
      <c r="B595" s="49" t="s">
        <v>59</v>
      </c>
      <c r="C595" s="49" t="s">
        <v>669</v>
      </c>
      <c r="D595" s="50" t="str">
        <f t="shared" si="45"/>
        <v>Imre Kapusi</v>
      </c>
      <c r="E595" s="50" t="str">
        <f t="shared" si="46"/>
        <v>mai</v>
      </c>
      <c r="F595" s="50">
        <f t="shared" si="47"/>
        <v>23</v>
      </c>
      <c r="G595" s="50">
        <f t="shared" si="48"/>
        <v>2026</v>
      </c>
      <c r="H595" s="51">
        <f>IF($C595="","",IFERROR(DATE(G595,VLOOKUP(E595,Paramètres!$K$11:$L$40,2,FALSE()),F595),"?"))</f>
        <v>46165</v>
      </c>
      <c r="I595" s="50">
        <f>IF(ISNUMBER(H595),IF(COUNTIFS($D$2:D595,D595,$H$2:H595,H595)=1,1,0),"")</f>
        <v>1</v>
      </c>
      <c r="J595" s="50">
        <f>IF(ISNUMBER(H595),IFERROR(INDEX(Calendrier!$C$2:$C$367,MATCH(H595,Calendrier!$A$2:$A$367,0)),0),"")</f>
        <v>0</v>
      </c>
      <c r="K595" s="50">
        <f t="shared" si="49"/>
        <v>0</v>
      </c>
      <c r="L595" s="50">
        <f>IF(D595="","",IF(COUNTIF(Paramètres!$A$11:$A$40,D595)&gt;0,1,0))</f>
        <v>1</v>
      </c>
    </row>
    <row r="596" spans="1:12" hidden="1" x14ac:dyDescent="0.25">
      <c r="A596" s="49"/>
      <c r="B596" s="49" t="s">
        <v>59</v>
      </c>
      <c r="C596" s="49" t="s">
        <v>669</v>
      </c>
      <c r="D596" s="50" t="str">
        <f t="shared" si="45"/>
        <v>Imre Kapusi</v>
      </c>
      <c r="E596" s="50" t="str">
        <f t="shared" si="46"/>
        <v>mai</v>
      </c>
      <c r="F596" s="50">
        <f t="shared" si="47"/>
        <v>23</v>
      </c>
      <c r="G596" s="50">
        <f t="shared" si="48"/>
        <v>2026</v>
      </c>
      <c r="H596" s="51">
        <f>IF($C596="","",IFERROR(DATE(G596,VLOOKUP(E596,Paramètres!$K$11:$L$40,2,FALSE()),F596),"?"))</f>
        <v>46165</v>
      </c>
      <c r="I596" s="50">
        <f>IF(ISNUMBER(H596),IF(COUNTIFS($D$2:D596,D596,$H$2:H596,H596)=1,1,0),"")</f>
        <v>0</v>
      </c>
      <c r="J596" s="50">
        <f>IF(ISNUMBER(H596),IFERROR(INDEX(Calendrier!$C$2:$C$367,MATCH(H596,Calendrier!$A$2:$A$367,0)),0),"")</f>
        <v>0</v>
      </c>
      <c r="K596" s="50">
        <f t="shared" si="49"/>
        <v>0</v>
      </c>
      <c r="L596" s="50">
        <f>IF(D596="","",IF(COUNTIF(Paramètres!$A$11:$A$40,D596)&gt;0,1,0))</f>
        <v>1</v>
      </c>
    </row>
    <row r="597" spans="1:12" hidden="1" x14ac:dyDescent="0.25">
      <c r="A597" s="49"/>
      <c r="B597" s="49" t="s">
        <v>69</v>
      </c>
      <c r="C597" s="49" t="s">
        <v>670</v>
      </c>
      <c r="D597" s="50" t="str">
        <f t="shared" si="45"/>
        <v>Mina Moussa</v>
      </c>
      <c r="E597" s="50" t="str">
        <f t="shared" si="46"/>
        <v>juin</v>
      </c>
      <c r="F597" s="50">
        <f t="shared" si="47"/>
        <v>3</v>
      </c>
      <c r="G597" s="50">
        <f t="shared" si="48"/>
        <v>2026</v>
      </c>
      <c r="H597" s="51">
        <f>IF($C597="","",IFERROR(DATE(G597,VLOOKUP(E597,Paramètres!$K$11:$L$40,2,FALSE()),F597),"?"))</f>
        <v>46176</v>
      </c>
      <c r="I597" s="50">
        <f>IF(ISNUMBER(H597),IF(COUNTIFS($D$2:D597,D597,$H$2:H597,H597)=1,1,0),"")</f>
        <v>1</v>
      </c>
      <c r="J597" s="50">
        <f>IF(ISNUMBER(H597),IFERROR(INDEX(Calendrier!$C$2:$C$367,MATCH(H597,Calendrier!$A$2:$A$367,0)),0),"")</f>
        <v>1</v>
      </c>
      <c r="K597" s="50">
        <f t="shared" si="49"/>
        <v>1</v>
      </c>
      <c r="L597" s="50">
        <f>IF(D597="","",IF(COUNTIF(Paramètres!$A$11:$A$40,D597)&gt;0,1,0))</f>
        <v>1</v>
      </c>
    </row>
    <row r="598" spans="1:12" hidden="1" x14ac:dyDescent="0.25">
      <c r="A598" s="49"/>
      <c r="B598" s="49" t="s">
        <v>69</v>
      </c>
      <c r="C598" s="49" t="s">
        <v>671</v>
      </c>
      <c r="D598" s="50" t="str">
        <f t="shared" si="45"/>
        <v>Mina Moussa</v>
      </c>
      <c r="E598" s="50" t="str">
        <f t="shared" si="46"/>
        <v>juin</v>
      </c>
      <c r="F598" s="50">
        <f t="shared" si="47"/>
        <v>5</v>
      </c>
      <c r="G598" s="50">
        <f t="shared" si="48"/>
        <v>2026</v>
      </c>
      <c r="H598" s="51">
        <f>IF($C598="","",IFERROR(DATE(G598,VLOOKUP(E598,Paramètres!$K$11:$L$40,2,FALSE()),F598),"?"))</f>
        <v>46178</v>
      </c>
      <c r="I598" s="50">
        <f>IF(ISNUMBER(H598),IF(COUNTIFS($D$2:D598,D598,$H$2:H598,H598)=1,1,0),"")</f>
        <v>1</v>
      </c>
      <c r="J598" s="50">
        <f>IF(ISNUMBER(H598),IFERROR(INDEX(Calendrier!$C$2:$C$367,MATCH(H598,Calendrier!$A$2:$A$367,0)),0),"")</f>
        <v>1</v>
      </c>
      <c r="K598" s="50">
        <f t="shared" si="49"/>
        <v>1</v>
      </c>
      <c r="L598" s="50">
        <f>IF(D598="","",IF(COUNTIF(Paramètres!$A$11:$A$40,D598)&gt;0,1,0))</f>
        <v>1</v>
      </c>
    </row>
    <row r="599" spans="1:12" hidden="1" x14ac:dyDescent="0.25">
      <c r="A599" s="49"/>
      <c r="B599" s="49" t="s">
        <v>69</v>
      </c>
      <c r="C599" s="49" t="s">
        <v>672</v>
      </c>
      <c r="D599" s="50" t="str">
        <f t="shared" si="45"/>
        <v>Mina Moussa</v>
      </c>
      <c r="E599" s="50" t="str">
        <f t="shared" si="46"/>
        <v>juin</v>
      </c>
      <c r="F599" s="50">
        <f t="shared" si="47"/>
        <v>9</v>
      </c>
      <c r="G599" s="50">
        <f t="shared" si="48"/>
        <v>2026</v>
      </c>
      <c r="H599" s="51">
        <f>IF($C599="","",IFERROR(DATE(G599,VLOOKUP(E599,Paramètres!$K$11:$L$40,2,FALSE()),F599),"?"))</f>
        <v>46182</v>
      </c>
      <c r="I599" s="50">
        <f>IF(ISNUMBER(H599),IF(COUNTIFS($D$2:D599,D599,$H$2:H599,H599)=1,1,0),"")</f>
        <v>1</v>
      </c>
      <c r="J599" s="50">
        <f>IF(ISNUMBER(H599),IFERROR(INDEX(Calendrier!$C$2:$C$367,MATCH(H599,Calendrier!$A$2:$A$367,0)),0),"")</f>
        <v>1</v>
      </c>
      <c r="K599" s="50">
        <f t="shared" si="49"/>
        <v>1</v>
      </c>
      <c r="L599" s="50">
        <f>IF(D599="","",IF(COUNTIF(Paramètres!$A$11:$A$40,D599)&gt;0,1,0))</f>
        <v>1</v>
      </c>
    </row>
    <row r="600" spans="1:12" hidden="1" x14ac:dyDescent="0.25">
      <c r="A600" s="49"/>
      <c r="B600" s="49" t="s">
        <v>69</v>
      </c>
      <c r="C600" s="49" t="s">
        <v>673</v>
      </c>
      <c r="D600" s="50" t="str">
        <f t="shared" si="45"/>
        <v>Mina Moussa</v>
      </c>
      <c r="E600" s="50" t="str">
        <f t="shared" si="46"/>
        <v>juin</v>
      </c>
      <c r="F600" s="50">
        <f t="shared" si="47"/>
        <v>11</v>
      </c>
      <c r="G600" s="50">
        <f t="shared" si="48"/>
        <v>2026</v>
      </c>
      <c r="H600" s="51">
        <f>IF($C600="","",IFERROR(DATE(G600,VLOOKUP(E600,Paramètres!$K$11:$L$40,2,FALSE()),F600),"?"))</f>
        <v>46184</v>
      </c>
      <c r="I600" s="50">
        <f>IF(ISNUMBER(H600),IF(COUNTIFS($D$2:D600,D600,$H$2:H600,H600)=1,1,0),"")</f>
        <v>1</v>
      </c>
      <c r="J600" s="50">
        <f>IF(ISNUMBER(H600),IFERROR(INDEX(Calendrier!$C$2:$C$367,MATCH(H600,Calendrier!$A$2:$A$367,0)),0),"")</f>
        <v>1</v>
      </c>
      <c r="K600" s="50">
        <f t="shared" si="49"/>
        <v>1</v>
      </c>
      <c r="L600" s="50">
        <f>IF(D600="","",IF(COUNTIF(Paramètres!$A$11:$A$40,D600)&gt;0,1,0))</f>
        <v>1</v>
      </c>
    </row>
    <row r="601" spans="1:12" hidden="1" x14ac:dyDescent="0.25">
      <c r="A601" s="49"/>
      <c r="B601" s="49" t="s">
        <v>69</v>
      </c>
      <c r="C601" s="49" t="s">
        <v>674</v>
      </c>
      <c r="D601" s="50" t="str">
        <f t="shared" si="45"/>
        <v>Mina Moussa</v>
      </c>
      <c r="E601" s="50" t="str">
        <f t="shared" si="46"/>
        <v>juin</v>
      </c>
      <c r="F601" s="50">
        <f t="shared" si="47"/>
        <v>16</v>
      </c>
      <c r="G601" s="50">
        <f t="shared" si="48"/>
        <v>2026</v>
      </c>
      <c r="H601" s="51">
        <f>IF($C601="","",IFERROR(DATE(G601,VLOOKUP(E601,Paramètres!$K$11:$L$40,2,FALSE()),F601),"?"))</f>
        <v>46189</v>
      </c>
      <c r="I601" s="50">
        <f>IF(ISNUMBER(H601),IF(COUNTIFS($D$2:D601,D601,$H$2:H601,H601)=1,1,0),"")</f>
        <v>1</v>
      </c>
      <c r="J601" s="50">
        <f>IF(ISNUMBER(H601),IFERROR(INDEX(Calendrier!$C$2:$C$367,MATCH(H601,Calendrier!$A$2:$A$367,0)),0),"")</f>
        <v>1</v>
      </c>
      <c r="K601" s="50">
        <f t="shared" si="49"/>
        <v>1</v>
      </c>
      <c r="L601" s="50">
        <f>IF(D601="","",IF(COUNTIF(Paramètres!$A$11:$A$40,D601)&gt;0,1,0))</f>
        <v>1</v>
      </c>
    </row>
    <row r="602" spans="1:12" hidden="1" x14ac:dyDescent="0.25">
      <c r="A602" s="49"/>
      <c r="B602" s="49" t="s">
        <v>69</v>
      </c>
      <c r="C602" s="49" t="s">
        <v>675</v>
      </c>
      <c r="D602" s="50" t="str">
        <f t="shared" si="45"/>
        <v>Mina Moussa</v>
      </c>
      <c r="E602" s="50" t="str">
        <f t="shared" si="46"/>
        <v>juin</v>
      </c>
      <c r="F602" s="50">
        <f t="shared" si="47"/>
        <v>17</v>
      </c>
      <c r="G602" s="50">
        <f t="shared" si="48"/>
        <v>2026</v>
      </c>
      <c r="H602" s="51">
        <f>IF($C602="","",IFERROR(DATE(G602,VLOOKUP(E602,Paramètres!$K$11:$L$40,2,FALSE()),F602),"?"))</f>
        <v>46190</v>
      </c>
      <c r="I602" s="50">
        <f>IF(ISNUMBER(H602),IF(COUNTIFS($D$2:D602,D602,$H$2:H602,H602)=1,1,0),"")</f>
        <v>1</v>
      </c>
      <c r="J602" s="50">
        <f>IF(ISNUMBER(H602),IFERROR(INDEX(Calendrier!$C$2:$C$367,MATCH(H602,Calendrier!$A$2:$A$367,0)),0),"")</f>
        <v>1</v>
      </c>
      <c r="K602" s="50">
        <f t="shared" si="49"/>
        <v>1</v>
      </c>
      <c r="L602" s="50">
        <f>IF(D602="","",IF(COUNTIF(Paramètres!$A$11:$A$40,D602)&gt;0,1,0))</f>
        <v>1</v>
      </c>
    </row>
    <row r="603" spans="1:12" hidden="1" x14ac:dyDescent="0.25">
      <c r="A603" s="49"/>
      <c r="B603" s="49" t="s">
        <v>69</v>
      </c>
      <c r="C603" s="49" t="s">
        <v>676</v>
      </c>
      <c r="D603" s="50" t="str">
        <f t="shared" si="45"/>
        <v>Mina Moussa</v>
      </c>
      <c r="E603" s="50" t="str">
        <f t="shared" si="46"/>
        <v>juin</v>
      </c>
      <c r="F603" s="50">
        <f t="shared" si="47"/>
        <v>18</v>
      </c>
      <c r="G603" s="50">
        <f t="shared" si="48"/>
        <v>2026</v>
      </c>
      <c r="H603" s="51">
        <f>IF($C603="","",IFERROR(DATE(G603,VLOOKUP(E603,Paramètres!$K$11:$L$40,2,FALSE()),F603),"?"))</f>
        <v>46191</v>
      </c>
      <c r="I603" s="50">
        <f>IF(ISNUMBER(H603),IF(COUNTIFS($D$2:D603,D603,$H$2:H603,H603)=1,1,0),"")</f>
        <v>1</v>
      </c>
      <c r="J603" s="50">
        <f>IF(ISNUMBER(H603),IFERROR(INDEX(Calendrier!$C$2:$C$367,MATCH(H603,Calendrier!$A$2:$A$367,0)),0),"")</f>
        <v>1</v>
      </c>
      <c r="K603" s="50">
        <f t="shared" si="49"/>
        <v>1</v>
      </c>
      <c r="L603" s="50">
        <f>IF(D603="","",IF(COUNTIF(Paramètres!$A$11:$A$40,D603)&gt;0,1,0))</f>
        <v>1</v>
      </c>
    </row>
    <row r="604" spans="1:12" hidden="1" x14ac:dyDescent="0.25">
      <c r="A604" s="49"/>
      <c r="B604" s="49" t="s">
        <v>69</v>
      </c>
      <c r="C604" s="49" t="s">
        <v>677</v>
      </c>
      <c r="D604" s="50" t="str">
        <f t="shared" si="45"/>
        <v>Mina Moussa</v>
      </c>
      <c r="E604" s="50" t="str">
        <f t="shared" si="46"/>
        <v>juin</v>
      </c>
      <c r="F604" s="50">
        <f t="shared" si="47"/>
        <v>24</v>
      </c>
      <c r="G604" s="50">
        <f t="shared" si="48"/>
        <v>2026</v>
      </c>
      <c r="H604" s="51">
        <f>IF($C604="","",IFERROR(DATE(G604,VLOOKUP(E604,Paramètres!$K$11:$L$40,2,FALSE()),F604),"?"))</f>
        <v>46197</v>
      </c>
      <c r="I604" s="50">
        <f>IF(ISNUMBER(H604),IF(COUNTIFS($D$2:D604,D604,$H$2:H604,H604)=1,1,0),"")</f>
        <v>1</v>
      </c>
      <c r="J604" s="50">
        <f>IF(ISNUMBER(H604),IFERROR(INDEX(Calendrier!$C$2:$C$367,MATCH(H604,Calendrier!$A$2:$A$367,0)),0),"")</f>
        <v>1</v>
      </c>
      <c r="K604" s="50">
        <f t="shared" si="49"/>
        <v>1</v>
      </c>
      <c r="L604" s="50">
        <f>IF(D604="","",IF(COUNTIF(Paramètres!$A$11:$A$40,D604)&gt;0,1,0))</f>
        <v>1</v>
      </c>
    </row>
    <row r="605" spans="1:12" hidden="1" x14ac:dyDescent="0.25">
      <c r="A605" s="49"/>
      <c r="B605" s="49" t="s">
        <v>69</v>
      </c>
      <c r="C605" s="49" t="s">
        <v>678</v>
      </c>
      <c r="D605" s="50" t="str">
        <f t="shared" si="45"/>
        <v>Mina Moussa</v>
      </c>
      <c r="E605" s="50" t="str">
        <f t="shared" si="46"/>
        <v>juin</v>
      </c>
      <c r="F605" s="50">
        <f t="shared" si="47"/>
        <v>29</v>
      </c>
      <c r="G605" s="50">
        <f t="shared" si="48"/>
        <v>2026</v>
      </c>
      <c r="H605" s="51">
        <f>IF($C605="","",IFERROR(DATE(G605,VLOOKUP(E605,Paramètres!$K$11:$L$40,2,FALSE()),F605),"?"))</f>
        <v>46202</v>
      </c>
      <c r="I605" s="50">
        <f>IF(ISNUMBER(H605),IF(COUNTIFS($D$2:D605,D605,$H$2:H605,H605)=1,1,0),"")</f>
        <v>1</v>
      </c>
      <c r="J605" s="50">
        <f>IF(ISNUMBER(H605),IFERROR(INDEX(Calendrier!$C$2:$C$367,MATCH(H605,Calendrier!$A$2:$A$367,0)),0),"")</f>
        <v>1</v>
      </c>
      <c r="K605" s="50">
        <f t="shared" si="49"/>
        <v>1</v>
      </c>
      <c r="L605" s="50">
        <f>IF(D605="","",IF(COUNTIF(Paramètres!$A$11:$A$40,D605)&gt;0,1,0))</f>
        <v>1</v>
      </c>
    </row>
    <row r="606" spans="1:12" hidden="1" x14ac:dyDescent="0.25">
      <c r="A606" s="49"/>
      <c r="B606" s="49" t="s">
        <v>52</v>
      </c>
      <c r="C606" s="49" t="s">
        <v>679</v>
      </c>
      <c r="D606" s="50" t="str">
        <f t="shared" si="45"/>
        <v>Amine Latrech</v>
      </c>
      <c r="E606" s="50" t="str">
        <f t="shared" si="46"/>
        <v>juin</v>
      </c>
      <c r="F606" s="50">
        <f t="shared" si="47"/>
        <v>3</v>
      </c>
      <c r="G606" s="50">
        <f t="shared" si="48"/>
        <v>2026</v>
      </c>
      <c r="H606" s="51">
        <f>IF($C606="","",IFERROR(DATE(G606,VLOOKUP(E606,Paramètres!$K$11:$L$40,2,FALSE()),F606),"?"))</f>
        <v>46176</v>
      </c>
      <c r="I606" s="50">
        <f>IF(ISNUMBER(H606),IF(COUNTIFS($D$2:D606,D606,$H$2:H606,H606)=1,1,0),"")</f>
        <v>1</v>
      </c>
      <c r="J606" s="50">
        <f>IF(ISNUMBER(H606),IFERROR(INDEX(Calendrier!$C$2:$C$367,MATCH(H606,Calendrier!$A$2:$A$367,0)),0),"")</f>
        <v>1</v>
      </c>
      <c r="K606" s="50">
        <f t="shared" si="49"/>
        <v>1</v>
      </c>
      <c r="L606" s="50">
        <f>IF(D606="","",IF(COUNTIF(Paramètres!$A$11:$A$40,D606)&gt;0,1,0))</f>
        <v>1</v>
      </c>
    </row>
    <row r="607" spans="1:12" hidden="1" x14ac:dyDescent="0.25">
      <c r="A607" s="49"/>
      <c r="B607" s="49" t="s">
        <v>52</v>
      </c>
      <c r="C607" s="49" t="s">
        <v>680</v>
      </c>
      <c r="D607" s="50" t="str">
        <f t="shared" si="45"/>
        <v>Amine Latrech</v>
      </c>
      <c r="E607" s="50" t="str">
        <f t="shared" si="46"/>
        <v>juin</v>
      </c>
      <c r="F607" s="50">
        <f t="shared" si="47"/>
        <v>3</v>
      </c>
      <c r="G607" s="50">
        <f t="shared" si="48"/>
        <v>2026</v>
      </c>
      <c r="H607" s="51">
        <f>IF($C607="","",IFERROR(DATE(G607,VLOOKUP(E607,Paramètres!$K$11:$L$40,2,FALSE()),F607),"?"))</f>
        <v>46176</v>
      </c>
      <c r="I607" s="50">
        <f>IF(ISNUMBER(H607),IF(COUNTIFS($D$2:D607,D607,$H$2:H607,H607)=1,1,0),"")</f>
        <v>0</v>
      </c>
      <c r="J607" s="50">
        <f>IF(ISNUMBER(H607),IFERROR(INDEX(Calendrier!$C$2:$C$367,MATCH(H607,Calendrier!$A$2:$A$367,0)),0),"")</f>
        <v>1</v>
      </c>
      <c r="K607" s="50">
        <f t="shared" si="49"/>
        <v>0</v>
      </c>
      <c r="L607" s="50">
        <f>IF(D607="","",IF(COUNTIF(Paramètres!$A$11:$A$40,D607)&gt;0,1,0))</f>
        <v>1</v>
      </c>
    </row>
    <row r="608" spans="1:12" hidden="1" x14ac:dyDescent="0.25">
      <c r="A608" s="49"/>
      <c r="B608" s="49" t="s">
        <v>52</v>
      </c>
      <c r="C608" s="49" t="s">
        <v>680</v>
      </c>
      <c r="D608" s="50" t="str">
        <f t="shared" si="45"/>
        <v>Amine Latrech</v>
      </c>
      <c r="E608" s="50" t="str">
        <f t="shared" si="46"/>
        <v>juin</v>
      </c>
      <c r="F608" s="50">
        <f t="shared" si="47"/>
        <v>3</v>
      </c>
      <c r="G608" s="50">
        <f t="shared" si="48"/>
        <v>2026</v>
      </c>
      <c r="H608" s="51">
        <f>IF($C608="","",IFERROR(DATE(G608,VLOOKUP(E608,Paramètres!$K$11:$L$40,2,FALSE()),F608),"?"))</f>
        <v>46176</v>
      </c>
      <c r="I608" s="50">
        <f>IF(ISNUMBER(H608),IF(COUNTIFS($D$2:D608,D608,$H$2:H608,H608)=1,1,0),"")</f>
        <v>0</v>
      </c>
      <c r="J608" s="50">
        <f>IF(ISNUMBER(H608),IFERROR(INDEX(Calendrier!$C$2:$C$367,MATCH(H608,Calendrier!$A$2:$A$367,0)),0),"")</f>
        <v>1</v>
      </c>
      <c r="K608" s="50">
        <f t="shared" si="49"/>
        <v>0</v>
      </c>
      <c r="L608" s="50">
        <f>IF(D608="","",IF(COUNTIF(Paramètres!$A$11:$A$40,D608)&gt;0,1,0))</f>
        <v>1</v>
      </c>
    </row>
    <row r="609" spans="1:12" hidden="1" x14ac:dyDescent="0.25">
      <c r="A609" s="49"/>
      <c r="B609" s="49" t="s">
        <v>52</v>
      </c>
      <c r="C609" s="49" t="s">
        <v>681</v>
      </c>
      <c r="D609" s="50" t="str">
        <f t="shared" si="45"/>
        <v>Amine Latrech</v>
      </c>
      <c r="E609" s="50" t="str">
        <f t="shared" si="46"/>
        <v>juin</v>
      </c>
      <c r="F609" s="50">
        <f t="shared" si="47"/>
        <v>10</v>
      </c>
      <c r="G609" s="50">
        <f t="shared" si="48"/>
        <v>2026</v>
      </c>
      <c r="H609" s="51">
        <f>IF($C609="","",IFERROR(DATE(G609,VLOOKUP(E609,Paramètres!$K$11:$L$40,2,FALSE()),F609),"?"))</f>
        <v>46183</v>
      </c>
      <c r="I609" s="50">
        <f>IF(ISNUMBER(H609),IF(COUNTIFS($D$2:D609,D609,$H$2:H609,H609)=1,1,0),"")</f>
        <v>1</v>
      </c>
      <c r="J609" s="50">
        <f>IF(ISNUMBER(H609),IFERROR(INDEX(Calendrier!$C$2:$C$367,MATCH(H609,Calendrier!$A$2:$A$367,0)),0),"")</f>
        <v>1</v>
      </c>
      <c r="K609" s="50">
        <f t="shared" si="49"/>
        <v>1</v>
      </c>
      <c r="L609" s="50">
        <f>IF(D609="","",IF(COUNTIF(Paramètres!$A$11:$A$40,D609)&gt;0,1,0))</f>
        <v>1</v>
      </c>
    </row>
    <row r="610" spans="1:12" hidden="1" x14ac:dyDescent="0.25">
      <c r="A610" s="49"/>
      <c r="B610" s="49" t="s">
        <v>52</v>
      </c>
      <c r="C610" s="49" t="s">
        <v>682</v>
      </c>
      <c r="D610" s="50" t="str">
        <f t="shared" si="45"/>
        <v>Amine Latrech</v>
      </c>
      <c r="E610" s="50" t="str">
        <f t="shared" si="46"/>
        <v>juin</v>
      </c>
      <c r="F610" s="50">
        <f t="shared" si="47"/>
        <v>12</v>
      </c>
      <c r="G610" s="50">
        <f t="shared" si="48"/>
        <v>2026</v>
      </c>
      <c r="H610" s="51">
        <f>IF($C610="","",IFERROR(DATE(G610,VLOOKUP(E610,Paramètres!$K$11:$L$40,2,FALSE()),F610),"?"))</f>
        <v>46185</v>
      </c>
      <c r="I610" s="50">
        <f>IF(ISNUMBER(H610),IF(COUNTIFS($D$2:D610,D610,$H$2:H610,H610)=1,1,0),"")</f>
        <v>1</v>
      </c>
      <c r="J610" s="50">
        <f>IF(ISNUMBER(H610),IFERROR(INDEX(Calendrier!$C$2:$C$367,MATCH(H610,Calendrier!$A$2:$A$367,0)),0),"")</f>
        <v>1</v>
      </c>
      <c r="K610" s="50">
        <f t="shared" si="49"/>
        <v>1</v>
      </c>
      <c r="L610" s="50">
        <f>IF(D610="","",IF(COUNTIF(Paramètres!$A$11:$A$40,D610)&gt;0,1,0))</f>
        <v>1</v>
      </c>
    </row>
    <row r="611" spans="1:12" hidden="1" x14ac:dyDescent="0.25">
      <c r="A611" s="49"/>
      <c r="B611" s="49" t="s">
        <v>52</v>
      </c>
      <c r="C611" s="49" t="s">
        <v>683</v>
      </c>
      <c r="D611" s="50" t="str">
        <f t="shared" si="45"/>
        <v>Amine Latrech</v>
      </c>
      <c r="E611" s="50" t="str">
        <f t="shared" si="46"/>
        <v>juin</v>
      </c>
      <c r="F611" s="50">
        <f t="shared" si="47"/>
        <v>22</v>
      </c>
      <c r="G611" s="50">
        <f t="shared" si="48"/>
        <v>2026</v>
      </c>
      <c r="H611" s="51">
        <f>IF($C611="","",IFERROR(DATE(G611,VLOOKUP(E611,Paramètres!$K$11:$L$40,2,FALSE()),F611),"?"))</f>
        <v>46195</v>
      </c>
      <c r="I611" s="50">
        <f>IF(ISNUMBER(H611),IF(COUNTIFS($D$2:D611,D611,$H$2:H611,H611)=1,1,0),"")</f>
        <v>1</v>
      </c>
      <c r="J611" s="50">
        <f>IF(ISNUMBER(H611),IFERROR(INDEX(Calendrier!$C$2:$C$367,MATCH(H611,Calendrier!$A$2:$A$367,0)),0),"")</f>
        <v>1</v>
      </c>
      <c r="K611" s="50">
        <f t="shared" si="49"/>
        <v>1</v>
      </c>
      <c r="L611" s="50">
        <f>IF(D611="","",IF(COUNTIF(Paramètres!$A$11:$A$40,D611)&gt;0,1,0))</f>
        <v>1</v>
      </c>
    </row>
    <row r="612" spans="1:12" hidden="1" x14ac:dyDescent="0.25">
      <c r="A612" s="49"/>
      <c r="B612" s="49" t="s">
        <v>52</v>
      </c>
      <c r="C612" s="49" t="s">
        <v>684</v>
      </c>
      <c r="D612" s="50" t="str">
        <f t="shared" si="45"/>
        <v>Amine Latrech</v>
      </c>
      <c r="E612" s="50" t="str">
        <f t="shared" si="46"/>
        <v>juin</v>
      </c>
      <c r="F612" s="50">
        <f t="shared" si="47"/>
        <v>23</v>
      </c>
      <c r="G612" s="50">
        <f t="shared" si="48"/>
        <v>2026</v>
      </c>
      <c r="H612" s="51">
        <f>IF($C612="","",IFERROR(DATE(G612,VLOOKUP(E612,Paramètres!$K$11:$L$40,2,FALSE()),F612),"?"))</f>
        <v>46196</v>
      </c>
      <c r="I612" s="50">
        <f>IF(ISNUMBER(H612),IF(COUNTIFS($D$2:D612,D612,$H$2:H612,H612)=1,1,0),"")</f>
        <v>1</v>
      </c>
      <c r="J612" s="50">
        <f>IF(ISNUMBER(H612),IFERROR(INDEX(Calendrier!$C$2:$C$367,MATCH(H612,Calendrier!$A$2:$A$367,0)),0),"")</f>
        <v>1</v>
      </c>
      <c r="K612" s="50">
        <f t="shared" si="49"/>
        <v>1</v>
      </c>
      <c r="L612" s="50">
        <f>IF(D612="","",IF(COUNTIF(Paramètres!$A$11:$A$40,D612)&gt;0,1,0))</f>
        <v>1</v>
      </c>
    </row>
    <row r="613" spans="1:12" hidden="1" x14ac:dyDescent="0.25">
      <c r="A613" s="49"/>
      <c r="B613" s="49" t="s">
        <v>88</v>
      </c>
      <c r="C613" s="49" t="s">
        <v>685</v>
      </c>
      <c r="D613" s="50" t="str">
        <f t="shared" si="45"/>
        <v>Wissem Ben Abdalah</v>
      </c>
      <c r="E613" s="50" t="str">
        <f t="shared" si="46"/>
        <v>juin</v>
      </c>
      <c r="F613" s="50">
        <f t="shared" si="47"/>
        <v>5</v>
      </c>
      <c r="G613" s="50">
        <f t="shared" si="48"/>
        <v>2026</v>
      </c>
      <c r="H613" s="51">
        <f>IF($C613="","",IFERROR(DATE(G613,VLOOKUP(E613,Paramètres!$K$11:$L$40,2,FALSE()),F613),"?"))</f>
        <v>46178</v>
      </c>
      <c r="I613" s="50">
        <f>IF(ISNUMBER(H613),IF(COUNTIFS($D$2:D613,D613,$H$2:H613,H613)=1,1,0),"")</f>
        <v>1</v>
      </c>
      <c r="J613" s="50">
        <f>IF(ISNUMBER(H613),IFERROR(INDEX(Calendrier!$C$2:$C$367,MATCH(H613,Calendrier!$A$2:$A$367,0)),0),"")</f>
        <v>1</v>
      </c>
      <c r="K613" s="50">
        <f t="shared" si="49"/>
        <v>1</v>
      </c>
      <c r="L613" s="50">
        <f>IF(D613="","",IF(COUNTIF(Paramètres!$A$11:$A$40,D613)&gt;0,1,0))</f>
        <v>1</v>
      </c>
    </row>
    <row r="614" spans="1:12" hidden="1" x14ac:dyDescent="0.25">
      <c r="A614" s="49"/>
      <c r="B614" s="49" t="s">
        <v>88</v>
      </c>
      <c r="C614" s="49" t="s">
        <v>686</v>
      </c>
      <c r="D614" s="50" t="str">
        <f t="shared" si="45"/>
        <v>Wissem Ben Abdalah</v>
      </c>
      <c r="E614" s="50" t="str">
        <f t="shared" si="46"/>
        <v>juin</v>
      </c>
      <c r="F614" s="50">
        <f t="shared" si="47"/>
        <v>17</v>
      </c>
      <c r="G614" s="50">
        <f t="shared" si="48"/>
        <v>2026</v>
      </c>
      <c r="H614" s="51">
        <f>IF($C614="","",IFERROR(DATE(G614,VLOOKUP(E614,Paramètres!$K$11:$L$40,2,FALSE()),F614),"?"))</f>
        <v>46190</v>
      </c>
      <c r="I614" s="50">
        <f>IF(ISNUMBER(H614),IF(COUNTIFS($D$2:D614,D614,$H$2:H614,H614)=1,1,0),"")</f>
        <v>1</v>
      </c>
      <c r="J614" s="50">
        <f>IF(ISNUMBER(H614),IFERROR(INDEX(Calendrier!$C$2:$C$367,MATCH(H614,Calendrier!$A$2:$A$367,0)),0),"")</f>
        <v>1</v>
      </c>
      <c r="K614" s="50">
        <f t="shared" si="49"/>
        <v>1</v>
      </c>
      <c r="L614" s="50">
        <f>IF(D614="","",IF(COUNTIF(Paramètres!$A$11:$A$40,D614)&gt;0,1,0))</f>
        <v>1</v>
      </c>
    </row>
    <row r="615" spans="1:12" hidden="1" x14ac:dyDescent="0.25">
      <c r="A615" s="49"/>
      <c r="B615" s="49" t="s">
        <v>83</v>
      </c>
      <c r="C615" s="49" t="s">
        <v>687</v>
      </c>
      <c r="D615" s="50" t="str">
        <f t="shared" si="45"/>
        <v>Safouen Magdouli</v>
      </c>
      <c r="E615" s="50" t="str">
        <f t="shared" si="46"/>
        <v>juin</v>
      </c>
      <c r="F615" s="50">
        <f t="shared" si="47"/>
        <v>3</v>
      </c>
      <c r="G615" s="50">
        <f t="shared" si="48"/>
        <v>2026</v>
      </c>
      <c r="H615" s="51">
        <f>IF($C615="","",IFERROR(DATE(G615,VLOOKUP(E615,Paramètres!$K$11:$L$40,2,FALSE()),F615),"?"))</f>
        <v>46176</v>
      </c>
      <c r="I615" s="50">
        <f>IF(ISNUMBER(H615),IF(COUNTIFS($D$2:D615,D615,$H$2:H615,H615)=1,1,0),"")</f>
        <v>1</v>
      </c>
      <c r="J615" s="50">
        <f>IF(ISNUMBER(H615),IFERROR(INDEX(Calendrier!$C$2:$C$367,MATCH(H615,Calendrier!$A$2:$A$367,0)),0),"")</f>
        <v>1</v>
      </c>
      <c r="K615" s="50">
        <f t="shared" si="49"/>
        <v>1</v>
      </c>
      <c r="L615" s="50">
        <f>IF(D615="","",IF(COUNTIF(Paramètres!$A$11:$A$40,D615)&gt;0,1,0))</f>
        <v>1</v>
      </c>
    </row>
    <row r="616" spans="1:12" hidden="1" x14ac:dyDescent="0.25">
      <c r="A616" s="49"/>
      <c r="B616" s="49" t="s">
        <v>83</v>
      </c>
      <c r="C616" s="49" t="s">
        <v>688</v>
      </c>
      <c r="D616" s="50" t="str">
        <f t="shared" si="45"/>
        <v>Safouen Magdouli</v>
      </c>
      <c r="E616" s="50" t="str">
        <f t="shared" si="46"/>
        <v>juin</v>
      </c>
      <c r="F616" s="50">
        <f t="shared" si="47"/>
        <v>10</v>
      </c>
      <c r="G616" s="50">
        <f t="shared" si="48"/>
        <v>2026</v>
      </c>
      <c r="H616" s="51">
        <f>IF($C616="","",IFERROR(DATE(G616,VLOOKUP(E616,Paramètres!$K$11:$L$40,2,FALSE()),F616),"?"))</f>
        <v>46183</v>
      </c>
      <c r="I616" s="50">
        <f>IF(ISNUMBER(H616),IF(COUNTIFS($D$2:D616,D616,$H$2:H616,H616)=1,1,0),"")</f>
        <v>1</v>
      </c>
      <c r="J616" s="50">
        <f>IF(ISNUMBER(H616),IFERROR(INDEX(Calendrier!$C$2:$C$367,MATCH(H616,Calendrier!$A$2:$A$367,0)),0),"")</f>
        <v>1</v>
      </c>
      <c r="K616" s="50">
        <f t="shared" si="49"/>
        <v>1</v>
      </c>
      <c r="L616" s="50">
        <f>IF(D616="","",IF(COUNTIF(Paramètres!$A$11:$A$40,D616)&gt;0,1,0))</f>
        <v>1</v>
      </c>
    </row>
    <row r="617" spans="1:12" hidden="1" x14ac:dyDescent="0.25">
      <c r="A617" s="49"/>
      <c r="B617" s="49" t="s">
        <v>83</v>
      </c>
      <c r="C617" s="49" t="s">
        <v>689</v>
      </c>
      <c r="D617" s="50" t="str">
        <f t="shared" si="45"/>
        <v>Safouen Magdouli</v>
      </c>
      <c r="E617" s="50" t="str">
        <f t="shared" si="46"/>
        <v>juin</v>
      </c>
      <c r="F617" s="50">
        <f t="shared" si="47"/>
        <v>16</v>
      </c>
      <c r="G617" s="50">
        <f t="shared" si="48"/>
        <v>2026</v>
      </c>
      <c r="H617" s="51">
        <f>IF($C617="","",IFERROR(DATE(G617,VLOOKUP(E617,Paramètres!$K$11:$L$40,2,FALSE()),F617),"?"))</f>
        <v>46189</v>
      </c>
      <c r="I617" s="50">
        <f>IF(ISNUMBER(H617),IF(COUNTIFS($D$2:D617,D617,$H$2:H617,H617)=1,1,0),"")</f>
        <v>1</v>
      </c>
      <c r="J617" s="50">
        <f>IF(ISNUMBER(H617),IFERROR(INDEX(Calendrier!$C$2:$C$367,MATCH(H617,Calendrier!$A$2:$A$367,0)),0),"")</f>
        <v>1</v>
      </c>
      <c r="K617" s="50">
        <f t="shared" si="49"/>
        <v>1</v>
      </c>
      <c r="L617" s="50">
        <f>IF(D617="","",IF(COUNTIF(Paramètres!$A$11:$A$40,D617)&gt;0,1,0))</f>
        <v>1</v>
      </c>
    </row>
    <row r="618" spans="1:12" hidden="1" x14ac:dyDescent="0.25">
      <c r="A618" s="49"/>
      <c r="B618" s="49" t="s">
        <v>83</v>
      </c>
      <c r="C618" s="49" t="s">
        <v>690</v>
      </c>
      <c r="D618" s="50" t="str">
        <f t="shared" si="45"/>
        <v>Safouen Magdouli</v>
      </c>
      <c r="E618" s="50" t="str">
        <f t="shared" si="46"/>
        <v>juin</v>
      </c>
      <c r="F618" s="50">
        <f t="shared" si="47"/>
        <v>20</v>
      </c>
      <c r="G618" s="50">
        <f t="shared" si="48"/>
        <v>2026</v>
      </c>
      <c r="H618" s="51">
        <f>IF($C618="","",IFERROR(DATE(G618,VLOOKUP(E618,Paramètres!$K$11:$L$40,2,FALSE()),F618),"?"))</f>
        <v>46193</v>
      </c>
      <c r="I618" s="50">
        <f>IF(ISNUMBER(H618),IF(COUNTIFS($D$2:D618,D618,$H$2:H618,H618)=1,1,0),"")</f>
        <v>1</v>
      </c>
      <c r="J618" s="50">
        <f>IF(ISNUMBER(H618),IFERROR(INDEX(Calendrier!$C$2:$C$367,MATCH(H618,Calendrier!$A$2:$A$367,0)),0),"")</f>
        <v>0</v>
      </c>
      <c r="K618" s="50">
        <f t="shared" si="49"/>
        <v>0</v>
      </c>
      <c r="L618" s="50">
        <f>IF(D618="","",IF(COUNTIF(Paramètres!$A$11:$A$40,D618)&gt;0,1,0))</f>
        <v>1</v>
      </c>
    </row>
    <row r="619" spans="1:12" hidden="1" x14ac:dyDescent="0.25">
      <c r="A619" s="49"/>
      <c r="B619" s="49" t="s">
        <v>83</v>
      </c>
      <c r="C619" s="49" t="s">
        <v>691</v>
      </c>
      <c r="D619" s="50" t="str">
        <f t="shared" si="45"/>
        <v>Safouen Magdouli</v>
      </c>
      <c r="E619" s="50" t="str">
        <f t="shared" si="46"/>
        <v>juin</v>
      </c>
      <c r="F619" s="50">
        <f t="shared" si="47"/>
        <v>22</v>
      </c>
      <c r="G619" s="50">
        <f t="shared" si="48"/>
        <v>2026</v>
      </c>
      <c r="H619" s="51">
        <f>IF($C619="","",IFERROR(DATE(G619,VLOOKUP(E619,Paramètres!$K$11:$L$40,2,FALSE()),F619),"?"))</f>
        <v>46195</v>
      </c>
      <c r="I619" s="50">
        <f>IF(ISNUMBER(H619),IF(COUNTIFS($D$2:D619,D619,$H$2:H619,H619)=1,1,0),"")</f>
        <v>1</v>
      </c>
      <c r="J619" s="50">
        <f>IF(ISNUMBER(H619),IFERROR(INDEX(Calendrier!$C$2:$C$367,MATCH(H619,Calendrier!$A$2:$A$367,0)),0),"")</f>
        <v>1</v>
      </c>
      <c r="K619" s="50">
        <f t="shared" si="49"/>
        <v>1</v>
      </c>
      <c r="L619" s="50">
        <f>IF(D619="","",IF(COUNTIF(Paramètres!$A$11:$A$40,D619)&gt;0,1,0))</f>
        <v>1</v>
      </c>
    </row>
    <row r="620" spans="1:12" hidden="1" x14ac:dyDescent="0.25">
      <c r="A620" s="49"/>
      <c r="B620" s="49" t="s">
        <v>83</v>
      </c>
      <c r="C620" s="49" t="s">
        <v>692</v>
      </c>
      <c r="D620" s="50" t="str">
        <f t="shared" si="45"/>
        <v>Safouen Magdouli</v>
      </c>
      <c r="E620" s="50" t="str">
        <f t="shared" si="46"/>
        <v>juin</v>
      </c>
      <c r="F620" s="50">
        <f t="shared" si="47"/>
        <v>23</v>
      </c>
      <c r="G620" s="50">
        <f t="shared" si="48"/>
        <v>2026</v>
      </c>
      <c r="H620" s="51">
        <f>IF($C620="","",IFERROR(DATE(G620,VLOOKUP(E620,Paramètres!$K$11:$L$40,2,FALSE()),F620),"?"))</f>
        <v>46196</v>
      </c>
      <c r="I620" s="50">
        <f>IF(ISNUMBER(H620),IF(COUNTIFS($D$2:D620,D620,$H$2:H620,H620)=1,1,0),"")</f>
        <v>1</v>
      </c>
      <c r="J620" s="50">
        <f>IF(ISNUMBER(H620),IFERROR(INDEX(Calendrier!$C$2:$C$367,MATCH(H620,Calendrier!$A$2:$A$367,0)),0),"")</f>
        <v>1</v>
      </c>
      <c r="K620" s="50">
        <f t="shared" si="49"/>
        <v>1</v>
      </c>
      <c r="L620" s="50">
        <f>IF(D620="","",IF(COUNTIF(Paramètres!$A$11:$A$40,D620)&gt;0,1,0))</f>
        <v>1</v>
      </c>
    </row>
    <row r="621" spans="1:12" hidden="1" x14ac:dyDescent="0.25">
      <c r="A621" s="49"/>
      <c r="B621" s="49" t="s">
        <v>81</v>
      </c>
      <c r="C621" s="49" t="s">
        <v>693</v>
      </c>
      <c r="D621" s="50" t="str">
        <f t="shared" si="45"/>
        <v>Sabrine Neffeti</v>
      </c>
      <c r="E621" s="50" t="str">
        <f t="shared" si="46"/>
        <v>juin</v>
      </c>
      <c r="F621" s="50">
        <f t="shared" si="47"/>
        <v>4</v>
      </c>
      <c r="G621" s="50">
        <f t="shared" si="48"/>
        <v>2026</v>
      </c>
      <c r="H621" s="51">
        <f>IF($C621="","",IFERROR(DATE(G621,VLOOKUP(E621,Paramètres!$K$11:$L$40,2,FALSE()),F621),"?"))</f>
        <v>46177</v>
      </c>
      <c r="I621" s="50">
        <f>IF(ISNUMBER(H621),IF(COUNTIFS($D$2:D621,D621,$H$2:H621,H621)=1,1,0),"")</f>
        <v>1</v>
      </c>
      <c r="J621" s="50">
        <f>IF(ISNUMBER(H621),IFERROR(INDEX(Calendrier!$C$2:$C$367,MATCH(H621,Calendrier!$A$2:$A$367,0)),0),"")</f>
        <v>1</v>
      </c>
      <c r="K621" s="50">
        <f t="shared" si="49"/>
        <v>1</v>
      </c>
      <c r="L621" s="50">
        <f>IF(D621="","",IF(COUNTIF(Paramètres!$A$11:$A$40,D621)&gt;0,1,0))</f>
        <v>1</v>
      </c>
    </row>
    <row r="622" spans="1:12" hidden="1" x14ac:dyDescent="0.25">
      <c r="A622" s="49"/>
      <c r="B622" s="49" t="s">
        <v>81</v>
      </c>
      <c r="C622" s="49" t="s">
        <v>694</v>
      </c>
      <c r="D622" s="50" t="str">
        <f t="shared" si="45"/>
        <v>Sabrine Neffeti</v>
      </c>
      <c r="E622" s="50" t="str">
        <f t="shared" si="46"/>
        <v>juin</v>
      </c>
      <c r="F622" s="50">
        <f t="shared" si="47"/>
        <v>6</v>
      </c>
      <c r="G622" s="50">
        <f t="shared" si="48"/>
        <v>2026</v>
      </c>
      <c r="H622" s="51">
        <f>IF($C622="","",IFERROR(DATE(G622,VLOOKUP(E622,Paramètres!$K$11:$L$40,2,FALSE()),F622),"?"))</f>
        <v>46179</v>
      </c>
      <c r="I622" s="50">
        <f>IF(ISNUMBER(H622),IF(COUNTIFS($D$2:D622,D622,$H$2:H622,H622)=1,1,0),"")</f>
        <v>1</v>
      </c>
      <c r="J622" s="50">
        <f>IF(ISNUMBER(H622),IFERROR(INDEX(Calendrier!$C$2:$C$367,MATCH(H622,Calendrier!$A$2:$A$367,0)),0),"")</f>
        <v>0</v>
      </c>
      <c r="K622" s="50">
        <f t="shared" si="49"/>
        <v>0</v>
      </c>
      <c r="L622" s="50">
        <f>IF(D622="","",IF(COUNTIF(Paramètres!$A$11:$A$40,D622)&gt;0,1,0))</f>
        <v>1</v>
      </c>
    </row>
    <row r="623" spans="1:12" hidden="1" x14ac:dyDescent="0.25">
      <c r="A623" s="49"/>
      <c r="B623" s="49" t="s">
        <v>81</v>
      </c>
      <c r="C623" s="49" t="s">
        <v>695</v>
      </c>
      <c r="D623" s="50" t="str">
        <f t="shared" si="45"/>
        <v>Sabrine Neffeti</v>
      </c>
      <c r="E623" s="50" t="str">
        <f t="shared" si="46"/>
        <v>juin</v>
      </c>
      <c r="F623" s="50">
        <f t="shared" si="47"/>
        <v>8</v>
      </c>
      <c r="G623" s="50">
        <f t="shared" si="48"/>
        <v>2026</v>
      </c>
      <c r="H623" s="51">
        <f>IF($C623="","",IFERROR(DATE(G623,VLOOKUP(E623,Paramètres!$K$11:$L$40,2,FALSE()),F623),"?"))</f>
        <v>46181</v>
      </c>
      <c r="I623" s="50">
        <f>IF(ISNUMBER(H623),IF(COUNTIFS($D$2:D623,D623,$H$2:H623,H623)=1,1,0),"")</f>
        <v>1</v>
      </c>
      <c r="J623" s="50">
        <f>IF(ISNUMBER(H623),IFERROR(INDEX(Calendrier!$C$2:$C$367,MATCH(H623,Calendrier!$A$2:$A$367,0)),0),"")</f>
        <v>1</v>
      </c>
      <c r="K623" s="50">
        <f t="shared" si="49"/>
        <v>1</v>
      </c>
      <c r="L623" s="50">
        <f>IF(D623="","",IF(COUNTIF(Paramètres!$A$11:$A$40,D623)&gt;0,1,0))</f>
        <v>1</v>
      </c>
    </row>
    <row r="624" spans="1:12" hidden="1" x14ac:dyDescent="0.25">
      <c r="A624" s="49"/>
      <c r="B624" s="49" t="s">
        <v>81</v>
      </c>
      <c r="C624" s="49" t="s">
        <v>696</v>
      </c>
      <c r="D624" s="50" t="str">
        <f t="shared" si="45"/>
        <v>Sabrine Neffeti</v>
      </c>
      <c r="E624" s="50" t="str">
        <f t="shared" si="46"/>
        <v>juin</v>
      </c>
      <c r="F624" s="50">
        <f t="shared" si="47"/>
        <v>11</v>
      </c>
      <c r="G624" s="50">
        <f t="shared" si="48"/>
        <v>2026</v>
      </c>
      <c r="H624" s="51">
        <f>IF($C624="","",IFERROR(DATE(G624,VLOOKUP(E624,Paramètres!$K$11:$L$40,2,FALSE()),F624),"?"))</f>
        <v>46184</v>
      </c>
      <c r="I624" s="50">
        <f>IF(ISNUMBER(H624),IF(COUNTIFS($D$2:D624,D624,$H$2:H624,H624)=1,1,0),"")</f>
        <v>1</v>
      </c>
      <c r="J624" s="50">
        <f>IF(ISNUMBER(H624),IFERROR(INDEX(Calendrier!$C$2:$C$367,MATCH(H624,Calendrier!$A$2:$A$367,0)),0),"")</f>
        <v>1</v>
      </c>
      <c r="K624" s="50">
        <f t="shared" si="49"/>
        <v>1</v>
      </c>
      <c r="L624" s="50">
        <f>IF(D624="","",IF(COUNTIF(Paramètres!$A$11:$A$40,D624)&gt;0,1,0))</f>
        <v>1</v>
      </c>
    </row>
    <row r="625" spans="1:12" hidden="1" x14ac:dyDescent="0.25">
      <c r="A625" s="49"/>
      <c r="B625" s="49" t="s">
        <v>81</v>
      </c>
      <c r="C625" s="49" t="s">
        <v>697</v>
      </c>
      <c r="D625" s="50" t="str">
        <f t="shared" si="45"/>
        <v>Sabrine Neffeti</v>
      </c>
      <c r="E625" s="50" t="str">
        <f t="shared" si="46"/>
        <v>juin</v>
      </c>
      <c r="F625" s="50">
        <f t="shared" si="47"/>
        <v>16</v>
      </c>
      <c r="G625" s="50">
        <f t="shared" si="48"/>
        <v>2026</v>
      </c>
      <c r="H625" s="51">
        <f>IF($C625="","",IFERROR(DATE(G625,VLOOKUP(E625,Paramètres!$K$11:$L$40,2,FALSE()),F625),"?"))</f>
        <v>46189</v>
      </c>
      <c r="I625" s="50">
        <f>IF(ISNUMBER(H625),IF(COUNTIFS($D$2:D625,D625,$H$2:H625,H625)=1,1,0),"")</f>
        <v>1</v>
      </c>
      <c r="J625" s="50">
        <f>IF(ISNUMBER(H625),IFERROR(INDEX(Calendrier!$C$2:$C$367,MATCH(H625,Calendrier!$A$2:$A$367,0)),0),"")</f>
        <v>1</v>
      </c>
      <c r="K625" s="50">
        <f t="shared" si="49"/>
        <v>1</v>
      </c>
      <c r="L625" s="50">
        <f>IF(D625="","",IF(COUNTIF(Paramètres!$A$11:$A$40,D625)&gt;0,1,0))</f>
        <v>1</v>
      </c>
    </row>
    <row r="626" spans="1:12" hidden="1" x14ac:dyDescent="0.25">
      <c r="A626" s="49"/>
      <c r="B626" s="49" t="s">
        <v>81</v>
      </c>
      <c r="C626" s="49" t="s">
        <v>698</v>
      </c>
      <c r="D626" s="50" t="str">
        <f t="shared" si="45"/>
        <v>Sabrine Neffeti</v>
      </c>
      <c r="E626" s="50" t="str">
        <f t="shared" si="46"/>
        <v>juin</v>
      </c>
      <c r="F626" s="50">
        <f t="shared" si="47"/>
        <v>19</v>
      </c>
      <c r="G626" s="50">
        <f t="shared" si="48"/>
        <v>2026</v>
      </c>
      <c r="H626" s="51">
        <f>IF($C626="","",IFERROR(DATE(G626,VLOOKUP(E626,Paramètres!$K$11:$L$40,2,FALSE()),F626),"?"))</f>
        <v>46192</v>
      </c>
      <c r="I626" s="50">
        <f>IF(ISNUMBER(H626),IF(COUNTIFS($D$2:D626,D626,$H$2:H626,H626)=1,1,0),"")</f>
        <v>1</v>
      </c>
      <c r="J626" s="50">
        <f>IF(ISNUMBER(H626),IFERROR(INDEX(Calendrier!$C$2:$C$367,MATCH(H626,Calendrier!$A$2:$A$367,0)),0),"")</f>
        <v>1</v>
      </c>
      <c r="K626" s="50">
        <f t="shared" si="49"/>
        <v>1</v>
      </c>
      <c r="L626" s="50">
        <f>IF(D626="","",IF(COUNTIF(Paramètres!$A$11:$A$40,D626)&gt;0,1,0))</f>
        <v>1</v>
      </c>
    </row>
    <row r="627" spans="1:12" hidden="1" x14ac:dyDescent="0.25">
      <c r="A627" s="49"/>
      <c r="B627" s="49" t="s">
        <v>81</v>
      </c>
      <c r="C627" s="49" t="s">
        <v>699</v>
      </c>
      <c r="D627" s="50" t="str">
        <f t="shared" si="45"/>
        <v>Sabrine Neffeti</v>
      </c>
      <c r="E627" s="50" t="str">
        <f t="shared" si="46"/>
        <v>juin</v>
      </c>
      <c r="F627" s="50">
        <f t="shared" si="47"/>
        <v>19</v>
      </c>
      <c r="G627" s="50">
        <f t="shared" si="48"/>
        <v>2026</v>
      </c>
      <c r="H627" s="51">
        <f>IF($C627="","",IFERROR(DATE(G627,VLOOKUP(E627,Paramètres!$K$11:$L$40,2,FALSE()),F627),"?"))</f>
        <v>46192</v>
      </c>
      <c r="I627" s="50">
        <f>IF(ISNUMBER(H627),IF(COUNTIFS($D$2:D627,D627,$H$2:H627,H627)=1,1,0),"")</f>
        <v>0</v>
      </c>
      <c r="J627" s="50">
        <f>IF(ISNUMBER(H627),IFERROR(INDEX(Calendrier!$C$2:$C$367,MATCH(H627,Calendrier!$A$2:$A$367,0)),0),"")</f>
        <v>1</v>
      </c>
      <c r="K627" s="50">
        <f t="shared" si="49"/>
        <v>0</v>
      </c>
      <c r="L627" s="50">
        <f>IF(D627="","",IF(COUNTIF(Paramètres!$A$11:$A$40,D627)&gt;0,1,0))</f>
        <v>1</v>
      </c>
    </row>
    <row r="628" spans="1:12" hidden="1" x14ac:dyDescent="0.25">
      <c r="A628" s="49"/>
      <c r="B628" s="49" t="s">
        <v>81</v>
      </c>
      <c r="C628" s="49" t="s">
        <v>700</v>
      </c>
      <c r="D628" s="50" t="str">
        <f t="shared" si="45"/>
        <v>Sabrine Neffeti</v>
      </c>
      <c r="E628" s="50" t="str">
        <f t="shared" si="46"/>
        <v>juin</v>
      </c>
      <c r="F628" s="50">
        <f t="shared" si="47"/>
        <v>23</v>
      </c>
      <c r="G628" s="50">
        <f t="shared" si="48"/>
        <v>2026</v>
      </c>
      <c r="H628" s="51">
        <f>IF($C628="","",IFERROR(DATE(G628,VLOOKUP(E628,Paramètres!$K$11:$L$40,2,FALSE()),F628),"?"))</f>
        <v>46196</v>
      </c>
      <c r="I628" s="50">
        <f>IF(ISNUMBER(H628),IF(COUNTIFS($D$2:D628,D628,$H$2:H628,H628)=1,1,0),"")</f>
        <v>1</v>
      </c>
      <c r="J628" s="50">
        <f>IF(ISNUMBER(H628),IFERROR(INDEX(Calendrier!$C$2:$C$367,MATCH(H628,Calendrier!$A$2:$A$367,0)),0),"")</f>
        <v>1</v>
      </c>
      <c r="K628" s="50">
        <f t="shared" si="49"/>
        <v>1</v>
      </c>
      <c r="L628" s="50">
        <f>IF(D628="","",IF(COUNTIF(Paramètres!$A$11:$A$40,D628)&gt;0,1,0))</f>
        <v>1</v>
      </c>
    </row>
    <row r="629" spans="1:12" hidden="1" x14ac:dyDescent="0.25">
      <c r="A629" s="49"/>
      <c r="B629" s="49" t="s">
        <v>81</v>
      </c>
      <c r="C629" s="49" t="s">
        <v>701</v>
      </c>
      <c r="D629" s="50" t="str">
        <f t="shared" si="45"/>
        <v>Sabrine Neffeti</v>
      </c>
      <c r="E629" s="50" t="str">
        <f t="shared" si="46"/>
        <v>juin</v>
      </c>
      <c r="F629" s="50">
        <f t="shared" si="47"/>
        <v>24</v>
      </c>
      <c r="G629" s="50">
        <f t="shared" si="48"/>
        <v>2026</v>
      </c>
      <c r="H629" s="51">
        <f>IF($C629="","",IFERROR(DATE(G629,VLOOKUP(E629,Paramètres!$K$11:$L$40,2,FALSE()),F629),"?"))</f>
        <v>46197</v>
      </c>
      <c r="I629" s="50">
        <f>IF(ISNUMBER(H629),IF(COUNTIFS($D$2:D629,D629,$H$2:H629,H629)=1,1,0),"")</f>
        <v>1</v>
      </c>
      <c r="J629" s="50">
        <f>IF(ISNUMBER(H629),IFERROR(INDEX(Calendrier!$C$2:$C$367,MATCH(H629,Calendrier!$A$2:$A$367,0)),0),"")</f>
        <v>1</v>
      </c>
      <c r="K629" s="50">
        <f t="shared" si="49"/>
        <v>1</v>
      </c>
      <c r="L629" s="50">
        <f>IF(D629="","",IF(COUNTIF(Paramètres!$A$11:$A$40,D629)&gt;0,1,0))</f>
        <v>1</v>
      </c>
    </row>
    <row r="630" spans="1:12" hidden="1" x14ac:dyDescent="0.25">
      <c r="A630" s="49"/>
      <c r="B630" s="49" t="s">
        <v>81</v>
      </c>
      <c r="C630" s="49" t="s">
        <v>702</v>
      </c>
      <c r="D630" s="50" t="str">
        <f t="shared" si="45"/>
        <v>Sabrine Neffeti</v>
      </c>
      <c r="E630" s="50" t="str">
        <f t="shared" si="46"/>
        <v>juin</v>
      </c>
      <c r="F630" s="50">
        <f t="shared" si="47"/>
        <v>29</v>
      </c>
      <c r="G630" s="50">
        <f t="shared" si="48"/>
        <v>2026</v>
      </c>
      <c r="H630" s="51">
        <f>IF($C630="","",IFERROR(DATE(G630,VLOOKUP(E630,Paramètres!$K$11:$L$40,2,FALSE()),F630),"?"))</f>
        <v>46202</v>
      </c>
      <c r="I630" s="50">
        <f>IF(ISNUMBER(H630),IF(COUNTIFS($D$2:D630,D630,$H$2:H630,H630)=1,1,0),"")</f>
        <v>1</v>
      </c>
      <c r="J630" s="50">
        <f>IF(ISNUMBER(H630),IFERROR(INDEX(Calendrier!$C$2:$C$367,MATCH(H630,Calendrier!$A$2:$A$367,0)),0),"")</f>
        <v>1</v>
      </c>
      <c r="K630" s="50">
        <f t="shared" si="49"/>
        <v>1</v>
      </c>
      <c r="L630" s="50">
        <f>IF(D630="","",IF(COUNTIF(Paramètres!$A$11:$A$40,D630)&gt;0,1,0))</f>
        <v>1</v>
      </c>
    </row>
    <row r="631" spans="1:12" hidden="1" x14ac:dyDescent="0.25">
      <c r="A631" s="49"/>
      <c r="B631" s="49" t="s">
        <v>85</v>
      </c>
      <c r="C631" s="49" t="s">
        <v>703</v>
      </c>
      <c r="D631" s="50" t="str">
        <f t="shared" si="45"/>
        <v>Said Hamrouni</v>
      </c>
      <c r="E631" s="50" t="str">
        <f t="shared" si="46"/>
        <v>juin</v>
      </c>
      <c r="F631" s="50">
        <f t="shared" si="47"/>
        <v>1</v>
      </c>
      <c r="G631" s="50">
        <f t="shared" si="48"/>
        <v>2026</v>
      </c>
      <c r="H631" s="51">
        <f>IF($C631="","",IFERROR(DATE(G631,VLOOKUP(E631,Paramètres!$K$11:$L$40,2,FALSE()),F631),"?"))</f>
        <v>46174</v>
      </c>
      <c r="I631" s="50">
        <f>IF(ISNUMBER(H631),IF(COUNTIFS($D$2:D631,D631,$H$2:H631,H631)=1,1,0),"")</f>
        <v>1</v>
      </c>
      <c r="J631" s="50">
        <f>IF(ISNUMBER(H631),IFERROR(INDEX(Calendrier!$C$2:$C$367,MATCH(H631,Calendrier!$A$2:$A$367,0)),0),"")</f>
        <v>1</v>
      </c>
      <c r="K631" s="50">
        <f t="shared" si="49"/>
        <v>1</v>
      </c>
      <c r="L631" s="50">
        <f>IF(D631="","",IF(COUNTIF(Paramètres!$A$11:$A$40,D631)&gt;0,1,0))</f>
        <v>1</v>
      </c>
    </row>
    <row r="632" spans="1:12" hidden="1" x14ac:dyDescent="0.25">
      <c r="A632" s="49"/>
      <c r="B632" s="49" t="s">
        <v>85</v>
      </c>
      <c r="C632" s="49" t="s">
        <v>704</v>
      </c>
      <c r="D632" s="50" t="str">
        <f t="shared" si="45"/>
        <v>Said Hamrouni</v>
      </c>
      <c r="E632" s="50" t="str">
        <f t="shared" si="46"/>
        <v>juin</v>
      </c>
      <c r="F632" s="50">
        <f t="shared" si="47"/>
        <v>3</v>
      </c>
      <c r="G632" s="50">
        <f t="shared" si="48"/>
        <v>2026</v>
      </c>
      <c r="H632" s="51">
        <f>IF($C632="","",IFERROR(DATE(G632,VLOOKUP(E632,Paramètres!$K$11:$L$40,2,FALSE()),F632),"?"))</f>
        <v>46176</v>
      </c>
      <c r="I632" s="50">
        <f>IF(ISNUMBER(H632),IF(COUNTIFS($D$2:D632,D632,$H$2:H632,H632)=1,1,0),"")</f>
        <v>1</v>
      </c>
      <c r="J632" s="50">
        <f>IF(ISNUMBER(H632),IFERROR(INDEX(Calendrier!$C$2:$C$367,MATCH(H632,Calendrier!$A$2:$A$367,0)),0),"")</f>
        <v>1</v>
      </c>
      <c r="K632" s="50">
        <f t="shared" si="49"/>
        <v>1</v>
      </c>
      <c r="L632" s="50">
        <f>IF(D632="","",IF(COUNTIF(Paramètres!$A$11:$A$40,D632)&gt;0,1,0))</f>
        <v>1</v>
      </c>
    </row>
    <row r="633" spans="1:12" hidden="1" x14ac:dyDescent="0.25">
      <c r="A633" s="49"/>
      <c r="B633" s="49" t="s">
        <v>85</v>
      </c>
      <c r="C633" s="49" t="s">
        <v>705</v>
      </c>
      <c r="D633" s="50" t="str">
        <f t="shared" si="45"/>
        <v>Said Hamrouni</v>
      </c>
      <c r="E633" s="50" t="str">
        <f t="shared" si="46"/>
        <v>juin</v>
      </c>
      <c r="F633" s="50">
        <f t="shared" si="47"/>
        <v>3</v>
      </c>
      <c r="G633" s="50">
        <f t="shared" si="48"/>
        <v>2026</v>
      </c>
      <c r="H633" s="51">
        <f>IF($C633="","",IFERROR(DATE(G633,VLOOKUP(E633,Paramètres!$K$11:$L$40,2,FALSE()),F633),"?"))</f>
        <v>46176</v>
      </c>
      <c r="I633" s="50">
        <f>IF(ISNUMBER(H633),IF(COUNTIFS($D$2:D633,D633,$H$2:H633,H633)=1,1,0),"")</f>
        <v>0</v>
      </c>
      <c r="J633" s="50">
        <f>IF(ISNUMBER(H633),IFERROR(INDEX(Calendrier!$C$2:$C$367,MATCH(H633,Calendrier!$A$2:$A$367,0)),0),"")</f>
        <v>1</v>
      </c>
      <c r="K633" s="50">
        <f t="shared" si="49"/>
        <v>0</v>
      </c>
      <c r="L633" s="50">
        <f>IF(D633="","",IF(COUNTIF(Paramètres!$A$11:$A$40,D633)&gt;0,1,0))</f>
        <v>1</v>
      </c>
    </row>
    <row r="634" spans="1:12" hidden="1" x14ac:dyDescent="0.25">
      <c r="A634" s="49"/>
      <c r="B634" s="49" t="s">
        <v>85</v>
      </c>
      <c r="C634" s="49" t="s">
        <v>706</v>
      </c>
      <c r="D634" s="50" t="str">
        <f t="shared" si="45"/>
        <v>Said Hamrouni</v>
      </c>
      <c r="E634" s="50" t="str">
        <f t="shared" si="46"/>
        <v>juin</v>
      </c>
      <c r="F634" s="50">
        <f t="shared" si="47"/>
        <v>8</v>
      </c>
      <c r="G634" s="50">
        <f t="shared" si="48"/>
        <v>2026</v>
      </c>
      <c r="H634" s="51">
        <f>IF($C634="","",IFERROR(DATE(G634,VLOOKUP(E634,Paramètres!$K$11:$L$40,2,FALSE()),F634),"?"))</f>
        <v>46181</v>
      </c>
      <c r="I634" s="50">
        <f>IF(ISNUMBER(H634),IF(COUNTIFS($D$2:D634,D634,$H$2:H634,H634)=1,1,0),"")</f>
        <v>1</v>
      </c>
      <c r="J634" s="50">
        <f>IF(ISNUMBER(H634),IFERROR(INDEX(Calendrier!$C$2:$C$367,MATCH(H634,Calendrier!$A$2:$A$367,0)),0),"")</f>
        <v>1</v>
      </c>
      <c r="K634" s="50">
        <f t="shared" si="49"/>
        <v>1</v>
      </c>
      <c r="L634" s="50">
        <f>IF(D634="","",IF(COUNTIF(Paramètres!$A$11:$A$40,D634)&gt;0,1,0))</f>
        <v>1</v>
      </c>
    </row>
    <row r="635" spans="1:12" hidden="1" x14ac:dyDescent="0.25">
      <c r="A635" s="49"/>
      <c r="B635" s="49" t="s">
        <v>85</v>
      </c>
      <c r="C635" s="49" t="s">
        <v>681</v>
      </c>
      <c r="D635" s="50" t="str">
        <f t="shared" si="45"/>
        <v>Said Hamrouni</v>
      </c>
      <c r="E635" s="50" t="str">
        <f t="shared" si="46"/>
        <v>juin</v>
      </c>
      <c r="F635" s="50">
        <f t="shared" si="47"/>
        <v>10</v>
      </c>
      <c r="G635" s="50">
        <f t="shared" si="48"/>
        <v>2026</v>
      </c>
      <c r="H635" s="51">
        <f>IF($C635="","",IFERROR(DATE(G635,VLOOKUP(E635,Paramètres!$K$11:$L$40,2,FALSE()),F635),"?"))</f>
        <v>46183</v>
      </c>
      <c r="I635" s="50">
        <f>IF(ISNUMBER(H635),IF(COUNTIFS($D$2:D635,D635,$H$2:H635,H635)=1,1,0),"")</f>
        <v>1</v>
      </c>
      <c r="J635" s="50">
        <f>IF(ISNUMBER(H635),IFERROR(INDEX(Calendrier!$C$2:$C$367,MATCH(H635,Calendrier!$A$2:$A$367,0)),0),"")</f>
        <v>1</v>
      </c>
      <c r="K635" s="50">
        <f t="shared" si="49"/>
        <v>1</v>
      </c>
      <c r="L635" s="50">
        <f>IF(D635="","",IF(COUNTIF(Paramètres!$A$11:$A$40,D635)&gt;0,1,0))</f>
        <v>1</v>
      </c>
    </row>
    <row r="636" spans="1:12" hidden="1" x14ac:dyDescent="0.25">
      <c r="A636" s="49"/>
      <c r="B636" s="49" t="s">
        <v>85</v>
      </c>
      <c r="C636" s="49" t="s">
        <v>707</v>
      </c>
      <c r="D636" s="50" t="str">
        <f t="shared" si="45"/>
        <v>Said Hamrouni</v>
      </c>
      <c r="E636" s="50" t="str">
        <f t="shared" si="46"/>
        <v>juin</v>
      </c>
      <c r="F636" s="50">
        <f t="shared" si="47"/>
        <v>10</v>
      </c>
      <c r="G636" s="50">
        <f t="shared" si="48"/>
        <v>2026</v>
      </c>
      <c r="H636" s="51">
        <f>IF($C636="","",IFERROR(DATE(G636,VLOOKUP(E636,Paramètres!$K$11:$L$40,2,FALSE()),F636),"?"))</f>
        <v>46183</v>
      </c>
      <c r="I636" s="50">
        <f>IF(ISNUMBER(H636),IF(COUNTIFS($D$2:D636,D636,$H$2:H636,H636)=1,1,0),"")</f>
        <v>0</v>
      </c>
      <c r="J636" s="50">
        <f>IF(ISNUMBER(H636),IFERROR(INDEX(Calendrier!$C$2:$C$367,MATCH(H636,Calendrier!$A$2:$A$367,0)),0),"")</f>
        <v>1</v>
      </c>
      <c r="K636" s="50">
        <f t="shared" si="49"/>
        <v>0</v>
      </c>
      <c r="L636" s="50">
        <f>IF(D636="","",IF(COUNTIF(Paramètres!$A$11:$A$40,D636)&gt;0,1,0))</f>
        <v>1</v>
      </c>
    </row>
    <row r="637" spans="1:12" hidden="1" x14ac:dyDescent="0.25">
      <c r="A637" s="49"/>
      <c r="B637" s="49" t="s">
        <v>85</v>
      </c>
      <c r="C637" s="49" t="s">
        <v>708</v>
      </c>
      <c r="D637" s="50" t="str">
        <f t="shared" si="45"/>
        <v>Said Hamrouni</v>
      </c>
      <c r="E637" s="50" t="str">
        <f t="shared" si="46"/>
        <v>juin</v>
      </c>
      <c r="F637" s="50">
        <f t="shared" si="47"/>
        <v>12</v>
      </c>
      <c r="G637" s="50">
        <f t="shared" si="48"/>
        <v>2026</v>
      </c>
      <c r="H637" s="51">
        <f>IF($C637="","",IFERROR(DATE(G637,VLOOKUP(E637,Paramètres!$K$11:$L$40,2,FALSE()),F637),"?"))</f>
        <v>46185</v>
      </c>
      <c r="I637" s="50">
        <f>IF(ISNUMBER(H637),IF(COUNTIFS($D$2:D637,D637,$H$2:H637,H637)=1,1,0),"")</f>
        <v>1</v>
      </c>
      <c r="J637" s="50">
        <f>IF(ISNUMBER(H637),IFERROR(INDEX(Calendrier!$C$2:$C$367,MATCH(H637,Calendrier!$A$2:$A$367,0)),0),"")</f>
        <v>1</v>
      </c>
      <c r="K637" s="50">
        <f t="shared" si="49"/>
        <v>1</v>
      </c>
      <c r="L637" s="50">
        <f>IF(D637="","",IF(COUNTIF(Paramètres!$A$11:$A$40,D637)&gt;0,1,0))</f>
        <v>1</v>
      </c>
    </row>
    <row r="638" spans="1:12" hidden="1" x14ac:dyDescent="0.25">
      <c r="A638" s="49"/>
      <c r="B638" s="49" t="s">
        <v>85</v>
      </c>
      <c r="C638" s="49" t="s">
        <v>709</v>
      </c>
      <c r="D638" s="50" t="str">
        <f t="shared" si="45"/>
        <v>Said Hamrouni</v>
      </c>
      <c r="E638" s="50" t="str">
        <f t="shared" si="46"/>
        <v>juin</v>
      </c>
      <c r="F638" s="50">
        <f t="shared" si="47"/>
        <v>16</v>
      </c>
      <c r="G638" s="50">
        <f t="shared" si="48"/>
        <v>2026</v>
      </c>
      <c r="H638" s="51">
        <f>IF($C638="","",IFERROR(DATE(G638,VLOOKUP(E638,Paramètres!$K$11:$L$40,2,FALSE()),F638),"?"))</f>
        <v>46189</v>
      </c>
      <c r="I638" s="50">
        <f>IF(ISNUMBER(H638),IF(COUNTIFS($D$2:D638,D638,$H$2:H638,H638)=1,1,0),"")</f>
        <v>1</v>
      </c>
      <c r="J638" s="50">
        <f>IF(ISNUMBER(H638),IFERROR(INDEX(Calendrier!$C$2:$C$367,MATCH(H638,Calendrier!$A$2:$A$367,0)),0),"")</f>
        <v>1</v>
      </c>
      <c r="K638" s="50">
        <f t="shared" si="49"/>
        <v>1</v>
      </c>
      <c r="L638" s="50">
        <f>IF(D638="","",IF(COUNTIF(Paramètres!$A$11:$A$40,D638)&gt;0,1,0))</f>
        <v>1</v>
      </c>
    </row>
    <row r="639" spans="1:12" hidden="1" x14ac:dyDescent="0.25">
      <c r="A639" s="49"/>
      <c r="B639" s="49" t="s">
        <v>85</v>
      </c>
      <c r="C639" s="49" t="s">
        <v>710</v>
      </c>
      <c r="D639" s="50" t="str">
        <f t="shared" si="45"/>
        <v>Said Hamrouni</v>
      </c>
      <c r="E639" s="50" t="str">
        <f t="shared" si="46"/>
        <v>juin</v>
      </c>
      <c r="F639" s="50">
        <f t="shared" si="47"/>
        <v>23</v>
      </c>
      <c r="G639" s="50">
        <f t="shared" si="48"/>
        <v>2026</v>
      </c>
      <c r="H639" s="51">
        <f>IF($C639="","",IFERROR(DATE(G639,VLOOKUP(E639,Paramètres!$K$11:$L$40,2,FALSE()),F639),"?"))</f>
        <v>46196</v>
      </c>
      <c r="I639" s="50">
        <f>IF(ISNUMBER(H639),IF(COUNTIFS($D$2:D639,D639,$H$2:H639,H639)=1,1,0),"")</f>
        <v>1</v>
      </c>
      <c r="J639" s="50">
        <f>IF(ISNUMBER(H639),IFERROR(INDEX(Calendrier!$C$2:$C$367,MATCH(H639,Calendrier!$A$2:$A$367,0)),0),"")</f>
        <v>1</v>
      </c>
      <c r="K639" s="50">
        <f t="shared" si="49"/>
        <v>1</v>
      </c>
      <c r="L639" s="50">
        <f>IF(D639="","",IF(COUNTIF(Paramètres!$A$11:$A$40,D639)&gt;0,1,0))</f>
        <v>1</v>
      </c>
    </row>
    <row r="640" spans="1:12" hidden="1" x14ac:dyDescent="0.25">
      <c r="A640" s="49"/>
      <c r="B640" s="49" t="s">
        <v>85</v>
      </c>
      <c r="C640" s="49" t="s">
        <v>711</v>
      </c>
      <c r="D640" s="50" t="str">
        <f t="shared" si="45"/>
        <v>Said Hamrouni</v>
      </c>
      <c r="E640" s="50" t="str">
        <f t="shared" si="46"/>
        <v>juin</v>
      </c>
      <c r="F640" s="50">
        <f t="shared" si="47"/>
        <v>24</v>
      </c>
      <c r="G640" s="50">
        <f t="shared" si="48"/>
        <v>2026</v>
      </c>
      <c r="H640" s="51">
        <f>IF($C640="","",IFERROR(DATE(G640,VLOOKUP(E640,Paramètres!$K$11:$L$40,2,FALSE()),F640),"?"))</f>
        <v>46197</v>
      </c>
      <c r="I640" s="50">
        <f>IF(ISNUMBER(H640),IF(COUNTIFS($D$2:D640,D640,$H$2:H640,H640)=1,1,0),"")</f>
        <v>1</v>
      </c>
      <c r="J640" s="50">
        <f>IF(ISNUMBER(H640),IFERROR(INDEX(Calendrier!$C$2:$C$367,MATCH(H640,Calendrier!$A$2:$A$367,0)),0),"")</f>
        <v>1</v>
      </c>
      <c r="K640" s="50">
        <f t="shared" si="49"/>
        <v>1</v>
      </c>
      <c r="L640" s="50">
        <f>IF(D640="","",IF(COUNTIF(Paramètres!$A$11:$A$40,D640)&gt;0,1,0))</f>
        <v>1</v>
      </c>
    </row>
    <row r="641" spans="1:12" hidden="1" x14ac:dyDescent="0.25">
      <c r="A641" s="49"/>
      <c r="B641" s="49" t="s">
        <v>45</v>
      </c>
      <c r="C641" s="49" t="s">
        <v>712</v>
      </c>
      <c r="D641" s="50" t="str">
        <f t="shared" si="45"/>
        <v>Ahlem Moussa</v>
      </c>
      <c r="E641" s="50" t="str">
        <f t="shared" si="46"/>
        <v>juin</v>
      </c>
      <c r="F641" s="50">
        <f t="shared" si="47"/>
        <v>1</v>
      </c>
      <c r="G641" s="50">
        <f t="shared" si="48"/>
        <v>2026</v>
      </c>
      <c r="H641" s="51">
        <f>IF($C641="","",IFERROR(DATE(G641,VLOOKUP(E641,Paramètres!$K$11:$L$40,2,FALSE()),F641),"?"))</f>
        <v>46174</v>
      </c>
      <c r="I641" s="50">
        <f>IF(ISNUMBER(H641),IF(COUNTIFS($D$2:D641,D641,$H$2:H641,H641)=1,1,0),"")</f>
        <v>1</v>
      </c>
      <c r="J641" s="50">
        <f>IF(ISNUMBER(H641),IFERROR(INDEX(Calendrier!$C$2:$C$367,MATCH(H641,Calendrier!$A$2:$A$367,0)),0),"")</f>
        <v>1</v>
      </c>
      <c r="K641" s="50">
        <f t="shared" si="49"/>
        <v>1</v>
      </c>
      <c r="L641" s="50">
        <f>IF(D641="","",IF(COUNTIF(Paramètres!$A$11:$A$40,D641)&gt;0,1,0))</f>
        <v>1</v>
      </c>
    </row>
    <row r="642" spans="1:12" hidden="1" x14ac:dyDescent="0.25">
      <c r="A642" s="49"/>
      <c r="B642" s="49" t="s">
        <v>45</v>
      </c>
      <c r="C642" s="49" t="s">
        <v>713</v>
      </c>
      <c r="D642" s="50" t="str">
        <f t="shared" ref="D642:D705" si="50">IF(B642="","",TRIM(B642))</f>
        <v>Ahlem Moussa</v>
      </c>
      <c r="E642" s="50" t="str">
        <f t="shared" ref="E642:E705" si="51">IF($C642="","",LEFT($C642,FIND(" ",$C642)-1))</f>
        <v>juin</v>
      </c>
      <c r="F642" s="50">
        <f t="shared" ref="F642:F705" si="52">IF($C642="","",IFERROR(VALUE(LEFT(MID($C642,FIND(" ",$C642)+1,20),FIND(" ",MID($C642,FIND(" ",$C642)+1,20))-1)),"?"))</f>
        <v>3</v>
      </c>
      <c r="G642" s="50">
        <f t="shared" ref="G642:G705" si="53">IF($C642="","",IFERROR(VALUE(MID(MID($C642,FIND(" ",$C642)+1,20),FIND(" ",MID($C642,FIND(" ",$C642)+1,20))+1,4)),"?"))</f>
        <v>2026</v>
      </c>
      <c r="H642" s="51">
        <f>IF($C642="","",IFERROR(DATE(G642,VLOOKUP(E642,Paramètres!$K$11:$L$40,2,FALSE()),F642),"?"))</f>
        <v>46176</v>
      </c>
      <c r="I642" s="50">
        <f>IF(ISNUMBER(H642),IF(COUNTIFS($D$2:D642,D642,$H$2:H642,H642)=1,1,0),"")</f>
        <v>1</v>
      </c>
      <c r="J642" s="50">
        <f>IF(ISNUMBER(H642),IFERROR(INDEX(Calendrier!$C$2:$C$367,MATCH(H642,Calendrier!$A$2:$A$367,0)),0),"")</f>
        <v>1</v>
      </c>
      <c r="K642" s="50">
        <f t="shared" ref="K642:K705" si="54">IF(ISNUMBER(H642),I642*J642,"")</f>
        <v>1</v>
      </c>
      <c r="L642" s="50">
        <f>IF(D642="","",IF(COUNTIF(Paramètres!$A$11:$A$40,D642)&gt;0,1,0))</f>
        <v>1</v>
      </c>
    </row>
    <row r="643" spans="1:12" hidden="1" x14ac:dyDescent="0.25">
      <c r="A643" s="49"/>
      <c r="B643" s="49" t="s">
        <v>45</v>
      </c>
      <c r="C643" s="49" t="s">
        <v>714</v>
      </c>
      <c r="D643" s="50" t="str">
        <f t="shared" si="50"/>
        <v>Ahlem Moussa</v>
      </c>
      <c r="E643" s="50" t="str">
        <f t="shared" si="51"/>
        <v>juin</v>
      </c>
      <c r="F643" s="50">
        <f t="shared" si="52"/>
        <v>8</v>
      </c>
      <c r="G643" s="50">
        <f t="shared" si="53"/>
        <v>2026</v>
      </c>
      <c r="H643" s="51">
        <f>IF($C643="","",IFERROR(DATE(G643,VLOOKUP(E643,Paramètres!$K$11:$L$40,2,FALSE()),F643),"?"))</f>
        <v>46181</v>
      </c>
      <c r="I643" s="50">
        <f>IF(ISNUMBER(H643),IF(COUNTIFS($D$2:D643,D643,$H$2:H643,H643)=1,1,0),"")</f>
        <v>1</v>
      </c>
      <c r="J643" s="50">
        <f>IF(ISNUMBER(H643),IFERROR(INDEX(Calendrier!$C$2:$C$367,MATCH(H643,Calendrier!$A$2:$A$367,0)),0),"")</f>
        <v>1</v>
      </c>
      <c r="K643" s="50">
        <f t="shared" si="54"/>
        <v>1</v>
      </c>
      <c r="L643" s="50">
        <f>IF(D643="","",IF(COUNTIF(Paramètres!$A$11:$A$40,D643)&gt;0,1,0))</f>
        <v>1</v>
      </c>
    </row>
    <row r="644" spans="1:12" hidden="1" x14ac:dyDescent="0.25">
      <c r="A644" s="49"/>
      <c r="B644" s="49" t="s">
        <v>45</v>
      </c>
      <c r="C644" s="49" t="s">
        <v>715</v>
      </c>
      <c r="D644" s="50" t="str">
        <f t="shared" si="50"/>
        <v>Ahlem Moussa</v>
      </c>
      <c r="E644" s="50" t="str">
        <f t="shared" si="51"/>
        <v>juin</v>
      </c>
      <c r="F644" s="50">
        <f t="shared" si="52"/>
        <v>10</v>
      </c>
      <c r="G644" s="50">
        <f t="shared" si="53"/>
        <v>2026</v>
      </c>
      <c r="H644" s="51">
        <f>IF($C644="","",IFERROR(DATE(G644,VLOOKUP(E644,Paramètres!$K$11:$L$40,2,FALSE()),F644),"?"))</f>
        <v>46183</v>
      </c>
      <c r="I644" s="50">
        <f>IF(ISNUMBER(H644),IF(COUNTIFS($D$2:D644,D644,$H$2:H644,H644)=1,1,0),"")</f>
        <v>1</v>
      </c>
      <c r="J644" s="50">
        <f>IF(ISNUMBER(H644),IFERROR(INDEX(Calendrier!$C$2:$C$367,MATCH(H644,Calendrier!$A$2:$A$367,0)),0),"")</f>
        <v>1</v>
      </c>
      <c r="K644" s="50">
        <f t="shared" si="54"/>
        <v>1</v>
      </c>
      <c r="L644" s="50">
        <f>IF(D644="","",IF(COUNTIF(Paramètres!$A$11:$A$40,D644)&gt;0,1,0))</f>
        <v>1</v>
      </c>
    </row>
    <row r="645" spans="1:12" hidden="1" x14ac:dyDescent="0.25">
      <c r="A645" s="49"/>
      <c r="B645" s="49" t="s">
        <v>45</v>
      </c>
      <c r="C645" s="49" t="s">
        <v>716</v>
      </c>
      <c r="D645" s="50" t="str">
        <f t="shared" si="50"/>
        <v>Ahlem Moussa</v>
      </c>
      <c r="E645" s="50" t="str">
        <f t="shared" si="51"/>
        <v>juin</v>
      </c>
      <c r="F645" s="50">
        <f t="shared" si="52"/>
        <v>12</v>
      </c>
      <c r="G645" s="50">
        <f t="shared" si="53"/>
        <v>2026</v>
      </c>
      <c r="H645" s="51">
        <f>IF($C645="","",IFERROR(DATE(G645,VLOOKUP(E645,Paramètres!$K$11:$L$40,2,FALSE()),F645),"?"))</f>
        <v>46185</v>
      </c>
      <c r="I645" s="50">
        <f>IF(ISNUMBER(H645),IF(COUNTIFS($D$2:D645,D645,$H$2:H645,H645)=1,1,0),"")</f>
        <v>1</v>
      </c>
      <c r="J645" s="50">
        <f>IF(ISNUMBER(H645),IFERROR(INDEX(Calendrier!$C$2:$C$367,MATCH(H645,Calendrier!$A$2:$A$367,0)),0),"")</f>
        <v>1</v>
      </c>
      <c r="K645" s="50">
        <f t="shared" si="54"/>
        <v>1</v>
      </c>
      <c r="L645" s="50">
        <f>IF(D645="","",IF(COUNTIF(Paramètres!$A$11:$A$40,D645)&gt;0,1,0))</f>
        <v>1</v>
      </c>
    </row>
    <row r="646" spans="1:12" hidden="1" x14ac:dyDescent="0.25">
      <c r="A646" s="49"/>
      <c r="B646" s="49" t="s">
        <v>45</v>
      </c>
      <c r="C646" s="49" t="s">
        <v>717</v>
      </c>
      <c r="D646" s="50" t="str">
        <f t="shared" si="50"/>
        <v>Ahlem Moussa</v>
      </c>
      <c r="E646" s="50" t="str">
        <f t="shared" si="51"/>
        <v>juin</v>
      </c>
      <c r="F646" s="50">
        <f t="shared" si="52"/>
        <v>16</v>
      </c>
      <c r="G646" s="50">
        <f t="shared" si="53"/>
        <v>2026</v>
      </c>
      <c r="H646" s="51">
        <f>IF($C646="","",IFERROR(DATE(G646,VLOOKUP(E646,Paramètres!$K$11:$L$40,2,FALSE()),F646),"?"))</f>
        <v>46189</v>
      </c>
      <c r="I646" s="50">
        <f>IF(ISNUMBER(H646),IF(COUNTIFS($D$2:D646,D646,$H$2:H646,H646)=1,1,0),"")</f>
        <v>1</v>
      </c>
      <c r="J646" s="50">
        <f>IF(ISNUMBER(H646),IFERROR(INDEX(Calendrier!$C$2:$C$367,MATCH(H646,Calendrier!$A$2:$A$367,0)),0),"")</f>
        <v>1</v>
      </c>
      <c r="K646" s="50">
        <f t="shared" si="54"/>
        <v>1</v>
      </c>
      <c r="L646" s="50">
        <f>IF(D646="","",IF(COUNTIF(Paramètres!$A$11:$A$40,D646)&gt;0,1,0))</f>
        <v>1</v>
      </c>
    </row>
    <row r="647" spans="1:12" hidden="1" x14ac:dyDescent="0.25">
      <c r="A647" s="49"/>
      <c r="B647" s="49" t="s">
        <v>45</v>
      </c>
      <c r="C647" s="49" t="s">
        <v>718</v>
      </c>
      <c r="D647" s="50" t="str">
        <f t="shared" si="50"/>
        <v>Ahlem Moussa</v>
      </c>
      <c r="E647" s="50" t="str">
        <f t="shared" si="51"/>
        <v>juin</v>
      </c>
      <c r="F647" s="50">
        <f t="shared" si="52"/>
        <v>19</v>
      </c>
      <c r="G647" s="50">
        <f t="shared" si="53"/>
        <v>2026</v>
      </c>
      <c r="H647" s="51">
        <f>IF($C647="","",IFERROR(DATE(G647,VLOOKUP(E647,Paramètres!$K$11:$L$40,2,FALSE()),F647),"?"))</f>
        <v>46192</v>
      </c>
      <c r="I647" s="50">
        <f>IF(ISNUMBER(H647),IF(COUNTIFS($D$2:D647,D647,$H$2:H647,H647)=1,1,0),"")</f>
        <v>1</v>
      </c>
      <c r="J647" s="50">
        <f>IF(ISNUMBER(H647),IFERROR(INDEX(Calendrier!$C$2:$C$367,MATCH(H647,Calendrier!$A$2:$A$367,0)),0),"")</f>
        <v>1</v>
      </c>
      <c r="K647" s="50">
        <f t="shared" si="54"/>
        <v>1</v>
      </c>
      <c r="L647" s="50">
        <f>IF(D647="","",IF(COUNTIF(Paramètres!$A$11:$A$40,D647)&gt;0,1,0))</f>
        <v>1</v>
      </c>
    </row>
    <row r="648" spans="1:12" hidden="1" x14ac:dyDescent="0.25">
      <c r="A648" s="49"/>
      <c r="B648" s="49" t="s">
        <v>45</v>
      </c>
      <c r="C648" s="49" t="s">
        <v>719</v>
      </c>
      <c r="D648" s="50" t="str">
        <f t="shared" si="50"/>
        <v>Ahlem Moussa</v>
      </c>
      <c r="E648" s="50" t="str">
        <f t="shared" si="51"/>
        <v>juin</v>
      </c>
      <c r="F648" s="50">
        <f t="shared" si="52"/>
        <v>22</v>
      </c>
      <c r="G648" s="50">
        <f t="shared" si="53"/>
        <v>2026</v>
      </c>
      <c r="H648" s="51">
        <f>IF($C648="","",IFERROR(DATE(G648,VLOOKUP(E648,Paramètres!$K$11:$L$40,2,FALSE()),F648),"?"))</f>
        <v>46195</v>
      </c>
      <c r="I648" s="50">
        <f>IF(ISNUMBER(H648),IF(COUNTIFS($D$2:D648,D648,$H$2:H648,H648)=1,1,0),"")</f>
        <v>1</v>
      </c>
      <c r="J648" s="50">
        <f>IF(ISNUMBER(H648),IFERROR(INDEX(Calendrier!$C$2:$C$367,MATCH(H648,Calendrier!$A$2:$A$367,0)),0),"")</f>
        <v>1</v>
      </c>
      <c r="K648" s="50">
        <f t="shared" si="54"/>
        <v>1</v>
      </c>
      <c r="L648" s="50">
        <f>IF(D648="","",IF(COUNTIF(Paramètres!$A$11:$A$40,D648)&gt;0,1,0))</f>
        <v>1</v>
      </c>
    </row>
    <row r="649" spans="1:12" hidden="1" x14ac:dyDescent="0.25">
      <c r="A649" s="49"/>
      <c r="B649" s="49" t="s">
        <v>45</v>
      </c>
      <c r="C649" s="49" t="s">
        <v>720</v>
      </c>
      <c r="D649" s="50" t="str">
        <f t="shared" si="50"/>
        <v>Ahlem Moussa</v>
      </c>
      <c r="E649" s="50" t="str">
        <f t="shared" si="51"/>
        <v>juin</v>
      </c>
      <c r="F649" s="50">
        <f t="shared" si="52"/>
        <v>22</v>
      </c>
      <c r="G649" s="50">
        <f t="shared" si="53"/>
        <v>2026</v>
      </c>
      <c r="H649" s="51">
        <f>IF($C649="","",IFERROR(DATE(G649,VLOOKUP(E649,Paramètres!$K$11:$L$40,2,FALSE()),F649),"?"))</f>
        <v>46195</v>
      </c>
      <c r="I649" s="50">
        <f>IF(ISNUMBER(H649),IF(COUNTIFS($D$2:D649,D649,$H$2:H649,H649)=1,1,0),"")</f>
        <v>0</v>
      </c>
      <c r="J649" s="50">
        <f>IF(ISNUMBER(H649),IFERROR(INDEX(Calendrier!$C$2:$C$367,MATCH(H649,Calendrier!$A$2:$A$367,0)),0),"")</f>
        <v>1</v>
      </c>
      <c r="K649" s="50">
        <f t="shared" si="54"/>
        <v>0</v>
      </c>
      <c r="L649" s="50">
        <f>IF(D649="","",IF(COUNTIF(Paramètres!$A$11:$A$40,D649)&gt;0,1,0))</f>
        <v>1</v>
      </c>
    </row>
    <row r="650" spans="1:12" hidden="1" x14ac:dyDescent="0.25">
      <c r="A650" s="49"/>
      <c r="B650" s="49" t="s">
        <v>45</v>
      </c>
      <c r="C650" s="49" t="s">
        <v>721</v>
      </c>
      <c r="D650" s="50" t="str">
        <f t="shared" si="50"/>
        <v>Ahlem Moussa</v>
      </c>
      <c r="E650" s="50" t="str">
        <f t="shared" si="51"/>
        <v>juin</v>
      </c>
      <c r="F650" s="50">
        <f t="shared" si="52"/>
        <v>22</v>
      </c>
      <c r="G650" s="50">
        <f t="shared" si="53"/>
        <v>2026</v>
      </c>
      <c r="H650" s="51">
        <f>IF($C650="","",IFERROR(DATE(G650,VLOOKUP(E650,Paramètres!$K$11:$L$40,2,FALSE()),F650),"?"))</f>
        <v>46195</v>
      </c>
      <c r="I650" s="50">
        <f>IF(ISNUMBER(H650),IF(COUNTIFS($D$2:D650,D650,$H$2:H650,H650)=1,1,0),"")</f>
        <v>0</v>
      </c>
      <c r="J650" s="50">
        <f>IF(ISNUMBER(H650),IFERROR(INDEX(Calendrier!$C$2:$C$367,MATCH(H650,Calendrier!$A$2:$A$367,0)),0),"")</f>
        <v>1</v>
      </c>
      <c r="K650" s="50">
        <f t="shared" si="54"/>
        <v>0</v>
      </c>
      <c r="L650" s="50">
        <f>IF(D650="","",IF(COUNTIF(Paramètres!$A$11:$A$40,D650)&gt;0,1,0))</f>
        <v>1</v>
      </c>
    </row>
    <row r="651" spans="1:12" hidden="1" x14ac:dyDescent="0.25">
      <c r="A651" s="49"/>
      <c r="B651" s="49" t="s">
        <v>45</v>
      </c>
      <c r="C651" s="49" t="s">
        <v>722</v>
      </c>
      <c r="D651" s="50" t="str">
        <f t="shared" si="50"/>
        <v>Ahlem Moussa</v>
      </c>
      <c r="E651" s="50" t="str">
        <f t="shared" si="51"/>
        <v>juin</v>
      </c>
      <c r="F651" s="50">
        <f t="shared" si="52"/>
        <v>22</v>
      </c>
      <c r="G651" s="50">
        <f t="shared" si="53"/>
        <v>2026</v>
      </c>
      <c r="H651" s="51">
        <f>IF($C651="","",IFERROR(DATE(G651,VLOOKUP(E651,Paramètres!$K$11:$L$40,2,FALSE()),F651),"?"))</f>
        <v>46195</v>
      </c>
      <c r="I651" s="50">
        <f>IF(ISNUMBER(H651),IF(COUNTIFS($D$2:D651,D651,$H$2:H651,H651)=1,1,0),"")</f>
        <v>0</v>
      </c>
      <c r="J651" s="50">
        <f>IF(ISNUMBER(H651),IFERROR(INDEX(Calendrier!$C$2:$C$367,MATCH(H651,Calendrier!$A$2:$A$367,0)),0),"")</f>
        <v>1</v>
      </c>
      <c r="K651" s="50">
        <f t="shared" si="54"/>
        <v>0</v>
      </c>
      <c r="L651" s="50">
        <f>IF(D651="","",IF(COUNTIF(Paramètres!$A$11:$A$40,D651)&gt;0,1,0))</f>
        <v>1</v>
      </c>
    </row>
    <row r="652" spans="1:12" hidden="1" x14ac:dyDescent="0.25">
      <c r="A652" s="49"/>
      <c r="B652" s="49" t="s">
        <v>45</v>
      </c>
      <c r="C652" s="49" t="s">
        <v>723</v>
      </c>
      <c r="D652" s="50" t="str">
        <f t="shared" si="50"/>
        <v>Ahlem Moussa</v>
      </c>
      <c r="E652" s="50" t="str">
        <f t="shared" si="51"/>
        <v>juin</v>
      </c>
      <c r="F652" s="50">
        <f t="shared" si="52"/>
        <v>22</v>
      </c>
      <c r="G652" s="50">
        <f t="shared" si="53"/>
        <v>2026</v>
      </c>
      <c r="H652" s="51">
        <f>IF($C652="","",IFERROR(DATE(G652,VLOOKUP(E652,Paramètres!$K$11:$L$40,2,FALSE()),F652),"?"))</f>
        <v>46195</v>
      </c>
      <c r="I652" s="50">
        <f>IF(ISNUMBER(H652),IF(COUNTIFS($D$2:D652,D652,$H$2:H652,H652)=1,1,0),"")</f>
        <v>0</v>
      </c>
      <c r="J652" s="50">
        <f>IF(ISNUMBER(H652),IFERROR(INDEX(Calendrier!$C$2:$C$367,MATCH(H652,Calendrier!$A$2:$A$367,0)),0),"")</f>
        <v>1</v>
      </c>
      <c r="K652" s="50">
        <f t="shared" si="54"/>
        <v>0</v>
      </c>
      <c r="L652" s="50">
        <f>IF(D652="","",IF(COUNTIF(Paramètres!$A$11:$A$40,D652)&gt;0,1,0))</f>
        <v>1</v>
      </c>
    </row>
    <row r="653" spans="1:12" hidden="1" x14ac:dyDescent="0.25">
      <c r="A653" s="49"/>
      <c r="B653" s="49" t="s">
        <v>45</v>
      </c>
      <c r="C653" s="49" t="s">
        <v>724</v>
      </c>
      <c r="D653" s="50" t="str">
        <f t="shared" si="50"/>
        <v>Ahlem Moussa</v>
      </c>
      <c r="E653" s="50" t="str">
        <f t="shared" si="51"/>
        <v>juin</v>
      </c>
      <c r="F653" s="50">
        <f t="shared" si="52"/>
        <v>23</v>
      </c>
      <c r="G653" s="50">
        <f t="shared" si="53"/>
        <v>2026</v>
      </c>
      <c r="H653" s="51">
        <f>IF($C653="","",IFERROR(DATE(G653,VLOOKUP(E653,Paramètres!$K$11:$L$40,2,FALSE()),F653),"?"))</f>
        <v>46196</v>
      </c>
      <c r="I653" s="50">
        <f>IF(ISNUMBER(H653),IF(COUNTIFS($D$2:D653,D653,$H$2:H653,H653)=1,1,0),"")</f>
        <v>1</v>
      </c>
      <c r="J653" s="50">
        <f>IF(ISNUMBER(H653),IFERROR(INDEX(Calendrier!$C$2:$C$367,MATCH(H653,Calendrier!$A$2:$A$367,0)),0),"")</f>
        <v>1</v>
      </c>
      <c r="K653" s="50">
        <f t="shared" si="54"/>
        <v>1</v>
      </c>
      <c r="L653" s="50">
        <f>IF(D653="","",IF(COUNTIF(Paramètres!$A$11:$A$40,D653)&gt;0,1,0))</f>
        <v>1</v>
      </c>
    </row>
    <row r="654" spans="1:12" hidden="1" x14ac:dyDescent="0.25">
      <c r="A654" s="49"/>
      <c r="B654" s="49" t="s">
        <v>45</v>
      </c>
      <c r="C654" s="49" t="s">
        <v>725</v>
      </c>
      <c r="D654" s="50" t="str">
        <f t="shared" si="50"/>
        <v>Ahlem Moussa</v>
      </c>
      <c r="E654" s="50" t="str">
        <f t="shared" si="51"/>
        <v>juin</v>
      </c>
      <c r="F654" s="50">
        <f t="shared" si="52"/>
        <v>26</v>
      </c>
      <c r="G654" s="50">
        <f t="shared" si="53"/>
        <v>2026</v>
      </c>
      <c r="H654" s="51">
        <f>IF($C654="","",IFERROR(DATE(G654,VLOOKUP(E654,Paramètres!$K$11:$L$40,2,FALSE()),F654),"?"))</f>
        <v>46199</v>
      </c>
      <c r="I654" s="50">
        <f>IF(ISNUMBER(H654),IF(COUNTIFS($D$2:D654,D654,$H$2:H654,H654)=1,1,0),"")</f>
        <v>1</v>
      </c>
      <c r="J654" s="50">
        <f>IF(ISNUMBER(H654),IFERROR(INDEX(Calendrier!$C$2:$C$367,MATCH(H654,Calendrier!$A$2:$A$367,0)),0),"")</f>
        <v>1</v>
      </c>
      <c r="K654" s="50">
        <f t="shared" si="54"/>
        <v>1</v>
      </c>
      <c r="L654" s="50">
        <f>IF(D654="","",IF(COUNTIF(Paramètres!$A$11:$A$40,D654)&gt;0,1,0))</f>
        <v>1</v>
      </c>
    </row>
    <row r="655" spans="1:12" hidden="1" x14ac:dyDescent="0.25">
      <c r="A655" s="49"/>
      <c r="B655" s="49" t="s">
        <v>45</v>
      </c>
      <c r="C655" s="49" t="s">
        <v>726</v>
      </c>
      <c r="D655" s="50" t="str">
        <f t="shared" si="50"/>
        <v>Ahlem Moussa</v>
      </c>
      <c r="E655" s="50" t="str">
        <f t="shared" si="51"/>
        <v>juin</v>
      </c>
      <c r="F655" s="50">
        <f t="shared" si="52"/>
        <v>29</v>
      </c>
      <c r="G655" s="50">
        <f t="shared" si="53"/>
        <v>2026</v>
      </c>
      <c r="H655" s="51">
        <f>IF($C655="","",IFERROR(DATE(G655,VLOOKUP(E655,Paramètres!$K$11:$L$40,2,FALSE()),F655),"?"))</f>
        <v>46202</v>
      </c>
      <c r="I655" s="50">
        <f>IF(ISNUMBER(H655),IF(COUNTIFS($D$2:D655,D655,$H$2:H655,H655)=1,1,0),"")</f>
        <v>1</v>
      </c>
      <c r="J655" s="50">
        <f>IF(ISNUMBER(H655),IFERROR(INDEX(Calendrier!$C$2:$C$367,MATCH(H655,Calendrier!$A$2:$A$367,0)),0),"")</f>
        <v>1</v>
      </c>
      <c r="K655" s="50">
        <f t="shared" si="54"/>
        <v>1</v>
      </c>
      <c r="L655" s="50">
        <f>IF(D655="","",IF(COUNTIF(Paramètres!$A$11:$A$40,D655)&gt;0,1,0))</f>
        <v>1</v>
      </c>
    </row>
    <row r="656" spans="1:12" hidden="1" x14ac:dyDescent="0.25">
      <c r="A656" s="49"/>
      <c r="B656" s="49" t="s">
        <v>71</v>
      </c>
      <c r="C656" s="49" t="s">
        <v>727</v>
      </c>
      <c r="D656" s="50" t="str">
        <f t="shared" si="50"/>
        <v>Mohamed Sniha</v>
      </c>
      <c r="E656" s="50" t="str">
        <f t="shared" si="51"/>
        <v>juin</v>
      </c>
      <c r="F656" s="50">
        <f t="shared" si="52"/>
        <v>15</v>
      </c>
      <c r="G656" s="50">
        <f t="shared" si="53"/>
        <v>2026</v>
      </c>
      <c r="H656" s="51">
        <f>IF($C656="","",IFERROR(DATE(G656,VLOOKUP(E656,Paramètres!$K$11:$L$40,2,FALSE()),F656),"?"))</f>
        <v>46188</v>
      </c>
      <c r="I656" s="50">
        <f>IF(ISNUMBER(H656),IF(COUNTIFS($D$2:D656,D656,$H$2:H656,H656)=1,1,0),"")</f>
        <v>1</v>
      </c>
      <c r="J656" s="50">
        <f>IF(ISNUMBER(H656),IFERROR(INDEX(Calendrier!$C$2:$C$367,MATCH(H656,Calendrier!$A$2:$A$367,0)),0),"")</f>
        <v>1</v>
      </c>
      <c r="K656" s="50">
        <f t="shared" si="54"/>
        <v>1</v>
      </c>
      <c r="L656" s="50">
        <f>IF(D656="","",IF(COUNTIF(Paramètres!$A$11:$A$40,D656)&gt;0,1,0))</f>
        <v>1</v>
      </c>
    </row>
    <row r="657" spans="1:12" hidden="1" x14ac:dyDescent="0.25">
      <c r="A657" s="49"/>
      <c r="B657" s="49" t="s">
        <v>73</v>
      </c>
      <c r="C657" s="49" t="s">
        <v>728</v>
      </c>
      <c r="D657" s="50" t="str">
        <f t="shared" si="50"/>
        <v>Mourad Ayari</v>
      </c>
      <c r="E657" s="50" t="str">
        <f t="shared" si="51"/>
        <v>juin</v>
      </c>
      <c r="F657" s="50">
        <f t="shared" si="52"/>
        <v>2</v>
      </c>
      <c r="G657" s="50">
        <f t="shared" si="53"/>
        <v>2026</v>
      </c>
      <c r="H657" s="51">
        <f>IF($C657="","",IFERROR(DATE(G657,VLOOKUP(E657,Paramètres!$K$11:$L$40,2,FALSE()),F657),"?"))</f>
        <v>46175</v>
      </c>
      <c r="I657" s="50">
        <f>IF(ISNUMBER(H657),IF(COUNTIFS($D$2:D657,D657,$H$2:H657,H657)=1,1,0),"")</f>
        <v>1</v>
      </c>
      <c r="J657" s="50">
        <f>IF(ISNUMBER(H657),IFERROR(INDEX(Calendrier!$C$2:$C$367,MATCH(H657,Calendrier!$A$2:$A$367,0)),0),"")</f>
        <v>1</v>
      </c>
      <c r="K657" s="50">
        <f t="shared" si="54"/>
        <v>1</v>
      </c>
      <c r="L657" s="50">
        <f>IF(D657="","",IF(COUNTIF(Paramètres!$A$11:$A$40,D657)&gt;0,1,0))</f>
        <v>1</v>
      </c>
    </row>
    <row r="658" spans="1:12" hidden="1" x14ac:dyDescent="0.25">
      <c r="A658" s="49"/>
      <c r="B658" s="49" t="s">
        <v>73</v>
      </c>
      <c r="C658" s="49" t="s">
        <v>729</v>
      </c>
      <c r="D658" s="50" t="str">
        <f t="shared" si="50"/>
        <v>Mourad Ayari</v>
      </c>
      <c r="E658" s="50" t="str">
        <f t="shared" si="51"/>
        <v>juin</v>
      </c>
      <c r="F658" s="50">
        <f t="shared" si="52"/>
        <v>4</v>
      </c>
      <c r="G658" s="50">
        <f t="shared" si="53"/>
        <v>2026</v>
      </c>
      <c r="H658" s="51">
        <f>IF($C658="","",IFERROR(DATE(G658,VLOOKUP(E658,Paramètres!$K$11:$L$40,2,FALSE()),F658),"?"))</f>
        <v>46177</v>
      </c>
      <c r="I658" s="50">
        <f>IF(ISNUMBER(H658),IF(COUNTIFS($D$2:D658,D658,$H$2:H658,H658)=1,1,0),"")</f>
        <v>1</v>
      </c>
      <c r="J658" s="50">
        <f>IF(ISNUMBER(H658),IFERROR(INDEX(Calendrier!$C$2:$C$367,MATCH(H658,Calendrier!$A$2:$A$367,0)),0),"")</f>
        <v>1</v>
      </c>
      <c r="K658" s="50">
        <f t="shared" si="54"/>
        <v>1</v>
      </c>
      <c r="L658" s="50">
        <f>IF(D658="","",IF(COUNTIF(Paramètres!$A$11:$A$40,D658)&gt;0,1,0))</f>
        <v>1</v>
      </c>
    </row>
    <row r="659" spans="1:12" hidden="1" x14ac:dyDescent="0.25">
      <c r="A659" s="49"/>
      <c r="B659" s="49" t="s">
        <v>73</v>
      </c>
      <c r="C659" s="49" t="s">
        <v>730</v>
      </c>
      <c r="D659" s="50" t="str">
        <f t="shared" si="50"/>
        <v>Mourad Ayari</v>
      </c>
      <c r="E659" s="50" t="str">
        <f t="shared" si="51"/>
        <v>juin</v>
      </c>
      <c r="F659" s="50">
        <f t="shared" si="52"/>
        <v>16</v>
      </c>
      <c r="G659" s="50">
        <f t="shared" si="53"/>
        <v>2026</v>
      </c>
      <c r="H659" s="51">
        <f>IF($C659="","",IFERROR(DATE(G659,VLOOKUP(E659,Paramètres!$K$11:$L$40,2,FALSE()),F659),"?"))</f>
        <v>46189</v>
      </c>
      <c r="I659" s="50">
        <f>IF(ISNUMBER(H659),IF(COUNTIFS($D$2:D659,D659,$H$2:H659,H659)=1,1,0),"")</f>
        <v>1</v>
      </c>
      <c r="J659" s="50">
        <f>IF(ISNUMBER(H659),IFERROR(INDEX(Calendrier!$C$2:$C$367,MATCH(H659,Calendrier!$A$2:$A$367,0)),0),"")</f>
        <v>1</v>
      </c>
      <c r="K659" s="50">
        <f t="shared" si="54"/>
        <v>1</v>
      </c>
      <c r="L659" s="50">
        <f>IF(D659="","",IF(COUNTIF(Paramètres!$A$11:$A$40,D659)&gt;0,1,0))</f>
        <v>1</v>
      </c>
    </row>
    <row r="660" spans="1:12" hidden="1" x14ac:dyDescent="0.25">
      <c r="A660" s="49"/>
      <c r="B660" s="49" t="s">
        <v>73</v>
      </c>
      <c r="C660" s="49" t="s">
        <v>731</v>
      </c>
      <c r="D660" s="50" t="str">
        <f t="shared" si="50"/>
        <v>Mourad Ayari</v>
      </c>
      <c r="E660" s="50" t="str">
        <f t="shared" si="51"/>
        <v>juin</v>
      </c>
      <c r="F660" s="50">
        <f t="shared" si="52"/>
        <v>18</v>
      </c>
      <c r="G660" s="50">
        <f t="shared" si="53"/>
        <v>2026</v>
      </c>
      <c r="H660" s="51">
        <f>IF($C660="","",IFERROR(DATE(G660,VLOOKUP(E660,Paramètres!$K$11:$L$40,2,FALSE()),F660),"?"))</f>
        <v>46191</v>
      </c>
      <c r="I660" s="50">
        <f>IF(ISNUMBER(H660),IF(COUNTIFS($D$2:D660,D660,$H$2:H660,H660)=1,1,0),"")</f>
        <v>1</v>
      </c>
      <c r="J660" s="50">
        <f>IF(ISNUMBER(H660),IFERROR(INDEX(Calendrier!$C$2:$C$367,MATCH(H660,Calendrier!$A$2:$A$367,0)),0),"")</f>
        <v>1</v>
      </c>
      <c r="K660" s="50">
        <f t="shared" si="54"/>
        <v>1</v>
      </c>
      <c r="L660" s="50">
        <f>IF(D660="","",IF(COUNTIF(Paramètres!$A$11:$A$40,D660)&gt;0,1,0))</f>
        <v>1</v>
      </c>
    </row>
    <row r="661" spans="1:12" hidden="1" x14ac:dyDescent="0.25">
      <c r="A661" s="49"/>
      <c r="B661" s="49" t="s">
        <v>73</v>
      </c>
      <c r="C661" s="49" t="s">
        <v>732</v>
      </c>
      <c r="D661" s="50" t="str">
        <f t="shared" si="50"/>
        <v>Mourad Ayari</v>
      </c>
      <c r="E661" s="50" t="str">
        <f t="shared" si="51"/>
        <v>juin</v>
      </c>
      <c r="F661" s="50">
        <f t="shared" si="52"/>
        <v>24</v>
      </c>
      <c r="G661" s="50">
        <f t="shared" si="53"/>
        <v>2026</v>
      </c>
      <c r="H661" s="51">
        <f>IF($C661="","",IFERROR(DATE(G661,VLOOKUP(E661,Paramètres!$K$11:$L$40,2,FALSE()),F661),"?"))</f>
        <v>46197</v>
      </c>
      <c r="I661" s="50">
        <f>IF(ISNUMBER(H661),IF(COUNTIFS($D$2:D661,D661,$H$2:H661,H661)=1,1,0),"")</f>
        <v>1</v>
      </c>
      <c r="J661" s="50">
        <f>IF(ISNUMBER(H661),IFERROR(INDEX(Calendrier!$C$2:$C$367,MATCH(H661,Calendrier!$A$2:$A$367,0)),0),"")</f>
        <v>1</v>
      </c>
      <c r="K661" s="50">
        <f t="shared" si="54"/>
        <v>1</v>
      </c>
      <c r="L661" s="50">
        <f>IF(D661="","",IF(COUNTIF(Paramètres!$A$11:$A$40,D661)&gt;0,1,0))</f>
        <v>1</v>
      </c>
    </row>
    <row r="662" spans="1:12" hidden="1" x14ac:dyDescent="0.25">
      <c r="A662" s="49"/>
      <c r="B662" s="49" t="s">
        <v>73</v>
      </c>
      <c r="C662" s="49" t="s">
        <v>733</v>
      </c>
      <c r="D662" s="50" t="str">
        <f t="shared" si="50"/>
        <v>Mourad Ayari</v>
      </c>
      <c r="E662" s="50" t="str">
        <f t="shared" si="51"/>
        <v>juin</v>
      </c>
      <c r="F662" s="50">
        <f t="shared" si="52"/>
        <v>25</v>
      </c>
      <c r="G662" s="50">
        <f t="shared" si="53"/>
        <v>2026</v>
      </c>
      <c r="H662" s="51">
        <f>IF($C662="","",IFERROR(DATE(G662,VLOOKUP(E662,Paramètres!$K$11:$L$40,2,FALSE()),F662),"?"))</f>
        <v>46198</v>
      </c>
      <c r="I662" s="50">
        <f>IF(ISNUMBER(H662),IF(COUNTIFS($D$2:D662,D662,$H$2:H662,H662)=1,1,0),"")</f>
        <v>1</v>
      </c>
      <c r="J662" s="50">
        <f>IF(ISNUMBER(H662),IFERROR(INDEX(Calendrier!$C$2:$C$367,MATCH(H662,Calendrier!$A$2:$A$367,0)),0),"")</f>
        <v>1</v>
      </c>
      <c r="K662" s="50">
        <f t="shared" si="54"/>
        <v>1</v>
      </c>
      <c r="L662" s="50">
        <f>IF(D662="","",IF(COUNTIF(Paramètres!$A$11:$A$40,D662)&gt;0,1,0))</f>
        <v>1</v>
      </c>
    </row>
    <row r="663" spans="1:12" hidden="1" x14ac:dyDescent="0.25">
      <c r="A663" s="49"/>
      <c r="B663" s="49" t="s">
        <v>73</v>
      </c>
      <c r="C663" s="49" t="s">
        <v>734</v>
      </c>
      <c r="D663" s="50" t="str">
        <f t="shared" si="50"/>
        <v>Mourad Ayari</v>
      </c>
      <c r="E663" s="50" t="str">
        <f t="shared" si="51"/>
        <v>juin</v>
      </c>
      <c r="F663" s="50">
        <f t="shared" si="52"/>
        <v>29</v>
      </c>
      <c r="G663" s="50">
        <f t="shared" si="53"/>
        <v>2026</v>
      </c>
      <c r="H663" s="51">
        <f>IF($C663="","",IFERROR(DATE(G663,VLOOKUP(E663,Paramètres!$K$11:$L$40,2,FALSE()),F663),"?"))</f>
        <v>46202</v>
      </c>
      <c r="I663" s="50">
        <f>IF(ISNUMBER(H663),IF(COUNTIFS($D$2:D663,D663,$H$2:H663,H663)=1,1,0),"")</f>
        <v>1</v>
      </c>
      <c r="J663" s="50">
        <f>IF(ISNUMBER(H663),IFERROR(INDEX(Calendrier!$C$2:$C$367,MATCH(H663,Calendrier!$A$2:$A$367,0)),0),"")</f>
        <v>1</v>
      </c>
      <c r="K663" s="50">
        <f t="shared" si="54"/>
        <v>1</v>
      </c>
      <c r="L663" s="50">
        <f>IF(D663="","",IF(COUNTIF(Paramètres!$A$11:$A$40,D663)&gt;0,1,0))</f>
        <v>1</v>
      </c>
    </row>
    <row r="664" spans="1:12" hidden="1" x14ac:dyDescent="0.25">
      <c r="A664" s="49"/>
      <c r="B664" s="49" t="s">
        <v>61</v>
      </c>
      <c r="C664" s="49" t="s">
        <v>735</v>
      </c>
      <c r="D664" s="50" t="str">
        <f t="shared" si="50"/>
        <v>Ines Farhat</v>
      </c>
      <c r="E664" s="50" t="str">
        <f t="shared" si="51"/>
        <v>juin</v>
      </c>
      <c r="F664" s="50">
        <f t="shared" si="52"/>
        <v>1</v>
      </c>
      <c r="G664" s="50">
        <f t="shared" si="53"/>
        <v>2026</v>
      </c>
      <c r="H664" s="51">
        <f>IF($C664="","",IFERROR(DATE(G664,VLOOKUP(E664,Paramètres!$K$11:$L$40,2,FALSE()),F664),"?"))</f>
        <v>46174</v>
      </c>
      <c r="I664" s="50">
        <f>IF(ISNUMBER(H664),IF(COUNTIFS($D$2:D664,D664,$H$2:H664,H664)=1,1,0),"")</f>
        <v>1</v>
      </c>
      <c r="J664" s="50">
        <f>IF(ISNUMBER(H664),IFERROR(INDEX(Calendrier!$C$2:$C$367,MATCH(H664,Calendrier!$A$2:$A$367,0)),0),"")</f>
        <v>1</v>
      </c>
      <c r="K664" s="50">
        <f t="shared" si="54"/>
        <v>1</v>
      </c>
      <c r="L664" s="50">
        <f>IF(D664="","",IF(COUNTIF(Paramètres!$A$11:$A$40,D664)&gt;0,1,0))</f>
        <v>1</v>
      </c>
    </row>
    <row r="665" spans="1:12" hidden="1" x14ac:dyDescent="0.25">
      <c r="A665" s="49"/>
      <c r="B665" s="49" t="s">
        <v>61</v>
      </c>
      <c r="C665" s="49" t="s">
        <v>736</v>
      </c>
      <c r="D665" s="50" t="str">
        <f t="shared" si="50"/>
        <v>Ines Farhat</v>
      </c>
      <c r="E665" s="50" t="str">
        <f t="shared" si="51"/>
        <v>juin</v>
      </c>
      <c r="F665" s="50">
        <f t="shared" si="52"/>
        <v>3</v>
      </c>
      <c r="G665" s="50">
        <f t="shared" si="53"/>
        <v>2026</v>
      </c>
      <c r="H665" s="51">
        <f>IF($C665="","",IFERROR(DATE(G665,VLOOKUP(E665,Paramètres!$K$11:$L$40,2,FALSE()),F665),"?"))</f>
        <v>46176</v>
      </c>
      <c r="I665" s="50">
        <f>IF(ISNUMBER(H665),IF(COUNTIFS($D$2:D665,D665,$H$2:H665,H665)=1,1,0),"")</f>
        <v>1</v>
      </c>
      <c r="J665" s="50">
        <f>IF(ISNUMBER(H665),IFERROR(INDEX(Calendrier!$C$2:$C$367,MATCH(H665,Calendrier!$A$2:$A$367,0)),0),"")</f>
        <v>1</v>
      </c>
      <c r="K665" s="50">
        <f t="shared" si="54"/>
        <v>1</v>
      </c>
      <c r="L665" s="50">
        <f>IF(D665="","",IF(COUNTIF(Paramètres!$A$11:$A$40,D665)&gt;0,1,0))</f>
        <v>1</v>
      </c>
    </row>
    <row r="666" spans="1:12" hidden="1" x14ac:dyDescent="0.25">
      <c r="A666" s="49"/>
      <c r="B666" s="49" t="s">
        <v>61</v>
      </c>
      <c r="C666" s="49" t="s">
        <v>737</v>
      </c>
      <c r="D666" s="50" t="str">
        <f t="shared" si="50"/>
        <v>Ines Farhat</v>
      </c>
      <c r="E666" s="50" t="str">
        <f t="shared" si="51"/>
        <v>juin</v>
      </c>
      <c r="F666" s="50">
        <f t="shared" si="52"/>
        <v>8</v>
      </c>
      <c r="G666" s="50">
        <f t="shared" si="53"/>
        <v>2026</v>
      </c>
      <c r="H666" s="51">
        <f>IF($C666="","",IFERROR(DATE(G666,VLOOKUP(E666,Paramètres!$K$11:$L$40,2,FALSE()),F666),"?"))</f>
        <v>46181</v>
      </c>
      <c r="I666" s="50">
        <f>IF(ISNUMBER(H666),IF(COUNTIFS($D$2:D666,D666,$H$2:H666,H666)=1,1,0),"")</f>
        <v>1</v>
      </c>
      <c r="J666" s="50">
        <f>IF(ISNUMBER(H666),IFERROR(INDEX(Calendrier!$C$2:$C$367,MATCH(H666,Calendrier!$A$2:$A$367,0)),0),"")</f>
        <v>1</v>
      </c>
      <c r="K666" s="50">
        <f t="shared" si="54"/>
        <v>1</v>
      </c>
      <c r="L666" s="50">
        <f>IF(D666="","",IF(COUNTIF(Paramètres!$A$11:$A$40,D666)&gt;0,1,0))</f>
        <v>1</v>
      </c>
    </row>
    <row r="667" spans="1:12" hidden="1" x14ac:dyDescent="0.25">
      <c r="A667" s="49"/>
      <c r="B667" s="49" t="s">
        <v>61</v>
      </c>
      <c r="C667" s="49" t="s">
        <v>738</v>
      </c>
      <c r="D667" s="50" t="str">
        <f t="shared" si="50"/>
        <v>Ines Farhat</v>
      </c>
      <c r="E667" s="50" t="str">
        <f t="shared" si="51"/>
        <v>juin</v>
      </c>
      <c r="F667" s="50">
        <f t="shared" si="52"/>
        <v>9</v>
      </c>
      <c r="G667" s="50">
        <f t="shared" si="53"/>
        <v>2026</v>
      </c>
      <c r="H667" s="51">
        <f>IF($C667="","",IFERROR(DATE(G667,VLOOKUP(E667,Paramètres!$K$11:$L$40,2,FALSE()),F667),"?"))</f>
        <v>46182</v>
      </c>
      <c r="I667" s="50">
        <f>IF(ISNUMBER(H667),IF(COUNTIFS($D$2:D667,D667,$H$2:H667,H667)=1,1,0),"")</f>
        <v>1</v>
      </c>
      <c r="J667" s="50">
        <f>IF(ISNUMBER(H667),IFERROR(INDEX(Calendrier!$C$2:$C$367,MATCH(H667,Calendrier!$A$2:$A$367,0)),0),"")</f>
        <v>1</v>
      </c>
      <c r="K667" s="50">
        <f t="shared" si="54"/>
        <v>1</v>
      </c>
      <c r="L667" s="50">
        <f>IF(D667="","",IF(COUNTIF(Paramètres!$A$11:$A$40,D667)&gt;0,1,0))</f>
        <v>1</v>
      </c>
    </row>
    <row r="668" spans="1:12" hidden="1" x14ac:dyDescent="0.25">
      <c r="A668" s="49"/>
      <c r="B668" s="49" t="s">
        <v>61</v>
      </c>
      <c r="C668" s="49" t="s">
        <v>739</v>
      </c>
      <c r="D668" s="50" t="str">
        <f t="shared" si="50"/>
        <v>Ines Farhat</v>
      </c>
      <c r="E668" s="50" t="str">
        <f t="shared" si="51"/>
        <v>juin</v>
      </c>
      <c r="F668" s="50">
        <f t="shared" si="52"/>
        <v>16</v>
      </c>
      <c r="G668" s="50">
        <f t="shared" si="53"/>
        <v>2026</v>
      </c>
      <c r="H668" s="51">
        <f>IF($C668="","",IFERROR(DATE(G668,VLOOKUP(E668,Paramètres!$K$11:$L$40,2,FALSE()),F668),"?"))</f>
        <v>46189</v>
      </c>
      <c r="I668" s="50">
        <f>IF(ISNUMBER(H668),IF(COUNTIFS($D$2:D668,D668,$H$2:H668,H668)=1,1,0),"")</f>
        <v>1</v>
      </c>
      <c r="J668" s="50">
        <f>IF(ISNUMBER(H668),IFERROR(INDEX(Calendrier!$C$2:$C$367,MATCH(H668,Calendrier!$A$2:$A$367,0)),0),"")</f>
        <v>1</v>
      </c>
      <c r="K668" s="50">
        <f t="shared" si="54"/>
        <v>1</v>
      </c>
      <c r="L668" s="50">
        <f>IF(D668="","",IF(COUNTIF(Paramètres!$A$11:$A$40,D668)&gt;0,1,0))</f>
        <v>1</v>
      </c>
    </row>
    <row r="669" spans="1:12" hidden="1" x14ac:dyDescent="0.25">
      <c r="A669" s="49"/>
      <c r="B669" s="49" t="s">
        <v>61</v>
      </c>
      <c r="C669" s="49" t="s">
        <v>740</v>
      </c>
      <c r="D669" s="50" t="str">
        <f t="shared" si="50"/>
        <v>Ines Farhat</v>
      </c>
      <c r="E669" s="50" t="str">
        <f t="shared" si="51"/>
        <v>juin</v>
      </c>
      <c r="F669" s="50">
        <f t="shared" si="52"/>
        <v>17</v>
      </c>
      <c r="G669" s="50">
        <f t="shared" si="53"/>
        <v>2026</v>
      </c>
      <c r="H669" s="51">
        <f>IF($C669="","",IFERROR(DATE(G669,VLOOKUP(E669,Paramètres!$K$11:$L$40,2,FALSE()),F669),"?"))</f>
        <v>46190</v>
      </c>
      <c r="I669" s="50">
        <f>IF(ISNUMBER(H669),IF(COUNTIFS($D$2:D669,D669,$H$2:H669,H669)=1,1,0),"")</f>
        <v>1</v>
      </c>
      <c r="J669" s="50">
        <f>IF(ISNUMBER(H669),IFERROR(INDEX(Calendrier!$C$2:$C$367,MATCH(H669,Calendrier!$A$2:$A$367,0)),0),"")</f>
        <v>1</v>
      </c>
      <c r="K669" s="50">
        <f t="shared" si="54"/>
        <v>1</v>
      </c>
      <c r="L669" s="50">
        <f>IF(D669="","",IF(COUNTIF(Paramètres!$A$11:$A$40,D669)&gt;0,1,0))</f>
        <v>1</v>
      </c>
    </row>
    <row r="670" spans="1:12" hidden="1" x14ac:dyDescent="0.25">
      <c r="A670" s="49"/>
      <c r="B670" s="49" t="s">
        <v>61</v>
      </c>
      <c r="C670" s="49" t="s">
        <v>741</v>
      </c>
      <c r="D670" s="50" t="str">
        <f t="shared" si="50"/>
        <v>Ines Farhat</v>
      </c>
      <c r="E670" s="50" t="str">
        <f t="shared" si="51"/>
        <v>juin</v>
      </c>
      <c r="F670" s="50">
        <f t="shared" si="52"/>
        <v>20</v>
      </c>
      <c r="G670" s="50">
        <f t="shared" si="53"/>
        <v>2026</v>
      </c>
      <c r="H670" s="51">
        <f>IF($C670="","",IFERROR(DATE(G670,VLOOKUP(E670,Paramètres!$K$11:$L$40,2,FALSE()),F670),"?"))</f>
        <v>46193</v>
      </c>
      <c r="I670" s="50">
        <f>IF(ISNUMBER(H670),IF(COUNTIFS($D$2:D670,D670,$H$2:H670,H670)=1,1,0),"")</f>
        <v>1</v>
      </c>
      <c r="J670" s="50">
        <f>IF(ISNUMBER(H670),IFERROR(INDEX(Calendrier!$C$2:$C$367,MATCH(H670,Calendrier!$A$2:$A$367,0)),0),"")</f>
        <v>0</v>
      </c>
      <c r="K670" s="50">
        <f t="shared" si="54"/>
        <v>0</v>
      </c>
      <c r="L670" s="50">
        <f>IF(D670="","",IF(COUNTIF(Paramètres!$A$11:$A$40,D670)&gt;0,1,0))</f>
        <v>1</v>
      </c>
    </row>
    <row r="671" spans="1:12" hidden="1" x14ac:dyDescent="0.25">
      <c r="A671" s="49"/>
      <c r="B671" s="49" t="s">
        <v>61</v>
      </c>
      <c r="C671" s="49" t="s">
        <v>742</v>
      </c>
      <c r="D671" s="50" t="str">
        <f t="shared" si="50"/>
        <v>Ines Farhat</v>
      </c>
      <c r="E671" s="50" t="str">
        <f t="shared" si="51"/>
        <v>juin</v>
      </c>
      <c r="F671" s="50">
        <f t="shared" si="52"/>
        <v>22</v>
      </c>
      <c r="G671" s="50">
        <f t="shared" si="53"/>
        <v>2026</v>
      </c>
      <c r="H671" s="51">
        <f>IF($C671="","",IFERROR(DATE(G671,VLOOKUP(E671,Paramètres!$K$11:$L$40,2,FALSE()),F671),"?"))</f>
        <v>46195</v>
      </c>
      <c r="I671" s="50">
        <f>IF(ISNUMBER(H671),IF(COUNTIFS($D$2:D671,D671,$H$2:H671,H671)=1,1,0),"")</f>
        <v>1</v>
      </c>
      <c r="J671" s="50">
        <f>IF(ISNUMBER(H671),IFERROR(INDEX(Calendrier!$C$2:$C$367,MATCH(H671,Calendrier!$A$2:$A$367,0)),0),"")</f>
        <v>1</v>
      </c>
      <c r="K671" s="50">
        <f t="shared" si="54"/>
        <v>1</v>
      </c>
      <c r="L671" s="50">
        <f>IF(D671="","",IF(COUNTIF(Paramètres!$A$11:$A$40,D671)&gt;0,1,0))</f>
        <v>1</v>
      </c>
    </row>
    <row r="672" spans="1:12" hidden="1" x14ac:dyDescent="0.25">
      <c r="A672" s="49"/>
      <c r="B672" s="49" t="s">
        <v>61</v>
      </c>
      <c r="C672" s="49" t="s">
        <v>742</v>
      </c>
      <c r="D672" s="50" t="str">
        <f t="shared" si="50"/>
        <v>Ines Farhat</v>
      </c>
      <c r="E672" s="50" t="str">
        <f t="shared" si="51"/>
        <v>juin</v>
      </c>
      <c r="F672" s="50">
        <f t="shared" si="52"/>
        <v>22</v>
      </c>
      <c r="G672" s="50">
        <f t="shared" si="53"/>
        <v>2026</v>
      </c>
      <c r="H672" s="51">
        <f>IF($C672="","",IFERROR(DATE(G672,VLOOKUP(E672,Paramètres!$K$11:$L$40,2,FALSE()),F672),"?"))</f>
        <v>46195</v>
      </c>
      <c r="I672" s="50">
        <f>IF(ISNUMBER(H672),IF(COUNTIFS($D$2:D672,D672,$H$2:H672,H672)=1,1,0),"")</f>
        <v>0</v>
      </c>
      <c r="J672" s="50">
        <f>IF(ISNUMBER(H672),IFERROR(INDEX(Calendrier!$C$2:$C$367,MATCH(H672,Calendrier!$A$2:$A$367,0)),0),"")</f>
        <v>1</v>
      </c>
      <c r="K672" s="50">
        <f t="shared" si="54"/>
        <v>0</v>
      </c>
      <c r="L672" s="50">
        <f>IF(D672="","",IF(COUNTIF(Paramètres!$A$11:$A$40,D672)&gt;0,1,0))</f>
        <v>1</v>
      </c>
    </row>
    <row r="673" spans="1:12" hidden="1" x14ac:dyDescent="0.25">
      <c r="A673" s="49"/>
      <c r="B673" s="49" t="s">
        <v>61</v>
      </c>
      <c r="C673" s="49" t="s">
        <v>743</v>
      </c>
      <c r="D673" s="50" t="str">
        <f t="shared" si="50"/>
        <v>Ines Farhat</v>
      </c>
      <c r="E673" s="50" t="str">
        <f t="shared" si="51"/>
        <v>juin</v>
      </c>
      <c r="F673" s="50">
        <f t="shared" si="52"/>
        <v>26</v>
      </c>
      <c r="G673" s="50">
        <f t="shared" si="53"/>
        <v>2026</v>
      </c>
      <c r="H673" s="51">
        <f>IF($C673="","",IFERROR(DATE(G673,VLOOKUP(E673,Paramètres!$K$11:$L$40,2,FALSE()),F673),"?"))</f>
        <v>46199</v>
      </c>
      <c r="I673" s="50">
        <f>IF(ISNUMBER(H673),IF(COUNTIFS($D$2:D673,D673,$H$2:H673,H673)=1,1,0),"")</f>
        <v>1</v>
      </c>
      <c r="J673" s="50">
        <f>IF(ISNUMBER(H673),IFERROR(INDEX(Calendrier!$C$2:$C$367,MATCH(H673,Calendrier!$A$2:$A$367,0)),0),"")</f>
        <v>1</v>
      </c>
      <c r="K673" s="50">
        <f t="shared" si="54"/>
        <v>1</v>
      </c>
      <c r="L673" s="50">
        <f>IF(D673="","",IF(COUNTIF(Paramètres!$A$11:$A$40,D673)&gt;0,1,0))</f>
        <v>1</v>
      </c>
    </row>
    <row r="674" spans="1:12" hidden="1" x14ac:dyDescent="0.25">
      <c r="A674" s="49"/>
      <c r="B674" s="49" t="s">
        <v>61</v>
      </c>
      <c r="C674" s="49" t="s">
        <v>744</v>
      </c>
      <c r="D674" s="50" t="str">
        <f t="shared" si="50"/>
        <v>Ines Farhat</v>
      </c>
      <c r="E674" s="50" t="str">
        <f t="shared" si="51"/>
        <v>juin</v>
      </c>
      <c r="F674" s="50">
        <f t="shared" si="52"/>
        <v>29</v>
      </c>
      <c r="G674" s="50">
        <f t="shared" si="53"/>
        <v>2026</v>
      </c>
      <c r="H674" s="51">
        <f>IF($C674="","",IFERROR(DATE(G674,VLOOKUP(E674,Paramètres!$K$11:$L$40,2,FALSE()),F674),"?"))</f>
        <v>46202</v>
      </c>
      <c r="I674" s="50">
        <f>IF(ISNUMBER(H674),IF(COUNTIFS($D$2:D674,D674,$H$2:H674,H674)=1,1,0),"")</f>
        <v>1</v>
      </c>
      <c r="J674" s="50">
        <f>IF(ISNUMBER(H674),IFERROR(INDEX(Calendrier!$C$2:$C$367,MATCH(H674,Calendrier!$A$2:$A$367,0)),0),"")</f>
        <v>1</v>
      </c>
      <c r="K674" s="50">
        <f t="shared" si="54"/>
        <v>1</v>
      </c>
      <c r="L674" s="50">
        <f>IF(D674="","",IF(COUNTIF(Paramètres!$A$11:$A$40,D674)&gt;0,1,0))</f>
        <v>1</v>
      </c>
    </row>
    <row r="675" spans="1:12" hidden="1" x14ac:dyDescent="0.25">
      <c r="A675" s="49"/>
      <c r="B675" s="49" t="s">
        <v>67</v>
      </c>
      <c r="C675" s="49" t="s">
        <v>745</v>
      </c>
      <c r="D675" s="50" t="str">
        <f t="shared" si="50"/>
        <v>Marwa Solaani</v>
      </c>
      <c r="E675" s="50" t="str">
        <f t="shared" si="51"/>
        <v>juin</v>
      </c>
      <c r="F675" s="50">
        <f t="shared" si="52"/>
        <v>1</v>
      </c>
      <c r="G675" s="50">
        <f t="shared" si="53"/>
        <v>2026</v>
      </c>
      <c r="H675" s="51">
        <f>IF($C675="","",IFERROR(DATE(G675,VLOOKUP(E675,Paramètres!$K$11:$L$40,2,FALSE()),F675),"?"))</f>
        <v>46174</v>
      </c>
      <c r="I675" s="50">
        <f>IF(ISNUMBER(H675),IF(COUNTIFS($D$2:D675,D675,$H$2:H675,H675)=1,1,0),"")</f>
        <v>1</v>
      </c>
      <c r="J675" s="50">
        <f>IF(ISNUMBER(H675),IFERROR(INDEX(Calendrier!$C$2:$C$367,MATCH(H675,Calendrier!$A$2:$A$367,0)),0),"")</f>
        <v>1</v>
      </c>
      <c r="K675" s="50">
        <f t="shared" si="54"/>
        <v>1</v>
      </c>
      <c r="L675" s="50">
        <f>IF(D675="","",IF(COUNTIF(Paramètres!$A$11:$A$40,D675)&gt;0,1,0))</f>
        <v>1</v>
      </c>
    </row>
    <row r="676" spans="1:12" hidden="1" x14ac:dyDescent="0.25">
      <c r="A676" s="49"/>
      <c r="B676" s="49" t="s">
        <v>67</v>
      </c>
      <c r="C676" s="49" t="s">
        <v>746</v>
      </c>
      <c r="D676" s="50" t="str">
        <f t="shared" si="50"/>
        <v>Marwa Solaani</v>
      </c>
      <c r="E676" s="50" t="str">
        <f t="shared" si="51"/>
        <v>juin</v>
      </c>
      <c r="F676" s="50">
        <f t="shared" si="52"/>
        <v>3</v>
      </c>
      <c r="G676" s="50">
        <f t="shared" si="53"/>
        <v>2026</v>
      </c>
      <c r="H676" s="51">
        <f>IF($C676="","",IFERROR(DATE(G676,VLOOKUP(E676,Paramètres!$K$11:$L$40,2,FALSE()),F676),"?"))</f>
        <v>46176</v>
      </c>
      <c r="I676" s="50">
        <f>IF(ISNUMBER(H676),IF(COUNTIFS($D$2:D676,D676,$H$2:H676,H676)=1,1,0),"")</f>
        <v>1</v>
      </c>
      <c r="J676" s="50">
        <f>IF(ISNUMBER(H676),IFERROR(INDEX(Calendrier!$C$2:$C$367,MATCH(H676,Calendrier!$A$2:$A$367,0)),0),"")</f>
        <v>1</v>
      </c>
      <c r="K676" s="50">
        <f t="shared" si="54"/>
        <v>1</v>
      </c>
      <c r="L676" s="50">
        <f>IF(D676="","",IF(COUNTIF(Paramètres!$A$11:$A$40,D676)&gt;0,1,0))</f>
        <v>1</v>
      </c>
    </row>
    <row r="677" spans="1:12" hidden="1" x14ac:dyDescent="0.25">
      <c r="A677" s="49"/>
      <c r="B677" s="49" t="s">
        <v>67</v>
      </c>
      <c r="C677" s="49" t="s">
        <v>747</v>
      </c>
      <c r="D677" s="50" t="str">
        <f t="shared" si="50"/>
        <v>Marwa Solaani</v>
      </c>
      <c r="E677" s="50" t="str">
        <f t="shared" si="51"/>
        <v>juin</v>
      </c>
      <c r="F677" s="50">
        <f t="shared" si="52"/>
        <v>4</v>
      </c>
      <c r="G677" s="50">
        <f t="shared" si="53"/>
        <v>2026</v>
      </c>
      <c r="H677" s="51">
        <f>IF($C677="","",IFERROR(DATE(G677,VLOOKUP(E677,Paramètres!$K$11:$L$40,2,FALSE()),F677),"?"))</f>
        <v>46177</v>
      </c>
      <c r="I677" s="50">
        <f>IF(ISNUMBER(H677),IF(COUNTIFS($D$2:D677,D677,$H$2:H677,H677)=1,1,0),"")</f>
        <v>1</v>
      </c>
      <c r="J677" s="50">
        <f>IF(ISNUMBER(H677),IFERROR(INDEX(Calendrier!$C$2:$C$367,MATCH(H677,Calendrier!$A$2:$A$367,0)),0),"")</f>
        <v>1</v>
      </c>
      <c r="K677" s="50">
        <f t="shared" si="54"/>
        <v>1</v>
      </c>
      <c r="L677" s="50">
        <f>IF(D677="","",IF(COUNTIF(Paramètres!$A$11:$A$40,D677)&gt;0,1,0))</f>
        <v>1</v>
      </c>
    </row>
    <row r="678" spans="1:12" hidden="1" x14ac:dyDescent="0.25">
      <c r="A678" s="49"/>
      <c r="B678" s="49" t="s">
        <v>67</v>
      </c>
      <c r="C678" s="49" t="s">
        <v>748</v>
      </c>
      <c r="D678" s="50" t="str">
        <f t="shared" si="50"/>
        <v>Marwa Solaani</v>
      </c>
      <c r="E678" s="50" t="str">
        <f t="shared" si="51"/>
        <v>juin</v>
      </c>
      <c r="F678" s="50">
        <f t="shared" si="52"/>
        <v>6</v>
      </c>
      <c r="G678" s="50">
        <f t="shared" si="53"/>
        <v>2026</v>
      </c>
      <c r="H678" s="51">
        <f>IF($C678="","",IFERROR(DATE(G678,VLOOKUP(E678,Paramètres!$K$11:$L$40,2,FALSE()),F678),"?"))</f>
        <v>46179</v>
      </c>
      <c r="I678" s="50">
        <f>IF(ISNUMBER(H678),IF(COUNTIFS($D$2:D678,D678,$H$2:H678,H678)=1,1,0),"")</f>
        <v>1</v>
      </c>
      <c r="J678" s="50">
        <f>IF(ISNUMBER(H678),IFERROR(INDEX(Calendrier!$C$2:$C$367,MATCH(H678,Calendrier!$A$2:$A$367,0)),0),"")</f>
        <v>0</v>
      </c>
      <c r="K678" s="50">
        <f t="shared" si="54"/>
        <v>0</v>
      </c>
      <c r="L678" s="50">
        <f>IF(D678="","",IF(COUNTIF(Paramètres!$A$11:$A$40,D678)&gt;0,1,0))</f>
        <v>1</v>
      </c>
    </row>
    <row r="679" spans="1:12" hidden="1" x14ac:dyDescent="0.25">
      <c r="A679" s="49"/>
      <c r="B679" s="49" t="s">
        <v>67</v>
      </c>
      <c r="C679" s="49" t="s">
        <v>749</v>
      </c>
      <c r="D679" s="50" t="str">
        <f t="shared" si="50"/>
        <v>Marwa Solaani</v>
      </c>
      <c r="E679" s="50" t="str">
        <f t="shared" si="51"/>
        <v>juin</v>
      </c>
      <c r="F679" s="50">
        <f t="shared" si="52"/>
        <v>8</v>
      </c>
      <c r="G679" s="50">
        <f t="shared" si="53"/>
        <v>2026</v>
      </c>
      <c r="H679" s="51">
        <f>IF($C679="","",IFERROR(DATE(G679,VLOOKUP(E679,Paramètres!$K$11:$L$40,2,FALSE()),F679),"?"))</f>
        <v>46181</v>
      </c>
      <c r="I679" s="50">
        <f>IF(ISNUMBER(H679),IF(COUNTIFS($D$2:D679,D679,$H$2:H679,H679)=1,1,0),"")</f>
        <v>1</v>
      </c>
      <c r="J679" s="50">
        <f>IF(ISNUMBER(H679),IFERROR(INDEX(Calendrier!$C$2:$C$367,MATCH(H679,Calendrier!$A$2:$A$367,0)),0),"")</f>
        <v>1</v>
      </c>
      <c r="K679" s="50">
        <f t="shared" si="54"/>
        <v>1</v>
      </c>
      <c r="L679" s="50">
        <f>IF(D679="","",IF(COUNTIF(Paramètres!$A$11:$A$40,D679)&gt;0,1,0))</f>
        <v>1</v>
      </c>
    </row>
    <row r="680" spans="1:12" hidden="1" x14ac:dyDescent="0.25">
      <c r="A680" s="49"/>
      <c r="B680" s="49" t="s">
        <v>67</v>
      </c>
      <c r="C680" s="49" t="s">
        <v>750</v>
      </c>
      <c r="D680" s="50" t="str">
        <f t="shared" si="50"/>
        <v>Marwa Solaani</v>
      </c>
      <c r="E680" s="50" t="str">
        <f t="shared" si="51"/>
        <v>juin</v>
      </c>
      <c r="F680" s="50">
        <f t="shared" si="52"/>
        <v>10</v>
      </c>
      <c r="G680" s="50">
        <f t="shared" si="53"/>
        <v>2026</v>
      </c>
      <c r="H680" s="51">
        <f>IF($C680="","",IFERROR(DATE(G680,VLOOKUP(E680,Paramètres!$K$11:$L$40,2,FALSE()),F680),"?"))</f>
        <v>46183</v>
      </c>
      <c r="I680" s="50">
        <f>IF(ISNUMBER(H680),IF(COUNTIFS($D$2:D680,D680,$H$2:H680,H680)=1,1,0),"")</f>
        <v>1</v>
      </c>
      <c r="J680" s="50">
        <f>IF(ISNUMBER(H680),IFERROR(INDEX(Calendrier!$C$2:$C$367,MATCH(H680,Calendrier!$A$2:$A$367,0)),0),"")</f>
        <v>1</v>
      </c>
      <c r="K680" s="50">
        <f t="shared" si="54"/>
        <v>1</v>
      </c>
      <c r="L680" s="50">
        <f>IF(D680="","",IF(COUNTIF(Paramètres!$A$11:$A$40,D680)&gt;0,1,0))</f>
        <v>1</v>
      </c>
    </row>
    <row r="681" spans="1:12" hidden="1" x14ac:dyDescent="0.25">
      <c r="A681" s="49"/>
      <c r="B681" s="49" t="s">
        <v>67</v>
      </c>
      <c r="C681" s="49" t="s">
        <v>751</v>
      </c>
      <c r="D681" s="50" t="str">
        <f t="shared" si="50"/>
        <v>Marwa Solaani</v>
      </c>
      <c r="E681" s="50" t="str">
        <f t="shared" si="51"/>
        <v>juin</v>
      </c>
      <c r="F681" s="50">
        <f t="shared" si="52"/>
        <v>16</v>
      </c>
      <c r="G681" s="50">
        <f t="shared" si="53"/>
        <v>2026</v>
      </c>
      <c r="H681" s="51">
        <f>IF($C681="","",IFERROR(DATE(G681,VLOOKUP(E681,Paramètres!$K$11:$L$40,2,FALSE()),F681),"?"))</f>
        <v>46189</v>
      </c>
      <c r="I681" s="50">
        <f>IF(ISNUMBER(H681),IF(COUNTIFS($D$2:D681,D681,$H$2:H681,H681)=1,1,0),"")</f>
        <v>1</v>
      </c>
      <c r="J681" s="50">
        <f>IF(ISNUMBER(H681),IFERROR(INDEX(Calendrier!$C$2:$C$367,MATCH(H681,Calendrier!$A$2:$A$367,0)),0),"")</f>
        <v>1</v>
      </c>
      <c r="K681" s="50">
        <f t="shared" si="54"/>
        <v>1</v>
      </c>
      <c r="L681" s="50">
        <f>IF(D681="","",IF(COUNTIF(Paramètres!$A$11:$A$40,D681)&gt;0,1,0))</f>
        <v>1</v>
      </c>
    </row>
    <row r="682" spans="1:12" hidden="1" x14ac:dyDescent="0.25">
      <c r="A682" s="49"/>
      <c r="B682" s="49" t="s">
        <v>67</v>
      </c>
      <c r="C682" s="49" t="s">
        <v>752</v>
      </c>
      <c r="D682" s="50" t="str">
        <f t="shared" si="50"/>
        <v>Marwa Solaani</v>
      </c>
      <c r="E682" s="50" t="str">
        <f t="shared" si="51"/>
        <v>juin</v>
      </c>
      <c r="F682" s="50">
        <f t="shared" si="52"/>
        <v>29</v>
      </c>
      <c r="G682" s="50">
        <f t="shared" si="53"/>
        <v>2026</v>
      </c>
      <c r="H682" s="51">
        <f>IF($C682="","",IFERROR(DATE(G682,VLOOKUP(E682,Paramètres!$K$11:$L$40,2,FALSE()),F682),"?"))</f>
        <v>46202</v>
      </c>
      <c r="I682" s="50">
        <f>IF(ISNUMBER(H682),IF(COUNTIFS($D$2:D682,D682,$H$2:H682,H682)=1,1,0),"")</f>
        <v>1</v>
      </c>
      <c r="J682" s="50">
        <f>IF(ISNUMBER(H682),IFERROR(INDEX(Calendrier!$C$2:$C$367,MATCH(H682,Calendrier!$A$2:$A$367,0)),0),"")</f>
        <v>1</v>
      </c>
      <c r="K682" s="50">
        <f t="shared" si="54"/>
        <v>1</v>
      </c>
      <c r="L682" s="50">
        <f>IF(D682="","",IF(COUNTIF(Paramètres!$A$11:$A$40,D682)&gt;0,1,0))</f>
        <v>1</v>
      </c>
    </row>
    <row r="683" spans="1:12" hidden="1" x14ac:dyDescent="0.25">
      <c r="A683" s="49"/>
      <c r="B683" s="49" t="s">
        <v>67</v>
      </c>
      <c r="C683" s="49" t="s">
        <v>752</v>
      </c>
      <c r="D683" s="50" t="str">
        <f t="shared" si="50"/>
        <v>Marwa Solaani</v>
      </c>
      <c r="E683" s="50" t="str">
        <f t="shared" si="51"/>
        <v>juin</v>
      </c>
      <c r="F683" s="50">
        <f t="shared" si="52"/>
        <v>29</v>
      </c>
      <c r="G683" s="50">
        <f t="shared" si="53"/>
        <v>2026</v>
      </c>
      <c r="H683" s="51">
        <f>IF($C683="","",IFERROR(DATE(G683,VLOOKUP(E683,Paramètres!$K$11:$L$40,2,FALSE()),F683),"?"))</f>
        <v>46202</v>
      </c>
      <c r="I683" s="50">
        <f>IF(ISNUMBER(H683),IF(COUNTIFS($D$2:D683,D683,$H$2:H683,H683)=1,1,0),"")</f>
        <v>0</v>
      </c>
      <c r="J683" s="50">
        <f>IF(ISNUMBER(H683),IFERROR(INDEX(Calendrier!$C$2:$C$367,MATCH(H683,Calendrier!$A$2:$A$367,0)),0),"")</f>
        <v>1</v>
      </c>
      <c r="K683" s="50">
        <f t="shared" si="54"/>
        <v>0</v>
      </c>
      <c r="L683" s="50">
        <f>IF(D683="","",IF(COUNTIF(Paramètres!$A$11:$A$40,D683)&gt;0,1,0))</f>
        <v>1</v>
      </c>
    </row>
    <row r="684" spans="1:12" x14ac:dyDescent="0.25">
      <c r="A684" s="49"/>
      <c r="B684" s="49" t="s">
        <v>90</v>
      </c>
      <c r="C684" s="49" t="s">
        <v>753</v>
      </c>
      <c r="D684" s="50" t="str">
        <f t="shared" si="50"/>
        <v>Zouhour Fathallah</v>
      </c>
      <c r="E684" s="50" t="str">
        <f t="shared" si="51"/>
        <v>juin</v>
      </c>
      <c r="F684" s="50">
        <f t="shared" si="52"/>
        <v>1</v>
      </c>
      <c r="G684" s="50">
        <f t="shared" si="53"/>
        <v>2026</v>
      </c>
      <c r="H684" s="51">
        <f>IF($C684="","",IFERROR(DATE(G684,VLOOKUP(E684,Paramètres!$K$11:$L$40,2,FALSE()),F684),"?"))</f>
        <v>46174</v>
      </c>
      <c r="I684" s="50">
        <f>IF(ISNUMBER(H684),IF(COUNTIFS($D$2:D684,D684,$H$2:H684,H684)=1,1,0),"")</f>
        <v>1</v>
      </c>
      <c r="J684" s="50">
        <f>IF(ISNUMBER(H684),IFERROR(INDEX(Calendrier!$C$2:$C$367,MATCH(H684,Calendrier!$A$2:$A$367,0)),0),"")</f>
        <v>1</v>
      </c>
      <c r="K684" s="50">
        <f t="shared" si="54"/>
        <v>1</v>
      </c>
      <c r="L684" s="50">
        <f>IF(D684="","",IF(COUNTIF(Paramètres!$A$11:$A$40,D684)&gt;0,1,0))</f>
        <v>1</v>
      </c>
    </row>
    <row r="685" spans="1:12" x14ac:dyDescent="0.25">
      <c r="A685" s="49"/>
      <c r="B685" s="49" t="s">
        <v>90</v>
      </c>
      <c r="C685" s="49" t="s">
        <v>754</v>
      </c>
      <c r="D685" s="50" t="str">
        <f t="shared" si="50"/>
        <v>Zouhour Fathallah</v>
      </c>
      <c r="E685" s="50" t="str">
        <f t="shared" si="51"/>
        <v>juin</v>
      </c>
      <c r="F685" s="50">
        <f t="shared" si="52"/>
        <v>8</v>
      </c>
      <c r="G685" s="50">
        <f t="shared" si="53"/>
        <v>2026</v>
      </c>
      <c r="H685" s="51">
        <f>IF($C685="","",IFERROR(DATE(G685,VLOOKUP(E685,Paramètres!$K$11:$L$40,2,FALSE()),F685),"?"))</f>
        <v>46181</v>
      </c>
      <c r="I685" s="50">
        <f>IF(ISNUMBER(H685),IF(COUNTIFS($D$2:D685,D685,$H$2:H685,H685)=1,1,0),"")</f>
        <v>1</v>
      </c>
      <c r="J685" s="50">
        <f>IF(ISNUMBER(H685),IFERROR(INDEX(Calendrier!$C$2:$C$367,MATCH(H685,Calendrier!$A$2:$A$367,0)),0),"")</f>
        <v>1</v>
      </c>
      <c r="K685" s="50">
        <f t="shared" si="54"/>
        <v>1</v>
      </c>
      <c r="L685" s="50">
        <f>IF(D685="","",IF(COUNTIF(Paramètres!$A$11:$A$40,D685)&gt;0,1,0))</f>
        <v>1</v>
      </c>
    </row>
    <row r="686" spans="1:12" x14ac:dyDescent="0.25">
      <c r="A686" s="49"/>
      <c r="B686" s="49" t="s">
        <v>90</v>
      </c>
      <c r="C686" s="49" t="s">
        <v>755</v>
      </c>
      <c r="D686" s="50" t="str">
        <f t="shared" si="50"/>
        <v>Zouhour Fathallah</v>
      </c>
      <c r="E686" s="50" t="str">
        <f t="shared" si="51"/>
        <v>juin</v>
      </c>
      <c r="F686" s="50">
        <f t="shared" si="52"/>
        <v>16</v>
      </c>
      <c r="G686" s="50">
        <f t="shared" si="53"/>
        <v>2026</v>
      </c>
      <c r="H686" s="51">
        <f>IF($C686="","",IFERROR(DATE(G686,VLOOKUP(E686,Paramètres!$K$11:$L$40,2,FALSE()),F686),"?"))</f>
        <v>46189</v>
      </c>
      <c r="I686" s="50">
        <f>IF(ISNUMBER(H686),IF(COUNTIFS($D$2:D686,D686,$H$2:H686,H686)=1,1,0),"")</f>
        <v>1</v>
      </c>
      <c r="J686" s="50">
        <f>IF(ISNUMBER(H686),IFERROR(INDEX(Calendrier!$C$2:$C$367,MATCH(H686,Calendrier!$A$2:$A$367,0)),0),"")</f>
        <v>1</v>
      </c>
      <c r="K686" s="50">
        <f t="shared" si="54"/>
        <v>1</v>
      </c>
      <c r="L686" s="50">
        <f>IF(D686="","",IF(COUNTIF(Paramètres!$A$11:$A$40,D686)&gt;0,1,0))</f>
        <v>1</v>
      </c>
    </row>
    <row r="687" spans="1:12" x14ac:dyDescent="0.25">
      <c r="A687" s="49"/>
      <c r="B687" s="49" t="s">
        <v>90</v>
      </c>
      <c r="C687" s="49" t="s">
        <v>756</v>
      </c>
      <c r="D687" s="50" t="str">
        <f t="shared" si="50"/>
        <v>Zouhour Fathallah</v>
      </c>
      <c r="E687" s="50" t="str">
        <f t="shared" si="51"/>
        <v>juin</v>
      </c>
      <c r="F687" s="50">
        <f t="shared" si="52"/>
        <v>17</v>
      </c>
      <c r="G687" s="50">
        <f t="shared" si="53"/>
        <v>2026</v>
      </c>
      <c r="H687" s="51">
        <f>IF($C687="","",IFERROR(DATE(G687,VLOOKUP(E687,Paramètres!$K$11:$L$40,2,FALSE()),F687),"?"))</f>
        <v>46190</v>
      </c>
      <c r="I687" s="50">
        <f>IF(ISNUMBER(H687),IF(COUNTIFS($D$2:D687,D687,$H$2:H687,H687)=1,1,0),"")</f>
        <v>1</v>
      </c>
      <c r="J687" s="50">
        <f>IF(ISNUMBER(H687),IFERROR(INDEX(Calendrier!$C$2:$C$367,MATCH(H687,Calendrier!$A$2:$A$367,0)),0),"")</f>
        <v>1</v>
      </c>
      <c r="K687" s="50">
        <f t="shared" si="54"/>
        <v>1</v>
      </c>
      <c r="L687" s="50">
        <f>IF(D687="","",IF(COUNTIF(Paramètres!$A$11:$A$40,D687)&gt;0,1,0))</f>
        <v>1</v>
      </c>
    </row>
    <row r="688" spans="1:12" x14ac:dyDescent="0.25">
      <c r="A688" s="49"/>
      <c r="B688" s="49" t="s">
        <v>90</v>
      </c>
      <c r="C688" s="49" t="s">
        <v>757</v>
      </c>
      <c r="D688" s="50" t="str">
        <f t="shared" si="50"/>
        <v>Zouhour Fathallah</v>
      </c>
      <c r="E688" s="50" t="str">
        <f t="shared" si="51"/>
        <v>juin</v>
      </c>
      <c r="F688" s="50">
        <f t="shared" si="52"/>
        <v>22</v>
      </c>
      <c r="G688" s="50">
        <f t="shared" si="53"/>
        <v>2026</v>
      </c>
      <c r="H688" s="51">
        <f>IF($C688="","",IFERROR(DATE(G688,VLOOKUP(E688,Paramètres!$K$11:$L$40,2,FALSE()),F688),"?"))</f>
        <v>46195</v>
      </c>
      <c r="I688" s="50">
        <f>IF(ISNUMBER(H688),IF(COUNTIFS($D$2:D688,D688,$H$2:H688,H688)=1,1,0),"")</f>
        <v>1</v>
      </c>
      <c r="J688" s="50">
        <f>IF(ISNUMBER(H688),IFERROR(INDEX(Calendrier!$C$2:$C$367,MATCH(H688,Calendrier!$A$2:$A$367,0)),0),"")</f>
        <v>1</v>
      </c>
      <c r="K688" s="50">
        <f t="shared" si="54"/>
        <v>1</v>
      </c>
      <c r="L688" s="50">
        <f>IF(D688="","",IF(COUNTIF(Paramètres!$A$11:$A$40,D688)&gt;0,1,0))</f>
        <v>1</v>
      </c>
    </row>
    <row r="689" spans="1:12" x14ac:dyDescent="0.25">
      <c r="A689" s="49"/>
      <c r="B689" s="49" t="s">
        <v>90</v>
      </c>
      <c r="C689" s="49" t="s">
        <v>758</v>
      </c>
      <c r="D689" s="50" t="str">
        <f t="shared" si="50"/>
        <v>Zouhour Fathallah</v>
      </c>
      <c r="E689" s="50" t="str">
        <f t="shared" si="51"/>
        <v>juin</v>
      </c>
      <c r="F689" s="50">
        <f t="shared" si="52"/>
        <v>29</v>
      </c>
      <c r="G689" s="50">
        <f t="shared" si="53"/>
        <v>2026</v>
      </c>
      <c r="H689" s="51">
        <f>IF($C689="","",IFERROR(DATE(G689,VLOOKUP(E689,Paramètres!$K$11:$L$40,2,FALSE()),F689),"?"))</f>
        <v>46202</v>
      </c>
      <c r="I689" s="50">
        <f>IF(ISNUMBER(H689),IF(COUNTIFS($D$2:D689,D689,$H$2:H689,H689)=1,1,0),"")</f>
        <v>1</v>
      </c>
      <c r="J689" s="50">
        <f>IF(ISNUMBER(H689),IFERROR(INDEX(Calendrier!$C$2:$C$367,MATCH(H689,Calendrier!$A$2:$A$367,0)),0),"")</f>
        <v>1</v>
      </c>
      <c r="K689" s="50">
        <f t="shared" si="54"/>
        <v>1</v>
      </c>
      <c r="L689" s="50">
        <f>IF(D689="","",IF(COUNTIF(Paramètres!$A$11:$A$40,D689)&gt;0,1,0))</f>
        <v>1</v>
      </c>
    </row>
    <row r="690" spans="1:12" hidden="1" x14ac:dyDescent="0.25">
      <c r="A690" s="49"/>
      <c r="B690" s="49" t="s">
        <v>59</v>
      </c>
      <c r="C690" s="49" t="s">
        <v>759</v>
      </c>
      <c r="D690" s="50" t="str">
        <f t="shared" si="50"/>
        <v>Imre Kapusi</v>
      </c>
      <c r="E690" s="50" t="str">
        <f t="shared" si="51"/>
        <v>juin</v>
      </c>
      <c r="F690" s="50">
        <f t="shared" si="52"/>
        <v>1</v>
      </c>
      <c r="G690" s="50">
        <f t="shared" si="53"/>
        <v>2026</v>
      </c>
      <c r="H690" s="51">
        <f>IF($C690="","",IFERROR(DATE(G690,VLOOKUP(E690,Paramètres!$K$11:$L$40,2,FALSE()),F690),"?"))</f>
        <v>46174</v>
      </c>
      <c r="I690" s="50">
        <f>IF(ISNUMBER(H690),IF(COUNTIFS($D$2:D690,D690,$H$2:H690,H690)=1,1,0),"")</f>
        <v>1</v>
      </c>
      <c r="J690" s="50">
        <f>IF(ISNUMBER(H690),IFERROR(INDEX(Calendrier!$C$2:$C$367,MATCH(H690,Calendrier!$A$2:$A$367,0)),0),"")</f>
        <v>1</v>
      </c>
      <c r="K690" s="50">
        <f t="shared" si="54"/>
        <v>1</v>
      </c>
      <c r="L690" s="50">
        <f>IF(D690="","",IF(COUNTIF(Paramètres!$A$11:$A$40,D690)&gt;0,1,0))</f>
        <v>1</v>
      </c>
    </row>
    <row r="691" spans="1:12" hidden="1" x14ac:dyDescent="0.25">
      <c r="A691" s="49"/>
      <c r="B691" s="49" t="s">
        <v>59</v>
      </c>
      <c r="C691" s="49" t="s">
        <v>760</v>
      </c>
      <c r="D691" s="50" t="str">
        <f t="shared" si="50"/>
        <v>Imre Kapusi</v>
      </c>
      <c r="E691" s="50" t="str">
        <f t="shared" si="51"/>
        <v>juin</v>
      </c>
      <c r="F691" s="50">
        <f t="shared" si="52"/>
        <v>10</v>
      </c>
      <c r="G691" s="50">
        <f t="shared" si="53"/>
        <v>2026</v>
      </c>
      <c r="H691" s="51">
        <f>IF($C691="","",IFERROR(DATE(G691,VLOOKUP(E691,Paramètres!$K$11:$L$40,2,FALSE()),F691),"?"))</f>
        <v>46183</v>
      </c>
      <c r="I691" s="50">
        <f>IF(ISNUMBER(H691),IF(COUNTIFS($D$2:D691,D691,$H$2:H691,H691)=1,1,0),"")</f>
        <v>1</v>
      </c>
      <c r="J691" s="50">
        <f>IF(ISNUMBER(H691),IFERROR(INDEX(Calendrier!$C$2:$C$367,MATCH(H691,Calendrier!$A$2:$A$367,0)),0),"")</f>
        <v>1</v>
      </c>
      <c r="K691" s="50">
        <f t="shared" si="54"/>
        <v>1</v>
      </c>
      <c r="L691" s="50">
        <f>IF(D691="","",IF(COUNTIF(Paramètres!$A$11:$A$40,D691)&gt;0,1,0))</f>
        <v>1</v>
      </c>
    </row>
    <row r="692" spans="1:12" hidden="1" x14ac:dyDescent="0.25">
      <c r="A692" s="49"/>
      <c r="B692" s="49" t="s">
        <v>59</v>
      </c>
      <c r="C692" s="49" t="s">
        <v>761</v>
      </c>
      <c r="D692" s="50" t="str">
        <f t="shared" si="50"/>
        <v>Imre Kapusi</v>
      </c>
      <c r="E692" s="50" t="str">
        <f t="shared" si="51"/>
        <v>juin</v>
      </c>
      <c r="F692" s="50">
        <f t="shared" si="52"/>
        <v>16</v>
      </c>
      <c r="G692" s="50">
        <f t="shared" si="53"/>
        <v>2026</v>
      </c>
      <c r="H692" s="51">
        <f>IF($C692="","",IFERROR(DATE(G692,VLOOKUP(E692,Paramètres!$K$11:$L$40,2,FALSE()),F692),"?"))</f>
        <v>46189</v>
      </c>
      <c r="I692" s="50">
        <f>IF(ISNUMBER(H692),IF(COUNTIFS($D$2:D692,D692,$H$2:H692,H692)=1,1,0),"")</f>
        <v>1</v>
      </c>
      <c r="J692" s="50">
        <f>IF(ISNUMBER(H692),IFERROR(INDEX(Calendrier!$C$2:$C$367,MATCH(H692,Calendrier!$A$2:$A$367,0)),0),"")</f>
        <v>1</v>
      </c>
      <c r="K692" s="50">
        <f t="shared" si="54"/>
        <v>1</v>
      </c>
      <c r="L692" s="50">
        <f>IF(D692="","",IF(COUNTIF(Paramètres!$A$11:$A$40,D692)&gt;0,1,0))</f>
        <v>1</v>
      </c>
    </row>
    <row r="693" spans="1:12" hidden="1" x14ac:dyDescent="0.25">
      <c r="A693" s="49"/>
      <c r="B693" s="49" t="s">
        <v>59</v>
      </c>
      <c r="C693" s="49" t="s">
        <v>762</v>
      </c>
      <c r="D693" s="50" t="str">
        <f t="shared" si="50"/>
        <v>Imre Kapusi</v>
      </c>
      <c r="E693" s="50" t="str">
        <f t="shared" si="51"/>
        <v>juin</v>
      </c>
      <c r="F693" s="50">
        <f t="shared" si="52"/>
        <v>19</v>
      </c>
      <c r="G693" s="50">
        <f t="shared" si="53"/>
        <v>2026</v>
      </c>
      <c r="H693" s="51">
        <f>IF($C693="","",IFERROR(DATE(G693,VLOOKUP(E693,Paramètres!$K$11:$L$40,2,FALSE()),F693),"?"))</f>
        <v>46192</v>
      </c>
      <c r="I693" s="50">
        <f>IF(ISNUMBER(H693),IF(COUNTIFS($D$2:D693,D693,$H$2:H693,H693)=1,1,0),"")</f>
        <v>1</v>
      </c>
      <c r="J693" s="50">
        <f>IF(ISNUMBER(H693),IFERROR(INDEX(Calendrier!$C$2:$C$367,MATCH(H693,Calendrier!$A$2:$A$367,0)),0),"")</f>
        <v>1</v>
      </c>
      <c r="K693" s="50">
        <f t="shared" si="54"/>
        <v>1</v>
      </c>
      <c r="L693" s="50">
        <f>IF(D693="","",IF(COUNTIF(Paramètres!$A$11:$A$40,D693)&gt;0,1,0))</f>
        <v>1</v>
      </c>
    </row>
    <row r="694" spans="1:12" hidden="1" x14ac:dyDescent="0.25">
      <c r="A694" s="49"/>
      <c r="B694" s="49" t="s">
        <v>59</v>
      </c>
      <c r="C694" s="49" t="s">
        <v>763</v>
      </c>
      <c r="D694" s="50" t="str">
        <f t="shared" si="50"/>
        <v>Imre Kapusi</v>
      </c>
      <c r="E694" s="50" t="str">
        <f t="shared" si="51"/>
        <v>juin</v>
      </c>
      <c r="F694" s="50">
        <f t="shared" si="52"/>
        <v>22</v>
      </c>
      <c r="G694" s="50">
        <f t="shared" si="53"/>
        <v>2026</v>
      </c>
      <c r="H694" s="51">
        <f>IF($C694="","",IFERROR(DATE(G694,VLOOKUP(E694,Paramètres!$K$11:$L$40,2,FALSE()),F694),"?"))</f>
        <v>46195</v>
      </c>
      <c r="I694" s="50">
        <f>IF(ISNUMBER(H694),IF(COUNTIFS($D$2:D694,D694,$H$2:H694,H694)=1,1,0),"")</f>
        <v>1</v>
      </c>
      <c r="J694" s="50">
        <f>IF(ISNUMBER(H694),IFERROR(INDEX(Calendrier!$C$2:$C$367,MATCH(H694,Calendrier!$A$2:$A$367,0)),0),"")</f>
        <v>1</v>
      </c>
      <c r="K694" s="50">
        <f t="shared" si="54"/>
        <v>1</v>
      </c>
      <c r="L694" s="50">
        <f>IF(D694="","",IF(COUNTIF(Paramètres!$A$11:$A$40,D694)&gt;0,1,0))</f>
        <v>1</v>
      </c>
    </row>
    <row r="695" spans="1:12" hidden="1" x14ac:dyDescent="0.25">
      <c r="A695" s="49"/>
      <c r="B695" s="49" t="s">
        <v>764</v>
      </c>
      <c r="C695" s="49" t="s">
        <v>765</v>
      </c>
      <c r="D695" s="50" t="str">
        <f t="shared" si="50"/>
        <v>Mina MOUSSA</v>
      </c>
      <c r="E695" s="50" t="str">
        <f t="shared" si="51"/>
        <v>juil</v>
      </c>
      <c r="F695" s="50">
        <f t="shared" si="52"/>
        <v>3</v>
      </c>
      <c r="G695" s="50">
        <f t="shared" si="53"/>
        <v>2026</v>
      </c>
      <c r="H695" s="51">
        <f>IF($C695="","",IFERROR(DATE(G695,VLOOKUP(E695,Paramètres!$K$11:$L$40,2,FALSE()),F695),"?"))</f>
        <v>46206</v>
      </c>
      <c r="I695" s="50">
        <f>IF(ISNUMBER(H695),IF(COUNTIFS($D$2:D695,D695,$H$2:H695,H695)=1,1,0),"")</f>
        <v>1</v>
      </c>
      <c r="J695" s="50">
        <f>IF(ISNUMBER(H695),IFERROR(INDEX(Calendrier!$C$2:$C$367,MATCH(H695,Calendrier!$A$2:$A$367,0)),0),"")</f>
        <v>1</v>
      </c>
      <c r="K695" s="50">
        <f t="shared" si="54"/>
        <v>1</v>
      </c>
      <c r="L695" s="50">
        <f>IF(D695="","",IF(COUNTIF(Paramètres!$A$11:$A$40,D695)&gt;0,1,0))</f>
        <v>1</v>
      </c>
    </row>
    <row r="696" spans="1:12" hidden="1" x14ac:dyDescent="0.25">
      <c r="A696" s="49"/>
      <c r="B696" s="49" t="s">
        <v>764</v>
      </c>
      <c r="C696" s="49" t="s">
        <v>766</v>
      </c>
      <c r="D696" s="50" t="str">
        <f t="shared" si="50"/>
        <v>Mina MOUSSA</v>
      </c>
      <c r="E696" s="50" t="str">
        <f t="shared" si="51"/>
        <v>juil</v>
      </c>
      <c r="F696" s="50">
        <f t="shared" si="52"/>
        <v>7</v>
      </c>
      <c r="G696" s="50">
        <f t="shared" si="53"/>
        <v>2026</v>
      </c>
      <c r="H696" s="51">
        <f>IF($C696="","",IFERROR(DATE(G696,VLOOKUP(E696,Paramètres!$K$11:$L$40,2,FALSE()),F696),"?"))</f>
        <v>46210</v>
      </c>
      <c r="I696" s="50">
        <f>IF(ISNUMBER(H696),IF(COUNTIFS($D$2:D696,D696,$H$2:H696,H696)=1,1,0),"")</f>
        <v>1</v>
      </c>
      <c r="J696" s="50">
        <f>IF(ISNUMBER(H696),IFERROR(INDEX(Calendrier!$C$2:$C$367,MATCH(H696,Calendrier!$A$2:$A$367,0)),0),"")</f>
        <v>1</v>
      </c>
      <c r="K696" s="50">
        <f t="shared" si="54"/>
        <v>1</v>
      </c>
      <c r="L696" s="50">
        <f>IF(D696="","",IF(COUNTIF(Paramètres!$A$11:$A$40,D696)&gt;0,1,0))</f>
        <v>1</v>
      </c>
    </row>
    <row r="697" spans="1:12" hidden="1" x14ac:dyDescent="0.25">
      <c r="A697" s="49"/>
      <c r="B697" s="49" t="s">
        <v>764</v>
      </c>
      <c r="C697" s="49" t="s">
        <v>767</v>
      </c>
      <c r="D697" s="50" t="str">
        <f t="shared" si="50"/>
        <v>Mina MOUSSA</v>
      </c>
      <c r="E697" s="50" t="str">
        <f t="shared" si="51"/>
        <v>juil</v>
      </c>
      <c r="F697" s="50">
        <f t="shared" si="52"/>
        <v>15</v>
      </c>
      <c r="G697" s="50">
        <f t="shared" si="53"/>
        <v>2026</v>
      </c>
      <c r="H697" s="51">
        <f>IF($C697="","",IFERROR(DATE(G697,VLOOKUP(E697,Paramètres!$K$11:$L$40,2,FALSE()),F697),"?"))</f>
        <v>46218</v>
      </c>
      <c r="I697" s="50">
        <f>IF(ISNUMBER(H697),IF(COUNTIFS($D$2:D697,D697,$H$2:H697,H697)=1,1,0),"")</f>
        <v>1</v>
      </c>
      <c r="J697" s="50">
        <f>IF(ISNUMBER(H697),IFERROR(INDEX(Calendrier!$C$2:$C$367,MATCH(H697,Calendrier!$A$2:$A$367,0)),0),"")</f>
        <v>1</v>
      </c>
      <c r="K697" s="50">
        <f t="shared" si="54"/>
        <v>1</v>
      </c>
      <c r="L697" s="50">
        <f>IF(D697="","",IF(COUNTIF(Paramètres!$A$11:$A$40,D697)&gt;0,1,0))</f>
        <v>1</v>
      </c>
    </row>
    <row r="698" spans="1:12" hidden="1" x14ac:dyDescent="0.25">
      <c r="A698" s="49"/>
      <c r="B698" s="49" t="s">
        <v>764</v>
      </c>
      <c r="C698" s="49" t="s">
        <v>768</v>
      </c>
      <c r="D698" s="50" t="str">
        <f t="shared" si="50"/>
        <v>Mina MOUSSA</v>
      </c>
      <c r="E698" s="50" t="str">
        <f t="shared" si="51"/>
        <v>juil</v>
      </c>
      <c r="F698" s="50">
        <f t="shared" si="52"/>
        <v>20</v>
      </c>
      <c r="G698" s="50">
        <f t="shared" si="53"/>
        <v>2026</v>
      </c>
      <c r="H698" s="51">
        <f>IF($C698="","",IFERROR(DATE(G698,VLOOKUP(E698,Paramètres!$K$11:$L$40,2,FALSE()),F698),"?"))</f>
        <v>46223</v>
      </c>
      <c r="I698" s="50">
        <f>IF(ISNUMBER(H698),IF(COUNTIFS($D$2:D698,D698,$H$2:H698,H698)=1,1,0),"")</f>
        <v>1</v>
      </c>
      <c r="J698" s="50">
        <f>IF(ISNUMBER(H698),IFERROR(INDEX(Calendrier!$C$2:$C$367,MATCH(H698,Calendrier!$A$2:$A$367,0)),0),"")</f>
        <v>1</v>
      </c>
      <c r="K698" s="50">
        <f t="shared" si="54"/>
        <v>1</v>
      </c>
      <c r="L698" s="50">
        <f>IF(D698="","",IF(COUNTIF(Paramètres!$A$11:$A$40,D698)&gt;0,1,0))</f>
        <v>1</v>
      </c>
    </row>
    <row r="699" spans="1:12" hidden="1" x14ac:dyDescent="0.25">
      <c r="A699" s="49"/>
      <c r="B699" s="49" t="s">
        <v>764</v>
      </c>
      <c r="C699" s="49" t="s">
        <v>769</v>
      </c>
      <c r="D699" s="50" t="str">
        <f t="shared" si="50"/>
        <v>Mina MOUSSA</v>
      </c>
      <c r="E699" s="50" t="str">
        <f t="shared" si="51"/>
        <v>juil</v>
      </c>
      <c r="F699" s="50">
        <f t="shared" si="52"/>
        <v>22</v>
      </c>
      <c r="G699" s="50">
        <f t="shared" si="53"/>
        <v>2026</v>
      </c>
      <c r="H699" s="51">
        <f>IF($C699="","",IFERROR(DATE(G699,VLOOKUP(E699,Paramètres!$K$11:$L$40,2,FALSE()),F699),"?"))</f>
        <v>46225</v>
      </c>
      <c r="I699" s="50">
        <f>IF(ISNUMBER(H699),IF(COUNTIFS($D$2:D699,D699,$H$2:H699,H699)=1,1,0),"")</f>
        <v>1</v>
      </c>
      <c r="J699" s="50">
        <f>IF(ISNUMBER(H699),IFERROR(INDEX(Calendrier!$C$2:$C$367,MATCH(H699,Calendrier!$A$2:$A$367,0)),0),"")</f>
        <v>1</v>
      </c>
      <c r="K699" s="50">
        <f t="shared" si="54"/>
        <v>1</v>
      </c>
      <c r="L699" s="50">
        <f>IF(D699="","",IF(COUNTIF(Paramètres!$A$11:$A$40,D699)&gt;0,1,0))</f>
        <v>1</v>
      </c>
    </row>
    <row r="700" spans="1:12" hidden="1" x14ac:dyDescent="0.25">
      <c r="A700" s="49"/>
      <c r="B700" s="49" t="s">
        <v>764</v>
      </c>
      <c r="C700" s="49" t="s">
        <v>770</v>
      </c>
      <c r="D700" s="50" t="str">
        <f t="shared" si="50"/>
        <v>Mina MOUSSA</v>
      </c>
      <c r="E700" s="50" t="str">
        <f t="shared" si="51"/>
        <v>juil</v>
      </c>
      <c r="F700" s="50">
        <f t="shared" si="52"/>
        <v>23</v>
      </c>
      <c r="G700" s="50">
        <f t="shared" si="53"/>
        <v>2026</v>
      </c>
      <c r="H700" s="51">
        <f>IF($C700="","",IFERROR(DATE(G700,VLOOKUP(E700,Paramètres!$K$11:$L$40,2,FALSE()),F700),"?"))</f>
        <v>46226</v>
      </c>
      <c r="I700" s="50">
        <f>IF(ISNUMBER(H700),IF(COUNTIFS($D$2:D700,D700,$H$2:H700,H700)=1,1,0),"")</f>
        <v>1</v>
      </c>
      <c r="J700" s="50">
        <f>IF(ISNUMBER(H700),IFERROR(INDEX(Calendrier!$C$2:$C$367,MATCH(H700,Calendrier!$A$2:$A$367,0)),0),"")</f>
        <v>1</v>
      </c>
      <c r="K700" s="50">
        <f t="shared" si="54"/>
        <v>1</v>
      </c>
      <c r="L700" s="50">
        <f>IF(D700="","",IF(COUNTIF(Paramètres!$A$11:$A$40,D700)&gt;0,1,0))</f>
        <v>1</v>
      </c>
    </row>
    <row r="701" spans="1:12" hidden="1" x14ac:dyDescent="0.25">
      <c r="A701" s="49"/>
      <c r="B701" s="49" t="s">
        <v>764</v>
      </c>
      <c r="C701" s="49" t="s">
        <v>771</v>
      </c>
      <c r="D701" s="50" t="str">
        <f t="shared" si="50"/>
        <v>Mina MOUSSA</v>
      </c>
      <c r="E701" s="50" t="str">
        <f t="shared" si="51"/>
        <v>juil</v>
      </c>
      <c r="F701" s="50">
        <f t="shared" si="52"/>
        <v>27</v>
      </c>
      <c r="G701" s="50">
        <f t="shared" si="53"/>
        <v>2026</v>
      </c>
      <c r="H701" s="51">
        <f>IF($C701="","",IFERROR(DATE(G701,VLOOKUP(E701,Paramètres!$K$11:$L$40,2,FALSE()),F701),"?"))</f>
        <v>46230</v>
      </c>
      <c r="I701" s="50">
        <f>IF(ISNUMBER(H701),IF(COUNTIFS($D$2:D701,D701,$H$2:H701,H701)=1,1,0),"")</f>
        <v>1</v>
      </c>
      <c r="J701" s="50">
        <f>IF(ISNUMBER(H701),IFERROR(INDEX(Calendrier!$C$2:$C$367,MATCH(H701,Calendrier!$A$2:$A$367,0)),0),"")</f>
        <v>1</v>
      </c>
      <c r="K701" s="50">
        <f t="shared" si="54"/>
        <v>1</v>
      </c>
      <c r="L701" s="50">
        <f>IF(D701="","",IF(COUNTIF(Paramètres!$A$11:$A$40,D701)&gt;0,1,0))</f>
        <v>1</v>
      </c>
    </row>
    <row r="702" spans="1:12" hidden="1" x14ac:dyDescent="0.25">
      <c r="A702" s="49"/>
      <c r="B702" s="49" t="s">
        <v>764</v>
      </c>
      <c r="C702" s="49" t="s">
        <v>772</v>
      </c>
      <c r="D702" s="50" t="str">
        <f t="shared" si="50"/>
        <v>Mina MOUSSA</v>
      </c>
      <c r="E702" s="50" t="str">
        <f t="shared" si="51"/>
        <v>juil</v>
      </c>
      <c r="F702" s="50">
        <f t="shared" si="52"/>
        <v>29</v>
      </c>
      <c r="G702" s="50">
        <f t="shared" si="53"/>
        <v>2026</v>
      </c>
      <c r="H702" s="51">
        <f>IF($C702="","",IFERROR(DATE(G702,VLOOKUP(E702,Paramètres!$K$11:$L$40,2,FALSE()),F702),"?"))</f>
        <v>46232</v>
      </c>
      <c r="I702" s="50">
        <f>IF(ISNUMBER(H702),IF(COUNTIFS($D$2:D702,D702,$H$2:H702,H702)=1,1,0),"")</f>
        <v>1</v>
      </c>
      <c r="J702" s="50">
        <f>IF(ISNUMBER(H702),IFERROR(INDEX(Calendrier!$C$2:$C$367,MATCH(H702,Calendrier!$A$2:$A$367,0)),0),"")</f>
        <v>1</v>
      </c>
      <c r="K702" s="50">
        <f t="shared" si="54"/>
        <v>1</v>
      </c>
      <c r="L702" s="50">
        <f>IF(D702="","",IF(COUNTIF(Paramètres!$A$11:$A$40,D702)&gt;0,1,0))</f>
        <v>1</v>
      </c>
    </row>
    <row r="703" spans="1:12" hidden="1" x14ac:dyDescent="0.25">
      <c r="A703" s="49"/>
      <c r="B703" s="49" t="s">
        <v>52</v>
      </c>
      <c r="C703" s="49" t="s">
        <v>773</v>
      </c>
      <c r="D703" s="50" t="str">
        <f t="shared" si="50"/>
        <v>Amine Latrech</v>
      </c>
      <c r="E703" s="50" t="str">
        <f t="shared" si="51"/>
        <v>juil</v>
      </c>
      <c r="F703" s="50">
        <f t="shared" si="52"/>
        <v>1</v>
      </c>
      <c r="G703" s="50">
        <f t="shared" si="53"/>
        <v>2026</v>
      </c>
      <c r="H703" s="51">
        <f>IF($C703="","",IFERROR(DATE(G703,VLOOKUP(E703,Paramètres!$K$11:$L$40,2,FALSE()),F703),"?"))</f>
        <v>46204</v>
      </c>
      <c r="I703" s="50">
        <f>IF(ISNUMBER(H703),IF(COUNTIFS($D$2:D703,D703,$H$2:H703,H703)=1,1,0),"")</f>
        <v>1</v>
      </c>
      <c r="J703" s="50">
        <f>IF(ISNUMBER(H703),IFERROR(INDEX(Calendrier!$C$2:$C$367,MATCH(H703,Calendrier!$A$2:$A$367,0)),0),"")</f>
        <v>1</v>
      </c>
      <c r="K703" s="50">
        <f t="shared" si="54"/>
        <v>1</v>
      </c>
      <c r="L703" s="50">
        <f>IF(D703="","",IF(COUNTIF(Paramètres!$A$11:$A$40,D703)&gt;0,1,0))</f>
        <v>1</v>
      </c>
    </row>
    <row r="704" spans="1:12" hidden="1" x14ac:dyDescent="0.25">
      <c r="A704" s="49"/>
      <c r="B704" s="49" t="s">
        <v>52</v>
      </c>
      <c r="C704" s="49" t="s">
        <v>774</v>
      </c>
      <c r="D704" s="50" t="str">
        <f t="shared" si="50"/>
        <v>Amine Latrech</v>
      </c>
      <c r="E704" s="50" t="str">
        <f t="shared" si="51"/>
        <v>juil</v>
      </c>
      <c r="F704" s="50">
        <f t="shared" si="52"/>
        <v>1</v>
      </c>
      <c r="G704" s="50">
        <f t="shared" si="53"/>
        <v>2026</v>
      </c>
      <c r="H704" s="51">
        <f>IF($C704="","",IFERROR(DATE(G704,VLOOKUP(E704,Paramètres!$K$11:$L$40,2,FALSE()),F704),"?"))</f>
        <v>46204</v>
      </c>
      <c r="I704" s="50">
        <f>IF(ISNUMBER(H704),IF(COUNTIFS($D$2:D704,D704,$H$2:H704,H704)=1,1,0),"")</f>
        <v>0</v>
      </c>
      <c r="J704" s="50">
        <f>IF(ISNUMBER(H704),IFERROR(INDEX(Calendrier!$C$2:$C$367,MATCH(H704,Calendrier!$A$2:$A$367,0)),0),"")</f>
        <v>1</v>
      </c>
      <c r="K704" s="50">
        <f t="shared" si="54"/>
        <v>0</v>
      </c>
      <c r="L704" s="50">
        <f>IF(D704="","",IF(COUNTIF(Paramètres!$A$11:$A$40,D704)&gt;0,1,0))</f>
        <v>1</v>
      </c>
    </row>
    <row r="705" spans="1:12" hidden="1" x14ac:dyDescent="0.25">
      <c r="A705" s="49"/>
      <c r="B705" s="49" t="s">
        <v>52</v>
      </c>
      <c r="C705" s="49" t="s">
        <v>775</v>
      </c>
      <c r="D705" s="50" t="str">
        <f t="shared" si="50"/>
        <v>Amine Latrech</v>
      </c>
      <c r="E705" s="50" t="str">
        <f t="shared" si="51"/>
        <v>juil</v>
      </c>
      <c r="F705" s="50">
        <f t="shared" si="52"/>
        <v>29</v>
      </c>
      <c r="G705" s="50">
        <f t="shared" si="53"/>
        <v>2026</v>
      </c>
      <c r="H705" s="51">
        <f>IF($C705="","",IFERROR(DATE(G705,VLOOKUP(E705,Paramètres!$K$11:$L$40,2,FALSE()),F705),"?"))</f>
        <v>46232</v>
      </c>
      <c r="I705" s="50">
        <f>IF(ISNUMBER(H705),IF(COUNTIFS($D$2:D705,D705,$H$2:H705,H705)=1,1,0),"")</f>
        <v>1</v>
      </c>
      <c r="J705" s="50">
        <f>IF(ISNUMBER(H705),IFERROR(INDEX(Calendrier!$C$2:$C$367,MATCH(H705,Calendrier!$A$2:$A$367,0)),0),"")</f>
        <v>1</v>
      </c>
      <c r="K705" s="50">
        <f t="shared" si="54"/>
        <v>1</v>
      </c>
      <c r="L705" s="50">
        <f>IF(D705="","",IF(COUNTIF(Paramètres!$A$11:$A$40,D705)&gt;0,1,0))</f>
        <v>1</v>
      </c>
    </row>
    <row r="706" spans="1:12" hidden="1" x14ac:dyDescent="0.25">
      <c r="A706" s="49"/>
      <c r="B706" s="49" t="s">
        <v>83</v>
      </c>
      <c r="C706" s="49" t="s">
        <v>776</v>
      </c>
      <c r="D706" s="50" t="str">
        <f t="shared" ref="D706:D769" si="55">IF(B706="","",TRIM(B706))</f>
        <v>Safouen Magdouli</v>
      </c>
      <c r="E706" s="50" t="str">
        <f t="shared" ref="E706:E769" si="56">IF($C706="","",LEFT($C706,FIND(" ",$C706)-1))</f>
        <v>juil</v>
      </c>
      <c r="F706" s="50">
        <f t="shared" ref="F706:F769" si="57">IF($C706="","",IFERROR(VALUE(LEFT(MID($C706,FIND(" ",$C706)+1,20),FIND(" ",MID($C706,FIND(" ",$C706)+1,20))-1)),"?"))</f>
        <v>1</v>
      </c>
      <c r="G706" s="50">
        <f t="shared" ref="G706:G769" si="58">IF($C706="","",IFERROR(VALUE(MID(MID($C706,FIND(" ",$C706)+1,20),FIND(" ",MID($C706,FIND(" ",$C706)+1,20))+1,4)),"?"))</f>
        <v>2026</v>
      </c>
      <c r="H706" s="51">
        <f>IF($C706="","",IFERROR(DATE(G706,VLOOKUP(E706,Paramètres!$K$11:$L$40,2,FALSE()),F706),"?"))</f>
        <v>46204</v>
      </c>
      <c r="I706" s="50">
        <f>IF(ISNUMBER(H706),IF(COUNTIFS($D$2:D706,D706,$H$2:H706,H706)=1,1,0),"")</f>
        <v>1</v>
      </c>
      <c r="J706" s="50">
        <f>IF(ISNUMBER(H706),IFERROR(INDEX(Calendrier!$C$2:$C$367,MATCH(H706,Calendrier!$A$2:$A$367,0)),0),"")</f>
        <v>1</v>
      </c>
      <c r="K706" s="50">
        <f t="shared" ref="K706:K769" si="59">IF(ISNUMBER(H706),I706*J706,"")</f>
        <v>1</v>
      </c>
      <c r="L706" s="50">
        <f>IF(D706="","",IF(COUNTIF(Paramètres!$A$11:$A$40,D706)&gt;0,1,0))</f>
        <v>1</v>
      </c>
    </row>
    <row r="707" spans="1:12" hidden="1" x14ac:dyDescent="0.25">
      <c r="A707" s="49"/>
      <c r="B707" s="49" t="s">
        <v>83</v>
      </c>
      <c r="C707" s="49" t="s">
        <v>777</v>
      </c>
      <c r="D707" s="50" t="str">
        <f t="shared" si="55"/>
        <v>Safouen Magdouli</v>
      </c>
      <c r="E707" s="50" t="str">
        <f t="shared" si="56"/>
        <v>juil</v>
      </c>
      <c r="F707" s="50">
        <f t="shared" si="57"/>
        <v>4</v>
      </c>
      <c r="G707" s="50">
        <f t="shared" si="58"/>
        <v>2026</v>
      </c>
      <c r="H707" s="51">
        <f>IF($C707="","",IFERROR(DATE(G707,VLOOKUP(E707,Paramètres!$K$11:$L$40,2,FALSE()),F707),"?"))</f>
        <v>46207</v>
      </c>
      <c r="I707" s="50">
        <f>IF(ISNUMBER(H707),IF(COUNTIFS($D$2:D707,D707,$H$2:H707,H707)=1,1,0),"")</f>
        <v>1</v>
      </c>
      <c r="J707" s="50">
        <f>IF(ISNUMBER(H707),IFERROR(INDEX(Calendrier!$C$2:$C$367,MATCH(H707,Calendrier!$A$2:$A$367,0)),0),"")</f>
        <v>0</v>
      </c>
      <c r="K707" s="50">
        <f t="shared" si="59"/>
        <v>0</v>
      </c>
      <c r="L707" s="50">
        <f>IF(D707="","",IF(COUNTIF(Paramètres!$A$11:$A$40,D707)&gt;0,1,0))</f>
        <v>1</v>
      </c>
    </row>
    <row r="708" spans="1:12" hidden="1" x14ac:dyDescent="0.25">
      <c r="A708" s="49"/>
      <c r="B708" s="49" t="s">
        <v>83</v>
      </c>
      <c r="C708" s="49" t="s">
        <v>778</v>
      </c>
      <c r="D708" s="50" t="str">
        <f t="shared" si="55"/>
        <v>Safouen Magdouli</v>
      </c>
      <c r="E708" s="50" t="str">
        <f t="shared" si="56"/>
        <v>juil</v>
      </c>
      <c r="F708" s="50">
        <f t="shared" si="57"/>
        <v>8</v>
      </c>
      <c r="G708" s="50">
        <f t="shared" si="58"/>
        <v>2026</v>
      </c>
      <c r="H708" s="51">
        <f>IF($C708="","",IFERROR(DATE(G708,VLOOKUP(E708,Paramètres!$K$11:$L$40,2,FALSE()),F708),"?"))</f>
        <v>46211</v>
      </c>
      <c r="I708" s="50">
        <f>IF(ISNUMBER(H708),IF(COUNTIFS($D$2:D708,D708,$H$2:H708,H708)=1,1,0),"")</f>
        <v>1</v>
      </c>
      <c r="J708" s="50">
        <f>IF(ISNUMBER(H708),IFERROR(INDEX(Calendrier!$C$2:$C$367,MATCH(H708,Calendrier!$A$2:$A$367,0)),0),"")</f>
        <v>1</v>
      </c>
      <c r="K708" s="50">
        <f t="shared" si="59"/>
        <v>1</v>
      </c>
      <c r="L708" s="50">
        <f>IF(D708="","",IF(COUNTIF(Paramètres!$A$11:$A$40,D708)&gt;0,1,0))</f>
        <v>1</v>
      </c>
    </row>
    <row r="709" spans="1:12" hidden="1" x14ac:dyDescent="0.25">
      <c r="A709" s="49"/>
      <c r="B709" s="49" t="s">
        <v>83</v>
      </c>
      <c r="C709" s="49" t="s">
        <v>779</v>
      </c>
      <c r="D709" s="50" t="str">
        <f t="shared" si="55"/>
        <v>Safouen Magdouli</v>
      </c>
      <c r="E709" s="50" t="str">
        <f t="shared" si="56"/>
        <v>juil</v>
      </c>
      <c r="F709" s="50">
        <f t="shared" si="57"/>
        <v>13</v>
      </c>
      <c r="G709" s="50">
        <f t="shared" si="58"/>
        <v>2026</v>
      </c>
      <c r="H709" s="51">
        <f>IF($C709="","",IFERROR(DATE(G709,VLOOKUP(E709,Paramètres!$K$11:$L$40,2,FALSE()),F709),"?"))</f>
        <v>46216</v>
      </c>
      <c r="I709" s="50">
        <f>IF(ISNUMBER(H709),IF(COUNTIFS($D$2:D709,D709,$H$2:H709,H709)=1,1,0),"")</f>
        <v>1</v>
      </c>
      <c r="J709" s="50">
        <f>IF(ISNUMBER(H709),IFERROR(INDEX(Calendrier!$C$2:$C$367,MATCH(H709,Calendrier!$A$2:$A$367,0)),0),"")</f>
        <v>1</v>
      </c>
      <c r="K709" s="50">
        <f t="shared" si="59"/>
        <v>1</v>
      </c>
      <c r="L709" s="50">
        <f>IF(D709="","",IF(COUNTIF(Paramètres!$A$11:$A$40,D709)&gt;0,1,0))</f>
        <v>1</v>
      </c>
    </row>
    <row r="710" spans="1:12" hidden="1" x14ac:dyDescent="0.25">
      <c r="A710" s="49"/>
      <c r="B710" s="49" t="s">
        <v>83</v>
      </c>
      <c r="C710" s="49" t="s">
        <v>780</v>
      </c>
      <c r="D710" s="50" t="str">
        <f t="shared" si="55"/>
        <v>Safouen Magdouli</v>
      </c>
      <c r="E710" s="50" t="str">
        <f t="shared" si="56"/>
        <v>juil</v>
      </c>
      <c r="F710" s="50">
        <f t="shared" si="57"/>
        <v>15</v>
      </c>
      <c r="G710" s="50">
        <f t="shared" si="58"/>
        <v>2026</v>
      </c>
      <c r="H710" s="51">
        <f>IF($C710="","",IFERROR(DATE(G710,VLOOKUP(E710,Paramètres!$K$11:$L$40,2,FALSE()),F710),"?"))</f>
        <v>46218</v>
      </c>
      <c r="I710" s="50">
        <f>IF(ISNUMBER(H710),IF(COUNTIFS($D$2:D710,D710,$H$2:H710,H710)=1,1,0),"")</f>
        <v>1</v>
      </c>
      <c r="J710" s="50">
        <f>IF(ISNUMBER(H710),IFERROR(INDEX(Calendrier!$C$2:$C$367,MATCH(H710,Calendrier!$A$2:$A$367,0)),0),"")</f>
        <v>1</v>
      </c>
      <c r="K710" s="50">
        <f t="shared" si="59"/>
        <v>1</v>
      </c>
      <c r="L710" s="50">
        <f>IF(D710="","",IF(COUNTIF(Paramètres!$A$11:$A$40,D710)&gt;0,1,0))</f>
        <v>1</v>
      </c>
    </row>
    <row r="711" spans="1:12" hidden="1" x14ac:dyDescent="0.25">
      <c r="A711" s="49"/>
      <c r="B711" s="49" t="s">
        <v>83</v>
      </c>
      <c r="C711" s="49" t="s">
        <v>781</v>
      </c>
      <c r="D711" s="50" t="str">
        <f t="shared" si="55"/>
        <v>Safouen Magdouli</v>
      </c>
      <c r="E711" s="50" t="str">
        <f t="shared" si="56"/>
        <v>juil</v>
      </c>
      <c r="F711" s="50">
        <f t="shared" si="57"/>
        <v>21</v>
      </c>
      <c r="G711" s="50">
        <f t="shared" si="58"/>
        <v>2026</v>
      </c>
      <c r="H711" s="51">
        <f>IF($C711="","",IFERROR(DATE(G711,VLOOKUP(E711,Paramètres!$K$11:$L$40,2,FALSE()),F711),"?"))</f>
        <v>46224</v>
      </c>
      <c r="I711" s="50">
        <f>IF(ISNUMBER(H711),IF(COUNTIFS($D$2:D711,D711,$H$2:H711,H711)=1,1,0),"")</f>
        <v>1</v>
      </c>
      <c r="J711" s="50">
        <f>IF(ISNUMBER(H711),IFERROR(INDEX(Calendrier!$C$2:$C$367,MATCH(H711,Calendrier!$A$2:$A$367,0)),0),"")</f>
        <v>1</v>
      </c>
      <c r="K711" s="50">
        <f t="shared" si="59"/>
        <v>1</v>
      </c>
      <c r="L711" s="50">
        <f>IF(D711="","",IF(COUNTIF(Paramètres!$A$11:$A$40,D711)&gt;0,1,0))</f>
        <v>1</v>
      </c>
    </row>
    <row r="712" spans="1:12" hidden="1" x14ac:dyDescent="0.25">
      <c r="A712" s="49"/>
      <c r="B712" s="49" t="s">
        <v>83</v>
      </c>
      <c r="C712" s="49" t="s">
        <v>782</v>
      </c>
      <c r="D712" s="50" t="str">
        <f t="shared" si="55"/>
        <v>Safouen Magdouli</v>
      </c>
      <c r="E712" s="50" t="str">
        <f t="shared" si="56"/>
        <v>juil</v>
      </c>
      <c r="F712" s="50">
        <f t="shared" si="57"/>
        <v>29</v>
      </c>
      <c r="G712" s="50">
        <f t="shared" si="58"/>
        <v>2026</v>
      </c>
      <c r="H712" s="51">
        <f>IF($C712="","",IFERROR(DATE(G712,VLOOKUP(E712,Paramètres!$K$11:$L$40,2,FALSE()),F712),"?"))</f>
        <v>46232</v>
      </c>
      <c r="I712" s="50">
        <f>IF(ISNUMBER(H712),IF(COUNTIFS($D$2:D712,D712,$H$2:H712,H712)=1,1,0),"")</f>
        <v>1</v>
      </c>
      <c r="J712" s="50">
        <f>IF(ISNUMBER(H712),IFERROR(INDEX(Calendrier!$C$2:$C$367,MATCH(H712,Calendrier!$A$2:$A$367,0)),0),"")</f>
        <v>1</v>
      </c>
      <c r="K712" s="50">
        <f t="shared" si="59"/>
        <v>1</v>
      </c>
      <c r="L712" s="50">
        <f>IF(D712="","",IF(COUNTIF(Paramètres!$A$11:$A$40,D712)&gt;0,1,0))</f>
        <v>1</v>
      </c>
    </row>
    <row r="713" spans="1:12" hidden="1" x14ac:dyDescent="0.25">
      <c r="A713" s="49"/>
      <c r="B713" s="49" t="s">
        <v>81</v>
      </c>
      <c r="C713" s="49" t="s">
        <v>783</v>
      </c>
      <c r="D713" s="50" t="str">
        <f t="shared" si="55"/>
        <v>Sabrine Neffeti</v>
      </c>
      <c r="E713" s="50" t="str">
        <f t="shared" si="56"/>
        <v>juil</v>
      </c>
      <c r="F713" s="50">
        <f t="shared" si="57"/>
        <v>1</v>
      </c>
      <c r="G713" s="50">
        <f t="shared" si="58"/>
        <v>2026</v>
      </c>
      <c r="H713" s="51">
        <f>IF($C713="","",IFERROR(DATE(G713,VLOOKUP(E713,Paramètres!$K$11:$L$40,2,FALSE()),F713),"?"))</f>
        <v>46204</v>
      </c>
      <c r="I713" s="50">
        <f>IF(ISNUMBER(H713),IF(COUNTIFS($D$2:D713,D713,$H$2:H713,H713)=1,1,0),"")</f>
        <v>1</v>
      </c>
      <c r="J713" s="50">
        <f>IF(ISNUMBER(H713),IFERROR(INDEX(Calendrier!$C$2:$C$367,MATCH(H713,Calendrier!$A$2:$A$367,0)),0),"")</f>
        <v>1</v>
      </c>
      <c r="K713" s="50">
        <f t="shared" si="59"/>
        <v>1</v>
      </c>
      <c r="L713" s="50">
        <f>IF(D713="","",IF(COUNTIF(Paramètres!$A$11:$A$40,D713)&gt;0,1,0))</f>
        <v>1</v>
      </c>
    </row>
    <row r="714" spans="1:12" hidden="1" x14ac:dyDescent="0.25">
      <c r="A714" s="49"/>
      <c r="B714" s="49" t="s">
        <v>81</v>
      </c>
      <c r="C714" s="49" t="s">
        <v>784</v>
      </c>
      <c r="D714" s="50" t="str">
        <f t="shared" si="55"/>
        <v>Sabrine Neffeti</v>
      </c>
      <c r="E714" s="50" t="str">
        <f t="shared" si="56"/>
        <v>juil</v>
      </c>
      <c r="F714" s="50">
        <f t="shared" si="57"/>
        <v>4</v>
      </c>
      <c r="G714" s="50">
        <f t="shared" si="58"/>
        <v>2026</v>
      </c>
      <c r="H714" s="51">
        <f>IF($C714="","",IFERROR(DATE(G714,VLOOKUP(E714,Paramètres!$K$11:$L$40,2,FALSE()),F714),"?"))</f>
        <v>46207</v>
      </c>
      <c r="I714" s="50">
        <f>IF(ISNUMBER(H714),IF(COUNTIFS($D$2:D714,D714,$H$2:H714,H714)=1,1,0),"")</f>
        <v>1</v>
      </c>
      <c r="J714" s="50">
        <f>IF(ISNUMBER(H714),IFERROR(INDEX(Calendrier!$C$2:$C$367,MATCH(H714,Calendrier!$A$2:$A$367,0)),0),"")</f>
        <v>0</v>
      </c>
      <c r="K714" s="50">
        <f t="shared" si="59"/>
        <v>0</v>
      </c>
      <c r="L714" s="50">
        <f>IF(D714="","",IF(COUNTIF(Paramètres!$A$11:$A$40,D714)&gt;0,1,0))</f>
        <v>1</v>
      </c>
    </row>
    <row r="715" spans="1:12" hidden="1" x14ac:dyDescent="0.25">
      <c r="A715" s="49"/>
      <c r="B715" s="49" t="s">
        <v>81</v>
      </c>
      <c r="C715" s="49" t="s">
        <v>785</v>
      </c>
      <c r="D715" s="50" t="str">
        <f t="shared" si="55"/>
        <v>Sabrine Neffeti</v>
      </c>
      <c r="E715" s="50" t="str">
        <f t="shared" si="56"/>
        <v>juil</v>
      </c>
      <c r="F715" s="50">
        <f t="shared" si="57"/>
        <v>6</v>
      </c>
      <c r="G715" s="50">
        <f t="shared" si="58"/>
        <v>2026</v>
      </c>
      <c r="H715" s="51">
        <f>IF($C715="","",IFERROR(DATE(G715,VLOOKUP(E715,Paramètres!$K$11:$L$40,2,FALSE()),F715),"?"))</f>
        <v>46209</v>
      </c>
      <c r="I715" s="50">
        <f>IF(ISNUMBER(H715),IF(COUNTIFS($D$2:D715,D715,$H$2:H715,H715)=1,1,0),"")</f>
        <v>1</v>
      </c>
      <c r="J715" s="50">
        <f>IF(ISNUMBER(H715),IFERROR(INDEX(Calendrier!$C$2:$C$367,MATCH(H715,Calendrier!$A$2:$A$367,0)),0),"")</f>
        <v>1</v>
      </c>
      <c r="K715" s="50">
        <f t="shared" si="59"/>
        <v>1</v>
      </c>
      <c r="L715" s="50">
        <f>IF(D715="","",IF(COUNTIF(Paramètres!$A$11:$A$40,D715)&gt;0,1,0))</f>
        <v>1</v>
      </c>
    </row>
    <row r="716" spans="1:12" hidden="1" x14ac:dyDescent="0.25">
      <c r="A716" s="49"/>
      <c r="B716" s="49" t="s">
        <v>81</v>
      </c>
      <c r="C716" s="49" t="s">
        <v>786</v>
      </c>
      <c r="D716" s="50" t="str">
        <f t="shared" si="55"/>
        <v>Sabrine Neffeti</v>
      </c>
      <c r="E716" s="50" t="str">
        <f t="shared" si="56"/>
        <v>juil</v>
      </c>
      <c r="F716" s="50">
        <f t="shared" si="57"/>
        <v>8</v>
      </c>
      <c r="G716" s="50">
        <f t="shared" si="58"/>
        <v>2026</v>
      </c>
      <c r="H716" s="51">
        <f>IF($C716="","",IFERROR(DATE(G716,VLOOKUP(E716,Paramètres!$K$11:$L$40,2,FALSE()),F716),"?"))</f>
        <v>46211</v>
      </c>
      <c r="I716" s="50">
        <f>IF(ISNUMBER(H716),IF(COUNTIFS($D$2:D716,D716,$H$2:H716,H716)=1,1,0),"")</f>
        <v>1</v>
      </c>
      <c r="J716" s="50">
        <f>IF(ISNUMBER(H716),IFERROR(INDEX(Calendrier!$C$2:$C$367,MATCH(H716,Calendrier!$A$2:$A$367,0)),0),"")</f>
        <v>1</v>
      </c>
      <c r="K716" s="50">
        <f t="shared" si="59"/>
        <v>1</v>
      </c>
      <c r="L716" s="50">
        <f>IF(D716="","",IF(COUNTIF(Paramètres!$A$11:$A$40,D716)&gt;0,1,0))</f>
        <v>1</v>
      </c>
    </row>
    <row r="717" spans="1:12" hidden="1" x14ac:dyDescent="0.25">
      <c r="A717" s="49"/>
      <c r="B717" s="49" t="s">
        <v>81</v>
      </c>
      <c r="C717" s="49" t="s">
        <v>787</v>
      </c>
      <c r="D717" s="50" t="str">
        <f t="shared" si="55"/>
        <v>Sabrine Neffeti</v>
      </c>
      <c r="E717" s="50" t="str">
        <f t="shared" si="56"/>
        <v>juil</v>
      </c>
      <c r="F717" s="50">
        <f t="shared" si="57"/>
        <v>13</v>
      </c>
      <c r="G717" s="50">
        <f t="shared" si="58"/>
        <v>2026</v>
      </c>
      <c r="H717" s="51">
        <f>IF($C717="","",IFERROR(DATE(G717,VLOOKUP(E717,Paramètres!$K$11:$L$40,2,FALSE()),F717),"?"))</f>
        <v>46216</v>
      </c>
      <c r="I717" s="50">
        <f>IF(ISNUMBER(H717),IF(COUNTIFS($D$2:D717,D717,$H$2:H717,H717)=1,1,0),"")</f>
        <v>1</v>
      </c>
      <c r="J717" s="50">
        <f>IF(ISNUMBER(H717),IFERROR(INDEX(Calendrier!$C$2:$C$367,MATCH(H717,Calendrier!$A$2:$A$367,0)),0),"")</f>
        <v>1</v>
      </c>
      <c r="K717" s="50">
        <f t="shared" si="59"/>
        <v>1</v>
      </c>
      <c r="L717" s="50">
        <f>IF(D717="","",IF(COUNTIF(Paramètres!$A$11:$A$40,D717)&gt;0,1,0))</f>
        <v>1</v>
      </c>
    </row>
    <row r="718" spans="1:12" hidden="1" x14ac:dyDescent="0.25">
      <c r="A718" s="49"/>
      <c r="B718" s="49" t="s">
        <v>81</v>
      </c>
      <c r="C718" s="49" t="s">
        <v>788</v>
      </c>
      <c r="D718" s="50" t="str">
        <f t="shared" si="55"/>
        <v>Sabrine Neffeti</v>
      </c>
      <c r="E718" s="50" t="str">
        <f t="shared" si="56"/>
        <v>juil</v>
      </c>
      <c r="F718" s="50">
        <f t="shared" si="57"/>
        <v>15</v>
      </c>
      <c r="G718" s="50">
        <f t="shared" si="58"/>
        <v>2026</v>
      </c>
      <c r="H718" s="51">
        <f>IF($C718="","",IFERROR(DATE(G718,VLOOKUP(E718,Paramètres!$K$11:$L$40,2,FALSE()),F718),"?"))</f>
        <v>46218</v>
      </c>
      <c r="I718" s="50">
        <f>IF(ISNUMBER(H718),IF(COUNTIFS($D$2:D718,D718,$H$2:H718,H718)=1,1,0),"")</f>
        <v>1</v>
      </c>
      <c r="J718" s="50">
        <f>IF(ISNUMBER(H718),IFERROR(INDEX(Calendrier!$C$2:$C$367,MATCH(H718,Calendrier!$A$2:$A$367,0)),0),"")</f>
        <v>1</v>
      </c>
      <c r="K718" s="50">
        <f t="shared" si="59"/>
        <v>1</v>
      </c>
      <c r="L718" s="50">
        <f>IF(D718="","",IF(COUNTIF(Paramètres!$A$11:$A$40,D718)&gt;0,1,0))</f>
        <v>1</v>
      </c>
    </row>
    <row r="719" spans="1:12" hidden="1" x14ac:dyDescent="0.25">
      <c r="A719" s="49"/>
      <c r="B719" s="49" t="s">
        <v>81</v>
      </c>
      <c r="C719" s="49" t="s">
        <v>789</v>
      </c>
      <c r="D719" s="50" t="str">
        <f t="shared" si="55"/>
        <v>Sabrine Neffeti</v>
      </c>
      <c r="E719" s="50" t="str">
        <f t="shared" si="56"/>
        <v>juil</v>
      </c>
      <c r="F719" s="50">
        <f t="shared" si="57"/>
        <v>21</v>
      </c>
      <c r="G719" s="50">
        <f t="shared" si="58"/>
        <v>2026</v>
      </c>
      <c r="H719" s="51">
        <f>IF($C719="","",IFERROR(DATE(G719,VLOOKUP(E719,Paramètres!$K$11:$L$40,2,FALSE()),F719),"?"))</f>
        <v>46224</v>
      </c>
      <c r="I719" s="50">
        <f>IF(ISNUMBER(H719),IF(COUNTIFS($D$2:D719,D719,$H$2:H719,H719)=1,1,0),"")</f>
        <v>1</v>
      </c>
      <c r="J719" s="50">
        <f>IF(ISNUMBER(H719),IFERROR(INDEX(Calendrier!$C$2:$C$367,MATCH(H719,Calendrier!$A$2:$A$367,0)),0),"")</f>
        <v>1</v>
      </c>
      <c r="K719" s="50">
        <f t="shared" si="59"/>
        <v>1</v>
      </c>
      <c r="L719" s="50">
        <f>IF(D719="","",IF(COUNTIF(Paramètres!$A$11:$A$40,D719)&gt;0,1,0))</f>
        <v>1</v>
      </c>
    </row>
    <row r="720" spans="1:12" hidden="1" x14ac:dyDescent="0.25">
      <c r="A720" s="49"/>
      <c r="B720" s="49" t="s">
        <v>81</v>
      </c>
      <c r="C720" s="49" t="s">
        <v>790</v>
      </c>
      <c r="D720" s="50" t="str">
        <f t="shared" si="55"/>
        <v>Sabrine Neffeti</v>
      </c>
      <c r="E720" s="50" t="str">
        <f t="shared" si="56"/>
        <v>juil</v>
      </c>
      <c r="F720" s="50">
        <f t="shared" si="57"/>
        <v>27</v>
      </c>
      <c r="G720" s="50">
        <f t="shared" si="58"/>
        <v>2026</v>
      </c>
      <c r="H720" s="51">
        <f>IF($C720="","",IFERROR(DATE(G720,VLOOKUP(E720,Paramètres!$K$11:$L$40,2,FALSE()),F720),"?"))</f>
        <v>46230</v>
      </c>
      <c r="I720" s="50">
        <f>IF(ISNUMBER(H720),IF(COUNTIFS($D$2:D720,D720,$H$2:H720,H720)=1,1,0),"")</f>
        <v>1</v>
      </c>
      <c r="J720" s="50">
        <f>IF(ISNUMBER(H720),IFERROR(INDEX(Calendrier!$C$2:$C$367,MATCH(H720,Calendrier!$A$2:$A$367,0)),0),"")</f>
        <v>1</v>
      </c>
      <c r="K720" s="50">
        <f t="shared" si="59"/>
        <v>1</v>
      </c>
      <c r="L720" s="50">
        <f>IF(D720="","",IF(COUNTIF(Paramètres!$A$11:$A$40,D720)&gt;0,1,0))</f>
        <v>1</v>
      </c>
    </row>
    <row r="721" spans="1:12" hidden="1" x14ac:dyDescent="0.25">
      <c r="A721" s="49"/>
      <c r="B721" s="49" t="s">
        <v>81</v>
      </c>
      <c r="C721" s="49" t="s">
        <v>791</v>
      </c>
      <c r="D721" s="50" t="str">
        <f t="shared" si="55"/>
        <v>Sabrine Neffeti</v>
      </c>
      <c r="E721" s="50" t="str">
        <f t="shared" si="56"/>
        <v>juil</v>
      </c>
      <c r="F721" s="50">
        <f t="shared" si="57"/>
        <v>29</v>
      </c>
      <c r="G721" s="50">
        <f t="shared" si="58"/>
        <v>2026</v>
      </c>
      <c r="H721" s="51">
        <f>IF($C721="","",IFERROR(DATE(G721,VLOOKUP(E721,Paramètres!$K$11:$L$40,2,FALSE()),F721),"?"))</f>
        <v>46232</v>
      </c>
      <c r="I721" s="50">
        <f>IF(ISNUMBER(H721),IF(COUNTIFS($D$2:D721,D721,$H$2:H721,H721)=1,1,0),"")</f>
        <v>1</v>
      </c>
      <c r="J721" s="50">
        <f>IF(ISNUMBER(H721),IFERROR(INDEX(Calendrier!$C$2:$C$367,MATCH(H721,Calendrier!$A$2:$A$367,0)),0),"")</f>
        <v>1</v>
      </c>
      <c r="K721" s="50">
        <f t="shared" si="59"/>
        <v>1</v>
      </c>
      <c r="L721" s="50">
        <f>IF(D721="","",IF(COUNTIF(Paramètres!$A$11:$A$40,D721)&gt;0,1,0))</f>
        <v>1</v>
      </c>
    </row>
    <row r="722" spans="1:12" hidden="1" x14ac:dyDescent="0.25">
      <c r="A722" s="49"/>
      <c r="B722" s="49" t="s">
        <v>45</v>
      </c>
      <c r="C722" s="49" t="s">
        <v>792</v>
      </c>
      <c r="D722" s="50" t="str">
        <f t="shared" si="55"/>
        <v>Ahlem Moussa</v>
      </c>
      <c r="E722" s="50" t="str">
        <f t="shared" si="56"/>
        <v>juil</v>
      </c>
      <c r="F722" s="50">
        <f t="shared" si="57"/>
        <v>2</v>
      </c>
      <c r="G722" s="50">
        <f t="shared" si="58"/>
        <v>2026</v>
      </c>
      <c r="H722" s="51">
        <f>IF($C722="","",IFERROR(DATE(G722,VLOOKUP(E722,Paramètres!$K$11:$L$40,2,FALSE()),F722),"?"))</f>
        <v>46205</v>
      </c>
      <c r="I722" s="50">
        <f>IF(ISNUMBER(H722),IF(COUNTIFS($D$2:D722,D722,$H$2:H722,H722)=1,1,0),"")</f>
        <v>1</v>
      </c>
      <c r="J722" s="50">
        <f>IF(ISNUMBER(H722),IFERROR(INDEX(Calendrier!$C$2:$C$367,MATCH(H722,Calendrier!$A$2:$A$367,0)),0),"")</f>
        <v>1</v>
      </c>
      <c r="K722" s="50">
        <f t="shared" si="59"/>
        <v>1</v>
      </c>
      <c r="L722" s="50">
        <f>IF(D722="","",IF(COUNTIF(Paramètres!$A$11:$A$40,D722)&gt;0,1,0))</f>
        <v>1</v>
      </c>
    </row>
    <row r="723" spans="1:12" hidden="1" x14ac:dyDescent="0.25">
      <c r="A723" s="49"/>
      <c r="B723" s="49" t="s">
        <v>45</v>
      </c>
      <c r="C723" s="49" t="s">
        <v>793</v>
      </c>
      <c r="D723" s="50" t="str">
        <f t="shared" si="55"/>
        <v>Ahlem Moussa</v>
      </c>
      <c r="E723" s="50" t="str">
        <f t="shared" si="56"/>
        <v>juil</v>
      </c>
      <c r="F723" s="50">
        <f t="shared" si="57"/>
        <v>6</v>
      </c>
      <c r="G723" s="50">
        <f t="shared" si="58"/>
        <v>2026</v>
      </c>
      <c r="H723" s="51">
        <f>IF($C723="","",IFERROR(DATE(G723,VLOOKUP(E723,Paramètres!$K$11:$L$40,2,FALSE()),F723),"?"))</f>
        <v>46209</v>
      </c>
      <c r="I723" s="50">
        <f>IF(ISNUMBER(H723),IF(COUNTIFS($D$2:D723,D723,$H$2:H723,H723)=1,1,0),"")</f>
        <v>1</v>
      </c>
      <c r="J723" s="50">
        <f>IF(ISNUMBER(H723),IFERROR(INDEX(Calendrier!$C$2:$C$367,MATCH(H723,Calendrier!$A$2:$A$367,0)),0),"")</f>
        <v>1</v>
      </c>
      <c r="K723" s="50">
        <f t="shared" si="59"/>
        <v>1</v>
      </c>
      <c r="L723" s="50">
        <f>IF(D723="","",IF(COUNTIF(Paramètres!$A$11:$A$40,D723)&gt;0,1,0))</f>
        <v>1</v>
      </c>
    </row>
    <row r="724" spans="1:12" hidden="1" x14ac:dyDescent="0.25">
      <c r="A724" s="49"/>
      <c r="B724" s="49" t="s">
        <v>45</v>
      </c>
      <c r="C724" s="49" t="s">
        <v>794</v>
      </c>
      <c r="D724" s="50" t="str">
        <f t="shared" si="55"/>
        <v>Ahlem Moussa</v>
      </c>
      <c r="E724" s="50" t="str">
        <f t="shared" si="56"/>
        <v>juil</v>
      </c>
      <c r="F724" s="50">
        <f t="shared" si="57"/>
        <v>8</v>
      </c>
      <c r="G724" s="50">
        <f t="shared" si="58"/>
        <v>2026</v>
      </c>
      <c r="H724" s="51">
        <f>IF($C724="","",IFERROR(DATE(G724,VLOOKUP(E724,Paramètres!$K$11:$L$40,2,FALSE()),F724),"?"))</f>
        <v>46211</v>
      </c>
      <c r="I724" s="50">
        <f>IF(ISNUMBER(H724),IF(COUNTIFS($D$2:D724,D724,$H$2:H724,H724)=1,1,0),"")</f>
        <v>1</v>
      </c>
      <c r="J724" s="50">
        <f>IF(ISNUMBER(H724),IFERROR(INDEX(Calendrier!$C$2:$C$367,MATCH(H724,Calendrier!$A$2:$A$367,0)),0),"")</f>
        <v>1</v>
      </c>
      <c r="K724" s="50">
        <f t="shared" si="59"/>
        <v>1</v>
      </c>
      <c r="L724" s="50">
        <f>IF(D724="","",IF(COUNTIF(Paramètres!$A$11:$A$40,D724)&gt;0,1,0))</f>
        <v>1</v>
      </c>
    </row>
    <row r="725" spans="1:12" hidden="1" x14ac:dyDescent="0.25">
      <c r="A725" s="49"/>
      <c r="B725" s="49" t="s">
        <v>45</v>
      </c>
      <c r="C725" s="49" t="s">
        <v>795</v>
      </c>
      <c r="D725" s="50" t="str">
        <f t="shared" si="55"/>
        <v>Ahlem Moussa</v>
      </c>
      <c r="E725" s="50" t="str">
        <f t="shared" si="56"/>
        <v>juil</v>
      </c>
      <c r="F725" s="50">
        <f t="shared" si="57"/>
        <v>13</v>
      </c>
      <c r="G725" s="50">
        <f t="shared" si="58"/>
        <v>2026</v>
      </c>
      <c r="H725" s="51">
        <f>IF($C725="","",IFERROR(DATE(G725,VLOOKUP(E725,Paramètres!$K$11:$L$40,2,FALSE()),F725),"?"))</f>
        <v>46216</v>
      </c>
      <c r="I725" s="50">
        <f>IF(ISNUMBER(H725),IF(COUNTIFS($D$2:D725,D725,$H$2:H725,H725)=1,1,0),"")</f>
        <v>1</v>
      </c>
      <c r="J725" s="50">
        <f>IF(ISNUMBER(H725),IFERROR(INDEX(Calendrier!$C$2:$C$367,MATCH(H725,Calendrier!$A$2:$A$367,0)),0),"")</f>
        <v>1</v>
      </c>
      <c r="K725" s="50">
        <f t="shared" si="59"/>
        <v>1</v>
      </c>
      <c r="L725" s="50">
        <f>IF(D725="","",IF(COUNTIF(Paramètres!$A$11:$A$40,D725)&gt;0,1,0))</f>
        <v>1</v>
      </c>
    </row>
    <row r="726" spans="1:12" hidden="1" x14ac:dyDescent="0.25">
      <c r="A726" s="49"/>
      <c r="B726" s="49" t="s">
        <v>45</v>
      </c>
      <c r="C726" s="49" t="s">
        <v>796</v>
      </c>
      <c r="D726" s="50" t="str">
        <f t="shared" si="55"/>
        <v>Ahlem Moussa</v>
      </c>
      <c r="E726" s="50" t="str">
        <f t="shared" si="56"/>
        <v>juil</v>
      </c>
      <c r="F726" s="50">
        <f t="shared" si="57"/>
        <v>14</v>
      </c>
      <c r="G726" s="50">
        <f t="shared" si="58"/>
        <v>2026</v>
      </c>
      <c r="H726" s="51">
        <f>IF($C726="","",IFERROR(DATE(G726,VLOOKUP(E726,Paramètres!$K$11:$L$40,2,FALSE()),F726),"?"))</f>
        <v>46217</v>
      </c>
      <c r="I726" s="50">
        <f>IF(ISNUMBER(H726),IF(COUNTIFS($D$2:D726,D726,$H$2:H726,H726)=1,1,0),"")</f>
        <v>1</v>
      </c>
      <c r="J726" s="50">
        <f>IF(ISNUMBER(H726),IFERROR(INDEX(Calendrier!$C$2:$C$367,MATCH(H726,Calendrier!$A$2:$A$367,0)),0),"")</f>
        <v>1</v>
      </c>
      <c r="K726" s="50">
        <f t="shared" si="59"/>
        <v>1</v>
      </c>
      <c r="L726" s="50">
        <f>IF(D726="","",IF(COUNTIF(Paramètres!$A$11:$A$40,D726)&gt;0,1,0))</f>
        <v>1</v>
      </c>
    </row>
    <row r="727" spans="1:12" hidden="1" x14ac:dyDescent="0.25">
      <c r="A727" s="49"/>
      <c r="B727" s="49" t="s">
        <v>45</v>
      </c>
      <c r="C727" s="49" t="s">
        <v>797</v>
      </c>
      <c r="D727" s="50" t="str">
        <f t="shared" si="55"/>
        <v>Ahlem Moussa</v>
      </c>
      <c r="E727" s="50" t="str">
        <f t="shared" si="56"/>
        <v>juil</v>
      </c>
      <c r="F727" s="50">
        <f t="shared" si="57"/>
        <v>15</v>
      </c>
      <c r="G727" s="50">
        <f t="shared" si="58"/>
        <v>2026</v>
      </c>
      <c r="H727" s="51">
        <f>IF($C727="","",IFERROR(DATE(G727,VLOOKUP(E727,Paramètres!$K$11:$L$40,2,FALSE()),F727),"?"))</f>
        <v>46218</v>
      </c>
      <c r="I727" s="50">
        <f>IF(ISNUMBER(H727),IF(COUNTIFS($D$2:D727,D727,$H$2:H727,H727)=1,1,0),"")</f>
        <v>1</v>
      </c>
      <c r="J727" s="50">
        <f>IF(ISNUMBER(H727),IFERROR(INDEX(Calendrier!$C$2:$C$367,MATCH(H727,Calendrier!$A$2:$A$367,0)),0),"")</f>
        <v>1</v>
      </c>
      <c r="K727" s="50">
        <f t="shared" si="59"/>
        <v>1</v>
      </c>
      <c r="L727" s="50">
        <f>IF(D727="","",IF(COUNTIF(Paramètres!$A$11:$A$40,D727)&gt;0,1,0))</f>
        <v>1</v>
      </c>
    </row>
    <row r="728" spans="1:12" hidden="1" x14ac:dyDescent="0.25">
      <c r="A728" s="49"/>
      <c r="B728" s="49" t="s">
        <v>45</v>
      </c>
      <c r="C728" s="49" t="s">
        <v>798</v>
      </c>
      <c r="D728" s="50" t="str">
        <f t="shared" si="55"/>
        <v>Ahlem Moussa</v>
      </c>
      <c r="E728" s="50" t="str">
        <f t="shared" si="56"/>
        <v>juil</v>
      </c>
      <c r="F728" s="50">
        <f t="shared" si="57"/>
        <v>17</v>
      </c>
      <c r="G728" s="50">
        <f t="shared" si="58"/>
        <v>2026</v>
      </c>
      <c r="H728" s="51">
        <f>IF($C728="","",IFERROR(DATE(G728,VLOOKUP(E728,Paramètres!$K$11:$L$40,2,FALSE()),F728),"?"))</f>
        <v>46220</v>
      </c>
      <c r="I728" s="50">
        <f>IF(ISNUMBER(H728),IF(COUNTIFS($D$2:D728,D728,$H$2:H728,H728)=1,1,0),"")</f>
        <v>1</v>
      </c>
      <c r="J728" s="50">
        <f>IF(ISNUMBER(H728),IFERROR(INDEX(Calendrier!$C$2:$C$367,MATCH(H728,Calendrier!$A$2:$A$367,0)),0),"")</f>
        <v>1</v>
      </c>
      <c r="K728" s="50">
        <f t="shared" si="59"/>
        <v>1</v>
      </c>
      <c r="L728" s="50">
        <f>IF(D728="","",IF(COUNTIF(Paramètres!$A$11:$A$40,D728)&gt;0,1,0))</f>
        <v>1</v>
      </c>
    </row>
    <row r="729" spans="1:12" hidden="1" x14ac:dyDescent="0.25">
      <c r="A729" s="49"/>
      <c r="B729" s="49" t="s">
        <v>45</v>
      </c>
      <c r="C729" s="49" t="s">
        <v>799</v>
      </c>
      <c r="D729" s="50" t="str">
        <f t="shared" si="55"/>
        <v>Ahlem Moussa</v>
      </c>
      <c r="E729" s="50" t="str">
        <f t="shared" si="56"/>
        <v>juil</v>
      </c>
      <c r="F729" s="50">
        <f t="shared" si="57"/>
        <v>20</v>
      </c>
      <c r="G729" s="50">
        <f t="shared" si="58"/>
        <v>2026</v>
      </c>
      <c r="H729" s="51">
        <f>IF($C729="","",IFERROR(DATE(G729,VLOOKUP(E729,Paramètres!$K$11:$L$40,2,FALSE()),F729),"?"))</f>
        <v>46223</v>
      </c>
      <c r="I729" s="50">
        <f>IF(ISNUMBER(H729),IF(COUNTIFS($D$2:D729,D729,$H$2:H729,H729)=1,1,0),"")</f>
        <v>1</v>
      </c>
      <c r="J729" s="50">
        <f>IF(ISNUMBER(H729),IFERROR(INDEX(Calendrier!$C$2:$C$367,MATCH(H729,Calendrier!$A$2:$A$367,0)),0),"")</f>
        <v>1</v>
      </c>
      <c r="K729" s="50">
        <f t="shared" si="59"/>
        <v>1</v>
      </c>
      <c r="L729" s="50">
        <f>IF(D729="","",IF(COUNTIF(Paramètres!$A$11:$A$40,D729)&gt;0,1,0))</f>
        <v>1</v>
      </c>
    </row>
    <row r="730" spans="1:12" hidden="1" x14ac:dyDescent="0.25">
      <c r="A730" s="49"/>
      <c r="B730" s="49" t="s">
        <v>45</v>
      </c>
      <c r="C730" s="49" t="s">
        <v>800</v>
      </c>
      <c r="D730" s="50" t="str">
        <f t="shared" si="55"/>
        <v>Ahlem Moussa</v>
      </c>
      <c r="E730" s="50" t="str">
        <f t="shared" si="56"/>
        <v>juil</v>
      </c>
      <c r="F730" s="50">
        <f t="shared" si="57"/>
        <v>27</v>
      </c>
      <c r="G730" s="50">
        <f t="shared" si="58"/>
        <v>2026</v>
      </c>
      <c r="H730" s="51">
        <f>IF($C730="","",IFERROR(DATE(G730,VLOOKUP(E730,Paramètres!$K$11:$L$40,2,FALSE()),F730),"?"))</f>
        <v>46230</v>
      </c>
      <c r="I730" s="50">
        <f>IF(ISNUMBER(H730),IF(COUNTIFS($D$2:D730,D730,$H$2:H730,H730)=1,1,0),"")</f>
        <v>1</v>
      </c>
      <c r="J730" s="50">
        <f>IF(ISNUMBER(H730),IFERROR(INDEX(Calendrier!$C$2:$C$367,MATCH(H730,Calendrier!$A$2:$A$367,0)),0),"")</f>
        <v>1</v>
      </c>
      <c r="K730" s="50">
        <f t="shared" si="59"/>
        <v>1</v>
      </c>
      <c r="L730" s="50">
        <f>IF(D730="","",IF(COUNTIF(Paramètres!$A$11:$A$40,D730)&gt;0,1,0))</f>
        <v>1</v>
      </c>
    </row>
    <row r="731" spans="1:12" hidden="1" x14ac:dyDescent="0.25">
      <c r="A731" s="49"/>
      <c r="B731" s="49" t="s">
        <v>45</v>
      </c>
      <c r="C731" s="49" t="s">
        <v>801</v>
      </c>
      <c r="D731" s="50" t="str">
        <f t="shared" si="55"/>
        <v>Ahlem Moussa</v>
      </c>
      <c r="E731" s="50" t="str">
        <f t="shared" si="56"/>
        <v>juil</v>
      </c>
      <c r="F731" s="50">
        <f t="shared" si="57"/>
        <v>29</v>
      </c>
      <c r="G731" s="50">
        <f t="shared" si="58"/>
        <v>2026</v>
      </c>
      <c r="H731" s="51">
        <f>IF($C731="","",IFERROR(DATE(G731,VLOOKUP(E731,Paramètres!$K$11:$L$40,2,FALSE()),F731),"?"))</f>
        <v>46232</v>
      </c>
      <c r="I731" s="50">
        <f>IF(ISNUMBER(H731),IF(COUNTIFS($D$2:D731,D731,$H$2:H731,H731)=1,1,0),"")</f>
        <v>1</v>
      </c>
      <c r="J731" s="50">
        <f>IF(ISNUMBER(H731),IFERROR(INDEX(Calendrier!$C$2:$C$367,MATCH(H731,Calendrier!$A$2:$A$367,0)),0),"")</f>
        <v>1</v>
      </c>
      <c r="K731" s="50">
        <f t="shared" si="59"/>
        <v>1</v>
      </c>
      <c r="L731" s="50">
        <f>IF(D731="","",IF(COUNTIF(Paramètres!$A$11:$A$40,D731)&gt;0,1,0))</f>
        <v>1</v>
      </c>
    </row>
    <row r="732" spans="1:12" hidden="1" x14ac:dyDescent="0.25">
      <c r="A732" s="49"/>
      <c r="B732" s="49" t="s">
        <v>71</v>
      </c>
      <c r="C732" s="49" t="s">
        <v>802</v>
      </c>
      <c r="D732" s="50" t="str">
        <f t="shared" si="55"/>
        <v>Mohamed Sniha</v>
      </c>
      <c r="E732" s="50" t="str">
        <f t="shared" si="56"/>
        <v>juil</v>
      </c>
      <c r="F732" s="50">
        <f t="shared" si="57"/>
        <v>3</v>
      </c>
      <c r="G732" s="50">
        <f t="shared" si="58"/>
        <v>2026</v>
      </c>
      <c r="H732" s="51">
        <f>IF($C732="","",IFERROR(DATE(G732,VLOOKUP(E732,Paramètres!$K$11:$L$40,2,FALSE()),F732),"?"))</f>
        <v>46206</v>
      </c>
      <c r="I732" s="50">
        <f>IF(ISNUMBER(H732),IF(COUNTIFS($D$2:D732,D732,$H$2:H732,H732)=1,1,0),"")</f>
        <v>1</v>
      </c>
      <c r="J732" s="50">
        <f>IF(ISNUMBER(H732),IFERROR(INDEX(Calendrier!$C$2:$C$367,MATCH(H732,Calendrier!$A$2:$A$367,0)),0),"")</f>
        <v>1</v>
      </c>
      <c r="K732" s="50">
        <f t="shared" si="59"/>
        <v>1</v>
      </c>
      <c r="L732" s="50">
        <f>IF(D732="","",IF(COUNTIF(Paramètres!$A$11:$A$40,D732)&gt;0,1,0))</f>
        <v>1</v>
      </c>
    </row>
    <row r="733" spans="1:12" hidden="1" x14ac:dyDescent="0.25">
      <c r="A733" s="49"/>
      <c r="B733" s="49" t="s">
        <v>71</v>
      </c>
      <c r="C733" s="49" t="s">
        <v>803</v>
      </c>
      <c r="D733" s="50" t="str">
        <f t="shared" si="55"/>
        <v>Mohamed Sniha</v>
      </c>
      <c r="E733" s="50" t="str">
        <f t="shared" si="56"/>
        <v>juil</v>
      </c>
      <c r="F733" s="50">
        <f t="shared" si="57"/>
        <v>22</v>
      </c>
      <c r="G733" s="50">
        <f t="shared" si="58"/>
        <v>2026</v>
      </c>
      <c r="H733" s="51">
        <f>IF($C733="","",IFERROR(DATE(G733,VLOOKUP(E733,Paramètres!$K$11:$L$40,2,FALSE()),F733),"?"))</f>
        <v>46225</v>
      </c>
      <c r="I733" s="50">
        <f>IF(ISNUMBER(H733),IF(COUNTIFS($D$2:D733,D733,$H$2:H733,H733)=1,1,0),"")</f>
        <v>1</v>
      </c>
      <c r="J733" s="50">
        <f>IF(ISNUMBER(H733),IFERROR(INDEX(Calendrier!$C$2:$C$367,MATCH(H733,Calendrier!$A$2:$A$367,0)),0),"")</f>
        <v>1</v>
      </c>
      <c r="K733" s="50">
        <f t="shared" si="59"/>
        <v>1</v>
      </c>
      <c r="L733" s="50">
        <f>IF(D733="","",IF(COUNTIF(Paramètres!$A$11:$A$40,D733)&gt;0,1,0))</f>
        <v>1</v>
      </c>
    </row>
    <row r="734" spans="1:12" hidden="1" x14ac:dyDescent="0.25">
      <c r="A734" s="49"/>
      <c r="B734" s="49" t="s">
        <v>73</v>
      </c>
      <c r="C734" s="49" t="s">
        <v>804</v>
      </c>
      <c r="D734" s="50" t="str">
        <f t="shared" si="55"/>
        <v>Mourad Ayari</v>
      </c>
      <c r="E734" s="50" t="str">
        <f t="shared" si="56"/>
        <v>juil</v>
      </c>
      <c r="F734" s="50">
        <f t="shared" si="57"/>
        <v>4</v>
      </c>
      <c r="G734" s="50">
        <f t="shared" si="58"/>
        <v>2026</v>
      </c>
      <c r="H734" s="51">
        <f>IF($C734="","",IFERROR(DATE(G734,VLOOKUP(E734,Paramètres!$K$11:$L$40,2,FALSE()),F734),"?"))</f>
        <v>46207</v>
      </c>
      <c r="I734" s="50">
        <f>IF(ISNUMBER(H734),IF(COUNTIFS($D$2:D734,D734,$H$2:H734,H734)=1,1,0),"")</f>
        <v>1</v>
      </c>
      <c r="J734" s="50">
        <f>IF(ISNUMBER(H734),IFERROR(INDEX(Calendrier!$C$2:$C$367,MATCH(H734,Calendrier!$A$2:$A$367,0)),0),"")</f>
        <v>0</v>
      </c>
      <c r="K734" s="50">
        <f t="shared" si="59"/>
        <v>0</v>
      </c>
      <c r="L734" s="50">
        <f>IF(D734="","",IF(COUNTIF(Paramètres!$A$11:$A$40,D734)&gt;0,1,0))</f>
        <v>1</v>
      </c>
    </row>
    <row r="735" spans="1:12" hidden="1" x14ac:dyDescent="0.25">
      <c r="A735" s="49"/>
      <c r="B735" s="49" t="s">
        <v>73</v>
      </c>
      <c r="C735" s="49" t="s">
        <v>805</v>
      </c>
      <c r="D735" s="50" t="str">
        <f t="shared" si="55"/>
        <v>Mourad Ayari</v>
      </c>
      <c r="E735" s="50" t="str">
        <f t="shared" si="56"/>
        <v>juil</v>
      </c>
      <c r="F735" s="50">
        <f t="shared" si="57"/>
        <v>6</v>
      </c>
      <c r="G735" s="50">
        <f t="shared" si="58"/>
        <v>2026</v>
      </c>
      <c r="H735" s="51">
        <f>IF($C735="","",IFERROR(DATE(G735,VLOOKUP(E735,Paramètres!$K$11:$L$40,2,FALSE()),F735),"?"))</f>
        <v>46209</v>
      </c>
      <c r="I735" s="50">
        <f>IF(ISNUMBER(H735),IF(COUNTIFS($D$2:D735,D735,$H$2:H735,H735)=1,1,0),"")</f>
        <v>1</v>
      </c>
      <c r="J735" s="50">
        <f>IF(ISNUMBER(H735),IFERROR(INDEX(Calendrier!$C$2:$C$367,MATCH(H735,Calendrier!$A$2:$A$367,0)),0),"")</f>
        <v>1</v>
      </c>
      <c r="K735" s="50">
        <f t="shared" si="59"/>
        <v>1</v>
      </c>
      <c r="L735" s="50">
        <f>IF(D735="","",IF(COUNTIF(Paramètres!$A$11:$A$40,D735)&gt;0,1,0))</f>
        <v>1</v>
      </c>
    </row>
    <row r="736" spans="1:12" hidden="1" x14ac:dyDescent="0.25">
      <c r="A736" s="49"/>
      <c r="B736" s="49" t="s">
        <v>73</v>
      </c>
      <c r="C736" s="49" t="s">
        <v>806</v>
      </c>
      <c r="D736" s="50" t="str">
        <f t="shared" si="55"/>
        <v>Mourad Ayari</v>
      </c>
      <c r="E736" s="50" t="str">
        <f t="shared" si="56"/>
        <v>juil</v>
      </c>
      <c r="F736" s="50">
        <f t="shared" si="57"/>
        <v>7</v>
      </c>
      <c r="G736" s="50">
        <f t="shared" si="58"/>
        <v>2026</v>
      </c>
      <c r="H736" s="51">
        <f>IF($C736="","",IFERROR(DATE(G736,VLOOKUP(E736,Paramètres!$K$11:$L$40,2,FALSE()),F736),"?"))</f>
        <v>46210</v>
      </c>
      <c r="I736" s="50">
        <f>IF(ISNUMBER(H736),IF(COUNTIFS($D$2:D736,D736,$H$2:H736,H736)=1,1,0),"")</f>
        <v>1</v>
      </c>
      <c r="J736" s="50">
        <f>IF(ISNUMBER(H736),IFERROR(INDEX(Calendrier!$C$2:$C$367,MATCH(H736,Calendrier!$A$2:$A$367,0)),0),"")</f>
        <v>1</v>
      </c>
      <c r="K736" s="50">
        <f t="shared" si="59"/>
        <v>1</v>
      </c>
      <c r="L736" s="50">
        <f>IF(D736="","",IF(COUNTIF(Paramètres!$A$11:$A$40,D736)&gt;0,1,0))</f>
        <v>1</v>
      </c>
    </row>
    <row r="737" spans="1:12" hidden="1" x14ac:dyDescent="0.25">
      <c r="A737" s="49"/>
      <c r="B737" s="49" t="s">
        <v>73</v>
      </c>
      <c r="C737" s="49" t="s">
        <v>807</v>
      </c>
      <c r="D737" s="50" t="str">
        <f t="shared" si="55"/>
        <v>Mourad Ayari</v>
      </c>
      <c r="E737" s="50" t="str">
        <f t="shared" si="56"/>
        <v>juil</v>
      </c>
      <c r="F737" s="50">
        <f t="shared" si="57"/>
        <v>14</v>
      </c>
      <c r="G737" s="50">
        <f t="shared" si="58"/>
        <v>2026</v>
      </c>
      <c r="H737" s="51">
        <f>IF($C737="","",IFERROR(DATE(G737,VLOOKUP(E737,Paramètres!$K$11:$L$40,2,FALSE()),F737),"?"))</f>
        <v>46217</v>
      </c>
      <c r="I737" s="50">
        <f>IF(ISNUMBER(H737),IF(COUNTIFS($D$2:D737,D737,$H$2:H737,H737)=1,1,0),"")</f>
        <v>1</v>
      </c>
      <c r="J737" s="50">
        <f>IF(ISNUMBER(H737),IFERROR(INDEX(Calendrier!$C$2:$C$367,MATCH(H737,Calendrier!$A$2:$A$367,0)),0),"")</f>
        <v>1</v>
      </c>
      <c r="K737" s="50">
        <f t="shared" si="59"/>
        <v>1</v>
      </c>
      <c r="L737" s="50">
        <f>IF(D737="","",IF(COUNTIF(Paramètres!$A$11:$A$40,D737)&gt;0,1,0))</f>
        <v>1</v>
      </c>
    </row>
    <row r="738" spans="1:12" hidden="1" x14ac:dyDescent="0.25">
      <c r="A738" s="49"/>
      <c r="B738" s="49" t="s">
        <v>73</v>
      </c>
      <c r="C738" s="49" t="s">
        <v>808</v>
      </c>
      <c r="D738" s="50" t="str">
        <f t="shared" si="55"/>
        <v>Mourad Ayari</v>
      </c>
      <c r="E738" s="50" t="str">
        <f t="shared" si="56"/>
        <v>juil</v>
      </c>
      <c r="F738" s="50">
        <f t="shared" si="57"/>
        <v>17</v>
      </c>
      <c r="G738" s="50">
        <f t="shared" si="58"/>
        <v>2026</v>
      </c>
      <c r="H738" s="51">
        <f>IF($C738="","",IFERROR(DATE(G738,VLOOKUP(E738,Paramètres!$K$11:$L$40,2,FALSE()),F738),"?"))</f>
        <v>46220</v>
      </c>
      <c r="I738" s="50">
        <f>IF(ISNUMBER(H738),IF(COUNTIFS($D$2:D738,D738,$H$2:H738,H738)=1,1,0),"")</f>
        <v>1</v>
      </c>
      <c r="J738" s="50">
        <f>IF(ISNUMBER(H738),IFERROR(INDEX(Calendrier!$C$2:$C$367,MATCH(H738,Calendrier!$A$2:$A$367,0)),0),"")</f>
        <v>1</v>
      </c>
      <c r="K738" s="50">
        <f t="shared" si="59"/>
        <v>1</v>
      </c>
      <c r="L738" s="50">
        <f>IF(D738="","",IF(COUNTIF(Paramètres!$A$11:$A$40,D738)&gt;0,1,0))</f>
        <v>1</v>
      </c>
    </row>
    <row r="739" spans="1:12" hidden="1" x14ac:dyDescent="0.25">
      <c r="A739" s="49"/>
      <c r="B739" s="49" t="s">
        <v>73</v>
      </c>
      <c r="C739" s="49" t="s">
        <v>809</v>
      </c>
      <c r="D739" s="50" t="str">
        <f t="shared" si="55"/>
        <v>Mourad Ayari</v>
      </c>
      <c r="E739" s="50" t="str">
        <f t="shared" si="56"/>
        <v>juil</v>
      </c>
      <c r="F739" s="50">
        <f t="shared" si="57"/>
        <v>20</v>
      </c>
      <c r="G739" s="50">
        <f t="shared" si="58"/>
        <v>2026</v>
      </c>
      <c r="H739" s="51">
        <f>IF($C739="","",IFERROR(DATE(G739,VLOOKUP(E739,Paramètres!$K$11:$L$40,2,FALSE()),F739),"?"))</f>
        <v>46223</v>
      </c>
      <c r="I739" s="50">
        <f>IF(ISNUMBER(H739),IF(COUNTIFS($D$2:D739,D739,$H$2:H739,H739)=1,1,0),"")</f>
        <v>1</v>
      </c>
      <c r="J739" s="50">
        <f>IF(ISNUMBER(H739),IFERROR(INDEX(Calendrier!$C$2:$C$367,MATCH(H739,Calendrier!$A$2:$A$367,0)),0),"")</f>
        <v>1</v>
      </c>
      <c r="K739" s="50">
        <f t="shared" si="59"/>
        <v>1</v>
      </c>
      <c r="L739" s="50">
        <f>IF(D739="","",IF(COUNTIF(Paramètres!$A$11:$A$40,D739)&gt;0,1,0))</f>
        <v>1</v>
      </c>
    </row>
    <row r="740" spans="1:12" hidden="1" x14ac:dyDescent="0.25">
      <c r="A740" s="49"/>
      <c r="B740" s="49" t="s">
        <v>73</v>
      </c>
      <c r="C740" s="49" t="s">
        <v>810</v>
      </c>
      <c r="D740" s="50" t="str">
        <f t="shared" si="55"/>
        <v>Mourad Ayari</v>
      </c>
      <c r="E740" s="50" t="str">
        <f t="shared" si="56"/>
        <v>juil</v>
      </c>
      <c r="F740" s="50">
        <f t="shared" si="57"/>
        <v>21</v>
      </c>
      <c r="G740" s="50">
        <f t="shared" si="58"/>
        <v>2026</v>
      </c>
      <c r="H740" s="51">
        <f>IF($C740="","",IFERROR(DATE(G740,VLOOKUP(E740,Paramètres!$K$11:$L$40,2,FALSE()),F740),"?"))</f>
        <v>46224</v>
      </c>
      <c r="I740" s="50">
        <f>IF(ISNUMBER(H740),IF(COUNTIFS($D$2:D740,D740,$H$2:H740,H740)=1,1,0),"")</f>
        <v>1</v>
      </c>
      <c r="J740" s="50">
        <f>IF(ISNUMBER(H740),IFERROR(INDEX(Calendrier!$C$2:$C$367,MATCH(H740,Calendrier!$A$2:$A$367,0)),0),"")</f>
        <v>1</v>
      </c>
      <c r="K740" s="50">
        <f t="shared" si="59"/>
        <v>1</v>
      </c>
      <c r="L740" s="50">
        <f>IF(D740="","",IF(COUNTIF(Paramètres!$A$11:$A$40,D740)&gt;0,1,0))</f>
        <v>1</v>
      </c>
    </row>
    <row r="741" spans="1:12" hidden="1" x14ac:dyDescent="0.25">
      <c r="A741" s="49"/>
      <c r="B741" s="49" t="s">
        <v>73</v>
      </c>
      <c r="C741" s="49" t="s">
        <v>811</v>
      </c>
      <c r="D741" s="50" t="str">
        <f t="shared" si="55"/>
        <v>Mourad Ayari</v>
      </c>
      <c r="E741" s="50" t="str">
        <f t="shared" si="56"/>
        <v>juil</v>
      </c>
      <c r="F741" s="50">
        <f t="shared" si="57"/>
        <v>24</v>
      </c>
      <c r="G741" s="50">
        <f t="shared" si="58"/>
        <v>2026</v>
      </c>
      <c r="H741" s="51">
        <f>IF($C741="","",IFERROR(DATE(G741,VLOOKUP(E741,Paramètres!$K$11:$L$40,2,FALSE()),F741),"?"))</f>
        <v>46227</v>
      </c>
      <c r="I741" s="50">
        <f>IF(ISNUMBER(H741),IF(COUNTIFS($D$2:D741,D741,$H$2:H741,H741)=1,1,0),"")</f>
        <v>1</v>
      </c>
      <c r="J741" s="50">
        <f>IF(ISNUMBER(H741),IFERROR(INDEX(Calendrier!$C$2:$C$367,MATCH(H741,Calendrier!$A$2:$A$367,0)),0),"")</f>
        <v>1</v>
      </c>
      <c r="K741" s="50">
        <f t="shared" si="59"/>
        <v>1</v>
      </c>
      <c r="L741" s="50">
        <f>IF(D741="","",IF(COUNTIF(Paramètres!$A$11:$A$40,D741)&gt;0,1,0))</f>
        <v>1</v>
      </c>
    </row>
    <row r="742" spans="1:12" hidden="1" x14ac:dyDescent="0.25">
      <c r="A742" s="49"/>
      <c r="B742" s="49" t="s">
        <v>73</v>
      </c>
      <c r="C742" s="49" t="s">
        <v>812</v>
      </c>
      <c r="D742" s="50" t="str">
        <f t="shared" si="55"/>
        <v>Mourad Ayari</v>
      </c>
      <c r="E742" s="50" t="str">
        <f t="shared" si="56"/>
        <v>juil</v>
      </c>
      <c r="F742" s="50">
        <f t="shared" si="57"/>
        <v>27</v>
      </c>
      <c r="G742" s="50">
        <f t="shared" si="58"/>
        <v>2026</v>
      </c>
      <c r="H742" s="51">
        <f>IF($C742="","",IFERROR(DATE(G742,VLOOKUP(E742,Paramètres!$K$11:$L$40,2,FALSE()),F742),"?"))</f>
        <v>46230</v>
      </c>
      <c r="I742" s="50">
        <f>IF(ISNUMBER(H742),IF(COUNTIFS($D$2:D742,D742,$H$2:H742,H742)=1,1,0),"")</f>
        <v>1</v>
      </c>
      <c r="J742" s="50">
        <f>IF(ISNUMBER(H742),IFERROR(INDEX(Calendrier!$C$2:$C$367,MATCH(H742,Calendrier!$A$2:$A$367,0)),0),"")</f>
        <v>1</v>
      </c>
      <c r="K742" s="50">
        <f t="shared" si="59"/>
        <v>1</v>
      </c>
      <c r="L742" s="50">
        <f>IF(D742="","",IF(COUNTIF(Paramètres!$A$11:$A$40,D742)&gt;0,1,0))</f>
        <v>1</v>
      </c>
    </row>
    <row r="743" spans="1:12" hidden="1" x14ac:dyDescent="0.25">
      <c r="A743" s="49"/>
      <c r="B743" s="49" t="s">
        <v>73</v>
      </c>
      <c r="C743" s="49" t="s">
        <v>813</v>
      </c>
      <c r="D743" s="50" t="str">
        <f t="shared" si="55"/>
        <v>Mourad Ayari</v>
      </c>
      <c r="E743" s="50" t="str">
        <f t="shared" si="56"/>
        <v>juil</v>
      </c>
      <c r="F743" s="50">
        <f t="shared" si="57"/>
        <v>29</v>
      </c>
      <c r="G743" s="50">
        <f t="shared" si="58"/>
        <v>2026</v>
      </c>
      <c r="H743" s="51">
        <f>IF($C743="","",IFERROR(DATE(G743,VLOOKUP(E743,Paramètres!$K$11:$L$40,2,FALSE()),F743),"?"))</f>
        <v>46232</v>
      </c>
      <c r="I743" s="50">
        <f>IF(ISNUMBER(H743),IF(COUNTIFS($D$2:D743,D743,$H$2:H743,H743)=1,1,0),"")</f>
        <v>1</v>
      </c>
      <c r="J743" s="50">
        <f>IF(ISNUMBER(H743),IFERROR(INDEX(Calendrier!$C$2:$C$367,MATCH(H743,Calendrier!$A$2:$A$367,0)),0),"")</f>
        <v>1</v>
      </c>
      <c r="K743" s="50">
        <f t="shared" si="59"/>
        <v>1</v>
      </c>
      <c r="L743" s="50">
        <f>IF(D743="","",IF(COUNTIF(Paramètres!$A$11:$A$40,D743)&gt;0,1,0))</f>
        <v>1</v>
      </c>
    </row>
    <row r="744" spans="1:12" hidden="1" x14ac:dyDescent="0.25">
      <c r="A744" s="49"/>
      <c r="B744" s="49" t="s">
        <v>73</v>
      </c>
      <c r="C744" s="49" t="s">
        <v>814</v>
      </c>
      <c r="D744" s="50" t="str">
        <f t="shared" si="55"/>
        <v>Mourad Ayari</v>
      </c>
      <c r="E744" s="50" t="str">
        <f t="shared" si="56"/>
        <v>juil</v>
      </c>
      <c r="F744" s="50">
        <f t="shared" si="57"/>
        <v>30</v>
      </c>
      <c r="G744" s="50">
        <f t="shared" si="58"/>
        <v>2026</v>
      </c>
      <c r="H744" s="51">
        <f>IF($C744="","",IFERROR(DATE(G744,VLOOKUP(E744,Paramètres!$K$11:$L$40,2,FALSE()),F744),"?"))</f>
        <v>46233</v>
      </c>
      <c r="I744" s="50">
        <f>IF(ISNUMBER(H744),IF(COUNTIFS($D$2:D744,D744,$H$2:H744,H744)=1,1,0),"")</f>
        <v>1</v>
      </c>
      <c r="J744" s="50">
        <f>IF(ISNUMBER(H744),IFERROR(INDEX(Calendrier!$C$2:$C$367,MATCH(H744,Calendrier!$A$2:$A$367,0)),0),"")</f>
        <v>1</v>
      </c>
      <c r="K744" s="50">
        <f t="shared" si="59"/>
        <v>1</v>
      </c>
      <c r="L744" s="50">
        <f>IF(D744="","",IF(COUNTIF(Paramètres!$A$11:$A$40,D744)&gt;0,1,0))</f>
        <v>1</v>
      </c>
    </row>
    <row r="745" spans="1:12" hidden="1" x14ac:dyDescent="0.25">
      <c r="A745" s="49"/>
      <c r="B745" s="49" t="s">
        <v>61</v>
      </c>
      <c r="C745" s="49" t="s">
        <v>815</v>
      </c>
      <c r="D745" s="50" t="str">
        <f t="shared" si="55"/>
        <v>Ines Farhat</v>
      </c>
      <c r="E745" s="50" t="str">
        <f t="shared" si="56"/>
        <v>juil</v>
      </c>
      <c r="F745" s="50">
        <f t="shared" si="57"/>
        <v>4</v>
      </c>
      <c r="G745" s="50">
        <f t="shared" si="58"/>
        <v>2026</v>
      </c>
      <c r="H745" s="51">
        <f>IF($C745="","",IFERROR(DATE(G745,VLOOKUP(E745,Paramètres!$K$11:$L$40,2,FALSE()),F745),"?"))</f>
        <v>46207</v>
      </c>
      <c r="I745" s="50">
        <f>IF(ISNUMBER(H745),IF(COUNTIFS($D$2:D745,D745,$H$2:H745,H745)=1,1,0),"")</f>
        <v>1</v>
      </c>
      <c r="J745" s="50">
        <f>IF(ISNUMBER(H745),IFERROR(INDEX(Calendrier!$C$2:$C$367,MATCH(H745,Calendrier!$A$2:$A$367,0)),0),"")</f>
        <v>0</v>
      </c>
      <c r="K745" s="50">
        <f t="shared" si="59"/>
        <v>0</v>
      </c>
      <c r="L745" s="50">
        <f>IF(D745="","",IF(COUNTIF(Paramètres!$A$11:$A$40,D745)&gt;0,1,0))</f>
        <v>1</v>
      </c>
    </row>
    <row r="746" spans="1:12" hidden="1" x14ac:dyDescent="0.25">
      <c r="A746" s="49"/>
      <c r="B746" s="49" t="s">
        <v>61</v>
      </c>
      <c r="C746" s="49" t="s">
        <v>816</v>
      </c>
      <c r="D746" s="50" t="str">
        <f t="shared" si="55"/>
        <v>Ines Farhat</v>
      </c>
      <c r="E746" s="50" t="str">
        <f t="shared" si="56"/>
        <v>juil</v>
      </c>
      <c r="F746" s="50">
        <f t="shared" si="57"/>
        <v>6</v>
      </c>
      <c r="G746" s="50">
        <f t="shared" si="58"/>
        <v>2026</v>
      </c>
      <c r="H746" s="51">
        <f>IF($C746="","",IFERROR(DATE(G746,VLOOKUP(E746,Paramètres!$K$11:$L$40,2,FALSE()),F746),"?"))</f>
        <v>46209</v>
      </c>
      <c r="I746" s="50">
        <f>IF(ISNUMBER(H746),IF(COUNTIFS($D$2:D746,D746,$H$2:H746,H746)=1,1,0),"")</f>
        <v>1</v>
      </c>
      <c r="J746" s="50">
        <f>IF(ISNUMBER(H746),IFERROR(INDEX(Calendrier!$C$2:$C$367,MATCH(H746,Calendrier!$A$2:$A$367,0)),0),"")</f>
        <v>1</v>
      </c>
      <c r="K746" s="50">
        <f t="shared" si="59"/>
        <v>1</v>
      </c>
      <c r="L746" s="50">
        <f>IF(D746="","",IF(COUNTIF(Paramètres!$A$11:$A$40,D746)&gt;0,1,0))</f>
        <v>1</v>
      </c>
    </row>
    <row r="747" spans="1:12" hidden="1" x14ac:dyDescent="0.25">
      <c r="A747" s="49"/>
      <c r="B747" s="49" t="s">
        <v>61</v>
      </c>
      <c r="C747" s="49" t="s">
        <v>817</v>
      </c>
      <c r="D747" s="50" t="str">
        <f t="shared" si="55"/>
        <v>Ines Farhat</v>
      </c>
      <c r="E747" s="50" t="str">
        <f t="shared" si="56"/>
        <v>juil</v>
      </c>
      <c r="F747" s="50">
        <f t="shared" si="57"/>
        <v>13</v>
      </c>
      <c r="G747" s="50">
        <f t="shared" si="58"/>
        <v>2026</v>
      </c>
      <c r="H747" s="51">
        <f>IF($C747="","",IFERROR(DATE(G747,VLOOKUP(E747,Paramètres!$K$11:$L$40,2,FALSE()),F747),"?"))</f>
        <v>46216</v>
      </c>
      <c r="I747" s="50">
        <f>IF(ISNUMBER(H747),IF(COUNTIFS($D$2:D747,D747,$H$2:H747,H747)=1,1,0),"")</f>
        <v>1</v>
      </c>
      <c r="J747" s="50">
        <f>IF(ISNUMBER(H747),IFERROR(INDEX(Calendrier!$C$2:$C$367,MATCH(H747,Calendrier!$A$2:$A$367,0)),0),"")</f>
        <v>1</v>
      </c>
      <c r="K747" s="50">
        <f t="shared" si="59"/>
        <v>1</v>
      </c>
      <c r="L747" s="50">
        <f>IF(D747="","",IF(COUNTIF(Paramètres!$A$11:$A$40,D747)&gt;0,1,0))</f>
        <v>1</v>
      </c>
    </row>
    <row r="748" spans="1:12" hidden="1" x14ac:dyDescent="0.25">
      <c r="A748" s="49"/>
      <c r="B748" s="49" t="s">
        <v>61</v>
      </c>
      <c r="C748" s="49" t="s">
        <v>818</v>
      </c>
      <c r="D748" s="50" t="str">
        <f t="shared" si="55"/>
        <v>Ines Farhat</v>
      </c>
      <c r="E748" s="50" t="str">
        <f t="shared" si="56"/>
        <v>juil</v>
      </c>
      <c r="F748" s="50">
        <f t="shared" si="57"/>
        <v>15</v>
      </c>
      <c r="G748" s="50">
        <f t="shared" si="58"/>
        <v>2026</v>
      </c>
      <c r="H748" s="51">
        <f>IF($C748="","",IFERROR(DATE(G748,VLOOKUP(E748,Paramètres!$K$11:$L$40,2,FALSE()),F748),"?"))</f>
        <v>46218</v>
      </c>
      <c r="I748" s="50">
        <f>IF(ISNUMBER(H748),IF(COUNTIFS($D$2:D748,D748,$H$2:H748,H748)=1,1,0),"")</f>
        <v>1</v>
      </c>
      <c r="J748" s="50">
        <f>IF(ISNUMBER(H748),IFERROR(INDEX(Calendrier!$C$2:$C$367,MATCH(H748,Calendrier!$A$2:$A$367,0)),0),"")</f>
        <v>1</v>
      </c>
      <c r="K748" s="50">
        <f t="shared" si="59"/>
        <v>1</v>
      </c>
      <c r="L748" s="50">
        <f>IF(D748="","",IF(COUNTIF(Paramètres!$A$11:$A$40,D748)&gt;0,1,0))</f>
        <v>1</v>
      </c>
    </row>
    <row r="749" spans="1:12" hidden="1" x14ac:dyDescent="0.25">
      <c r="A749" s="49"/>
      <c r="B749" s="49" t="s">
        <v>61</v>
      </c>
      <c r="C749" s="49" t="s">
        <v>819</v>
      </c>
      <c r="D749" s="50" t="str">
        <f t="shared" si="55"/>
        <v>Ines Farhat</v>
      </c>
      <c r="E749" s="50" t="str">
        <f t="shared" si="56"/>
        <v>juil</v>
      </c>
      <c r="F749" s="50">
        <f t="shared" si="57"/>
        <v>18</v>
      </c>
      <c r="G749" s="50">
        <f t="shared" si="58"/>
        <v>2026</v>
      </c>
      <c r="H749" s="51">
        <f>IF($C749="","",IFERROR(DATE(G749,VLOOKUP(E749,Paramètres!$K$11:$L$40,2,FALSE()),F749),"?"))</f>
        <v>46221</v>
      </c>
      <c r="I749" s="50">
        <f>IF(ISNUMBER(H749),IF(COUNTIFS($D$2:D749,D749,$H$2:H749,H749)=1,1,0),"")</f>
        <v>1</v>
      </c>
      <c r="J749" s="50">
        <f>IF(ISNUMBER(H749),IFERROR(INDEX(Calendrier!$C$2:$C$367,MATCH(H749,Calendrier!$A$2:$A$367,0)),0),"")</f>
        <v>0</v>
      </c>
      <c r="K749" s="50">
        <f t="shared" si="59"/>
        <v>0</v>
      </c>
      <c r="L749" s="50">
        <f>IF(D749="","",IF(COUNTIF(Paramètres!$A$11:$A$40,D749)&gt;0,1,0))</f>
        <v>1</v>
      </c>
    </row>
    <row r="750" spans="1:12" hidden="1" x14ac:dyDescent="0.25">
      <c r="A750" s="49"/>
      <c r="B750" s="49" t="s">
        <v>61</v>
      </c>
      <c r="C750" s="49" t="s">
        <v>820</v>
      </c>
      <c r="D750" s="50" t="str">
        <f t="shared" si="55"/>
        <v>Ines Farhat</v>
      </c>
      <c r="E750" s="50" t="str">
        <f t="shared" si="56"/>
        <v>juil</v>
      </c>
      <c r="F750" s="50">
        <f t="shared" si="57"/>
        <v>20</v>
      </c>
      <c r="G750" s="50">
        <f t="shared" si="58"/>
        <v>2026</v>
      </c>
      <c r="H750" s="51">
        <f>IF($C750="","",IFERROR(DATE(G750,VLOOKUP(E750,Paramètres!$K$11:$L$40,2,FALSE()),F750),"?"))</f>
        <v>46223</v>
      </c>
      <c r="I750" s="50">
        <f>IF(ISNUMBER(H750),IF(COUNTIFS($D$2:D750,D750,$H$2:H750,H750)=1,1,0),"")</f>
        <v>1</v>
      </c>
      <c r="J750" s="50">
        <f>IF(ISNUMBER(H750),IFERROR(INDEX(Calendrier!$C$2:$C$367,MATCH(H750,Calendrier!$A$2:$A$367,0)),0),"")</f>
        <v>1</v>
      </c>
      <c r="K750" s="50">
        <f t="shared" si="59"/>
        <v>1</v>
      </c>
      <c r="L750" s="50">
        <f>IF(D750="","",IF(COUNTIF(Paramètres!$A$11:$A$40,D750)&gt;0,1,0))</f>
        <v>1</v>
      </c>
    </row>
    <row r="751" spans="1:12" hidden="1" x14ac:dyDescent="0.25">
      <c r="A751" s="49"/>
      <c r="B751" s="49" t="s">
        <v>61</v>
      </c>
      <c r="C751" s="49" t="s">
        <v>821</v>
      </c>
      <c r="D751" s="50" t="str">
        <f t="shared" si="55"/>
        <v>Ines Farhat</v>
      </c>
      <c r="E751" s="50" t="str">
        <f t="shared" si="56"/>
        <v>juil</v>
      </c>
      <c r="F751" s="50">
        <f t="shared" si="57"/>
        <v>24</v>
      </c>
      <c r="G751" s="50">
        <f t="shared" si="58"/>
        <v>2026</v>
      </c>
      <c r="H751" s="51">
        <f>IF($C751="","",IFERROR(DATE(G751,VLOOKUP(E751,Paramètres!$K$11:$L$40,2,FALSE()),F751),"?"))</f>
        <v>46227</v>
      </c>
      <c r="I751" s="50">
        <f>IF(ISNUMBER(H751),IF(COUNTIFS($D$2:D751,D751,$H$2:H751,H751)=1,1,0),"")</f>
        <v>1</v>
      </c>
      <c r="J751" s="50">
        <f>IF(ISNUMBER(H751),IFERROR(INDEX(Calendrier!$C$2:$C$367,MATCH(H751,Calendrier!$A$2:$A$367,0)),0),"")</f>
        <v>1</v>
      </c>
      <c r="K751" s="50">
        <f t="shared" si="59"/>
        <v>1</v>
      </c>
      <c r="L751" s="50">
        <f>IF(D751="","",IF(COUNTIF(Paramètres!$A$11:$A$40,D751)&gt;0,1,0))</f>
        <v>1</v>
      </c>
    </row>
    <row r="752" spans="1:12" hidden="1" x14ac:dyDescent="0.25">
      <c r="A752" s="49"/>
      <c r="B752" s="49" t="s">
        <v>61</v>
      </c>
      <c r="C752" s="49" t="s">
        <v>822</v>
      </c>
      <c r="D752" s="50" t="str">
        <f t="shared" si="55"/>
        <v>Ines Farhat</v>
      </c>
      <c r="E752" s="50" t="str">
        <f t="shared" si="56"/>
        <v>juil</v>
      </c>
      <c r="F752" s="50">
        <f t="shared" si="57"/>
        <v>29</v>
      </c>
      <c r="G752" s="50">
        <f t="shared" si="58"/>
        <v>2026</v>
      </c>
      <c r="H752" s="51">
        <f>IF($C752="","",IFERROR(DATE(G752,VLOOKUP(E752,Paramètres!$K$11:$L$40,2,FALSE()),F752),"?"))</f>
        <v>46232</v>
      </c>
      <c r="I752" s="50">
        <f>IF(ISNUMBER(H752),IF(COUNTIFS($D$2:D752,D752,$H$2:H752,H752)=1,1,0),"")</f>
        <v>1</v>
      </c>
      <c r="J752" s="50">
        <f>IF(ISNUMBER(H752),IFERROR(INDEX(Calendrier!$C$2:$C$367,MATCH(H752,Calendrier!$A$2:$A$367,0)),0),"")</f>
        <v>1</v>
      </c>
      <c r="K752" s="50">
        <f t="shared" si="59"/>
        <v>1</v>
      </c>
      <c r="L752" s="50">
        <f>IF(D752="","",IF(COUNTIF(Paramètres!$A$11:$A$40,D752)&gt;0,1,0))</f>
        <v>1</v>
      </c>
    </row>
    <row r="753" spans="1:12" hidden="1" x14ac:dyDescent="0.25">
      <c r="A753" s="49"/>
      <c r="B753" s="49" t="s">
        <v>67</v>
      </c>
      <c r="C753" s="49" t="s">
        <v>823</v>
      </c>
      <c r="D753" s="50" t="str">
        <f t="shared" si="55"/>
        <v>Marwa Solaani</v>
      </c>
      <c r="E753" s="50" t="str">
        <f t="shared" si="56"/>
        <v>juil</v>
      </c>
      <c r="F753" s="50">
        <f t="shared" si="57"/>
        <v>3</v>
      </c>
      <c r="G753" s="50">
        <f t="shared" si="58"/>
        <v>2026</v>
      </c>
      <c r="H753" s="51">
        <f>IF($C753="","",IFERROR(DATE(G753,VLOOKUP(E753,Paramètres!$K$11:$L$40,2,FALSE()),F753),"?"))</f>
        <v>46206</v>
      </c>
      <c r="I753" s="50">
        <f>IF(ISNUMBER(H753),IF(COUNTIFS($D$2:D753,D753,$H$2:H753,H753)=1,1,0),"")</f>
        <v>1</v>
      </c>
      <c r="J753" s="50">
        <f>IF(ISNUMBER(H753),IFERROR(INDEX(Calendrier!$C$2:$C$367,MATCH(H753,Calendrier!$A$2:$A$367,0)),0),"")</f>
        <v>1</v>
      </c>
      <c r="K753" s="50">
        <f t="shared" si="59"/>
        <v>1</v>
      </c>
      <c r="L753" s="50">
        <f>IF(D753="","",IF(COUNTIF(Paramètres!$A$11:$A$40,D753)&gt;0,1,0))</f>
        <v>1</v>
      </c>
    </row>
    <row r="754" spans="1:12" hidden="1" x14ac:dyDescent="0.25">
      <c r="A754" s="49"/>
      <c r="B754" s="49" t="s">
        <v>67</v>
      </c>
      <c r="C754" s="49" t="s">
        <v>824</v>
      </c>
      <c r="D754" s="50" t="str">
        <f t="shared" si="55"/>
        <v>Marwa Solaani</v>
      </c>
      <c r="E754" s="50" t="str">
        <f t="shared" si="56"/>
        <v>juil</v>
      </c>
      <c r="F754" s="50">
        <f t="shared" si="57"/>
        <v>8</v>
      </c>
      <c r="G754" s="50">
        <f t="shared" si="58"/>
        <v>2026</v>
      </c>
      <c r="H754" s="51">
        <f>IF($C754="","",IFERROR(DATE(G754,VLOOKUP(E754,Paramètres!$K$11:$L$40,2,FALSE()),F754),"?"))</f>
        <v>46211</v>
      </c>
      <c r="I754" s="50">
        <f>IF(ISNUMBER(H754),IF(COUNTIFS($D$2:D754,D754,$H$2:H754,H754)=1,1,0),"")</f>
        <v>1</v>
      </c>
      <c r="J754" s="50">
        <f>IF(ISNUMBER(H754),IFERROR(INDEX(Calendrier!$C$2:$C$367,MATCH(H754,Calendrier!$A$2:$A$367,0)),0),"")</f>
        <v>1</v>
      </c>
      <c r="K754" s="50">
        <f t="shared" si="59"/>
        <v>1</v>
      </c>
      <c r="L754" s="50">
        <f>IF(D754="","",IF(COUNTIF(Paramètres!$A$11:$A$40,D754)&gt;0,1,0))</f>
        <v>1</v>
      </c>
    </row>
    <row r="755" spans="1:12" hidden="1" x14ac:dyDescent="0.25">
      <c r="A755" s="49"/>
      <c r="B755" s="49" t="s">
        <v>67</v>
      </c>
      <c r="C755" s="49" t="s">
        <v>825</v>
      </c>
      <c r="D755" s="50" t="str">
        <f t="shared" si="55"/>
        <v>Marwa Solaani</v>
      </c>
      <c r="E755" s="50" t="str">
        <f t="shared" si="56"/>
        <v>juil</v>
      </c>
      <c r="F755" s="50">
        <f t="shared" si="57"/>
        <v>12</v>
      </c>
      <c r="G755" s="50">
        <f t="shared" si="58"/>
        <v>2026</v>
      </c>
      <c r="H755" s="51">
        <f>IF($C755="","",IFERROR(DATE(G755,VLOOKUP(E755,Paramètres!$K$11:$L$40,2,FALSE()),F755),"?"))</f>
        <v>46215</v>
      </c>
      <c r="I755" s="50">
        <f>IF(ISNUMBER(H755),IF(COUNTIFS($D$2:D755,D755,$H$2:H755,H755)=1,1,0),"")</f>
        <v>1</v>
      </c>
      <c r="J755" s="50">
        <f>IF(ISNUMBER(H755),IFERROR(INDEX(Calendrier!$C$2:$C$367,MATCH(H755,Calendrier!$A$2:$A$367,0)),0),"")</f>
        <v>0</v>
      </c>
      <c r="K755" s="50">
        <f t="shared" si="59"/>
        <v>0</v>
      </c>
      <c r="L755" s="50">
        <f>IF(D755="","",IF(COUNTIF(Paramètres!$A$11:$A$40,D755)&gt;0,1,0))</f>
        <v>1</v>
      </c>
    </row>
    <row r="756" spans="1:12" hidden="1" x14ac:dyDescent="0.25">
      <c r="A756" s="49"/>
      <c r="B756" s="49" t="s">
        <v>67</v>
      </c>
      <c r="C756" s="49" t="s">
        <v>826</v>
      </c>
      <c r="D756" s="50" t="str">
        <f t="shared" si="55"/>
        <v>Marwa Solaani</v>
      </c>
      <c r="E756" s="50" t="str">
        <f t="shared" si="56"/>
        <v>juil</v>
      </c>
      <c r="F756" s="50">
        <f t="shared" si="57"/>
        <v>15</v>
      </c>
      <c r="G756" s="50">
        <f t="shared" si="58"/>
        <v>2026</v>
      </c>
      <c r="H756" s="51">
        <f>IF($C756="","",IFERROR(DATE(G756,VLOOKUP(E756,Paramètres!$K$11:$L$40,2,FALSE()),F756),"?"))</f>
        <v>46218</v>
      </c>
      <c r="I756" s="50">
        <f>IF(ISNUMBER(H756),IF(COUNTIFS($D$2:D756,D756,$H$2:H756,H756)=1,1,0),"")</f>
        <v>1</v>
      </c>
      <c r="J756" s="50">
        <f>IF(ISNUMBER(H756),IFERROR(INDEX(Calendrier!$C$2:$C$367,MATCH(H756,Calendrier!$A$2:$A$367,0)),0),"")</f>
        <v>1</v>
      </c>
      <c r="K756" s="50">
        <f t="shared" si="59"/>
        <v>1</v>
      </c>
      <c r="L756" s="50">
        <f>IF(D756="","",IF(COUNTIF(Paramètres!$A$11:$A$40,D756)&gt;0,1,0))</f>
        <v>1</v>
      </c>
    </row>
    <row r="757" spans="1:12" hidden="1" x14ac:dyDescent="0.25">
      <c r="A757" s="49"/>
      <c r="B757" s="49" t="s">
        <v>67</v>
      </c>
      <c r="C757" s="49" t="s">
        <v>827</v>
      </c>
      <c r="D757" s="50" t="str">
        <f t="shared" si="55"/>
        <v>Marwa Solaani</v>
      </c>
      <c r="E757" s="50" t="str">
        <f t="shared" si="56"/>
        <v>juil</v>
      </c>
      <c r="F757" s="50">
        <f t="shared" si="57"/>
        <v>16</v>
      </c>
      <c r="G757" s="50">
        <f t="shared" si="58"/>
        <v>2026</v>
      </c>
      <c r="H757" s="51">
        <f>IF($C757="","",IFERROR(DATE(G757,VLOOKUP(E757,Paramètres!$K$11:$L$40,2,FALSE()),F757),"?"))</f>
        <v>46219</v>
      </c>
      <c r="I757" s="50">
        <f>IF(ISNUMBER(H757),IF(COUNTIFS($D$2:D757,D757,$H$2:H757,H757)=1,1,0),"")</f>
        <v>1</v>
      </c>
      <c r="J757" s="50">
        <f>IF(ISNUMBER(H757),IFERROR(INDEX(Calendrier!$C$2:$C$367,MATCH(H757,Calendrier!$A$2:$A$367,0)),0),"")</f>
        <v>1</v>
      </c>
      <c r="K757" s="50">
        <f t="shared" si="59"/>
        <v>1</v>
      </c>
      <c r="L757" s="50">
        <f>IF(D757="","",IF(COUNTIF(Paramètres!$A$11:$A$40,D757)&gt;0,1,0))</f>
        <v>1</v>
      </c>
    </row>
    <row r="758" spans="1:12" hidden="1" x14ac:dyDescent="0.25">
      <c r="A758" s="49"/>
      <c r="B758" s="49" t="s">
        <v>67</v>
      </c>
      <c r="C758" s="49" t="s">
        <v>828</v>
      </c>
      <c r="D758" s="50" t="str">
        <f t="shared" si="55"/>
        <v>Marwa Solaani</v>
      </c>
      <c r="E758" s="50" t="str">
        <f t="shared" si="56"/>
        <v>juil</v>
      </c>
      <c r="F758" s="50">
        <f t="shared" si="57"/>
        <v>24</v>
      </c>
      <c r="G758" s="50">
        <f t="shared" si="58"/>
        <v>2026</v>
      </c>
      <c r="H758" s="51">
        <f>IF($C758="","",IFERROR(DATE(G758,VLOOKUP(E758,Paramètres!$K$11:$L$40,2,FALSE()),F758),"?"))</f>
        <v>46227</v>
      </c>
      <c r="I758" s="50">
        <f>IF(ISNUMBER(H758),IF(COUNTIFS($D$2:D758,D758,$H$2:H758,H758)=1,1,0),"")</f>
        <v>1</v>
      </c>
      <c r="J758" s="50">
        <f>IF(ISNUMBER(H758),IFERROR(INDEX(Calendrier!$C$2:$C$367,MATCH(H758,Calendrier!$A$2:$A$367,0)),0),"")</f>
        <v>1</v>
      </c>
      <c r="K758" s="50">
        <f t="shared" si="59"/>
        <v>1</v>
      </c>
      <c r="L758" s="50">
        <f>IF(D758="","",IF(COUNTIF(Paramètres!$A$11:$A$40,D758)&gt;0,1,0))</f>
        <v>1</v>
      </c>
    </row>
    <row r="759" spans="1:12" hidden="1" x14ac:dyDescent="0.25">
      <c r="A759" s="49"/>
      <c r="B759" s="49" t="s">
        <v>67</v>
      </c>
      <c r="C759" s="49" t="s">
        <v>829</v>
      </c>
      <c r="D759" s="50" t="str">
        <f t="shared" si="55"/>
        <v>Marwa Solaani</v>
      </c>
      <c r="E759" s="50" t="str">
        <f t="shared" si="56"/>
        <v>juil</v>
      </c>
      <c r="F759" s="50">
        <f t="shared" si="57"/>
        <v>27</v>
      </c>
      <c r="G759" s="50">
        <f t="shared" si="58"/>
        <v>2026</v>
      </c>
      <c r="H759" s="51">
        <f>IF($C759="","",IFERROR(DATE(G759,VLOOKUP(E759,Paramètres!$K$11:$L$40,2,FALSE()),F759),"?"))</f>
        <v>46230</v>
      </c>
      <c r="I759" s="50">
        <f>IF(ISNUMBER(H759),IF(COUNTIFS($D$2:D759,D759,$H$2:H759,H759)=1,1,0),"")</f>
        <v>1</v>
      </c>
      <c r="J759" s="50">
        <f>IF(ISNUMBER(H759),IFERROR(INDEX(Calendrier!$C$2:$C$367,MATCH(H759,Calendrier!$A$2:$A$367,0)),0),"")</f>
        <v>1</v>
      </c>
      <c r="K759" s="50">
        <f t="shared" si="59"/>
        <v>1</v>
      </c>
      <c r="L759" s="50">
        <f>IF(D759="","",IF(COUNTIF(Paramètres!$A$11:$A$40,D759)&gt;0,1,0))</f>
        <v>1</v>
      </c>
    </row>
    <row r="760" spans="1:12" x14ac:dyDescent="0.25">
      <c r="A760" s="49"/>
      <c r="B760" s="49" t="s">
        <v>830</v>
      </c>
      <c r="C760" s="49" t="s">
        <v>831</v>
      </c>
      <c r="D760" s="50" t="str">
        <f t="shared" si="55"/>
        <v>Zouhour FATHALLAH</v>
      </c>
      <c r="E760" s="50" t="str">
        <f t="shared" si="56"/>
        <v>juil</v>
      </c>
      <c r="F760" s="50">
        <f t="shared" si="57"/>
        <v>1</v>
      </c>
      <c r="G760" s="50">
        <f t="shared" si="58"/>
        <v>2026</v>
      </c>
      <c r="H760" s="51">
        <f>IF($C760="","",IFERROR(DATE(G760,VLOOKUP(E760,Paramètres!$K$11:$L$40,2,FALSE()),F760),"?"))</f>
        <v>46204</v>
      </c>
      <c r="I760" s="50">
        <f>IF(ISNUMBER(H760),IF(COUNTIFS($D$2:D760,D760,$H$2:H760,H760)=1,1,0),"")</f>
        <v>1</v>
      </c>
      <c r="J760" s="50">
        <f>IF(ISNUMBER(H760),IFERROR(INDEX(Calendrier!$C$2:$C$367,MATCH(H760,Calendrier!$A$2:$A$367,0)),0),"")</f>
        <v>1</v>
      </c>
      <c r="K760" s="50">
        <f t="shared" si="59"/>
        <v>1</v>
      </c>
      <c r="L760" s="50">
        <f>IF(D760="","",IF(COUNTIF(Paramètres!$A$11:$A$40,D760)&gt;0,1,0))</f>
        <v>1</v>
      </c>
    </row>
    <row r="761" spans="1:12" x14ac:dyDescent="0.25">
      <c r="A761" s="49"/>
      <c r="B761" s="49" t="s">
        <v>830</v>
      </c>
      <c r="C761" s="49" t="s">
        <v>832</v>
      </c>
      <c r="D761" s="50" t="str">
        <f t="shared" si="55"/>
        <v>Zouhour FATHALLAH</v>
      </c>
      <c r="E761" s="50" t="str">
        <f t="shared" si="56"/>
        <v>juil</v>
      </c>
      <c r="F761" s="50">
        <f t="shared" si="57"/>
        <v>2</v>
      </c>
      <c r="G761" s="50">
        <f t="shared" si="58"/>
        <v>2026</v>
      </c>
      <c r="H761" s="51">
        <f>IF($C761="","",IFERROR(DATE(G761,VLOOKUP(E761,Paramètres!$K$11:$L$40,2,FALSE()),F761),"?"))</f>
        <v>46205</v>
      </c>
      <c r="I761" s="50">
        <f>IF(ISNUMBER(H761),IF(COUNTIFS($D$2:D761,D761,$H$2:H761,H761)=1,1,0),"")</f>
        <v>1</v>
      </c>
      <c r="J761" s="50">
        <f>IF(ISNUMBER(H761),IFERROR(INDEX(Calendrier!$C$2:$C$367,MATCH(H761,Calendrier!$A$2:$A$367,0)),0),"")</f>
        <v>1</v>
      </c>
      <c r="K761" s="50">
        <f t="shared" si="59"/>
        <v>1</v>
      </c>
      <c r="L761" s="50">
        <f>IF(D761="","",IF(COUNTIF(Paramètres!$A$11:$A$40,D761)&gt;0,1,0))</f>
        <v>1</v>
      </c>
    </row>
    <row r="762" spans="1:12" x14ac:dyDescent="0.25">
      <c r="A762" s="49"/>
      <c r="B762" s="49" t="s">
        <v>830</v>
      </c>
      <c r="C762" s="49" t="s">
        <v>833</v>
      </c>
      <c r="D762" s="50" t="str">
        <f t="shared" si="55"/>
        <v>Zouhour FATHALLAH</v>
      </c>
      <c r="E762" s="50" t="str">
        <f t="shared" si="56"/>
        <v>juil</v>
      </c>
      <c r="F762" s="50">
        <f t="shared" si="57"/>
        <v>4</v>
      </c>
      <c r="G762" s="50">
        <f t="shared" si="58"/>
        <v>2026</v>
      </c>
      <c r="H762" s="51">
        <f>IF($C762="","",IFERROR(DATE(G762,VLOOKUP(E762,Paramètres!$K$11:$L$40,2,FALSE()),F762),"?"))</f>
        <v>46207</v>
      </c>
      <c r="I762" s="50">
        <f>IF(ISNUMBER(H762),IF(COUNTIFS($D$2:D762,D762,$H$2:H762,H762)=1,1,0),"")</f>
        <v>1</v>
      </c>
      <c r="J762" s="50">
        <f>IF(ISNUMBER(H762),IFERROR(INDEX(Calendrier!$C$2:$C$367,MATCH(H762,Calendrier!$A$2:$A$367,0)),0),"")</f>
        <v>0</v>
      </c>
      <c r="K762" s="50">
        <f t="shared" si="59"/>
        <v>0</v>
      </c>
      <c r="L762" s="50">
        <f>IF(D762="","",IF(COUNTIF(Paramètres!$A$11:$A$40,D762)&gt;0,1,0))</f>
        <v>1</v>
      </c>
    </row>
    <row r="763" spans="1:12" x14ac:dyDescent="0.25">
      <c r="A763" s="49"/>
      <c r="B763" s="49" t="s">
        <v>830</v>
      </c>
      <c r="C763" s="49" t="s">
        <v>834</v>
      </c>
      <c r="D763" s="50" t="str">
        <f t="shared" si="55"/>
        <v>Zouhour FATHALLAH</v>
      </c>
      <c r="E763" s="50" t="str">
        <f t="shared" si="56"/>
        <v>juil</v>
      </c>
      <c r="F763" s="50">
        <f t="shared" si="57"/>
        <v>4</v>
      </c>
      <c r="G763" s="50">
        <f t="shared" si="58"/>
        <v>2026</v>
      </c>
      <c r="H763" s="51">
        <f>IF($C763="","",IFERROR(DATE(G763,VLOOKUP(E763,Paramètres!$K$11:$L$40,2,FALSE()),F763),"?"))</f>
        <v>46207</v>
      </c>
      <c r="I763" s="50">
        <f>IF(ISNUMBER(H763),IF(COUNTIFS($D$2:D763,D763,$H$2:H763,H763)=1,1,0),"")</f>
        <v>0</v>
      </c>
      <c r="J763" s="50">
        <f>IF(ISNUMBER(H763),IFERROR(INDEX(Calendrier!$C$2:$C$367,MATCH(H763,Calendrier!$A$2:$A$367,0)),0),"")</f>
        <v>0</v>
      </c>
      <c r="K763" s="50">
        <f t="shared" si="59"/>
        <v>0</v>
      </c>
      <c r="L763" s="50">
        <f>IF(D763="","",IF(COUNTIF(Paramètres!$A$11:$A$40,D763)&gt;0,1,0))</f>
        <v>1</v>
      </c>
    </row>
    <row r="764" spans="1:12" x14ac:dyDescent="0.25">
      <c r="A764" s="49"/>
      <c r="B764" s="49" t="s">
        <v>830</v>
      </c>
      <c r="C764" s="49" t="s">
        <v>835</v>
      </c>
      <c r="D764" s="50" t="str">
        <f t="shared" si="55"/>
        <v>Zouhour FATHALLAH</v>
      </c>
      <c r="E764" s="50" t="str">
        <f t="shared" si="56"/>
        <v>juil</v>
      </c>
      <c r="F764" s="50">
        <f t="shared" si="57"/>
        <v>4</v>
      </c>
      <c r="G764" s="50">
        <f t="shared" si="58"/>
        <v>2026</v>
      </c>
      <c r="H764" s="51">
        <f>IF($C764="","",IFERROR(DATE(G764,VLOOKUP(E764,Paramètres!$K$11:$L$40,2,FALSE()),F764),"?"))</f>
        <v>46207</v>
      </c>
      <c r="I764" s="50">
        <f>IF(ISNUMBER(H764),IF(COUNTIFS($D$2:D764,D764,$H$2:H764,H764)=1,1,0),"")</f>
        <v>0</v>
      </c>
      <c r="J764" s="50">
        <f>IF(ISNUMBER(H764),IFERROR(INDEX(Calendrier!$C$2:$C$367,MATCH(H764,Calendrier!$A$2:$A$367,0)),0),"")</f>
        <v>0</v>
      </c>
      <c r="K764" s="50">
        <f t="shared" si="59"/>
        <v>0</v>
      </c>
      <c r="L764" s="50">
        <f>IF(D764="","",IF(COUNTIF(Paramètres!$A$11:$A$40,D764)&gt;0,1,0))</f>
        <v>1</v>
      </c>
    </row>
    <row r="765" spans="1:12" x14ac:dyDescent="0.25">
      <c r="A765" s="49"/>
      <c r="B765" s="49" t="s">
        <v>830</v>
      </c>
      <c r="C765" s="49" t="s">
        <v>836</v>
      </c>
      <c r="D765" s="50" t="str">
        <f t="shared" si="55"/>
        <v>Zouhour FATHALLAH</v>
      </c>
      <c r="E765" s="50" t="str">
        <f t="shared" si="56"/>
        <v>juil</v>
      </c>
      <c r="F765" s="50">
        <f t="shared" si="57"/>
        <v>6</v>
      </c>
      <c r="G765" s="50">
        <f t="shared" si="58"/>
        <v>2026</v>
      </c>
      <c r="H765" s="51">
        <f>IF($C765="","",IFERROR(DATE(G765,VLOOKUP(E765,Paramètres!$K$11:$L$40,2,FALSE()),F765),"?"))</f>
        <v>46209</v>
      </c>
      <c r="I765" s="50">
        <f>IF(ISNUMBER(H765),IF(COUNTIFS($D$2:D765,D765,$H$2:H765,H765)=1,1,0),"")</f>
        <v>1</v>
      </c>
      <c r="J765" s="50">
        <f>IF(ISNUMBER(H765),IFERROR(INDEX(Calendrier!$C$2:$C$367,MATCH(H765,Calendrier!$A$2:$A$367,0)),0),"")</f>
        <v>1</v>
      </c>
      <c r="K765" s="50">
        <f t="shared" si="59"/>
        <v>1</v>
      </c>
      <c r="L765" s="50">
        <f>IF(D765="","",IF(COUNTIF(Paramètres!$A$11:$A$40,D765)&gt;0,1,0))</f>
        <v>1</v>
      </c>
    </row>
    <row r="766" spans="1:12" x14ac:dyDescent="0.25">
      <c r="A766" s="49"/>
      <c r="B766" s="49" t="s">
        <v>830</v>
      </c>
      <c r="C766" s="49" t="s">
        <v>837</v>
      </c>
      <c r="D766" s="50" t="str">
        <f t="shared" si="55"/>
        <v>Zouhour FATHALLAH</v>
      </c>
      <c r="E766" s="50" t="str">
        <f t="shared" si="56"/>
        <v>juil</v>
      </c>
      <c r="F766" s="50">
        <f t="shared" si="57"/>
        <v>7</v>
      </c>
      <c r="G766" s="50">
        <f t="shared" si="58"/>
        <v>2026</v>
      </c>
      <c r="H766" s="51">
        <f>IF($C766="","",IFERROR(DATE(G766,VLOOKUP(E766,Paramètres!$K$11:$L$40,2,FALSE()),F766),"?"))</f>
        <v>46210</v>
      </c>
      <c r="I766" s="50">
        <f>IF(ISNUMBER(H766),IF(COUNTIFS($D$2:D766,D766,$H$2:H766,H766)=1,1,0),"")</f>
        <v>1</v>
      </c>
      <c r="J766" s="50">
        <f>IF(ISNUMBER(H766),IFERROR(INDEX(Calendrier!$C$2:$C$367,MATCH(H766,Calendrier!$A$2:$A$367,0)),0),"")</f>
        <v>1</v>
      </c>
      <c r="K766" s="50">
        <f t="shared" si="59"/>
        <v>1</v>
      </c>
      <c r="L766" s="50">
        <f>IF(D766="","",IF(COUNTIF(Paramètres!$A$11:$A$40,D766)&gt;0,1,0))</f>
        <v>1</v>
      </c>
    </row>
    <row r="767" spans="1:12" x14ac:dyDescent="0.25">
      <c r="A767" s="49"/>
      <c r="B767" s="49" t="s">
        <v>830</v>
      </c>
      <c r="C767" s="49" t="s">
        <v>838</v>
      </c>
      <c r="D767" s="50" t="str">
        <f t="shared" si="55"/>
        <v>Zouhour FATHALLAH</v>
      </c>
      <c r="E767" s="50" t="str">
        <f t="shared" si="56"/>
        <v>juil</v>
      </c>
      <c r="F767" s="50">
        <f t="shared" si="57"/>
        <v>8</v>
      </c>
      <c r="G767" s="50">
        <f t="shared" si="58"/>
        <v>2026</v>
      </c>
      <c r="H767" s="51">
        <f>IF($C767="","",IFERROR(DATE(G767,VLOOKUP(E767,Paramètres!$K$11:$L$40,2,FALSE()),F767),"?"))</f>
        <v>46211</v>
      </c>
      <c r="I767" s="50">
        <f>IF(ISNUMBER(H767),IF(COUNTIFS($D$2:D767,D767,$H$2:H767,H767)=1,1,0),"")</f>
        <v>1</v>
      </c>
      <c r="J767" s="50">
        <f>IF(ISNUMBER(H767),IFERROR(INDEX(Calendrier!$C$2:$C$367,MATCH(H767,Calendrier!$A$2:$A$367,0)),0),"")</f>
        <v>1</v>
      </c>
      <c r="K767" s="50">
        <f t="shared" si="59"/>
        <v>1</v>
      </c>
      <c r="L767" s="50">
        <f>IF(D767="","",IF(COUNTIF(Paramètres!$A$11:$A$40,D767)&gt;0,1,0))</f>
        <v>1</v>
      </c>
    </row>
    <row r="768" spans="1:12" x14ac:dyDescent="0.25">
      <c r="A768" s="49"/>
      <c r="B768" s="49" t="s">
        <v>830</v>
      </c>
      <c r="C768" s="49" t="s">
        <v>839</v>
      </c>
      <c r="D768" s="50" t="str">
        <f t="shared" si="55"/>
        <v>Zouhour FATHALLAH</v>
      </c>
      <c r="E768" s="50" t="str">
        <f t="shared" si="56"/>
        <v>juil</v>
      </c>
      <c r="F768" s="50">
        <f t="shared" si="57"/>
        <v>13</v>
      </c>
      <c r="G768" s="50">
        <f t="shared" si="58"/>
        <v>2026</v>
      </c>
      <c r="H768" s="51">
        <f>IF($C768="","",IFERROR(DATE(G768,VLOOKUP(E768,Paramètres!$K$11:$L$40,2,FALSE()),F768),"?"))</f>
        <v>46216</v>
      </c>
      <c r="I768" s="50">
        <f>IF(ISNUMBER(H768),IF(COUNTIFS($D$2:D768,D768,$H$2:H768,H768)=1,1,0),"")</f>
        <v>1</v>
      </c>
      <c r="J768" s="50">
        <f>IF(ISNUMBER(H768),IFERROR(INDEX(Calendrier!$C$2:$C$367,MATCH(H768,Calendrier!$A$2:$A$367,0)),0),"")</f>
        <v>1</v>
      </c>
      <c r="K768" s="50">
        <f t="shared" si="59"/>
        <v>1</v>
      </c>
      <c r="L768" s="50">
        <f>IF(D768="","",IF(COUNTIF(Paramètres!$A$11:$A$40,D768)&gt;0,1,0))</f>
        <v>1</v>
      </c>
    </row>
    <row r="769" spans="1:12" x14ac:dyDescent="0.25">
      <c r="A769" s="49"/>
      <c r="B769" s="49" t="s">
        <v>830</v>
      </c>
      <c r="C769" s="49" t="s">
        <v>840</v>
      </c>
      <c r="D769" s="50" t="str">
        <f t="shared" si="55"/>
        <v>Zouhour FATHALLAH</v>
      </c>
      <c r="E769" s="50" t="str">
        <f t="shared" si="56"/>
        <v>juil</v>
      </c>
      <c r="F769" s="50">
        <f t="shared" si="57"/>
        <v>17</v>
      </c>
      <c r="G769" s="50">
        <f t="shared" si="58"/>
        <v>2026</v>
      </c>
      <c r="H769" s="51">
        <f>IF($C769="","",IFERROR(DATE(G769,VLOOKUP(E769,Paramètres!$K$11:$L$40,2,FALSE()),F769),"?"))</f>
        <v>46220</v>
      </c>
      <c r="I769" s="50">
        <f>IF(ISNUMBER(H769),IF(COUNTIFS($D$2:D769,D769,$H$2:H769,H769)=1,1,0),"")</f>
        <v>1</v>
      </c>
      <c r="J769" s="50">
        <f>IF(ISNUMBER(H769),IFERROR(INDEX(Calendrier!$C$2:$C$367,MATCH(H769,Calendrier!$A$2:$A$367,0)),0),"")</f>
        <v>1</v>
      </c>
      <c r="K769" s="50">
        <f t="shared" si="59"/>
        <v>1</v>
      </c>
      <c r="L769" s="50">
        <f>IF(D769="","",IF(COUNTIF(Paramètres!$A$11:$A$40,D769)&gt;0,1,0))</f>
        <v>1</v>
      </c>
    </row>
    <row r="770" spans="1:12" x14ac:dyDescent="0.25">
      <c r="A770" s="49"/>
      <c r="B770" s="49" t="s">
        <v>830</v>
      </c>
      <c r="C770" s="49" t="s">
        <v>841</v>
      </c>
      <c r="D770" s="50" t="str">
        <f t="shared" ref="D770:D833" si="60">IF(B770="","",TRIM(B770))</f>
        <v>Zouhour FATHALLAH</v>
      </c>
      <c r="E770" s="50" t="str">
        <f t="shared" ref="E770:E833" si="61">IF($C770="","",LEFT($C770,FIND(" ",$C770)-1))</f>
        <v>juil</v>
      </c>
      <c r="F770" s="50">
        <f t="shared" ref="F770:F833" si="62">IF($C770="","",IFERROR(VALUE(LEFT(MID($C770,FIND(" ",$C770)+1,20),FIND(" ",MID($C770,FIND(" ",$C770)+1,20))-1)),"?"))</f>
        <v>20</v>
      </c>
      <c r="G770" s="50">
        <f t="shared" ref="G770:G833" si="63">IF($C770="","",IFERROR(VALUE(MID(MID($C770,FIND(" ",$C770)+1,20),FIND(" ",MID($C770,FIND(" ",$C770)+1,20))+1,4)),"?"))</f>
        <v>2026</v>
      </c>
      <c r="H770" s="51">
        <f>IF($C770="","",IFERROR(DATE(G770,VLOOKUP(E770,Paramètres!$K$11:$L$40,2,FALSE()),F770),"?"))</f>
        <v>46223</v>
      </c>
      <c r="I770" s="50">
        <f>IF(ISNUMBER(H770),IF(COUNTIFS($D$2:D770,D770,$H$2:H770,H770)=1,1,0),"")</f>
        <v>1</v>
      </c>
      <c r="J770" s="50">
        <f>IF(ISNUMBER(H770),IFERROR(INDEX(Calendrier!$C$2:$C$367,MATCH(H770,Calendrier!$A$2:$A$367,0)),0),"")</f>
        <v>1</v>
      </c>
      <c r="K770" s="50">
        <f t="shared" ref="K770:K833" si="64">IF(ISNUMBER(H770),I770*J770,"")</f>
        <v>1</v>
      </c>
      <c r="L770" s="50">
        <f>IF(D770="","",IF(COUNTIF(Paramètres!$A$11:$A$40,D770)&gt;0,1,0))</f>
        <v>1</v>
      </c>
    </row>
    <row r="771" spans="1:12" x14ac:dyDescent="0.25">
      <c r="A771" s="49"/>
      <c r="B771" s="49" t="s">
        <v>830</v>
      </c>
      <c r="C771" s="49" t="s">
        <v>842</v>
      </c>
      <c r="D771" s="50" t="str">
        <f t="shared" si="60"/>
        <v>Zouhour FATHALLAH</v>
      </c>
      <c r="E771" s="50" t="str">
        <f t="shared" si="61"/>
        <v>juil</v>
      </c>
      <c r="F771" s="50">
        <f t="shared" si="62"/>
        <v>23</v>
      </c>
      <c r="G771" s="50">
        <f t="shared" si="63"/>
        <v>2026</v>
      </c>
      <c r="H771" s="51">
        <f>IF($C771="","",IFERROR(DATE(G771,VLOOKUP(E771,Paramètres!$K$11:$L$40,2,FALSE()),F771),"?"))</f>
        <v>46226</v>
      </c>
      <c r="I771" s="50">
        <f>IF(ISNUMBER(H771),IF(COUNTIFS($D$2:D771,D771,$H$2:H771,H771)=1,1,0),"")</f>
        <v>1</v>
      </c>
      <c r="J771" s="50">
        <f>IF(ISNUMBER(H771),IFERROR(INDEX(Calendrier!$C$2:$C$367,MATCH(H771,Calendrier!$A$2:$A$367,0)),0),"")</f>
        <v>1</v>
      </c>
      <c r="K771" s="50">
        <f t="shared" si="64"/>
        <v>1</v>
      </c>
      <c r="L771" s="50">
        <f>IF(D771="","",IF(COUNTIF(Paramètres!$A$11:$A$40,D771)&gt;0,1,0))</f>
        <v>1</v>
      </c>
    </row>
    <row r="772" spans="1:12" x14ac:dyDescent="0.25">
      <c r="A772" s="49"/>
      <c r="B772" s="49" t="s">
        <v>830</v>
      </c>
      <c r="C772" s="49" t="s">
        <v>843</v>
      </c>
      <c r="D772" s="50" t="str">
        <f t="shared" si="60"/>
        <v>Zouhour FATHALLAH</v>
      </c>
      <c r="E772" s="50" t="str">
        <f t="shared" si="61"/>
        <v>juil</v>
      </c>
      <c r="F772" s="50">
        <f t="shared" si="62"/>
        <v>27</v>
      </c>
      <c r="G772" s="50">
        <f t="shared" si="63"/>
        <v>2026</v>
      </c>
      <c r="H772" s="51">
        <f>IF($C772="","",IFERROR(DATE(G772,VLOOKUP(E772,Paramètres!$K$11:$L$40,2,FALSE()),F772),"?"))</f>
        <v>46230</v>
      </c>
      <c r="I772" s="50">
        <f>IF(ISNUMBER(H772),IF(COUNTIFS($D$2:D772,D772,$H$2:H772,H772)=1,1,0),"")</f>
        <v>1</v>
      </c>
      <c r="J772" s="50">
        <f>IF(ISNUMBER(H772),IFERROR(INDEX(Calendrier!$C$2:$C$367,MATCH(H772,Calendrier!$A$2:$A$367,0)),0),"")</f>
        <v>1</v>
      </c>
      <c r="K772" s="50">
        <f t="shared" si="64"/>
        <v>1</v>
      </c>
      <c r="L772" s="50">
        <f>IF(D772="","",IF(COUNTIF(Paramètres!$A$11:$A$40,D772)&gt;0,1,0))</f>
        <v>1</v>
      </c>
    </row>
    <row r="773" spans="1:12" x14ac:dyDescent="0.25">
      <c r="A773" s="49"/>
      <c r="B773" s="49" t="s">
        <v>830</v>
      </c>
      <c r="C773" s="49" t="s">
        <v>844</v>
      </c>
      <c r="D773" s="50" t="str">
        <f t="shared" si="60"/>
        <v>Zouhour FATHALLAH</v>
      </c>
      <c r="E773" s="50" t="str">
        <f t="shared" si="61"/>
        <v>juil</v>
      </c>
      <c r="F773" s="50">
        <f t="shared" si="62"/>
        <v>28</v>
      </c>
      <c r="G773" s="50">
        <f t="shared" si="63"/>
        <v>2026</v>
      </c>
      <c r="H773" s="51">
        <f>IF($C773="","",IFERROR(DATE(G773,VLOOKUP(E773,Paramètres!$K$11:$L$40,2,FALSE()),F773),"?"))</f>
        <v>46231</v>
      </c>
      <c r="I773" s="50">
        <f>IF(ISNUMBER(H773),IF(COUNTIFS($D$2:D773,D773,$H$2:H773,H773)=1,1,0),"")</f>
        <v>1</v>
      </c>
      <c r="J773" s="50">
        <f>IF(ISNUMBER(H773),IFERROR(INDEX(Calendrier!$C$2:$C$367,MATCH(H773,Calendrier!$A$2:$A$367,0)),0),"")</f>
        <v>1</v>
      </c>
      <c r="K773" s="50">
        <f t="shared" si="64"/>
        <v>1</v>
      </c>
      <c r="L773" s="50">
        <f>IF(D773="","",IF(COUNTIF(Paramètres!$A$11:$A$40,D773)&gt;0,1,0))</f>
        <v>1</v>
      </c>
    </row>
    <row r="774" spans="1:12" hidden="1" x14ac:dyDescent="0.25">
      <c r="A774" s="49"/>
      <c r="B774" s="49" t="s">
        <v>78</v>
      </c>
      <c r="C774" s="49" t="s">
        <v>836</v>
      </c>
      <c r="D774" s="50" t="str">
        <f t="shared" si="60"/>
        <v>Nouha Ben Khlifa</v>
      </c>
      <c r="E774" s="50" t="str">
        <f t="shared" si="61"/>
        <v>juil</v>
      </c>
      <c r="F774" s="50">
        <f t="shared" si="62"/>
        <v>6</v>
      </c>
      <c r="G774" s="50">
        <f t="shared" si="63"/>
        <v>2026</v>
      </c>
      <c r="H774" s="51">
        <f>IF($C774="","",IFERROR(DATE(G774,VLOOKUP(E774,Paramètres!$K$11:$L$40,2,FALSE()),F774),"?"))</f>
        <v>46209</v>
      </c>
      <c r="I774" s="50">
        <f>IF(ISNUMBER(H774),IF(COUNTIFS($D$2:D774,D774,$H$2:H774,H774)=1,1,0),"")</f>
        <v>1</v>
      </c>
      <c r="J774" s="50">
        <f>IF(ISNUMBER(H774),IFERROR(INDEX(Calendrier!$C$2:$C$367,MATCH(H774,Calendrier!$A$2:$A$367,0)),0),"")</f>
        <v>1</v>
      </c>
      <c r="K774" s="50">
        <f t="shared" si="64"/>
        <v>1</v>
      </c>
      <c r="L774" s="50">
        <f>IF(D774="","",IF(COUNTIF(Paramètres!$A$11:$A$40,D774)&gt;0,1,0))</f>
        <v>1</v>
      </c>
    </row>
    <row r="775" spans="1:12" hidden="1" x14ac:dyDescent="0.25">
      <c r="A775" s="49"/>
      <c r="B775" s="49" t="s">
        <v>78</v>
      </c>
      <c r="C775" s="49" t="s">
        <v>845</v>
      </c>
      <c r="D775" s="50" t="str">
        <f t="shared" si="60"/>
        <v>Nouha Ben Khlifa</v>
      </c>
      <c r="E775" s="50" t="str">
        <f t="shared" si="61"/>
        <v>juil</v>
      </c>
      <c r="F775" s="50">
        <f t="shared" si="62"/>
        <v>10</v>
      </c>
      <c r="G775" s="50">
        <f t="shared" si="63"/>
        <v>2026</v>
      </c>
      <c r="H775" s="51">
        <f>IF($C775="","",IFERROR(DATE(G775,VLOOKUP(E775,Paramètres!$K$11:$L$40,2,FALSE()),F775),"?"))</f>
        <v>46213</v>
      </c>
      <c r="I775" s="50">
        <f>IF(ISNUMBER(H775),IF(COUNTIFS($D$2:D775,D775,$H$2:H775,H775)=1,1,0),"")</f>
        <v>1</v>
      </c>
      <c r="J775" s="50">
        <f>IF(ISNUMBER(H775),IFERROR(INDEX(Calendrier!$C$2:$C$367,MATCH(H775,Calendrier!$A$2:$A$367,0)),0),"")</f>
        <v>1</v>
      </c>
      <c r="K775" s="50">
        <f t="shared" si="64"/>
        <v>1</v>
      </c>
      <c r="L775" s="50">
        <f>IF(D775="","",IF(COUNTIF(Paramètres!$A$11:$A$40,D775)&gt;0,1,0))</f>
        <v>1</v>
      </c>
    </row>
    <row r="776" spans="1:12" hidden="1" x14ac:dyDescent="0.25">
      <c r="A776" s="49"/>
      <c r="B776" s="49" t="s">
        <v>78</v>
      </c>
      <c r="C776" s="49" t="s">
        <v>846</v>
      </c>
      <c r="D776" s="50" t="str">
        <f t="shared" si="60"/>
        <v>Nouha Ben Khlifa</v>
      </c>
      <c r="E776" s="50" t="str">
        <f t="shared" si="61"/>
        <v>juil</v>
      </c>
      <c r="F776" s="50">
        <f t="shared" si="62"/>
        <v>10</v>
      </c>
      <c r="G776" s="50">
        <f t="shared" si="63"/>
        <v>2026</v>
      </c>
      <c r="H776" s="51">
        <f>IF($C776="","",IFERROR(DATE(G776,VLOOKUP(E776,Paramètres!$K$11:$L$40,2,FALSE()),F776),"?"))</f>
        <v>46213</v>
      </c>
      <c r="I776" s="50">
        <f>IF(ISNUMBER(H776),IF(COUNTIFS($D$2:D776,D776,$H$2:H776,H776)=1,1,0),"")</f>
        <v>0</v>
      </c>
      <c r="J776" s="50">
        <f>IF(ISNUMBER(H776),IFERROR(INDEX(Calendrier!$C$2:$C$367,MATCH(H776,Calendrier!$A$2:$A$367,0)),0),"")</f>
        <v>1</v>
      </c>
      <c r="K776" s="50">
        <f t="shared" si="64"/>
        <v>0</v>
      </c>
      <c r="L776" s="50">
        <f>IF(D776="","",IF(COUNTIF(Paramètres!$A$11:$A$40,D776)&gt;0,1,0))</f>
        <v>1</v>
      </c>
    </row>
    <row r="777" spans="1:12" hidden="1" x14ac:dyDescent="0.25">
      <c r="A777" s="49"/>
      <c r="B777" s="49" t="s">
        <v>78</v>
      </c>
      <c r="C777" s="49" t="s">
        <v>846</v>
      </c>
      <c r="D777" s="50" t="str">
        <f t="shared" si="60"/>
        <v>Nouha Ben Khlifa</v>
      </c>
      <c r="E777" s="50" t="str">
        <f t="shared" si="61"/>
        <v>juil</v>
      </c>
      <c r="F777" s="50">
        <f t="shared" si="62"/>
        <v>10</v>
      </c>
      <c r="G777" s="50">
        <f t="shared" si="63"/>
        <v>2026</v>
      </c>
      <c r="H777" s="51">
        <f>IF($C777="","",IFERROR(DATE(G777,VLOOKUP(E777,Paramètres!$K$11:$L$40,2,FALSE()),F777),"?"))</f>
        <v>46213</v>
      </c>
      <c r="I777" s="50">
        <f>IF(ISNUMBER(H777),IF(COUNTIFS($D$2:D777,D777,$H$2:H777,H777)=1,1,0),"")</f>
        <v>0</v>
      </c>
      <c r="J777" s="50">
        <f>IF(ISNUMBER(H777),IFERROR(INDEX(Calendrier!$C$2:$C$367,MATCH(H777,Calendrier!$A$2:$A$367,0)),0),"")</f>
        <v>1</v>
      </c>
      <c r="K777" s="50">
        <f t="shared" si="64"/>
        <v>0</v>
      </c>
      <c r="L777" s="50">
        <f>IF(D777="","",IF(COUNTIF(Paramètres!$A$11:$A$40,D777)&gt;0,1,0))</f>
        <v>1</v>
      </c>
    </row>
    <row r="778" spans="1:12" hidden="1" x14ac:dyDescent="0.25">
      <c r="A778" s="49"/>
      <c r="B778" s="49" t="s">
        <v>78</v>
      </c>
      <c r="C778" s="49" t="s">
        <v>846</v>
      </c>
      <c r="D778" s="50" t="str">
        <f t="shared" si="60"/>
        <v>Nouha Ben Khlifa</v>
      </c>
      <c r="E778" s="50" t="str">
        <f t="shared" si="61"/>
        <v>juil</v>
      </c>
      <c r="F778" s="50">
        <f t="shared" si="62"/>
        <v>10</v>
      </c>
      <c r="G778" s="50">
        <f t="shared" si="63"/>
        <v>2026</v>
      </c>
      <c r="H778" s="51">
        <f>IF($C778="","",IFERROR(DATE(G778,VLOOKUP(E778,Paramètres!$K$11:$L$40,2,FALSE()),F778),"?"))</f>
        <v>46213</v>
      </c>
      <c r="I778" s="50">
        <f>IF(ISNUMBER(H778),IF(COUNTIFS($D$2:D778,D778,$H$2:H778,H778)=1,1,0),"")</f>
        <v>0</v>
      </c>
      <c r="J778" s="50">
        <f>IF(ISNUMBER(H778),IFERROR(INDEX(Calendrier!$C$2:$C$367,MATCH(H778,Calendrier!$A$2:$A$367,0)),0),"")</f>
        <v>1</v>
      </c>
      <c r="K778" s="50">
        <f t="shared" si="64"/>
        <v>0</v>
      </c>
      <c r="L778" s="50">
        <f>IF(D778="","",IF(COUNTIF(Paramètres!$A$11:$A$40,D778)&gt;0,1,0))</f>
        <v>1</v>
      </c>
    </row>
    <row r="779" spans="1:12" hidden="1" x14ac:dyDescent="0.25">
      <c r="A779" s="49"/>
      <c r="B779" s="49" t="s">
        <v>78</v>
      </c>
      <c r="C779" s="49" t="s">
        <v>846</v>
      </c>
      <c r="D779" s="50" t="str">
        <f t="shared" si="60"/>
        <v>Nouha Ben Khlifa</v>
      </c>
      <c r="E779" s="50" t="str">
        <f t="shared" si="61"/>
        <v>juil</v>
      </c>
      <c r="F779" s="50">
        <f t="shared" si="62"/>
        <v>10</v>
      </c>
      <c r="G779" s="50">
        <f t="shared" si="63"/>
        <v>2026</v>
      </c>
      <c r="H779" s="51">
        <f>IF($C779="","",IFERROR(DATE(G779,VLOOKUP(E779,Paramètres!$K$11:$L$40,2,FALSE()),F779),"?"))</f>
        <v>46213</v>
      </c>
      <c r="I779" s="50">
        <f>IF(ISNUMBER(H779),IF(COUNTIFS($D$2:D779,D779,$H$2:H779,H779)=1,1,0),"")</f>
        <v>0</v>
      </c>
      <c r="J779" s="50">
        <f>IF(ISNUMBER(H779),IFERROR(INDEX(Calendrier!$C$2:$C$367,MATCH(H779,Calendrier!$A$2:$A$367,0)),0),"")</f>
        <v>1</v>
      </c>
      <c r="K779" s="50">
        <f t="shared" si="64"/>
        <v>0</v>
      </c>
      <c r="L779" s="50">
        <f>IF(D779="","",IF(COUNTIF(Paramètres!$A$11:$A$40,D779)&gt;0,1,0))</f>
        <v>1</v>
      </c>
    </row>
    <row r="780" spans="1:12" hidden="1" x14ac:dyDescent="0.25">
      <c r="A780" s="49"/>
      <c r="B780" s="49" t="s">
        <v>78</v>
      </c>
      <c r="C780" s="49" t="s">
        <v>847</v>
      </c>
      <c r="D780" s="50" t="str">
        <f t="shared" si="60"/>
        <v>Nouha Ben Khlifa</v>
      </c>
      <c r="E780" s="50" t="str">
        <f t="shared" si="61"/>
        <v>juil</v>
      </c>
      <c r="F780" s="50">
        <f t="shared" si="62"/>
        <v>10</v>
      </c>
      <c r="G780" s="50">
        <f t="shared" si="63"/>
        <v>2026</v>
      </c>
      <c r="H780" s="51">
        <f>IF($C780="","",IFERROR(DATE(G780,VLOOKUP(E780,Paramètres!$K$11:$L$40,2,FALSE()),F780),"?"))</f>
        <v>46213</v>
      </c>
      <c r="I780" s="50">
        <f>IF(ISNUMBER(H780),IF(COUNTIFS($D$2:D780,D780,$H$2:H780,H780)=1,1,0),"")</f>
        <v>0</v>
      </c>
      <c r="J780" s="50">
        <f>IF(ISNUMBER(H780),IFERROR(INDEX(Calendrier!$C$2:$C$367,MATCH(H780,Calendrier!$A$2:$A$367,0)),0),"")</f>
        <v>1</v>
      </c>
      <c r="K780" s="50">
        <f t="shared" si="64"/>
        <v>0</v>
      </c>
      <c r="L780" s="50">
        <f>IF(D780="","",IF(COUNTIF(Paramètres!$A$11:$A$40,D780)&gt;0,1,0))</f>
        <v>1</v>
      </c>
    </row>
    <row r="781" spans="1:12" hidden="1" x14ac:dyDescent="0.25">
      <c r="A781" s="49"/>
      <c r="B781" s="49" t="s">
        <v>78</v>
      </c>
      <c r="C781" s="49" t="s">
        <v>848</v>
      </c>
      <c r="D781" s="50" t="str">
        <f t="shared" si="60"/>
        <v>Nouha Ben Khlifa</v>
      </c>
      <c r="E781" s="50" t="str">
        <f t="shared" si="61"/>
        <v>juil</v>
      </c>
      <c r="F781" s="50">
        <f t="shared" si="62"/>
        <v>29</v>
      </c>
      <c r="G781" s="50">
        <f t="shared" si="63"/>
        <v>2026</v>
      </c>
      <c r="H781" s="51">
        <f>IF($C781="","",IFERROR(DATE(G781,VLOOKUP(E781,Paramètres!$K$11:$L$40,2,FALSE()),F781),"?"))</f>
        <v>46232</v>
      </c>
      <c r="I781" s="50">
        <f>IF(ISNUMBER(H781),IF(COUNTIFS($D$2:D781,D781,$H$2:H781,H781)=1,1,0),"")</f>
        <v>1</v>
      </c>
      <c r="J781" s="50">
        <f>IF(ISNUMBER(H781),IFERROR(INDEX(Calendrier!$C$2:$C$367,MATCH(H781,Calendrier!$A$2:$A$367,0)),0),"")</f>
        <v>1</v>
      </c>
      <c r="K781" s="50">
        <f t="shared" si="64"/>
        <v>1</v>
      </c>
      <c r="L781" s="50">
        <f>IF(D781="","",IF(COUNTIF(Paramètres!$A$11:$A$40,D781)&gt;0,1,0))</f>
        <v>1</v>
      </c>
    </row>
    <row r="782" spans="1:12" hidden="1" x14ac:dyDescent="0.25">
      <c r="A782" s="49"/>
      <c r="B782" s="49" t="s">
        <v>63</v>
      </c>
      <c r="C782" s="49" t="s">
        <v>849</v>
      </c>
      <c r="D782" s="50" t="str">
        <f t="shared" si="60"/>
        <v>Lobna Jberi</v>
      </c>
      <c r="E782" s="50" t="str">
        <f t="shared" si="61"/>
        <v>juil</v>
      </c>
      <c r="F782" s="50">
        <f t="shared" si="62"/>
        <v>9</v>
      </c>
      <c r="G782" s="50">
        <f t="shared" si="63"/>
        <v>2026</v>
      </c>
      <c r="H782" s="51">
        <f>IF($C782="","",IFERROR(DATE(G782,VLOOKUP(E782,Paramètres!$K$11:$L$40,2,FALSE()),F782),"?"))</f>
        <v>46212</v>
      </c>
      <c r="I782" s="50">
        <f>IF(ISNUMBER(H782),IF(COUNTIFS($D$2:D782,D782,$H$2:H782,H782)=1,1,0),"")</f>
        <v>1</v>
      </c>
      <c r="J782" s="50">
        <f>IF(ISNUMBER(H782),IFERROR(INDEX(Calendrier!$C$2:$C$367,MATCH(H782,Calendrier!$A$2:$A$367,0)),0),"")</f>
        <v>1</v>
      </c>
      <c r="K782" s="50">
        <f t="shared" si="64"/>
        <v>1</v>
      </c>
      <c r="L782" s="50">
        <f>IF(D782="","",IF(COUNTIF(Paramètres!$A$11:$A$40,D782)&gt;0,1,0))</f>
        <v>1</v>
      </c>
    </row>
    <row r="783" spans="1:12" hidden="1" x14ac:dyDescent="0.25">
      <c r="A783" s="49"/>
      <c r="B783" s="49" t="s">
        <v>63</v>
      </c>
      <c r="C783" s="49" t="s">
        <v>850</v>
      </c>
      <c r="D783" s="50" t="str">
        <f t="shared" si="60"/>
        <v>Lobna Jberi</v>
      </c>
      <c r="E783" s="50" t="str">
        <f t="shared" si="61"/>
        <v>juil</v>
      </c>
      <c r="F783" s="50">
        <f t="shared" si="62"/>
        <v>9</v>
      </c>
      <c r="G783" s="50">
        <f t="shared" si="63"/>
        <v>2026</v>
      </c>
      <c r="H783" s="51">
        <f>IF($C783="","",IFERROR(DATE(G783,VLOOKUP(E783,Paramètres!$K$11:$L$40,2,FALSE()),F783),"?"))</f>
        <v>46212</v>
      </c>
      <c r="I783" s="50">
        <f>IF(ISNUMBER(H783),IF(COUNTIFS($D$2:D783,D783,$H$2:H783,H783)=1,1,0),"")</f>
        <v>0</v>
      </c>
      <c r="J783" s="50">
        <f>IF(ISNUMBER(H783),IFERROR(INDEX(Calendrier!$C$2:$C$367,MATCH(H783,Calendrier!$A$2:$A$367,0)),0),"")</f>
        <v>1</v>
      </c>
      <c r="K783" s="50">
        <f t="shared" si="64"/>
        <v>0</v>
      </c>
      <c r="L783" s="50">
        <f>IF(D783="","",IF(COUNTIF(Paramètres!$A$11:$A$40,D783)&gt;0,1,0))</f>
        <v>1</v>
      </c>
    </row>
    <row r="784" spans="1:12" hidden="1" x14ac:dyDescent="0.25">
      <c r="A784" s="49"/>
      <c r="B784" s="49" t="s">
        <v>63</v>
      </c>
      <c r="C784" s="49" t="s">
        <v>851</v>
      </c>
      <c r="D784" s="50" t="str">
        <f t="shared" si="60"/>
        <v>Lobna Jberi</v>
      </c>
      <c r="E784" s="50" t="str">
        <f t="shared" si="61"/>
        <v>juil</v>
      </c>
      <c r="F784" s="50">
        <f t="shared" si="62"/>
        <v>20</v>
      </c>
      <c r="G784" s="50">
        <f t="shared" si="63"/>
        <v>2026</v>
      </c>
      <c r="H784" s="51">
        <f>IF($C784="","",IFERROR(DATE(G784,VLOOKUP(E784,Paramètres!$K$11:$L$40,2,FALSE()),F784),"?"))</f>
        <v>46223</v>
      </c>
      <c r="I784" s="50">
        <f>IF(ISNUMBER(H784),IF(COUNTIFS($D$2:D784,D784,$H$2:H784,H784)=1,1,0),"")</f>
        <v>1</v>
      </c>
      <c r="J784" s="50">
        <f>IF(ISNUMBER(H784),IFERROR(INDEX(Calendrier!$C$2:$C$367,MATCH(H784,Calendrier!$A$2:$A$367,0)),0),"")</f>
        <v>1</v>
      </c>
      <c r="K784" s="50">
        <f t="shared" si="64"/>
        <v>1</v>
      </c>
      <c r="L784" s="50">
        <f>IF(D784="","",IF(COUNTIF(Paramètres!$A$11:$A$40,D784)&gt;0,1,0))</f>
        <v>1</v>
      </c>
    </row>
    <row r="785" spans="1:12" hidden="1" x14ac:dyDescent="0.25">
      <c r="A785" s="49"/>
      <c r="B785" s="49" t="s">
        <v>55</v>
      </c>
      <c r="C785" s="49" t="s">
        <v>849</v>
      </c>
      <c r="D785" s="50" t="str">
        <f t="shared" si="60"/>
        <v>Chaima Jdid</v>
      </c>
      <c r="E785" s="50" t="str">
        <f t="shared" si="61"/>
        <v>juil</v>
      </c>
      <c r="F785" s="50">
        <f t="shared" si="62"/>
        <v>9</v>
      </c>
      <c r="G785" s="50">
        <f t="shared" si="63"/>
        <v>2026</v>
      </c>
      <c r="H785" s="51">
        <f>IF($C785="","",IFERROR(DATE(G785,VLOOKUP(E785,Paramètres!$K$11:$L$40,2,FALSE()),F785),"?"))</f>
        <v>46212</v>
      </c>
      <c r="I785" s="50">
        <f>IF(ISNUMBER(H785),IF(COUNTIFS($D$2:D785,D785,$H$2:H785,H785)=1,1,0),"")</f>
        <v>1</v>
      </c>
      <c r="J785" s="50">
        <f>IF(ISNUMBER(H785),IFERROR(INDEX(Calendrier!$C$2:$C$367,MATCH(H785,Calendrier!$A$2:$A$367,0)),0),"")</f>
        <v>1</v>
      </c>
      <c r="K785" s="50">
        <f t="shared" si="64"/>
        <v>1</v>
      </c>
      <c r="L785" s="50">
        <f>IF(D785="","",IF(COUNTIF(Paramètres!$A$11:$A$40,D785)&gt;0,1,0))</f>
        <v>1</v>
      </c>
    </row>
    <row r="786" spans="1:12" hidden="1" x14ac:dyDescent="0.25">
      <c r="A786" s="49"/>
      <c r="B786" s="49" t="s">
        <v>55</v>
      </c>
      <c r="C786" s="49" t="s">
        <v>852</v>
      </c>
      <c r="D786" s="50" t="str">
        <f t="shared" si="60"/>
        <v>Chaima Jdid</v>
      </c>
      <c r="E786" s="50" t="str">
        <f t="shared" si="61"/>
        <v>juil</v>
      </c>
      <c r="F786" s="50">
        <f t="shared" si="62"/>
        <v>9</v>
      </c>
      <c r="G786" s="50">
        <f t="shared" si="63"/>
        <v>2026</v>
      </c>
      <c r="H786" s="51">
        <f>IF($C786="","",IFERROR(DATE(G786,VLOOKUP(E786,Paramètres!$K$11:$L$40,2,FALSE()),F786),"?"))</f>
        <v>46212</v>
      </c>
      <c r="I786" s="50">
        <f>IF(ISNUMBER(H786),IF(COUNTIFS($D$2:D786,D786,$H$2:H786,H786)=1,1,0),"")</f>
        <v>0</v>
      </c>
      <c r="J786" s="50">
        <f>IF(ISNUMBER(H786),IFERROR(INDEX(Calendrier!$C$2:$C$367,MATCH(H786,Calendrier!$A$2:$A$367,0)),0),"")</f>
        <v>1</v>
      </c>
      <c r="K786" s="50">
        <f t="shared" si="64"/>
        <v>0</v>
      </c>
      <c r="L786" s="50">
        <f>IF(D786="","",IF(COUNTIF(Paramètres!$A$11:$A$40,D786)&gt;0,1,0))</f>
        <v>1</v>
      </c>
    </row>
    <row r="787" spans="1:12" hidden="1" x14ac:dyDescent="0.25">
      <c r="A787" s="49"/>
      <c r="B787" s="49" t="s">
        <v>55</v>
      </c>
      <c r="C787" s="49" t="s">
        <v>853</v>
      </c>
      <c r="D787" s="50" t="str">
        <f t="shared" si="60"/>
        <v>Chaima Jdid</v>
      </c>
      <c r="E787" s="50" t="str">
        <f t="shared" si="61"/>
        <v>juil</v>
      </c>
      <c r="F787" s="50">
        <f t="shared" si="62"/>
        <v>17</v>
      </c>
      <c r="G787" s="50">
        <f t="shared" si="63"/>
        <v>2026</v>
      </c>
      <c r="H787" s="51">
        <f>IF($C787="","",IFERROR(DATE(G787,VLOOKUP(E787,Paramètres!$K$11:$L$40,2,FALSE()),F787),"?"))</f>
        <v>46220</v>
      </c>
      <c r="I787" s="50">
        <f>IF(ISNUMBER(H787),IF(COUNTIFS($D$2:D787,D787,$H$2:H787,H787)=1,1,0),"")</f>
        <v>1</v>
      </c>
      <c r="J787" s="50">
        <f>IF(ISNUMBER(H787),IFERROR(INDEX(Calendrier!$C$2:$C$367,MATCH(H787,Calendrier!$A$2:$A$367,0)),0),"")</f>
        <v>1</v>
      </c>
      <c r="K787" s="50">
        <f t="shared" si="64"/>
        <v>1</v>
      </c>
      <c r="L787" s="50">
        <f>IF(D787="","",IF(COUNTIF(Paramètres!$A$11:$A$40,D787)&gt;0,1,0))</f>
        <v>1</v>
      </c>
    </row>
    <row r="788" spans="1:12" hidden="1" x14ac:dyDescent="0.25">
      <c r="A788" s="49"/>
      <c r="B788" s="49" t="s">
        <v>55</v>
      </c>
      <c r="C788" s="49" t="s">
        <v>854</v>
      </c>
      <c r="D788" s="50" t="str">
        <f t="shared" si="60"/>
        <v>Chaima Jdid</v>
      </c>
      <c r="E788" s="50" t="str">
        <f t="shared" si="61"/>
        <v>juil</v>
      </c>
      <c r="F788" s="50">
        <f t="shared" si="62"/>
        <v>20</v>
      </c>
      <c r="G788" s="50">
        <f t="shared" si="63"/>
        <v>2026</v>
      </c>
      <c r="H788" s="51">
        <f>IF($C788="","",IFERROR(DATE(G788,VLOOKUP(E788,Paramètres!$K$11:$L$40,2,FALSE()),F788),"?"))</f>
        <v>46223</v>
      </c>
      <c r="I788" s="50">
        <f>IF(ISNUMBER(H788),IF(COUNTIFS($D$2:D788,D788,$H$2:H788,H788)=1,1,0),"")</f>
        <v>1</v>
      </c>
      <c r="J788" s="50">
        <f>IF(ISNUMBER(H788),IFERROR(INDEX(Calendrier!$C$2:$C$367,MATCH(H788,Calendrier!$A$2:$A$367,0)),0),"")</f>
        <v>1</v>
      </c>
      <c r="K788" s="50">
        <f t="shared" si="64"/>
        <v>1</v>
      </c>
      <c r="L788" s="50">
        <f>IF(D788="","",IF(COUNTIF(Paramètres!$A$11:$A$40,D788)&gt;0,1,0))</f>
        <v>1</v>
      </c>
    </row>
    <row r="789" spans="1:12" hidden="1" x14ac:dyDescent="0.25">
      <c r="A789" s="49"/>
      <c r="B789" s="49" t="s">
        <v>55</v>
      </c>
      <c r="C789" s="49" t="s">
        <v>855</v>
      </c>
      <c r="D789" s="50" t="str">
        <f t="shared" si="60"/>
        <v>Chaima Jdid</v>
      </c>
      <c r="E789" s="50" t="str">
        <f t="shared" si="61"/>
        <v>juil</v>
      </c>
      <c r="F789" s="50">
        <f t="shared" si="62"/>
        <v>22</v>
      </c>
      <c r="G789" s="50">
        <f t="shared" si="63"/>
        <v>2026</v>
      </c>
      <c r="H789" s="51">
        <f>IF($C789="","",IFERROR(DATE(G789,VLOOKUP(E789,Paramètres!$K$11:$L$40,2,FALSE()),F789),"?"))</f>
        <v>46225</v>
      </c>
      <c r="I789" s="50">
        <f>IF(ISNUMBER(H789),IF(COUNTIFS($D$2:D789,D789,$H$2:H789,H789)=1,1,0),"")</f>
        <v>1</v>
      </c>
      <c r="J789" s="50">
        <f>IF(ISNUMBER(H789),IFERROR(INDEX(Calendrier!$C$2:$C$367,MATCH(H789,Calendrier!$A$2:$A$367,0)),0),"")</f>
        <v>1</v>
      </c>
      <c r="K789" s="50">
        <f t="shared" si="64"/>
        <v>1</v>
      </c>
      <c r="L789" s="50">
        <f>IF(D789="","",IF(COUNTIF(Paramètres!$A$11:$A$40,D789)&gt;0,1,0))</f>
        <v>1</v>
      </c>
    </row>
    <row r="790" spans="1:12" hidden="1" x14ac:dyDescent="0.25">
      <c r="A790" s="49"/>
      <c r="B790" s="49" t="s">
        <v>55</v>
      </c>
      <c r="C790" s="49" t="s">
        <v>856</v>
      </c>
      <c r="D790" s="50" t="str">
        <f t="shared" si="60"/>
        <v>Chaima Jdid</v>
      </c>
      <c r="E790" s="50" t="str">
        <f t="shared" si="61"/>
        <v>juil</v>
      </c>
      <c r="F790" s="50">
        <f t="shared" si="62"/>
        <v>24</v>
      </c>
      <c r="G790" s="50">
        <f t="shared" si="63"/>
        <v>2026</v>
      </c>
      <c r="H790" s="51">
        <f>IF($C790="","",IFERROR(DATE(G790,VLOOKUP(E790,Paramètres!$K$11:$L$40,2,FALSE()),F790),"?"))</f>
        <v>46227</v>
      </c>
      <c r="I790" s="50">
        <f>IF(ISNUMBER(H790),IF(COUNTIFS($D$2:D790,D790,$H$2:H790,H790)=1,1,0),"")</f>
        <v>1</v>
      </c>
      <c r="J790" s="50">
        <f>IF(ISNUMBER(H790),IFERROR(INDEX(Calendrier!$C$2:$C$367,MATCH(H790,Calendrier!$A$2:$A$367,0)),0),"")</f>
        <v>1</v>
      </c>
      <c r="K790" s="50">
        <f t="shared" si="64"/>
        <v>1</v>
      </c>
      <c r="L790" s="50">
        <f>IF(D790="","",IF(COUNTIF(Paramètres!$A$11:$A$40,D790)&gt;0,1,0))</f>
        <v>1</v>
      </c>
    </row>
    <row r="791" spans="1:12" hidden="1" x14ac:dyDescent="0.25">
      <c r="A791" s="49"/>
      <c r="B791" s="49" t="s">
        <v>55</v>
      </c>
      <c r="C791" s="49" t="s">
        <v>857</v>
      </c>
      <c r="D791" s="50" t="str">
        <f t="shared" si="60"/>
        <v>Chaima Jdid</v>
      </c>
      <c r="E791" s="50" t="str">
        <f t="shared" si="61"/>
        <v>juil</v>
      </c>
      <c r="F791" s="50">
        <f t="shared" si="62"/>
        <v>28</v>
      </c>
      <c r="G791" s="50">
        <f t="shared" si="63"/>
        <v>2026</v>
      </c>
      <c r="H791" s="51">
        <f>IF($C791="","",IFERROR(DATE(G791,VLOOKUP(E791,Paramètres!$K$11:$L$40,2,FALSE()),F791),"?"))</f>
        <v>46231</v>
      </c>
      <c r="I791" s="50">
        <f>IF(ISNUMBER(H791),IF(COUNTIFS($D$2:D791,D791,$H$2:H791,H791)=1,1,0),"")</f>
        <v>1</v>
      </c>
      <c r="J791" s="50">
        <f>IF(ISNUMBER(H791),IFERROR(INDEX(Calendrier!$C$2:$C$367,MATCH(H791,Calendrier!$A$2:$A$367,0)),0),"")</f>
        <v>1</v>
      </c>
      <c r="K791" s="50">
        <f t="shared" si="64"/>
        <v>1</v>
      </c>
      <c r="L791" s="50">
        <f>IF(D791="","",IF(COUNTIF(Paramètres!$A$11:$A$40,D791)&gt;0,1,0))</f>
        <v>1</v>
      </c>
    </row>
    <row r="792" spans="1:12" hidden="1" x14ac:dyDescent="0.25">
      <c r="A792" s="49"/>
      <c r="B792" s="49" t="s">
        <v>55</v>
      </c>
      <c r="C792" s="49" t="s">
        <v>858</v>
      </c>
      <c r="D792" s="50" t="str">
        <f t="shared" si="60"/>
        <v>Chaima Jdid</v>
      </c>
      <c r="E792" s="50" t="str">
        <f t="shared" si="61"/>
        <v>juil</v>
      </c>
      <c r="F792" s="50">
        <f t="shared" si="62"/>
        <v>29</v>
      </c>
      <c r="G792" s="50">
        <f t="shared" si="63"/>
        <v>2026</v>
      </c>
      <c r="H792" s="51">
        <f>IF($C792="","",IFERROR(DATE(G792,VLOOKUP(E792,Paramètres!$K$11:$L$40,2,FALSE()),F792),"?"))</f>
        <v>46232</v>
      </c>
      <c r="I792" s="50">
        <f>IF(ISNUMBER(H792),IF(COUNTIFS($D$2:D792,D792,$H$2:H792,H792)=1,1,0),"")</f>
        <v>1</v>
      </c>
      <c r="J792" s="50">
        <f>IF(ISNUMBER(H792),IFERROR(INDEX(Calendrier!$C$2:$C$367,MATCH(H792,Calendrier!$A$2:$A$367,0)),0),"")</f>
        <v>1</v>
      </c>
      <c r="K792" s="50">
        <f t="shared" si="64"/>
        <v>1</v>
      </c>
      <c r="L792" s="50">
        <f>IF(D792="","",IF(COUNTIF(Paramètres!$A$11:$A$40,D792)&gt;0,1,0))</f>
        <v>1</v>
      </c>
    </row>
    <row r="793" spans="1:12" hidden="1" x14ac:dyDescent="0.25">
      <c r="A793" s="49"/>
      <c r="B793" s="49" t="s">
        <v>59</v>
      </c>
      <c r="C793" s="49" t="s">
        <v>776</v>
      </c>
      <c r="D793" s="50" t="str">
        <f t="shared" si="60"/>
        <v>Imre Kapusi</v>
      </c>
      <c r="E793" s="50" t="str">
        <f t="shared" si="61"/>
        <v>juil</v>
      </c>
      <c r="F793" s="50">
        <f t="shared" si="62"/>
        <v>1</v>
      </c>
      <c r="G793" s="50">
        <f t="shared" si="63"/>
        <v>2026</v>
      </c>
      <c r="H793" s="51">
        <f>IF($C793="","",IFERROR(DATE(G793,VLOOKUP(E793,Paramètres!$K$11:$L$40,2,FALSE()),F793),"?"))</f>
        <v>46204</v>
      </c>
      <c r="I793" s="50">
        <f>IF(ISNUMBER(H793),IF(COUNTIFS($D$2:D793,D793,$H$2:H793,H793)=1,1,0),"")</f>
        <v>1</v>
      </c>
      <c r="J793" s="50">
        <f>IF(ISNUMBER(H793),IFERROR(INDEX(Calendrier!$C$2:$C$367,MATCH(H793,Calendrier!$A$2:$A$367,0)),0),"")</f>
        <v>1</v>
      </c>
      <c r="K793" s="50">
        <f t="shared" si="64"/>
        <v>1</v>
      </c>
      <c r="L793" s="50">
        <f>IF(D793="","",IF(COUNTIF(Paramètres!$A$11:$A$40,D793)&gt;0,1,0))</f>
        <v>1</v>
      </c>
    </row>
    <row r="794" spans="1:12" hidden="1" x14ac:dyDescent="0.25">
      <c r="A794" s="49"/>
      <c r="B794" s="49" t="s">
        <v>59</v>
      </c>
      <c r="C794" s="49" t="s">
        <v>776</v>
      </c>
      <c r="D794" s="50" t="str">
        <f t="shared" si="60"/>
        <v>Imre Kapusi</v>
      </c>
      <c r="E794" s="50" t="str">
        <f t="shared" si="61"/>
        <v>juil</v>
      </c>
      <c r="F794" s="50">
        <f t="shared" si="62"/>
        <v>1</v>
      </c>
      <c r="G794" s="50">
        <f t="shared" si="63"/>
        <v>2026</v>
      </c>
      <c r="H794" s="51">
        <f>IF($C794="","",IFERROR(DATE(G794,VLOOKUP(E794,Paramètres!$K$11:$L$40,2,FALSE()),F794),"?"))</f>
        <v>46204</v>
      </c>
      <c r="I794" s="50">
        <f>IF(ISNUMBER(H794),IF(COUNTIFS($D$2:D794,D794,$H$2:H794,H794)=1,1,0),"")</f>
        <v>0</v>
      </c>
      <c r="J794" s="50">
        <f>IF(ISNUMBER(H794),IFERROR(INDEX(Calendrier!$C$2:$C$367,MATCH(H794,Calendrier!$A$2:$A$367,0)),0),"")</f>
        <v>1</v>
      </c>
      <c r="K794" s="50">
        <f t="shared" si="64"/>
        <v>0</v>
      </c>
      <c r="L794" s="50">
        <f>IF(D794="","",IF(COUNTIF(Paramètres!$A$11:$A$40,D794)&gt;0,1,0))</f>
        <v>1</v>
      </c>
    </row>
    <row r="795" spans="1:12" hidden="1" x14ac:dyDescent="0.25">
      <c r="A795" s="49"/>
      <c r="B795" s="49" t="s">
        <v>59</v>
      </c>
      <c r="C795" s="49" t="s">
        <v>859</v>
      </c>
      <c r="D795" s="50" t="str">
        <f t="shared" si="60"/>
        <v>Imre Kapusi</v>
      </c>
      <c r="E795" s="50" t="str">
        <f t="shared" si="61"/>
        <v>juil</v>
      </c>
      <c r="F795" s="50">
        <f t="shared" si="62"/>
        <v>2</v>
      </c>
      <c r="G795" s="50">
        <f t="shared" si="63"/>
        <v>2026</v>
      </c>
      <c r="H795" s="51">
        <f>IF($C795="","",IFERROR(DATE(G795,VLOOKUP(E795,Paramètres!$K$11:$L$40,2,FALSE()),F795),"?"))</f>
        <v>46205</v>
      </c>
      <c r="I795" s="50">
        <f>IF(ISNUMBER(H795),IF(COUNTIFS($D$2:D795,D795,$H$2:H795,H795)=1,1,0),"")</f>
        <v>1</v>
      </c>
      <c r="J795" s="50">
        <f>IF(ISNUMBER(H795),IFERROR(INDEX(Calendrier!$C$2:$C$367,MATCH(H795,Calendrier!$A$2:$A$367,0)),0),"")</f>
        <v>1</v>
      </c>
      <c r="K795" s="50">
        <f t="shared" si="64"/>
        <v>1</v>
      </c>
      <c r="L795" s="50">
        <f>IF(D795="","",IF(COUNTIF(Paramètres!$A$11:$A$40,D795)&gt;0,1,0))</f>
        <v>1</v>
      </c>
    </row>
    <row r="796" spans="1:12" hidden="1" x14ac:dyDescent="0.25">
      <c r="A796" s="49"/>
      <c r="B796" s="49" t="s">
        <v>59</v>
      </c>
      <c r="C796" s="49" t="s">
        <v>860</v>
      </c>
      <c r="D796" s="50" t="str">
        <f t="shared" si="60"/>
        <v>Imre Kapusi</v>
      </c>
      <c r="E796" s="50" t="str">
        <f t="shared" si="61"/>
        <v>juil</v>
      </c>
      <c r="F796" s="50">
        <f t="shared" si="62"/>
        <v>8</v>
      </c>
      <c r="G796" s="50">
        <f t="shared" si="63"/>
        <v>2026</v>
      </c>
      <c r="H796" s="51">
        <f>IF($C796="","",IFERROR(DATE(G796,VLOOKUP(E796,Paramètres!$K$11:$L$40,2,FALSE()),F796),"?"))</f>
        <v>46211</v>
      </c>
      <c r="I796" s="50">
        <f>IF(ISNUMBER(H796),IF(COUNTIFS($D$2:D796,D796,$H$2:H796,H796)=1,1,0),"")</f>
        <v>1</v>
      </c>
      <c r="J796" s="50">
        <f>IF(ISNUMBER(H796),IFERROR(INDEX(Calendrier!$C$2:$C$367,MATCH(H796,Calendrier!$A$2:$A$367,0)),0),"")</f>
        <v>1</v>
      </c>
      <c r="K796" s="50">
        <f t="shared" si="64"/>
        <v>1</v>
      </c>
      <c r="L796" s="50">
        <f>IF(D796="","",IF(COUNTIF(Paramètres!$A$11:$A$40,D796)&gt;0,1,0))</f>
        <v>1</v>
      </c>
    </row>
    <row r="797" spans="1:12" hidden="1" x14ac:dyDescent="0.25">
      <c r="A797" s="49"/>
      <c r="B797" s="49" t="s">
        <v>764</v>
      </c>
      <c r="C797" s="49" t="s">
        <v>861</v>
      </c>
      <c r="D797" s="50" t="str">
        <f t="shared" si="60"/>
        <v>Mina MOUSSA</v>
      </c>
      <c r="E797" s="50" t="str">
        <f t="shared" si="61"/>
        <v>août</v>
      </c>
      <c r="F797" s="50">
        <f t="shared" si="62"/>
        <v>28</v>
      </c>
      <c r="G797" s="50">
        <f t="shared" si="63"/>
        <v>2026</v>
      </c>
      <c r="H797" s="51">
        <f>IF($C797="","",IFERROR(DATE(G797,VLOOKUP(E797,Paramètres!$K$11:$L$40,2,FALSE()),F797),"?"))</f>
        <v>46262</v>
      </c>
      <c r="I797" s="50">
        <f>IF(ISNUMBER(H797),IF(COUNTIFS($D$2:D797,D797,$H$2:H797,H797)=1,1,0),"")</f>
        <v>1</v>
      </c>
      <c r="J797" s="50">
        <f>IF(ISNUMBER(H797),IFERROR(INDEX(Calendrier!$C$2:$C$367,MATCH(H797,Calendrier!$A$2:$A$367,0)),0),"")</f>
        <v>1</v>
      </c>
      <c r="K797" s="50">
        <f t="shared" si="64"/>
        <v>1</v>
      </c>
      <c r="L797" s="50">
        <f>IF(D797="","",IF(COUNTIF(Paramètres!$A$11:$A$40,D797)&gt;0,1,0))</f>
        <v>1</v>
      </c>
    </row>
    <row r="798" spans="1:12" hidden="1" x14ac:dyDescent="0.25">
      <c r="A798" s="49"/>
      <c r="B798" s="49" t="s">
        <v>88</v>
      </c>
      <c r="C798" s="49" t="s">
        <v>862</v>
      </c>
      <c r="D798" s="50" t="str">
        <f t="shared" si="60"/>
        <v>Wissem Ben Abdalah</v>
      </c>
      <c r="E798" s="50" t="str">
        <f t="shared" si="61"/>
        <v>août</v>
      </c>
      <c r="F798" s="50">
        <f t="shared" si="62"/>
        <v>6</v>
      </c>
      <c r="G798" s="50">
        <f t="shared" si="63"/>
        <v>2026</v>
      </c>
      <c r="H798" s="51">
        <f>IF($C798="","",IFERROR(DATE(G798,VLOOKUP(E798,Paramètres!$K$11:$L$40,2,FALSE()),F798),"?"))</f>
        <v>46240</v>
      </c>
      <c r="I798" s="50">
        <f>IF(ISNUMBER(H798),IF(COUNTIFS($D$2:D798,D798,$H$2:H798,H798)=1,1,0),"")</f>
        <v>1</v>
      </c>
      <c r="J798" s="50">
        <f>IF(ISNUMBER(H798),IFERROR(INDEX(Calendrier!$C$2:$C$367,MATCH(H798,Calendrier!$A$2:$A$367,0)),0),"")</f>
        <v>1</v>
      </c>
      <c r="K798" s="50">
        <f t="shared" si="64"/>
        <v>1</v>
      </c>
      <c r="L798" s="50">
        <f>IF(D798="","",IF(COUNTIF(Paramètres!$A$11:$A$40,D798)&gt;0,1,0))</f>
        <v>1</v>
      </c>
    </row>
    <row r="799" spans="1:12" hidden="1" x14ac:dyDescent="0.25">
      <c r="A799" s="49"/>
      <c r="B799" s="49" t="s">
        <v>83</v>
      </c>
      <c r="C799" s="49" t="s">
        <v>863</v>
      </c>
      <c r="D799" s="50" t="str">
        <f t="shared" si="60"/>
        <v>Safouen Magdouli</v>
      </c>
      <c r="E799" s="50" t="str">
        <f t="shared" si="61"/>
        <v>août</v>
      </c>
      <c r="F799" s="50">
        <f t="shared" si="62"/>
        <v>5</v>
      </c>
      <c r="G799" s="50">
        <f t="shared" si="63"/>
        <v>2026</v>
      </c>
      <c r="H799" s="51">
        <f>IF($C799="","",IFERROR(DATE(G799,VLOOKUP(E799,Paramètres!$K$11:$L$40,2,FALSE()),F799),"?"))</f>
        <v>46239</v>
      </c>
      <c r="I799" s="50">
        <f>IF(ISNUMBER(H799),IF(COUNTIFS($D$2:D799,D799,$H$2:H799,H799)=1,1,0),"")</f>
        <v>1</v>
      </c>
      <c r="J799" s="50">
        <f>IF(ISNUMBER(H799),IFERROR(INDEX(Calendrier!$C$2:$C$367,MATCH(H799,Calendrier!$A$2:$A$367,0)),0),"")</f>
        <v>1</v>
      </c>
      <c r="K799" s="50">
        <f t="shared" si="64"/>
        <v>1</v>
      </c>
      <c r="L799" s="50">
        <f>IF(D799="","",IF(COUNTIF(Paramètres!$A$11:$A$40,D799)&gt;0,1,0))</f>
        <v>1</v>
      </c>
    </row>
    <row r="800" spans="1:12" hidden="1" x14ac:dyDescent="0.25">
      <c r="A800" s="49"/>
      <c r="B800" s="49" t="s">
        <v>83</v>
      </c>
      <c r="C800" s="49" t="s">
        <v>864</v>
      </c>
      <c r="D800" s="50" t="str">
        <f t="shared" si="60"/>
        <v>Safouen Magdouli</v>
      </c>
      <c r="E800" s="50" t="str">
        <f t="shared" si="61"/>
        <v>août</v>
      </c>
      <c r="F800" s="50">
        <f t="shared" si="62"/>
        <v>7</v>
      </c>
      <c r="G800" s="50">
        <f t="shared" si="63"/>
        <v>2026</v>
      </c>
      <c r="H800" s="51">
        <f>IF($C800="","",IFERROR(DATE(G800,VLOOKUP(E800,Paramètres!$K$11:$L$40,2,FALSE()),F800),"?"))</f>
        <v>46241</v>
      </c>
      <c r="I800" s="50">
        <f>IF(ISNUMBER(H800),IF(COUNTIFS($D$2:D800,D800,$H$2:H800,H800)=1,1,0),"")</f>
        <v>1</v>
      </c>
      <c r="J800" s="50">
        <f>IF(ISNUMBER(H800),IFERROR(INDEX(Calendrier!$C$2:$C$367,MATCH(H800,Calendrier!$A$2:$A$367,0)),0),"")</f>
        <v>1</v>
      </c>
      <c r="K800" s="50">
        <f t="shared" si="64"/>
        <v>1</v>
      </c>
      <c r="L800" s="50">
        <f>IF(D800="","",IF(COUNTIF(Paramètres!$A$11:$A$40,D800)&gt;0,1,0))</f>
        <v>1</v>
      </c>
    </row>
    <row r="801" spans="1:12" hidden="1" x14ac:dyDescent="0.25">
      <c r="A801" s="49"/>
      <c r="B801" s="49" t="s">
        <v>81</v>
      </c>
      <c r="C801" s="49" t="s">
        <v>865</v>
      </c>
      <c r="D801" s="50" t="str">
        <f t="shared" si="60"/>
        <v>Sabrine Neffeti</v>
      </c>
      <c r="E801" s="50" t="str">
        <f t="shared" si="61"/>
        <v>août</v>
      </c>
      <c r="F801" s="50">
        <f t="shared" si="62"/>
        <v>27</v>
      </c>
      <c r="G801" s="50">
        <f t="shared" si="63"/>
        <v>2026</v>
      </c>
      <c r="H801" s="51">
        <f>IF($C801="","",IFERROR(DATE(G801,VLOOKUP(E801,Paramètres!$K$11:$L$40,2,FALSE()),F801),"?"))</f>
        <v>46261</v>
      </c>
      <c r="I801" s="50">
        <f>IF(ISNUMBER(H801),IF(COUNTIFS($D$2:D801,D801,$H$2:H801,H801)=1,1,0),"")</f>
        <v>1</v>
      </c>
      <c r="J801" s="50">
        <f>IF(ISNUMBER(H801),IFERROR(INDEX(Calendrier!$C$2:$C$367,MATCH(H801,Calendrier!$A$2:$A$367,0)),0),"")</f>
        <v>1</v>
      </c>
      <c r="K801" s="50">
        <f t="shared" si="64"/>
        <v>1</v>
      </c>
      <c r="L801" s="50">
        <f>IF(D801="","",IF(COUNTIF(Paramètres!$A$11:$A$40,D801)&gt;0,1,0))</f>
        <v>1</v>
      </c>
    </row>
    <row r="802" spans="1:12" hidden="1" x14ac:dyDescent="0.25">
      <c r="A802" s="49"/>
      <c r="B802" s="49" t="s">
        <v>81</v>
      </c>
      <c r="C802" s="49" t="s">
        <v>866</v>
      </c>
      <c r="D802" s="50" t="str">
        <f t="shared" si="60"/>
        <v>Sabrine Neffeti</v>
      </c>
      <c r="E802" s="50" t="str">
        <f t="shared" si="61"/>
        <v>août</v>
      </c>
      <c r="F802" s="50">
        <f t="shared" si="62"/>
        <v>28</v>
      </c>
      <c r="G802" s="50">
        <f t="shared" si="63"/>
        <v>2026</v>
      </c>
      <c r="H802" s="51">
        <f>IF($C802="","",IFERROR(DATE(G802,VLOOKUP(E802,Paramètres!$K$11:$L$40,2,FALSE()),F802),"?"))</f>
        <v>46262</v>
      </c>
      <c r="I802" s="50">
        <f>IF(ISNUMBER(H802),IF(COUNTIFS($D$2:D802,D802,$H$2:H802,H802)=1,1,0),"")</f>
        <v>1</v>
      </c>
      <c r="J802" s="50">
        <f>IF(ISNUMBER(H802),IFERROR(INDEX(Calendrier!$C$2:$C$367,MATCH(H802,Calendrier!$A$2:$A$367,0)),0),"")</f>
        <v>1</v>
      </c>
      <c r="K802" s="50">
        <f t="shared" si="64"/>
        <v>1</v>
      </c>
      <c r="L802" s="50">
        <f>IF(D802="","",IF(COUNTIF(Paramètres!$A$11:$A$40,D802)&gt;0,1,0))</f>
        <v>1</v>
      </c>
    </row>
    <row r="803" spans="1:12" hidden="1" x14ac:dyDescent="0.25">
      <c r="A803" s="49"/>
      <c r="B803" s="49" t="s">
        <v>45</v>
      </c>
      <c r="C803" s="49" t="s">
        <v>867</v>
      </c>
      <c r="D803" s="50" t="str">
        <f t="shared" si="60"/>
        <v>Ahlem Moussa</v>
      </c>
      <c r="E803" s="50" t="str">
        <f t="shared" si="61"/>
        <v>août</v>
      </c>
      <c r="F803" s="50">
        <f t="shared" si="62"/>
        <v>3</v>
      </c>
      <c r="G803" s="50">
        <f t="shared" si="63"/>
        <v>2026</v>
      </c>
      <c r="H803" s="51">
        <f>IF($C803="","",IFERROR(DATE(G803,VLOOKUP(E803,Paramètres!$K$11:$L$40,2,FALSE()),F803),"?"))</f>
        <v>46237</v>
      </c>
      <c r="I803" s="50">
        <f>IF(ISNUMBER(H803),IF(COUNTIFS($D$2:D803,D803,$H$2:H803,H803)=1,1,0),"")</f>
        <v>1</v>
      </c>
      <c r="J803" s="50">
        <f>IF(ISNUMBER(H803),IFERROR(INDEX(Calendrier!$C$2:$C$367,MATCH(H803,Calendrier!$A$2:$A$367,0)),0),"")</f>
        <v>1</v>
      </c>
      <c r="K803" s="50">
        <f t="shared" si="64"/>
        <v>1</v>
      </c>
      <c r="L803" s="50">
        <f>IF(D803="","",IF(COUNTIF(Paramètres!$A$11:$A$40,D803)&gt;0,1,0))</f>
        <v>1</v>
      </c>
    </row>
    <row r="804" spans="1:12" hidden="1" x14ac:dyDescent="0.25">
      <c r="A804" s="49"/>
      <c r="B804" s="49" t="s">
        <v>45</v>
      </c>
      <c r="C804" s="49" t="s">
        <v>868</v>
      </c>
      <c r="D804" s="50" t="str">
        <f t="shared" si="60"/>
        <v>Ahlem Moussa</v>
      </c>
      <c r="E804" s="50" t="str">
        <f t="shared" si="61"/>
        <v>août</v>
      </c>
      <c r="F804" s="50">
        <f t="shared" si="62"/>
        <v>4</v>
      </c>
      <c r="G804" s="50">
        <f t="shared" si="63"/>
        <v>2026</v>
      </c>
      <c r="H804" s="51">
        <f>IF($C804="","",IFERROR(DATE(G804,VLOOKUP(E804,Paramètres!$K$11:$L$40,2,FALSE()),F804),"?"))</f>
        <v>46238</v>
      </c>
      <c r="I804" s="50">
        <f>IF(ISNUMBER(H804),IF(COUNTIFS($D$2:D804,D804,$H$2:H804,H804)=1,1,0),"")</f>
        <v>1</v>
      </c>
      <c r="J804" s="50">
        <f>IF(ISNUMBER(H804),IFERROR(INDEX(Calendrier!$C$2:$C$367,MATCH(H804,Calendrier!$A$2:$A$367,0)),0),"")</f>
        <v>1</v>
      </c>
      <c r="K804" s="50">
        <f t="shared" si="64"/>
        <v>1</v>
      </c>
      <c r="L804" s="50">
        <f>IF(D804="","",IF(COUNTIF(Paramètres!$A$11:$A$40,D804)&gt;0,1,0))</f>
        <v>1</v>
      </c>
    </row>
    <row r="805" spans="1:12" hidden="1" x14ac:dyDescent="0.25">
      <c r="A805" s="49"/>
      <c r="B805" s="49" t="s">
        <v>45</v>
      </c>
      <c r="C805" s="49" t="s">
        <v>869</v>
      </c>
      <c r="D805" s="50" t="str">
        <f t="shared" si="60"/>
        <v>Ahlem Moussa</v>
      </c>
      <c r="E805" s="50" t="str">
        <f t="shared" si="61"/>
        <v>août</v>
      </c>
      <c r="F805" s="50">
        <f t="shared" si="62"/>
        <v>26</v>
      </c>
      <c r="G805" s="50">
        <f t="shared" si="63"/>
        <v>2026</v>
      </c>
      <c r="H805" s="51">
        <f>IF($C805="","",IFERROR(DATE(G805,VLOOKUP(E805,Paramètres!$K$11:$L$40,2,FALSE()),F805),"?"))</f>
        <v>46260</v>
      </c>
      <c r="I805" s="50">
        <f>IF(ISNUMBER(H805),IF(COUNTIFS($D$2:D805,D805,$H$2:H805,H805)=1,1,0),"")</f>
        <v>1</v>
      </c>
      <c r="J805" s="50">
        <f>IF(ISNUMBER(H805),IFERROR(INDEX(Calendrier!$C$2:$C$367,MATCH(H805,Calendrier!$A$2:$A$367,0)),0),"")</f>
        <v>0</v>
      </c>
      <c r="K805" s="50">
        <f t="shared" si="64"/>
        <v>0</v>
      </c>
      <c r="L805" s="50">
        <f>IF(D805="","",IF(COUNTIF(Paramètres!$A$11:$A$40,D805)&gt;0,1,0))</f>
        <v>1</v>
      </c>
    </row>
    <row r="806" spans="1:12" hidden="1" x14ac:dyDescent="0.25">
      <c r="A806" s="49"/>
      <c r="B806" s="49" t="s">
        <v>45</v>
      </c>
      <c r="C806" s="49" t="s">
        <v>870</v>
      </c>
      <c r="D806" s="50" t="str">
        <f t="shared" si="60"/>
        <v>Ahlem Moussa</v>
      </c>
      <c r="E806" s="50" t="str">
        <f t="shared" si="61"/>
        <v>août</v>
      </c>
      <c r="F806" s="50">
        <f t="shared" si="62"/>
        <v>28</v>
      </c>
      <c r="G806" s="50">
        <f t="shared" si="63"/>
        <v>2026</v>
      </c>
      <c r="H806" s="51">
        <f>IF($C806="","",IFERROR(DATE(G806,VLOOKUP(E806,Paramètres!$K$11:$L$40,2,FALSE()),F806),"?"))</f>
        <v>46262</v>
      </c>
      <c r="I806" s="50">
        <f>IF(ISNUMBER(H806),IF(COUNTIFS($D$2:D806,D806,$H$2:H806,H806)=1,1,0),"")</f>
        <v>1</v>
      </c>
      <c r="J806" s="50">
        <f>IF(ISNUMBER(H806),IFERROR(INDEX(Calendrier!$C$2:$C$367,MATCH(H806,Calendrier!$A$2:$A$367,0)),0),"")</f>
        <v>1</v>
      </c>
      <c r="K806" s="50">
        <f t="shared" si="64"/>
        <v>1</v>
      </c>
      <c r="L806" s="50">
        <f>IF(D806="","",IF(COUNTIF(Paramètres!$A$11:$A$40,D806)&gt;0,1,0))</f>
        <v>1</v>
      </c>
    </row>
    <row r="807" spans="1:12" hidden="1" x14ac:dyDescent="0.25">
      <c r="A807" s="49"/>
      <c r="B807" s="49" t="s">
        <v>71</v>
      </c>
      <c r="C807" s="49" t="s">
        <v>871</v>
      </c>
      <c r="D807" s="50" t="str">
        <f t="shared" si="60"/>
        <v>Mohamed Sniha</v>
      </c>
      <c r="E807" s="50" t="str">
        <f t="shared" si="61"/>
        <v>août</v>
      </c>
      <c r="F807" s="50">
        <f t="shared" si="62"/>
        <v>5</v>
      </c>
      <c r="G807" s="50">
        <f t="shared" si="63"/>
        <v>2026</v>
      </c>
      <c r="H807" s="51">
        <f>IF($C807="","",IFERROR(DATE(G807,VLOOKUP(E807,Paramètres!$K$11:$L$40,2,FALSE()),F807),"?"))</f>
        <v>46239</v>
      </c>
      <c r="I807" s="50">
        <f>IF(ISNUMBER(H807),IF(COUNTIFS($D$2:D807,D807,$H$2:H807,H807)=1,1,0),"")</f>
        <v>1</v>
      </c>
      <c r="J807" s="50">
        <f>IF(ISNUMBER(H807),IFERROR(INDEX(Calendrier!$C$2:$C$367,MATCH(H807,Calendrier!$A$2:$A$367,0)),0),"")</f>
        <v>1</v>
      </c>
      <c r="K807" s="50">
        <f t="shared" si="64"/>
        <v>1</v>
      </c>
      <c r="L807" s="50">
        <f>IF(D807="","",IF(COUNTIF(Paramètres!$A$11:$A$40,D807)&gt;0,1,0))</f>
        <v>1</v>
      </c>
    </row>
    <row r="808" spans="1:12" hidden="1" x14ac:dyDescent="0.25">
      <c r="A808" s="49"/>
      <c r="B808" s="49" t="s">
        <v>73</v>
      </c>
      <c r="C808" s="49" t="s">
        <v>872</v>
      </c>
      <c r="D808" s="50" t="str">
        <f t="shared" si="60"/>
        <v>Mourad Ayari</v>
      </c>
      <c r="E808" s="50" t="str">
        <f t="shared" si="61"/>
        <v>août</v>
      </c>
      <c r="F808" s="50">
        <f t="shared" si="62"/>
        <v>3</v>
      </c>
      <c r="G808" s="50">
        <f t="shared" si="63"/>
        <v>2026</v>
      </c>
      <c r="H808" s="51">
        <f>IF($C808="","",IFERROR(DATE(G808,VLOOKUP(E808,Paramètres!$K$11:$L$40,2,FALSE()),F808),"?"))</f>
        <v>46237</v>
      </c>
      <c r="I808" s="50">
        <f>IF(ISNUMBER(H808),IF(COUNTIFS($D$2:D808,D808,$H$2:H808,H808)=1,1,0),"")</f>
        <v>1</v>
      </c>
      <c r="J808" s="50">
        <f>IF(ISNUMBER(H808),IFERROR(INDEX(Calendrier!$C$2:$C$367,MATCH(H808,Calendrier!$A$2:$A$367,0)),0),"")</f>
        <v>1</v>
      </c>
      <c r="K808" s="50">
        <f t="shared" si="64"/>
        <v>1</v>
      </c>
      <c r="L808" s="50">
        <f>IF(D808="","",IF(COUNTIF(Paramètres!$A$11:$A$40,D808)&gt;0,1,0))</f>
        <v>1</v>
      </c>
    </row>
    <row r="809" spans="1:12" hidden="1" x14ac:dyDescent="0.25">
      <c r="A809" s="49"/>
      <c r="B809" s="49" t="s">
        <v>73</v>
      </c>
      <c r="C809" s="49" t="s">
        <v>873</v>
      </c>
      <c r="D809" s="50" t="str">
        <f t="shared" si="60"/>
        <v>Mourad Ayari</v>
      </c>
      <c r="E809" s="50" t="str">
        <f t="shared" si="61"/>
        <v>août</v>
      </c>
      <c r="F809" s="50">
        <f t="shared" si="62"/>
        <v>20</v>
      </c>
      <c r="G809" s="50">
        <f t="shared" si="63"/>
        <v>2026</v>
      </c>
      <c r="H809" s="51">
        <f>IF($C809="","",IFERROR(DATE(G809,VLOOKUP(E809,Paramètres!$K$11:$L$40,2,FALSE()),F809),"?"))</f>
        <v>46254</v>
      </c>
      <c r="I809" s="50">
        <f>IF(ISNUMBER(H809),IF(COUNTIFS($D$2:D809,D809,$H$2:H809,H809)=1,1,0),"")</f>
        <v>1</v>
      </c>
      <c r="J809" s="50">
        <f>IF(ISNUMBER(H809),IFERROR(INDEX(Calendrier!$C$2:$C$367,MATCH(H809,Calendrier!$A$2:$A$367,0)),0),"")</f>
        <v>0</v>
      </c>
      <c r="K809" s="50">
        <f t="shared" si="64"/>
        <v>0</v>
      </c>
      <c r="L809" s="50">
        <f>IF(D809="","",IF(COUNTIF(Paramètres!$A$11:$A$40,D809)&gt;0,1,0))</f>
        <v>1</v>
      </c>
    </row>
    <row r="810" spans="1:12" hidden="1" x14ac:dyDescent="0.25">
      <c r="A810" s="49"/>
      <c r="B810" s="49" t="s">
        <v>73</v>
      </c>
      <c r="C810" s="49" t="s">
        <v>874</v>
      </c>
      <c r="D810" s="50" t="str">
        <f t="shared" si="60"/>
        <v>Mourad Ayari</v>
      </c>
      <c r="E810" s="50" t="str">
        <f t="shared" si="61"/>
        <v>août</v>
      </c>
      <c r="F810" s="50">
        <f t="shared" si="62"/>
        <v>26</v>
      </c>
      <c r="G810" s="50">
        <f t="shared" si="63"/>
        <v>2026</v>
      </c>
      <c r="H810" s="51">
        <f>IF($C810="","",IFERROR(DATE(G810,VLOOKUP(E810,Paramètres!$K$11:$L$40,2,FALSE()),F810),"?"))</f>
        <v>46260</v>
      </c>
      <c r="I810" s="50">
        <f>IF(ISNUMBER(H810),IF(COUNTIFS($D$2:D810,D810,$H$2:H810,H810)=1,1,0),"")</f>
        <v>1</v>
      </c>
      <c r="J810" s="50">
        <f>IF(ISNUMBER(H810),IFERROR(INDEX(Calendrier!$C$2:$C$367,MATCH(H810,Calendrier!$A$2:$A$367,0)),0),"")</f>
        <v>0</v>
      </c>
      <c r="K810" s="50">
        <f t="shared" si="64"/>
        <v>0</v>
      </c>
      <c r="L810" s="50">
        <f>IF(D810="","",IF(COUNTIF(Paramètres!$A$11:$A$40,D810)&gt;0,1,0))</f>
        <v>1</v>
      </c>
    </row>
    <row r="811" spans="1:12" hidden="1" x14ac:dyDescent="0.25">
      <c r="A811" s="49"/>
      <c r="B811" s="49" t="s">
        <v>61</v>
      </c>
      <c r="C811" s="49" t="s">
        <v>875</v>
      </c>
      <c r="D811" s="50" t="str">
        <f t="shared" si="60"/>
        <v>Ines Farhat</v>
      </c>
      <c r="E811" s="50" t="str">
        <f t="shared" si="61"/>
        <v>août</v>
      </c>
      <c r="F811" s="50">
        <f t="shared" si="62"/>
        <v>3</v>
      </c>
      <c r="G811" s="50">
        <f t="shared" si="63"/>
        <v>2026</v>
      </c>
      <c r="H811" s="51">
        <f>IF($C811="","",IFERROR(DATE(G811,VLOOKUP(E811,Paramètres!$K$11:$L$40,2,FALSE()),F811),"?"))</f>
        <v>46237</v>
      </c>
      <c r="I811" s="50">
        <f>IF(ISNUMBER(H811),IF(COUNTIFS($D$2:D811,D811,$H$2:H811,H811)=1,1,0),"")</f>
        <v>1</v>
      </c>
      <c r="J811" s="50">
        <f>IF(ISNUMBER(H811),IFERROR(INDEX(Calendrier!$C$2:$C$367,MATCH(H811,Calendrier!$A$2:$A$367,0)),0),"")</f>
        <v>1</v>
      </c>
      <c r="K811" s="50">
        <f t="shared" si="64"/>
        <v>1</v>
      </c>
      <c r="L811" s="50">
        <f>IF(D811="","",IF(COUNTIF(Paramètres!$A$11:$A$40,D811)&gt;0,1,0))</f>
        <v>1</v>
      </c>
    </row>
    <row r="812" spans="1:12" hidden="1" x14ac:dyDescent="0.25">
      <c r="A812" s="49"/>
      <c r="B812" s="49" t="s">
        <v>61</v>
      </c>
      <c r="C812" s="49" t="s">
        <v>876</v>
      </c>
      <c r="D812" s="50" t="str">
        <f t="shared" si="60"/>
        <v>Ines Farhat</v>
      </c>
      <c r="E812" s="50" t="str">
        <f t="shared" si="61"/>
        <v>août</v>
      </c>
      <c r="F812" s="50">
        <f t="shared" si="62"/>
        <v>5</v>
      </c>
      <c r="G812" s="50">
        <f t="shared" si="63"/>
        <v>2026</v>
      </c>
      <c r="H812" s="51">
        <f>IF($C812="","",IFERROR(DATE(G812,VLOOKUP(E812,Paramètres!$K$11:$L$40,2,FALSE()),F812),"?"))</f>
        <v>46239</v>
      </c>
      <c r="I812" s="50">
        <f>IF(ISNUMBER(H812),IF(COUNTIFS($D$2:D812,D812,$H$2:H812,H812)=1,1,0),"")</f>
        <v>1</v>
      </c>
      <c r="J812" s="50">
        <f>IF(ISNUMBER(H812),IFERROR(INDEX(Calendrier!$C$2:$C$367,MATCH(H812,Calendrier!$A$2:$A$367,0)),0),"")</f>
        <v>1</v>
      </c>
      <c r="K812" s="50">
        <f t="shared" si="64"/>
        <v>1</v>
      </c>
      <c r="L812" s="50">
        <f>IF(D812="","",IF(COUNTIF(Paramètres!$A$11:$A$40,D812)&gt;0,1,0))</f>
        <v>1</v>
      </c>
    </row>
    <row r="813" spans="1:12" hidden="1" x14ac:dyDescent="0.25">
      <c r="A813" s="49"/>
      <c r="B813" s="49" t="s">
        <v>61</v>
      </c>
      <c r="C813" s="49" t="s">
        <v>877</v>
      </c>
      <c r="D813" s="50" t="str">
        <f t="shared" si="60"/>
        <v>Ines Farhat</v>
      </c>
      <c r="E813" s="50" t="str">
        <f t="shared" si="61"/>
        <v>août</v>
      </c>
      <c r="F813" s="50">
        <f t="shared" si="62"/>
        <v>26</v>
      </c>
      <c r="G813" s="50">
        <f t="shared" si="63"/>
        <v>2026</v>
      </c>
      <c r="H813" s="51">
        <f>IF($C813="","",IFERROR(DATE(G813,VLOOKUP(E813,Paramètres!$K$11:$L$40,2,FALSE()),F813),"?"))</f>
        <v>46260</v>
      </c>
      <c r="I813" s="50">
        <f>IF(ISNUMBER(H813),IF(COUNTIFS($D$2:D813,D813,$H$2:H813,H813)=1,1,0),"")</f>
        <v>1</v>
      </c>
      <c r="J813" s="50">
        <f>IF(ISNUMBER(H813),IFERROR(INDEX(Calendrier!$C$2:$C$367,MATCH(H813,Calendrier!$A$2:$A$367,0)),0),"")</f>
        <v>0</v>
      </c>
      <c r="K813" s="50">
        <f t="shared" si="64"/>
        <v>0</v>
      </c>
      <c r="L813" s="50">
        <f>IF(D813="","",IF(COUNTIF(Paramètres!$A$11:$A$40,D813)&gt;0,1,0))</f>
        <v>1</v>
      </c>
    </row>
    <row r="814" spans="1:12" hidden="1" x14ac:dyDescent="0.25">
      <c r="A814" s="49"/>
      <c r="B814" s="49" t="s">
        <v>67</v>
      </c>
      <c r="C814" s="49" t="s">
        <v>878</v>
      </c>
      <c r="D814" s="50" t="str">
        <f t="shared" si="60"/>
        <v>Marwa Solaani</v>
      </c>
      <c r="E814" s="50" t="str">
        <f t="shared" si="61"/>
        <v>août</v>
      </c>
      <c r="F814" s="50">
        <f t="shared" si="62"/>
        <v>3</v>
      </c>
      <c r="G814" s="50">
        <f t="shared" si="63"/>
        <v>2026</v>
      </c>
      <c r="H814" s="51">
        <f>IF($C814="","",IFERROR(DATE(G814,VLOOKUP(E814,Paramètres!$K$11:$L$40,2,FALSE()),F814),"?"))</f>
        <v>46237</v>
      </c>
      <c r="I814" s="50">
        <f>IF(ISNUMBER(H814),IF(COUNTIFS($D$2:D814,D814,$H$2:H814,H814)=1,1,0),"")</f>
        <v>1</v>
      </c>
      <c r="J814" s="50">
        <f>IF(ISNUMBER(H814),IFERROR(INDEX(Calendrier!$C$2:$C$367,MATCH(H814,Calendrier!$A$2:$A$367,0)),0),"")</f>
        <v>1</v>
      </c>
      <c r="K814" s="50">
        <f t="shared" si="64"/>
        <v>1</v>
      </c>
      <c r="L814" s="50">
        <f>IF(D814="","",IF(COUNTIF(Paramètres!$A$11:$A$40,D814)&gt;0,1,0))</f>
        <v>1</v>
      </c>
    </row>
    <row r="815" spans="1:12" hidden="1" x14ac:dyDescent="0.25">
      <c r="A815" s="49"/>
      <c r="B815" s="49" t="s">
        <v>67</v>
      </c>
      <c r="C815" s="49" t="s">
        <v>879</v>
      </c>
      <c r="D815" s="50" t="str">
        <f t="shared" si="60"/>
        <v>Marwa Solaani</v>
      </c>
      <c r="E815" s="50" t="str">
        <f t="shared" si="61"/>
        <v>août</v>
      </c>
      <c r="F815" s="50">
        <f t="shared" si="62"/>
        <v>7</v>
      </c>
      <c r="G815" s="50">
        <f t="shared" si="63"/>
        <v>2026</v>
      </c>
      <c r="H815" s="51">
        <f>IF($C815="","",IFERROR(DATE(G815,VLOOKUP(E815,Paramètres!$K$11:$L$40,2,FALSE()),F815),"?"))</f>
        <v>46241</v>
      </c>
      <c r="I815" s="50">
        <f>IF(ISNUMBER(H815),IF(COUNTIFS($D$2:D815,D815,$H$2:H815,H815)=1,1,0),"")</f>
        <v>1</v>
      </c>
      <c r="J815" s="50">
        <f>IF(ISNUMBER(H815),IFERROR(INDEX(Calendrier!$C$2:$C$367,MATCH(H815,Calendrier!$A$2:$A$367,0)),0),"")</f>
        <v>1</v>
      </c>
      <c r="K815" s="50">
        <f t="shared" si="64"/>
        <v>1</v>
      </c>
      <c r="L815" s="50">
        <f>IF(D815="","",IF(COUNTIF(Paramètres!$A$11:$A$40,D815)&gt;0,1,0))</f>
        <v>1</v>
      </c>
    </row>
    <row r="816" spans="1:12" hidden="1" x14ac:dyDescent="0.25">
      <c r="A816" s="49"/>
      <c r="B816" s="49" t="s">
        <v>67</v>
      </c>
      <c r="C816" s="49" t="s">
        <v>880</v>
      </c>
      <c r="D816" s="50" t="str">
        <f t="shared" si="60"/>
        <v>Marwa Solaani</v>
      </c>
      <c r="E816" s="50" t="str">
        <f t="shared" si="61"/>
        <v>août</v>
      </c>
      <c r="F816" s="50">
        <f t="shared" si="62"/>
        <v>27</v>
      </c>
      <c r="G816" s="50">
        <f t="shared" si="63"/>
        <v>2026</v>
      </c>
      <c r="H816" s="51">
        <f>IF($C816="","",IFERROR(DATE(G816,VLOOKUP(E816,Paramètres!$K$11:$L$40,2,FALSE()),F816),"?"))</f>
        <v>46261</v>
      </c>
      <c r="I816" s="50">
        <f>IF(ISNUMBER(H816),IF(COUNTIFS($D$2:D816,D816,$H$2:H816,H816)=1,1,0),"")</f>
        <v>1</v>
      </c>
      <c r="J816" s="50">
        <f>IF(ISNUMBER(H816),IFERROR(INDEX(Calendrier!$C$2:$C$367,MATCH(H816,Calendrier!$A$2:$A$367,0)),0),"")</f>
        <v>1</v>
      </c>
      <c r="K816" s="50">
        <f t="shared" si="64"/>
        <v>1</v>
      </c>
      <c r="L816" s="50">
        <f>IF(D816="","",IF(COUNTIF(Paramètres!$A$11:$A$40,D816)&gt;0,1,0))</f>
        <v>1</v>
      </c>
    </row>
    <row r="817" spans="1:12" x14ac:dyDescent="0.25">
      <c r="A817" s="49"/>
      <c r="B817" s="49" t="s">
        <v>830</v>
      </c>
      <c r="C817" s="49" t="s">
        <v>881</v>
      </c>
      <c r="D817" s="50" t="str">
        <f t="shared" si="60"/>
        <v>Zouhour FATHALLAH</v>
      </c>
      <c r="E817" s="50" t="str">
        <f t="shared" si="61"/>
        <v>août</v>
      </c>
      <c r="F817" s="50">
        <f t="shared" si="62"/>
        <v>3</v>
      </c>
      <c r="G817" s="50">
        <f t="shared" si="63"/>
        <v>2026</v>
      </c>
      <c r="H817" s="51">
        <f>IF($C817="","",IFERROR(DATE(G817,VLOOKUP(E817,Paramètres!$K$11:$L$40,2,FALSE()),F817),"?"))</f>
        <v>46237</v>
      </c>
      <c r="I817" s="50">
        <f>IF(ISNUMBER(H817),IF(COUNTIFS($D$2:D817,D817,$H$2:H817,H817)=1,1,0),"")</f>
        <v>1</v>
      </c>
      <c r="J817" s="50">
        <f>IF(ISNUMBER(H817),IFERROR(INDEX(Calendrier!$C$2:$C$367,MATCH(H817,Calendrier!$A$2:$A$367,0)),0),"")</f>
        <v>1</v>
      </c>
      <c r="K817" s="50">
        <f t="shared" si="64"/>
        <v>1</v>
      </c>
      <c r="L817" s="50">
        <f>IF(D817="","",IF(COUNTIF(Paramètres!$A$11:$A$40,D817)&gt;0,1,0))</f>
        <v>1</v>
      </c>
    </row>
    <row r="818" spans="1:12" x14ac:dyDescent="0.25">
      <c r="A818" s="49"/>
      <c r="B818" s="49" t="s">
        <v>830</v>
      </c>
      <c r="C818" s="49" t="s">
        <v>882</v>
      </c>
      <c r="D818" s="50" t="str">
        <f t="shared" si="60"/>
        <v>Zouhour FATHALLAH</v>
      </c>
      <c r="E818" s="50" t="str">
        <f t="shared" si="61"/>
        <v>août</v>
      </c>
      <c r="F818" s="50">
        <f t="shared" si="62"/>
        <v>5</v>
      </c>
      <c r="G818" s="50">
        <f t="shared" si="63"/>
        <v>2026</v>
      </c>
      <c r="H818" s="51">
        <f>IF($C818="","",IFERROR(DATE(G818,VLOOKUP(E818,Paramètres!$K$11:$L$40,2,FALSE()),F818),"?"))</f>
        <v>46239</v>
      </c>
      <c r="I818" s="50">
        <f>IF(ISNUMBER(H818),IF(COUNTIFS($D$2:D818,D818,$H$2:H818,H818)=1,1,0),"")</f>
        <v>1</v>
      </c>
      <c r="J818" s="50">
        <f>IF(ISNUMBER(H818),IFERROR(INDEX(Calendrier!$C$2:$C$367,MATCH(H818,Calendrier!$A$2:$A$367,0)),0),"")</f>
        <v>1</v>
      </c>
      <c r="K818" s="50">
        <f t="shared" si="64"/>
        <v>1</v>
      </c>
      <c r="L818" s="50">
        <f>IF(D818="","",IF(COUNTIF(Paramètres!$A$11:$A$40,D818)&gt;0,1,0))</f>
        <v>1</v>
      </c>
    </row>
    <row r="819" spans="1:12" x14ac:dyDescent="0.25">
      <c r="A819" s="49"/>
      <c r="B819" s="49" t="s">
        <v>830</v>
      </c>
      <c r="C819" s="49" t="s">
        <v>883</v>
      </c>
      <c r="D819" s="50" t="str">
        <f t="shared" si="60"/>
        <v>Zouhour FATHALLAH</v>
      </c>
      <c r="E819" s="50" t="str">
        <f t="shared" si="61"/>
        <v>août</v>
      </c>
      <c r="F819" s="50">
        <f t="shared" si="62"/>
        <v>7</v>
      </c>
      <c r="G819" s="50">
        <f t="shared" si="63"/>
        <v>2026</v>
      </c>
      <c r="H819" s="51">
        <f>IF($C819="","",IFERROR(DATE(G819,VLOOKUP(E819,Paramètres!$K$11:$L$40,2,FALSE()),F819),"?"))</f>
        <v>46241</v>
      </c>
      <c r="I819" s="50">
        <f>IF(ISNUMBER(H819),IF(COUNTIFS($D$2:D819,D819,$H$2:H819,H819)=1,1,0),"")</f>
        <v>1</v>
      </c>
      <c r="J819" s="50">
        <f>IF(ISNUMBER(H819),IFERROR(INDEX(Calendrier!$C$2:$C$367,MATCH(H819,Calendrier!$A$2:$A$367,0)),0),"")</f>
        <v>1</v>
      </c>
      <c r="K819" s="50">
        <f t="shared" si="64"/>
        <v>1</v>
      </c>
      <c r="L819" s="50">
        <f>IF(D819="","",IF(COUNTIF(Paramètres!$A$11:$A$40,D819)&gt;0,1,0))</f>
        <v>1</v>
      </c>
    </row>
    <row r="820" spans="1:12" x14ac:dyDescent="0.25">
      <c r="A820" s="49"/>
      <c r="B820" s="49" t="s">
        <v>830</v>
      </c>
      <c r="C820" s="49" t="s">
        <v>884</v>
      </c>
      <c r="D820" s="50" t="str">
        <f t="shared" si="60"/>
        <v>Zouhour FATHALLAH</v>
      </c>
      <c r="E820" s="50" t="str">
        <f t="shared" si="61"/>
        <v>août</v>
      </c>
      <c r="F820" s="50">
        <f t="shared" si="62"/>
        <v>26</v>
      </c>
      <c r="G820" s="50">
        <f t="shared" si="63"/>
        <v>2026</v>
      </c>
      <c r="H820" s="51">
        <f>IF($C820="","",IFERROR(DATE(G820,VLOOKUP(E820,Paramètres!$K$11:$L$40,2,FALSE()),F820),"?"))</f>
        <v>46260</v>
      </c>
      <c r="I820" s="50">
        <f>IF(ISNUMBER(H820),IF(COUNTIFS($D$2:D820,D820,$H$2:H820,H820)=1,1,0),"")</f>
        <v>1</v>
      </c>
      <c r="J820" s="50">
        <f>IF(ISNUMBER(H820),IFERROR(INDEX(Calendrier!$C$2:$C$367,MATCH(H820,Calendrier!$A$2:$A$367,0)),0),"")</f>
        <v>0</v>
      </c>
      <c r="K820" s="50">
        <f t="shared" si="64"/>
        <v>0</v>
      </c>
      <c r="L820" s="50">
        <f>IF(D820="","",IF(COUNTIF(Paramètres!$A$11:$A$40,D820)&gt;0,1,0))</f>
        <v>1</v>
      </c>
    </row>
    <row r="821" spans="1:12" x14ac:dyDescent="0.25">
      <c r="A821" s="49"/>
      <c r="B821" s="49" t="s">
        <v>830</v>
      </c>
      <c r="C821" s="49" t="s">
        <v>885</v>
      </c>
      <c r="D821" s="50" t="str">
        <f t="shared" si="60"/>
        <v>Zouhour FATHALLAH</v>
      </c>
      <c r="E821" s="50" t="str">
        <f t="shared" si="61"/>
        <v>août</v>
      </c>
      <c r="F821" s="50">
        <f t="shared" si="62"/>
        <v>28</v>
      </c>
      <c r="G821" s="50">
        <f t="shared" si="63"/>
        <v>2026</v>
      </c>
      <c r="H821" s="51">
        <f>IF($C821="","",IFERROR(DATE(G821,VLOOKUP(E821,Paramètres!$K$11:$L$40,2,FALSE()),F821),"?"))</f>
        <v>46262</v>
      </c>
      <c r="I821" s="50">
        <f>IF(ISNUMBER(H821),IF(COUNTIFS($D$2:D821,D821,$H$2:H821,H821)=1,1,0),"")</f>
        <v>1</v>
      </c>
      <c r="J821" s="50">
        <f>IF(ISNUMBER(H821),IFERROR(INDEX(Calendrier!$C$2:$C$367,MATCH(H821,Calendrier!$A$2:$A$367,0)),0),"")</f>
        <v>1</v>
      </c>
      <c r="K821" s="50">
        <f t="shared" si="64"/>
        <v>1</v>
      </c>
      <c r="L821" s="50">
        <f>IF(D821="","",IF(COUNTIF(Paramètres!$A$11:$A$40,D821)&gt;0,1,0))</f>
        <v>1</v>
      </c>
    </row>
    <row r="822" spans="1:12" x14ac:dyDescent="0.25">
      <c r="A822" s="49"/>
      <c r="B822" s="49" t="s">
        <v>830</v>
      </c>
      <c r="C822" s="49" t="s">
        <v>885</v>
      </c>
      <c r="D822" s="50" t="str">
        <f t="shared" si="60"/>
        <v>Zouhour FATHALLAH</v>
      </c>
      <c r="E822" s="50" t="str">
        <f t="shared" si="61"/>
        <v>août</v>
      </c>
      <c r="F822" s="50">
        <f t="shared" si="62"/>
        <v>28</v>
      </c>
      <c r="G822" s="50">
        <f t="shared" si="63"/>
        <v>2026</v>
      </c>
      <c r="H822" s="51">
        <f>IF($C822="","",IFERROR(DATE(G822,VLOOKUP(E822,Paramètres!$K$11:$L$40,2,FALSE()),F822),"?"))</f>
        <v>46262</v>
      </c>
      <c r="I822" s="50">
        <f>IF(ISNUMBER(H822),IF(COUNTIFS($D$2:D822,D822,$H$2:H822,H822)=1,1,0),"")</f>
        <v>0</v>
      </c>
      <c r="J822" s="50">
        <f>IF(ISNUMBER(H822),IFERROR(INDEX(Calendrier!$C$2:$C$367,MATCH(H822,Calendrier!$A$2:$A$367,0)),0),"")</f>
        <v>1</v>
      </c>
      <c r="K822" s="50">
        <f t="shared" si="64"/>
        <v>0</v>
      </c>
      <c r="L822" s="50">
        <f>IF(D822="","",IF(COUNTIF(Paramètres!$A$11:$A$40,D822)&gt;0,1,0))</f>
        <v>1</v>
      </c>
    </row>
    <row r="823" spans="1:12" hidden="1" x14ac:dyDescent="0.25">
      <c r="A823" s="49"/>
      <c r="B823" s="49" t="s">
        <v>78</v>
      </c>
      <c r="C823" s="49" t="s">
        <v>886</v>
      </c>
      <c r="D823" s="50" t="str">
        <f t="shared" si="60"/>
        <v>Nouha Ben Khlifa</v>
      </c>
      <c r="E823" s="50" t="str">
        <f t="shared" si="61"/>
        <v>août</v>
      </c>
      <c r="F823" s="50">
        <f t="shared" si="62"/>
        <v>3</v>
      </c>
      <c r="G823" s="50">
        <f t="shared" si="63"/>
        <v>2026</v>
      </c>
      <c r="H823" s="51">
        <f>IF($C823="","",IFERROR(DATE(G823,VLOOKUP(E823,Paramètres!$K$11:$L$40,2,FALSE()),F823),"?"))</f>
        <v>46237</v>
      </c>
      <c r="I823" s="50">
        <f>IF(ISNUMBER(H823),IF(COUNTIFS($D$2:D823,D823,$H$2:H823,H823)=1,1,0),"")</f>
        <v>1</v>
      </c>
      <c r="J823" s="50">
        <f>IF(ISNUMBER(H823),IFERROR(INDEX(Calendrier!$C$2:$C$367,MATCH(H823,Calendrier!$A$2:$A$367,0)),0),"")</f>
        <v>1</v>
      </c>
      <c r="K823" s="50">
        <f t="shared" si="64"/>
        <v>1</v>
      </c>
      <c r="L823" s="50">
        <f>IF(D823="","",IF(COUNTIF(Paramètres!$A$11:$A$40,D823)&gt;0,1,0))</f>
        <v>1</v>
      </c>
    </row>
    <row r="824" spans="1:12" hidden="1" x14ac:dyDescent="0.25">
      <c r="A824" s="49"/>
      <c r="B824" s="49" t="s">
        <v>63</v>
      </c>
      <c r="C824" s="49" t="s">
        <v>887</v>
      </c>
      <c r="D824" s="50" t="str">
        <f t="shared" si="60"/>
        <v>Lobna Jberi</v>
      </c>
      <c r="E824" s="50" t="str">
        <f t="shared" si="61"/>
        <v>août</v>
      </c>
      <c r="F824" s="50">
        <f t="shared" si="62"/>
        <v>1</v>
      </c>
      <c r="G824" s="50">
        <f t="shared" si="63"/>
        <v>2026</v>
      </c>
      <c r="H824" s="51">
        <f>IF($C824="","",IFERROR(DATE(G824,VLOOKUP(E824,Paramètres!$K$11:$L$40,2,FALSE()),F824),"?"))</f>
        <v>46235</v>
      </c>
      <c r="I824" s="50">
        <f>IF(ISNUMBER(H824),IF(COUNTIFS($D$2:D824,D824,$H$2:H824,H824)=1,1,0),"")</f>
        <v>1</v>
      </c>
      <c r="J824" s="50">
        <f>IF(ISNUMBER(H824),IFERROR(INDEX(Calendrier!$C$2:$C$367,MATCH(H824,Calendrier!$A$2:$A$367,0)),0),"")</f>
        <v>0</v>
      </c>
      <c r="K824" s="50">
        <f t="shared" si="64"/>
        <v>0</v>
      </c>
      <c r="L824" s="50">
        <f>IF(D824="","",IF(COUNTIF(Paramètres!$A$11:$A$40,D824)&gt;0,1,0))</f>
        <v>1</v>
      </c>
    </row>
    <row r="825" spans="1:12" hidden="1" x14ac:dyDescent="0.25">
      <c r="A825" s="49"/>
      <c r="B825" s="49" t="s">
        <v>63</v>
      </c>
      <c r="C825" s="49" t="s">
        <v>888</v>
      </c>
      <c r="D825" s="50" t="str">
        <f t="shared" si="60"/>
        <v>Lobna Jberi</v>
      </c>
      <c r="E825" s="50" t="str">
        <f t="shared" si="61"/>
        <v>août</v>
      </c>
      <c r="F825" s="50">
        <f t="shared" si="62"/>
        <v>28</v>
      </c>
      <c r="G825" s="50">
        <f t="shared" si="63"/>
        <v>2026</v>
      </c>
      <c r="H825" s="51">
        <f>IF($C825="","",IFERROR(DATE(G825,VLOOKUP(E825,Paramètres!$K$11:$L$40,2,FALSE()),F825),"?"))</f>
        <v>46262</v>
      </c>
      <c r="I825" s="50">
        <f>IF(ISNUMBER(H825),IF(COUNTIFS($D$2:D825,D825,$H$2:H825,H825)=1,1,0),"")</f>
        <v>1</v>
      </c>
      <c r="J825" s="50">
        <f>IF(ISNUMBER(H825),IFERROR(INDEX(Calendrier!$C$2:$C$367,MATCH(H825,Calendrier!$A$2:$A$367,0)),0),"")</f>
        <v>1</v>
      </c>
      <c r="K825" s="50">
        <f t="shared" si="64"/>
        <v>1</v>
      </c>
      <c r="L825" s="50">
        <f>IF(D825="","",IF(COUNTIF(Paramètres!$A$11:$A$40,D825)&gt;0,1,0))</f>
        <v>1</v>
      </c>
    </row>
    <row r="826" spans="1:12" hidden="1" x14ac:dyDescent="0.25">
      <c r="A826" s="49"/>
      <c r="B826" s="49" t="s">
        <v>55</v>
      </c>
      <c r="C826" s="49" t="s">
        <v>889</v>
      </c>
      <c r="D826" s="50" t="str">
        <f t="shared" si="60"/>
        <v>Chaima Jdid</v>
      </c>
      <c r="E826" s="50" t="str">
        <f t="shared" si="61"/>
        <v>août</v>
      </c>
      <c r="F826" s="50">
        <f t="shared" si="62"/>
        <v>3</v>
      </c>
      <c r="G826" s="50">
        <f t="shared" si="63"/>
        <v>2026</v>
      </c>
      <c r="H826" s="51">
        <f>IF($C826="","",IFERROR(DATE(G826,VLOOKUP(E826,Paramètres!$K$11:$L$40,2,FALSE()),F826),"?"))</f>
        <v>46237</v>
      </c>
      <c r="I826" s="50">
        <f>IF(ISNUMBER(H826),IF(COUNTIFS($D$2:D826,D826,$H$2:H826,H826)=1,1,0),"")</f>
        <v>1</v>
      </c>
      <c r="J826" s="50">
        <f>IF(ISNUMBER(H826),IFERROR(INDEX(Calendrier!$C$2:$C$367,MATCH(H826,Calendrier!$A$2:$A$367,0)),0),"")</f>
        <v>1</v>
      </c>
      <c r="K826" s="50">
        <f t="shared" si="64"/>
        <v>1</v>
      </c>
      <c r="L826" s="50">
        <f>IF(D826="","",IF(COUNTIF(Paramètres!$A$11:$A$40,D826)&gt;0,1,0))</f>
        <v>1</v>
      </c>
    </row>
    <row r="827" spans="1:12" hidden="1" x14ac:dyDescent="0.25">
      <c r="A827" s="49"/>
      <c r="B827" s="49" t="s">
        <v>55</v>
      </c>
      <c r="C827" s="49" t="s">
        <v>890</v>
      </c>
      <c r="D827" s="50" t="str">
        <f t="shared" si="60"/>
        <v>Chaima Jdid</v>
      </c>
      <c r="E827" s="50" t="str">
        <f t="shared" si="61"/>
        <v>août</v>
      </c>
      <c r="F827" s="50">
        <f t="shared" si="62"/>
        <v>5</v>
      </c>
      <c r="G827" s="50">
        <f t="shared" si="63"/>
        <v>2026</v>
      </c>
      <c r="H827" s="51">
        <f>IF($C827="","",IFERROR(DATE(G827,VLOOKUP(E827,Paramètres!$K$11:$L$40,2,FALSE()),F827),"?"))</f>
        <v>46239</v>
      </c>
      <c r="I827" s="50">
        <f>IF(ISNUMBER(H827),IF(COUNTIFS($D$2:D827,D827,$H$2:H827,H827)=1,1,0),"")</f>
        <v>1</v>
      </c>
      <c r="J827" s="50">
        <f>IF(ISNUMBER(H827),IFERROR(INDEX(Calendrier!$C$2:$C$367,MATCH(H827,Calendrier!$A$2:$A$367,0)),0),"")</f>
        <v>1</v>
      </c>
      <c r="K827" s="50">
        <f t="shared" si="64"/>
        <v>1</v>
      </c>
      <c r="L827" s="50">
        <f>IF(D827="","",IF(COUNTIF(Paramètres!$A$11:$A$40,D827)&gt;0,1,0))</f>
        <v>1</v>
      </c>
    </row>
    <row r="828" spans="1:12" hidden="1" x14ac:dyDescent="0.25">
      <c r="A828" s="49"/>
      <c r="B828" s="49" t="s">
        <v>55</v>
      </c>
      <c r="C828" s="49" t="s">
        <v>891</v>
      </c>
      <c r="D828" s="50" t="str">
        <f t="shared" si="60"/>
        <v>Chaima Jdid</v>
      </c>
      <c r="E828" s="50" t="str">
        <f t="shared" si="61"/>
        <v>août</v>
      </c>
      <c r="F828" s="50">
        <f t="shared" si="62"/>
        <v>27</v>
      </c>
      <c r="G828" s="50">
        <f t="shared" si="63"/>
        <v>2026</v>
      </c>
      <c r="H828" s="51">
        <f>IF($C828="","",IFERROR(DATE(G828,VLOOKUP(E828,Paramètres!$K$11:$L$40,2,FALSE()),F828),"?"))</f>
        <v>46261</v>
      </c>
      <c r="I828" s="50">
        <f>IF(ISNUMBER(H828),IF(COUNTIFS($D$2:D828,D828,$H$2:H828,H828)=1,1,0),"")</f>
        <v>1</v>
      </c>
      <c r="J828" s="50">
        <f>IF(ISNUMBER(H828),IFERROR(INDEX(Calendrier!$C$2:$C$367,MATCH(H828,Calendrier!$A$2:$A$367,0)),0),"")</f>
        <v>1</v>
      </c>
      <c r="K828" s="50">
        <f t="shared" si="64"/>
        <v>1</v>
      </c>
      <c r="L828" s="50">
        <f>IF(D828="","",IF(COUNTIF(Paramètres!$A$11:$A$40,D828)&gt;0,1,0))</f>
        <v>1</v>
      </c>
    </row>
    <row r="829" spans="1:12" hidden="1" x14ac:dyDescent="0.25">
      <c r="A829" s="49"/>
      <c r="B829" s="49" t="s">
        <v>55</v>
      </c>
      <c r="C829" s="49" t="s">
        <v>892</v>
      </c>
      <c r="D829" s="50" t="str">
        <f t="shared" si="60"/>
        <v>Chaima Jdid</v>
      </c>
      <c r="E829" s="50" t="str">
        <f t="shared" si="61"/>
        <v>août</v>
      </c>
      <c r="F829" s="50">
        <f t="shared" si="62"/>
        <v>27</v>
      </c>
      <c r="G829" s="50">
        <f t="shared" si="63"/>
        <v>2026</v>
      </c>
      <c r="H829" s="51">
        <f>IF($C829="","",IFERROR(DATE(G829,VLOOKUP(E829,Paramètres!$K$11:$L$40,2,FALSE()),F829),"?"))</f>
        <v>46261</v>
      </c>
      <c r="I829" s="50">
        <f>IF(ISNUMBER(H829),IF(COUNTIFS($D$2:D829,D829,$H$2:H829,H829)=1,1,0),"")</f>
        <v>0</v>
      </c>
      <c r="J829" s="50">
        <f>IF(ISNUMBER(H829),IFERROR(INDEX(Calendrier!$C$2:$C$367,MATCH(H829,Calendrier!$A$2:$A$367,0)),0),"")</f>
        <v>1</v>
      </c>
      <c r="K829" s="50">
        <f t="shared" si="64"/>
        <v>0</v>
      </c>
      <c r="L829" s="50">
        <f>IF(D829="","",IF(COUNTIF(Paramètres!$A$11:$A$40,D829)&gt;0,1,0))</f>
        <v>1</v>
      </c>
    </row>
    <row r="830" spans="1:12" hidden="1" x14ac:dyDescent="0.25">
      <c r="A830" s="49"/>
      <c r="B830" s="49" t="s">
        <v>55</v>
      </c>
      <c r="C830" s="49" t="s">
        <v>893</v>
      </c>
      <c r="D830" s="50" t="str">
        <f t="shared" si="60"/>
        <v>Chaima Jdid</v>
      </c>
      <c r="E830" s="50" t="str">
        <f t="shared" si="61"/>
        <v>août</v>
      </c>
      <c r="F830" s="50">
        <f t="shared" si="62"/>
        <v>28</v>
      </c>
      <c r="G830" s="50">
        <f t="shared" si="63"/>
        <v>2026</v>
      </c>
      <c r="H830" s="51">
        <f>IF($C830="","",IFERROR(DATE(G830,VLOOKUP(E830,Paramètres!$K$11:$L$40,2,FALSE()),F830),"?"))</f>
        <v>46262</v>
      </c>
      <c r="I830" s="50">
        <f>IF(ISNUMBER(H830),IF(COUNTIFS($D$2:D830,D830,$H$2:H830,H830)=1,1,0),"")</f>
        <v>1</v>
      </c>
      <c r="J830" s="50">
        <f>IF(ISNUMBER(H830),IFERROR(INDEX(Calendrier!$C$2:$C$367,MATCH(H830,Calendrier!$A$2:$A$367,0)),0),"")</f>
        <v>1</v>
      </c>
      <c r="K830" s="50">
        <f t="shared" si="64"/>
        <v>1</v>
      </c>
      <c r="L830" s="50">
        <f>IF(D830="","",IF(COUNTIF(Paramètres!$A$11:$A$40,D830)&gt;0,1,0))</f>
        <v>1</v>
      </c>
    </row>
    <row r="831" spans="1:12" hidden="1" x14ac:dyDescent="0.25">
      <c r="A831" s="49"/>
      <c r="B831" s="49" t="s">
        <v>764</v>
      </c>
      <c r="C831" s="49" t="s">
        <v>894</v>
      </c>
      <c r="D831" s="50" t="str">
        <f t="shared" si="60"/>
        <v>Mina MOUSSA</v>
      </c>
      <c r="E831" s="50" t="str">
        <f t="shared" si="61"/>
        <v>sept</v>
      </c>
      <c r="F831" s="50">
        <f t="shared" si="62"/>
        <v>11</v>
      </c>
      <c r="G831" s="50">
        <f t="shared" si="63"/>
        <v>2026</v>
      </c>
      <c r="H831" s="51">
        <f>IF($C831="","",IFERROR(DATE(G831,VLOOKUP(E831,Paramètres!$K$11:$L$40,2,FALSE()),F831),"?"))</f>
        <v>46276</v>
      </c>
      <c r="I831" s="50">
        <f>IF(ISNUMBER(H831),IF(COUNTIFS($D$2:D831,D831,$H$2:H831,H831)=1,1,0),"")</f>
        <v>1</v>
      </c>
      <c r="J831" s="50">
        <f>IF(ISNUMBER(H831),IFERROR(INDEX(Calendrier!$C$2:$C$367,MATCH(H831,Calendrier!$A$2:$A$367,0)),0),"")</f>
        <v>1</v>
      </c>
      <c r="K831" s="50">
        <f t="shared" si="64"/>
        <v>1</v>
      </c>
      <c r="L831" s="50">
        <f>IF(D831="","",IF(COUNTIF(Paramètres!$A$11:$A$40,D831)&gt;0,1,0))</f>
        <v>1</v>
      </c>
    </row>
    <row r="832" spans="1:12" hidden="1" x14ac:dyDescent="0.25">
      <c r="A832" s="49"/>
      <c r="B832" s="49" t="s">
        <v>764</v>
      </c>
      <c r="C832" s="49" t="s">
        <v>895</v>
      </c>
      <c r="D832" s="50" t="str">
        <f t="shared" si="60"/>
        <v>Mina MOUSSA</v>
      </c>
      <c r="E832" s="50" t="str">
        <f t="shared" si="61"/>
        <v>sept</v>
      </c>
      <c r="F832" s="50">
        <f t="shared" si="62"/>
        <v>12</v>
      </c>
      <c r="G832" s="50">
        <f t="shared" si="63"/>
        <v>2026</v>
      </c>
      <c r="H832" s="51">
        <f>IF($C832="","",IFERROR(DATE(G832,VLOOKUP(E832,Paramètres!$K$11:$L$40,2,FALSE()),F832),"?"))</f>
        <v>46277</v>
      </c>
      <c r="I832" s="50">
        <f>IF(ISNUMBER(H832),IF(COUNTIFS($D$2:D832,D832,$H$2:H832,H832)=1,1,0),"")</f>
        <v>1</v>
      </c>
      <c r="J832" s="50">
        <f>IF(ISNUMBER(H832),IFERROR(INDEX(Calendrier!$C$2:$C$367,MATCH(H832,Calendrier!$A$2:$A$367,0)),0),"")</f>
        <v>0</v>
      </c>
      <c r="K832" s="50">
        <f t="shared" si="64"/>
        <v>0</v>
      </c>
      <c r="L832" s="50">
        <f>IF(D832="","",IF(COUNTIF(Paramètres!$A$11:$A$40,D832)&gt;0,1,0))</f>
        <v>1</v>
      </c>
    </row>
    <row r="833" spans="1:12" hidden="1" x14ac:dyDescent="0.25">
      <c r="A833" s="49"/>
      <c r="B833" s="49" t="s">
        <v>764</v>
      </c>
      <c r="C833" s="49" t="s">
        <v>896</v>
      </c>
      <c r="D833" s="50" t="str">
        <f t="shared" si="60"/>
        <v>Mina MOUSSA</v>
      </c>
      <c r="E833" s="50" t="str">
        <f t="shared" si="61"/>
        <v>sept</v>
      </c>
      <c r="F833" s="50">
        <f t="shared" si="62"/>
        <v>21</v>
      </c>
      <c r="G833" s="50">
        <f t="shared" si="63"/>
        <v>2026</v>
      </c>
      <c r="H833" s="51">
        <f>IF($C833="","",IFERROR(DATE(G833,VLOOKUP(E833,Paramètres!$K$11:$L$40,2,FALSE()),F833),"?"))</f>
        <v>46286</v>
      </c>
      <c r="I833" s="50">
        <f>IF(ISNUMBER(H833),IF(COUNTIFS($D$2:D833,D833,$H$2:H833,H833)=1,1,0),"")</f>
        <v>1</v>
      </c>
      <c r="J833" s="50">
        <f>IF(ISNUMBER(H833),IFERROR(INDEX(Calendrier!$C$2:$C$367,MATCH(H833,Calendrier!$A$2:$A$367,0)),0),"")</f>
        <v>1</v>
      </c>
      <c r="K833" s="50">
        <f t="shared" si="64"/>
        <v>1</v>
      </c>
      <c r="L833" s="50">
        <f>IF(D833="","",IF(COUNTIF(Paramètres!$A$11:$A$40,D833)&gt;0,1,0))</f>
        <v>1</v>
      </c>
    </row>
    <row r="834" spans="1:12" hidden="1" x14ac:dyDescent="0.25">
      <c r="A834" s="49"/>
      <c r="B834" s="49" t="s">
        <v>764</v>
      </c>
      <c r="C834" s="49" t="s">
        <v>897</v>
      </c>
      <c r="D834" s="50" t="str">
        <f t="shared" ref="D834:D897" si="65">IF(B834="","",TRIM(B834))</f>
        <v>Mina MOUSSA</v>
      </c>
      <c r="E834" s="50" t="str">
        <f t="shared" ref="E834:E897" si="66">IF($C834="","",LEFT($C834,FIND(" ",$C834)-1))</f>
        <v>sept</v>
      </c>
      <c r="F834" s="50">
        <f t="shared" ref="F834:F897" si="67">IF($C834="","",IFERROR(VALUE(LEFT(MID($C834,FIND(" ",$C834)+1,20),FIND(" ",MID($C834,FIND(" ",$C834)+1,20))-1)),"?"))</f>
        <v>23</v>
      </c>
      <c r="G834" s="50">
        <f t="shared" ref="G834:G897" si="68">IF($C834="","",IFERROR(VALUE(MID(MID($C834,FIND(" ",$C834)+1,20),FIND(" ",MID($C834,FIND(" ",$C834)+1,20))+1,4)),"?"))</f>
        <v>2026</v>
      </c>
      <c r="H834" s="51">
        <f>IF($C834="","",IFERROR(DATE(G834,VLOOKUP(E834,Paramètres!$K$11:$L$40,2,FALSE()),F834),"?"))</f>
        <v>46288</v>
      </c>
      <c r="I834" s="50">
        <f>IF(ISNUMBER(H834),IF(COUNTIFS($D$2:D834,D834,$H$2:H834,H834)=1,1,0),"")</f>
        <v>1</v>
      </c>
      <c r="J834" s="50">
        <f>IF(ISNUMBER(H834),IFERROR(INDEX(Calendrier!$C$2:$C$367,MATCH(H834,Calendrier!$A$2:$A$367,0)),0),"")</f>
        <v>1</v>
      </c>
      <c r="K834" s="50">
        <f t="shared" ref="K834:K897" si="69">IF(ISNUMBER(H834),I834*J834,"")</f>
        <v>1</v>
      </c>
      <c r="L834" s="50">
        <f>IF(D834="","",IF(COUNTIF(Paramètres!$A$11:$A$40,D834)&gt;0,1,0))</f>
        <v>1</v>
      </c>
    </row>
    <row r="835" spans="1:12" hidden="1" x14ac:dyDescent="0.25">
      <c r="A835" s="49"/>
      <c r="B835" s="49" t="s">
        <v>83</v>
      </c>
      <c r="C835" s="49" t="s">
        <v>898</v>
      </c>
      <c r="D835" s="50" t="str">
        <f t="shared" si="65"/>
        <v>Safouen Magdouli</v>
      </c>
      <c r="E835" s="50" t="str">
        <f t="shared" si="66"/>
        <v>sept</v>
      </c>
      <c r="F835" s="50">
        <f t="shared" si="67"/>
        <v>3</v>
      </c>
      <c r="G835" s="50">
        <f t="shared" si="68"/>
        <v>2026</v>
      </c>
      <c r="H835" s="51">
        <f>IF($C835="","",IFERROR(DATE(G835,VLOOKUP(E835,Paramètres!$K$11:$L$40,2,FALSE()),F835),"?"))</f>
        <v>46268</v>
      </c>
      <c r="I835" s="50">
        <f>IF(ISNUMBER(H835),IF(COUNTIFS($D$2:D835,D835,$H$2:H835,H835)=1,1,0),"")</f>
        <v>1</v>
      </c>
      <c r="J835" s="50">
        <f>IF(ISNUMBER(H835),IFERROR(INDEX(Calendrier!$C$2:$C$367,MATCH(H835,Calendrier!$A$2:$A$367,0)),0),"")</f>
        <v>1</v>
      </c>
      <c r="K835" s="50">
        <f t="shared" si="69"/>
        <v>1</v>
      </c>
      <c r="L835" s="50">
        <f>IF(D835="","",IF(COUNTIF(Paramètres!$A$11:$A$40,D835)&gt;0,1,0))</f>
        <v>1</v>
      </c>
    </row>
    <row r="836" spans="1:12" hidden="1" x14ac:dyDescent="0.25">
      <c r="A836" s="49"/>
      <c r="B836" s="49" t="s">
        <v>83</v>
      </c>
      <c r="C836" s="49" t="s">
        <v>899</v>
      </c>
      <c r="D836" s="50" t="str">
        <f t="shared" si="65"/>
        <v>Safouen Magdouli</v>
      </c>
      <c r="E836" s="50" t="str">
        <f t="shared" si="66"/>
        <v>sept</v>
      </c>
      <c r="F836" s="50">
        <f t="shared" si="67"/>
        <v>9</v>
      </c>
      <c r="G836" s="50">
        <f t="shared" si="68"/>
        <v>2026</v>
      </c>
      <c r="H836" s="51">
        <f>IF($C836="","",IFERROR(DATE(G836,VLOOKUP(E836,Paramètres!$K$11:$L$40,2,FALSE()),F836),"?"))</f>
        <v>46274</v>
      </c>
      <c r="I836" s="50">
        <f>IF(ISNUMBER(H836),IF(COUNTIFS($D$2:D836,D836,$H$2:H836,H836)=1,1,0),"")</f>
        <v>1</v>
      </c>
      <c r="J836" s="50">
        <f>IF(ISNUMBER(H836),IFERROR(INDEX(Calendrier!$C$2:$C$367,MATCH(H836,Calendrier!$A$2:$A$367,0)),0),"")</f>
        <v>1</v>
      </c>
      <c r="K836" s="50">
        <f t="shared" si="69"/>
        <v>1</v>
      </c>
      <c r="L836" s="50">
        <f>IF(D836="","",IF(COUNTIF(Paramètres!$A$11:$A$40,D836)&gt;0,1,0))</f>
        <v>1</v>
      </c>
    </row>
    <row r="837" spans="1:12" hidden="1" x14ac:dyDescent="0.25">
      <c r="A837" s="49"/>
      <c r="B837" s="49" t="s">
        <v>83</v>
      </c>
      <c r="C837" s="49" t="s">
        <v>900</v>
      </c>
      <c r="D837" s="50" t="str">
        <f t="shared" si="65"/>
        <v>Safouen Magdouli</v>
      </c>
      <c r="E837" s="50" t="str">
        <f t="shared" si="66"/>
        <v>sept</v>
      </c>
      <c r="F837" s="50">
        <f t="shared" si="67"/>
        <v>16</v>
      </c>
      <c r="G837" s="50">
        <f t="shared" si="68"/>
        <v>2026</v>
      </c>
      <c r="H837" s="51">
        <f>IF($C837="","",IFERROR(DATE(G837,VLOOKUP(E837,Paramètres!$K$11:$L$40,2,FALSE()),F837),"?"))</f>
        <v>46281</v>
      </c>
      <c r="I837" s="50">
        <f>IF(ISNUMBER(H837),IF(COUNTIFS($D$2:D837,D837,$H$2:H837,H837)=1,1,0),"")</f>
        <v>1</v>
      </c>
      <c r="J837" s="50">
        <f>IF(ISNUMBER(H837),IFERROR(INDEX(Calendrier!$C$2:$C$367,MATCH(H837,Calendrier!$A$2:$A$367,0)),0),"")</f>
        <v>1</v>
      </c>
      <c r="K837" s="50">
        <f t="shared" si="69"/>
        <v>1</v>
      </c>
      <c r="L837" s="50">
        <f>IF(D837="","",IF(COUNTIF(Paramètres!$A$11:$A$40,D837)&gt;0,1,0))</f>
        <v>1</v>
      </c>
    </row>
    <row r="838" spans="1:12" hidden="1" x14ac:dyDescent="0.25">
      <c r="A838" s="49"/>
      <c r="B838" s="49" t="s">
        <v>83</v>
      </c>
      <c r="C838" s="49" t="s">
        <v>901</v>
      </c>
      <c r="D838" s="50" t="str">
        <f t="shared" si="65"/>
        <v>Safouen Magdouli</v>
      </c>
      <c r="E838" s="50" t="str">
        <f t="shared" si="66"/>
        <v>sept</v>
      </c>
      <c r="F838" s="50">
        <f t="shared" si="67"/>
        <v>23</v>
      </c>
      <c r="G838" s="50">
        <f t="shared" si="68"/>
        <v>2026</v>
      </c>
      <c r="H838" s="51">
        <f>IF($C838="","",IFERROR(DATE(G838,VLOOKUP(E838,Paramètres!$K$11:$L$40,2,FALSE()),F838),"?"))</f>
        <v>46288</v>
      </c>
      <c r="I838" s="50">
        <f>IF(ISNUMBER(H838),IF(COUNTIFS($D$2:D838,D838,$H$2:H838,H838)=1,1,0),"")</f>
        <v>1</v>
      </c>
      <c r="J838" s="50">
        <f>IF(ISNUMBER(H838),IFERROR(INDEX(Calendrier!$C$2:$C$367,MATCH(H838,Calendrier!$A$2:$A$367,0)),0),"")</f>
        <v>1</v>
      </c>
      <c r="K838" s="50">
        <f t="shared" si="69"/>
        <v>1</v>
      </c>
      <c r="L838" s="50">
        <f>IF(D838="","",IF(COUNTIF(Paramètres!$A$11:$A$40,D838)&gt;0,1,0))</f>
        <v>1</v>
      </c>
    </row>
    <row r="839" spans="1:12" hidden="1" x14ac:dyDescent="0.25">
      <c r="A839" s="49"/>
      <c r="B839" s="49" t="s">
        <v>81</v>
      </c>
      <c r="C839" s="49" t="s">
        <v>902</v>
      </c>
      <c r="D839" s="50" t="str">
        <f t="shared" si="65"/>
        <v>Sabrine Neffeti</v>
      </c>
      <c r="E839" s="50" t="str">
        <f t="shared" si="66"/>
        <v>sept</v>
      </c>
      <c r="F839" s="50">
        <f t="shared" si="67"/>
        <v>1</v>
      </c>
      <c r="G839" s="50">
        <f t="shared" si="68"/>
        <v>2026</v>
      </c>
      <c r="H839" s="51">
        <f>IF($C839="","",IFERROR(DATE(G839,VLOOKUP(E839,Paramètres!$K$11:$L$40,2,FALSE()),F839),"?"))</f>
        <v>46266</v>
      </c>
      <c r="I839" s="50">
        <f>IF(ISNUMBER(H839),IF(COUNTIFS($D$2:D839,D839,$H$2:H839,H839)=1,1,0),"")</f>
        <v>1</v>
      </c>
      <c r="J839" s="50">
        <f>IF(ISNUMBER(H839),IFERROR(INDEX(Calendrier!$C$2:$C$367,MATCH(H839,Calendrier!$A$2:$A$367,0)),0),"")</f>
        <v>1</v>
      </c>
      <c r="K839" s="50">
        <f t="shared" si="69"/>
        <v>1</v>
      </c>
      <c r="L839" s="50">
        <f>IF(D839="","",IF(COUNTIF(Paramètres!$A$11:$A$40,D839)&gt;0,1,0))</f>
        <v>1</v>
      </c>
    </row>
    <row r="840" spans="1:12" hidden="1" x14ac:dyDescent="0.25">
      <c r="A840" s="49"/>
      <c r="B840" s="49" t="s">
        <v>81</v>
      </c>
      <c r="C840" s="49" t="s">
        <v>903</v>
      </c>
      <c r="D840" s="50" t="str">
        <f t="shared" si="65"/>
        <v>Sabrine Neffeti</v>
      </c>
      <c r="E840" s="50" t="str">
        <f t="shared" si="66"/>
        <v>sept</v>
      </c>
      <c r="F840" s="50">
        <f t="shared" si="67"/>
        <v>8</v>
      </c>
      <c r="G840" s="50">
        <f t="shared" si="68"/>
        <v>2026</v>
      </c>
      <c r="H840" s="51">
        <f>IF($C840="","",IFERROR(DATE(G840,VLOOKUP(E840,Paramètres!$K$11:$L$40,2,FALSE()),F840),"?"))</f>
        <v>46273</v>
      </c>
      <c r="I840" s="50">
        <f>IF(ISNUMBER(H840),IF(COUNTIFS($D$2:D840,D840,$H$2:H840,H840)=1,1,0),"")</f>
        <v>1</v>
      </c>
      <c r="J840" s="50">
        <f>IF(ISNUMBER(H840),IFERROR(INDEX(Calendrier!$C$2:$C$367,MATCH(H840,Calendrier!$A$2:$A$367,0)),0),"")</f>
        <v>1</v>
      </c>
      <c r="K840" s="50">
        <f t="shared" si="69"/>
        <v>1</v>
      </c>
      <c r="L840" s="50">
        <f>IF(D840="","",IF(COUNTIF(Paramètres!$A$11:$A$40,D840)&gt;0,1,0))</f>
        <v>1</v>
      </c>
    </row>
    <row r="841" spans="1:12" hidden="1" x14ac:dyDescent="0.25">
      <c r="A841" s="49"/>
      <c r="B841" s="49" t="s">
        <v>81</v>
      </c>
      <c r="C841" s="49" t="s">
        <v>904</v>
      </c>
      <c r="D841" s="50" t="str">
        <f t="shared" si="65"/>
        <v>Sabrine Neffeti</v>
      </c>
      <c r="E841" s="50" t="str">
        <f t="shared" si="66"/>
        <v>sept</v>
      </c>
      <c r="F841" s="50">
        <f t="shared" si="67"/>
        <v>16</v>
      </c>
      <c r="G841" s="50">
        <f t="shared" si="68"/>
        <v>2026</v>
      </c>
      <c r="H841" s="51">
        <f>IF($C841="","",IFERROR(DATE(G841,VLOOKUP(E841,Paramètres!$K$11:$L$40,2,FALSE()),F841),"?"))</f>
        <v>46281</v>
      </c>
      <c r="I841" s="50">
        <f>IF(ISNUMBER(H841),IF(COUNTIFS($D$2:D841,D841,$H$2:H841,H841)=1,1,0),"")</f>
        <v>1</v>
      </c>
      <c r="J841" s="50">
        <f>IF(ISNUMBER(H841),IFERROR(INDEX(Calendrier!$C$2:$C$367,MATCH(H841,Calendrier!$A$2:$A$367,0)),0),"")</f>
        <v>1</v>
      </c>
      <c r="K841" s="50">
        <f t="shared" si="69"/>
        <v>1</v>
      </c>
      <c r="L841" s="50">
        <f>IF(D841="","",IF(COUNTIF(Paramètres!$A$11:$A$40,D841)&gt;0,1,0))</f>
        <v>1</v>
      </c>
    </row>
    <row r="842" spans="1:12" hidden="1" x14ac:dyDescent="0.25">
      <c r="A842" s="49"/>
      <c r="B842" s="49" t="s">
        <v>81</v>
      </c>
      <c r="C842" s="49" t="s">
        <v>905</v>
      </c>
      <c r="D842" s="50" t="str">
        <f t="shared" si="65"/>
        <v>Sabrine Neffeti</v>
      </c>
      <c r="E842" s="50" t="str">
        <f t="shared" si="66"/>
        <v>sept</v>
      </c>
      <c r="F842" s="50">
        <f t="shared" si="67"/>
        <v>26</v>
      </c>
      <c r="G842" s="50">
        <f t="shared" si="68"/>
        <v>2026</v>
      </c>
      <c r="H842" s="51">
        <f>IF($C842="","",IFERROR(DATE(G842,VLOOKUP(E842,Paramètres!$K$11:$L$40,2,FALSE()),F842),"?"))</f>
        <v>46291</v>
      </c>
      <c r="I842" s="50">
        <f>IF(ISNUMBER(H842),IF(COUNTIFS($D$2:D842,D842,$H$2:H842,H842)=1,1,0),"")</f>
        <v>1</v>
      </c>
      <c r="J842" s="50">
        <f>IF(ISNUMBER(H842),IFERROR(INDEX(Calendrier!$C$2:$C$367,MATCH(H842,Calendrier!$A$2:$A$367,0)),0),"")</f>
        <v>0</v>
      </c>
      <c r="K842" s="50">
        <f t="shared" si="69"/>
        <v>0</v>
      </c>
      <c r="L842" s="50">
        <f>IF(D842="","",IF(COUNTIF(Paramètres!$A$11:$A$40,D842)&gt;0,1,0))</f>
        <v>1</v>
      </c>
    </row>
    <row r="843" spans="1:12" hidden="1" x14ac:dyDescent="0.25">
      <c r="A843" s="49"/>
      <c r="B843" s="49" t="s">
        <v>81</v>
      </c>
      <c r="C843" s="49" t="s">
        <v>906</v>
      </c>
      <c r="D843" s="50" t="str">
        <f t="shared" si="65"/>
        <v>Sabrine Neffeti</v>
      </c>
      <c r="E843" s="50" t="str">
        <f t="shared" si="66"/>
        <v>sept</v>
      </c>
      <c r="F843" s="50">
        <f t="shared" si="67"/>
        <v>28</v>
      </c>
      <c r="G843" s="50">
        <f t="shared" si="68"/>
        <v>2026</v>
      </c>
      <c r="H843" s="51">
        <f>IF($C843="","",IFERROR(DATE(G843,VLOOKUP(E843,Paramètres!$K$11:$L$40,2,FALSE()),F843),"?"))</f>
        <v>46293</v>
      </c>
      <c r="I843" s="50">
        <f>IF(ISNUMBER(H843),IF(COUNTIFS($D$2:D843,D843,$H$2:H843,H843)=1,1,0),"")</f>
        <v>1</v>
      </c>
      <c r="J843" s="50">
        <f>IF(ISNUMBER(H843),IFERROR(INDEX(Calendrier!$C$2:$C$367,MATCH(H843,Calendrier!$A$2:$A$367,0)),0),"")</f>
        <v>1</v>
      </c>
      <c r="K843" s="50">
        <f t="shared" si="69"/>
        <v>1</v>
      </c>
      <c r="L843" s="50">
        <f>IF(D843="","",IF(COUNTIF(Paramètres!$A$11:$A$40,D843)&gt;0,1,0))</f>
        <v>1</v>
      </c>
    </row>
    <row r="844" spans="1:12" hidden="1" x14ac:dyDescent="0.25">
      <c r="A844" s="49"/>
      <c r="B844" s="49" t="s">
        <v>45</v>
      </c>
      <c r="C844" s="49" t="s">
        <v>907</v>
      </c>
      <c r="D844" s="50" t="str">
        <f t="shared" si="65"/>
        <v>Ahlem Moussa</v>
      </c>
      <c r="E844" s="50" t="str">
        <f t="shared" si="66"/>
        <v>sept</v>
      </c>
      <c r="F844" s="50">
        <f t="shared" si="67"/>
        <v>3</v>
      </c>
      <c r="G844" s="50">
        <f t="shared" si="68"/>
        <v>2026</v>
      </c>
      <c r="H844" s="51">
        <f>IF($C844="","",IFERROR(DATE(G844,VLOOKUP(E844,Paramètres!$K$11:$L$40,2,FALSE()),F844),"?"))</f>
        <v>46268</v>
      </c>
      <c r="I844" s="50">
        <f>IF(ISNUMBER(H844),IF(COUNTIFS($D$2:D844,D844,$H$2:H844,H844)=1,1,0),"")</f>
        <v>1</v>
      </c>
      <c r="J844" s="50">
        <f>IF(ISNUMBER(H844),IFERROR(INDEX(Calendrier!$C$2:$C$367,MATCH(H844,Calendrier!$A$2:$A$367,0)),0),"")</f>
        <v>1</v>
      </c>
      <c r="K844" s="50">
        <f t="shared" si="69"/>
        <v>1</v>
      </c>
      <c r="L844" s="50">
        <f>IF(D844="","",IF(COUNTIF(Paramètres!$A$11:$A$40,D844)&gt;0,1,0))</f>
        <v>1</v>
      </c>
    </row>
    <row r="845" spans="1:12" hidden="1" x14ac:dyDescent="0.25">
      <c r="A845" s="49"/>
      <c r="B845" s="49" t="s">
        <v>45</v>
      </c>
      <c r="C845" s="49" t="s">
        <v>908</v>
      </c>
      <c r="D845" s="50" t="str">
        <f t="shared" si="65"/>
        <v>Ahlem Moussa</v>
      </c>
      <c r="E845" s="50" t="str">
        <f t="shared" si="66"/>
        <v>sept</v>
      </c>
      <c r="F845" s="50">
        <f t="shared" si="67"/>
        <v>4</v>
      </c>
      <c r="G845" s="50">
        <f t="shared" si="68"/>
        <v>2026</v>
      </c>
      <c r="H845" s="51">
        <f>IF($C845="","",IFERROR(DATE(G845,VLOOKUP(E845,Paramètres!$K$11:$L$40,2,FALSE()),F845),"?"))</f>
        <v>46269</v>
      </c>
      <c r="I845" s="50">
        <f>IF(ISNUMBER(H845),IF(COUNTIFS($D$2:D845,D845,$H$2:H845,H845)=1,1,0),"")</f>
        <v>1</v>
      </c>
      <c r="J845" s="50">
        <f>IF(ISNUMBER(H845),IFERROR(INDEX(Calendrier!$C$2:$C$367,MATCH(H845,Calendrier!$A$2:$A$367,0)),0),"")</f>
        <v>1</v>
      </c>
      <c r="K845" s="50">
        <f t="shared" si="69"/>
        <v>1</v>
      </c>
      <c r="L845" s="50">
        <f>IF(D845="","",IF(COUNTIF(Paramètres!$A$11:$A$40,D845)&gt;0,1,0))</f>
        <v>1</v>
      </c>
    </row>
    <row r="846" spans="1:12" hidden="1" x14ac:dyDescent="0.25">
      <c r="A846" s="49"/>
      <c r="B846" s="49" t="s">
        <v>45</v>
      </c>
      <c r="C846" s="49" t="s">
        <v>909</v>
      </c>
      <c r="D846" s="50" t="str">
        <f t="shared" si="65"/>
        <v>Ahlem Moussa</v>
      </c>
      <c r="E846" s="50" t="str">
        <f t="shared" si="66"/>
        <v>sept</v>
      </c>
      <c r="F846" s="50">
        <f t="shared" si="67"/>
        <v>4</v>
      </c>
      <c r="G846" s="50">
        <f t="shared" si="68"/>
        <v>2026</v>
      </c>
      <c r="H846" s="51">
        <f>IF($C846="","",IFERROR(DATE(G846,VLOOKUP(E846,Paramètres!$K$11:$L$40,2,FALSE()),F846),"?"))</f>
        <v>46269</v>
      </c>
      <c r="I846" s="50">
        <f>IF(ISNUMBER(H846),IF(COUNTIFS($D$2:D846,D846,$H$2:H846,H846)=1,1,0),"")</f>
        <v>0</v>
      </c>
      <c r="J846" s="50">
        <f>IF(ISNUMBER(H846),IFERROR(INDEX(Calendrier!$C$2:$C$367,MATCH(H846,Calendrier!$A$2:$A$367,0)),0),"")</f>
        <v>1</v>
      </c>
      <c r="K846" s="50">
        <f t="shared" si="69"/>
        <v>0</v>
      </c>
      <c r="L846" s="50">
        <f>IF(D846="","",IF(COUNTIF(Paramètres!$A$11:$A$40,D846)&gt;0,1,0))</f>
        <v>1</v>
      </c>
    </row>
    <row r="847" spans="1:12" hidden="1" x14ac:dyDescent="0.25">
      <c r="A847" s="49"/>
      <c r="B847" s="49" t="s">
        <v>45</v>
      </c>
      <c r="C847" s="49" t="s">
        <v>910</v>
      </c>
      <c r="D847" s="50" t="str">
        <f t="shared" si="65"/>
        <v>Ahlem Moussa</v>
      </c>
      <c r="E847" s="50" t="str">
        <f t="shared" si="66"/>
        <v>sept</v>
      </c>
      <c r="F847" s="50">
        <f t="shared" si="67"/>
        <v>4</v>
      </c>
      <c r="G847" s="50">
        <f t="shared" si="68"/>
        <v>2026</v>
      </c>
      <c r="H847" s="51">
        <f>IF($C847="","",IFERROR(DATE(G847,VLOOKUP(E847,Paramètres!$K$11:$L$40,2,FALSE()),F847),"?"))</f>
        <v>46269</v>
      </c>
      <c r="I847" s="50">
        <f>IF(ISNUMBER(H847),IF(COUNTIFS($D$2:D847,D847,$H$2:H847,H847)=1,1,0),"")</f>
        <v>0</v>
      </c>
      <c r="J847" s="50">
        <f>IF(ISNUMBER(H847),IFERROR(INDEX(Calendrier!$C$2:$C$367,MATCH(H847,Calendrier!$A$2:$A$367,0)),0),"")</f>
        <v>1</v>
      </c>
      <c r="K847" s="50">
        <f t="shared" si="69"/>
        <v>0</v>
      </c>
      <c r="L847" s="50">
        <f>IF(D847="","",IF(COUNTIF(Paramètres!$A$11:$A$40,D847)&gt;0,1,0))</f>
        <v>1</v>
      </c>
    </row>
    <row r="848" spans="1:12" hidden="1" x14ac:dyDescent="0.25">
      <c r="A848" s="49"/>
      <c r="B848" s="49" t="s">
        <v>45</v>
      </c>
      <c r="C848" s="49" t="s">
        <v>911</v>
      </c>
      <c r="D848" s="50" t="str">
        <f t="shared" si="65"/>
        <v>Ahlem Moussa</v>
      </c>
      <c r="E848" s="50" t="str">
        <f t="shared" si="66"/>
        <v>sept</v>
      </c>
      <c r="F848" s="50">
        <f t="shared" si="67"/>
        <v>4</v>
      </c>
      <c r="G848" s="50">
        <f t="shared" si="68"/>
        <v>2026</v>
      </c>
      <c r="H848" s="51">
        <f>IF($C848="","",IFERROR(DATE(G848,VLOOKUP(E848,Paramètres!$K$11:$L$40,2,FALSE()),F848),"?"))</f>
        <v>46269</v>
      </c>
      <c r="I848" s="50">
        <f>IF(ISNUMBER(H848),IF(COUNTIFS($D$2:D848,D848,$H$2:H848,H848)=1,1,0),"")</f>
        <v>0</v>
      </c>
      <c r="J848" s="50">
        <f>IF(ISNUMBER(H848),IFERROR(INDEX(Calendrier!$C$2:$C$367,MATCH(H848,Calendrier!$A$2:$A$367,0)),0),"")</f>
        <v>1</v>
      </c>
      <c r="K848" s="50">
        <f t="shared" si="69"/>
        <v>0</v>
      </c>
      <c r="L848" s="50">
        <f>IF(D848="","",IF(COUNTIF(Paramètres!$A$11:$A$40,D848)&gt;0,1,0))</f>
        <v>1</v>
      </c>
    </row>
    <row r="849" spans="1:12" hidden="1" x14ac:dyDescent="0.25">
      <c r="A849" s="49"/>
      <c r="B849" s="49" t="s">
        <v>45</v>
      </c>
      <c r="C849" s="49" t="s">
        <v>911</v>
      </c>
      <c r="D849" s="50" t="str">
        <f t="shared" si="65"/>
        <v>Ahlem Moussa</v>
      </c>
      <c r="E849" s="50" t="str">
        <f t="shared" si="66"/>
        <v>sept</v>
      </c>
      <c r="F849" s="50">
        <f t="shared" si="67"/>
        <v>4</v>
      </c>
      <c r="G849" s="50">
        <f t="shared" si="68"/>
        <v>2026</v>
      </c>
      <c r="H849" s="51">
        <f>IF($C849="","",IFERROR(DATE(G849,VLOOKUP(E849,Paramètres!$K$11:$L$40,2,FALSE()),F849),"?"))</f>
        <v>46269</v>
      </c>
      <c r="I849" s="50">
        <f>IF(ISNUMBER(H849),IF(COUNTIFS($D$2:D849,D849,$H$2:H849,H849)=1,1,0),"")</f>
        <v>0</v>
      </c>
      <c r="J849" s="50">
        <f>IF(ISNUMBER(H849),IFERROR(INDEX(Calendrier!$C$2:$C$367,MATCH(H849,Calendrier!$A$2:$A$367,0)),0),"")</f>
        <v>1</v>
      </c>
      <c r="K849" s="50">
        <f t="shared" si="69"/>
        <v>0</v>
      </c>
      <c r="L849" s="50">
        <f>IF(D849="","",IF(COUNTIF(Paramètres!$A$11:$A$40,D849)&gt;0,1,0))</f>
        <v>1</v>
      </c>
    </row>
    <row r="850" spans="1:12" hidden="1" x14ac:dyDescent="0.25">
      <c r="A850" s="49"/>
      <c r="B850" s="49" t="s">
        <v>45</v>
      </c>
      <c r="C850" s="49" t="s">
        <v>912</v>
      </c>
      <c r="D850" s="50" t="str">
        <f t="shared" si="65"/>
        <v>Ahlem Moussa</v>
      </c>
      <c r="E850" s="50" t="str">
        <f t="shared" si="66"/>
        <v>sept</v>
      </c>
      <c r="F850" s="50">
        <f t="shared" si="67"/>
        <v>4</v>
      </c>
      <c r="G850" s="50">
        <f t="shared" si="68"/>
        <v>2026</v>
      </c>
      <c r="H850" s="51">
        <f>IF($C850="","",IFERROR(DATE(G850,VLOOKUP(E850,Paramètres!$K$11:$L$40,2,FALSE()),F850),"?"))</f>
        <v>46269</v>
      </c>
      <c r="I850" s="50">
        <f>IF(ISNUMBER(H850),IF(COUNTIFS($D$2:D850,D850,$H$2:H850,H850)=1,1,0),"")</f>
        <v>0</v>
      </c>
      <c r="J850" s="50">
        <f>IF(ISNUMBER(H850),IFERROR(INDEX(Calendrier!$C$2:$C$367,MATCH(H850,Calendrier!$A$2:$A$367,0)),0),"")</f>
        <v>1</v>
      </c>
      <c r="K850" s="50">
        <f t="shared" si="69"/>
        <v>0</v>
      </c>
      <c r="L850" s="50">
        <f>IF(D850="","",IF(COUNTIF(Paramètres!$A$11:$A$40,D850)&gt;0,1,0))</f>
        <v>1</v>
      </c>
    </row>
    <row r="851" spans="1:12" hidden="1" x14ac:dyDescent="0.25">
      <c r="A851" s="49"/>
      <c r="B851" s="49" t="s">
        <v>45</v>
      </c>
      <c r="C851" s="49" t="s">
        <v>913</v>
      </c>
      <c r="D851" s="50" t="str">
        <f t="shared" si="65"/>
        <v>Ahlem Moussa</v>
      </c>
      <c r="E851" s="50" t="str">
        <f t="shared" si="66"/>
        <v>sept</v>
      </c>
      <c r="F851" s="50">
        <f t="shared" si="67"/>
        <v>4</v>
      </c>
      <c r="G851" s="50">
        <f t="shared" si="68"/>
        <v>2026</v>
      </c>
      <c r="H851" s="51">
        <f>IF($C851="","",IFERROR(DATE(G851,VLOOKUP(E851,Paramètres!$K$11:$L$40,2,FALSE()),F851),"?"))</f>
        <v>46269</v>
      </c>
      <c r="I851" s="50">
        <f>IF(ISNUMBER(H851),IF(COUNTIFS($D$2:D851,D851,$H$2:H851,H851)=1,1,0),"")</f>
        <v>0</v>
      </c>
      <c r="J851" s="50">
        <f>IF(ISNUMBER(H851),IFERROR(INDEX(Calendrier!$C$2:$C$367,MATCH(H851,Calendrier!$A$2:$A$367,0)),0),"")</f>
        <v>1</v>
      </c>
      <c r="K851" s="50">
        <f t="shared" si="69"/>
        <v>0</v>
      </c>
      <c r="L851" s="50">
        <f>IF(D851="","",IF(COUNTIF(Paramètres!$A$11:$A$40,D851)&gt;0,1,0))</f>
        <v>1</v>
      </c>
    </row>
    <row r="852" spans="1:12" hidden="1" x14ac:dyDescent="0.25">
      <c r="A852" s="49"/>
      <c r="B852" s="49" t="s">
        <v>45</v>
      </c>
      <c r="C852" s="49" t="s">
        <v>914</v>
      </c>
      <c r="D852" s="50" t="str">
        <f t="shared" si="65"/>
        <v>Ahlem Moussa</v>
      </c>
      <c r="E852" s="50" t="str">
        <f t="shared" si="66"/>
        <v>sept</v>
      </c>
      <c r="F852" s="50">
        <f t="shared" si="67"/>
        <v>8</v>
      </c>
      <c r="G852" s="50">
        <f t="shared" si="68"/>
        <v>2026</v>
      </c>
      <c r="H852" s="51">
        <f>IF($C852="","",IFERROR(DATE(G852,VLOOKUP(E852,Paramètres!$K$11:$L$40,2,FALSE()),F852),"?"))</f>
        <v>46273</v>
      </c>
      <c r="I852" s="50">
        <f>IF(ISNUMBER(H852),IF(COUNTIFS($D$2:D852,D852,$H$2:H852,H852)=1,1,0),"")</f>
        <v>1</v>
      </c>
      <c r="J852" s="50">
        <f>IF(ISNUMBER(H852),IFERROR(INDEX(Calendrier!$C$2:$C$367,MATCH(H852,Calendrier!$A$2:$A$367,0)),0),"")</f>
        <v>1</v>
      </c>
      <c r="K852" s="50">
        <f t="shared" si="69"/>
        <v>1</v>
      </c>
      <c r="L852" s="50">
        <f>IF(D852="","",IF(COUNTIF(Paramètres!$A$11:$A$40,D852)&gt;0,1,0))</f>
        <v>1</v>
      </c>
    </row>
    <row r="853" spans="1:12" hidden="1" x14ac:dyDescent="0.25">
      <c r="A853" s="49"/>
      <c r="B853" s="49" t="s">
        <v>45</v>
      </c>
      <c r="C853" s="49" t="s">
        <v>914</v>
      </c>
      <c r="D853" s="50" t="str">
        <f t="shared" si="65"/>
        <v>Ahlem Moussa</v>
      </c>
      <c r="E853" s="50" t="str">
        <f t="shared" si="66"/>
        <v>sept</v>
      </c>
      <c r="F853" s="50">
        <f t="shared" si="67"/>
        <v>8</v>
      </c>
      <c r="G853" s="50">
        <f t="shared" si="68"/>
        <v>2026</v>
      </c>
      <c r="H853" s="51">
        <f>IF($C853="","",IFERROR(DATE(G853,VLOOKUP(E853,Paramètres!$K$11:$L$40,2,FALSE()),F853),"?"))</f>
        <v>46273</v>
      </c>
      <c r="I853" s="50">
        <f>IF(ISNUMBER(H853),IF(COUNTIFS($D$2:D853,D853,$H$2:H853,H853)=1,1,0),"")</f>
        <v>0</v>
      </c>
      <c r="J853" s="50">
        <f>IF(ISNUMBER(H853),IFERROR(INDEX(Calendrier!$C$2:$C$367,MATCH(H853,Calendrier!$A$2:$A$367,0)),0),"")</f>
        <v>1</v>
      </c>
      <c r="K853" s="50">
        <f t="shared" si="69"/>
        <v>0</v>
      </c>
      <c r="L853" s="50">
        <f>IF(D853="","",IF(COUNTIF(Paramètres!$A$11:$A$40,D853)&gt;0,1,0))</f>
        <v>1</v>
      </c>
    </row>
    <row r="854" spans="1:12" hidden="1" x14ac:dyDescent="0.25">
      <c r="A854" s="49"/>
      <c r="B854" s="49" t="s">
        <v>45</v>
      </c>
      <c r="C854" s="49" t="s">
        <v>915</v>
      </c>
      <c r="D854" s="50" t="str">
        <f t="shared" si="65"/>
        <v>Ahlem Moussa</v>
      </c>
      <c r="E854" s="50" t="str">
        <f t="shared" si="66"/>
        <v>sept</v>
      </c>
      <c r="F854" s="50">
        <f t="shared" si="67"/>
        <v>9</v>
      </c>
      <c r="G854" s="50">
        <f t="shared" si="68"/>
        <v>2026</v>
      </c>
      <c r="H854" s="51">
        <f>IF($C854="","",IFERROR(DATE(G854,VLOOKUP(E854,Paramètres!$K$11:$L$40,2,FALSE()),F854),"?"))</f>
        <v>46274</v>
      </c>
      <c r="I854" s="50">
        <f>IF(ISNUMBER(H854),IF(COUNTIFS($D$2:D854,D854,$H$2:H854,H854)=1,1,0),"")</f>
        <v>1</v>
      </c>
      <c r="J854" s="50">
        <f>IF(ISNUMBER(H854),IFERROR(INDEX(Calendrier!$C$2:$C$367,MATCH(H854,Calendrier!$A$2:$A$367,0)),0),"")</f>
        <v>1</v>
      </c>
      <c r="K854" s="50">
        <f t="shared" si="69"/>
        <v>1</v>
      </c>
      <c r="L854" s="50">
        <f>IF(D854="","",IF(COUNTIF(Paramètres!$A$11:$A$40,D854)&gt;0,1,0))</f>
        <v>1</v>
      </c>
    </row>
    <row r="855" spans="1:12" hidden="1" x14ac:dyDescent="0.25">
      <c r="A855" s="49"/>
      <c r="B855" s="49" t="s">
        <v>45</v>
      </c>
      <c r="C855" s="49" t="s">
        <v>916</v>
      </c>
      <c r="D855" s="50" t="str">
        <f t="shared" si="65"/>
        <v>Ahlem Moussa</v>
      </c>
      <c r="E855" s="50" t="str">
        <f t="shared" si="66"/>
        <v>sept</v>
      </c>
      <c r="F855" s="50">
        <f t="shared" si="67"/>
        <v>9</v>
      </c>
      <c r="G855" s="50">
        <f t="shared" si="68"/>
        <v>2026</v>
      </c>
      <c r="H855" s="51">
        <f>IF($C855="","",IFERROR(DATE(G855,VLOOKUP(E855,Paramètres!$K$11:$L$40,2,FALSE()),F855),"?"))</f>
        <v>46274</v>
      </c>
      <c r="I855" s="50">
        <f>IF(ISNUMBER(H855),IF(COUNTIFS($D$2:D855,D855,$H$2:H855,H855)=1,1,0),"")</f>
        <v>0</v>
      </c>
      <c r="J855" s="50">
        <f>IF(ISNUMBER(H855),IFERROR(INDEX(Calendrier!$C$2:$C$367,MATCH(H855,Calendrier!$A$2:$A$367,0)),0),"")</f>
        <v>1</v>
      </c>
      <c r="K855" s="50">
        <f t="shared" si="69"/>
        <v>0</v>
      </c>
      <c r="L855" s="50">
        <f>IF(D855="","",IF(COUNTIF(Paramètres!$A$11:$A$40,D855)&gt;0,1,0))</f>
        <v>1</v>
      </c>
    </row>
    <row r="856" spans="1:12" hidden="1" x14ac:dyDescent="0.25">
      <c r="A856" s="49"/>
      <c r="B856" s="49" t="s">
        <v>45</v>
      </c>
      <c r="C856" s="49" t="s">
        <v>917</v>
      </c>
      <c r="D856" s="50" t="str">
        <f t="shared" si="65"/>
        <v>Ahlem Moussa</v>
      </c>
      <c r="E856" s="50" t="str">
        <f t="shared" si="66"/>
        <v>sept</v>
      </c>
      <c r="F856" s="50">
        <f t="shared" si="67"/>
        <v>9</v>
      </c>
      <c r="G856" s="50">
        <f t="shared" si="68"/>
        <v>2026</v>
      </c>
      <c r="H856" s="51">
        <f>IF($C856="","",IFERROR(DATE(G856,VLOOKUP(E856,Paramètres!$K$11:$L$40,2,FALSE()),F856),"?"))</f>
        <v>46274</v>
      </c>
      <c r="I856" s="50">
        <f>IF(ISNUMBER(H856),IF(COUNTIFS($D$2:D856,D856,$H$2:H856,H856)=1,1,0),"")</f>
        <v>0</v>
      </c>
      <c r="J856" s="50">
        <f>IF(ISNUMBER(H856),IFERROR(INDEX(Calendrier!$C$2:$C$367,MATCH(H856,Calendrier!$A$2:$A$367,0)),0),"")</f>
        <v>1</v>
      </c>
      <c r="K856" s="50">
        <f t="shared" si="69"/>
        <v>0</v>
      </c>
      <c r="L856" s="50">
        <f>IF(D856="","",IF(COUNTIF(Paramètres!$A$11:$A$40,D856)&gt;0,1,0))</f>
        <v>1</v>
      </c>
    </row>
    <row r="857" spans="1:12" hidden="1" x14ac:dyDescent="0.25">
      <c r="A857" s="49"/>
      <c r="B857" s="49" t="s">
        <v>45</v>
      </c>
      <c r="C857" s="49" t="s">
        <v>918</v>
      </c>
      <c r="D857" s="50" t="str">
        <f t="shared" si="65"/>
        <v>Ahlem Moussa</v>
      </c>
      <c r="E857" s="50" t="str">
        <f t="shared" si="66"/>
        <v>sept</v>
      </c>
      <c r="F857" s="50">
        <f t="shared" si="67"/>
        <v>10</v>
      </c>
      <c r="G857" s="50">
        <f t="shared" si="68"/>
        <v>2026</v>
      </c>
      <c r="H857" s="51">
        <f>IF($C857="","",IFERROR(DATE(G857,VLOOKUP(E857,Paramètres!$K$11:$L$40,2,FALSE()),F857),"?"))</f>
        <v>46275</v>
      </c>
      <c r="I857" s="50">
        <f>IF(ISNUMBER(H857),IF(COUNTIFS($D$2:D857,D857,$H$2:H857,H857)=1,1,0),"")</f>
        <v>1</v>
      </c>
      <c r="J857" s="50">
        <f>IF(ISNUMBER(H857),IFERROR(INDEX(Calendrier!$C$2:$C$367,MATCH(H857,Calendrier!$A$2:$A$367,0)),0),"")</f>
        <v>1</v>
      </c>
      <c r="K857" s="50">
        <f t="shared" si="69"/>
        <v>1</v>
      </c>
      <c r="L857" s="50">
        <f>IF(D857="","",IF(COUNTIF(Paramètres!$A$11:$A$40,D857)&gt;0,1,0))</f>
        <v>1</v>
      </c>
    </row>
    <row r="858" spans="1:12" hidden="1" x14ac:dyDescent="0.25">
      <c r="A858" s="49"/>
      <c r="B858" s="49" t="s">
        <v>45</v>
      </c>
      <c r="C858" s="49" t="s">
        <v>919</v>
      </c>
      <c r="D858" s="50" t="str">
        <f t="shared" si="65"/>
        <v>Ahlem Moussa</v>
      </c>
      <c r="E858" s="50" t="str">
        <f t="shared" si="66"/>
        <v>sept</v>
      </c>
      <c r="F858" s="50">
        <f t="shared" si="67"/>
        <v>10</v>
      </c>
      <c r="G858" s="50">
        <f t="shared" si="68"/>
        <v>2026</v>
      </c>
      <c r="H858" s="51">
        <f>IF($C858="","",IFERROR(DATE(G858,VLOOKUP(E858,Paramètres!$K$11:$L$40,2,FALSE()),F858),"?"))</f>
        <v>46275</v>
      </c>
      <c r="I858" s="50">
        <f>IF(ISNUMBER(H858),IF(COUNTIFS($D$2:D858,D858,$H$2:H858,H858)=1,1,0),"")</f>
        <v>0</v>
      </c>
      <c r="J858" s="50">
        <f>IF(ISNUMBER(H858),IFERROR(INDEX(Calendrier!$C$2:$C$367,MATCH(H858,Calendrier!$A$2:$A$367,0)),0),"")</f>
        <v>1</v>
      </c>
      <c r="K858" s="50">
        <f t="shared" si="69"/>
        <v>0</v>
      </c>
      <c r="L858" s="50">
        <f>IF(D858="","",IF(COUNTIF(Paramètres!$A$11:$A$40,D858)&gt;0,1,0))</f>
        <v>1</v>
      </c>
    </row>
    <row r="859" spans="1:12" hidden="1" x14ac:dyDescent="0.25">
      <c r="A859" s="49"/>
      <c r="B859" s="49" t="s">
        <v>45</v>
      </c>
      <c r="C859" s="49" t="s">
        <v>920</v>
      </c>
      <c r="D859" s="50" t="str">
        <f t="shared" si="65"/>
        <v>Ahlem Moussa</v>
      </c>
      <c r="E859" s="50" t="str">
        <f t="shared" si="66"/>
        <v>sept</v>
      </c>
      <c r="F859" s="50">
        <f t="shared" si="67"/>
        <v>10</v>
      </c>
      <c r="G859" s="50">
        <f t="shared" si="68"/>
        <v>2026</v>
      </c>
      <c r="H859" s="51">
        <f>IF($C859="","",IFERROR(DATE(G859,VLOOKUP(E859,Paramètres!$K$11:$L$40,2,FALSE()),F859),"?"))</f>
        <v>46275</v>
      </c>
      <c r="I859" s="50">
        <f>IF(ISNUMBER(H859),IF(COUNTIFS($D$2:D859,D859,$H$2:H859,H859)=1,1,0),"")</f>
        <v>0</v>
      </c>
      <c r="J859" s="50">
        <f>IF(ISNUMBER(H859),IFERROR(INDEX(Calendrier!$C$2:$C$367,MATCH(H859,Calendrier!$A$2:$A$367,0)),0),"")</f>
        <v>1</v>
      </c>
      <c r="K859" s="50">
        <f t="shared" si="69"/>
        <v>0</v>
      </c>
      <c r="L859" s="50">
        <f>IF(D859="","",IF(COUNTIF(Paramètres!$A$11:$A$40,D859)&gt;0,1,0))</f>
        <v>1</v>
      </c>
    </row>
    <row r="860" spans="1:12" hidden="1" x14ac:dyDescent="0.25">
      <c r="A860" s="49"/>
      <c r="B860" s="49" t="s">
        <v>45</v>
      </c>
      <c r="C860" s="49" t="s">
        <v>920</v>
      </c>
      <c r="D860" s="50" t="str">
        <f t="shared" si="65"/>
        <v>Ahlem Moussa</v>
      </c>
      <c r="E860" s="50" t="str">
        <f t="shared" si="66"/>
        <v>sept</v>
      </c>
      <c r="F860" s="50">
        <f t="shared" si="67"/>
        <v>10</v>
      </c>
      <c r="G860" s="50">
        <f t="shared" si="68"/>
        <v>2026</v>
      </c>
      <c r="H860" s="51">
        <f>IF($C860="","",IFERROR(DATE(G860,VLOOKUP(E860,Paramètres!$K$11:$L$40,2,FALSE()),F860),"?"))</f>
        <v>46275</v>
      </c>
      <c r="I860" s="50">
        <f>IF(ISNUMBER(H860),IF(COUNTIFS($D$2:D860,D860,$H$2:H860,H860)=1,1,0),"")</f>
        <v>0</v>
      </c>
      <c r="J860" s="50">
        <f>IF(ISNUMBER(H860),IFERROR(INDEX(Calendrier!$C$2:$C$367,MATCH(H860,Calendrier!$A$2:$A$367,0)),0),"")</f>
        <v>1</v>
      </c>
      <c r="K860" s="50">
        <f t="shared" si="69"/>
        <v>0</v>
      </c>
      <c r="L860" s="50">
        <f>IF(D860="","",IF(COUNTIF(Paramètres!$A$11:$A$40,D860)&gt;0,1,0))</f>
        <v>1</v>
      </c>
    </row>
    <row r="861" spans="1:12" hidden="1" x14ac:dyDescent="0.25">
      <c r="A861" s="49"/>
      <c r="B861" s="49" t="s">
        <v>45</v>
      </c>
      <c r="C861" s="49" t="s">
        <v>921</v>
      </c>
      <c r="D861" s="50" t="str">
        <f t="shared" si="65"/>
        <v>Ahlem Moussa</v>
      </c>
      <c r="E861" s="50" t="str">
        <f t="shared" si="66"/>
        <v>sept</v>
      </c>
      <c r="F861" s="50">
        <f t="shared" si="67"/>
        <v>11</v>
      </c>
      <c r="G861" s="50">
        <f t="shared" si="68"/>
        <v>2026</v>
      </c>
      <c r="H861" s="51">
        <f>IF($C861="","",IFERROR(DATE(G861,VLOOKUP(E861,Paramètres!$K$11:$L$40,2,FALSE()),F861),"?"))</f>
        <v>46276</v>
      </c>
      <c r="I861" s="50">
        <f>IF(ISNUMBER(H861),IF(COUNTIFS($D$2:D861,D861,$H$2:H861,H861)=1,1,0),"")</f>
        <v>1</v>
      </c>
      <c r="J861" s="50">
        <f>IF(ISNUMBER(H861),IFERROR(INDEX(Calendrier!$C$2:$C$367,MATCH(H861,Calendrier!$A$2:$A$367,0)),0),"")</f>
        <v>1</v>
      </c>
      <c r="K861" s="50">
        <f t="shared" si="69"/>
        <v>1</v>
      </c>
      <c r="L861" s="50">
        <f>IF(D861="","",IF(COUNTIF(Paramètres!$A$11:$A$40,D861)&gt;0,1,0))</f>
        <v>1</v>
      </c>
    </row>
    <row r="862" spans="1:12" hidden="1" x14ac:dyDescent="0.25">
      <c r="A862" s="49"/>
      <c r="B862" s="49" t="s">
        <v>45</v>
      </c>
      <c r="C862" s="49" t="s">
        <v>922</v>
      </c>
      <c r="D862" s="50" t="str">
        <f t="shared" si="65"/>
        <v>Ahlem Moussa</v>
      </c>
      <c r="E862" s="50" t="str">
        <f t="shared" si="66"/>
        <v>sept</v>
      </c>
      <c r="F862" s="50">
        <f t="shared" si="67"/>
        <v>14</v>
      </c>
      <c r="G862" s="50">
        <f t="shared" si="68"/>
        <v>2026</v>
      </c>
      <c r="H862" s="51">
        <f>IF($C862="","",IFERROR(DATE(G862,VLOOKUP(E862,Paramètres!$K$11:$L$40,2,FALSE()),F862),"?"))</f>
        <v>46279</v>
      </c>
      <c r="I862" s="50">
        <f>IF(ISNUMBER(H862),IF(COUNTIFS($D$2:D862,D862,$H$2:H862,H862)=1,1,0),"")</f>
        <v>1</v>
      </c>
      <c r="J862" s="50">
        <f>IF(ISNUMBER(H862),IFERROR(INDEX(Calendrier!$C$2:$C$367,MATCH(H862,Calendrier!$A$2:$A$367,0)),0),"")</f>
        <v>1</v>
      </c>
      <c r="K862" s="50">
        <f t="shared" si="69"/>
        <v>1</v>
      </c>
      <c r="L862" s="50">
        <f>IF(D862="","",IF(COUNTIF(Paramètres!$A$11:$A$40,D862)&gt;0,1,0))</f>
        <v>1</v>
      </c>
    </row>
    <row r="863" spans="1:12" hidden="1" x14ac:dyDescent="0.25">
      <c r="A863" s="49"/>
      <c r="B863" s="49" t="s">
        <v>45</v>
      </c>
      <c r="C863" s="49" t="s">
        <v>923</v>
      </c>
      <c r="D863" s="50" t="str">
        <f t="shared" si="65"/>
        <v>Ahlem Moussa</v>
      </c>
      <c r="E863" s="50" t="str">
        <f t="shared" si="66"/>
        <v>sept</v>
      </c>
      <c r="F863" s="50">
        <f t="shared" si="67"/>
        <v>15</v>
      </c>
      <c r="G863" s="50">
        <f t="shared" si="68"/>
        <v>2026</v>
      </c>
      <c r="H863" s="51">
        <f>IF($C863="","",IFERROR(DATE(G863,VLOOKUP(E863,Paramètres!$K$11:$L$40,2,FALSE()),F863),"?"))</f>
        <v>46280</v>
      </c>
      <c r="I863" s="50">
        <f>IF(ISNUMBER(H863),IF(COUNTIFS($D$2:D863,D863,$H$2:H863,H863)=1,1,0),"")</f>
        <v>1</v>
      </c>
      <c r="J863" s="50">
        <f>IF(ISNUMBER(H863),IFERROR(INDEX(Calendrier!$C$2:$C$367,MATCH(H863,Calendrier!$A$2:$A$367,0)),0),"")</f>
        <v>1</v>
      </c>
      <c r="K863" s="50">
        <f t="shared" si="69"/>
        <v>1</v>
      </c>
      <c r="L863" s="50">
        <f>IF(D863="","",IF(COUNTIF(Paramètres!$A$11:$A$40,D863)&gt;0,1,0))</f>
        <v>1</v>
      </c>
    </row>
    <row r="864" spans="1:12" hidden="1" x14ac:dyDescent="0.25">
      <c r="A864" s="49"/>
      <c r="B864" s="49" t="s">
        <v>45</v>
      </c>
      <c r="C864" s="49" t="s">
        <v>924</v>
      </c>
      <c r="D864" s="50" t="str">
        <f t="shared" si="65"/>
        <v>Ahlem Moussa</v>
      </c>
      <c r="E864" s="50" t="str">
        <f t="shared" si="66"/>
        <v>sept</v>
      </c>
      <c r="F864" s="50">
        <f t="shared" si="67"/>
        <v>16</v>
      </c>
      <c r="G864" s="50">
        <f t="shared" si="68"/>
        <v>2026</v>
      </c>
      <c r="H864" s="51">
        <f>IF($C864="","",IFERROR(DATE(G864,VLOOKUP(E864,Paramètres!$K$11:$L$40,2,FALSE()),F864),"?"))</f>
        <v>46281</v>
      </c>
      <c r="I864" s="50">
        <f>IF(ISNUMBER(H864),IF(COUNTIFS($D$2:D864,D864,$H$2:H864,H864)=1,1,0),"")</f>
        <v>1</v>
      </c>
      <c r="J864" s="50">
        <f>IF(ISNUMBER(H864),IFERROR(INDEX(Calendrier!$C$2:$C$367,MATCH(H864,Calendrier!$A$2:$A$367,0)),0),"")</f>
        <v>1</v>
      </c>
      <c r="K864" s="50">
        <f t="shared" si="69"/>
        <v>1</v>
      </c>
      <c r="L864" s="50">
        <f>IF(D864="","",IF(COUNTIF(Paramètres!$A$11:$A$40,D864)&gt;0,1,0))</f>
        <v>1</v>
      </c>
    </row>
    <row r="865" spans="1:12" hidden="1" x14ac:dyDescent="0.25">
      <c r="A865" s="49"/>
      <c r="B865" s="49" t="s">
        <v>45</v>
      </c>
      <c r="C865" s="49" t="s">
        <v>925</v>
      </c>
      <c r="D865" s="50" t="str">
        <f t="shared" si="65"/>
        <v>Ahlem Moussa</v>
      </c>
      <c r="E865" s="50" t="str">
        <f t="shared" si="66"/>
        <v>sept</v>
      </c>
      <c r="F865" s="50">
        <f t="shared" si="67"/>
        <v>16</v>
      </c>
      <c r="G865" s="50">
        <f t="shared" si="68"/>
        <v>2026</v>
      </c>
      <c r="H865" s="51">
        <f>IF($C865="","",IFERROR(DATE(G865,VLOOKUP(E865,Paramètres!$K$11:$L$40,2,FALSE()),F865),"?"))</f>
        <v>46281</v>
      </c>
      <c r="I865" s="50">
        <f>IF(ISNUMBER(H865),IF(COUNTIFS($D$2:D865,D865,$H$2:H865,H865)=1,1,0),"")</f>
        <v>0</v>
      </c>
      <c r="J865" s="50">
        <f>IF(ISNUMBER(H865),IFERROR(INDEX(Calendrier!$C$2:$C$367,MATCH(H865,Calendrier!$A$2:$A$367,0)),0),"")</f>
        <v>1</v>
      </c>
      <c r="K865" s="50">
        <f t="shared" si="69"/>
        <v>0</v>
      </c>
      <c r="L865" s="50">
        <f>IF(D865="","",IF(COUNTIF(Paramètres!$A$11:$A$40,D865)&gt;0,1,0))</f>
        <v>1</v>
      </c>
    </row>
    <row r="866" spans="1:12" hidden="1" x14ac:dyDescent="0.25">
      <c r="A866" s="49"/>
      <c r="B866" s="49" t="s">
        <v>45</v>
      </c>
      <c r="C866" s="49" t="s">
        <v>926</v>
      </c>
      <c r="D866" s="50" t="str">
        <f t="shared" si="65"/>
        <v>Ahlem Moussa</v>
      </c>
      <c r="E866" s="50" t="str">
        <f t="shared" si="66"/>
        <v>sept</v>
      </c>
      <c r="F866" s="50">
        <f t="shared" si="67"/>
        <v>16</v>
      </c>
      <c r="G866" s="50">
        <f t="shared" si="68"/>
        <v>2026</v>
      </c>
      <c r="H866" s="51">
        <f>IF($C866="","",IFERROR(DATE(G866,VLOOKUP(E866,Paramètres!$K$11:$L$40,2,FALSE()),F866),"?"))</f>
        <v>46281</v>
      </c>
      <c r="I866" s="50">
        <f>IF(ISNUMBER(H866),IF(COUNTIFS($D$2:D866,D866,$H$2:H866,H866)=1,1,0),"")</f>
        <v>0</v>
      </c>
      <c r="J866" s="50">
        <f>IF(ISNUMBER(H866),IFERROR(INDEX(Calendrier!$C$2:$C$367,MATCH(H866,Calendrier!$A$2:$A$367,0)),0),"")</f>
        <v>1</v>
      </c>
      <c r="K866" s="50">
        <f t="shared" si="69"/>
        <v>0</v>
      </c>
      <c r="L866" s="50">
        <f>IF(D866="","",IF(COUNTIF(Paramètres!$A$11:$A$40,D866)&gt;0,1,0))</f>
        <v>1</v>
      </c>
    </row>
    <row r="867" spans="1:12" hidden="1" x14ac:dyDescent="0.25">
      <c r="A867" s="49"/>
      <c r="B867" s="49" t="s">
        <v>45</v>
      </c>
      <c r="C867" s="49" t="s">
        <v>927</v>
      </c>
      <c r="D867" s="50" t="str">
        <f t="shared" si="65"/>
        <v>Ahlem Moussa</v>
      </c>
      <c r="E867" s="50" t="str">
        <f t="shared" si="66"/>
        <v>sept</v>
      </c>
      <c r="F867" s="50">
        <f t="shared" si="67"/>
        <v>18</v>
      </c>
      <c r="G867" s="50">
        <f t="shared" si="68"/>
        <v>2026</v>
      </c>
      <c r="H867" s="51">
        <f>IF($C867="","",IFERROR(DATE(G867,VLOOKUP(E867,Paramètres!$K$11:$L$40,2,FALSE()),F867),"?"))</f>
        <v>46283</v>
      </c>
      <c r="I867" s="50">
        <f>IF(ISNUMBER(H867),IF(COUNTIFS($D$2:D867,D867,$H$2:H867,H867)=1,1,0),"")</f>
        <v>1</v>
      </c>
      <c r="J867" s="50">
        <f>IF(ISNUMBER(H867),IFERROR(INDEX(Calendrier!$C$2:$C$367,MATCH(H867,Calendrier!$A$2:$A$367,0)),0),"")</f>
        <v>1</v>
      </c>
      <c r="K867" s="50">
        <f t="shared" si="69"/>
        <v>1</v>
      </c>
      <c r="L867" s="50">
        <f>IF(D867="","",IF(COUNTIF(Paramètres!$A$11:$A$40,D867)&gt;0,1,0))</f>
        <v>1</v>
      </c>
    </row>
    <row r="868" spans="1:12" hidden="1" x14ac:dyDescent="0.25">
      <c r="A868" s="49"/>
      <c r="B868" s="49" t="s">
        <v>45</v>
      </c>
      <c r="C868" s="49" t="s">
        <v>928</v>
      </c>
      <c r="D868" s="50" t="str">
        <f t="shared" si="65"/>
        <v>Ahlem Moussa</v>
      </c>
      <c r="E868" s="50" t="str">
        <f t="shared" si="66"/>
        <v>sept</v>
      </c>
      <c r="F868" s="50">
        <f t="shared" si="67"/>
        <v>22</v>
      </c>
      <c r="G868" s="50">
        <f t="shared" si="68"/>
        <v>2026</v>
      </c>
      <c r="H868" s="51">
        <f>IF($C868="","",IFERROR(DATE(G868,VLOOKUP(E868,Paramètres!$K$11:$L$40,2,FALSE()),F868),"?"))</f>
        <v>46287</v>
      </c>
      <c r="I868" s="50">
        <f>IF(ISNUMBER(H868),IF(COUNTIFS($D$2:D868,D868,$H$2:H868,H868)=1,1,0),"")</f>
        <v>1</v>
      </c>
      <c r="J868" s="50">
        <f>IF(ISNUMBER(H868),IFERROR(INDEX(Calendrier!$C$2:$C$367,MATCH(H868,Calendrier!$A$2:$A$367,0)),0),"")</f>
        <v>1</v>
      </c>
      <c r="K868" s="50">
        <f t="shared" si="69"/>
        <v>1</v>
      </c>
      <c r="L868" s="50">
        <f>IF(D868="","",IF(COUNTIF(Paramètres!$A$11:$A$40,D868)&gt;0,1,0))</f>
        <v>1</v>
      </c>
    </row>
    <row r="869" spans="1:12" hidden="1" x14ac:dyDescent="0.25">
      <c r="A869" s="49"/>
      <c r="B869" s="49" t="s">
        <v>45</v>
      </c>
      <c r="C869" s="49" t="s">
        <v>929</v>
      </c>
      <c r="D869" s="50" t="str">
        <f t="shared" si="65"/>
        <v>Ahlem Moussa</v>
      </c>
      <c r="E869" s="50" t="str">
        <f t="shared" si="66"/>
        <v>sept</v>
      </c>
      <c r="F869" s="50">
        <f t="shared" si="67"/>
        <v>24</v>
      </c>
      <c r="G869" s="50">
        <f t="shared" si="68"/>
        <v>2026</v>
      </c>
      <c r="H869" s="51">
        <f>IF($C869="","",IFERROR(DATE(G869,VLOOKUP(E869,Paramètres!$K$11:$L$40,2,FALSE()),F869),"?"))</f>
        <v>46289</v>
      </c>
      <c r="I869" s="50">
        <f>IF(ISNUMBER(H869),IF(COUNTIFS($D$2:D869,D869,$H$2:H869,H869)=1,1,0),"")</f>
        <v>1</v>
      </c>
      <c r="J869" s="50">
        <f>IF(ISNUMBER(H869),IFERROR(INDEX(Calendrier!$C$2:$C$367,MATCH(H869,Calendrier!$A$2:$A$367,0)),0),"")</f>
        <v>1</v>
      </c>
      <c r="K869" s="50">
        <f t="shared" si="69"/>
        <v>1</v>
      </c>
      <c r="L869" s="50">
        <f>IF(D869="","",IF(COUNTIF(Paramètres!$A$11:$A$40,D869)&gt;0,1,0))</f>
        <v>1</v>
      </c>
    </row>
    <row r="870" spans="1:12" hidden="1" x14ac:dyDescent="0.25">
      <c r="A870" s="49"/>
      <c r="B870" s="49" t="s">
        <v>45</v>
      </c>
      <c r="C870" s="49" t="s">
        <v>930</v>
      </c>
      <c r="D870" s="50" t="str">
        <f t="shared" si="65"/>
        <v>Ahlem Moussa</v>
      </c>
      <c r="E870" s="50" t="str">
        <f t="shared" si="66"/>
        <v>sept</v>
      </c>
      <c r="F870" s="50">
        <f t="shared" si="67"/>
        <v>28</v>
      </c>
      <c r="G870" s="50">
        <f t="shared" si="68"/>
        <v>2026</v>
      </c>
      <c r="H870" s="51">
        <f>IF($C870="","",IFERROR(DATE(G870,VLOOKUP(E870,Paramètres!$K$11:$L$40,2,FALSE()),F870),"?"))</f>
        <v>46293</v>
      </c>
      <c r="I870" s="50">
        <f>IF(ISNUMBER(H870),IF(COUNTIFS($D$2:D870,D870,$H$2:H870,H870)=1,1,0),"")</f>
        <v>1</v>
      </c>
      <c r="J870" s="50">
        <f>IF(ISNUMBER(H870),IFERROR(INDEX(Calendrier!$C$2:$C$367,MATCH(H870,Calendrier!$A$2:$A$367,0)),0),"")</f>
        <v>1</v>
      </c>
      <c r="K870" s="50">
        <f t="shared" si="69"/>
        <v>1</v>
      </c>
      <c r="L870" s="50">
        <f>IF(D870="","",IF(COUNTIF(Paramètres!$A$11:$A$40,D870)&gt;0,1,0))</f>
        <v>1</v>
      </c>
    </row>
    <row r="871" spans="1:12" hidden="1" x14ac:dyDescent="0.25">
      <c r="A871" s="49"/>
      <c r="B871" s="49" t="s">
        <v>71</v>
      </c>
      <c r="C871" s="49" t="s">
        <v>931</v>
      </c>
      <c r="D871" s="50" t="str">
        <f t="shared" si="65"/>
        <v>Mohamed Sniha</v>
      </c>
      <c r="E871" s="50" t="str">
        <f t="shared" si="66"/>
        <v>sept</v>
      </c>
      <c r="F871" s="50">
        <f t="shared" si="67"/>
        <v>11</v>
      </c>
      <c r="G871" s="50">
        <f t="shared" si="68"/>
        <v>2026</v>
      </c>
      <c r="H871" s="51">
        <f>IF($C871="","",IFERROR(DATE(G871,VLOOKUP(E871,Paramètres!$K$11:$L$40,2,FALSE()),F871),"?"))</f>
        <v>46276</v>
      </c>
      <c r="I871" s="50">
        <f>IF(ISNUMBER(H871),IF(COUNTIFS($D$2:D871,D871,$H$2:H871,H871)=1,1,0),"")</f>
        <v>1</v>
      </c>
      <c r="J871" s="50">
        <f>IF(ISNUMBER(H871),IFERROR(INDEX(Calendrier!$C$2:$C$367,MATCH(H871,Calendrier!$A$2:$A$367,0)),0),"")</f>
        <v>1</v>
      </c>
      <c r="K871" s="50">
        <f t="shared" si="69"/>
        <v>1</v>
      </c>
      <c r="L871" s="50">
        <f>IF(D871="","",IF(COUNTIF(Paramètres!$A$11:$A$40,D871)&gt;0,1,0))</f>
        <v>1</v>
      </c>
    </row>
    <row r="872" spans="1:12" hidden="1" x14ac:dyDescent="0.25">
      <c r="A872" s="49"/>
      <c r="B872" s="49" t="s">
        <v>73</v>
      </c>
      <c r="C872" s="49" t="s">
        <v>932</v>
      </c>
      <c r="D872" s="50" t="str">
        <f t="shared" si="65"/>
        <v>Mourad Ayari</v>
      </c>
      <c r="E872" s="50" t="str">
        <f t="shared" si="66"/>
        <v>sept</v>
      </c>
      <c r="F872" s="50">
        <f t="shared" si="67"/>
        <v>1</v>
      </c>
      <c r="G872" s="50">
        <f t="shared" si="68"/>
        <v>2026</v>
      </c>
      <c r="H872" s="51">
        <f>IF($C872="","",IFERROR(DATE(G872,VLOOKUP(E872,Paramètres!$K$11:$L$40,2,FALSE()),F872),"?"))</f>
        <v>46266</v>
      </c>
      <c r="I872" s="50">
        <f>IF(ISNUMBER(H872),IF(COUNTIFS($D$2:D872,D872,$H$2:H872,H872)=1,1,0),"")</f>
        <v>1</v>
      </c>
      <c r="J872" s="50">
        <f>IF(ISNUMBER(H872),IFERROR(INDEX(Calendrier!$C$2:$C$367,MATCH(H872,Calendrier!$A$2:$A$367,0)),0),"")</f>
        <v>1</v>
      </c>
      <c r="K872" s="50">
        <f t="shared" si="69"/>
        <v>1</v>
      </c>
      <c r="L872" s="50">
        <f>IF(D872="","",IF(COUNTIF(Paramètres!$A$11:$A$40,D872)&gt;0,1,0))</f>
        <v>1</v>
      </c>
    </row>
    <row r="873" spans="1:12" hidden="1" x14ac:dyDescent="0.25">
      <c r="A873" s="49"/>
      <c r="B873" s="49" t="s">
        <v>73</v>
      </c>
      <c r="C873" s="49" t="s">
        <v>933</v>
      </c>
      <c r="D873" s="50" t="str">
        <f t="shared" si="65"/>
        <v>Mourad Ayari</v>
      </c>
      <c r="E873" s="50" t="str">
        <f t="shared" si="66"/>
        <v>sept</v>
      </c>
      <c r="F873" s="50">
        <f t="shared" si="67"/>
        <v>9</v>
      </c>
      <c r="G873" s="50">
        <f t="shared" si="68"/>
        <v>2026</v>
      </c>
      <c r="H873" s="51">
        <f>IF($C873="","",IFERROR(DATE(G873,VLOOKUP(E873,Paramètres!$K$11:$L$40,2,FALSE()),F873),"?"))</f>
        <v>46274</v>
      </c>
      <c r="I873" s="50">
        <f>IF(ISNUMBER(H873),IF(COUNTIFS($D$2:D873,D873,$H$2:H873,H873)=1,1,0),"")</f>
        <v>1</v>
      </c>
      <c r="J873" s="50">
        <f>IF(ISNUMBER(H873),IFERROR(INDEX(Calendrier!$C$2:$C$367,MATCH(H873,Calendrier!$A$2:$A$367,0)),0),"")</f>
        <v>1</v>
      </c>
      <c r="K873" s="50">
        <f t="shared" si="69"/>
        <v>1</v>
      </c>
      <c r="L873" s="50">
        <f>IF(D873="","",IF(COUNTIF(Paramètres!$A$11:$A$40,D873)&gt;0,1,0))</f>
        <v>1</v>
      </c>
    </row>
    <row r="874" spans="1:12" hidden="1" x14ac:dyDescent="0.25">
      <c r="A874" s="49"/>
      <c r="B874" s="49" t="s">
        <v>73</v>
      </c>
      <c r="C874" s="49" t="s">
        <v>934</v>
      </c>
      <c r="D874" s="50" t="str">
        <f t="shared" si="65"/>
        <v>Mourad Ayari</v>
      </c>
      <c r="E874" s="50" t="str">
        <f t="shared" si="66"/>
        <v>sept</v>
      </c>
      <c r="F874" s="50">
        <f t="shared" si="67"/>
        <v>11</v>
      </c>
      <c r="G874" s="50">
        <f t="shared" si="68"/>
        <v>2026</v>
      </c>
      <c r="H874" s="51">
        <f>IF($C874="","",IFERROR(DATE(G874,VLOOKUP(E874,Paramètres!$K$11:$L$40,2,FALSE()),F874),"?"))</f>
        <v>46276</v>
      </c>
      <c r="I874" s="50">
        <f>IF(ISNUMBER(H874),IF(COUNTIFS($D$2:D874,D874,$H$2:H874,H874)=1,1,0),"")</f>
        <v>1</v>
      </c>
      <c r="J874" s="50">
        <f>IF(ISNUMBER(H874),IFERROR(INDEX(Calendrier!$C$2:$C$367,MATCH(H874,Calendrier!$A$2:$A$367,0)),0),"")</f>
        <v>1</v>
      </c>
      <c r="K874" s="50">
        <f t="shared" si="69"/>
        <v>1</v>
      </c>
      <c r="L874" s="50">
        <f>IF(D874="","",IF(COUNTIF(Paramètres!$A$11:$A$40,D874)&gt;0,1,0))</f>
        <v>1</v>
      </c>
    </row>
    <row r="875" spans="1:12" hidden="1" x14ac:dyDescent="0.25">
      <c r="A875" s="49"/>
      <c r="B875" s="49" t="s">
        <v>73</v>
      </c>
      <c r="C875" s="49" t="s">
        <v>935</v>
      </c>
      <c r="D875" s="50" t="str">
        <f t="shared" si="65"/>
        <v>Mourad Ayari</v>
      </c>
      <c r="E875" s="50" t="str">
        <f t="shared" si="66"/>
        <v>sept</v>
      </c>
      <c r="F875" s="50">
        <f t="shared" si="67"/>
        <v>14</v>
      </c>
      <c r="G875" s="50">
        <f t="shared" si="68"/>
        <v>2026</v>
      </c>
      <c r="H875" s="51">
        <f>IF($C875="","",IFERROR(DATE(G875,VLOOKUP(E875,Paramètres!$K$11:$L$40,2,FALSE()),F875),"?"))</f>
        <v>46279</v>
      </c>
      <c r="I875" s="50">
        <f>IF(ISNUMBER(H875),IF(COUNTIFS($D$2:D875,D875,$H$2:H875,H875)=1,1,0),"")</f>
        <v>1</v>
      </c>
      <c r="J875" s="50">
        <f>IF(ISNUMBER(H875),IFERROR(INDEX(Calendrier!$C$2:$C$367,MATCH(H875,Calendrier!$A$2:$A$367,0)),0),"")</f>
        <v>1</v>
      </c>
      <c r="K875" s="50">
        <f t="shared" si="69"/>
        <v>1</v>
      </c>
      <c r="L875" s="50">
        <f>IF(D875="","",IF(COUNTIF(Paramètres!$A$11:$A$40,D875)&gt;0,1,0))</f>
        <v>1</v>
      </c>
    </row>
    <row r="876" spans="1:12" hidden="1" x14ac:dyDescent="0.25">
      <c r="A876" s="49"/>
      <c r="B876" s="49" t="s">
        <v>73</v>
      </c>
      <c r="C876" s="49" t="s">
        <v>936</v>
      </c>
      <c r="D876" s="50" t="str">
        <f t="shared" si="65"/>
        <v>Mourad Ayari</v>
      </c>
      <c r="E876" s="50" t="str">
        <f t="shared" si="66"/>
        <v>sept</v>
      </c>
      <c r="F876" s="50">
        <f t="shared" si="67"/>
        <v>15</v>
      </c>
      <c r="G876" s="50">
        <f t="shared" si="68"/>
        <v>2026</v>
      </c>
      <c r="H876" s="51">
        <f>IF($C876="","",IFERROR(DATE(G876,VLOOKUP(E876,Paramètres!$K$11:$L$40,2,FALSE()),F876),"?"))</f>
        <v>46280</v>
      </c>
      <c r="I876" s="50">
        <f>IF(ISNUMBER(H876),IF(COUNTIFS($D$2:D876,D876,$H$2:H876,H876)=1,1,0),"")</f>
        <v>1</v>
      </c>
      <c r="J876" s="50">
        <f>IF(ISNUMBER(H876),IFERROR(INDEX(Calendrier!$C$2:$C$367,MATCH(H876,Calendrier!$A$2:$A$367,0)),0),"")</f>
        <v>1</v>
      </c>
      <c r="K876" s="50">
        <f t="shared" si="69"/>
        <v>1</v>
      </c>
      <c r="L876" s="50">
        <f>IF(D876="","",IF(COUNTIF(Paramètres!$A$11:$A$40,D876)&gt;0,1,0))</f>
        <v>1</v>
      </c>
    </row>
    <row r="877" spans="1:12" hidden="1" x14ac:dyDescent="0.25">
      <c r="A877" s="49"/>
      <c r="B877" s="49" t="s">
        <v>73</v>
      </c>
      <c r="C877" s="49" t="s">
        <v>937</v>
      </c>
      <c r="D877" s="50" t="str">
        <f t="shared" si="65"/>
        <v>Mourad Ayari</v>
      </c>
      <c r="E877" s="50" t="str">
        <f t="shared" si="66"/>
        <v>sept</v>
      </c>
      <c r="F877" s="50">
        <f t="shared" si="67"/>
        <v>28</v>
      </c>
      <c r="G877" s="50">
        <f t="shared" si="68"/>
        <v>2026</v>
      </c>
      <c r="H877" s="51">
        <f>IF($C877="","",IFERROR(DATE(G877,VLOOKUP(E877,Paramètres!$K$11:$L$40,2,FALSE()),F877),"?"))</f>
        <v>46293</v>
      </c>
      <c r="I877" s="50">
        <f>IF(ISNUMBER(H877),IF(COUNTIFS($D$2:D877,D877,$H$2:H877,H877)=1,1,0),"")</f>
        <v>1</v>
      </c>
      <c r="J877" s="50">
        <f>IF(ISNUMBER(H877),IFERROR(INDEX(Calendrier!$C$2:$C$367,MATCH(H877,Calendrier!$A$2:$A$367,0)),0),"")</f>
        <v>1</v>
      </c>
      <c r="K877" s="50">
        <f t="shared" si="69"/>
        <v>1</v>
      </c>
      <c r="L877" s="50">
        <f>IF(D877="","",IF(COUNTIF(Paramètres!$A$11:$A$40,D877)&gt;0,1,0))</f>
        <v>1</v>
      </c>
    </row>
    <row r="878" spans="1:12" hidden="1" x14ac:dyDescent="0.25">
      <c r="A878" s="49"/>
      <c r="B878" s="49" t="s">
        <v>61</v>
      </c>
      <c r="C878" s="49" t="s">
        <v>938</v>
      </c>
      <c r="D878" s="50" t="str">
        <f t="shared" si="65"/>
        <v>Ines Farhat</v>
      </c>
      <c r="E878" s="50" t="str">
        <f t="shared" si="66"/>
        <v>sept</v>
      </c>
      <c r="F878" s="50">
        <f t="shared" si="67"/>
        <v>4</v>
      </c>
      <c r="G878" s="50">
        <f t="shared" si="68"/>
        <v>2026</v>
      </c>
      <c r="H878" s="51">
        <f>IF($C878="","",IFERROR(DATE(G878,VLOOKUP(E878,Paramètres!$K$11:$L$40,2,FALSE()),F878),"?"))</f>
        <v>46269</v>
      </c>
      <c r="I878" s="50">
        <f>IF(ISNUMBER(H878),IF(COUNTIFS($D$2:D878,D878,$H$2:H878,H878)=1,1,0),"")</f>
        <v>1</v>
      </c>
      <c r="J878" s="50">
        <f>IF(ISNUMBER(H878),IFERROR(INDEX(Calendrier!$C$2:$C$367,MATCH(H878,Calendrier!$A$2:$A$367,0)),0),"")</f>
        <v>1</v>
      </c>
      <c r="K878" s="50">
        <f t="shared" si="69"/>
        <v>1</v>
      </c>
      <c r="L878" s="50">
        <f>IF(D878="","",IF(COUNTIF(Paramètres!$A$11:$A$40,D878)&gt;0,1,0))</f>
        <v>1</v>
      </c>
    </row>
    <row r="879" spans="1:12" hidden="1" x14ac:dyDescent="0.25">
      <c r="A879" s="49"/>
      <c r="B879" s="49" t="s">
        <v>61</v>
      </c>
      <c r="C879" s="49" t="s">
        <v>939</v>
      </c>
      <c r="D879" s="50" t="str">
        <f t="shared" si="65"/>
        <v>Ines Farhat</v>
      </c>
      <c r="E879" s="50" t="str">
        <f t="shared" si="66"/>
        <v>sept</v>
      </c>
      <c r="F879" s="50">
        <f t="shared" si="67"/>
        <v>7</v>
      </c>
      <c r="G879" s="50">
        <f t="shared" si="68"/>
        <v>2026</v>
      </c>
      <c r="H879" s="51">
        <f>IF($C879="","",IFERROR(DATE(G879,VLOOKUP(E879,Paramètres!$K$11:$L$40,2,FALSE()),F879),"?"))</f>
        <v>46272</v>
      </c>
      <c r="I879" s="50">
        <f>IF(ISNUMBER(H879),IF(COUNTIFS($D$2:D879,D879,$H$2:H879,H879)=1,1,0),"")</f>
        <v>1</v>
      </c>
      <c r="J879" s="50">
        <f>IF(ISNUMBER(H879),IFERROR(INDEX(Calendrier!$C$2:$C$367,MATCH(H879,Calendrier!$A$2:$A$367,0)),0),"")</f>
        <v>1</v>
      </c>
      <c r="K879" s="50">
        <f t="shared" si="69"/>
        <v>1</v>
      </c>
      <c r="L879" s="50">
        <f>IF(D879="","",IF(COUNTIF(Paramètres!$A$11:$A$40,D879)&gt;0,1,0))</f>
        <v>1</v>
      </c>
    </row>
    <row r="880" spans="1:12" hidden="1" x14ac:dyDescent="0.25">
      <c r="A880" s="49"/>
      <c r="B880" s="49" t="s">
        <v>61</v>
      </c>
      <c r="C880" s="49" t="s">
        <v>940</v>
      </c>
      <c r="D880" s="50" t="str">
        <f t="shared" si="65"/>
        <v>Ines Farhat</v>
      </c>
      <c r="E880" s="50" t="str">
        <f t="shared" si="66"/>
        <v>sept</v>
      </c>
      <c r="F880" s="50">
        <f t="shared" si="67"/>
        <v>9</v>
      </c>
      <c r="G880" s="50">
        <f t="shared" si="68"/>
        <v>2026</v>
      </c>
      <c r="H880" s="51">
        <f>IF($C880="","",IFERROR(DATE(G880,VLOOKUP(E880,Paramètres!$K$11:$L$40,2,FALSE()),F880),"?"))</f>
        <v>46274</v>
      </c>
      <c r="I880" s="50">
        <f>IF(ISNUMBER(H880),IF(COUNTIFS($D$2:D880,D880,$H$2:H880,H880)=1,1,0),"")</f>
        <v>1</v>
      </c>
      <c r="J880" s="50">
        <f>IF(ISNUMBER(H880),IFERROR(INDEX(Calendrier!$C$2:$C$367,MATCH(H880,Calendrier!$A$2:$A$367,0)),0),"")</f>
        <v>1</v>
      </c>
      <c r="K880" s="50">
        <f t="shared" si="69"/>
        <v>1</v>
      </c>
      <c r="L880" s="50">
        <f>IF(D880="","",IF(COUNTIF(Paramètres!$A$11:$A$40,D880)&gt;0,1,0))</f>
        <v>1</v>
      </c>
    </row>
    <row r="881" spans="1:12" hidden="1" x14ac:dyDescent="0.25">
      <c r="A881" s="49"/>
      <c r="B881" s="49" t="s">
        <v>61</v>
      </c>
      <c r="C881" s="49" t="s">
        <v>941</v>
      </c>
      <c r="D881" s="50" t="str">
        <f t="shared" si="65"/>
        <v>Ines Farhat</v>
      </c>
      <c r="E881" s="50" t="str">
        <f t="shared" si="66"/>
        <v>sept</v>
      </c>
      <c r="F881" s="50">
        <f t="shared" si="67"/>
        <v>9</v>
      </c>
      <c r="G881" s="50">
        <f t="shared" si="68"/>
        <v>2026</v>
      </c>
      <c r="H881" s="51">
        <f>IF($C881="","",IFERROR(DATE(G881,VLOOKUP(E881,Paramètres!$K$11:$L$40,2,FALSE()),F881),"?"))</f>
        <v>46274</v>
      </c>
      <c r="I881" s="50">
        <f>IF(ISNUMBER(H881),IF(COUNTIFS($D$2:D881,D881,$H$2:H881,H881)=1,1,0),"")</f>
        <v>0</v>
      </c>
      <c r="J881" s="50">
        <f>IF(ISNUMBER(H881),IFERROR(INDEX(Calendrier!$C$2:$C$367,MATCH(H881,Calendrier!$A$2:$A$367,0)),0),"")</f>
        <v>1</v>
      </c>
      <c r="K881" s="50">
        <f t="shared" si="69"/>
        <v>0</v>
      </c>
      <c r="L881" s="50">
        <f>IF(D881="","",IF(COUNTIF(Paramètres!$A$11:$A$40,D881)&gt;0,1,0))</f>
        <v>1</v>
      </c>
    </row>
    <row r="882" spans="1:12" hidden="1" x14ac:dyDescent="0.25">
      <c r="A882" s="49"/>
      <c r="B882" s="49" t="s">
        <v>61</v>
      </c>
      <c r="C882" s="49" t="s">
        <v>942</v>
      </c>
      <c r="D882" s="50" t="str">
        <f t="shared" si="65"/>
        <v>Ines Farhat</v>
      </c>
      <c r="E882" s="50" t="str">
        <f t="shared" si="66"/>
        <v>sept</v>
      </c>
      <c r="F882" s="50">
        <f t="shared" si="67"/>
        <v>12</v>
      </c>
      <c r="G882" s="50">
        <f t="shared" si="68"/>
        <v>2026</v>
      </c>
      <c r="H882" s="51">
        <f>IF($C882="","",IFERROR(DATE(G882,VLOOKUP(E882,Paramètres!$K$11:$L$40,2,FALSE()),F882),"?"))</f>
        <v>46277</v>
      </c>
      <c r="I882" s="50">
        <f>IF(ISNUMBER(H882),IF(COUNTIFS($D$2:D882,D882,$H$2:H882,H882)=1,1,0),"")</f>
        <v>1</v>
      </c>
      <c r="J882" s="50">
        <f>IF(ISNUMBER(H882),IFERROR(INDEX(Calendrier!$C$2:$C$367,MATCH(H882,Calendrier!$A$2:$A$367,0)),0),"")</f>
        <v>0</v>
      </c>
      <c r="K882" s="50">
        <f t="shared" si="69"/>
        <v>0</v>
      </c>
      <c r="L882" s="50">
        <f>IF(D882="","",IF(COUNTIF(Paramètres!$A$11:$A$40,D882)&gt;0,1,0))</f>
        <v>1</v>
      </c>
    </row>
    <row r="883" spans="1:12" hidden="1" x14ac:dyDescent="0.25">
      <c r="A883" s="49"/>
      <c r="B883" s="49" t="s">
        <v>61</v>
      </c>
      <c r="C883" s="49" t="s">
        <v>943</v>
      </c>
      <c r="D883" s="50" t="str">
        <f t="shared" si="65"/>
        <v>Ines Farhat</v>
      </c>
      <c r="E883" s="50" t="str">
        <f t="shared" si="66"/>
        <v>sept</v>
      </c>
      <c r="F883" s="50">
        <f t="shared" si="67"/>
        <v>14</v>
      </c>
      <c r="G883" s="50">
        <f t="shared" si="68"/>
        <v>2026</v>
      </c>
      <c r="H883" s="51">
        <f>IF($C883="","",IFERROR(DATE(G883,VLOOKUP(E883,Paramètres!$K$11:$L$40,2,FALSE()),F883),"?"))</f>
        <v>46279</v>
      </c>
      <c r="I883" s="50">
        <f>IF(ISNUMBER(H883),IF(COUNTIFS($D$2:D883,D883,$H$2:H883,H883)=1,1,0),"")</f>
        <v>1</v>
      </c>
      <c r="J883" s="50">
        <f>IF(ISNUMBER(H883),IFERROR(INDEX(Calendrier!$C$2:$C$367,MATCH(H883,Calendrier!$A$2:$A$367,0)),0),"")</f>
        <v>1</v>
      </c>
      <c r="K883" s="50">
        <f t="shared" si="69"/>
        <v>1</v>
      </c>
      <c r="L883" s="50">
        <f>IF(D883="","",IF(COUNTIF(Paramètres!$A$11:$A$40,D883)&gt;0,1,0))</f>
        <v>1</v>
      </c>
    </row>
    <row r="884" spans="1:12" hidden="1" x14ac:dyDescent="0.25">
      <c r="A884" s="49"/>
      <c r="B884" s="49" t="s">
        <v>61</v>
      </c>
      <c r="C884" s="49" t="s">
        <v>944</v>
      </c>
      <c r="D884" s="50" t="str">
        <f t="shared" si="65"/>
        <v>Ines Farhat</v>
      </c>
      <c r="E884" s="50" t="str">
        <f t="shared" si="66"/>
        <v>sept</v>
      </c>
      <c r="F884" s="50">
        <f t="shared" si="67"/>
        <v>15</v>
      </c>
      <c r="G884" s="50">
        <f t="shared" si="68"/>
        <v>2026</v>
      </c>
      <c r="H884" s="51">
        <f>IF($C884="","",IFERROR(DATE(G884,VLOOKUP(E884,Paramètres!$K$11:$L$40,2,FALSE()),F884),"?"))</f>
        <v>46280</v>
      </c>
      <c r="I884" s="50">
        <f>IF(ISNUMBER(H884),IF(COUNTIFS($D$2:D884,D884,$H$2:H884,H884)=1,1,0),"")</f>
        <v>1</v>
      </c>
      <c r="J884" s="50">
        <f>IF(ISNUMBER(H884),IFERROR(INDEX(Calendrier!$C$2:$C$367,MATCH(H884,Calendrier!$A$2:$A$367,0)),0),"")</f>
        <v>1</v>
      </c>
      <c r="K884" s="50">
        <f t="shared" si="69"/>
        <v>1</v>
      </c>
      <c r="L884" s="50">
        <f>IF(D884="","",IF(COUNTIF(Paramètres!$A$11:$A$40,D884)&gt;0,1,0))</f>
        <v>1</v>
      </c>
    </row>
    <row r="885" spans="1:12" hidden="1" x14ac:dyDescent="0.25">
      <c r="A885" s="49"/>
      <c r="B885" s="49" t="s">
        <v>61</v>
      </c>
      <c r="C885" s="49" t="s">
        <v>945</v>
      </c>
      <c r="D885" s="50" t="str">
        <f t="shared" si="65"/>
        <v>Ines Farhat</v>
      </c>
      <c r="E885" s="50" t="str">
        <f t="shared" si="66"/>
        <v>sept</v>
      </c>
      <c r="F885" s="50">
        <f t="shared" si="67"/>
        <v>16</v>
      </c>
      <c r="G885" s="50">
        <f t="shared" si="68"/>
        <v>2026</v>
      </c>
      <c r="H885" s="51">
        <f>IF($C885="","",IFERROR(DATE(G885,VLOOKUP(E885,Paramètres!$K$11:$L$40,2,FALSE()),F885),"?"))</f>
        <v>46281</v>
      </c>
      <c r="I885" s="50">
        <f>IF(ISNUMBER(H885),IF(COUNTIFS($D$2:D885,D885,$H$2:H885,H885)=1,1,0),"")</f>
        <v>1</v>
      </c>
      <c r="J885" s="50">
        <f>IF(ISNUMBER(H885),IFERROR(INDEX(Calendrier!$C$2:$C$367,MATCH(H885,Calendrier!$A$2:$A$367,0)),0),"")</f>
        <v>1</v>
      </c>
      <c r="K885" s="50">
        <f t="shared" si="69"/>
        <v>1</v>
      </c>
      <c r="L885" s="50">
        <f>IF(D885="","",IF(COUNTIF(Paramètres!$A$11:$A$40,D885)&gt;0,1,0))</f>
        <v>1</v>
      </c>
    </row>
    <row r="886" spans="1:12" hidden="1" x14ac:dyDescent="0.25">
      <c r="A886" s="49"/>
      <c r="B886" s="49" t="s">
        <v>61</v>
      </c>
      <c r="C886" s="49" t="s">
        <v>946</v>
      </c>
      <c r="D886" s="50" t="str">
        <f t="shared" si="65"/>
        <v>Ines Farhat</v>
      </c>
      <c r="E886" s="50" t="str">
        <f t="shared" si="66"/>
        <v>sept</v>
      </c>
      <c r="F886" s="50">
        <f t="shared" si="67"/>
        <v>16</v>
      </c>
      <c r="G886" s="50">
        <f t="shared" si="68"/>
        <v>2026</v>
      </c>
      <c r="H886" s="51">
        <f>IF($C886="","",IFERROR(DATE(G886,VLOOKUP(E886,Paramètres!$K$11:$L$40,2,FALSE()),F886),"?"))</f>
        <v>46281</v>
      </c>
      <c r="I886" s="50">
        <f>IF(ISNUMBER(H886),IF(COUNTIFS($D$2:D886,D886,$H$2:H886,H886)=1,1,0),"")</f>
        <v>0</v>
      </c>
      <c r="J886" s="50">
        <f>IF(ISNUMBER(H886),IFERROR(INDEX(Calendrier!$C$2:$C$367,MATCH(H886,Calendrier!$A$2:$A$367,0)),0),"")</f>
        <v>1</v>
      </c>
      <c r="K886" s="50">
        <f t="shared" si="69"/>
        <v>0</v>
      </c>
      <c r="L886" s="50">
        <f>IF(D886="","",IF(COUNTIF(Paramètres!$A$11:$A$40,D886)&gt;0,1,0))</f>
        <v>1</v>
      </c>
    </row>
    <row r="887" spans="1:12" hidden="1" x14ac:dyDescent="0.25">
      <c r="A887" s="49"/>
      <c r="B887" s="49" t="s">
        <v>61</v>
      </c>
      <c r="C887" s="49" t="s">
        <v>947</v>
      </c>
      <c r="D887" s="50" t="str">
        <f t="shared" si="65"/>
        <v>Ines Farhat</v>
      </c>
      <c r="E887" s="50" t="str">
        <f t="shared" si="66"/>
        <v>sept</v>
      </c>
      <c r="F887" s="50">
        <f t="shared" si="67"/>
        <v>18</v>
      </c>
      <c r="G887" s="50">
        <f t="shared" si="68"/>
        <v>2026</v>
      </c>
      <c r="H887" s="51">
        <f>IF($C887="","",IFERROR(DATE(G887,VLOOKUP(E887,Paramètres!$K$11:$L$40,2,FALSE()),F887),"?"))</f>
        <v>46283</v>
      </c>
      <c r="I887" s="50">
        <f>IF(ISNUMBER(H887),IF(COUNTIFS($D$2:D887,D887,$H$2:H887,H887)=1,1,0),"")</f>
        <v>1</v>
      </c>
      <c r="J887" s="50">
        <f>IF(ISNUMBER(H887),IFERROR(INDEX(Calendrier!$C$2:$C$367,MATCH(H887,Calendrier!$A$2:$A$367,0)),0),"")</f>
        <v>1</v>
      </c>
      <c r="K887" s="50">
        <f t="shared" si="69"/>
        <v>1</v>
      </c>
      <c r="L887" s="50">
        <f>IF(D887="","",IF(COUNTIF(Paramètres!$A$11:$A$40,D887)&gt;0,1,0))</f>
        <v>1</v>
      </c>
    </row>
    <row r="888" spans="1:12" hidden="1" x14ac:dyDescent="0.25">
      <c r="A888" s="49"/>
      <c r="B888" s="49" t="s">
        <v>61</v>
      </c>
      <c r="C888" s="49" t="s">
        <v>948</v>
      </c>
      <c r="D888" s="50" t="str">
        <f t="shared" si="65"/>
        <v>Ines Farhat</v>
      </c>
      <c r="E888" s="50" t="str">
        <f t="shared" si="66"/>
        <v>sept</v>
      </c>
      <c r="F888" s="50">
        <f t="shared" si="67"/>
        <v>18</v>
      </c>
      <c r="G888" s="50">
        <f t="shared" si="68"/>
        <v>2026</v>
      </c>
      <c r="H888" s="51">
        <f>IF($C888="","",IFERROR(DATE(G888,VLOOKUP(E888,Paramètres!$K$11:$L$40,2,FALSE()),F888),"?"))</f>
        <v>46283</v>
      </c>
      <c r="I888" s="50">
        <f>IF(ISNUMBER(H888),IF(COUNTIFS($D$2:D888,D888,$H$2:H888,H888)=1,1,0),"")</f>
        <v>0</v>
      </c>
      <c r="J888" s="50">
        <f>IF(ISNUMBER(H888),IFERROR(INDEX(Calendrier!$C$2:$C$367,MATCH(H888,Calendrier!$A$2:$A$367,0)),0),"")</f>
        <v>1</v>
      </c>
      <c r="K888" s="50">
        <f t="shared" si="69"/>
        <v>0</v>
      </c>
      <c r="L888" s="50">
        <f>IF(D888="","",IF(COUNTIF(Paramètres!$A$11:$A$40,D888)&gt;0,1,0))</f>
        <v>1</v>
      </c>
    </row>
    <row r="889" spans="1:12" hidden="1" x14ac:dyDescent="0.25">
      <c r="A889" s="49"/>
      <c r="B889" s="49" t="s">
        <v>61</v>
      </c>
      <c r="C889" s="49" t="s">
        <v>949</v>
      </c>
      <c r="D889" s="50" t="str">
        <f t="shared" si="65"/>
        <v>Ines Farhat</v>
      </c>
      <c r="E889" s="50" t="str">
        <f t="shared" si="66"/>
        <v>sept</v>
      </c>
      <c r="F889" s="50">
        <f t="shared" si="67"/>
        <v>21</v>
      </c>
      <c r="G889" s="50">
        <f t="shared" si="68"/>
        <v>2026</v>
      </c>
      <c r="H889" s="51">
        <f>IF($C889="","",IFERROR(DATE(G889,VLOOKUP(E889,Paramètres!$K$11:$L$40,2,FALSE()),F889),"?"))</f>
        <v>46286</v>
      </c>
      <c r="I889" s="50">
        <f>IF(ISNUMBER(H889),IF(COUNTIFS($D$2:D889,D889,$H$2:H889,H889)=1,1,0),"")</f>
        <v>1</v>
      </c>
      <c r="J889" s="50">
        <f>IF(ISNUMBER(H889),IFERROR(INDEX(Calendrier!$C$2:$C$367,MATCH(H889,Calendrier!$A$2:$A$367,0)),0),"")</f>
        <v>1</v>
      </c>
      <c r="K889" s="50">
        <f t="shared" si="69"/>
        <v>1</v>
      </c>
      <c r="L889" s="50">
        <f>IF(D889="","",IF(COUNTIF(Paramètres!$A$11:$A$40,D889)&gt;0,1,0))</f>
        <v>1</v>
      </c>
    </row>
    <row r="890" spans="1:12" hidden="1" x14ac:dyDescent="0.25">
      <c r="A890" s="49"/>
      <c r="B890" s="49" t="s">
        <v>61</v>
      </c>
      <c r="C890" s="49" t="s">
        <v>950</v>
      </c>
      <c r="D890" s="50" t="str">
        <f t="shared" si="65"/>
        <v>Ines Farhat</v>
      </c>
      <c r="E890" s="50" t="str">
        <f t="shared" si="66"/>
        <v>sept</v>
      </c>
      <c r="F890" s="50">
        <f t="shared" si="67"/>
        <v>23</v>
      </c>
      <c r="G890" s="50">
        <f t="shared" si="68"/>
        <v>2026</v>
      </c>
      <c r="H890" s="51">
        <f>IF($C890="","",IFERROR(DATE(G890,VLOOKUP(E890,Paramètres!$K$11:$L$40,2,FALSE()),F890),"?"))</f>
        <v>46288</v>
      </c>
      <c r="I890" s="50">
        <f>IF(ISNUMBER(H890),IF(COUNTIFS($D$2:D890,D890,$H$2:H890,H890)=1,1,0),"")</f>
        <v>1</v>
      </c>
      <c r="J890" s="50">
        <f>IF(ISNUMBER(H890),IFERROR(INDEX(Calendrier!$C$2:$C$367,MATCH(H890,Calendrier!$A$2:$A$367,0)),0),"")</f>
        <v>1</v>
      </c>
      <c r="K890" s="50">
        <f t="shared" si="69"/>
        <v>1</v>
      </c>
      <c r="L890" s="50">
        <f>IF(D890="","",IF(COUNTIF(Paramètres!$A$11:$A$40,D890)&gt;0,1,0))</f>
        <v>1</v>
      </c>
    </row>
    <row r="891" spans="1:12" hidden="1" x14ac:dyDescent="0.25">
      <c r="A891" s="49"/>
      <c r="B891" s="49" t="s">
        <v>61</v>
      </c>
      <c r="C891" s="49" t="s">
        <v>951</v>
      </c>
      <c r="D891" s="50" t="str">
        <f t="shared" si="65"/>
        <v>Ines Farhat</v>
      </c>
      <c r="E891" s="50" t="str">
        <f t="shared" si="66"/>
        <v>sept</v>
      </c>
      <c r="F891" s="50">
        <f t="shared" si="67"/>
        <v>24</v>
      </c>
      <c r="G891" s="50">
        <f t="shared" si="68"/>
        <v>2026</v>
      </c>
      <c r="H891" s="51">
        <f>IF($C891="","",IFERROR(DATE(G891,VLOOKUP(E891,Paramètres!$K$11:$L$40,2,FALSE()),F891),"?"))</f>
        <v>46289</v>
      </c>
      <c r="I891" s="50">
        <f>IF(ISNUMBER(H891),IF(COUNTIFS($D$2:D891,D891,$H$2:H891,H891)=1,1,0),"")</f>
        <v>1</v>
      </c>
      <c r="J891" s="50">
        <f>IF(ISNUMBER(H891),IFERROR(INDEX(Calendrier!$C$2:$C$367,MATCH(H891,Calendrier!$A$2:$A$367,0)),0),"")</f>
        <v>1</v>
      </c>
      <c r="K891" s="50">
        <f t="shared" si="69"/>
        <v>1</v>
      </c>
      <c r="L891" s="50">
        <f>IF(D891="","",IF(COUNTIF(Paramètres!$A$11:$A$40,D891)&gt;0,1,0))</f>
        <v>1</v>
      </c>
    </row>
    <row r="892" spans="1:12" hidden="1" x14ac:dyDescent="0.25">
      <c r="A892" s="49"/>
      <c r="B892" s="49" t="s">
        <v>61</v>
      </c>
      <c r="C892" s="49" t="s">
        <v>952</v>
      </c>
      <c r="D892" s="50" t="str">
        <f t="shared" si="65"/>
        <v>Ines Farhat</v>
      </c>
      <c r="E892" s="50" t="str">
        <f t="shared" si="66"/>
        <v>sept</v>
      </c>
      <c r="F892" s="50">
        <f t="shared" si="67"/>
        <v>28</v>
      </c>
      <c r="G892" s="50">
        <f t="shared" si="68"/>
        <v>2026</v>
      </c>
      <c r="H892" s="51">
        <f>IF($C892="","",IFERROR(DATE(G892,VLOOKUP(E892,Paramètres!$K$11:$L$40,2,FALSE()),F892),"?"))</f>
        <v>46293</v>
      </c>
      <c r="I892" s="50">
        <f>IF(ISNUMBER(H892),IF(COUNTIFS($D$2:D892,D892,$H$2:H892,H892)=1,1,0),"")</f>
        <v>1</v>
      </c>
      <c r="J892" s="50">
        <f>IF(ISNUMBER(H892),IFERROR(INDEX(Calendrier!$C$2:$C$367,MATCH(H892,Calendrier!$A$2:$A$367,0)),0),"")</f>
        <v>1</v>
      </c>
      <c r="K892" s="50">
        <f t="shared" si="69"/>
        <v>1</v>
      </c>
      <c r="L892" s="50">
        <f>IF(D892="","",IF(COUNTIF(Paramètres!$A$11:$A$40,D892)&gt;0,1,0))</f>
        <v>1</v>
      </c>
    </row>
    <row r="893" spans="1:12" hidden="1" x14ac:dyDescent="0.25">
      <c r="A893" s="49"/>
      <c r="B893" s="49" t="s">
        <v>67</v>
      </c>
      <c r="C893" s="49" t="s">
        <v>953</v>
      </c>
      <c r="D893" s="50" t="str">
        <f t="shared" si="65"/>
        <v>Marwa Solaani</v>
      </c>
      <c r="E893" s="50" t="str">
        <f t="shared" si="66"/>
        <v>sept</v>
      </c>
      <c r="F893" s="50">
        <f t="shared" si="67"/>
        <v>3</v>
      </c>
      <c r="G893" s="50">
        <f t="shared" si="68"/>
        <v>2026</v>
      </c>
      <c r="H893" s="51">
        <f>IF($C893="","",IFERROR(DATE(G893,VLOOKUP(E893,Paramètres!$K$11:$L$40,2,FALSE()),F893),"?"))</f>
        <v>46268</v>
      </c>
      <c r="I893" s="50">
        <f>IF(ISNUMBER(H893),IF(COUNTIFS($D$2:D893,D893,$H$2:H893,H893)=1,1,0),"")</f>
        <v>1</v>
      </c>
      <c r="J893" s="50">
        <f>IF(ISNUMBER(H893),IFERROR(INDEX(Calendrier!$C$2:$C$367,MATCH(H893,Calendrier!$A$2:$A$367,0)),0),"")</f>
        <v>1</v>
      </c>
      <c r="K893" s="50">
        <f t="shared" si="69"/>
        <v>1</v>
      </c>
      <c r="L893" s="50">
        <f>IF(D893="","",IF(COUNTIF(Paramètres!$A$11:$A$40,D893)&gt;0,1,0))</f>
        <v>1</v>
      </c>
    </row>
    <row r="894" spans="1:12" hidden="1" x14ac:dyDescent="0.25">
      <c r="A894" s="49"/>
      <c r="B894" s="49" t="s">
        <v>67</v>
      </c>
      <c r="C894" s="49" t="s">
        <v>954</v>
      </c>
      <c r="D894" s="50" t="str">
        <f t="shared" si="65"/>
        <v>Marwa Solaani</v>
      </c>
      <c r="E894" s="50" t="str">
        <f t="shared" si="66"/>
        <v>sept</v>
      </c>
      <c r="F894" s="50">
        <f t="shared" si="67"/>
        <v>8</v>
      </c>
      <c r="G894" s="50">
        <f t="shared" si="68"/>
        <v>2026</v>
      </c>
      <c r="H894" s="51">
        <f>IF($C894="","",IFERROR(DATE(G894,VLOOKUP(E894,Paramètres!$K$11:$L$40,2,FALSE()),F894),"?"))</f>
        <v>46273</v>
      </c>
      <c r="I894" s="50">
        <f>IF(ISNUMBER(H894),IF(COUNTIFS($D$2:D894,D894,$H$2:H894,H894)=1,1,0),"")</f>
        <v>1</v>
      </c>
      <c r="J894" s="50">
        <f>IF(ISNUMBER(H894),IFERROR(INDEX(Calendrier!$C$2:$C$367,MATCH(H894,Calendrier!$A$2:$A$367,0)),0),"")</f>
        <v>1</v>
      </c>
      <c r="K894" s="50">
        <f t="shared" si="69"/>
        <v>1</v>
      </c>
      <c r="L894" s="50">
        <f>IF(D894="","",IF(COUNTIF(Paramètres!$A$11:$A$40,D894)&gt;0,1,0))</f>
        <v>1</v>
      </c>
    </row>
    <row r="895" spans="1:12" hidden="1" x14ac:dyDescent="0.25">
      <c r="A895" s="49"/>
      <c r="B895" s="49" t="s">
        <v>67</v>
      </c>
      <c r="C895" s="49" t="s">
        <v>955</v>
      </c>
      <c r="D895" s="50" t="str">
        <f t="shared" si="65"/>
        <v>Marwa Solaani</v>
      </c>
      <c r="E895" s="50" t="str">
        <f t="shared" si="66"/>
        <v>sept</v>
      </c>
      <c r="F895" s="50">
        <f t="shared" si="67"/>
        <v>9</v>
      </c>
      <c r="G895" s="50">
        <f t="shared" si="68"/>
        <v>2026</v>
      </c>
      <c r="H895" s="51">
        <f>IF($C895="","",IFERROR(DATE(G895,VLOOKUP(E895,Paramètres!$K$11:$L$40,2,FALSE()),F895),"?"))</f>
        <v>46274</v>
      </c>
      <c r="I895" s="50">
        <f>IF(ISNUMBER(H895),IF(COUNTIFS($D$2:D895,D895,$H$2:H895,H895)=1,1,0),"")</f>
        <v>1</v>
      </c>
      <c r="J895" s="50">
        <f>IF(ISNUMBER(H895),IFERROR(INDEX(Calendrier!$C$2:$C$367,MATCH(H895,Calendrier!$A$2:$A$367,0)),0),"")</f>
        <v>1</v>
      </c>
      <c r="K895" s="50">
        <f t="shared" si="69"/>
        <v>1</v>
      </c>
      <c r="L895" s="50">
        <f>IF(D895="","",IF(COUNTIF(Paramètres!$A$11:$A$40,D895)&gt;0,1,0))</f>
        <v>1</v>
      </c>
    </row>
    <row r="896" spans="1:12" hidden="1" x14ac:dyDescent="0.25">
      <c r="A896" s="49"/>
      <c r="B896" s="49" t="s">
        <v>67</v>
      </c>
      <c r="C896" s="49" t="s">
        <v>956</v>
      </c>
      <c r="D896" s="50" t="str">
        <f t="shared" si="65"/>
        <v>Marwa Solaani</v>
      </c>
      <c r="E896" s="50" t="str">
        <f t="shared" si="66"/>
        <v>sept</v>
      </c>
      <c r="F896" s="50">
        <f t="shared" si="67"/>
        <v>18</v>
      </c>
      <c r="G896" s="50">
        <f t="shared" si="68"/>
        <v>2026</v>
      </c>
      <c r="H896" s="51">
        <f>IF($C896="","",IFERROR(DATE(G896,VLOOKUP(E896,Paramètres!$K$11:$L$40,2,FALSE()),F896),"?"))</f>
        <v>46283</v>
      </c>
      <c r="I896" s="50">
        <f>IF(ISNUMBER(H896),IF(COUNTIFS($D$2:D896,D896,$H$2:H896,H896)=1,1,0),"")</f>
        <v>1</v>
      </c>
      <c r="J896" s="50">
        <f>IF(ISNUMBER(H896),IFERROR(INDEX(Calendrier!$C$2:$C$367,MATCH(H896,Calendrier!$A$2:$A$367,0)),0),"")</f>
        <v>1</v>
      </c>
      <c r="K896" s="50">
        <f t="shared" si="69"/>
        <v>1</v>
      </c>
      <c r="L896" s="50">
        <f>IF(D896="","",IF(COUNTIF(Paramètres!$A$11:$A$40,D896)&gt;0,1,0))</f>
        <v>1</v>
      </c>
    </row>
    <row r="897" spans="1:12" hidden="1" x14ac:dyDescent="0.25">
      <c r="A897" s="49"/>
      <c r="B897" s="49" t="s">
        <v>67</v>
      </c>
      <c r="C897" s="49" t="s">
        <v>957</v>
      </c>
      <c r="D897" s="50" t="str">
        <f t="shared" si="65"/>
        <v>Marwa Solaani</v>
      </c>
      <c r="E897" s="50" t="str">
        <f t="shared" si="66"/>
        <v>sept</v>
      </c>
      <c r="F897" s="50">
        <f t="shared" si="67"/>
        <v>21</v>
      </c>
      <c r="G897" s="50">
        <f t="shared" si="68"/>
        <v>2026</v>
      </c>
      <c r="H897" s="51">
        <f>IF($C897="","",IFERROR(DATE(G897,VLOOKUP(E897,Paramètres!$K$11:$L$40,2,FALSE()),F897),"?"))</f>
        <v>46286</v>
      </c>
      <c r="I897" s="50">
        <f>IF(ISNUMBER(H897),IF(COUNTIFS($D$2:D897,D897,$H$2:H897,H897)=1,1,0),"")</f>
        <v>1</v>
      </c>
      <c r="J897" s="50">
        <f>IF(ISNUMBER(H897),IFERROR(INDEX(Calendrier!$C$2:$C$367,MATCH(H897,Calendrier!$A$2:$A$367,0)),0),"")</f>
        <v>1</v>
      </c>
      <c r="K897" s="50">
        <f t="shared" si="69"/>
        <v>1</v>
      </c>
      <c r="L897" s="50">
        <f>IF(D897="","",IF(COUNTIF(Paramètres!$A$11:$A$40,D897)&gt;0,1,0))</f>
        <v>1</v>
      </c>
    </row>
    <row r="898" spans="1:12" hidden="1" x14ac:dyDescent="0.25">
      <c r="A898" s="49"/>
      <c r="B898" s="49" t="s">
        <v>67</v>
      </c>
      <c r="C898" s="49" t="s">
        <v>958</v>
      </c>
      <c r="D898" s="50" t="str">
        <f t="shared" ref="D898:D961" si="70">IF(B898="","",TRIM(B898))</f>
        <v>Marwa Solaani</v>
      </c>
      <c r="E898" s="50" t="str">
        <f t="shared" ref="E898:E961" si="71">IF($C898="","",LEFT($C898,FIND(" ",$C898)-1))</f>
        <v>sept</v>
      </c>
      <c r="F898" s="50">
        <f t="shared" ref="F898:F961" si="72">IF($C898="","",IFERROR(VALUE(LEFT(MID($C898,FIND(" ",$C898)+1,20),FIND(" ",MID($C898,FIND(" ",$C898)+1,20))-1)),"?"))</f>
        <v>24</v>
      </c>
      <c r="G898" s="50">
        <f t="shared" ref="G898:G961" si="73">IF($C898="","",IFERROR(VALUE(MID(MID($C898,FIND(" ",$C898)+1,20),FIND(" ",MID($C898,FIND(" ",$C898)+1,20))+1,4)),"?"))</f>
        <v>2026</v>
      </c>
      <c r="H898" s="51">
        <f>IF($C898="","",IFERROR(DATE(G898,VLOOKUP(E898,Paramètres!$K$11:$L$40,2,FALSE()),F898),"?"))</f>
        <v>46289</v>
      </c>
      <c r="I898" s="50">
        <f>IF(ISNUMBER(H898),IF(COUNTIFS($D$2:D898,D898,$H$2:H898,H898)=1,1,0),"")</f>
        <v>1</v>
      </c>
      <c r="J898" s="50">
        <f>IF(ISNUMBER(H898),IFERROR(INDEX(Calendrier!$C$2:$C$367,MATCH(H898,Calendrier!$A$2:$A$367,0)),0),"")</f>
        <v>1</v>
      </c>
      <c r="K898" s="50">
        <f t="shared" ref="K898:K961" si="74">IF(ISNUMBER(H898),I898*J898,"")</f>
        <v>1</v>
      </c>
      <c r="L898" s="50">
        <f>IF(D898="","",IF(COUNTIF(Paramètres!$A$11:$A$40,D898)&gt;0,1,0))</f>
        <v>1</v>
      </c>
    </row>
    <row r="899" spans="1:12" x14ac:dyDescent="0.25">
      <c r="A899" s="49"/>
      <c r="B899" s="49" t="s">
        <v>830</v>
      </c>
      <c r="C899" s="49" t="s">
        <v>959</v>
      </c>
      <c r="D899" s="50" t="str">
        <f t="shared" si="70"/>
        <v>Zouhour FATHALLAH</v>
      </c>
      <c r="E899" s="50" t="str">
        <f t="shared" si="71"/>
        <v>sept</v>
      </c>
      <c r="F899" s="50">
        <f t="shared" si="72"/>
        <v>2</v>
      </c>
      <c r="G899" s="50">
        <f t="shared" si="73"/>
        <v>2026</v>
      </c>
      <c r="H899" s="51">
        <f>IF($C899="","",IFERROR(DATE(G899,VLOOKUP(E899,Paramètres!$K$11:$L$40,2,FALSE()),F899),"?"))</f>
        <v>46267</v>
      </c>
      <c r="I899" s="50">
        <f>IF(ISNUMBER(H899),IF(COUNTIFS($D$2:D899,D899,$H$2:H899,H899)=1,1,0),"")</f>
        <v>1</v>
      </c>
      <c r="J899" s="50">
        <f>IF(ISNUMBER(H899),IFERROR(INDEX(Calendrier!$C$2:$C$367,MATCH(H899,Calendrier!$A$2:$A$367,0)),0),"")</f>
        <v>1</v>
      </c>
      <c r="K899" s="50">
        <f t="shared" si="74"/>
        <v>1</v>
      </c>
      <c r="L899" s="50">
        <f>IF(D899="","",IF(COUNTIF(Paramètres!$A$11:$A$40,D899)&gt;0,1,0))</f>
        <v>1</v>
      </c>
    </row>
    <row r="900" spans="1:12" x14ac:dyDescent="0.25">
      <c r="A900" s="49"/>
      <c r="B900" s="49" t="s">
        <v>830</v>
      </c>
      <c r="C900" s="49" t="s">
        <v>960</v>
      </c>
      <c r="D900" s="50" t="str">
        <f t="shared" si="70"/>
        <v>Zouhour FATHALLAH</v>
      </c>
      <c r="E900" s="50" t="str">
        <f t="shared" si="71"/>
        <v>sept</v>
      </c>
      <c r="F900" s="50">
        <f t="shared" si="72"/>
        <v>4</v>
      </c>
      <c r="G900" s="50">
        <f t="shared" si="73"/>
        <v>2026</v>
      </c>
      <c r="H900" s="51">
        <f>IF($C900="","",IFERROR(DATE(G900,VLOOKUP(E900,Paramètres!$K$11:$L$40,2,FALSE()),F900),"?"))</f>
        <v>46269</v>
      </c>
      <c r="I900" s="50">
        <f>IF(ISNUMBER(H900),IF(COUNTIFS($D$2:D900,D900,$H$2:H900,H900)=1,1,0),"")</f>
        <v>1</v>
      </c>
      <c r="J900" s="50">
        <f>IF(ISNUMBER(H900),IFERROR(INDEX(Calendrier!$C$2:$C$367,MATCH(H900,Calendrier!$A$2:$A$367,0)),0),"")</f>
        <v>1</v>
      </c>
      <c r="K900" s="50">
        <f t="shared" si="74"/>
        <v>1</v>
      </c>
      <c r="L900" s="50">
        <f>IF(D900="","",IF(COUNTIF(Paramètres!$A$11:$A$40,D900)&gt;0,1,0))</f>
        <v>1</v>
      </c>
    </row>
    <row r="901" spans="1:12" x14ac:dyDescent="0.25">
      <c r="A901" s="49"/>
      <c r="B901" s="49" t="s">
        <v>830</v>
      </c>
      <c r="C901" s="49" t="s">
        <v>961</v>
      </c>
      <c r="D901" s="50" t="str">
        <f t="shared" si="70"/>
        <v>Zouhour FATHALLAH</v>
      </c>
      <c r="E901" s="50" t="str">
        <f t="shared" si="71"/>
        <v>sept</v>
      </c>
      <c r="F901" s="50">
        <f t="shared" si="72"/>
        <v>15</v>
      </c>
      <c r="G901" s="50">
        <f t="shared" si="73"/>
        <v>2026</v>
      </c>
      <c r="H901" s="51">
        <f>IF($C901="","",IFERROR(DATE(G901,VLOOKUP(E901,Paramètres!$K$11:$L$40,2,FALSE()),F901),"?"))</f>
        <v>46280</v>
      </c>
      <c r="I901" s="50">
        <f>IF(ISNUMBER(H901),IF(COUNTIFS($D$2:D901,D901,$H$2:H901,H901)=1,1,0),"")</f>
        <v>1</v>
      </c>
      <c r="J901" s="50">
        <f>IF(ISNUMBER(H901),IFERROR(INDEX(Calendrier!$C$2:$C$367,MATCH(H901,Calendrier!$A$2:$A$367,0)),0),"")</f>
        <v>1</v>
      </c>
      <c r="K901" s="50">
        <f t="shared" si="74"/>
        <v>1</v>
      </c>
      <c r="L901" s="50">
        <f>IF(D901="","",IF(COUNTIF(Paramètres!$A$11:$A$40,D901)&gt;0,1,0))</f>
        <v>1</v>
      </c>
    </row>
    <row r="902" spans="1:12" x14ac:dyDescent="0.25">
      <c r="A902" s="49"/>
      <c r="B902" s="49" t="s">
        <v>830</v>
      </c>
      <c r="C902" s="49" t="s">
        <v>962</v>
      </c>
      <c r="D902" s="50" t="str">
        <f t="shared" si="70"/>
        <v>Zouhour FATHALLAH</v>
      </c>
      <c r="E902" s="50" t="str">
        <f t="shared" si="71"/>
        <v>sept</v>
      </c>
      <c r="F902" s="50">
        <f t="shared" si="72"/>
        <v>21</v>
      </c>
      <c r="G902" s="50">
        <f t="shared" si="73"/>
        <v>2026</v>
      </c>
      <c r="H902" s="51">
        <f>IF($C902="","",IFERROR(DATE(G902,VLOOKUP(E902,Paramètres!$K$11:$L$40,2,FALSE()),F902),"?"))</f>
        <v>46286</v>
      </c>
      <c r="I902" s="50">
        <f>IF(ISNUMBER(H902),IF(COUNTIFS($D$2:D902,D902,$H$2:H902,H902)=1,1,0),"")</f>
        <v>1</v>
      </c>
      <c r="J902" s="50">
        <f>IF(ISNUMBER(H902),IFERROR(INDEX(Calendrier!$C$2:$C$367,MATCH(H902,Calendrier!$A$2:$A$367,0)),0),"")</f>
        <v>1</v>
      </c>
      <c r="K902" s="50">
        <f t="shared" si="74"/>
        <v>1</v>
      </c>
      <c r="L902" s="50">
        <f>IF(D902="","",IF(COUNTIF(Paramètres!$A$11:$A$40,D902)&gt;0,1,0))</f>
        <v>1</v>
      </c>
    </row>
    <row r="903" spans="1:12" x14ac:dyDescent="0.25">
      <c r="A903" s="49"/>
      <c r="B903" s="49" t="s">
        <v>830</v>
      </c>
      <c r="C903" s="49" t="s">
        <v>963</v>
      </c>
      <c r="D903" s="50" t="str">
        <f t="shared" si="70"/>
        <v>Zouhour FATHALLAH</v>
      </c>
      <c r="E903" s="50" t="str">
        <f t="shared" si="71"/>
        <v>sept</v>
      </c>
      <c r="F903" s="50">
        <f t="shared" si="72"/>
        <v>24</v>
      </c>
      <c r="G903" s="50">
        <f t="shared" si="73"/>
        <v>2026</v>
      </c>
      <c r="H903" s="51">
        <f>IF($C903="","",IFERROR(DATE(G903,VLOOKUP(E903,Paramètres!$K$11:$L$40,2,FALSE()),F903),"?"))</f>
        <v>46289</v>
      </c>
      <c r="I903" s="50">
        <f>IF(ISNUMBER(H903),IF(COUNTIFS($D$2:D903,D903,$H$2:H903,H903)=1,1,0),"")</f>
        <v>1</v>
      </c>
      <c r="J903" s="50">
        <f>IF(ISNUMBER(H903),IFERROR(INDEX(Calendrier!$C$2:$C$367,MATCH(H903,Calendrier!$A$2:$A$367,0)),0),"")</f>
        <v>1</v>
      </c>
      <c r="K903" s="50">
        <f t="shared" si="74"/>
        <v>1</v>
      </c>
      <c r="L903" s="50">
        <f>IF(D903="","",IF(COUNTIF(Paramètres!$A$11:$A$40,D903)&gt;0,1,0))</f>
        <v>1</v>
      </c>
    </row>
    <row r="904" spans="1:12" x14ac:dyDescent="0.25">
      <c r="A904" s="49"/>
      <c r="B904" s="49" t="s">
        <v>830</v>
      </c>
      <c r="C904" s="49" t="s">
        <v>964</v>
      </c>
      <c r="D904" s="50" t="str">
        <f t="shared" si="70"/>
        <v>Zouhour FATHALLAH</v>
      </c>
      <c r="E904" s="50" t="str">
        <f t="shared" si="71"/>
        <v>sept</v>
      </c>
      <c r="F904" s="50">
        <f t="shared" si="72"/>
        <v>26</v>
      </c>
      <c r="G904" s="50">
        <f t="shared" si="73"/>
        <v>2026</v>
      </c>
      <c r="H904" s="51">
        <f>IF($C904="","",IFERROR(DATE(G904,VLOOKUP(E904,Paramètres!$K$11:$L$40,2,FALSE()),F904),"?"))</f>
        <v>46291</v>
      </c>
      <c r="I904" s="50">
        <f>IF(ISNUMBER(H904),IF(COUNTIFS($D$2:D904,D904,$H$2:H904,H904)=1,1,0),"")</f>
        <v>1</v>
      </c>
      <c r="J904" s="50">
        <f>IF(ISNUMBER(H904),IFERROR(INDEX(Calendrier!$C$2:$C$367,MATCH(H904,Calendrier!$A$2:$A$367,0)),0),"")</f>
        <v>0</v>
      </c>
      <c r="K904" s="50">
        <f t="shared" si="74"/>
        <v>0</v>
      </c>
      <c r="L904" s="50">
        <f>IF(D904="","",IF(COUNTIF(Paramètres!$A$11:$A$40,D904)&gt;0,1,0))</f>
        <v>1</v>
      </c>
    </row>
    <row r="905" spans="1:12" x14ac:dyDescent="0.25">
      <c r="A905" s="49"/>
      <c r="B905" s="49" t="s">
        <v>830</v>
      </c>
      <c r="C905" s="49" t="s">
        <v>965</v>
      </c>
      <c r="D905" s="50" t="str">
        <f t="shared" si="70"/>
        <v>Zouhour FATHALLAH</v>
      </c>
      <c r="E905" s="50" t="str">
        <f t="shared" si="71"/>
        <v>sept</v>
      </c>
      <c r="F905" s="50">
        <f t="shared" si="72"/>
        <v>28</v>
      </c>
      <c r="G905" s="50">
        <f t="shared" si="73"/>
        <v>2026</v>
      </c>
      <c r="H905" s="51">
        <f>IF($C905="","",IFERROR(DATE(G905,VLOOKUP(E905,Paramètres!$K$11:$L$40,2,FALSE()),F905),"?"))</f>
        <v>46293</v>
      </c>
      <c r="I905" s="50">
        <f>IF(ISNUMBER(H905),IF(COUNTIFS($D$2:D905,D905,$H$2:H905,H905)=1,1,0),"")</f>
        <v>1</v>
      </c>
      <c r="J905" s="50">
        <f>IF(ISNUMBER(H905),IFERROR(INDEX(Calendrier!$C$2:$C$367,MATCH(H905,Calendrier!$A$2:$A$367,0)),0),"")</f>
        <v>1</v>
      </c>
      <c r="K905" s="50">
        <f t="shared" si="74"/>
        <v>1</v>
      </c>
      <c r="L905" s="50">
        <f>IF(D905="","",IF(COUNTIF(Paramètres!$A$11:$A$40,D905)&gt;0,1,0))</f>
        <v>1</v>
      </c>
    </row>
    <row r="906" spans="1:12" x14ac:dyDescent="0.25">
      <c r="A906" s="49"/>
      <c r="B906" s="49" t="s">
        <v>830</v>
      </c>
      <c r="C906" s="49" t="s">
        <v>966</v>
      </c>
      <c r="D906" s="50" t="str">
        <f t="shared" si="70"/>
        <v>Zouhour FATHALLAH</v>
      </c>
      <c r="E906" s="50" t="str">
        <f t="shared" si="71"/>
        <v>sept</v>
      </c>
      <c r="F906" s="50">
        <f t="shared" si="72"/>
        <v>29</v>
      </c>
      <c r="G906" s="50">
        <f t="shared" si="73"/>
        <v>2026</v>
      </c>
      <c r="H906" s="51">
        <f>IF($C906="","",IFERROR(DATE(G906,VLOOKUP(E906,Paramètres!$K$11:$L$40,2,FALSE()),F906),"?"))</f>
        <v>46294</v>
      </c>
      <c r="I906" s="50">
        <f>IF(ISNUMBER(H906),IF(COUNTIFS($D$2:D906,D906,$H$2:H906,H906)=1,1,0),"")</f>
        <v>1</v>
      </c>
      <c r="J906" s="50">
        <f>IF(ISNUMBER(H906),IFERROR(INDEX(Calendrier!$C$2:$C$367,MATCH(H906,Calendrier!$A$2:$A$367,0)),0),"")</f>
        <v>1</v>
      </c>
      <c r="K906" s="50">
        <f t="shared" si="74"/>
        <v>1</v>
      </c>
      <c r="L906" s="50">
        <f>IF(D906="","",IF(COUNTIF(Paramètres!$A$11:$A$40,D906)&gt;0,1,0))</f>
        <v>1</v>
      </c>
    </row>
    <row r="907" spans="1:12" hidden="1" x14ac:dyDescent="0.25">
      <c r="A907" s="49"/>
      <c r="B907" s="49" t="s">
        <v>78</v>
      </c>
      <c r="C907" s="49" t="s">
        <v>967</v>
      </c>
      <c r="D907" s="50" t="str">
        <f t="shared" si="70"/>
        <v>Nouha Ben Khlifa</v>
      </c>
      <c r="E907" s="50" t="str">
        <f t="shared" si="71"/>
        <v>sept</v>
      </c>
      <c r="F907" s="50">
        <f t="shared" si="72"/>
        <v>2</v>
      </c>
      <c r="G907" s="50">
        <f t="shared" si="73"/>
        <v>2026</v>
      </c>
      <c r="H907" s="51">
        <f>IF($C907="","",IFERROR(DATE(G907,VLOOKUP(E907,Paramètres!$K$11:$L$40,2,FALSE()),F907),"?"))</f>
        <v>46267</v>
      </c>
      <c r="I907" s="50">
        <f>IF(ISNUMBER(H907),IF(COUNTIFS($D$2:D907,D907,$H$2:H907,H907)=1,1,0),"")</f>
        <v>1</v>
      </c>
      <c r="J907" s="50">
        <f>IF(ISNUMBER(H907),IFERROR(INDEX(Calendrier!$C$2:$C$367,MATCH(H907,Calendrier!$A$2:$A$367,0)),0),"")</f>
        <v>1</v>
      </c>
      <c r="K907" s="50">
        <f t="shared" si="74"/>
        <v>1</v>
      </c>
      <c r="L907" s="50">
        <f>IF(D907="","",IF(COUNTIF(Paramètres!$A$11:$A$40,D907)&gt;0,1,0))</f>
        <v>1</v>
      </c>
    </row>
    <row r="908" spans="1:12" hidden="1" x14ac:dyDescent="0.25">
      <c r="A908" s="49"/>
      <c r="B908" s="49" t="s">
        <v>78</v>
      </c>
      <c r="C908" s="49" t="s">
        <v>968</v>
      </c>
      <c r="D908" s="50" t="str">
        <f t="shared" si="70"/>
        <v>Nouha Ben Khlifa</v>
      </c>
      <c r="E908" s="50" t="str">
        <f t="shared" si="71"/>
        <v>sept</v>
      </c>
      <c r="F908" s="50">
        <f t="shared" si="72"/>
        <v>23</v>
      </c>
      <c r="G908" s="50">
        <f t="shared" si="73"/>
        <v>2026</v>
      </c>
      <c r="H908" s="51">
        <f>IF($C908="","",IFERROR(DATE(G908,VLOOKUP(E908,Paramètres!$K$11:$L$40,2,FALSE()),F908),"?"))</f>
        <v>46288</v>
      </c>
      <c r="I908" s="50">
        <f>IF(ISNUMBER(H908),IF(COUNTIFS($D$2:D908,D908,$H$2:H908,H908)=1,1,0),"")</f>
        <v>1</v>
      </c>
      <c r="J908" s="50">
        <f>IF(ISNUMBER(H908),IFERROR(INDEX(Calendrier!$C$2:$C$367,MATCH(H908,Calendrier!$A$2:$A$367,0)),0),"")</f>
        <v>1</v>
      </c>
      <c r="K908" s="50">
        <f t="shared" si="74"/>
        <v>1</v>
      </c>
      <c r="L908" s="50">
        <f>IF(D908="","",IF(COUNTIF(Paramètres!$A$11:$A$40,D908)&gt;0,1,0))</f>
        <v>1</v>
      </c>
    </row>
    <row r="909" spans="1:12" hidden="1" x14ac:dyDescent="0.25">
      <c r="A909" s="49"/>
      <c r="B909" s="49" t="s">
        <v>78</v>
      </c>
      <c r="C909" s="49" t="s">
        <v>968</v>
      </c>
      <c r="D909" s="50" t="str">
        <f t="shared" si="70"/>
        <v>Nouha Ben Khlifa</v>
      </c>
      <c r="E909" s="50" t="str">
        <f t="shared" si="71"/>
        <v>sept</v>
      </c>
      <c r="F909" s="50">
        <f t="shared" si="72"/>
        <v>23</v>
      </c>
      <c r="G909" s="50">
        <f t="shared" si="73"/>
        <v>2026</v>
      </c>
      <c r="H909" s="51">
        <f>IF($C909="","",IFERROR(DATE(G909,VLOOKUP(E909,Paramètres!$K$11:$L$40,2,FALSE()),F909),"?"))</f>
        <v>46288</v>
      </c>
      <c r="I909" s="50">
        <f>IF(ISNUMBER(H909),IF(COUNTIFS($D$2:D909,D909,$H$2:H909,H909)=1,1,0),"")</f>
        <v>0</v>
      </c>
      <c r="J909" s="50">
        <f>IF(ISNUMBER(H909),IFERROR(INDEX(Calendrier!$C$2:$C$367,MATCH(H909,Calendrier!$A$2:$A$367,0)),0),"")</f>
        <v>1</v>
      </c>
      <c r="K909" s="50">
        <f t="shared" si="74"/>
        <v>0</v>
      </c>
      <c r="L909" s="50">
        <f>IF(D909="","",IF(COUNTIF(Paramètres!$A$11:$A$40,D909)&gt;0,1,0))</f>
        <v>1</v>
      </c>
    </row>
    <row r="910" spans="1:12" hidden="1" x14ac:dyDescent="0.25">
      <c r="A910" s="49"/>
      <c r="B910" s="49" t="s">
        <v>55</v>
      </c>
      <c r="C910" s="49" t="s">
        <v>969</v>
      </c>
      <c r="D910" s="50" t="str">
        <f t="shared" si="70"/>
        <v>Chaima Jdid</v>
      </c>
      <c r="E910" s="50" t="str">
        <f t="shared" si="71"/>
        <v>sept</v>
      </c>
      <c r="F910" s="50">
        <f t="shared" si="72"/>
        <v>7</v>
      </c>
      <c r="G910" s="50">
        <f t="shared" si="73"/>
        <v>2026</v>
      </c>
      <c r="H910" s="51">
        <f>IF($C910="","",IFERROR(DATE(G910,VLOOKUP(E910,Paramètres!$K$11:$L$40,2,FALSE()),F910),"?"))</f>
        <v>46272</v>
      </c>
      <c r="I910" s="50">
        <f>IF(ISNUMBER(H910),IF(COUNTIFS($D$2:D910,D910,$H$2:H910,H910)=1,1,0),"")</f>
        <v>1</v>
      </c>
      <c r="J910" s="50">
        <f>IF(ISNUMBER(H910),IFERROR(INDEX(Calendrier!$C$2:$C$367,MATCH(H910,Calendrier!$A$2:$A$367,0)),0),"")</f>
        <v>1</v>
      </c>
      <c r="K910" s="50">
        <f t="shared" si="74"/>
        <v>1</v>
      </c>
      <c r="L910" s="50">
        <f>IF(D910="","",IF(COUNTIF(Paramètres!$A$11:$A$40,D910)&gt;0,1,0))</f>
        <v>1</v>
      </c>
    </row>
    <row r="911" spans="1:12" hidden="1" x14ac:dyDescent="0.25">
      <c r="A911" s="49"/>
      <c r="B911" s="49" t="s">
        <v>55</v>
      </c>
      <c r="C911" s="49" t="s">
        <v>970</v>
      </c>
      <c r="D911" s="50" t="str">
        <f t="shared" si="70"/>
        <v>Chaima Jdid</v>
      </c>
      <c r="E911" s="50" t="str">
        <f t="shared" si="71"/>
        <v>sept</v>
      </c>
      <c r="F911" s="50">
        <f t="shared" si="72"/>
        <v>14</v>
      </c>
      <c r="G911" s="50">
        <f t="shared" si="73"/>
        <v>2026</v>
      </c>
      <c r="H911" s="51">
        <f>IF($C911="","",IFERROR(DATE(G911,VLOOKUP(E911,Paramètres!$K$11:$L$40,2,FALSE()),F911),"?"))</f>
        <v>46279</v>
      </c>
      <c r="I911" s="50">
        <f>IF(ISNUMBER(H911),IF(COUNTIFS($D$2:D911,D911,$H$2:H911,H911)=1,1,0),"")</f>
        <v>1</v>
      </c>
      <c r="J911" s="50">
        <f>IF(ISNUMBER(H911),IFERROR(INDEX(Calendrier!$C$2:$C$367,MATCH(H911,Calendrier!$A$2:$A$367,0)),0),"")</f>
        <v>1</v>
      </c>
      <c r="K911" s="50">
        <f t="shared" si="74"/>
        <v>1</v>
      </c>
      <c r="L911" s="50">
        <f>IF(D911="","",IF(COUNTIF(Paramètres!$A$11:$A$40,D911)&gt;0,1,0))</f>
        <v>1</v>
      </c>
    </row>
    <row r="912" spans="1:12" hidden="1" x14ac:dyDescent="0.25">
      <c r="A912" s="49"/>
      <c r="B912" s="49" t="s">
        <v>55</v>
      </c>
      <c r="C912" s="49" t="s">
        <v>971</v>
      </c>
      <c r="D912" s="50" t="str">
        <f t="shared" si="70"/>
        <v>Chaima Jdid</v>
      </c>
      <c r="E912" s="50" t="str">
        <f t="shared" si="71"/>
        <v>sept</v>
      </c>
      <c r="F912" s="50">
        <f t="shared" si="72"/>
        <v>21</v>
      </c>
      <c r="G912" s="50">
        <f t="shared" si="73"/>
        <v>2026</v>
      </c>
      <c r="H912" s="51">
        <f>IF($C912="","",IFERROR(DATE(G912,VLOOKUP(E912,Paramètres!$K$11:$L$40,2,FALSE()),F912),"?"))</f>
        <v>46286</v>
      </c>
      <c r="I912" s="50">
        <f>IF(ISNUMBER(H912),IF(COUNTIFS($D$2:D912,D912,$H$2:H912,H912)=1,1,0),"")</f>
        <v>1</v>
      </c>
      <c r="J912" s="50">
        <f>IF(ISNUMBER(H912),IFERROR(INDEX(Calendrier!$C$2:$C$367,MATCH(H912,Calendrier!$A$2:$A$367,0)),0),"")</f>
        <v>1</v>
      </c>
      <c r="K912" s="50">
        <f t="shared" si="74"/>
        <v>1</v>
      </c>
      <c r="L912" s="50">
        <f>IF(D912="","",IF(COUNTIF(Paramètres!$A$11:$A$40,D912)&gt;0,1,0))</f>
        <v>1</v>
      </c>
    </row>
    <row r="913" spans="1:12" hidden="1" x14ac:dyDescent="0.25">
      <c r="A913" s="49"/>
      <c r="B913" s="49" t="s">
        <v>55</v>
      </c>
      <c r="C913" s="49" t="s">
        <v>972</v>
      </c>
      <c r="D913" s="50" t="str">
        <f t="shared" si="70"/>
        <v>Chaima Jdid</v>
      </c>
      <c r="E913" s="50" t="str">
        <f t="shared" si="71"/>
        <v>sept</v>
      </c>
      <c r="F913" s="50">
        <f t="shared" si="72"/>
        <v>22</v>
      </c>
      <c r="G913" s="50">
        <f t="shared" si="73"/>
        <v>2026</v>
      </c>
      <c r="H913" s="51">
        <f>IF($C913="","",IFERROR(DATE(G913,VLOOKUP(E913,Paramètres!$K$11:$L$40,2,FALSE()),F913),"?"))</f>
        <v>46287</v>
      </c>
      <c r="I913" s="50">
        <f>IF(ISNUMBER(H913),IF(COUNTIFS($D$2:D913,D913,$H$2:H913,H913)=1,1,0),"")</f>
        <v>1</v>
      </c>
      <c r="J913" s="50">
        <f>IF(ISNUMBER(H913),IFERROR(INDEX(Calendrier!$C$2:$C$367,MATCH(H913,Calendrier!$A$2:$A$367,0)),0),"")</f>
        <v>1</v>
      </c>
      <c r="K913" s="50">
        <f t="shared" si="74"/>
        <v>1</v>
      </c>
      <c r="L913" s="50">
        <f>IF(D913="","",IF(COUNTIF(Paramètres!$A$11:$A$40,D913)&gt;0,1,0))</f>
        <v>1</v>
      </c>
    </row>
    <row r="914" spans="1:12" hidden="1" x14ac:dyDescent="0.25">
      <c r="A914" s="49"/>
      <c r="B914" s="49" t="s">
        <v>55</v>
      </c>
      <c r="C914" s="49" t="s">
        <v>973</v>
      </c>
      <c r="D914" s="50" t="str">
        <f t="shared" si="70"/>
        <v>Chaima Jdid</v>
      </c>
      <c r="E914" s="50" t="str">
        <f t="shared" si="71"/>
        <v>sept</v>
      </c>
      <c r="F914" s="50">
        <f t="shared" si="72"/>
        <v>23</v>
      </c>
      <c r="G914" s="50">
        <f t="shared" si="73"/>
        <v>2026</v>
      </c>
      <c r="H914" s="51">
        <f>IF($C914="","",IFERROR(DATE(G914,VLOOKUP(E914,Paramètres!$K$11:$L$40,2,FALSE()),F914),"?"))</f>
        <v>46288</v>
      </c>
      <c r="I914" s="50">
        <f>IF(ISNUMBER(H914),IF(COUNTIFS($D$2:D914,D914,$H$2:H914,H914)=1,1,0),"")</f>
        <v>1</v>
      </c>
      <c r="J914" s="50">
        <f>IF(ISNUMBER(H914),IFERROR(INDEX(Calendrier!$C$2:$C$367,MATCH(H914,Calendrier!$A$2:$A$367,0)),0),"")</f>
        <v>1</v>
      </c>
      <c r="K914" s="50">
        <f t="shared" si="74"/>
        <v>1</v>
      </c>
      <c r="L914" s="50">
        <f>IF(D914="","",IF(COUNTIF(Paramètres!$A$11:$A$40,D914)&gt;0,1,0))</f>
        <v>1</v>
      </c>
    </row>
    <row r="915" spans="1:12" hidden="1" x14ac:dyDescent="0.25">
      <c r="A915" s="49"/>
      <c r="B915" s="49" t="s">
        <v>55</v>
      </c>
      <c r="C915" s="49" t="s">
        <v>974</v>
      </c>
      <c r="D915" s="50" t="str">
        <f t="shared" si="70"/>
        <v>Chaima Jdid</v>
      </c>
      <c r="E915" s="50" t="str">
        <f t="shared" si="71"/>
        <v>sept</v>
      </c>
      <c r="F915" s="50">
        <f t="shared" si="72"/>
        <v>25</v>
      </c>
      <c r="G915" s="50">
        <f t="shared" si="73"/>
        <v>2026</v>
      </c>
      <c r="H915" s="51">
        <f>IF($C915="","",IFERROR(DATE(G915,VLOOKUP(E915,Paramètres!$K$11:$L$40,2,FALSE()),F915),"?"))</f>
        <v>46290</v>
      </c>
      <c r="I915" s="50">
        <f>IF(ISNUMBER(H915),IF(COUNTIFS($D$2:D915,D915,$H$2:H915,H915)=1,1,0),"")</f>
        <v>1</v>
      </c>
      <c r="J915" s="50">
        <f>IF(ISNUMBER(H915),IFERROR(INDEX(Calendrier!$C$2:$C$367,MATCH(H915,Calendrier!$A$2:$A$367,0)),0),"")</f>
        <v>1</v>
      </c>
      <c r="K915" s="50">
        <f t="shared" si="74"/>
        <v>1</v>
      </c>
      <c r="L915" s="50">
        <f>IF(D915="","",IF(COUNTIF(Paramètres!$A$11:$A$40,D915)&gt;0,1,0))</f>
        <v>1</v>
      </c>
    </row>
    <row r="916" spans="1:12" hidden="1" x14ac:dyDescent="0.25">
      <c r="A916" s="49"/>
      <c r="B916" s="49" t="s">
        <v>55</v>
      </c>
      <c r="C916" s="49" t="s">
        <v>975</v>
      </c>
      <c r="D916" s="50" t="str">
        <f t="shared" si="70"/>
        <v>Chaima Jdid</v>
      </c>
      <c r="E916" s="50" t="str">
        <f t="shared" si="71"/>
        <v>sept</v>
      </c>
      <c r="F916" s="50">
        <f t="shared" si="72"/>
        <v>26</v>
      </c>
      <c r="G916" s="50">
        <f t="shared" si="73"/>
        <v>2026</v>
      </c>
      <c r="H916" s="51">
        <f>IF($C916="","",IFERROR(DATE(G916,VLOOKUP(E916,Paramètres!$K$11:$L$40,2,FALSE()),F916),"?"))</f>
        <v>46291</v>
      </c>
      <c r="I916" s="50">
        <f>IF(ISNUMBER(H916),IF(COUNTIFS($D$2:D916,D916,$H$2:H916,H916)=1,1,0),"")</f>
        <v>1</v>
      </c>
      <c r="J916" s="50">
        <f>IF(ISNUMBER(H916),IFERROR(INDEX(Calendrier!$C$2:$C$367,MATCH(H916,Calendrier!$A$2:$A$367,0)),0),"")</f>
        <v>0</v>
      </c>
      <c r="K916" s="50">
        <f t="shared" si="74"/>
        <v>0</v>
      </c>
      <c r="L916" s="50">
        <f>IF(D916="","",IF(COUNTIF(Paramètres!$A$11:$A$40,D916)&gt;0,1,0))</f>
        <v>1</v>
      </c>
    </row>
    <row r="917" spans="1:12" hidden="1" x14ac:dyDescent="0.25">
      <c r="A917" s="49"/>
      <c r="B917" s="49" t="s">
        <v>55</v>
      </c>
      <c r="C917" s="49" t="s">
        <v>976</v>
      </c>
      <c r="D917" s="50" t="str">
        <f t="shared" si="70"/>
        <v>Chaima Jdid</v>
      </c>
      <c r="E917" s="50" t="str">
        <f t="shared" si="71"/>
        <v>sept</v>
      </c>
      <c r="F917" s="50">
        <f t="shared" si="72"/>
        <v>28</v>
      </c>
      <c r="G917" s="50">
        <f t="shared" si="73"/>
        <v>2026</v>
      </c>
      <c r="H917" s="51">
        <f>IF($C917="","",IFERROR(DATE(G917,VLOOKUP(E917,Paramètres!$K$11:$L$40,2,FALSE()),F917),"?"))</f>
        <v>46293</v>
      </c>
      <c r="I917" s="50">
        <f>IF(ISNUMBER(H917),IF(COUNTIFS($D$2:D917,D917,$H$2:H917,H917)=1,1,0),"")</f>
        <v>1</v>
      </c>
      <c r="J917" s="50">
        <f>IF(ISNUMBER(H917),IFERROR(INDEX(Calendrier!$C$2:$C$367,MATCH(H917,Calendrier!$A$2:$A$367,0)),0),"")</f>
        <v>1</v>
      </c>
      <c r="K917" s="50">
        <f t="shared" si="74"/>
        <v>1</v>
      </c>
      <c r="L917" s="50">
        <f>IF(D917="","",IF(COUNTIF(Paramètres!$A$11:$A$40,D917)&gt;0,1,0))</f>
        <v>1</v>
      </c>
    </row>
    <row r="918" spans="1:12" hidden="1" x14ac:dyDescent="0.25">
      <c r="A918" s="49"/>
      <c r="B918" s="49" t="s">
        <v>59</v>
      </c>
      <c r="C918" s="49" t="s">
        <v>977</v>
      </c>
      <c r="D918" s="50" t="str">
        <f t="shared" si="70"/>
        <v>Imre Kapusi</v>
      </c>
      <c r="E918" s="50" t="str">
        <f t="shared" si="71"/>
        <v>sept</v>
      </c>
      <c r="F918" s="50">
        <f t="shared" si="72"/>
        <v>9</v>
      </c>
      <c r="G918" s="50">
        <f t="shared" si="73"/>
        <v>2026</v>
      </c>
      <c r="H918" s="51">
        <f>IF($C918="","",IFERROR(DATE(G918,VLOOKUP(E918,Paramètres!$K$11:$L$40,2,FALSE()),F918),"?"))</f>
        <v>46274</v>
      </c>
      <c r="I918" s="50">
        <f>IF(ISNUMBER(H918),IF(COUNTIFS($D$2:D918,D918,$H$2:H918,H918)=1,1,0),"")</f>
        <v>1</v>
      </c>
      <c r="J918" s="50">
        <f>IF(ISNUMBER(H918),IFERROR(INDEX(Calendrier!$C$2:$C$367,MATCH(H918,Calendrier!$A$2:$A$367,0)),0),"")</f>
        <v>1</v>
      </c>
      <c r="K918" s="50">
        <f t="shared" si="74"/>
        <v>1</v>
      </c>
      <c r="L918" s="50">
        <f>IF(D918="","",IF(COUNTIF(Paramètres!$A$11:$A$40,D918)&gt;0,1,0))</f>
        <v>1</v>
      </c>
    </row>
    <row r="919" spans="1:12" hidden="1" x14ac:dyDescent="0.25">
      <c r="A919" s="49"/>
      <c r="B919" s="49" t="s">
        <v>59</v>
      </c>
      <c r="C919" s="49" t="s">
        <v>977</v>
      </c>
      <c r="D919" s="50" t="str">
        <f t="shared" si="70"/>
        <v>Imre Kapusi</v>
      </c>
      <c r="E919" s="50" t="str">
        <f t="shared" si="71"/>
        <v>sept</v>
      </c>
      <c r="F919" s="50">
        <f t="shared" si="72"/>
        <v>9</v>
      </c>
      <c r="G919" s="50">
        <f t="shared" si="73"/>
        <v>2026</v>
      </c>
      <c r="H919" s="51">
        <f>IF($C919="","",IFERROR(DATE(G919,VLOOKUP(E919,Paramètres!$K$11:$L$40,2,FALSE()),F919),"?"))</f>
        <v>46274</v>
      </c>
      <c r="I919" s="50">
        <f>IF(ISNUMBER(H919),IF(COUNTIFS($D$2:D919,D919,$H$2:H919,H919)=1,1,0),"")</f>
        <v>0</v>
      </c>
      <c r="J919" s="50">
        <f>IF(ISNUMBER(H919),IFERROR(INDEX(Calendrier!$C$2:$C$367,MATCH(H919,Calendrier!$A$2:$A$367,0)),0),"")</f>
        <v>1</v>
      </c>
      <c r="K919" s="50">
        <f t="shared" si="74"/>
        <v>0</v>
      </c>
      <c r="L919" s="50">
        <f>IF(D919="","",IF(COUNTIF(Paramètres!$A$11:$A$40,D919)&gt;0,1,0))</f>
        <v>1</v>
      </c>
    </row>
    <row r="920" spans="1:12" hidden="1" x14ac:dyDescent="0.25">
      <c r="A920" s="49"/>
      <c r="B920" s="49" t="s">
        <v>59</v>
      </c>
      <c r="C920" s="49" t="s">
        <v>978</v>
      </c>
      <c r="D920" s="50" t="str">
        <f t="shared" si="70"/>
        <v>Imre Kapusi</v>
      </c>
      <c r="E920" s="50" t="str">
        <f t="shared" si="71"/>
        <v>sept</v>
      </c>
      <c r="F920" s="50">
        <f t="shared" si="72"/>
        <v>16</v>
      </c>
      <c r="G920" s="50">
        <f t="shared" si="73"/>
        <v>2026</v>
      </c>
      <c r="H920" s="51">
        <f>IF($C920="","",IFERROR(DATE(G920,VLOOKUP(E920,Paramètres!$K$11:$L$40,2,FALSE()),F920),"?"))</f>
        <v>46281</v>
      </c>
      <c r="I920" s="50">
        <f>IF(ISNUMBER(H920),IF(COUNTIFS($D$2:D920,D920,$H$2:H920,H920)=1,1,0),"")</f>
        <v>1</v>
      </c>
      <c r="J920" s="50">
        <f>IF(ISNUMBER(H920),IFERROR(INDEX(Calendrier!$C$2:$C$367,MATCH(H920,Calendrier!$A$2:$A$367,0)),0),"")</f>
        <v>1</v>
      </c>
      <c r="K920" s="50">
        <f t="shared" si="74"/>
        <v>1</v>
      </c>
      <c r="L920" s="50">
        <f>IF(D920="","",IF(COUNTIF(Paramètres!$A$11:$A$40,D920)&gt;0,1,0))</f>
        <v>1</v>
      </c>
    </row>
    <row r="921" spans="1:12" hidden="1" x14ac:dyDescent="0.25">
      <c r="A921" s="49"/>
      <c r="B921" s="49" t="s">
        <v>59</v>
      </c>
      <c r="C921" s="49" t="s">
        <v>979</v>
      </c>
      <c r="D921" s="50" t="str">
        <f t="shared" si="70"/>
        <v>Imre Kapusi</v>
      </c>
      <c r="E921" s="50" t="str">
        <f t="shared" si="71"/>
        <v>sept</v>
      </c>
      <c r="F921" s="50">
        <f t="shared" si="72"/>
        <v>19</v>
      </c>
      <c r="G921" s="50">
        <f t="shared" si="73"/>
        <v>2026</v>
      </c>
      <c r="H921" s="51">
        <f>IF($C921="","",IFERROR(DATE(G921,VLOOKUP(E921,Paramètres!$K$11:$L$40,2,FALSE()),F921),"?"))</f>
        <v>46284</v>
      </c>
      <c r="I921" s="50">
        <f>IF(ISNUMBER(H921),IF(COUNTIFS($D$2:D921,D921,$H$2:H921,H921)=1,1,0),"")</f>
        <v>1</v>
      </c>
      <c r="J921" s="50">
        <f>IF(ISNUMBER(H921),IFERROR(INDEX(Calendrier!$C$2:$C$367,MATCH(H921,Calendrier!$A$2:$A$367,0)),0),"")</f>
        <v>0</v>
      </c>
      <c r="K921" s="50">
        <f t="shared" si="74"/>
        <v>0</v>
      </c>
      <c r="L921" s="50">
        <f>IF(D921="","",IF(COUNTIF(Paramètres!$A$11:$A$40,D921)&gt;0,1,0))</f>
        <v>1</v>
      </c>
    </row>
    <row r="922" spans="1:12" hidden="1" x14ac:dyDescent="0.25">
      <c r="A922" s="49"/>
      <c r="B922" s="49" t="s">
        <v>59</v>
      </c>
      <c r="C922" s="49" t="s">
        <v>980</v>
      </c>
      <c r="D922" s="50" t="str">
        <f t="shared" si="70"/>
        <v>Imre Kapusi</v>
      </c>
      <c r="E922" s="50" t="str">
        <f t="shared" si="71"/>
        <v>sept</v>
      </c>
      <c r="F922" s="50">
        <f t="shared" si="72"/>
        <v>21</v>
      </c>
      <c r="G922" s="50">
        <f t="shared" si="73"/>
        <v>2026</v>
      </c>
      <c r="H922" s="51">
        <f>IF($C922="","",IFERROR(DATE(G922,VLOOKUP(E922,Paramètres!$K$11:$L$40,2,FALSE()),F922),"?"))</f>
        <v>46286</v>
      </c>
      <c r="I922" s="50">
        <f>IF(ISNUMBER(H922),IF(COUNTIFS($D$2:D922,D922,$H$2:H922,H922)=1,1,0),"")</f>
        <v>1</v>
      </c>
      <c r="J922" s="50">
        <f>IF(ISNUMBER(H922),IFERROR(INDEX(Calendrier!$C$2:$C$367,MATCH(H922,Calendrier!$A$2:$A$367,0)),0),"")</f>
        <v>1</v>
      </c>
      <c r="K922" s="50">
        <f t="shared" si="74"/>
        <v>1</v>
      </c>
      <c r="L922" s="50">
        <f>IF(D922="","",IF(COUNTIF(Paramètres!$A$11:$A$40,D922)&gt;0,1,0))</f>
        <v>1</v>
      </c>
    </row>
    <row r="923" spans="1:12" hidden="1" x14ac:dyDescent="0.25">
      <c r="A923" s="49"/>
      <c r="B923" s="49" t="s">
        <v>59</v>
      </c>
      <c r="C923" s="49" t="s">
        <v>981</v>
      </c>
      <c r="D923" s="50" t="str">
        <f t="shared" si="70"/>
        <v>Imre Kapusi</v>
      </c>
      <c r="E923" s="50" t="str">
        <f t="shared" si="71"/>
        <v>sept</v>
      </c>
      <c r="F923" s="50">
        <f t="shared" si="72"/>
        <v>23</v>
      </c>
      <c r="G923" s="50">
        <f t="shared" si="73"/>
        <v>2026</v>
      </c>
      <c r="H923" s="51">
        <f>IF($C923="","",IFERROR(DATE(G923,VLOOKUP(E923,Paramètres!$K$11:$L$40,2,FALSE()),F923),"?"))</f>
        <v>46288</v>
      </c>
      <c r="I923" s="50">
        <f>IF(ISNUMBER(H923),IF(COUNTIFS($D$2:D923,D923,$H$2:H923,H923)=1,1,0),"")</f>
        <v>1</v>
      </c>
      <c r="J923" s="50">
        <f>IF(ISNUMBER(H923),IFERROR(INDEX(Calendrier!$C$2:$C$367,MATCH(H923,Calendrier!$A$2:$A$367,0)),0),"")</f>
        <v>1</v>
      </c>
      <c r="K923" s="50">
        <f t="shared" si="74"/>
        <v>1</v>
      </c>
      <c r="L923" s="50">
        <f>IF(D923="","",IF(COUNTIF(Paramètres!$A$11:$A$40,D923)&gt;0,1,0))</f>
        <v>1</v>
      </c>
    </row>
    <row r="924" spans="1:12" hidden="1" x14ac:dyDescent="0.25">
      <c r="A924" s="49"/>
      <c r="B924" s="49"/>
      <c r="C924" s="49"/>
      <c r="D924" s="50" t="str">
        <f t="shared" si="70"/>
        <v/>
      </c>
      <c r="E924" s="50" t="str">
        <f t="shared" si="71"/>
        <v/>
      </c>
      <c r="F924" s="50" t="str">
        <f t="shared" si="72"/>
        <v/>
      </c>
      <c r="G924" s="50" t="str">
        <f t="shared" si="73"/>
        <v/>
      </c>
      <c r="H924" s="51" t="str">
        <f>IF($C924="","",IFERROR(DATE(G924,VLOOKUP(E924,Paramètres!$K$11:$L$40,2,FALSE()),F924),"?"))</f>
        <v/>
      </c>
      <c r="I924" s="50" t="str">
        <f>IF(ISNUMBER(H924),IF(COUNTIFS($D$2:D924,D924,$H$2:H924,H924)=1,1,0),"")</f>
        <v/>
      </c>
      <c r="J924" s="50" t="str">
        <f>IF(ISNUMBER(H924),IFERROR(INDEX(Calendrier!$C$2:$C$367,MATCH(H924,Calendrier!$A$2:$A$367,0)),0),"")</f>
        <v/>
      </c>
      <c r="K924" s="50" t="str">
        <f t="shared" si="74"/>
        <v/>
      </c>
      <c r="L924" s="50" t="str">
        <f>IF(D924="","",IF(COUNTIF(Paramètres!$A$11:$A$40,D924)&gt;0,1,0))</f>
        <v/>
      </c>
    </row>
    <row r="925" spans="1:12" hidden="1" x14ac:dyDescent="0.25">
      <c r="A925" s="49"/>
      <c r="B925" s="49"/>
      <c r="C925" s="49"/>
      <c r="D925" s="50" t="str">
        <f t="shared" si="70"/>
        <v/>
      </c>
      <c r="E925" s="50" t="str">
        <f t="shared" si="71"/>
        <v/>
      </c>
      <c r="F925" s="50" t="str">
        <f t="shared" si="72"/>
        <v/>
      </c>
      <c r="G925" s="50" t="str">
        <f t="shared" si="73"/>
        <v/>
      </c>
      <c r="H925" s="51" t="str">
        <f>IF($C925="","",IFERROR(DATE(G925,VLOOKUP(E925,Paramètres!$K$11:$L$40,2,FALSE()),F925),"?"))</f>
        <v/>
      </c>
      <c r="I925" s="50" t="str">
        <f>IF(ISNUMBER(H925),IF(COUNTIFS($D$2:D925,D925,$H$2:H925,H925)=1,1,0),"")</f>
        <v/>
      </c>
      <c r="J925" s="50" t="str">
        <f>IF(ISNUMBER(H925),IFERROR(INDEX(Calendrier!$C$2:$C$367,MATCH(H925,Calendrier!$A$2:$A$367,0)),0),"")</f>
        <v/>
      </c>
      <c r="K925" s="50" t="str">
        <f t="shared" si="74"/>
        <v/>
      </c>
      <c r="L925" s="50" t="str">
        <f>IF(D925="","",IF(COUNTIF(Paramètres!$A$11:$A$40,D925)&gt;0,1,0))</f>
        <v/>
      </c>
    </row>
    <row r="926" spans="1:12" hidden="1" x14ac:dyDescent="0.25">
      <c r="A926" s="49"/>
      <c r="B926" s="49"/>
      <c r="C926" s="49"/>
      <c r="D926" s="50" t="str">
        <f t="shared" si="70"/>
        <v/>
      </c>
      <c r="E926" s="50" t="str">
        <f t="shared" si="71"/>
        <v/>
      </c>
      <c r="F926" s="50" t="str">
        <f t="shared" si="72"/>
        <v/>
      </c>
      <c r="G926" s="50" t="str">
        <f t="shared" si="73"/>
        <v/>
      </c>
      <c r="H926" s="51" t="str">
        <f>IF($C926="","",IFERROR(DATE(G926,VLOOKUP(E926,Paramètres!$K$11:$L$40,2,FALSE()),F926),"?"))</f>
        <v/>
      </c>
      <c r="I926" s="50" t="str">
        <f>IF(ISNUMBER(H926),IF(COUNTIFS($D$2:D926,D926,$H$2:H926,H926)=1,1,0),"")</f>
        <v/>
      </c>
      <c r="J926" s="50" t="str">
        <f>IF(ISNUMBER(H926),IFERROR(INDEX(Calendrier!$C$2:$C$367,MATCH(H926,Calendrier!$A$2:$A$367,0)),0),"")</f>
        <v/>
      </c>
      <c r="K926" s="50" t="str">
        <f t="shared" si="74"/>
        <v/>
      </c>
      <c r="L926" s="50" t="str">
        <f>IF(D926="","",IF(COUNTIF(Paramètres!$A$11:$A$40,D926)&gt;0,1,0))</f>
        <v/>
      </c>
    </row>
    <row r="927" spans="1:12" hidden="1" x14ac:dyDescent="0.25">
      <c r="A927" s="49"/>
      <c r="B927" s="49"/>
      <c r="C927" s="49"/>
      <c r="D927" s="50" t="str">
        <f t="shared" si="70"/>
        <v/>
      </c>
      <c r="E927" s="50" t="str">
        <f t="shared" si="71"/>
        <v/>
      </c>
      <c r="F927" s="50" t="str">
        <f t="shared" si="72"/>
        <v/>
      </c>
      <c r="G927" s="50" t="str">
        <f t="shared" si="73"/>
        <v/>
      </c>
      <c r="H927" s="51" t="str">
        <f>IF($C927="","",IFERROR(DATE(G927,VLOOKUP(E927,Paramètres!$K$11:$L$40,2,FALSE()),F927),"?"))</f>
        <v/>
      </c>
      <c r="I927" s="50" t="str">
        <f>IF(ISNUMBER(H927),IF(COUNTIFS($D$2:D927,D927,$H$2:H927,H927)=1,1,0),"")</f>
        <v/>
      </c>
      <c r="J927" s="50" t="str">
        <f>IF(ISNUMBER(H927),IFERROR(INDEX(Calendrier!$C$2:$C$367,MATCH(H927,Calendrier!$A$2:$A$367,0)),0),"")</f>
        <v/>
      </c>
      <c r="K927" s="50" t="str">
        <f t="shared" si="74"/>
        <v/>
      </c>
      <c r="L927" s="50" t="str">
        <f>IF(D927="","",IF(COUNTIF(Paramètres!$A$11:$A$40,D927)&gt;0,1,0))</f>
        <v/>
      </c>
    </row>
    <row r="928" spans="1:12" hidden="1" x14ac:dyDescent="0.25">
      <c r="A928" s="49"/>
      <c r="B928" s="49"/>
      <c r="C928" s="49"/>
      <c r="D928" s="50" t="str">
        <f t="shared" si="70"/>
        <v/>
      </c>
      <c r="E928" s="50" t="str">
        <f t="shared" si="71"/>
        <v/>
      </c>
      <c r="F928" s="50" t="str">
        <f t="shared" si="72"/>
        <v/>
      </c>
      <c r="G928" s="50" t="str">
        <f t="shared" si="73"/>
        <v/>
      </c>
      <c r="H928" s="51" t="str">
        <f>IF($C928="","",IFERROR(DATE(G928,VLOOKUP(E928,Paramètres!$K$11:$L$40,2,FALSE()),F928),"?"))</f>
        <v/>
      </c>
      <c r="I928" s="50" t="str">
        <f>IF(ISNUMBER(H928),IF(COUNTIFS($D$2:D928,D928,$H$2:H928,H928)=1,1,0),"")</f>
        <v/>
      </c>
      <c r="J928" s="50" t="str">
        <f>IF(ISNUMBER(H928),IFERROR(INDEX(Calendrier!$C$2:$C$367,MATCH(H928,Calendrier!$A$2:$A$367,0)),0),"")</f>
        <v/>
      </c>
      <c r="K928" s="50" t="str">
        <f t="shared" si="74"/>
        <v/>
      </c>
      <c r="L928" s="50" t="str">
        <f>IF(D928="","",IF(COUNTIF(Paramètres!$A$11:$A$40,D928)&gt;0,1,0))</f>
        <v/>
      </c>
    </row>
    <row r="929" spans="1:12" hidden="1" x14ac:dyDescent="0.25">
      <c r="A929" s="49"/>
      <c r="B929" s="49"/>
      <c r="C929" s="49"/>
      <c r="D929" s="50" t="str">
        <f t="shared" si="70"/>
        <v/>
      </c>
      <c r="E929" s="50" t="str">
        <f t="shared" si="71"/>
        <v/>
      </c>
      <c r="F929" s="50" t="str">
        <f t="shared" si="72"/>
        <v/>
      </c>
      <c r="G929" s="50" t="str">
        <f t="shared" si="73"/>
        <v/>
      </c>
      <c r="H929" s="51" t="str">
        <f>IF($C929="","",IFERROR(DATE(G929,VLOOKUP(E929,Paramètres!$K$11:$L$40,2,FALSE()),F929),"?"))</f>
        <v/>
      </c>
      <c r="I929" s="50" t="str">
        <f>IF(ISNUMBER(H929),IF(COUNTIFS($D$2:D929,D929,$H$2:H929,H929)=1,1,0),"")</f>
        <v/>
      </c>
      <c r="J929" s="50" t="str">
        <f>IF(ISNUMBER(H929),IFERROR(INDEX(Calendrier!$C$2:$C$367,MATCH(H929,Calendrier!$A$2:$A$367,0)),0),"")</f>
        <v/>
      </c>
      <c r="K929" s="50" t="str">
        <f t="shared" si="74"/>
        <v/>
      </c>
      <c r="L929" s="50" t="str">
        <f>IF(D929="","",IF(COUNTIF(Paramètres!$A$11:$A$40,D929)&gt;0,1,0))</f>
        <v/>
      </c>
    </row>
    <row r="930" spans="1:12" hidden="1" x14ac:dyDescent="0.25">
      <c r="A930" s="49"/>
      <c r="B930" s="49"/>
      <c r="C930" s="49"/>
      <c r="D930" s="50" t="str">
        <f t="shared" si="70"/>
        <v/>
      </c>
      <c r="E930" s="50" t="str">
        <f t="shared" si="71"/>
        <v/>
      </c>
      <c r="F930" s="50" t="str">
        <f t="shared" si="72"/>
        <v/>
      </c>
      <c r="G930" s="50" t="str">
        <f t="shared" si="73"/>
        <v/>
      </c>
      <c r="H930" s="51" t="str">
        <f>IF($C930="","",IFERROR(DATE(G930,VLOOKUP(E930,Paramètres!$K$11:$L$40,2,FALSE()),F930),"?"))</f>
        <v/>
      </c>
      <c r="I930" s="50" t="str">
        <f>IF(ISNUMBER(H930),IF(COUNTIFS($D$2:D930,D930,$H$2:H930,H930)=1,1,0),"")</f>
        <v/>
      </c>
      <c r="J930" s="50" t="str">
        <f>IF(ISNUMBER(H930),IFERROR(INDEX(Calendrier!$C$2:$C$367,MATCH(H930,Calendrier!$A$2:$A$367,0)),0),"")</f>
        <v/>
      </c>
      <c r="K930" s="50" t="str">
        <f t="shared" si="74"/>
        <v/>
      </c>
      <c r="L930" s="50" t="str">
        <f>IF(D930="","",IF(COUNTIF(Paramètres!$A$11:$A$40,D930)&gt;0,1,0))</f>
        <v/>
      </c>
    </row>
    <row r="931" spans="1:12" hidden="1" x14ac:dyDescent="0.25">
      <c r="A931" s="49"/>
      <c r="B931" s="49"/>
      <c r="C931" s="49"/>
      <c r="D931" s="50" t="str">
        <f t="shared" si="70"/>
        <v/>
      </c>
      <c r="E931" s="50" t="str">
        <f t="shared" si="71"/>
        <v/>
      </c>
      <c r="F931" s="50" t="str">
        <f t="shared" si="72"/>
        <v/>
      </c>
      <c r="G931" s="50" t="str">
        <f t="shared" si="73"/>
        <v/>
      </c>
      <c r="H931" s="51" t="str">
        <f>IF($C931="","",IFERROR(DATE(G931,VLOOKUP(E931,Paramètres!$K$11:$L$40,2,FALSE()),F931),"?"))</f>
        <v/>
      </c>
      <c r="I931" s="50" t="str">
        <f>IF(ISNUMBER(H931),IF(COUNTIFS($D$2:D931,D931,$H$2:H931,H931)=1,1,0),"")</f>
        <v/>
      </c>
      <c r="J931" s="50" t="str">
        <f>IF(ISNUMBER(H931),IFERROR(INDEX(Calendrier!$C$2:$C$367,MATCH(H931,Calendrier!$A$2:$A$367,0)),0),"")</f>
        <v/>
      </c>
      <c r="K931" s="50" t="str">
        <f t="shared" si="74"/>
        <v/>
      </c>
      <c r="L931" s="50" t="str">
        <f>IF(D931="","",IF(COUNTIF(Paramètres!$A$11:$A$40,D931)&gt;0,1,0))</f>
        <v/>
      </c>
    </row>
    <row r="932" spans="1:12" hidden="1" x14ac:dyDescent="0.25">
      <c r="A932" s="49"/>
      <c r="B932" s="49"/>
      <c r="C932" s="49"/>
      <c r="D932" s="50" t="str">
        <f t="shared" si="70"/>
        <v/>
      </c>
      <c r="E932" s="50" t="str">
        <f t="shared" si="71"/>
        <v/>
      </c>
      <c r="F932" s="50" t="str">
        <f t="shared" si="72"/>
        <v/>
      </c>
      <c r="G932" s="50" t="str">
        <f t="shared" si="73"/>
        <v/>
      </c>
      <c r="H932" s="51" t="str">
        <f>IF($C932="","",IFERROR(DATE(G932,VLOOKUP(E932,Paramètres!$K$11:$L$40,2,FALSE()),F932),"?"))</f>
        <v/>
      </c>
      <c r="I932" s="50" t="str">
        <f>IF(ISNUMBER(H932),IF(COUNTIFS($D$2:D932,D932,$H$2:H932,H932)=1,1,0),"")</f>
        <v/>
      </c>
      <c r="J932" s="50" t="str">
        <f>IF(ISNUMBER(H932),IFERROR(INDEX(Calendrier!$C$2:$C$367,MATCH(H932,Calendrier!$A$2:$A$367,0)),0),"")</f>
        <v/>
      </c>
      <c r="K932" s="50" t="str">
        <f t="shared" si="74"/>
        <v/>
      </c>
      <c r="L932" s="50" t="str">
        <f>IF(D932="","",IF(COUNTIF(Paramètres!$A$11:$A$40,D932)&gt;0,1,0))</f>
        <v/>
      </c>
    </row>
    <row r="933" spans="1:12" hidden="1" x14ac:dyDescent="0.25">
      <c r="A933" s="49"/>
      <c r="B933" s="49"/>
      <c r="C933" s="49"/>
      <c r="D933" s="50" t="str">
        <f t="shared" si="70"/>
        <v/>
      </c>
      <c r="E933" s="50" t="str">
        <f t="shared" si="71"/>
        <v/>
      </c>
      <c r="F933" s="50" t="str">
        <f t="shared" si="72"/>
        <v/>
      </c>
      <c r="G933" s="50" t="str">
        <f t="shared" si="73"/>
        <v/>
      </c>
      <c r="H933" s="51" t="str">
        <f>IF($C933="","",IFERROR(DATE(G933,VLOOKUP(E933,Paramètres!$K$11:$L$40,2,FALSE()),F933),"?"))</f>
        <v/>
      </c>
      <c r="I933" s="50" t="str">
        <f>IF(ISNUMBER(H933),IF(COUNTIFS($D$2:D933,D933,$H$2:H933,H933)=1,1,0),"")</f>
        <v/>
      </c>
      <c r="J933" s="50" t="str">
        <f>IF(ISNUMBER(H933),IFERROR(INDEX(Calendrier!$C$2:$C$367,MATCH(H933,Calendrier!$A$2:$A$367,0)),0),"")</f>
        <v/>
      </c>
      <c r="K933" s="50" t="str">
        <f t="shared" si="74"/>
        <v/>
      </c>
      <c r="L933" s="50" t="str">
        <f>IF(D933="","",IF(COUNTIF(Paramètres!$A$11:$A$40,D933)&gt;0,1,0))</f>
        <v/>
      </c>
    </row>
    <row r="934" spans="1:12" hidden="1" x14ac:dyDescent="0.25">
      <c r="A934" s="49"/>
      <c r="B934" s="49"/>
      <c r="C934" s="49"/>
      <c r="D934" s="50" t="str">
        <f t="shared" si="70"/>
        <v/>
      </c>
      <c r="E934" s="50" t="str">
        <f t="shared" si="71"/>
        <v/>
      </c>
      <c r="F934" s="50" t="str">
        <f t="shared" si="72"/>
        <v/>
      </c>
      <c r="G934" s="50" t="str">
        <f t="shared" si="73"/>
        <v/>
      </c>
      <c r="H934" s="51" t="str">
        <f>IF($C934="","",IFERROR(DATE(G934,VLOOKUP(E934,Paramètres!$K$11:$L$40,2,FALSE()),F934),"?"))</f>
        <v/>
      </c>
      <c r="I934" s="50" t="str">
        <f>IF(ISNUMBER(H934),IF(COUNTIFS($D$2:D934,D934,$H$2:H934,H934)=1,1,0),"")</f>
        <v/>
      </c>
      <c r="J934" s="50" t="str">
        <f>IF(ISNUMBER(H934),IFERROR(INDEX(Calendrier!$C$2:$C$367,MATCH(H934,Calendrier!$A$2:$A$367,0)),0),"")</f>
        <v/>
      </c>
      <c r="K934" s="50" t="str">
        <f t="shared" si="74"/>
        <v/>
      </c>
      <c r="L934" s="50" t="str">
        <f>IF(D934="","",IF(COUNTIF(Paramètres!$A$11:$A$40,D934)&gt;0,1,0))</f>
        <v/>
      </c>
    </row>
    <row r="935" spans="1:12" hidden="1" x14ac:dyDescent="0.25">
      <c r="A935" s="49"/>
      <c r="B935" s="49"/>
      <c r="C935" s="49"/>
      <c r="D935" s="50" t="str">
        <f t="shared" si="70"/>
        <v/>
      </c>
      <c r="E935" s="50" t="str">
        <f t="shared" si="71"/>
        <v/>
      </c>
      <c r="F935" s="50" t="str">
        <f t="shared" si="72"/>
        <v/>
      </c>
      <c r="G935" s="50" t="str">
        <f t="shared" si="73"/>
        <v/>
      </c>
      <c r="H935" s="51" t="str">
        <f>IF($C935="","",IFERROR(DATE(G935,VLOOKUP(E935,Paramètres!$K$11:$L$40,2,FALSE()),F935),"?"))</f>
        <v/>
      </c>
      <c r="I935" s="50" t="str">
        <f>IF(ISNUMBER(H935),IF(COUNTIFS($D$2:D935,D935,$H$2:H935,H935)=1,1,0),"")</f>
        <v/>
      </c>
      <c r="J935" s="50" t="str">
        <f>IF(ISNUMBER(H935),IFERROR(INDEX(Calendrier!$C$2:$C$367,MATCH(H935,Calendrier!$A$2:$A$367,0)),0),"")</f>
        <v/>
      </c>
      <c r="K935" s="50" t="str">
        <f t="shared" si="74"/>
        <v/>
      </c>
      <c r="L935" s="50" t="str">
        <f>IF(D935="","",IF(COUNTIF(Paramètres!$A$11:$A$40,D935)&gt;0,1,0))</f>
        <v/>
      </c>
    </row>
    <row r="936" spans="1:12" hidden="1" x14ac:dyDescent="0.25">
      <c r="A936" s="49"/>
      <c r="B936" s="49"/>
      <c r="C936" s="49"/>
      <c r="D936" s="50" t="str">
        <f t="shared" si="70"/>
        <v/>
      </c>
      <c r="E936" s="50" t="str">
        <f t="shared" si="71"/>
        <v/>
      </c>
      <c r="F936" s="50" t="str">
        <f t="shared" si="72"/>
        <v/>
      </c>
      <c r="G936" s="50" t="str">
        <f t="shared" si="73"/>
        <v/>
      </c>
      <c r="H936" s="51" t="str">
        <f>IF($C936="","",IFERROR(DATE(G936,VLOOKUP(E936,Paramètres!$K$11:$L$40,2,FALSE()),F936),"?"))</f>
        <v/>
      </c>
      <c r="I936" s="50" t="str">
        <f>IF(ISNUMBER(H936),IF(COUNTIFS($D$2:D936,D936,$H$2:H936,H936)=1,1,0),"")</f>
        <v/>
      </c>
      <c r="J936" s="50" t="str">
        <f>IF(ISNUMBER(H936),IFERROR(INDEX(Calendrier!$C$2:$C$367,MATCH(H936,Calendrier!$A$2:$A$367,0)),0),"")</f>
        <v/>
      </c>
      <c r="K936" s="50" t="str">
        <f t="shared" si="74"/>
        <v/>
      </c>
      <c r="L936" s="50" t="str">
        <f>IF(D936="","",IF(COUNTIF(Paramètres!$A$11:$A$40,D936)&gt;0,1,0))</f>
        <v/>
      </c>
    </row>
    <row r="937" spans="1:12" hidden="1" x14ac:dyDescent="0.25">
      <c r="A937" s="49"/>
      <c r="B937" s="49"/>
      <c r="C937" s="49"/>
      <c r="D937" s="50" t="str">
        <f t="shared" si="70"/>
        <v/>
      </c>
      <c r="E937" s="50" t="str">
        <f t="shared" si="71"/>
        <v/>
      </c>
      <c r="F937" s="50" t="str">
        <f t="shared" si="72"/>
        <v/>
      </c>
      <c r="G937" s="50" t="str">
        <f t="shared" si="73"/>
        <v/>
      </c>
      <c r="H937" s="51" t="str">
        <f>IF($C937="","",IFERROR(DATE(G937,VLOOKUP(E937,Paramètres!$K$11:$L$40,2,FALSE()),F937),"?"))</f>
        <v/>
      </c>
      <c r="I937" s="50" t="str">
        <f>IF(ISNUMBER(H937),IF(COUNTIFS($D$2:D937,D937,$H$2:H937,H937)=1,1,0),"")</f>
        <v/>
      </c>
      <c r="J937" s="50" t="str">
        <f>IF(ISNUMBER(H937),IFERROR(INDEX(Calendrier!$C$2:$C$367,MATCH(H937,Calendrier!$A$2:$A$367,0)),0),"")</f>
        <v/>
      </c>
      <c r="K937" s="50" t="str">
        <f t="shared" si="74"/>
        <v/>
      </c>
      <c r="L937" s="50" t="str">
        <f>IF(D937="","",IF(COUNTIF(Paramètres!$A$11:$A$40,D937)&gt;0,1,0))</f>
        <v/>
      </c>
    </row>
    <row r="938" spans="1:12" hidden="1" x14ac:dyDescent="0.25">
      <c r="A938" s="49"/>
      <c r="B938" s="49"/>
      <c r="C938" s="49"/>
      <c r="D938" s="50" t="str">
        <f t="shared" si="70"/>
        <v/>
      </c>
      <c r="E938" s="50" t="str">
        <f t="shared" si="71"/>
        <v/>
      </c>
      <c r="F938" s="50" t="str">
        <f t="shared" si="72"/>
        <v/>
      </c>
      <c r="G938" s="50" t="str">
        <f t="shared" si="73"/>
        <v/>
      </c>
      <c r="H938" s="51" t="str">
        <f>IF($C938="","",IFERROR(DATE(G938,VLOOKUP(E938,Paramètres!$K$11:$L$40,2,FALSE()),F938),"?"))</f>
        <v/>
      </c>
      <c r="I938" s="50" t="str">
        <f>IF(ISNUMBER(H938),IF(COUNTIFS($D$2:D938,D938,$H$2:H938,H938)=1,1,0),"")</f>
        <v/>
      </c>
      <c r="J938" s="50" t="str">
        <f>IF(ISNUMBER(H938),IFERROR(INDEX(Calendrier!$C$2:$C$367,MATCH(H938,Calendrier!$A$2:$A$367,0)),0),"")</f>
        <v/>
      </c>
      <c r="K938" s="50" t="str">
        <f t="shared" si="74"/>
        <v/>
      </c>
      <c r="L938" s="50" t="str">
        <f>IF(D938="","",IF(COUNTIF(Paramètres!$A$11:$A$40,D938)&gt;0,1,0))</f>
        <v/>
      </c>
    </row>
    <row r="939" spans="1:12" hidden="1" x14ac:dyDescent="0.25">
      <c r="A939" s="49"/>
      <c r="B939" s="49"/>
      <c r="C939" s="49"/>
      <c r="D939" s="50" t="str">
        <f t="shared" si="70"/>
        <v/>
      </c>
      <c r="E939" s="50" t="str">
        <f t="shared" si="71"/>
        <v/>
      </c>
      <c r="F939" s="50" t="str">
        <f t="shared" si="72"/>
        <v/>
      </c>
      <c r="G939" s="50" t="str">
        <f t="shared" si="73"/>
        <v/>
      </c>
      <c r="H939" s="51" t="str">
        <f>IF($C939="","",IFERROR(DATE(G939,VLOOKUP(E939,Paramètres!$K$11:$L$40,2,FALSE()),F939),"?"))</f>
        <v/>
      </c>
      <c r="I939" s="50" t="str">
        <f>IF(ISNUMBER(H939),IF(COUNTIFS($D$2:D939,D939,$H$2:H939,H939)=1,1,0),"")</f>
        <v/>
      </c>
      <c r="J939" s="50" t="str">
        <f>IF(ISNUMBER(H939),IFERROR(INDEX(Calendrier!$C$2:$C$367,MATCH(H939,Calendrier!$A$2:$A$367,0)),0),"")</f>
        <v/>
      </c>
      <c r="K939" s="50" t="str">
        <f t="shared" si="74"/>
        <v/>
      </c>
      <c r="L939" s="50" t="str">
        <f>IF(D939="","",IF(COUNTIF(Paramètres!$A$11:$A$40,D939)&gt;0,1,0))</f>
        <v/>
      </c>
    </row>
    <row r="940" spans="1:12" hidden="1" x14ac:dyDescent="0.25">
      <c r="A940" s="49"/>
      <c r="B940" s="49"/>
      <c r="C940" s="49"/>
      <c r="D940" s="50" t="str">
        <f t="shared" si="70"/>
        <v/>
      </c>
      <c r="E940" s="50" t="str">
        <f t="shared" si="71"/>
        <v/>
      </c>
      <c r="F940" s="50" t="str">
        <f t="shared" si="72"/>
        <v/>
      </c>
      <c r="G940" s="50" t="str">
        <f t="shared" si="73"/>
        <v/>
      </c>
      <c r="H940" s="51" t="str">
        <f>IF($C940="","",IFERROR(DATE(G940,VLOOKUP(E940,Paramètres!$K$11:$L$40,2,FALSE()),F940),"?"))</f>
        <v/>
      </c>
      <c r="I940" s="50" t="str">
        <f>IF(ISNUMBER(H940),IF(COUNTIFS($D$2:D940,D940,$H$2:H940,H940)=1,1,0),"")</f>
        <v/>
      </c>
      <c r="J940" s="50" t="str">
        <f>IF(ISNUMBER(H940),IFERROR(INDEX(Calendrier!$C$2:$C$367,MATCH(H940,Calendrier!$A$2:$A$367,0)),0),"")</f>
        <v/>
      </c>
      <c r="K940" s="50" t="str">
        <f t="shared" si="74"/>
        <v/>
      </c>
      <c r="L940" s="50" t="str">
        <f>IF(D940="","",IF(COUNTIF(Paramètres!$A$11:$A$40,D940)&gt;0,1,0))</f>
        <v/>
      </c>
    </row>
    <row r="941" spans="1:12" hidden="1" x14ac:dyDescent="0.25">
      <c r="A941" s="49"/>
      <c r="B941" s="49"/>
      <c r="C941" s="49"/>
      <c r="D941" s="50" t="str">
        <f t="shared" si="70"/>
        <v/>
      </c>
      <c r="E941" s="50" t="str">
        <f t="shared" si="71"/>
        <v/>
      </c>
      <c r="F941" s="50" t="str">
        <f t="shared" si="72"/>
        <v/>
      </c>
      <c r="G941" s="50" t="str">
        <f t="shared" si="73"/>
        <v/>
      </c>
      <c r="H941" s="51" t="str">
        <f>IF($C941="","",IFERROR(DATE(G941,VLOOKUP(E941,Paramètres!$K$11:$L$40,2,FALSE()),F941),"?"))</f>
        <v/>
      </c>
      <c r="I941" s="50" t="str">
        <f>IF(ISNUMBER(H941),IF(COUNTIFS($D$2:D941,D941,$H$2:H941,H941)=1,1,0),"")</f>
        <v/>
      </c>
      <c r="J941" s="50" t="str">
        <f>IF(ISNUMBER(H941),IFERROR(INDEX(Calendrier!$C$2:$C$367,MATCH(H941,Calendrier!$A$2:$A$367,0)),0),"")</f>
        <v/>
      </c>
      <c r="K941" s="50" t="str">
        <f t="shared" si="74"/>
        <v/>
      </c>
      <c r="L941" s="50" t="str">
        <f>IF(D941="","",IF(COUNTIF(Paramètres!$A$11:$A$40,D941)&gt;0,1,0))</f>
        <v/>
      </c>
    </row>
    <row r="942" spans="1:12" hidden="1" x14ac:dyDescent="0.25">
      <c r="A942" s="49"/>
      <c r="B942" s="49"/>
      <c r="C942" s="49"/>
      <c r="D942" s="50" t="str">
        <f t="shared" si="70"/>
        <v/>
      </c>
      <c r="E942" s="50" t="str">
        <f t="shared" si="71"/>
        <v/>
      </c>
      <c r="F942" s="50" t="str">
        <f t="shared" si="72"/>
        <v/>
      </c>
      <c r="G942" s="50" t="str">
        <f t="shared" si="73"/>
        <v/>
      </c>
      <c r="H942" s="51" t="str">
        <f>IF($C942="","",IFERROR(DATE(G942,VLOOKUP(E942,Paramètres!$K$11:$L$40,2,FALSE()),F942),"?"))</f>
        <v/>
      </c>
      <c r="I942" s="50" t="str">
        <f>IF(ISNUMBER(H942),IF(COUNTIFS($D$2:D942,D942,$H$2:H942,H942)=1,1,0),"")</f>
        <v/>
      </c>
      <c r="J942" s="50" t="str">
        <f>IF(ISNUMBER(H942),IFERROR(INDEX(Calendrier!$C$2:$C$367,MATCH(H942,Calendrier!$A$2:$A$367,0)),0),"")</f>
        <v/>
      </c>
      <c r="K942" s="50" t="str">
        <f t="shared" si="74"/>
        <v/>
      </c>
      <c r="L942" s="50" t="str">
        <f>IF(D942="","",IF(COUNTIF(Paramètres!$A$11:$A$40,D942)&gt;0,1,0))</f>
        <v/>
      </c>
    </row>
    <row r="943" spans="1:12" hidden="1" x14ac:dyDescent="0.25">
      <c r="A943" s="49"/>
      <c r="B943" s="49"/>
      <c r="C943" s="49"/>
      <c r="D943" s="50" t="str">
        <f t="shared" si="70"/>
        <v/>
      </c>
      <c r="E943" s="50" t="str">
        <f t="shared" si="71"/>
        <v/>
      </c>
      <c r="F943" s="50" t="str">
        <f t="shared" si="72"/>
        <v/>
      </c>
      <c r="G943" s="50" t="str">
        <f t="shared" si="73"/>
        <v/>
      </c>
      <c r="H943" s="51" t="str">
        <f>IF($C943="","",IFERROR(DATE(G943,VLOOKUP(E943,Paramètres!$K$11:$L$40,2,FALSE()),F943),"?"))</f>
        <v/>
      </c>
      <c r="I943" s="50" t="str">
        <f>IF(ISNUMBER(H943),IF(COUNTIFS($D$2:D943,D943,$H$2:H943,H943)=1,1,0),"")</f>
        <v/>
      </c>
      <c r="J943" s="50" t="str">
        <f>IF(ISNUMBER(H943),IFERROR(INDEX(Calendrier!$C$2:$C$367,MATCH(H943,Calendrier!$A$2:$A$367,0)),0),"")</f>
        <v/>
      </c>
      <c r="K943" s="50" t="str">
        <f t="shared" si="74"/>
        <v/>
      </c>
      <c r="L943" s="50" t="str">
        <f>IF(D943="","",IF(COUNTIF(Paramètres!$A$11:$A$40,D943)&gt;0,1,0))</f>
        <v/>
      </c>
    </row>
    <row r="944" spans="1:12" hidden="1" x14ac:dyDescent="0.25">
      <c r="A944" s="49"/>
      <c r="B944" s="49"/>
      <c r="C944" s="49"/>
      <c r="D944" s="50" t="str">
        <f t="shared" si="70"/>
        <v/>
      </c>
      <c r="E944" s="50" t="str">
        <f t="shared" si="71"/>
        <v/>
      </c>
      <c r="F944" s="50" t="str">
        <f t="shared" si="72"/>
        <v/>
      </c>
      <c r="G944" s="50" t="str">
        <f t="shared" si="73"/>
        <v/>
      </c>
      <c r="H944" s="51" t="str">
        <f>IF($C944="","",IFERROR(DATE(G944,VLOOKUP(E944,Paramètres!$K$11:$L$40,2,FALSE()),F944),"?"))</f>
        <v/>
      </c>
      <c r="I944" s="50" t="str">
        <f>IF(ISNUMBER(H944),IF(COUNTIFS($D$2:D944,D944,$H$2:H944,H944)=1,1,0),"")</f>
        <v/>
      </c>
      <c r="J944" s="50" t="str">
        <f>IF(ISNUMBER(H944),IFERROR(INDEX(Calendrier!$C$2:$C$367,MATCH(H944,Calendrier!$A$2:$A$367,0)),0),"")</f>
        <v/>
      </c>
      <c r="K944" s="50" t="str">
        <f t="shared" si="74"/>
        <v/>
      </c>
      <c r="L944" s="50" t="str">
        <f>IF(D944="","",IF(COUNTIF(Paramètres!$A$11:$A$40,D944)&gt;0,1,0))</f>
        <v/>
      </c>
    </row>
    <row r="945" spans="1:12" hidden="1" x14ac:dyDescent="0.25">
      <c r="A945" s="49"/>
      <c r="B945" s="49"/>
      <c r="C945" s="49"/>
      <c r="D945" s="50" t="str">
        <f t="shared" si="70"/>
        <v/>
      </c>
      <c r="E945" s="50" t="str">
        <f t="shared" si="71"/>
        <v/>
      </c>
      <c r="F945" s="50" t="str">
        <f t="shared" si="72"/>
        <v/>
      </c>
      <c r="G945" s="50" t="str">
        <f t="shared" si="73"/>
        <v/>
      </c>
      <c r="H945" s="51" t="str">
        <f>IF($C945="","",IFERROR(DATE(G945,VLOOKUP(E945,Paramètres!$K$11:$L$40,2,FALSE()),F945),"?"))</f>
        <v/>
      </c>
      <c r="I945" s="50" t="str">
        <f>IF(ISNUMBER(H945),IF(COUNTIFS($D$2:D945,D945,$H$2:H945,H945)=1,1,0),"")</f>
        <v/>
      </c>
      <c r="J945" s="50" t="str">
        <f>IF(ISNUMBER(H945),IFERROR(INDEX(Calendrier!$C$2:$C$367,MATCH(H945,Calendrier!$A$2:$A$367,0)),0),"")</f>
        <v/>
      </c>
      <c r="K945" s="50" t="str">
        <f t="shared" si="74"/>
        <v/>
      </c>
      <c r="L945" s="50" t="str">
        <f>IF(D945="","",IF(COUNTIF(Paramètres!$A$11:$A$40,D945)&gt;0,1,0))</f>
        <v/>
      </c>
    </row>
    <row r="946" spans="1:12" hidden="1" x14ac:dyDescent="0.25">
      <c r="A946" s="49"/>
      <c r="B946" s="49"/>
      <c r="C946" s="49"/>
      <c r="D946" s="50" t="str">
        <f t="shared" si="70"/>
        <v/>
      </c>
      <c r="E946" s="50" t="str">
        <f t="shared" si="71"/>
        <v/>
      </c>
      <c r="F946" s="50" t="str">
        <f t="shared" si="72"/>
        <v/>
      </c>
      <c r="G946" s="50" t="str">
        <f t="shared" si="73"/>
        <v/>
      </c>
      <c r="H946" s="51" t="str">
        <f>IF($C946="","",IFERROR(DATE(G946,VLOOKUP(E946,Paramètres!$K$11:$L$40,2,FALSE()),F946),"?"))</f>
        <v/>
      </c>
      <c r="I946" s="50" t="str">
        <f>IF(ISNUMBER(H946),IF(COUNTIFS($D$2:D946,D946,$H$2:H946,H946)=1,1,0),"")</f>
        <v/>
      </c>
      <c r="J946" s="50" t="str">
        <f>IF(ISNUMBER(H946),IFERROR(INDEX(Calendrier!$C$2:$C$367,MATCH(H946,Calendrier!$A$2:$A$367,0)),0),"")</f>
        <v/>
      </c>
      <c r="K946" s="50" t="str">
        <f t="shared" si="74"/>
        <v/>
      </c>
      <c r="L946" s="50" t="str">
        <f>IF(D946="","",IF(COUNTIF(Paramètres!$A$11:$A$40,D946)&gt;0,1,0))</f>
        <v/>
      </c>
    </row>
    <row r="947" spans="1:12" hidden="1" x14ac:dyDescent="0.25">
      <c r="A947" s="49"/>
      <c r="B947" s="49"/>
      <c r="C947" s="49"/>
      <c r="D947" s="50" t="str">
        <f t="shared" si="70"/>
        <v/>
      </c>
      <c r="E947" s="50" t="str">
        <f t="shared" si="71"/>
        <v/>
      </c>
      <c r="F947" s="50" t="str">
        <f t="shared" si="72"/>
        <v/>
      </c>
      <c r="G947" s="50" t="str">
        <f t="shared" si="73"/>
        <v/>
      </c>
      <c r="H947" s="51" t="str">
        <f>IF($C947="","",IFERROR(DATE(G947,VLOOKUP(E947,Paramètres!$K$11:$L$40,2,FALSE()),F947),"?"))</f>
        <v/>
      </c>
      <c r="I947" s="50" t="str">
        <f>IF(ISNUMBER(H947),IF(COUNTIFS($D$2:D947,D947,$H$2:H947,H947)=1,1,0),"")</f>
        <v/>
      </c>
      <c r="J947" s="50" t="str">
        <f>IF(ISNUMBER(H947),IFERROR(INDEX(Calendrier!$C$2:$C$367,MATCH(H947,Calendrier!$A$2:$A$367,0)),0),"")</f>
        <v/>
      </c>
      <c r="K947" s="50" t="str">
        <f t="shared" si="74"/>
        <v/>
      </c>
      <c r="L947" s="50" t="str">
        <f>IF(D947="","",IF(COUNTIF(Paramètres!$A$11:$A$40,D947)&gt;0,1,0))</f>
        <v/>
      </c>
    </row>
    <row r="948" spans="1:12" hidden="1" x14ac:dyDescent="0.25">
      <c r="A948" s="49"/>
      <c r="B948" s="49"/>
      <c r="C948" s="49"/>
      <c r="D948" s="50" t="str">
        <f t="shared" si="70"/>
        <v/>
      </c>
      <c r="E948" s="50" t="str">
        <f t="shared" si="71"/>
        <v/>
      </c>
      <c r="F948" s="50" t="str">
        <f t="shared" si="72"/>
        <v/>
      </c>
      <c r="G948" s="50" t="str">
        <f t="shared" si="73"/>
        <v/>
      </c>
      <c r="H948" s="51" t="str">
        <f>IF($C948="","",IFERROR(DATE(G948,VLOOKUP(E948,Paramètres!$K$11:$L$40,2,FALSE()),F948),"?"))</f>
        <v/>
      </c>
      <c r="I948" s="50" t="str">
        <f>IF(ISNUMBER(H948),IF(COUNTIFS($D$2:D948,D948,$H$2:H948,H948)=1,1,0),"")</f>
        <v/>
      </c>
      <c r="J948" s="50" t="str">
        <f>IF(ISNUMBER(H948),IFERROR(INDEX(Calendrier!$C$2:$C$367,MATCH(H948,Calendrier!$A$2:$A$367,0)),0),"")</f>
        <v/>
      </c>
      <c r="K948" s="50" t="str">
        <f t="shared" si="74"/>
        <v/>
      </c>
      <c r="L948" s="50" t="str">
        <f>IF(D948="","",IF(COUNTIF(Paramètres!$A$11:$A$40,D948)&gt;0,1,0))</f>
        <v/>
      </c>
    </row>
    <row r="949" spans="1:12" hidden="1" x14ac:dyDescent="0.25">
      <c r="A949" s="49"/>
      <c r="B949" s="49"/>
      <c r="C949" s="49"/>
      <c r="D949" s="50" t="str">
        <f t="shared" si="70"/>
        <v/>
      </c>
      <c r="E949" s="50" t="str">
        <f t="shared" si="71"/>
        <v/>
      </c>
      <c r="F949" s="50" t="str">
        <f t="shared" si="72"/>
        <v/>
      </c>
      <c r="G949" s="50" t="str">
        <f t="shared" si="73"/>
        <v/>
      </c>
      <c r="H949" s="51" t="str">
        <f>IF($C949="","",IFERROR(DATE(G949,VLOOKUP(E949,Paramètres!$K$11:$L$40,2,FALSE()),F949),"?"))</f>
        <v/>
      </c>
      <c r="I949" s="50" t="str">
        <f>IF(ISNUMBER(H949),IF(COUNTIFS($D$2:D949,D949,$H$2:H949,H949)=1,1,0),"")</f>
        <v/>
      </c>
      <c r="J949" s="50" t="str">
        <f>IF(ISNUMBER(H949),IFERROR(INDEX(Calendrier!$C$2:$C$367,MATCH(H949,Calendrier!$A$2:$A$367,0)),0),"")</f>
        <v/>
      </c>
      <c r="K949" s="50" t="str">
        <f t="shared" si="74"/>
        <v/>
      </c>
      <c r="L949" s="50" t="str">
        <f>IF(D949="","",IF(COUNTIF(Paramètres!$A$11:$A$40,D949)&gt;0,1,0))</f>
        <v/>
      </c>
    </row>
    <row r="950" spans="1:12" hidden="1" x14ac:dyDescent="0.25">
      <c r="A950" s="49"/>
      <c r="B950" s="49"/>
      <c r="C950" s="49"/>
      <c r="D950" s="50" t="str">
        <f t="shared" si="70"/>
        <v/>
      </c>
      <c r="E950" s="50" t="str">
        <f t="shared" si="71"/>
        <v/>
      </c>
      <c r="F950" s="50" t="str">
        <f t="shared" si="72"/>
        <v/>
      </c>
      <c r="G950" s="50" t="str">
        <f t="shared" si="73"/>
        <v/>
      </c>
      <c r="H950" s="51" t="str">
        <f>IF($C950="","",IFERROR(DATE(G950,VLOOKUP(E950,Paramètres!$K$11:$L$40,2,FALSE()),F950),"?"))</f>
        <v/>
      </c>
      <c r="I950" s="50" t="str">
        <f>IF(ISNUMBER(H950),IF(COUNTIFS($D$2:D950,D950,$H$2:H950,H950)=1,1,0),"")</f>
        <v/>
      </c>
      <c r="J950" s="50" t="str">
        <f>IF(ISNUMBER(H950),IFERROR(INDEX(Calendrier!$C$2:$C$367,MATCH(H950,Calendrier!$A$2:$A$367,0)),0),"")</f>
        <v/>
      </c>
      <c r="K950" s="50" t="str">
        <f t="shared" si="74"/>
        <v/>
      </c>
      <c r="L950" s="50" t="str">
        <f>IF(D950="","",IF(COUNTIF(Paramètres!$A$11:$A$40,D950)&gt;0,1,0))</f>
        <v/>
      </c>
    </row>
    <row r="951" spans="1:12" hidden="1" x14ac:dyDescent="0.25">
      <c r="A951" s="49"/>
      <c r="B951" s="49"/>
      <c r="C951" s="49"/>
      <c r="D951" s="50" t="str">
        <f t="shared" si="70"/>
        <v/>
      </c>
      <c r="E951" s="50" t="str">
        <f t="shared" si="71"/>
        <v/>
      </c>
      <c r="F951" s="50" t="str">
        <f t="shared" si="72"/>
        <v/>
      </c>
      <c r="G951" s="50" t="str">
        <f t="shared" si="73"/>
        <v/>
      </c>
      <c r="H951" s="51" t="str">
        <f>IF($C951="","",IFERROR(DATE(G951,VLOOKUP(E951,Paramètres!$K$11:$L$40,2,FALSE()),F951),"?"))</f>
        <v/>
      </c>
      <c r="I951" s="50" t="str">
        <f>IF(ISNUMBER(H951),IF(COUNTIFS($D$2:D951,D951,$H$2:H951,H951)=1,1,0),"")</f>
        <v/>
      </c>
      <c r="J951" s="50" t="str">
        <f>IF(ISNUMBER(H951),IFERROR(INDEX(Calendrier!$C$2:$C$367,MATCH(H951,Calendrier!$A$2:$A$367,0)),0),"")</f>
        <v/>
      </c>
      <c r="K951" s="50" t="str">
        <f t="shared" si="74"/>
        <v/>
      </c>
      <c r="L951" s="50" t="str">
        <f>IF(D951="","",IF(COUNTIF(Paramètres!$A$11:$A$40,D951)&gt;0,1,0))</f>
        <v/>
      </c>
    </row>
    <row r="952" spans="1:12" hidden="1" x14ac:dyDescent="0.25">
      <c r="A952" s="49"/>
      <c r="B952" s="49"/>
      <c r="C952" s="49"/>
      <c r="D952" s="50" t="str">
        <f t="shared" si="70"/>
        <v/>
      </c>
      <c r="E952" s="50" t="str">
        <f t="shared" si="71"/>
        <v/>
      </c>
      <c r="F952" s="50" t="str">
        <f t="shared" si="72"/>
        <v/>
      </c>
      <c r="G952" s="50" t="str">
        <f t="shared" si="73"/>
        <v/>
      </c>
      <c r="H952" s="51" t="str">
        <f>IF($C952="","",IFERROR(DATE(G952,VLOOKUP(E952,Paramètres!$K$11:$L$40,2,FALSE()),F952),"?"))</f>
        <v/>
      </c>
      <c r="I952" s="50" t="str">
        <f>IF(ISNUMBER(H952),IF(COUNTIFS($D$2:D952,D952,$H$2:H952,H952)=1,1,0),"")</f>
        <v/>
      </c>
      <c r="J952" s="50" t="str">
        <f>IF(ISNUMBER(H952),IFERROR(INDEX(Calendrier!$C$2:$C$367,MATCH(H952,Calendrier!$A$2:$A$367,0)),0),"")</f>
        <v/>
      </c>
      <c r="K952" s="50" t="str">
        <f t="shared" si="74"/>
        <v/>
      </c>
      <c r="L952" s="50" t="str">
        <f>IF(D952="","",IF(COUNTIF(Paramètres!$A$11:$A$40,D952)&gt;0,1,0))</f>
        <v/>
      </c>
    </row>
    <row r="953" spans="1:12" hidden="1" x14ac:dyDescent="0.25">
      <c r="A953" s="49"/>
      <c r="B953" s="49"/>
      <c r="C953" s="49"/>
      <c r="D953" s="50" t="str">
        <f t="shared" si="70"/>
        <v/>
      </c>
      <c r="E953" s="50" t="str">
        <f t="shared" si="71"/>
        <v/>
      </c>
      <c r="F953" s="50" t="str">
        <f t="shared" si="72"/>
        <v/>
      </c>
      <c r="G953" s="50" t="str">
        <f t="shared" si="73"/>
        <v/>
      </c>
      <c r="H953" s="51" t="str">
        <f>IF($C953="","",IFERROR(DATE(G953,VLOOKUP(E953,Paramètres!$K$11:$L$40,2,FALSE()),F953),"?"))</f>
        <v/>
      </c>
      <c r="I953" s="50" t="str">
        <f>IF(ISNUMBER(H953),IF(COUNTIFS($D$2:D953,D953,$H$2:H953,H953)=1,1,0),"")</f>
        <v/>
      </c>
      <c r="J953" s="50" t="str">
        <f>IF(ISNUMBER(H953),IFERROR(INDEX(Calendrier!$C$2:$C$367,MATCH(H953,Calendrier!$A$2:$A$367,0)),0),"")</f>
        <v/>
      </c>
      <c r="K953" s="50" t="str">
        <f t="shared" si="74"/>
        <v/>
      </c>
      <c r="L953" s="50" t="str">
        <f>IF(D953="","",IF(COUNTIF(Paramètres!$A$11:$A$40,D953)&gt;0,1,0))</f>
        <v/>
      </c>
    </row>
    <row r="954" spans="1:12" hidden="1" x14ac:dyDescent="0.25">
      <c r="A954" s="49"/>
      <c r="B954" s="49"/>
      <c r="C954" s="49"/>
      <c r="D954" s="50" t="str">
        <f t="shared" si="70"/>
        <v/>
      </c>
      <c r="E954" s="50" t="str">
        <f t="shared" si="71"/>
        <v/>
      </c>
      <c r="F954" s="50" t="str">
        <f t="shared" si="72"/>
        <v/>
      </c>
      <c r="G954" s="50" t="str">
        <f t="shared" si="73"/>
        <v/>
      </c>
      <c r="H954" s="51" t="str">
        <f>IF($C954="","",IFERROR(DATE(G954,VLOOKUP(E954,Paramètres!$K$11:$L$40,2,FALSE()),F954),"?"))</f>
        <v/>
      </c>
      <c r="I954" s="50" t="str">
        <f>IF(ISNUMBER(H954),IF(COUNTIFS($D$2:D954,D954,$H$2:H954,H954)=1,1,0),"")</f>
        <v/>
      </c>
      <c r="J954" s="50" t="str">
        <f>IF(ISNUMBER(H954),IFERROR(INDEX(Calendrier!$C$2:$C$367,MATCH(H954,Calendrier!$A$2:$A$367,0)),0),"")</f>
        <v/>
      </c>
      <c r="K954" s="50" t="str">
        <f t="shared" si="74"/>
        <v/>
      </c>
      <c r="L954" s="50" t="str">
        <f>IF(D954="","",IF(COUNTIF(Paramètres!$A$11:$A$40,D954)&gt;0,1,0))</f>
        <v/>
      </c>
    </row>
    <row r="955" spans="1:12" hidden="1" x14ac:dyDescent="0.25">
      <c r="A955" s="49"/>
      <c r="B955" s="49"/>
      <c r="C955" s="49"/>
      <c r="D955" s="50" t="str">
        <f t="shared" si="70"/>
        <v/>
      </c>
      <c r="E955" s="50" t="str">
        <f t="shared" si="71"/>
        <v/>
      </c>
      <c r="F955" s="50" t="str">
        <f t="shared" si="72"/>
        <v/>
      </c>
      <c r="G955" s="50" t="str">
        <f t="shared" si="73"/>
        <v/>
      </c>
      <c r="H955" s="51" t="str">
        <f>IF($C955="","",IFERROR(DATE(G955,VLOOKUP(E955,Paramètres!$K$11:$L$40,2,FALSE()),F955),"?"))</f>
        <v/>
      </c>
      <c r="I955" s="50" t="str">
        <f>IF(ISNUMBER(H955),IF(COUNTIFS($D$2:D955,D955,$H$2:H955,H955)=1,1,0),"")</f>
        <v/>
      </c>
      <c r="J955" s="50" t="str">
        <f>IF(ISNUMBER(H955),IFERROR(INDEX(Calendrier!$C$2:$C$367,MATCH(H955,Calendrier!$A$2:$A$367,0)),0),"")</f>
        <v/>
      </c>
      <c r="K955" s="50" t="str">
        <f t="shared" si="74"/>
        <v/>
      </c>
      <c r="L955" s="50" t="str">
        <f>IF(D955="","",IF(COUNTIF(Paramètres!$A$11:$A$40,D955)&gt;0,1,0))</f>
        <v/>
      </c>
    </row>
    <row r="956" spans="1:12" hidden="1" x14ac:dyDescent="0.25">
      <c r="A956" s="49"/>
      <c r="B956" s="49"/>
      <c r="C956" s="49"/>
      <c r="D956" s="50" t="str">
        <f t="shared" si="70"/>
        <v/>
      </c>
      <c r="E956" s="50" t="str">
        <f t="shared" si="71"/>
        <v/>
      </c>
      <c r="F956" s="50" t="str">
        <f t="shared" si="72"/>
        <v/>
      </c>
      <c r="G956" s="50" t="str">
        <f t="shared" si="73"/>
        <v/>
      </c>
      <c r="H956" s="51" t="str">
        <f>IF($C956="","",IFERROR(DATE(G956,VLOOKUP(E956,Paramètres!$K$11:$L$40,2,FALSE()),F956),"?"))</f>
        <v/>
      </c>
      <c r="I956" s="50" t="str">
        <f>IF(ISNUMBER(H956),IF(COUNTIFS($D$2:D956,D956,$H$2:H956,H956)=1,1,0),"")</f>
        <v/>
      </c>
      <c r="J956" s="50" t="str">
        <f>IF(ISNUMBER(H956),IFERROR(INDEX(Calendrier!$C$2:$C$367,MATCH(H956,Calendrier!$A$2:$A$367,0)),0),"")</f>
        <v/>
      </c>
      <c r="K956" s="50" t="str">
        <f t="shared" si="74"/>
        <v/>
      </c>
      <c r="L956" s="50" t="str">
        <f>IF(D956="","",IF(COUNTIF(Paramètres!$A$11:$A$40,D956)&gt;0,1,0))</f>
        <v/>
      </c>
    </row>
    <row r="957" spans="1:12" hidden="1" x14ac:dyDescent="0.25">
      <c r="A957" s="49"/>
      <c r="B957" s="49"/>
      <c r="C957" s="49"/>
      <c r="D957" s="50" t="str">
        <f t="shared" si="70"/>
        <v/>
      </c>
      <c r="E957" s="50" t="str">
        <f t="shared" si="71"/>
        <v/>
      </c>
      <c r="F957" s="50" t="str">
        <f t="shared" si="72"/>
        <v/>
      </c>
      <c r="G957" s="50" t="str">
        <f t="shared" si="73"/>
        <v/>
      </c>
      <c r="H957" s="51" t="str">
        <f>IF($C957="","",IFERROR(DATE(G957,VLOOKUP(E957,Paramètres!$K$11:$L$40,2,FALSE()),F957),"?"))</f>
        <v/>
      </c>
      <c r="I957" s="50" t="str">
        <f>IF(ISNUMBER(H957),IF(COUNTIFS($D$2:D957,D957,$H$2:H957,H957)=1,1,0),"")</f>
        <v/>
      </c>
      <c r="J957" s="50" t="str">
        <f>IF(ISNUMBER(H957),IFERROR(INDEX(Calendrier!$C$2:$C$367,MATCH(H957,Calendrier!$A$2:$A$367,0)),0),"")</f>
        <v/>
      </c>
      <c r="K957" s="50" t="str">
        <f t="shared" si="74"/>
        <v/>
      </c>
      <c r="L957" s="50" t="str">
        <f>IF(D957="","",IF(COUNTIF(Paramètres!$A$11:$A$40,D957)&gt;0,1,0))</f>
        <v/>
      </c>
    </row>
    <row r="958" spans="1:12" hidden="1" x14ac:dyDescent="0.25">
      <c r="A958" s="49"/>
      <c r="B958" s="49"/>
      <c r="C958" s="49"/>
      <c r="D958" s="50" t="str">
        <f t="shared" si="70"/>
        <v/>
      </c>
      <c r="E958" s="50" t="str">
        <f t="shared" si="71"/>
        <v/>
      </c>
      <c r="F958" s="50" t="str">
        <f t="shared" si="72"/>
        <v/>
      </c>
      <c r="G958" s="50" t="str">
        <f t="shared" si="73"/>
        <v/>
      </c>
      <c r="H958" s="51" t="str">
        <f>IF($C958="","",IFERROR(DATE(G958,VLOOKUP(E958,Paramètres!$K$11:$L$40,2,FALSE()),F958),"?"))</f>
        <v/>
      </c>
      <c r="I958" s="50" t="str">
        <f>IF(ISNUMBER(H958),IF(COUNTIFS($D$2:D958,D958,$H$2:H958,H958)=1,1,0),"")</f>
        <v/>
      </c>
      <c r="J958" s="50" t="str">
        <f>IF(ISNUMBER(H958),IFERROR(INDEX(Calendrier!$C$2:$C$367,MATCH(H958,Calendrier!$A$2:$A$367,0)),0),"")</f>
        <v/>
      </c>
      <c r="K958" s="50" t="str">
        <f t="shared" si="74"/>
        <v/>
      </c>
      <c r="L958" s="50" t="str">
        <f>IF(D958="","",IF(COUNTIF(Paramètres!$A$11:$A$40,D958)&gt;0,1,0))</f>
        <v/>
      </c>
    </row>
    <row r="959" spans="1:12" hidden="1" x14ac:dyDescent="0.25">
      <c r="A959" s="49"/>
      <c r="B959" s="49"/>
      <c r="C959" s="49"/>
      <c r="D959" s="50" t="str">
        <f t="shared" si="70"/>
        <v/>
      </c>
      <c r="E959" s="50" t="str">
        <f t="shared" si="71"/>
        <v/>
      </c>
      <c r="F959" s="50" t="str">
        <f t="shared" si="72"/>
        <v/>
      </c>
      <c r="G959" s="50" t="str">
        <f t="shared" si="73"/>
        <v/>
      </c>
      <c r="H959" s="51" t="str">
        <f>IF($C959="","",IFERROR(DATE(G959,VLOOKUP(E959,Paramètres!$K$11:$L$40,2,FALSE()),F959),"?"))</f>
        <v/>
      </c>
      <c r="I959" s="50" t="str">
        <f>IF(ISNUMBER(H959),IF(COUNTIFS($D$2:D959,D959,$H$2:H959,H959)=1,1,0),"")</f>
        <v/>
      </c>
      <c r="J959" s="50" t="str">
        <f>IF(ISNUMBER(H959),IFERROR(INDEX(Calendrier!$C$2:$C$367,MATCH(H959,Calendrier!$A$2:$A$367,0)),0),"")</f>
        <v/>
      </c>
      <c r="K959" s="50" t="str">
        <f t="shared" si="74"/>
        <v/>
      </c>
      <c r="L959" s="50" t="str">
        <f>IF(D959="","",IF(COUNTIF(Paramètres!$A$11:$A$40,D959)&gt;0,1,0))</f>
        <v/>
      </c>
    </row>
    <row r="960" spans="1:12" hidden="1" x14ac:dyDescent="0.25">
      <c r="A960" s="49"/>
      <c r="B960" s="49"/>
      <c r="C960" s="49"/>
      <c r="D960" s="50" t="str">
        <f t="shared" si="70"/>
        <v/>
      </c>
      <c r="E960" s="50" t="str">
        <f t="shared" si="71"/>
        <v/>
      </c>
      <c r="F960" s="50" t="str">
        <f t="shared" si="72"/>
        <v/>
      </c>
      <c r="G960" s="50" t="str">
        <f t="shared" si="73"/>
        <v/>
      </c>
      <c r="H960" s="51" t="str">
        <f>IF($C960="","",IFERROR(DATE(G960,VLOOKUP(E960,Paramètres!$K$11:$L$40,2,FALSE()),F960),"?"))</f>
        <v/>
      </c>
      <c r="I960" s="50" t="str">
        <f>IF(ISNUMBER(H960),IF(COUNTIFS($D$2:D960,D960,$H$2:H960,H960)=1,1,0),"")</f>
        <v/>
      </c>
      <c r="J960" s="50" t="str">
        <f>IF(ISNUMBER(H960),IFERROR(INDEX(Calendrier!$C$2:$C$367,MATCH(H960,Calendrier!$A$2:$A$367,0)),0),"")</f>
        <v/>
      </c>
      <c r="K960" s="50" t="str">
        <f t="shared" si="74"/>
        <v/>
      </c>
      <c r="L960" s="50" t="str">
        <f>IF(D960="","",IF(COUNTIF(Paramètres!$A$11:$A$40,D960)&gt;0,1,0))</f>
        <v/>
      </c>
    </row>
    <row r="961" spans="1:12" hidden="1" x14ac:dyDescent="0.25">
      <c r="A961" s="49"/>
      <c r="B961" s="49"/>
      <c r="C961" s="49"/>
      <c r="D961" s="50" t="str">
        <f t="shared" si="70"/>
        <v/>
      </c>
      <c r="E961" s="50" t="str">
        <f t="shared" si="71"/>
        <v/>
      </c>
      <c r="F961" s="50" t="str">
        <f t="shared" si="72"/>
        <v/>
      </c>
      <c r="G961" s="50" t="str">
        <f t="shared" si="73"/>
        <v/>
      </c>
      <c r="H961" s="51" t="str">
        <f>IF($C961="","",IFERROR(DATE(G961,VLOOKUP(E961,Paramètres!$K$11:$L$40,2,FALSE()),F961),"?"))</f>
        <v/>
      </c>
      <c r="I961" s="50" t="str">
        <f>IF(ISNUMBER(H961),IF(COUNTIFS($D$2:D961,D961,$H$2:H961,H961)=1,1,0),"")</f>
        <v/>
      </c>
      <c r="J961" s="50" t="str">
        <f>IF(ISNUMBER(H961),IFERROR(INDEX(Calendrier!$C$2:$C$367,MATCH(H961,Calendrier!$A$2:$A$367,0)),0),"")</f>
        <v/>
      </c>
      <c r="K961" s="50" t="str">
        <f t="shared" si="74"/>
        <v/>
      </c>
      <c r="L961" s="50" t="str">
        <f>IF(D961="","",IF(COUNTIF(Paramètres!$A$11:$A$40,D961)&gt;0,1,0))</f>
        <v/>
      </c>
    </row>
    <row r="962" spans="1:12" hidden="1" x14ac:dyDescent="0.25">
      <c r="A962" s="49"/>
      <c r="B962" s="49"/>
      <c r="C962" s="49"/>
      <c r="D962" s="50" t="str">
        <f t="shared" ref="D962:D1025" si="75">IF(B962="","",TRIM(B962))</f>
        <v/>
      </c>
      <c r="E962" s="50" t="str">
        <f t="shared" ref="E962:E1025" si="76">IF($C962="","",LEFT($C962,FIND(" ",$C962)-1))</f>
        <v/>
      </c>
      <c r="F962" s="50" t="str">
        <f t="shared" ref="F962:F1025" si="77">IF($C962="","",IFERROR(VALUE(LEFT(MID($C962,FIND(" ",$C962)+1,20),FIND(" ",MID($C962,FIND(" ",$C962)+1,20))-1)),"?"))</f>
        <v/>
      </c>
      <c r="G962" s="50" t="str">
        <f t="shared" ref="G962:G1025" si="78">IF($C962="","",IFERROR(VALUE(MID(MID($C962,FIND(" ",$C962)+1,20),FIND(" ",MID($C962,FIND(" ",$C962)+1,20))+1,4)),"?"))</f>
        <v/>
      </c>
      <c r="H962" s="51" t="str">
        <f>IF($C962="","",IFERROR(DATE(G962,VLOOKUP(E962,Paramètres!$K$11:$L$40,2,FALSE()),F962),"?"))</f>
        <v/>
      </c>
      <c r="I962" s="50" t="str">
        <f>IF(ISNUMBER(H962),IF(COUNTIFS($D$2:D962,D962,$H$2:H962,H962)=1,1,0),"")</f>
        <v/>
      </c>
      <c r="J962" s="50" t="str">
        <f>IF(ISNUMBER(H962),IFERROR(INDEX(Calendrier!$C$2:$C$367,MATCH(H962,Calendrier!$A$2:$A$367,0)),0),"")</f>
        <v/>
      </c>
      <c r="K962" s="50" t="str">
        <f t="shared" ref="K962:K1025" si="79">IF(ISNUMBER(H962),I962*J962,"")</f>
        <v/>
      </c>
      <c r="L962" s="50" t="str">
        <f>IF(D962="","",IF(COUNTIF(Paramètres!$A$11:$A$40,D962)&gt;0,1,0))</f>
        <v/>
      </c>
    </row>
    <row r="963" spans="1:12" hidden="1" x14ac:dyDescent="0.25">
      <c r="A963" s="49"/>
      <c r="B963" s="49"/>
      <c r="C963" s="49"/>
      <c r="D963" s="50" t="str">
        <f t="shared" si="75"/>
        <v/>
      </c>
      <c r="E963" s="50" t="str">
        <f t="shared" si="76"/>
        <v/>
      </c>
      <c r="F963" s="50" t="str">
        <f t="shared" si="77"/>
        <v/>
      </c>
      <c r="G963" s="50" t="str">
        <f t="shared" si="78"/>
        <v/>
      </c>
      <c r="H963" s="51" t="str">
        <f>IF($C963="","",IFERROR(DATE(G963,VLOOKUP(E963,Paramètres!$K$11:$L$40,2,FALSE()),F963),"?"))</f>
        <v/>
      </c>
      <c r="I963" s="50" t="str">
        <f>IF(ISNUMBER(H963),IF(COUNTIFS($D$2:D963,D963,$H$2:H963,H963)=1,1,0),"")</f>
        <v/>
      </c>
      <c r="J963" s="50" t="str">
        <f>IF(ISNUMBER(H963),IFERROR(INDEX(Calendrier!$C$2:$C$367,MATCH(H963,Calendrier!$A$2:$A$367,0)),0),"")</f>
        <v/>
      </c>
      <c r="K963" s="50" t="str">
        <f t="shared" si="79"/>
        <v/>
      </c>
      <c r="L963" s="50" t="str">
        <f>IF(D963="","",IF(COUNTIF(Paramètres!$A$11:$A$40,D963)&gt;0,1,0))</f>
        <v/>
      </c>
    </row>
    <row r="964" spans="1:12" hidden="1" x14ac:dyDescent="0.25">
      <c r="A964" s="49"/>
      <c r="B964" s="49"/>
      <c r="C964" s="49"/>
      <c r="D964" s="50" t="str">
        <f t="shared" si="75"/>
        <v/>
      </c>
      <c r="E964" s="50" t="str">
        <f t="shared" si="76"/>
        <v/>
      </c>
      <c r="F964" s="50" t="str">
        <f t="shared" si="77"/>
        <v/>
      </c>
      <c r="G964" s="50" t="str">
        <f t="shared" si="78"/>
        <v/>
      </c>
      <c r="H964" s="51" t="str">
        <f>IF($C964="","",IFERROR(DATE(G964,VLOOKUP(E964,Paramètres!$K$11:$L$40,2,FALSE()),F964),"?"))</f>
        <v/>
      </c>
      <c r="I964" s="50" t="str">
        <f>IF(ISNUMBER(H964),IF(COUNTIFS($D$2:D964,D964,$H$2:H964,H964)=1,1,0),"")</f>
        <v/>
      </c>
      <c r="J964" s="50" t="str">
        <f>IF(ISNUMBER(H964),IFERROR(INDEX(Calendrier!$C$2:$C$367,MATCH(H964,Calendrier!$A$2:$A$367,0)),0),"")</f>
        <v/>
      </c>
      <c r="K964" s="50" t="str">
        <f t="shared" si="79"/>
        <v/>
      </c>
      <c r="L964" s="50" t="str">
        <f>IF(D964="","",IF(COUNTIF(Paramètres!$A$11:$A$40,D964)&gt;0,1,0))</f>
        <v/>
      </c>
    </row>
    <row r="965" spans="1:12" hidden="1" x14ac:dyDescent="0.25">
      <c r="A965" s="49"/>
      <c r="B965" s="49"/>
      <c r="C965" s="49"/>
      <c r="D965" s="50" t="str">
        <f t="shared" si="75"/>
        <v/>
      </c>
      <c r="E965" s="50" t="str">
        <f t="shared" si="76"/>
        <v/>
      </c>
      <c r="F965" s="50" t="str">
        <f t="shared" si="77"/>
        <v/>
      </c>
      <c r="G965" s="50" t="str">
        <f t="shared" si="78"/>
        <v/>
      </c>
      <c r="H965" s="51" t="str">
        <f>IF($C965="","",IFERROR(DATE(G965,VLOOKUP(E965,Paramètres!$K$11:$L$40,2,FALSE()),F965),"?"))</f>
        <v/>
      </c>
      <c r="I965" s="50" t="str">
        <f>IF(ISNUMBER(H965),IF(COUNTIFS($D$2:D965,D965,$H$2:H965,H965)=1,1,0),"")</f>
        <v/>
      </c>
      <c r="J965" s="50" t="str">
        <f>IF(ISNUMBER(H965),IFERROR(INDEX(Calendrier!$C$2:$C$367,MATCH(H965,Calendrier!$A$2:$A$367,0)),0),"")</f>
        <v/>
      </c>
      <c r="K965" s="50" t="str">
        <f t="shared" si="79"/>
        <v/>
      </c>
      <c r="L965" s="50" t="str">
        <f>IF(D965="","",IF(COUNTIF(Paramètres!$A$11:$A$40,D965)&gt;0,1,0))</f>
        <v/>
      </c>
    </row>
    <row r="966" spans="1:12" hidden="1" x14ac:dyDescent="0.25">
      <c r="A966" s="49"/>
      <c r="B966" s="49"/>
      <c r="C966" s="49"/>
      <c r="D966" s="50" t="str">
        <f t="shared" si="75"/>
        <v/>
      </c>
      <c r="E966" s="50" t="str">
        <f t="shared" si="76"/>
        <v/>
      </c>
      <c r="F966" s="50" t="str">
        <f t="shared" si="77"/>
        <v/>
      </c>
      <c r="G966" s="50" t="str">
        <f t="shared" si="78"/>
        <v/>
      </c>
      <c r="H966" s="51" t="str">
        <f>IF($C966="","",IFERROR(DATE(G966,VLOOKUP(E966,Paramètres!$K$11:$L$40,2,FALSE()),F966),"?"))</f>
        <v/>
      </c>
      <c r="I966" s="50" t="str">
        <f>IF(ISNUMBER(H966),IF(COUNTIFS($D$2:D966,D966,$H$2:H966,H966)=1,1,0),"")</f>
        <v/>
      </c>
      <c r="J966" s="50" t="str">
        <f>IF(ISNUMBER(H966),IFERROR(INDEX(Calendrier!$C$2:$C$367,MATCH(H966,Calendrier!$A$2:$A$367,0)),0),"")</f>
        <v/>
      </c>
      <c r="K966" s="50" t="str">
        <f t="shared" si="79"/>
        <v/>
      </c>
      <c r="L966" s="50" t="str">
        <f>IF(D966="","",IF(COUNTIF(Paramètres!$A$11:$A$40,D966)&gt;0,1,0))</f>
        <v/>
      </c>
    </row>
    <row r="967" spans="1:12" hidden="1" x14ac:dyDescent="0.25">
      <c r="A967" s="49"/>
      <c r="B967" s="49"/>
      <c r="C967" s="49"/>
      <c r="D967" s="50" t="str">
        <f t="shared" si="75"/>
        <v/>
      </c>
      <c r="E967" s="50" t="str">
        <f t="shared" si="76"/>
        <v/>
      </c>
      <c r="F967" s="50" t="str">
        <f t="shared" si="77"/>
        <v/>
      </c>
      <c r="G967" s="50" t="str">
        <f t="shared" si="78"/>
        <v/>
      </c>
      <c r="H967" s="51" t="str">
        <f>IF($C967="","",IFERROR(DATE(G967,VLOOKUP(E967,Paramètres!$K$11:$L$40,2,FALSE()),F967),"?"))</f>
        <v/>
      </c>
      <c r="I967" s="50" t="str">
        <f>IF(ISNUMBER(H967),IF(COUNTIFS($D$2:D967,D967,$H$2:H967,H967)=1,1,0),"")</f>
        <v/>
      </c>
      <c r="J967" s="50" t="str">
        <f>IF(ISNUMBER(H967),IFERROR(INDEX(Calendrier!$C$2:$C$367,MATCH(H967,Calendrier!$A$2:$A$367,0)),0),"")</f>
        <v/>
      </c>
      <c r="K967" s="50" t="str">
        <f t="shared" si="79"/>
        <v/>
      </c>
      <c r="L967" s="50" t="str">
        <f>IF(D967="","",IF(COUNTIF(Paramètres!$A$11:$A$40,D967)&gt;0,1,0))</f>
        <v/>
      </c>
    </row>
    <row r="968" spans="1:12" hidden="1" x14ac:dyDescent="0.25">
      <c r="A968" s="49"/>
      <c r="B968" s="49"/>
      <c r="C968" s="49"/>
      <c r="D968" s="50" t="str">
        <f t="shared" si="75"/>
        <v/>
      </c>
      <c r="E968" s="50" t="str">
        <f t="shared" si="76"/>
        <v/>
      </c>
      <c r="F968" s="50" t="str">
        <f t="shared" si="77"/>
        <v/>
      </c>
      <c r="G968" s="50" t="str">
        <f t="shared" si="78"/>
        <v/>
      </c>
      <c r="H968" s="51" t="str">
        <f>IF($C968="","",IFERROR(DATE(G968,VLOOKUP(E968,Paramètres!$K$11:$L$40,2,FALSE()),F968),"?"))</f>
        <v/>
      </c>
      <c r="I968" s="50" t="str">
        <f>IF(ISNUMBER(H968),IF(COUNTIFS($D$2:D968,D968,$H$2:H968,H968)=1,1,0),"")</f>
        <v/>
      </c>
      <c r="J968" s="50" t="str">
        <f>IF(ISNUMBER(H968),IFERROR(INDEX(Calendrier!$C$2:$C$367,MATCH(H968,Calendrier!$A$2:$A$367,0)),0),"")</f>
        <v/>
      </c>
      <c r="K968" s="50" t="str">
        <f t="shared" si="79"/>
        <v/>
      </c>
      <c r="L968" s="50" t="str">
        <f>IF(D968="","",IF(COUNTIF(Paramètres!$A$11:$A$40,D968)&gt;0,1,0))</f>
        <v/>
      </c>
    </row>
    <row r="969" spans="1:12" hidden="1" x14ac:dyDescent="0.25">
      <c r="A969" s="49"/>
      <c r="B969" s="49"/>
      <c r="C969" s="49"/>
      <c r="D969" s="50" t="str">
        <f t="shared" si="75"/>
        <v/>
      </c>
      <c r="E969" s="50" t="str">
        <f t="shared" si="76"/>
        <v/>
      </c>
      <c r="F969" s="50" t="str">
        <f t="shared" si="77"/>
        <v/>
      </c>
      <c r="G969" s="50" t="str">
        <f t="shared" si="78"/>
        <v/>
      </c>
      <c r="H969" s="51" t="str">
        <f>IF($C969="","",IFERROR(DATE(G969,VLOOKUP(E969,Paramètres!$K$11:$L$40,2,FALSE()),F969),"?"))</f>
        <v/>
      </c>
      <c r="I969" s="50" t="str">
        <f>IF(ISNUMBER(H969),IF(COUNTIFS($D$2:D969,D969,$H$2:H969,H969)=1,1,0),"")</f>
        <v/>
      </c>
      <c r="J969" s="50" t="str">
        <f>IF(ISNUMBER(H969),IFERROR(INDEX(Calendrier!$C$2:$C$367,MATCH(H969,Calendrier!$A$2:$A$367,0)),0),"")</f>
        <v/>
      </c>
      <c r="K969" s="50" t="str">
        <f t="shared" si="79"/>
        <v/>
      </c>
      <c r="L969" s="50" t="str">
        <f>IF(D969="","",IF(COUNTIF(Paramètres!$A$11:$A$40,D969)&gt;0,1,0))</f>
        <v/>
      </c>
    </row>
    <row r="970" spans="1:12" hidden="1" x14ac:dyDescent="0.25">
      <c r="A970" s="49"/>
      <c r="B970" s="49"/>
      <c r="C970" s="49"/>
      <c r="D970" s="50" t="str">
        <f t="shared" si="75"/>
        <v/>
      </c>
      <c r="E970" s="50" t="str">
        <f t="shared" si="76"/>
        <v/>
      </c>
      <c r="F970" s="50" t="str">
        <f t="shared" si="77"/>
        <v/>
      </c>
      <c r="G970" s="50" t="str">
        <f t="shared" si="78"/>
        <v/>
      </c>
      <c r="H970" s="51" t="str">
        <f>IF($C970="","",IFERROR(DATE(G970,VLOOKUP(E970,Paramètres!$K$11:$L$40,2,FALSE()),F970),"?"))</f>
        <v/>
      </c>
      <c r="I970" s="50" t="str">
        <f>IF(ISNUMBER(H970),IF(COUNTIFS($D$2:D970,D970,$H$2:H970,H970)=1,1,0),"")</f>
        <v/>
      </c>
      <c r="J970" s="50" t="str">
        <f>IF(ISNUMBER(H970),IFERROR(INDEX(Calendrier!$C$2:$C$367,MATCH(H970,Calendrier!$A$2:$A$367,0)),0),"")</f>
        <v/>
      </c>
      <c r="K970" s="50" t="str">
        <f t="shared" si="79"/>
        <v/>
      </c>
      <c r="L970" s="50" t="str">
        <f>IF(D970="","",IF(COUNTIF(Paramètres!$A$11:$A$40,D970)&gt;0,1,0))</f>
        <v/>
      </c>
    </row>
    <row r="971" spans="1:12" hidden="1" x14ac:dyDescent="0.25">
      <c r="A971" s="49"/>
      <c r="B971" s="49"/>
      <c r="C971" s="49"/>
      <c r="D971" s="50" t="str">
        <f t="shared" si="75"/>
        <v/>
      </c>
      <c r="E971" s="50" t="str">
        <f t="shared" si="76"/>
        <v/>
      </c>
      <c r="F971" s="50" t="str">
        <f t="shared" si="77"/>
        <v/>
      </c>
      <c r="G971" s="50" t="str">
        <f t="shared" si="78"/>
        <v/>
      </c>
      <c r="H971" s="51" t="str">
        <f>IF($C971="","",IFERROR(DATE(G971,VLOOKUP(E971,Paramètres!$K$11:$L$40,2,FALSE()),F971),"?"))</f>
        <v/>
      </c>
      <c r="I971" s="50" t="str">
        <f>IF(ISNUMBER(H971),IF(COUNTIFS($D$2:D971,D971,$H$2:H971,H971)=1,1,0),"")</f>
        <v/>
      </c>
      <c r="J971" s="50" t="str">
        <f>IF(ISNUMBER(H971),IFERROR(INDEX(Calendrier!$C$2:$C$367,MATCH(H971,Calendrier!$A$2:$A$367,0)),0),"")</f>
        <v/>
      </c>
      <c r="K971" s="50" t="str">
        <f t="shared" si="79"/>
        <v/>
      </c>
      <c r="L971" s="50" t="str">
        <f>IF(D971="","",IF(COUNTIF(Paramètres!$A$11:$A$40,D971)&gt;0,1,0))</f>
        <v/>
      </c>
    </row>
    <row r="972" spans="1:12" hidden="1" x14ac:dyDescent="0.25">
      <c r="A972" s="49"/>
      <c r="B972" s="49"/>
      <c r="C972" s="49"/>
      <c r="D972" s="50" t="str">
        <f t="shared" si="75"/>
        <v/>
      </c>
      <c r="E972" s="50" t="str">
        <f t="shared" si="76"/>
        <v/>
      </c>
      <c r="F972" s="50" t="str">
        <f t="shared" si="77"/>
        <v/>
      </c>
      <c r="G972" s="50" t="str">
        <f t="shared" si="78"/>
        <v/>
      </c>
      <c r="H972" s="51" t="str">
        <f>IF($C972="","",IFERROR(DATE(G972,VLOOKUP(E972,Paramètres!$K$11:$L$40,2,FALSE()),F972),"?"))</f>
        <v/>
      </c>
      <c r="I972" s="50" t="str">
        <f>IF(ISNUMBER(H972),IF(COUNTIFS($D$2:D972,D972,$H$2:H972,H972)=1,1,0),"")</f>
        <v/>
      </c>
      <c r="J972" s="50" t="str">
        <f>IF(ISNUMBER(H972),IFERROR(INDEX(Calendrier!$C$2:$C$367,MATCH(H972,Calendrier!$A$2:$A$367,0)),0),"")</f>
        <v/>
      </c>
      <c r="K972" s="50" t="str">
        <f t="shared" si="79"/>
        <v/>
      </c>
      <c r="L972" s="50" t="str">
        <f>IF(D972="","",IF(COUNTIF(Paramètres!$A$11:$A$40,D972)&gt;0,1,0))</f>
        <v/>
      </c>
    </row>
    <row r="973" spans="1:12" hidden="1" x14ac:dyDescent="0.25">
      <c r="A973" s="49"/>
      <c r="B973" s="49"/>
      <c r="C973" s="49"/>
      <c r="D973" s="50" t="str">
        <f t="shared" si="75"/>
        <v/>
      </c>
      <c r="E973" s="50" t="str">
        <f t="shared" si="76"/>
        <v/>
      </c>
      <c r="F973" s="50" t="str">
        <f t="shared" si="77"/>
        <v/>
      </c>
      <c r="G973" s="50" t="str">
        <f t="shared" si="78"/>
        <v/>
      </c>
      <c r="H973" s="51" t="str">
        <f>IF($C973="","",IFERROR(DATE(G973,VLOOKUP(E973,Paramètres!$K$11:$L$40,2,FALSE()),F973),"?"))</f>
        <v/>
      </c>
      <c r="I973" s="50" t="str">
        <f>IF(ISNUMBER(H973),IF(COUNTIFS($D$2:D973,D973,$H$2:H973,H973)=1,1,0),"")</f>
        <v/>
      </c>
      <c r="J973" s="50" t="str">
        <f>IF(ISNUMBER(H973),IFERROR(INDEX(Calendrier!$C$2:$C$367,MATCH(H973,Calendrier!$A$2:$A$367,0)),0),"")</f>
        <v/>
      </c>
      <c r="K973" s="50" t="str">
        <f t="shared" si="79"/>
        <v/>
      </c>
      <c r="L973" s="50" t="str">
        <f>IF(D973="","",IF(COUNTIF(Paramètres!$A$11:$A$40,D973)&gt;0,1,0))</f>
        <v/>
      </c>
    </row>
    <row r="974" spans="1:12" hidden="1" x14ac:dyDescent="0.25">
      <c r="A974" s="49"/>
      <c r="B974" s="49"/>
      <c r="C974" s="49"/>
      <c r="D974" s="50" t="str">
        <f t="shared" si="75"/>
        <v/>
      </c>
      <c r="E974" s="50" t="str">
        <f t="shared" si="76"/>
        <v/>
      </c>
      <c r="F974" s="50" t="str">
        <f t="shared" si="77"/>
        <v/>
      </c>
      <c r="G974" s="50" t="str">
        <f t="shared" si="78"/>
        <v/>
      </c>
      <c r="H974" s="51" t="str">
        <f>IF($C974="","",IFERROR(DATE(G974,VLOOKUP(E974,Paramètres!$K$11:$L$40,2,FALSE()),F974),"?"))</f>
        <v/>
      </c>
      <c r="I974" s="50" t="str">
        <f>IF(ISNUMBER(H974),IF(COUNTIFS($D$2:D974,D974,$H$2:H974,H974)=1,1,0),"")</f>
        <v/>
      </c>
      <c r="J974" s="50" t="str">
        <f>IF(ISNUMBER(H974),IFERROR(INDEX(Calendrier!$C$2:$C$367,MATCH(H974,Calendrier!$A$2:$A$367,0)),0),"")</f>
        <v/>
      </c>
      <c r="K974" s="50" t="str">
        <f t="shared" si="79"/>
        <v/>
      </c>
      <c r="L974" s="50" t="str">
        <f>IF(D974="","",IF(COUNTIF(Paramètres!$A$11:$A$40,D974)&gt;0,1,0))</f>
        <v/>
      </c>
    </row>
    <row r="975" spans="1:12" hidden="1" x14ac:dyDescent="0.25">
      <c r="A975" s="49"/>
      <c r="B975" s="49"/>
      <c r="C975" s="49"/>
      <c r="D975" s="50" t="str">
        <f t="shared" si="75"/>
        <v/>
      </c>
      <c r="E975" s="50" t="str">
        <f t="shared" si="76"/>
        <v/>
      </c>
      <c r="F975" s="50" t="str">
        <f t="shared" si="77"/>
        <v/>
      </c>
      <c r="G975" s="50" t="str">
        <f t="shared" si="78"/>
        <v/>
      </c>
      <c r="H975" s="51" t="str">
        <f>IF($C975="","",IFERROR(DATE(G975,VLOOKUP(E975,Paramètres!$K$11:$L$40,2,FALSE()),F975),"?"))</f>
        <v/>
      </c>
      <c r="I975" s="50" t="str">
        <f>IF(ISNUMBER(H975),IF(COUNTIFS($D$2:D975,D975,$H$2:H975,H975)=1,1,0),"")</f>
        <v/>
      </c>
      <c r="J975" s="50" t="str">
        <f>IF(ISNUMBER(H975),IFERROR(INDEX(Calendrier!$C$2:$C$367,MATCH(H975,Calendrier!$A$2:$A$367,0)),0),"")</f>
        <v/>
      </c>
      <c r="K975" s="50" t="str">
        <f t="shared" si="79"/>
        <v/>
      </c>
      <c r="L975" s="50" t="str">
        <f>IF(D975="","",IF(COUNTIF(Paramètres!$A$11:$A$40,D975)&gt;0,1,0))</f>
        <v/>
      </c>
    </row>
    <row r="976" spans="1:12" hidden="1" x14ac:dyDescent="0.25">
      <c r="A976" s="49"/>
      <c r="B976" s="49"/>
      <c r="C976" s="49"/>
      <c r="D976" s="50" t="str">
        <f t="shared" si="75"/>
        <v/>
      </c>
      <c r="E976" s="50" t="str">
        <f t="shared" si="76"/>
        <v/>
      </c>
      <c r="F976" s="50" t="str">
        <f t="shared" si="77"/>
        <v/>
      </c>
      <c r="G976" s="50" t="str">
        <f t="shared" si="78"/>
        <v/>
      </c>
      <c r="H976" s="51" t="str">
        <f>IF($C976="","",IFERROR(DATE(G976,VLOOKUP(E976,Paramètres!$K$11:$L$40,2,FALSE()),F976),"?"))</f>
        <v/>
      </c>
      <c r="I976" s="50" t="str">
        <f>IF(ISNUMBER(H976),IF(COUNTIFS($D$2:D976,D976,$H$2:H976,H976)=1,1,0),"")</f>
        <v/>
      </c>
      <c r="J976" s="50" t="str">
        <f>IF(ISNUMBER(H976),IFERROR(INDEX(Calendrier!$C$2:$C$367,MATCH(H976,Calendrier!$A$2:$A$367,0)),0),"")</f>
        <v/>
      </c>
      <c r="K976" s="50" t="str">
        <f t="shared" si="79"/>
        <v/>
      </c>
      <c r="L976" s="50" t="str">
        <f>IF(D976="","",IF(COUNTIF(Paramètres!$A$11:$A$40,D976)&gt;0,1,0))</f>
        <v/>
      </c>
    </row>
    <row r="977" spans="1:12" hidden="1" x14ac:dyDescent="0.25">
      <c r="A977" s="49"/>
      <c r="B977" s="49"/>
      <c r="C977" s="49"/>
      <c r="D977" s="50" t="str">
        <f t="shared" si="75"/>
        <v/>
      </c>
      <c r="E977" s="50" t="str">
        <f t="shared" si="76"/>
        <v/>
      </c>
      <c r="F977" s="50" t="str">
        <f t="shared" si="77"/>
        <v/>
      </c>
      <c r="G977" s="50" t="str">
        <f t="shared" si="78"/>
        <v/>
      </c>
      <c r="H977" s="51" t="str">
        <f>IF($C977="","",IFERROR(DATE(G977,VLOOKUP(E977,Paramètres!$K$11:$L$40,2,FALSE()),F977),"?"))</f>
        <v/>
      </c>
      <c r="I977" s="50" t="str">
        <f>IF(ISNUMBER(H977),IF(COUNTIFS($D$2:D977,D977,$H$2:H977,H977)=1,1,0),"")</f>
        <v/>
      </c>
      <c r="J977" s="50" t="str">
        <f>IF(ISNUMBER(H977),IFERROR(INDEX(Calendrier!$C$2:$C$367,MATCH(H977,Calendrier!$A$2:$A$367,0)),0),"")</f>
        <v/>
      </c>
      <c r="K977" s="50" t="str">
        <f t="shared" si="79"/>
        <v/>
      </c>
      <c r="L977" s="50" t="str">
        <f>IF(D977="","",IF(COUNTIF(Paramètres!$A$11:$A$40,D977)&gt;0,1,0))</f>
        <v/>
      </c>
    </row>
    <row r="978" spans="1:12" hidden="1" x14ac:dyDescent="0.25">
      <c r="A978" s="49"/>
      <c r="B978" s="49"/>
      <c r="C978" s="49"/>
      <c r="D978" s="50" t="str">
        <f t="shared" si="75"/>
        <v/>
      </c>
      <c r="E978" s="50" t="str">
        <f t="shared" si="76"/>
        <v/>
      </c>
      <c r="F978" s="50" t="str">
        <f t="shared" si="77"/>
        <v/>
      </c>
      <c r="G978" s="50" t="str">
        <f t="shared" si="78"/>
        <v/>
      </c>
      <c r="H978" s="51" t="str">
        <f>IF($C978="","",IFERROR(DATE(G978,VLOOKUP(E978,Paramètres!$K$11:$L$40,2,FALSE()),F978),"?"))</f>
        <v/>
      </c>
      <c r="I978" s="50" t="str">
        <f>IF(ISNUMBER(H978),IF(COUNTIFS($D$2:D978,D978,$H$2:H978,H978)=1,1,0),"")</f>
        <v/>
      </c>
      <c r="J978" s="50" t="str">
        <f>IF(ISNUMBER(H978),IFERROR(INDEX(Calendrier!$C$2:$C$367,MATCH(H978,Calendrier!$A$2:$A$367,0)),0),"")</f>
        <v/>
      </c>
      <c r="K978" s="50" t="str">
        <f t="shared" si="79"/>
        <v/>
      </c>
      <c r="L978" s="50" t="str">
        <f>IF(D978="","",IF(COUNTIF(Paramètres!$A$11:$A$40,D978)&gt;0,1,0))</f>
        <v/>
      </c>
    </row>
    <row r="979" spans="1:12" hidden="1" x14ac:dyDescent="0.25">
      <c r="A979" s="49"/>
      <c r="B979" s="49"/>
      <c r="C979" s="49"/>
      <c r="D979" s="50" t="str">
        <f t="shared" si="75"/>
        <v/>
      </c>
      <c r="E979" s="50" t="str">
        <f t="shared" si="76"/>
        <v/>
      </c>
      <c r="F979" s="50" t="str">
        <f t="shared" si="77"/>
        <v/>
      </c>
      <c r="G979" s="50" t="str">
        <f t="shared" si="78"/>
        <v/>
      </c>
      <c r="H979" s="51" t="str">
        <f>IF($C979="","",IFERROR(DATE(G979,VLOOKUP(E979,Paramètres!$K$11:$L$40,2,FALSE()),F979),"?"))</f>
        <v/>
      </c>
      <c r="I979" s="50" t="str">
        <f>IF(ISNUMBER(H979),IF(COUNTIFS($D$2:D979,D979,$H$2:H979,H979)=1,1,0),"")</f>
        <v/>
      </c>
      <c r="J979" s="50" t="str">
        <f>IF(ISNUMBER(H979),IFERROR(INDEX(Calendrier!$C$2:$C$367,MATCH(H979,Calendrier!$A$2:$A$367,0)),0),"")</f>
        <v/>
      </c>
      <c r="K979" s="50" t="str">
        <f t="shared" si="79"/>
        <v/>
      </c>
      <c r="L979" s="50" t="str">
        <f>IF(D979="","",IF(COUNTIF(Paramètres!$A$11:$A$40,D979)&gt;0,1,0))</f>
        <v/>
      </c>
    </row>
    <row r="980" spans="1:12" hidden="1" x14ac:dyDescent="0.25">
      <c r="A980" s="49"/>
      <c r="B980" s="49"/>
      <c r="C980" s="49"/>
      <c r="D980" s="50" t="str">
        <f t="shared" si="75"/>
        <v/>
      </c>
      <c r="E980" s="50" t="str">
        <f t="shared" si="76"/>
        <v/>
      </c>
      <c r="F980" s="50" t="str">
        <f t="shared" si="77"/>
        <v/>
      </c>
      <c r="G980" s="50" t="str">
        <f t="shared" si="78"/>
        <v/>
      </c>
      <c r="H980" s="51" t="str">
        <f>IF($C980="","",IFERROR(DATE(G980,VLOOKUP(E980,Paramètres!$K$11:$L$40,2,FALSE()),F980),"?"))</f>
        <v/>
      </c>
      <c r="I980" s="50" t="str">
        <f>IF(ISNUMBER(H980),IF(COUNTIFS($D$2:D980,D980,$H$2:H980,H980)=1,1,0),"")</f>
        <v/>
      </c>
      <c r="J980" s="50" t="str">
        <f>IF(ISNUMBER(H980),IFERROR(INDEX(Calendrier!$C$2:$C$367,MATCH(H980,Calendrier!$A$2:$A$367,0)),0),"")</f>
        <v/>
      </c>
      <c r="K980" s="50" t="str">
        <f t="shared" si="79"/>
        <v/>
      </c>
      <c r="L980" s="50" t="str">
        <f>IF(D980="","",IF(COUNTIF(Paramètres!$A$11:$A$40,D980)&gt;0,1,0))</f>
        <v/>
      </c>
    </row>
    <row r="981" spans="1:12" hidden="1" x14ac:dyDescent="0.25">
      <c r="A981" s="49"/>
      <c r="B981" s="49"/>
      <c r="C981" s="49"/>
      <c r="D981" s="50" t="str">
        <f t="shared" si="75"/>
        <v/>
      </c>
      <c r="E981" s="50" t="str">
        <f t="shared" si="76"/>
        <v/>
      </c>
      <c r="F981" s="50" t="str">
        <f t="shared" si="77"/>
        <v/>
      </c>
      <c r="G981" s="50" t="str">
        <f t="shared" si="78"/>
        <v/>
      </c>
      <c r="H981" s="51" t="str">
        <f>IF($C981="","",IFERROR(DATE(G981,VLOOKUP(E981,Paramètres!$K$11:$L$40,2,FALSE()),F981),"?"))</f>
        <v/>
      </c>
      <c r="I981" s="50" t="str">
        <f>IF(ISNUMBER(H981),IF(COUNTIFS($D$2:D981,D981,$H$2:H981,H981)=1,1,0),"")</f>
        <v/>
      </c>
      <c r="J981" s="50" t="str">
        <f>IF(ISNUMBER(H981),IFERROR(INDEX(Calendrier!$C$2:$C$367,MATCH(H981,Calendrier!$A$2:$A$367,0)),0),"")</f>
        <v/>
      </c>
      <c r="K981" s="50" t="str">
        <f t="shared" si="79"/>
        <v/>
      </c>
      <c r="L981" s="50" t="str">
        <f>IF(D981="","",IF(COUNTIF(Paramètres!$A$11:$A$40,D981)&gt;0,1,0))</f>
        <v/>
      </c>
    </row>
    <row r="982" spans="1:12" hidden="1" x14ac:dyDescent="0.25">
      <c r="A982" s="49"/>
      <c r="B982" s="49"/>
      <c r="C982" s="49"/>
      <c r="D982" s="50" t="str">
        <f t="shared" si="75"/>
        <v/>
      </c>
      <c r="E982" s="50" t="str">
        <f t="shared" si="76"/>
        <v/>
      </c>
      <c r="F982" s="50" t="str">
        <f t="shared" si="77"/>
        <v/>
      </c>
      <c r="G982" s="50" t="str">
        <f t="shared" si="78"/>
        <v/>
      </c>
      <c r="H982" s="51" t="str">
        <f>IF($C982="","",IFERROR(DATE(G982,VLOOKUP(E982,Paramètres!$K$11:$L$40,2,FALSE()),F982),"?"))</f>
        <v/>
      </c>
      <c r="I982" s="50" t="str">
        <f>IF(ISNUMBER(H982),IF(COUNTIFS($D$2:D982,D982,$H$2:H982,H982)=1,1,0),"")</f>
        <v/>
      </c>
      <c r="J982" s="50" t="str">
        <f>IF(ISNUMBER(H982),IFERROR(INDEX(Calendrier!$C$2:$C$367,MATCH(H982,Calendrier!$A$2:$A$367,0)),0),"")</f>
        <v/>
      </c>
      <c r="K982" s="50" t="str">
        <f t="shared" si="79"/>
        <v/>
      </c>
      <c r="L982" s="50" t="str">
        <f>IF(D982="","",IF(COUNTIF(Paramètres!$A$11:$A$40,D982)&gt;0,1,0))</f>
        <v/>
      </c>
    </row>
    <row r="983" spans="1:12" hidden="1" x14ac:dyDescent="0.25">
      <c r="A983" s="49"/>
      <c r="B983" s="49"/>
      <c r="C983" s="49"/>
      <c r="D983" s="50" t="str">
        <f t="shared" si="75"/>
        <v/>
      </c>
      <c r="E983" s="50" t="str">
        <f t="shared" si="76"/>
        <v/>
      </c>
      <c r="F983" s="50" t="str">
        <f t="shared" si="77"/>
        <v/>
      </c>
      <c r="G983" s="50" t="str">
        <f t="shared" si="78"/>
        <v/>
      </c>
      <c r="H983" s="51" t="str">
        <f>IF($C983="","",IFERROR(DATE(G983,VLOOKUP(E983,Paramètres!$K$11:$L$40,2,FALSE()),F983),"?"))</f>
        <v/>
      </c>
      <c r="I983" s="50" t="str">
        <f>IF(ISNUMBER(H983),IF(COUNTIFS($D$2:D983,D983,$H$2:H983,H983)=1,1,0),"")</f>
        <v/>
      </c>
      <c r="J983" s="50" t="str">
        <f>IF(ISNUMBER(H983),IFERROR(INDEX(Calendrier!$C$2:$C$367,MATCH(H983,Calendrier!$A$2:$A$367,0)),0),"")</f>
        <v/>
      </c>
      <c r="K983" s="50" t="str">
        <f t="shared" si="79"/>
        <v/>
      </c>
      <c r="L983" s="50" t="str">
        <f>IF(D983="","",IF(COUNTIF(Paramètres!$A$11:$A$40,D983)&gt;0,1,0))</f>
        <v/>
      </c>
    </row>
    <row r="984" spans="1:12" hidden="1" x14ac:dyDescent="0.25">
      <c r="A984" s="49"/>
      <c r="B984" s="49"/>
      <c r="C984" s="49"/>
      <c r="D984" s="50" t="str">
        <f t="shared" si="75"/>
        <v/>
      </c>
      <c r="E984" s="50" t="str">
        <f t="shared" si="76"/>
        <v/>
      </c>
      <c r="F984" s="50" t="str">
        <f t="shared" si="77"/>
        <v/>
      </c>
      <c r="G984" s="50" t="str">
        <f t="shared" si="78"/>
        <v/>
      </c>
      <c r="H984" s="51" t="str">
        <f>IF($C984="","",IFERROR(DATE(G984,VLOOKUP(E984,Paramètres!$K$11:$L$40,2,FALSE()),F984),"?"))</f>
        <v/>
      </c>
      <c r="I984" s="50" t="str">
        <f>IF(ISNUMBER(H984),IF(COUNTIFS($D$2:D984,D984,$H$2:H984,H984)=1,1,0),"")</f>
        <v/>
      </c>
      <c r="J984" s="50" t="str">
        <f>IF(ISNUMBER(H984),IFERROR(INDEX(Calendrier!$C$2:$C$367,MATCH(H984,Calendrier!$A$2:$A$367,0)),0),"")</f>
        <v/>
      </c>
      <c r="K984" s="50" t="str">
        <f t="shared" si="79"/>
        <v/>
      </c>
      <c r="L984" s="50" t="str">
        <f>IF(D984="","",IF(COUNTIF(Paramètres!$A$11:$A$40,D984)&gt;0,1,0))</f>
        <v/>
      </c>
    </row>
    <row r="985" spans="1:12" hidden="1" x14ac:dyDescent="0.25">
      <c r="A985" s="49"/>
      <c r="B985" s="49"/>
      <c r="C985" s="49"/>
      <c r="D985" s="50" t="str">
        <f t="shared" si="75"/>
        <v/>
      </c>
      <c r="E985" s="50" t="str">
        <f t="shared" si="76"/>
        <v/>
      </c>
      <c r="F985" s="50" t="str">
        <f t="shared" si="77"/>
        <v/>
      </c>
      <c r="G985" s="50" t="str">
        <f t="shared" si="78"/>
        <v/>
      </c>
      <c r="H985" s="51" t="str">
        <f>IF($C985="","",IFERROR(DATE(G985,VLOOKUP(E985,Paramètres!$K$11:$L$40,2,FALSE()),F985),"?"))</f>
        <v/>
      </c>
      <c r="I985" s="50" t="str">
        <f>IF(ISNUMBER(H985),IF(COUNTIFS($D$2:D985,D985,$H$2:H985,H985)=1,1,0),"")</f>
        <v/>
      </c>
      <c r="J985" s="50" t="str">
        <f>IF(ISNUMBER(H985),IFERROR(INDEX(Calendrier!$C$2:$C$367,MATCH(H985,Calendrier!$A$2:$A$367,0)),0),"")</f>
        <v/>
      </c>
      <c r="K985" s="50" t="str">
        <f t="shared" si="79"/>
        <v/>
      </c>
      <c r="L985" s="50" t="str">
        <f>IF(D985="","",IF(COUNTIF(Paramètres!$A$11:$A$40,D985)&gt;0,1,0))</f>
        <v/>
      </c>
    </row>
    <row r="986" spans="1:12" hidden="1" x14ac:dyDescent="0.25">
      <c r="A986" s="49"/>
      <c r="B986" s="49"/>
      <c r="C986" s="49"/>
      <c r="D986" s="50" t="str">
        <f t="shared" si="75"/>
        <v/>
      </c>
      <c r="E986" s="50" t="str">
        <f t="shared" si="76"/>
        <v/>
      </c>
      <c r="F986" s="50" t="str">
        <f t="shared" si="77"/>
        <v/>
      </c>
      <c r="G986" s="50" t="str">
        <f t="shared" si="78"/>
        <v/>
      </c>
      <c r="H986" s="51" t="str">
        <f>IF($C986="","",IFERROR(DATE(G986,VLOOKUP(E986,Paramètres!$K$11:$L$40,2,FALSE()),F986),"?"))</f>
        <v/>
      </c>
      <c r="I986" s="50" t="str">
        <f>IF(ISNUMBER(H986),IF(COUNTIFS($D$2:D986,D986,$H$2:H986,H986)=1,1,0),"")</f>
        <v/>
      </c>
      <c r="J986" s="50" t="str">
        <f>IF(ISNUMBER(H986),IFERROR(INDEX(Calendrier!$C$2:$C$367,MATCH(H986,Calendrier!$A$2:$A$367,0)),0),"")</f>
        <v/>
      </c>
      <c r="K986" s="50" t="str">
        <f t="shared" si="79"/>
        <v/>
      </c>
      <c r="L986" s="50" t="str">
        <f>IF(D986="","",IF(COUNTIF(Paramètres!$A$11:$A$40,D986)&gt;0,1,0))</f>
        <v/>
      </c>
    </row>
    <row r="987" spans="1:12" hidden="1" x14ac:dyDescent="0.25">
      <c r="A987" s="49"/>
      <c r="B987" s="49"/>
      <c r="C987" s="49"/>
      <c r="D987" s="50" t="str">
        <f t="shared" si="75"/>
        <v/>
      </c>
      <c r="E987" s="50" t="str">
        <f t="shared" si="76"/>
        <v/>
      </c>
      <c r="F987" s="50" t="str">
        <f t="shared" si="77"/>
        <v/>
      </c>
      <c r="G987" s="50" t="str">
        <f t="shared" si="78"/>
        <v/>
      </c>
      <c r="H987" s="51" t="str">
        <f>IF($C987="","",IFERROR(DATE(G987,VLOOKUP(E987,Paramètres!$K$11:$L$40,2,FALSE()),F987),"?"))</f>
        <v/>
      </c>
      <c r="I987" s="50" t="str">
        <f>IF(ISNUMBER(H987),IF(COUNTIFS($D$2:D987,D987,$H$2:H987,H987)=1,1,0),"")</f>
        <v/>
      </c>
      <c r="J987" s="50" t="str">
        <f>IF(ISNUMBER(H987),IFERROR(INDEX(Calendrier!$C$2:$C$367,MATCH(H987,Calendrier!$A$2:$A$367,0)),0),"")</f>
        <v/>
      </c>
      <c r="K987" s="50" t="str">
        <f t="shared" si="79"/>
        <v/>
      </c>
      <c r="L987" s="50" t="str">
        <f>IF(D987="","",IF(COUNTIF(Paramètres!$A$11:$A$40,D987)&gt;0,1,0))</f>
        <v/>
      </c>
    </row>
    <row r="988" spans="1:12" hidden="1" x14ac:dyDescent="0.25">
      <c r="A988" s="49"/>
      <c r="B988" s="49"/>
      <c r="C988" s="49"/>
      <c r="D988" s="50" t="str">
        <f t="shared" si="75"/>
        <v/>
      </c>
      <c r="E988" s="50" t="str">
        <f t="shared" si="76"/>
        <v/>
      </c>
      <c r="F988" s="50" t="str">
        <f t="shared" si="77"/>
        <v/>
      </c>
      <c r="G988" s="50" t="str">
        <f t="shared" si="78"/>
        <v/>
      </c>
      <c r="H988" s="51" t="str">
        <f>IF($C988="","",IFERROR(DATE(G988,VLOOKUP(E988,Paramètres!$K$11:$L$40,2,FALSE()),F988),"?"))</f>
        <v/>
      </c>
      <c r="I988" s="50" t="str">
        <f>IF(ISNUMBER(H988),IF(COUNTIFS($D$2:D988,D988,$H$2:H988,H988)=1,1,0),"")</f>
        <v/>
      </c>
      <c r="J988" s="50" t="str">
        <f>IF(ISNUMBER(H988),IFERROR(INDEX(Calendrier!$C$2:$C$367,MATCH(H988,Calendrier!$A$2:$A$367,0)),0),"")</f>
        <v/>
      </c>
      <c r="K988" s="50" t="str">
        <f t="shared" si="79"/>
        <v/>
      </c>
      <c r="L988" s="50" t="str">
        <f>IF(D988="","",IF(COUNTIF(Paramètres!$A$11:$A$40,D988)&gt;0,1,0))</f>
        <v/>
      </c>
    </row>
    <row r="989" spans="1:12" hidden="1" x14ac:dyDescent="0.25">
      <c r="A989" s="49"/>
      <c r="B989" s="49"/>
      <c r="C989" s="49"/>
      <c r="D989" s="50" t="str">
        <f t="shared" si="75"/>
        <v/>
      </c>
      <c r="E989" s="50" t="str">
        <f t="shared" si="76"/>
        <v/>
      </c>
      <c r="F989" s="50" t="str">
        <f t="shared" si="77"/>
        <v/>
      </c>
      <c r="G989" s="50" t="str">
        <f t="shared" si="78"/>
        <v/>
      </c>
      <c r="H989" s="51" t="str">
        <f>IF($C989="","",IFERROR(DATE(G989,VLOOKUP(E989,Paramètres!$K$11:$L$40,2,FALSE()),F989),"?"))</f>
        <v/>
      </c>
      <c r="I989" s="50" t="str">
        <f>IF(ISNUMBER(H989),IF(COUNTIFS($D$2:D989,D989,$H$2:H989,H989)=1,1,0),"")</f>
        <v/>
      </c>
      <c r="J989" s="50" t="str">
        <f>IF(ISNUMBER(H989),IFERROR(INDEX(Calendrier!$C$2:$C$367,MATCH(H989,Calendrier!$A$2:$A$367,0)),0),"")</f>
        <v/>
      </c>
      <c r="K989" s="50" t="str">
        <f t="shared" si="79"/>
        <v/>
      </c>
      <c r="L989" s="50" t="str">
        <f>IF(D989="","",IF(COUNTIF(Paramètres!$A$11:$A$40,D989)&gt;0,1,0))</f>
        <v/>
      </c>
    </row>
    <row r="990" spans="1:12" hidden="1" x14ac:dyDescent="0.25">
      <c r="A990" s="49"/>
      <c r="B990" s="49"/>
      <c r="C990" s="49"/>
      <c r="D990" s="50" t="str">
        <f t="shared" si="75"/>
        <v/>
      </c>
      <c r="E990" s="50" t="str">
        <f t="shared" si="76"/>
        <v/>
      </c>
      <c r="F990" s="50" t="str">
        <f t="shared" si="77"/>
        <v/>
      </c>
      <c r="G990" s="50" t="str">
        <f t="shared" si="78"/>
        <v/>
      </c>
      <c r="H990" s="51" t="str">
        <f>IF($C990="","",IFERROR(DATE(G990,VLOOKUP(E990,Paramètres!$K$11:$L$40,2,FALSE()),F990),"?"))</f>
        <v/>
      </c>
      <c r="I990" s="50" t="str">
        <f>IF(ISNUMBER(H990),IF(COUNTIFS($D$2:D990,D990,$H$2:H990,H990)=1,1,0),"")</f>
        <v/>
      </c>
      <c r="J990" s="50" t="str">
        <f>IF(ISNUMBER(H990),IFERROR(INDEX(Calendrier!$C$2:$C$367,MATCH(H990,Calendrier!$A$2:$A$367,0)),0),"")</f>
        <v/>
      </c>
      <c r="K990" s="50" t="str">
        <f t="shared" si="79"/>
        <v/>
      </c>
      <c r="L990" s="50" t="str">
        <f>IF(D990="","",IF(COUNTIF(Paramètres!$A$11:$A$40,D990)&gt;0,1,0))</f>
        <v/>
      </c>
    </row>
    <row r="991" spans="1:12" hidden="1" x14ac:dyDescent="0.25">
      <c r="A991" s="49"/>
      <c r="B991" s="49"/>
      <c r="C991" s="49"/>
      <c r="D991" s="50" t="str">
        <f t="shared" si="75"/>
        <v/>
      </c>
      <c r="E991" s="50" t="str">
        <f t="shared" si="76"/>
        <v/>
      </c>
      <c r="F991" s="50" t="str">
        <f t="shared" si="77"/>
        <v/>
      </c>
      <c r="G991" s="50" t="str">
        <f t="shared" si="78"/>
        <v/>
      </c>
      <c r="H991" s="51" t="str">
        <f>IF($C991="","",IFERROR(DATE(G991,VLOOKUP(E991,Paramètres!$K$11:$L$40,2,FALSE()),F991),"?"))</f>
        <v/>
      </c>
      <c r="I991" s="50" t="str">
        <f>IF(ISNUMBER(H991),IF(COUNTIFS($D$2:D991,D991,$H$2:H991,H991)=1,1,0),"")</f>
        <v/>
      </c>
      <c r="J991" s="50" t="str">
        <f>IF(ISNUMBER(H991),IFERROR(INDEX(Calendrier!$C$2:$C$367,MATCH(H991,Calendrier!$A$2:$A$367,0)),0),"")</f>
        <v/>
      </c>
      <c r="K991" s="50" t="str">
        <f t="shared" si="79"/>
        <v/>
      </c>
      <c r="L991" s="50" t="str">
        <f>IF(D991="","",IF(COUNTIF(Paramètres!$A$11:$A$40,D991)&gt;0,1,0))</f>
        <v/>
      </c>
    </row>
    <row r="992" spans="1:12" hidden="1" x14ac:dyDescent="0.25">
      <c r="A992" s="49"/>
      <c r="B992" s="49"/>
      <c r="C992" s="49"/>
      <c r="D992" s="50" t="str">
        <f t="shared" si="75"/>
        <v/>
      </c>
      <c r="E992" s="50" t="str">
        <f t="shared" si="76"/>
        <v/>
      </c>
      <c r="F992" s="50" t="str">
        <f t="shared" si="77"/>
        <v/>
      </c>
      <c r="G992" s="50" t="str">
        <f t="shared" si="78"/>
        <v/>
      </c>
      <c r="H992" s="51" t="str">
        <f>IF($C992="","",IFERROR(DATE(G992,VLOOKUP(E992,Paramètres!$K$11:$L$40,2,FALSE()),F992),"?"))</f>
        <v/>
      </c>
      <c r="I992" s="50" t="str">
        <f>IF(ISNUMBER(H992),IF(COUNTIFS($D$2:D992,D992,$H$2:H992,H992)=1,1,0),"")</f>
        <v/>
      </c>
      <c r="J992" s="50" t="str">
        <f>IF(ISNUMBER(H992),IFERROR(INDEX(Calendrier!$C$2:$C$367,MATCH(H992,Calendrier!$A$2:$A$367,0)),0),"")</f>
        <v/>
      </c>
      <c r="K992" s="50" t="str">
        <f t="shared" si="79"/>
        <v/>
      </c>
      <c r="L992" s="50" t="str">
        <f>IF(D992="","",IF(COUNTIF(Paramètres!$A$11:$A$40,D992)&gt;0,1,0))</f>
        <v/>
      </c>
    </row>
    <row r="993" spans="1:12" hidden="1" x14ac:dyDescent="0.25">
      <c r="A993" s="49"/>
      <c r="B993" s="49"/>
      <c r="C993" s="49"/>
      <c r="D993" s="50" t="str">
        <f t="shared" si="75"/>
        <v/>
      </c>
      <c r="E993" s="50" t="str">
        <f t="shared" si="76"/>
        <v/>
      </c>
      <c r="F993" s="50" t="str">
        <f t="shared" si="77"/>
        <v/>
      </c>
      <c r="G993" s="50" t="str">
        <f t="shared" si="78"/>
        <v/>
      </c>
      <c r="H993" s="51" t="str">
        <f>IF($C993="","",IFERROR(DATE(G993,VLOOKUP(E993,Paramètres!$K$11:$L$40,2,FALSE()),F993),"?"))</f>
        <v/>
      </c>
      <c r="I993" s="50" t="str">
        <f>IF(ISNUMBER(H993),IF(COUNTIFS($D$2:D993,D993,$H$2:H993,H993)=1,1,0),"")</f>
        <v/>
      </c>
      <c r="J993" s="50" t="str">
        <f>IF(ISNUMBER(H993),IFERROR(INDEX(Calendrier!$C$2:$C$367,MATCH(H993,Calendrier!$A$2:$A$367,0)),0),"")</f>
        <v/>
      </c>
      <c r="K993" s="50" t="str">
        <f t="shared" si="79"/>
        <v/>
      </c>
      <c r="L993" s="50" t="str">
        <f>IF(D993="","",IF(COUNTIF(Paramètres!$A$11:$A$40,D993)&gt;0,1,0))</f>
        <v/>
      </c>
    </row>
    <row r="994" spans="1:12" hidden="1" x14ac:dyDescent="0.25">
      <c r="A994" s="49"/>
      <c r="B994" s="49"/>
      <c r="C994" s="49"/>
      <c r="D994" s="50" t="str">
        <f t="shared" si="75"/>
        <v/>
      </c>
      <c r="E994" s="50" t="str">
        <f t="shared" si="76"/>
        <v/>
      </c>
      <c r="F994" s="50" t="str">
        <f t="shared" si="77"/>
        <v/>
      </c>
      <c r="G994" s="50" t="str">
        <f t="shared" si="78"/>
        <v/>
      </c>
      <c r="H994" s="51" t="str">
        <f>IF($C994="","",IFERROR(DATE(G994,VLOOKUP(E994,Paramètres!$K$11:$L$40,2,FALSE()),F994),"?"))</f>
        <v/>
      </c>
      <c r="I994" s="50" t="str">
        <f>IF(ISNUMBER(H994),IF(COUNTIFS($D$2:D994,D994,$H$2:H994,H994)=1,1,0),"")</f>
        <v/>
      </c>
      <c r="J994" s="50" t="str">
        <f>IF(ISNUMBER(H994),IFERROR(INDEX(Calendrier!$C$2:$C$367,MATCH(H994,Calendrier!$A$2:$A$367,0)),0),"")</f>
        <v/>
      </c>
      <c r="K994" s="50" t="str">
        <f t="shared" si="79"/>
        <v/>
      </c>
      <c r="L994" s="50" t="str">
        <f>IF(D994="","",IF(COUNTIF(Paramètres!$A$11:$A$40,D994)&gt;0,1,0))</f>
        <v/>
      </c>
    </row>
    <row r="995" spans="1:12" hidden="1" x14ac:dyDescent="0.25">
      <c r="A995" s="49"/>
      <c r="B995" s="49"/>
      <c r="C995" s="49"/>
      <c r="D995" s="50" t="str">
        <f t="shared" si="75"/>
        <v/>
      </c>
      <c r="E995" s="50" t="str">
        <f t="shared" si="76"/>
        <v/>
      </c>
      <c r="F995" s="50" t="str">
        <f t="shared" si="77"/>
        <v/>
      </c>
      <c r="G995" s="50" t="str">
        <f t="shared" si="78"/>
        <v/>
      </c>
      <c r="H995" s="51" t="str">
        <f>IF($C995="","",IFERROR(DATE(G995,VLOOKUP(E995,Paramètres!$K$11:$L$40,2,FALSE()),F995),"?"))</f>
        <v/>
      </c>
      <c r="I995" s="50" t="str">
        <f>IF(ISNUMBER(H995),IF(COUNTIFS($D$2:D995,D995,$H$2:H995,H995)=1,1,0),"")</f>
        <v/>
      </c>
      <c r="J995" s="50" t="str">
        <f>IF(ISNUMBER(H995),IFERROR(INDEX(Calendrier!$C$2:$C$367,MATCH(H995,Calendrier!$A$2:$A$367,0)),0),"")</f>
        <v/>
      </c>
      <c r="K995" s="50" t="str">
        <f t="shared" si="79"/>
        <v/>
      </c>
      <c r="L995" s="50" t="str">
        <f>IF(D995="","",IF(COUNTIF(Paramètres!$A$11:$A$40,D995)&gt;0,1,0))</f>
        <v/>
      </c>
    </row>
    <row r="996" spans="1:12" hidden="1" x14ac:dyDescent="0.25">
      <c r="A996" s="49"/>
      <c r="B996" s="49"/>
      <c r="C996" s="49"/>
      <c r="D996" s="50" t="str">
        <f t="shared" si="75"/>
        <v/>
      </c>
      <c r="E996" s="50" t="str">
        <f t="shared" si="76"/>
        <v/>
      </c>
      <c r="F996" s="50" t="str">
        <f t="shared" si="77"/>
        <v/>
      </c>
      <c r="G996" s="50" t="str">
        <f t="shared" si="78"/>
        <v/>
      </c>
      <c r="H996" s="51" t="str">
        <f>IF($C996="","",IFERROR(DATE(G996,VLOOKUP(E996,Paramètres!$K$11:$L$40,2,FALSE()),F996),"?"))</f>
        <v/>
      </c>
      <c r="I996" s="50" t="str">
        <f>IF(ISNUMBER(H996),IF(COUNTIFS($D$2:D996,D996,$H$2:H996,H996)=1,1,0),"")</f>
        <v/>
      </c>
      <c r="J996" s="50" t="str">
        <f>IF(ISNUMBER(H996),IFERROR(INDEX(Calendrier!$C$2:$C$367,MATCH(H996,Calendrier!$A$2:$A$367,0)),0),"")</f>
        <v/>
      </c>
      <c r="K996" s="50" t="str">
        <f t="shared" si="79"/>
        <v/>
      </c>
      <c r="L996" s="50" t="str">
        <f>IF(D996="","",IF(COUNTIF(Paramètres!$A$11:$A$40,D996)&gt;0,1,0))</f>
        <v/>
      </c>
    </row>
    <row r="997" spans="1:12" hidden="1" x14ac:dyDescent="0.25">
      <c r="A997" s="49"/>
      <c r="B997" s="49"/>
      <c r="C997" s="49"/>
      <c r="D997" s="50" t="str">
        <f t="shared" si="75"/>
        <v/>
      </c>
      <c r="E997" s="50" t="str">
        <f t="shared" si="76"/>
        <v/>
      </c>
      <c r="F997" s="50" t="str">
        <f t="shared" si="77"/>
        <v/>
      </c>
      <c r="G997" s="50" t="str">
        <f t="shared" si="78"/>
        <v/>
      </c>
      <c r="H997" s="51" t="str">
        <f>IF($C997="","",IFERROR(DATE(G997,VLOOKUP(E997,Paramètres!$K$11:$L$40,2,FALSE()),F997),"?"))</f>
        <v/>
      </c>
      <c r="I997" s="50" t="str">
        <f>IF(ISNUMBER(H997),IF(COUNTIFS($D$2:D997,D997,$H$2:H997,H997)=1,1,0),"")</f>
        <v/>
      </c>
      <c r="J997" s="50" t="str">
        <f>IF(ISNUMBER(H997),IFERROR(INDEX(Calendrier!$C$2:$C$367,MATCH(H997,Calendrier!$A$2:$A$367,0)),0),"")</f>
        <v/>
      </c>
      <c r="K997" s="50" t="str">
        <f t="shared" si="79"/>
        <v/>
      </c>
      <c r="L997" s="50" t="str">
        <f>IF(D997="","",IF(COUNTIF(Paramètres!$A$11:$A$40,D997)&gt;0,1,0))</f>
        <v/>
      </c>
    </row>
    <row r="998" spans="1:12" hidden="1" x14ac:dyDescent="0.25">
      <c r="A998" s="49"/>
      <c r="B998" s="49"/>
      <c r="C998" s="49"/>
      <c r="D998" s="50" t="str">
        <f t="shared" si="75"/>
        <v/>
      </c>
      <c r="E998" s="50" t="str">
        <f t="shared" si="76"/>
        <v/>
      </c>
      <c r="F998" s="50" t="str">
        <f t="shared" si="77"/>
        <v/>
      </c>
      <c r="G998" s="50" t="str">
        <f t="shared" si="78"/>
        <v/>
      </c>
      <c r="H998" s="51" t="str">
        <f>IF($C998="","",IFERROR(DATE(G998,VLOOKUP(E998,Paramètres!$K$11:$L$40,2,FALSE()),F998),"?"))</f>
        <v/>
      </c>
      <c r="I998" s="50" t="str">
        <f>IF(ISNUMBER(H998),IF(COUNTIFS($D$2:D998,D998,$H$2:H998,H998)=1,1,0),"")</f>
        <v/>
      </c>
      <c r="J998" s="50" t="str">
        <f>IF(ISNUMBER(H998),IFERROR(INDEX(Calendrier!$C$2:$C$367,MATCH(H998,Calendrier!$A$2:$A$367,0)),0),"")</f>
        <v/>
      </c>
      <c r="K998" s="50" t="str">
        <f t="shared" si="79"/>
        <v/>
      </c>
      <c r="L998" s="50" t="str">
        <f>IF(D998="","",IF(COUNTIF(Paramètres!$A$11:$A$40,D998)&gt;0,1,0))</f>
        <v/>
      </c>
    </row>
    <row r="999" spans="1:12" hidden="1" x14ac:dyDescent="0.25">
      <c r="A999" s="49"/>
      <c r="B999" s="49"/>
      <c r="C999" s="49"/>
      <c r="D999" s="50" t="str">
        <f t="shared" si="75"/>
        <v/>
      </c>
      <c r="E999" s="50" t="str">
        <f t="shared" si="76"/>
        <v/>
      </c>
      <c r="F999" s="50" t="str">
        <f t="shared" si="77"/>
        <v/>
      </c>
      <c r="G999" s="50" t="str">
        <f t="shared" si="78"/>
        <v/>
      </c>
      <c r="H999" s="51" t="str">
        <f>IF($C999="","",IFERROR(DATE(G999,VLOOKUP(E999,Paramètres!$K$11:$L$40,2,FALSE()),F999),"?"))</f>
        <v/>
      </c>
      <c r="I999" s="50" t="str">
        <f>IF(ISNUMBER(H999),IF(COUNTIFS($D$2:D999,D999,$H$2:H999,H999)=1,1,0),"")</f>
        <v/>
      </c>
      <c r="J999" s="50" t="str">
        <f>IF(ISNUMBER(H999),IFERROR(INDEX(Calendrier!$C$2:$C$367,MATCH(H999,Calendrier!$A$2:$A$367,0)),0),"")</f>
        <v/>
      </c>
      <c r="K999" s="50" t="str">
        <f t="shared" si="79"/>
        <v/>
      </c>
      <c r="L999" s="50" t="str">
        <f>IF(D999="","",IF(COUNTIF(Paramètres!$A$11:$A$40,D999)&gt;0,1,0))</f>
        <v/>
      </c>
    </row>
    <row r="1000" spans="1:12" hidden="1" x14ac:dyDescent="0.25">
      <c r="A1000" s="49"/>
      <c r="B1000" s="49"/>
      <c r="C1000" s="49"/>
      <c r="D1000" s="50" t="str">
        <f t="shared" si="75"/>
        <v/>
      </c>
      <c r="E1000" s="50" t="str">
        <f t="shared" si="76"/>
        <v/>
      </c>
      <c r="F1000" s="50" t="str">
        <f t="shared" si="77"/>
        <v/>
      </c>
      <c r="G1000" s="50" t="str">
        <f t="shared" si="78"/>
        <v/>
      </c>
      <c r="H1000" s="51" t="str">
        <f>IF($C1000="","",IFERROR(DATE(G1000,VLOOKUP(E1000,Paramètres!$K$11:$L$40,2,FALSE()),F1000),"?"))</f>
        <v/>
      </c>
      <c r="I1000" s="50" t="str">
        <f>IF(ISNUMBER(H1000),IF(COUNTIFS($D$2:D1000,D1000,$H$2:H1000,H1000)=1,1,0),"")</f>
        <v/>
      </c>
      <c r="J1000" s="50" t="str">
        <f>IF(ISNUMBER(H1000),IFERROR(INDEX(Calendrier!$C$2:$C$367,MATCH(H1000,Calendrier!$A$2:$A$367,0)),0),"")</f>
        <v/>
      </c>
      <c r="K1000" s="50" t="str">
        <f t="shared" si="79"/>
        <v/>
      </c>
      <c r="L1000" s="50" t="str">
        <f>IF(D1000="","",IF(COUNTIF(Paramètres!$A$11:$A$40,D1000)&gt;0,1,0))</f>
        <v/>
      </c>
    </row>
    <row r="1001" spans="1:12" hidden="1" x14ac:dyDescent="0.25">
      <c r="A1001" s="49"/>
      <c r="B1001" s="49"/>
      <c r="C1001" s="49"/>
      <c r="D1001" s="50" t="str">
        <f t="shared" si="75"/>
        <v/>
      </c>
      <c r="E1001" s="50" t="str">
        <f t="shared" si="76"/>
        <v/>
      </c>
      <c r="F1001" s="50" t="str">
        <f t="shared" si="77"/>
        <v/>
      </c>
      <c r="G1001" s="50" t="str">
        <f t="shared" si="78"/>
        <v/>
      </c>
      <c r="H1001" s="51" t="str">
        <f>IF($C1001="","",IFERROR(DATE(G1001,VLOOKUP(E1001,Paramètres!$K$11:$L$40,2,FALSE()),F1001),"?"))</f>
        <v/>
      </c>
      <c r="I1001" s="50" t="str">
        <f>IF(ISNUMBER(H1001),IF(COUNTIFS($D$2:D1001,D1001,$H$2:H1001,H1001)=1,1,0),"")</f>
        <v/>
      </c>
      <c r="J1001" s="50" t="str">
        <f>IF(ISNUMBER(H1001),IFERROR(INDEX(Calendrier!$C$2:$C$367,MATCH(H1001,Calendrier!$A$2:$A$367,0)),0),"")</f>
        <v/>
      </c>
      <c r="K1001" s="50" t="str">
        <f t="shared" si="79"/>
        <v/>
      </c>
      <c r="L1001" s="50" t="str">
        <f>IF(D1001="","",IF(COUNTIF(Paramètres!$A$11:$A$40,D1001)&gt;0,1,0))</f>
        <v/>
      </c>
    </row>
    <row r="1002" spans="1:12" hidden="1" x14ac:dyDescent="0.25">
      <c r="A1002" s="49"/>
      <c r="B1002" s="49"/>
      <c r="C1002" s="49"/>
      <c r="D1002" s="50" t="str">
        <f t="shared" si="75"/>
        <v/>
      </c>
      <c r="E1002" s="50" t="str">
        <f t="shared" si="76"/>
        <v/>
      </c>
      <c r="F1002" s="50" t="str">
        <f t="shared" si="77"/>
        <v/>
      </c>
      <c r="G1002" s="50" t="str">
        <f t="shared" si="78"/>
        <v/>
      </c>
      <c r="H1002" s="51" t="str">
        <f>IF($C1002="","",IFERROR(DATE(G1002,VLOOKUP(E1002,Paramètres!$K$11:$L$40,2,FALSE()),F1002),"?"))</f>
        <v/>
      </c>
      <c r="I1002" s="50" t="str">
        <f>IF(ISNUMBER(H1002),IF(COUNTIFS($D$2:D1002,D1002,$H$2:H1002,H1002)=1,1,0),"")</f>
        <v/>
      </c>
      <c r="J1002" s="50" t="str">
        <f>IF(ISNUMBER(H1002),IFERROR(INDEX(Calendrier!$C$2:$C$367,MATCH(H1002,Calendrier!$A$2:$A$367,0)),0),"")</f>
        <v/>
      </c>
      <c r="K1002" s="50" t="str">
        <f t="shared" si="79"/>
        <v/>
      </c>
      <c r="L1002" s="50" t="str">
        <f>IF(D1002="","",IF(COUNTIF(Paramètres!$A$11:$A$40,D1002)&gt;0,1,0))</f>
        <v/>
      </c>
    </row>
    <row r="1003" spans="1:12" hidden="1" x14ac:dyDescent="0.25">
      <c r="A1003" s="49"/>
      <c r="B1003" s="49"/>
      <c r="C1003" s="49"/>
      <c r="D1003" s="50" t="str">
        <f t="shared" si="75"/>
        <v/>
      </c>
      <c r="E1003" s="50" t="str">
        <f t="shared" si="76"/>
        <v/>
      </c>
      <c r="F1003" s="50" t="str">
        <f t="shared" si="77"/>
        <v/>
      </c>
      <c r="G1003" s="50" t="str">
        <f t="shared" si="78"/>
        <v/>
      </c>
      <c r="H1003" s="51" t="str">
        <f>IF($C1003="","",IFERROR(DATE(G1003,VLOOKUP(E1003,Paramètres!$K$11:$L$40,2,FALSE()),F1003),"?"))</f>
        <v/>
      </c>
      <c r="I1003" s="50" t="str">
        <f>IF(ISNUMBER(H1003),IF(COUNTIFS($D$2:D1003,D1003,$H$2:H1003,H1003)=1,1,0),"")</f>
        <v/>
      </c>
      <c r="J1003" s="50" t="str">
        <f>IF(ISNUMBER(H1003),IFERROR(INDEX(Calendrier!$C$2:$C$367,MATCH(H1003,Calendrier!$A$2:$A$367,0)),0),"")</f>
        <v/>
      </c>
      <c r="K1003" s="50" t="str">
        <f t="shared" si="79"/>
        <v/>
      </c>
      <c r="L1003" s="50" t="str">
        <f>IF(D1003="","",IF(COUNTIF(Paramètres!$A$11:$A$40,D1003)&gt;0,1,0))</f>
        <v/>
      </c>
    </row>
    <row r="1004" spans="1:12" hidden="1" x14ac:dyDescent="0.25">
      <c r="A1004" s="49"/>
      <c r="B1004" s="49"/>
      <c r="C1004" s="49"/>
      <c r="D1004" s="50" t="str">
        <f t="shared" si="75"/>
        <v/>
      </c>
      <c r="E1004" s="50" t="str">
        <f t="shared" si="76"/>
        <v/>
      </c>
      <c r="F1004" s="50" t="str">
        <f t="shared" si="77"/>
        <v/>
      </c>
      <c r="G1004" s="50" t="str">
        <f t="shared" si="78"/>
        <v/>
      </c>
      <c r="H1004" s="51" t="str">
        <f>IF($C1004="","",IFERROR(DATE(G1004,VLOOKUP(E1004,Paramètres!$K$11:$L$40,2,FALSE()),F1004),"?"))</f>
        <v/>
      </c>
      <c r="I1004" s="50" t="str">
        <f>IF(ISNUMBER(H1004),IF(COUNTIFS($D$2:D1004,D1004,$H$2:H1004,H1004)=1,1,0),"")</f>
        <v/>
      </c>
      <c r="J1004" s="50" t="str">
        <f>IF(ISNUMBER(H1004),IFERROR(INDEX(Calendrier!$C$2:$C$367,MATCH(H1004,Calendrier!$A$2:$A$367,0)),0),"")</f>
        <v/>
      </c>
      <c r="K1004" s="50" t="str">
        <f t="shared" si="79"/>
        <v/>
      </c>
      <c r="L1004" s="50" t="str">
        <f>IF(D1004="","",IF(COUNTIF(Paramètres!$A$11:$A$40,D1004)&gt;0,1,0))</f>
        <v/>
      </c>
    </row>
    <row r="1005" spans="1:12" hidden="1" x14ac:dyDescent="0.25">
      <c r="A1005" s="49"/>
      <c r="B1005" s="49"/>
      <c r="C1005" s="49"/>
      <c r="D1005" s="50" t="str">
        <f t="shared" si="75"/>
        <v/>
      </c>
      <c r="E1005" s="50" t="str">
        <f t="shared" si="76"/>
        <v/>
      </c>
      <c r="F1005" s="50" t="str">
        <f t="shared" si="77"/>
        <v/>
      </c>
      <c r="G1005" s="50" t="str">
        <f t="shared" si="78"/>
        <v/>
      </c>
      <c r="H1005" s="51" t="str">
        <f>IF($C1005="","",IFERROR(DATE(G1005,VLOOKUP(E1005,Paramètres!$K$11:$L$40,2,FALSE()),F1005),"?"))</f>
        <v/>
      </c>
      <c r="I1005" s="50" t="str">
        <f>IF(ISNUMBER(H1005),IF(COUNTIFS($D$2:D1005,D1005,$H$2:H1005,H1005)=1,1,0),"")</f>
        <v/>
      </c>
      <c r="J1005" s="50" t="str">
        <f>IF(ISNUMBER(H1005),IFERROR(INDEX(Calendrier!$C$2:$C$367,MATCH(H1005,Calendrier!$A$2:$A$367,0)),0),"")</f>
        <v/>
      </c>
      <c r="K1005" s="50" t="str">
        <f t="shared" si="79"/>
        <v/>
      </c>
      <c r="L1005" s="50" t="str">
        <f>IF(D1005="","",IF(COUNTIF(Paramètres!$A$11:$A$40,D1005)&gt;0,1,0))</f>
        <v/>
      </c>
    </row>
    <row r="1006" spans="1:12" hidden="1" x14ac:dyDescent="0.25">
      <c r="A1006" s="49"/>
      <c r="B1006" s="49"/>
      <c r="C1006" s="49"/>
      <c r="D1006" s="50" t="str">
        <f t="shared" si="75"/>
        <v/>
      </c>
      <c r="E1006" s="50" t="str">
        <f t="shared" si="76"/>
        <v/>
      </c>
      <c r="F1006" s="50" t="str">
        <f t="shared" si="77"/>
        <v/>
      </c>
      <c r="G1006" s="50" t="str">
        <f t="shared" si="78"/>
        <v/>
      </c>
      <c r="H1006" s="51" t="str">
        <f>IF($C1006="","",IFERROR(DATE(G1006,VLOOKUP(E1006,Paramètres!$K$11:$L$40,2,FALSE()),F1006),"?"))</f>
        <v/>
      </c>
      <c r="I1006" s="50" t="str">
        <f>IF(ISNUMBER(H1006),IF(COUNTIFS($D$2:D1006,D1006,$H$2:H1006,H1006)=1,1,0),"")</f>
        <v/>
      </c>
      <c r="J1006" s="50" t="str">
        <f>IF(ISNUMBER(H1006),IFERROR(INDEX(Calendrier!$C$2:$C$367,MATCH(H1006,Calendrier!$A$2:$A$367,0)),0),"")</f>
        <v/>
      </c>
      <c r="K1006" s="50" t="str">
        <f t="shared" si="79"/>
        <v/>
      </c>
      <c r="L1006" s="50" t="str">
        <f>IF(D1006="","",IF(COUNTIF(Paramètres!$A$11:$A$40,D1006)&gt;0,1,0))</f>
        <v/>
      </c>
    </row>
    <row r="1007" spans="1:12" hidden="1" x14ac:dyDescent="0.25">
      <c r="A1007" s="49"/>
      <c r="B1007" s="49"/>
      <c r="C1007" s="49"/>
      <c r="D1007" s="50" t="str">
        <f t="shared" si="75"/>
        <v/>
      </c>
      <c r="E1007" s="50" t="str">
        <f t="shared" si="76"/>
        <v/>
      </c>
      <c r="F1007" s="50" t="str">
        <f t="shared" si="77"/>
        <v/>
      </c>
      <c r="G1007" s="50" t="str">
        <f t="shared" si="78"/>
        <v/>
      </c>
      <c r="H1007" s="51" t="str">
        <f>IF($C1007="","",IFERROR(DATE(G1007,VLOOKUP(E1007,Paramètres!$K$11:$L$40,2,FALSE()),F1007),"?"))</f>
        <v/>
      </c>
      <c r="I1007" s="50" t="str">
        <f>IF(ISNUMBER(H1007),IF(COUNTIFS($D$2:D1007,D1007,$H$2:H1007,H1007)=1,1,0),"")</f>
        <v/>
      </c>
      <c r="J1007" s="50" t="str">
        <f>IF(ISNUMBER(H1007),IFERROR(INDEX(Calendrier!$C$2:$C$367,MATCH(H1007,Calendrier!$A$2:$A$367,0)),0),"")</f>
        <v/>
      </c>
      <c r="K1007" s="50" t="str">
        <f t="shared" si="79"/>
        <v/>
      </c>
      <c r="L1007" s="50" t="str">
        <f>IF(D1007="","",IF(COUNTIF(Paramètres!$A$11:$A$40,D1007)&gt;0,1,0))</f>
        <v/>
      </c>
    </row>
    <row r="1008" spans="1:12" hidden="1" x14ac:dyDescent="0.25">
      <c r="A1008" s="49"/>
      <c r="B1008" s="49"/>
      <c r="C1008" s="49"/>
      <c r="D1008" s="50" t="str">
        <f t="shared" si="75"/>
        <v/>
      </c>
      <c r="E1008" s="50" t="str">
        <f t="shared" si="76"/>
        <v/>
      </c>
      <c r="F1008" s="50" t="str">
        <f t="shared" si="77"/>
        <v/>
      </c>
      <c r="G1008" s="50" t="str">
        <f t="shared" si="78"/>
        <v/>
      </c>
      <c r="H1008" s="51" t="str">
        <f>IF($C1008="","",IFERROR(DATE(G1008,VLOOKUP(E1008,Paramètres!$K$11:$L$40,2,FALSE()),F1008),"?"))</f>
        <v/>
      </c>
      <c r="I1008" s="50" t="str">
        <f>IF(ISNUMBER(H1008),IF(COUNTIFS($D$2:D1008,D1008,$H$2:H1008,H1008)=1,1,0),"")</f>
        <v/>
      </c>
      <c r="J1008" s="50" t="str">
        <f>IF(ISNUMBER(H1008),IFERROR(INDEX(Calendrier!$C$2:$C$367,MATCH(H1008,Calendrier!$A$2:$A$367,0)),0),"")</f>
        <v/>
      </c>
      <c r="K1008" s="50" t="str">
        <f t="shared" si="79"/>
        <v/>
      </c>
      <c r="L1008" s="50" t="str">
        <f>IF(D1008="","",IF(COUNTIF(Paramètres!$A$11:$A$40,D1008)&gt;0,1,0))</f>
        <v/>
      </c>
    </row>
    <row r="1009" spans="1:12" hidden="1" x14ac:dyDescent="0.25">
      <c r="A1009" s="49"/>
      <c r="B1009" s="49"/>
      <c r="C1009" s="49"/>
      <c r="D1009" s="50" t="str">
        <f t="shared" si="75"/>
        <v/>
      </c>
      <c r="E1009" s="50" t="str">
        <f t="shared" si="76"/>
        <v/>
      </c>
      <c r="F1009" s="50" t="str">
        <f t="shared" si="77"/>
        <v/>
      </c>
      <c r="G1009" s="50" t="str">
        <f t="shared" si="78"/>
        <v/>
      </c>
      <c r="H1009" s="51" t="str">
        <f>IF($C1009="","",IFERROR(DATE(G1009,VLOOKUP(E1009,Paramètres!$K$11:$L$40,2,FALSE()),F1009),"?"))</f>
        <v/>
      </c>
      <c r="I1009" s="50" t="str">
        <f>IF(ISNUMBER(H1009),IF(COUNTIFS($D$2:D1009,D1009,$H$2:H1009,H1009)=1,1,0),"")</f>
        <v/>
      </c>
      <c r="J1009" s="50" t="str">
        <f>IF(ISNUMBER(H1009),IFERROR(INDEX(Calendrier!$C$2:$C$367,MATCH(H1009,Calendrier!$A$2:$A$367,0)),0),"")</f>
        <v/>
      </c>
      <c r="K1009" s="50" t="str">
        <f t="shared" si="79"/>
        <v/>
      </c>
      <c r="L1009" s="50" t="str">
        <f>IF(D1009="","",IF(COUNTIF(Paramètres!$A$11:$A$40,D1009)&gt;0,1,0))</f>
        <v/>
      </c>
    </row>
    <row r="1010" spans="1:12" hidden="1" x14ac:dyDescent="0.25">
      <c r="A1010" s="49"/>
      <c r="B1010" s="49"/>
      <c r="C1010" s="49"/>
      <c r="D1010" s="50" t="str">
        <f t="shared" si="75"/>
        <v/>
      </c>
      <c r="E1010" s="50" t="str">
        <f t="shared" si="76"/>
        <v/>
      </c>
      <c r="F1010" s="50" t="str">
        <f t="shared" si="77"/>
        <v/>
      </c>
      <c r="G1010" s="50" t="str">
        <f t="shared" si="78"/>
        <v/>
      </c>
      <c r="H1010" s="51" t="str">
        <f>IF($C1010="","",IFERROR(DATE(G1010,VLOOKUP(E1010,Paramètres!$K$11:$L$40,2,FALSE()),F1010),"?"))</f>
        <v/>
      </c>
      <c r="I1010" s="50" t="str">
        <f>IF(ISNUMBER(H1010),IF(COUNTIFS($D$2:D1010,D1010,$H$2:H1010,H1010)=1,1,0),"")</f>
        <v/>
      </c>
      <c r="J1010" s="50" t="str">
        <f>IF(ISNUMBER(H1010),IFERROR(INDEX(Calendrier!$C$2:$C$367,MATCH(H1010,Calendrier!$A$2:$A$367,0)),0),"")</f>
        <v/>
      </c>
      <c r="K1010" s="50" t="str">
        <f t="shared" si="79"/>
        <v/>
      </c>
      <c r="L1010" s="50" t="str">
        <f>IF(D1010="","",IF(COUNTIF(Paramètres!$A$11:$A$40,D1010)&gt;0,1,0))</f>
        <v/>
      </c>
    </row>
    <row r="1011" spans="1:12" hidden="1" x14ac:dyDescent="0.25">
      <c r="A1011" s="49"/>
      <c r="B1011" s="49"/>
      <c r="C1011" s="49"/>
      <c r="D1011" s="50" t="str">
        <f t="shared" si="75"/>
        <v/>
      </c>
      <c r="E1011" s="50" t="str">
        <f t="shared" si="76"/>
        <v/>
      </c>
      <c r="F1011" s="50" t="str">
        <f t="shared" si="77"/>
        <v/>
      </c>
      <c r="G1011" s="50" t="str">
        <f t="shared" si="78"/>
        <v/>
      </c>
      <c r="H1011" s="51" t="str">
        <f>IF($C1011="","",IFERROR(DATE(G1011,VLOOKUP(E1011,Paramètres!$K$11:$L$40,2,FALSE()),F1011),"?"))</f>
        <v/>
      </c>
      <c r="I1011" s="50" t="str">
        <f>IF(ISNUMBER(H1011),IF(COUNTIFS($D$2:D1011,D1011,$H$2:H1011,H1011)=1,1,0),"")</f>
        <v/>
      </c>
      <c r="J1011" s="50" t="str">
        <f>IF(ISNUMBER(H1011),IFERROR(INDEX(Calendrier!$C$2:$C$367,MATCH(H1011,Calendrier!$A$2:$A$367,0)),0),"")</f>
        <v/>
      </c>
      <c r="K1011" s="50" t="str">
        <f t="shared" si="79"/>
        <v/>
      </c>
      <c r="L1011" s="50" t="str">
        <f>IF(D1011="","",IF(COUNTIF(Paramètres!$A$11:$A$40,D1011)&gt;0,1,0))</f>
        <v/>
      </c>
    </row>
    <row r="1012" spans="1:12" hidden="1" x14ac:dyDescent="0.25">
      <c r="A1012" s="49"/>
      <c r="B1012" s="49"/>
      <c r="C1012" s="49"/>
      <c r="D1012" s="50" t="str">
        <f t="shared" si="75"/>
        <v/>
      </c>
      <c r="E1012" s="50" t="str">
        <f t="shared" si="76"/>
        <v/>
      </c>
      <c r="F1012" s="50" t="str">
        <f t="shared" si="77"/>
        <v/>
      </c>
      <c r="G1012" s="50" t="str">
        <f t="shared" si="78"/>
        <v/>
      </c>
      <c r="H1012" s="51" t="str">
        <f>IF($C1012="","",IFERROR(DATE(G1012,VLOOKUP(E1012,Paramètres!$K$11:$L$40,2,FALSE()),F1012),"?"))</f>
        <v/>
      </c>
      <c r="I1012" s="50" t="str">
        <f>IF(ISNUMBER(H1012),IF(COUNTIFS($D$2:D1012,D1012,$H$2:H1012,H1012)=1,1,0),"")</f>
        <v/>
      </c>
      <c r="J1012" s="50" t="str">
        <f>IF(ISNUMBER(H1012),IFERROR(INDEX(Calendrier!$C$2:$C$367,MATCH(H1012,Calendrier!$A$2:$A$367,0)),0),"")</f>
        <v/>
      </c>
      <c r="K1012" s="50" t="str">
        <f t="shared" si="79"/>
        <v/>
      </c>
      <c r="L1012" s="50" t="str">
        <f>IF(D1012="","",IF(COUNTIF(Paramètres!$A$11:$A$40,D1012)&gt;0,1,0))</f>
        <v/>
      </c>
    </row>
    <row r="1013" spans="1:12" hidden="1" x14ac:dyDescent="0.25">
      <c r="A1013" s="49"/>
      <c r="B1013" s="49"/>
      <c r="C1013" s="49"/>
      <c r="D1013" s="50" t="str">
        <f t="shared" si="75"/>
        <v/>
      </c>
      <c r="E1013" s="50" t="str">
        <f t="shared" si="76"/>
        <v/>
      </c>
      <c r="F1013" s="50" t="str">
        <f t="shared" si="77"/>
        <v/>
      </c>
      <c r="G1013" s="50" t="str">
        <f t="shared" si="78"/>
        <v/>
      </c>
      <c r="H1013" s="51" t="str">
        <f>IF($C1013="","",IFERROR(DATE(G1013,VLOOKUP(E1013,Paramètres!$K$11:$L$40,2,FALSE()),F1013),"?"))</f>
        <v/>
      </c>
      <c r="I1013" s="50" t="str">
        <f>IF(ISNUMBER(H1013),IF(COUNTIFS($D$2:D1013,D1013,$H$2:H1013,H1013)=1,1,0),"")</f>
        <v/>
      </c>
      <c r="J1013" s="50" t="str">
        <f>IF(ISNUMBER(H1013),IFERROR(INDEX(Calendrier!$C$2:$C$367,MATCH(H1013,Calendrier!$A$2:$A$367,0)),0),"")</f>
        <v/>
      </c>
      <c r="K1013" s="50" t="str">
        <f t="shared" si="79"/>
        <v/>
      </c>
      <c r="L1013" s="50" t="str">
        <f>IF(D1013="","",IF(COUNTIF(Paramètres!$A$11:$A$40,D1013)&gt;0,1,0))</f>
        <v/>
      </c>
    </row>
    <row r="1014" spans="1:12" hidden="1" x14ac:dyDescent="0.25">
      <c r="A1014" s="49"/>
      <c r="B1014" s="49"/>
      <c r="C1014" s="49"/>
      <c r="D1014" s="50" t="str">
        <f t="shared" si="75"/>
        <v/>
      </c>
      <c r="E1014" s="50" t="str">
        <f t="shared" si="76"/>
        <v/>
      </c>
      <c r="F1014" s="50" t="str">
        <f t="shared" si="77"/>
        <v/>
      </c>
      <c r="G1014" s="50" t="str">
        <f t="shared" si="78"/>
        <v/>
      </c>
      <c r="H1014" s="51" t="str">
        <f>IF($C1014="","",IFERROR(DATE(G1014,VLOOKUP(E1014,Paramètres!$K$11:$L$40,2,FALSE()),F1014),"?"))</f>
        <v/>
      </c>
      <c r="I1014" s="50" t="str">
        <f>IF(ISNUMBER(H1014),IF(COUNTIFS($D$2:D1014,D1014,$H$2:H1014,H1014)=1,1,0),"")</f>
        <v/>
      </c>
      <c r="J1014" s="50" t="str">
        <f>IF(ISNUMBER(H1014),IFERROR(INDEX(Calendrier!$C$2:$C$367,MATCH(H1014,Calendrier!$A$2:$A$367,0)),0),"")</f>
        <v/>
      </c>
      <c r="K1014" s="50" t="str">
        <f t="shared" si="79"/>
        <v/>
      </c>
      <c r="L1014" s="50" t="str">
        <f>IF(D1014="","",IF(COUNTIF(Paramètres!$A$11:$A$40,D1014)&gt;0,1,0))</f>
        <v/>
      </c>
    </row>
    <row r="1015" spans="1:12" hidden="1" x14ac:dyDescent="0.25">
      <c r="A1015" s="49"/>
      <c r="B1015" s="49"/>
      <c r="C1015" s="49"/>
      <c r="D1015" s="50" t="str">
        <f t="shared" si="75"/>
        <v/>
      </c>
      <c r="E1015" s="50" t="str">
        <f t="shared" si="76"/>
        <v/>
      </c>
      <c r="F1015" s="50" t="str">
        <f t="shared" si="77"/>
        <v/>
      </c>
      <c r="G1015" s="50" t="str">
        <f t="shared" si="78"/>
        <v/>
      </c>
      <c r="H1015" s="51" t="str">
        <f>IF($C1015="","",IFERROR(DATE(G1015,VLOOKUP(E1015,Paramètres!$K$11:$L$40,2,FALSE()),F1015),"?"))</f>
        <v/>
      </c>
      <c r="I1015" s="50" t="str">
        <f>IF(ISNUMBER(H1015),IF(COUNTIFS($D$2:D1015,D1015,$H$2:H1015,H1015)=1,1,0),"")</f>
        <v/>
      </c>
      <c r="J1015" s="50" t="str">
        <f>IF(ISNUMBER(H1015),IFERROR(INDEX(Calendrier!$C$2:$C$367,MATCH(H1015,Calendrier!$A$2:$A$367,0)),0),"")</f>
        <v/>
      </c>
      <c r="K1015" s="50" t="str">
        <f t="shared" si="79"/>
        <v/>
      </c>
      <c r="L1015" s="50" t="str">
        <f>IF(D1015="","",IF(COUNTIF(Paramètres!$A$11:$A$40,D1015)&gt;0,1,0))</f>
        <v/>
      </c>
    </row>
    <row r="1016" spans="1:12" hidden="1" x14ac:dyDescent="0.25">
      <c r="A1016" s="49"/>
      <c r="B1016" s="49"/>
      <c r="C1016" s="49"/>
      <c r="D1016" s="50" t="str">
        <f t="shared" si="75"/>
        <v/>
      </c>
      <c r="E1016" s="50" t="str">
        <f t="shared" si="76"/>
        <v/>
      </c>
      <c r="F1016" s="50" t="str">
        <f t="shared" si="77"/>
        <v/>
      </c>
      <c r="G1016" s="50" t="str">
        <f t="shared" si="78"/>
        <v/>
      </c>
      <c r="H1016" s="51" t="str">
        <f>IF($C1016="","",IFERROR(DATE(G1016,VLOOKUP(E1016,Paramètres!$K$11:$L$40,2,FALSE()),F1016),"?"))</f>
        <v/>
      </c>
      <c r="I1016" s="50" t="str">
        <f>IF(ISNUMBER(H1016),IF(COUNTIFS($D$2:D1016,D1016,$H$2:H1016,H1016)=1,1,0),"")</f>
        <v/>
      </c>
      <c r="J1016" s="50" t="str">
        <f>IF(ISNUMBER(H1016),IFERROR(INDEX(Calendrier!$C$2:$C$367,MATCH(H1016,Calendrier!$A$2:$A$367,0)),0),"")</f>
        <v/>
      </c>
      <c r="K1016" s="50" t="str">
        <f t="shared" si="79"/>
        <v/>
      </c>
      <c r="L1016" s="50" t="str">
        <f>IF(D1016="","",IF(COUNTIF(Paramètres!$A$11:$A$40,D1016)&gt;0,1,0))</f>
        <v/>
      </c>
    </row>
    <row r="1017" spans="1:12" hidden="1" x14ac:dyDescent="0.25">
      <c r="A1017" s="49"/>
      <c r="B1017" s="49"/>
      <c r="C1017" s="49"/>
      <c r="D1017" s="50" t="str">
        <f t="shared" si="75"/>
        <v/>
      </c>
      <c r="E1017" s="50" t="str">
        <f t="shared" si="76"/>
        <v/>
      </c>
      <c r="F1017" s="50" t="str">
        <f t="shared" si="77"/>
        <v/>
      </c>
      <c r="G1017" s="50" t="str">
        <f t="shared" si="78"/>
        <v/>
      </c>
      <c r="H1017" s="51" t="str">
        <f>IF($C1017="","",IFERROR(DATE(G1017,VLOOKUP(E1017,Paramètres!$K$11:$L$40,2,FALSE()),F1017),"?"))</f>
        <v/>
      </c>
      <c r="I1017" s="50" t="str">
        <f>IF(ISNUMBER(H1017),IF(COUNTIFS($D$2:D1017,D1017,$H$2:H1017,H1017)=1,1,0),"")</f>
        <v/>
      </c>
      <c r="J1017" s="50" t="str">
        <f>IF(ISNUMBER(H1017),IFERROR(INDEX(Calendrier!$C$2:$C$367,MATCH(H1017,Calendrier!$A$2:$A$367,0)),0),"")</f>
        <v/>
      </c>
      <c r="K1017" s="50" t="str">
        <f t="shared" si="79"/>
        <v/>
      </c>
      <c r="L1017" s="50" t="str">
        <f>IF(D1017="","",IF(COUNTIF(Paramètres!$A$11:$A$40,D1017)&gt;0,1,0))</f>
        <v/>
      </c>
    </row>
    <row r="1018" spans="1:12" hidden="1" x14ac:dyDescent="0.25">
      <c r="A1018" s="49"/>
      <c r="B1018" s="49"/>
      <c r="C1018" s="49"/>
      <c r="D1018" s="50" t="str">
        <f t="shared" si="75"/>
        <v/>
      </c>
      <c r="E1018" s="50" t="str">
        <f t="shared" si="76"/>
        <v/>
      </c>
      <c r="F1018" s="50" t="str">
        <f t="shared" si="77"/>
        <v/>
      </c>
      <c r="G1018" s="50" t="str">
        <f t="shared" si="78"/>
        <v/>
      </c>
      <c r="H1018" s="51" t="str">
        <f>IF($C1018="","",IFERROR(DATE(G1018,VLOOKUP(E1018,Paramètres!$K$11:$L$40,2,FALSE()),F1018),"?"))</f>
        <v/>
      </c>
      <c r="I1018" s="50" t="str">
        <f>IF(ISNUMBER(H1018),IF(COUNTIFS($D$2:D1018,D1018,$H$2:H1018,H1018)=1,1,0),"")</f>
        <v/>
      </c>
      <c r="J1018" s="50" t="str">
        <f>IF(ISNUMBER(H1018),IFERROR(INDEX(Calendrier!$C$2:$C$367,MATCH(H1018,Calendrier!$A$2:$A$367,0)),0),"")</f>
        <v/>
      </c>
      <c r="K1018" s="50" t="str">
        <f t="shared" si="79"/>
        <v/>
      </c>
      <c r="L1018" s="50" t="str">
        <f>IF(D1018="","",IF(COUNTIF(Paramètres!$A$11:$A$40,D1018)&gt;0,1,0))</f>
        <v/>
      </c>
    </row>
    <row r="1019" spans="1:12" hidden="1" x14ac:dyDescent="0.25">
      <c r="A1019" s="49"/>
      <c r="B1019" s="49"/>
      <c r="C1019" s="49"/>
      <c r="D1019" s="50" t="str">
        <f t="shared" si="75"/>
        <v/>
      </c>
      <c r="E1019" s="50" t="str">
        <f t="shared" si="76"/>
        <v/>
      </c>
      <c r="F1019" s="50" t="str">
        <f t="shared" si="77"/>
        <v/>
      </c>
      <c r="G1019" s="50" t="str">
        <f t="shared" si="78"/>
        <v/>
      </c>
      <c r="H1019" s="51" t="str">
        <f>IF($C1019="","",IFERROR(DATE(G1019,VLOOKUP(E1019,Paramètres!$K$11:$L$40,2,FALSE()),F1019),"?"))</f>
        <v/>
      </c>
      <c r="I1019" s="50" t="str">
        <f>IF(ISNUMBER(H1019),IF(COUNTIFS($D$2:D1019,D1019,$H$2:H1019,H1019)=1,1,0),"")</f>
        <v/>
      </c>
      <c r="J1019" s="50" t="str">
        <f>IF(ISNUMBER(H1019),IFERROR(INDEX(Calendrier!$C$2:$C$367,MATCH(H1019,Calendrier!$A$2:$A$367,0)),0),"")</f>
        <v/>
      </c>
      <c r="K1019" s="50" t="str">
        <f t="shared" si="79"/>
        <v/>
      </c>
      <c r="L1019" s="50" t="str">
        <f>IF(D1019="","",IF(COUNTIF(Paramètres!$A$11:$A$40,D1019)&gt;0,1,0))</f>
        <v/>
      </c>
    </row>
    <row r="1020" spans="1:12" hidden="1" x14ac:dyDescent="0.25">
      <c r="A1020" s="49"/>
      <c r="B1020" s="49"/>
      <c r="C1020" s="49"/>
      <c r="D1020" s="50" t="str">
        <f t="shared" si="75"/>
        <v/>
      </c>
      <c r="E1020" s="50" t="str">
        <f t="shared" si="76"/>
        <v/>
      </c>
      <c r="F1020" s="50" t="str">
        <f t="shared" si="77"/>
        <v/>
      </c>
      <c r="G1020" s="50" t="str">
        <f t="shared" si="78"/>
        <v/>
      </c>
      <c r="H1020" s="51" t="str">
        <f>IF($C1020="","",IFERROR(DATE(G1020,VLOOKUP(E1020,Paramètres!$K$11:$L$40,2,FALSE()),F1020),"?"))</f>
        <v/>
      </c>
      <c r="I1020" s="50" t="str">
        <f>IF(ISNUMBER(H1020),IF(COUNTIFS($D$2:D1020,D1020,$H$2:H1020,H1020)=1,1,0),"")</f>
        <v/>
      </c>
      <c r="J1020" s="50" t="str">
        <f>IF(ISNUMBER(H1020),IFERROR(INDEX(Calendrier!$C$2:$C$367,MATCH(H1020,Calendrier!$A$2:$A$367,0)),0),"")</f>
        <v/>
      </c>
      <c r="K1020" s="50" t="str">
        <f t="shared" si="79"/>
        <v/>
      </c>
      <c r="L1020" s="50" t="str">
        <f>IF(D1020="","",IF(COUNTIF(Paramètres!$A$11:$A$40,D1020)&gt;0,1,0))</f>
        <v/>
      </c>
    </row>
    <row r="1021" spans="1:12" hidden="1" x14ac:dyDescent="0.25">
      <c r="A1021" s="49"/>
      <c r="B1021" s="49"/>
      <c r="C1021" s="49"/>
      <c r="D1021" s="50" t="str">
        <f t="shared" si="75"/>
        <v/>
      </c>
      <c r="E1021" s="50" t="str">
        <f t="shared" si="76"/>
        <v/>
      </c>
      <c r="F1021" s="50" t="str">
        <f t="shared" si="77"/>
        <v/>
      </c>
      <c r="G1021" s="50" t="str">
        <f t="shared" si="78"/>
        <v/>
      </c>
      <c r="H1021" s="51" t="str">
        <f>IF($C1021="","",IFERROR(DATE(G1021,VLOOKUP(E1021,Paramètres!$K$11:$L$40,2,FALSE()),F1021),"?"))</f>
        <v/>
      </c>
      <c r="I1021" s="50" t="str">
        <f>IF(ISNUMBER(H1021),IF(COUNTIFS($D$2:D1021,D1021,$H$2:H1021,H1021)=1,1,0),"")</f>
        <v/>
      </c>
      <c r="J1021" s="50" t="str">
        <f>IF(ISNUMBER(H1021),IFERROR(INDEX(Calendrier!$C$2:$C$367,MATCH(H1021,Calendrier!$A$2:$A$367,0)),0),"")</f>
        <v/>
      </c>
      <c r="K1021" s="50" t="str">
        <f t="shared" si="79"/>
        <v/>
      </c>
      <c r="L1021" s="50" t="str">
        <f>IF(D1021="","",IF(COUNTIF(Paramètres!$A$11:$A$40,D1021)&gt;0,1,0))</f>
        <v/>
      </c>
    </row>
    <row r="1022" spans="1:12" hidden="1" x14ac:dyDescent="0.25">
      <c r="A1022" s="49"/>
      <c r="B1022" s="49"/>
      <c r="C1022" s="49"/>
      <c r="D1022" s="50" t="str">
        <f t="shared" si="75"/>
        <v/>
      </c>
      <c r="E1022" s="50" t="str">
        <f t="shared" si="76"/>
        <v/>
      </c>
      <c r="F1022" s="50" t="str">
        <f t="shared" si="77"/>
        <v/>
      </c>
      <c r="G1022" s="50" t="str">
        <f t="shared" si="78"/>
        <v/>
      </c>
      <c r="H1022" s="51" t="str">
        <f>IF($C1022="","",IFERROR(DATE(G1022,VLOOKUP(E1022,Paramètres!$K$11:$L$40,2,FALSE()),F1022),"?"))</f>
        <v/>
      </c>
      <c r="I1022" s="50" t="str">
        <f>IF(ISNUMBER(H1022),IF(COUNTIFS($D$2:D1022,D1022,$H$2:H1022,H1022)=1,1,0),"")</f>
        <v/>
      </c>
      <c r="J1022" s="50" t="str">
        <f>IF(ISNUMBER(H1022),IFERROR(INDEX(Calendrier!$C$2:$C$367,MATCH(H1022,Calendrier!$A$2:$A$367,0)),0),"")</f>
        <v/>
      </c>
      <c r="K1022" s="50" t="str">
        <f t="shared" si="79"/>
        <v/>
      </c>
      <c r="L1022" s="50" t="str">
        <f>IF(D1022="","",IF(COUNTIF(Paramètres!$A$11:$A$40,D1022)&gt;0,1,0))</f>
        <v/>
      </c>
    </row>
    <row r="1023" spans="1:12" hidden="1" x14ac:dyDescent="0.25">
      <c r="A1023" s="49"/>
      <c r="B1023" s="49"/>
      <c r="C1023" s="49"/>
      <c r="D1023" s="50" t="str">
        <f t="shared" si="75"/>
        <v/>
      </c>
      <c r="E1023" s="50" t="str">
        <f t="shared" si="76"/>
        <v/>
      </c>
      <c r="F1023" s="50" t="str">
        <f t="shared" si="77"/>
        <v/>
      </c>
      <c r="G1023" s="50" t="str">
        <f t="shared" si="78"/>
        <v/>
      </c>
      <c r="H1023" s="51" t="str">
        <f>IF($C1023="","",IFERROR(DATE(G1023,VLOOKUP(E1023,Paramètres!$K$11:$L$40,2,FALSE()),F1023),"?"))</f>
        <v/>
      </c>
      <c r="I1023" s="50" t="str">
        <f>IF(ISNUMBER(H1023),IF(COUNTIFS($D$2:D1023,D1023,$H$2:H1023,H1023)=1,1,0),"")</f>
        <v/>
      </c>
      <c r="J1023" s="50" t="str">
        <f>IF(ISNUMBER(H1023),IFERROR(INDEX(Calendrier!$C$2:$C$367,MATCH(H1023,Calendrier!$A$2:$A$367,0)),0),"")</f>
        <v/>
      </c>
      <c r="K1023" s="50" t="str">
        <f t="shared" si="79"/>
        <v/>
      </c>
      <c r="L1023" s="50" t="str">
        <f>IF(D1023="","",IF(COUNTIF(Paramètres!$A$11:$A$40,D1023)&gt;0,1,0))</f>
        <v/>
      </c>
    </row>
    <row r="1024" spans="1:12" hidden="1" x14ac:dyDescent="0.25">
      <c r="A1024" s="49"/>
      <c r="B1024" s="49"/>
      <c r="C1024" s="49"/>
      <c r="D1024" s="50" t="str">
        <f t="shared" si="75"/>
        <v/>
      </c>
      <c r="E1024" s="50" t="str">
        <f t="shared" si="76"/>
        <v/>
      </c>
      <c r="F1024" s="50" t="str">
        <f t="shared" si="77"/>
        <v/>
      </c>
      <c r="G1024" s="50" t="str">
        <f t="shared" si="78"/>
        <v/>
      </c>
      <c r="H1024" s="51" t="str">
        <f>IF($C1024="","",IFERROR(DATE(G1024,VLOOKUP(E1024,Paramètres!$K$11:$L$40,2,FALSE()),F1024),"?"))</f>
        <v/>
      </c>
      <c r="I1024" s="50" t="str">
        <f>IF(ISNUMBER(H1024),IF(COUNTIFS($D$2:D1024,D1024,$H$2:H1024,H1024)=1,1,0),"")</f>
        <v/>
      </c>
      <c r="J1024" s="50" t="str">
        <f>IF(ISNUMBER(H1024),IFERROR(INDEX(Calendrier!$C$2:$C$367,MATCH(H1024,Calendrier!$A$2:$A$367,0)),0),"")</f>
        <v/>
      </c>
      <c r="K1024" s="50" t="str">
        <f t="shared" si="79"/>
        <v/>
      </c>
      <c r="L1024" s="50" t="str">
        <f>IF(D1024="","",IF(COUNTIF(Paramètres!$A$11:$A$40,D1024)&gt;0,1,0))</f>
        <v/>
      </c>
    </row>
    <row r="1025" spans="1:12" hidden="1" x14ac:dyDescent="0.25">
      <c r="A1025" s="49"/>
      <c r="B1025" s="49"/>
      <c r="C1025" s="49"/>
      <c r="D1025" s="50" t="str">
        <f t="shared" si="75"/>
        <v/>
      </c>
      <c r="E1025" s="50" t="str">
        <f t="shared" si="76"/>
        <v/>
      </c>
      <c r="F1025" s="50" t="str">
        <f t="shared" si="77"/>
        <v/>
      </c>
      <c r="G1025" s="50" t="str">
        <f t="shared" si="78"/>
        <v/>
      </c>
      <c r="H1025" s="51" t="str">
        <f>IF($C1025="","",IFERROR(DATE(G1025,VLOOKUP(E1025,Paramètres!$K$11:$L$40,2,FALSE()),F1025),"?"))</f>
        <v/>
      </c>
      <c r="I1025" s="50" t="str">
        <f>IF(ISNUMBER(H1025),IF(COUNTIFS($D$2:D1025,D1025,$H$2:H1025,H1025)=1,1,0),"")</f>
        <v/>
      </c>
      <c r="J1025" s="50" t="str">
        <f>IF(ISNUMBER(H1025),IFERROR(INDEX(Calendrier!$C$2:$C$367,MATCH(H1025,Calendrier!$A$2:$A$367,0)),0),"")</f>
        <v/>
      </c>
      <c r="K1025" s="50" t="str">
        <f t="shared" si="79"/>
        <v/>
      </c>
      <c r="L1025" s="50" t="str">
        <f>IF(D1025="","",IF(COUNTIF(Paramètres!$A$11:$A$40,D1025)&gt;0,1,0))</f>
        <v/>
      </c>
    </row>
    <row r="1026" spans="1:12" hidden="1" x14ac:dyDescent="0.25">
      <c r="A1026" s="49"/>
      <c r="B1026" s="49"/>
      <c r="C1026" s="49"/>
      <c r="D1026" s="50" t="str">
        <f t="shared" ref="D1026:D1089" si="80">IF(B1026="","",TRIM(B1026))</f>
        <v/>
      </c>
      <c r="E1026" s="50" t="str">
        <f t="shared" ref="E1026:E1089" si="81">IF($C1026="","",LEFT($C1026,FIND(" ",$C1026)-1))</f>
        <v/>
      </c>
      <c r="F1026" s="50" t="str">
        <f t="shared" ref="F1026:F1089" si="82">IF($C1026="","",IFERROR(VALUE(LEFT(MID($C1026,FIND(" ",$C1026)+1,20),FIND(" ",MID($C1026,FIND(" ",$C1026)+1,20))-1)),"?"))</f>
        <v/>
      </c>
      <c r="G1026" s="50" t="str">
        <f t="shared" ref="G1026:G1089" si="83">IF($C1026="","",IFERROR(VALUE(MID(MID($C1026,FIND(" ",$C1026)+1,20),FIND(" ",MID($C1026,FIND(" ",$C1026)+1,20))+1,4)),"?"))</f>
        <v/>
      </c>
      <c r="H1026" s="51" t="str">
        <f>IF($C1026="","",IFERROR(DATE(G1026,VLOOKUP(E1026,Paramètres!$K$11:$L$40,2,FALSE()),F1026),"?"))</f>
        <v/>
      </c>
      <c r="I1026" s="50" t="str">
        <f>IF(ISNUMBER(H1026),IF(COUNTIFS($D$2:D1026,D1026,$H$2:H1026,H1026)=1,1,0),"")</f>
        <v/>
      </c>
      <c r="J1026" s="50" t="str">
        <f>IF(ISNUMBER(H1026),IFERROR(INDEX(Calendrier!$C$2:$C$367,MATCH(H1026,Calendrier!$A$2:$A$367,0)),0),"")</f>
        <v/>
      </c>
      <c r="K1026" s="50" t="str">
        <f t="shared" ref="K1026:K1089" si="84">IF(ISNUMBER(H1026),I1026*J1026,"")</f>
        <v/>
      </c>
      <c r="L1026" s="50" t="str">
        <f>IF(D1026="","",IF(COUNTIF(Paramètres!$A$11:$A$40,D1026)&gt;0,1,0))</f>
        <v/>
      </c>
    </row>
    <row r="1027" spans="1:12" hidden="1" x14ac:dyDescent="0.25">
      <c r="A1027" s="49"/>
      <c r="B1027" s="49"/>
      <c r="C1027" s="49"/>
      <c r="D1027" s="50" t="str">
        <f t="shared" si="80"/>
        <v/>
      </c>
      <c r="E1027" s="50" t="str">
        <f t="shared" si="81"/>
        <v/>
      </c>
      <c r="F1027" s="50" t="str">
        <f t="shared" si="82"/>
        <v/>
      </c>
      <c r="G1027" s="50" t="str">
        <f t="shared" si="83"/>
        <v/>
      </c>
      <c r="H1027" s="51" t="str">
        <f>IF($C1027="","",IFERROR(DATE(G1027,VLOOKUP(E1027,Paramètres!$K$11:$L$40,2,FALSE()),F1027),"?"))</f>
        <v/>
      </c>
      <c r="I1027" s="50" t="str">
        <f>IF(ISNUMBER(H1027),IF(COUNTIFS($D$2:D1027,D1027,$H$2:H1027,H1027)=1,1,0),"")</f>
        <v/>
      </c>
      <c r="J1027" s="50" t="str">
        <f>IF(ISNUMBER(H1027),IFERROR(INDEX(Calendrier!$C$2:$C$367,MATCH(H1027,Calendrier!$A$2:$A$367,0)),0),"")</f>
        <v/>
      </c>
      <c r="K1027" s="50" t="str">
        <f t="shared" si="84"/>
        <v/>
      </c>
      <c r="L1027" s="50" t="str">
        <f>IF(D1027="","",IF(COUNTIF(Paramètres!$A$11:$A$40,D1027)&gt;0,1,0))</f>
        <v/>
      </c>
    </row>
    <row r="1028" spans="1:12" hidden="1" x14ac:dyDescent="0.25">
      <c r="A1028" s="49"/>
      <c r="B1028" s="49"/>
      <c r="C1028" s="49"/>
      <c r="D1028" s="50" t="str">
        <f t="shared" si="80"/>
        <v/>
      </c>
      <c r="E1028" s="50" t="str">
        <f t="shared" si="81"/>
        <v/>
      </c>
      <c r="F1028" s="50" t="str">
        <f t="shared" si="82"/>
        <v/>
      </c>
      <c r="G1028" s="50" t="str">
        <f t="shared" si="83"/>
        <v/>
      </c>
      <c r="H1028" s="51" t="str">
        <f>IF($C1028="","",IFERROR(DATE(G1028,VLOOKUP(E1028,Paramètres!$K$11:$L$40,2,FALSE()),F1028),"?"))</f>
        <v/>
      </c>
      <c r="I1028" s="50" t="str">
        <f>IF(ISNUMBER(H1028),IF(COUNTIFS($D$2:D1028,D1028,$H$2:H1028,H1028)=1,1,0),"")</f>
        <v/>
      </c>
      <c r="J1028" s="50" t="str">
        <f>IF(ISNUMBER(H1028),IFERROR(INDEX(Calendrier!$C$2:$C$367,MATCH(H1028,Calendrier!$A$2:$A$367,0)),0),"")</f>
        <v/>
      </c>
      <c r="K1028" s="50" t="str">
        <f t="shared" si="84"/>
        <v/>
      </c>
      <c r="L1028" s="50" t="str">
        <f>IF(D1028="","",IF(COUNTIF(Paramètres!$A$11:$A$40,D1028)&gt;0,1,0))</f>
        <v/>
      </c>
    </row>
    <row r="1029" spans="1:12" hidden="1" x14ac:dyDescent="0.25">
      <c r="A1029" s="49"/>
      <c r="B1029" s="49"/>
      <c r="C1029" s="49"/>
      <c r="D1029" s="50" t="str">
        <f t="shared" si="80"/>
        <v/>
      </c>
      <c r="E1029" s="50" t="str">
        <f t="shared" si="81"/>
        <v/>
      </c>
      <c r="F1029" s="50" t="str">
        <f t="shared" si="82"/>
        <v/>
      </c>
      <c r="G1029" s="50" t="str">
        <f t="shared" si="83"/>
        <v/>
      </c>
      <c r="H1029" s="51" t="str">
        <f>IF($C1029="","",IFERROR(DATE(G1029,VLOOKUP(E1029,Paramètres!$K$11:$L$40,2,FALSE()),F1029),"?"))</f>
        <v/>
      </c>
      <c r="I1029" s="50" t="str">
        <f>IF(ISNUMBER(H1029),IF(COUNTIFS($D$2:D1029,D1029,$H$2:H1029,H1029)=1,1,0),"")</f>
        <v/>
      </c>
      <c r="J1029" s="50" t="str">
        <f>IF(ISNUMBER(H1029),IFERROR(INDEX(Calendrier!$C$2:$C$367,MATCH(H1029,Calendrier!$A$2:$A$367,0)),0),"")</f>
        <v/>
      </c>
      <c r="K1029" s="50" t="str">
        <f t="shared" si="84"/>
        <v/>
      </c>
      <c r="L1029" s="50" t="str">
        <f>IF(D1029="","",IF(COUNTIF(Paramètres!$A$11:$A$40,D1029)&gt;0,1,0))</f>
        <v/>
      </c>
    </row>
    <row r="1030" spans="1:12" hidden="1" x14ac:dyDescent="0.25">
      <c r="A1030" s="49"/>
      <c r="B1030" s="49"/>
      <c r="C1030" s="49"/>
      <c r="D1030" s="50" t="str">
        <f t="shared" si="80"/>
        <v/>
      </c>
      <c r="E1030" s="50" t="str">
        <f t="shared" si="81"/>
        <v/>
      </c>
      <c r="F1030" s="50" t="str">
        <f t="shared" si="82"/>
        <v/>
      </c>
      <c r="G1030" s="50" t="str">
        <f t="shared" si="83"/>
        <v/>
      </c>
      <c r="H1030" s="51" t="str">
        <f>IF($C1030="","",IFERROR(DATE(G1030,VLOOKUP(E1030,Paramètres!$K$11:$L$40,2,FALSE()),F1030),"?"))</f>
        <v/>
      </c>
      <c r="I1030" s="50" t="str">
        <f>IF(ISNUMBER(H1030),IF(COUNTIFS($D$2:D1030,D1030,$H$2:H1030,H1030)=1,1,0),"")</f>
        <v/>
      </c>
      <c r="J1030" s="50" t="str">
        <f>IF(ISNUMBER(H1030),IFERROR(INDEX(Calendrier!$C$2:$C$367,MATCH(H1030,Calendrier!$A$2:$A$367,0)),0),"")</f>
        <v/>
      </c>
      <c r="K1030" s="50" t="str">
        <f t="shared" si="84"/>
        <v/>
      </c>
      <c r="L1030" s="50" t="str">
        <f>IF(D1030="","",IF(COUNTIF(Paramètres!$A$11:$A$40,D1030)&gt;0,1,0))</f>
        <v/>
      </c>
    </row>
    <row r="1031" spans="1:12" hidden="1" x14ac:dyDescent="0.25">
      <c r="A1031" s="49"/>
      <c r="B1031" s="49"/>
      <c r="C1031" s="49"/>
      <c r="D1031" s="50" t="str">
        <f t="shared" si="80"/>
        <v/>
      </c>
      <c r="E1031" s="50" t="str">
        <f t="shared" si="81"/>
        <v/>
      </c>
      <c r="F1031" s="50" t="str">
        <f t="shared" si="82"/>
        <v/>
      </c>
      <c r="G1031" s="50" t="str">
        <f t="shared" si="83"/>
        <v/>
      </c>
      <c r="H1031" s="51" t="str">
        <f>IF($C1031="","",IFERROR(DATE(G1031,VLOOKUP(E1031,Paramètres!$K$11:$L$40,2,FALSE()),F1031),"?"))</f>
        <v/>
      </c>
      <c r="I1031" s="50" t="str">
        <f>IF(ISNUMBER(H1031),IF(COUNTIFS($D$2:D1031,D1031,$H$2:H1031,H1031)=1,1,0),"")</f>
        <v/>
      </c>
      <c r="J1031" s="50" t="str">
        <f>IF(ISNUMBER(H1031),IFERROR(INDEX(Calendrier!$C$2:$C$367,MATCH(H1031,Calendrier!$A$2:$A$367,0)),0),"")</f>
        <v/>
      </c>
      <c r="K1031" s="50" t="str">
        <f t="shared" si="84"/>
        <v/>
      </c>
      <c r="L1031" s="50" t="str">
        <f>IF(D1031="","",IF(COUNTIF(Paramètres!$A$11:$A$40,D1031)&gt;0,1,0))</f>
        <v/>
      </c>
    </row>
    <row r="1032" spans="1:12" hidden="1" x14ac:dyDescent="0.25">
      <c r="A1032" s="49"/>
      <c r="B1032" s="49"/>
      <c r="C1032" s="49"/>
      <c r="D1032" s="50" t="str">
        <f t="shared" si="80"/>
        <v/>
      </c>
      <c r="E1032" s="50" t="str">
        <f t="shared" si="81"/>
        <v/>
      </c>
      <c r="F1032" s="50" t="str">
        <f t="shared" si="82"/>
        <v/>
      </c>
      <c r="G1032" s="50" t="str">
        <f t="shared" si="83"/>
        <v/>
      </c>
      <c r="H1032" s="51" t="str">
        <f>IF($C1032="","",IFERROR(DATE(G1032,VLOOKUP(E1032,Paramètres!$K$11:$L$40,2,FALSE()),F1032),"?"))</f>
        <v/>
      </c>
      <c r="I1032" s="50" t="str">
        <f>IF(ISNUMBER(H1032),IF(COUNTIFS($D$2:D1032,D1032,$H$2:H1032,H1032)=1,1,0),"")</f>
        <v/>
      </c>
      <c r="J1032" s="50" t="str">
        <f>IF(ISNUMBER(H1032),IFERROR(INDEX(Calendrier!$C$2:$C$367,MATCH(H1032,Calendrier!$A$2:$A$367,0)),0),"")</f>
        <v/>
      </c>
      <c r="K1032" s="50" t="str">
        <f t="shared" si="84"/>
        <v/>
      </c>
      <c r="L1032" s="50" t="str">
        <f>IF(D1032="","",IF(COUNTIF(Paramètres!$A$11:$A$40,D1032)&gt;0,1,0))</f>
        <v/>
      </c>
    </row>
    <row r="1033" spans="1:12" hidden="1" x14ac:dyDescent="0.25">
      <c r="A1033" s="49"/>
      <c r="B1033" s="49"/>
      <c r="C1033" s="49"/>
      <c r="D1033" s="50" t="str">
        <f t="shared" si="80"/>
        <v/>
      </c>
      <c r="E1033" s="50" t="str">
        <f t="shared" si="81"/>
        <v/>
      </c>
      <c r="F1033" s="50" t="str">
        <f t="shared" si="82"/>
        <v/>
      </c>
      <c r="G1033" s="50" t="str">
        <f t="shared" si="83"/>
        <v/>
      </c>
      <c r="H1033" s="51" t="str">
        <f>IF($C1033="","",IFERROR(DATE(G1033,VLOOKUP(E1033,Paramètres!$K$11:$L$40,2,FALSE()),F1033),"?"))</f>
        <v/>
      </c>
      <c r="I1033" s="50" t="str">
        <f>IF(ISNUMBER(H1033),IF(COUNTIFS($D$2:D1033,D1033,$H$2:H1033,H1033)=1,1,0),"")</f>
        <v/>
      </c>
      <c r="J1033" s="50" t="str">
        <f>IF(ISNUMBER(H1033),IFERROR(INDEX(Calendrier!$C$2:$C$367,MATCH(H1033,Calendrier!$A$2:$A$367,0)),0),"")</f>
        <v/>
      </c>
      <c r="K1033" s="50" t="str">
        <f t="shared" si="84"/>
        <v/>
      </c>
      <c r="L1033" s="50" t="str">
        <f>IF(D1033="","",IF(COUNTIF(Paramètres!$A$11:$A$40,D1033)&gt;0,1,0))</f>
        <v/>
      </c>
    </row>
    <row r="1034" spans="1:12" hidden="1" x14ac:dyDescent="0.25">
      <c r="A1034" s="49"/>
      <c r="B1034" s="49"/>
      <c r="C1034" s="49"/>
      <c r="D1034" s="50" t="str">
        <f t="shared" si="80"/>
        <v/>
      </c>
      <c r="E1034" s="50" t="str">
        <f t="shared" si="81"/>
        <v/>
      </c>
      <c r="F1034" s="50" t="str">
        <f t="shared" si="82"/>
        <v/>
      </c>
      <c r="G1034" s="50" t="str">
        <f t="shared" si="83"/>
        <v/>
      </c>
      <c r="H1034" s="51" t="str">
        <f>IF($C1034="","",IFERROR(DATE(G1034,VLOOKUP(E1034,Paramètres!$K$11:$L$40,2,FALSE()),F1034),"?"))</f>
        <v/>
      </c>
      <c r="I1034" s="50" t="str">
        <f>IF(ISNUMBER(H1034),IF(COUNTIFS($D$2:D1034,D1034,$H$2:H1034,H1034)=1,1,0),"")</f>
        <v/>
      </c>
      <c r="J1034" s="50" t="str">
        <f>IF(ISNUMBER(H1034),IFERROR(INDEX(Calendrier!$C$2:$C$367,MATCH(H1034,Calendrier!$A$2:$A$367,0)),0),"")</f>
        <v/>
      </c>
      <c r="K1034" s="50" t="str">
        <f t="shared" si="84"/>
        <v/>
      </c>
      <c r="L1034" s="50" t="str">
        <f>IF(D1034="","",IF(COUNTIF(Paramètres!$A$11:$A$40,D1034)&gt;0,1,0))</f>
        <v/>
      </c>
    </row>
    <row r="1035" spans="1:12" hidden="1" x14ac:dyDescent="0.25">
      <c r="A1035" s="49"/>
      <c r="B1035" s="49"/>
      <c r="C1035" s="49"/>
      <c r="D1035" s="50" t="str">
        <f t="shared" si="80"/>
        <v/>
      </c>
      <c r="E1035" s="50" t="str">
        <f t="shared" si="81"/>
        <v/>
      </c>
      <c r="F1035" s="50" t="str">
        <f t="shared" si="82"/>
        <v/>
      </c>
      <c r="G1035" s="50" t="str">
        <f t="shared" si="83"/>
        <v/>
      </c>
      <c r="H1035" s="51" t="str">
        <f>IF($C1035="","",IFERROR(DATE(G1035,VLOOKUP(E1035,Paramètres!$K$11:$L$40,2,FALSE()),F1035),"?"))</f>
        <v/>
      </c>
      <c r="I1035" s="50" t="str">
        <f>IF(ISNUMBER(H1035),IF(COUNTIFS($D$2:D1035,D1035,$H$2:H1035,H1035)=1,1,0),"")</f>
        <v/>
      </c>
      <c r="J1035" s="50" t="str">
        <f>IF(ISNUMBER(H1035),IFERROR(INDEX(Calendrier!$C$2:$C$367,MATCH(H1035,Calendrier!$A$2:$A$367,0)),0),"")</f>
        <v/>
      </c>
      <c r="K1035" s="50" t="str">
        <f t="shared" si="84"/>
        <v/>
      </c>
      <c r="L1035" s="50" t="str">
        <f>IF(D1035="","",IF(COUNTIF(Paramètres!$A$11:$A$40,D1035)&gt;0,1,0))</f>
        <v/>
      </c>
    </row>
    <row r="1036" spans="1:12" hidden="1" x14ac:dyDescent="0.25">
      <c r="A1036" s="49"/>
      <c r="B1036" s="49"/>
      <c r="C1036" s="49"/>
      <c r="D1036" s="50" t="str">
        <f t="shared" si="80"/>
        <v/>
      </c>
      <c r="E1036" s="50" t="str">
        <f t="shared" si="81"/>
        <v/>
      </c>
      <c r="F1036" s="50" t="str">
        <f t="shared" si="82"/>
        <v/>
      </c>
      <c r="G1036" s="50" t="str">
        <f t="shared" si="83"/>
        <v/>
      </c>
      <c r="H1036" s="51" t="str">
        <f>IF($C1036="","",IFERROR(DATE(G1036,VLOOKUP(E1036,Paramètres!$K$11:$L$40,2,FALSE()),F1036),"?"))</f>
        <v/>
      </c>
      <c r="I1036" s="50" t="str">
        <f>IF(ISNUMBER(H1036),IF(COUNTIFS($D$2:D1036,D1036,$H$2:H1036,H1036)=1,1,0),"")</f>
        <v/>
      </c>
      <c r="J1036" s="50" t="str">
        <f>IF(ISNUMBER(H1036),IFERROR(INDEX(Calendrier!$C$2:$C$367,MATCH(H1036,Calendrier!$A$2:$A$367,0)),0),"")</f>
        <v/>
      </c>
      <c r="K1036" s="50" t="str">
        <f t="shared" si="84"/>
        <v/>
      </c>
      <c r="L1036" s="50" t="str">
        <f>IF(D1036="","",IF(COUNTIF(Paramètres!$A$11:$A$40,D1036)&gt;0,1,0))</f>
        <v/>
      </c>
    </row>
    <row r="1037" spans="1:12" hidden="1" x14ac:dyDescent="0.25">
      <c r="A1037" s="49"/>
      <c r="B1037" s="49"/>
      <c r="C1037" s="49"/>
      <c r="D1037" s="50" t="str">
        <f t="shared" si="80"/>
        <v/>
      </c>
      <c r="E1037" s="50" t="str">
        <f t="shared" si="81"/>
        <v/>
      </c>
      <c r="F1037" s="50" t="str">
        <f t="shared" si="82"/>
        <v/>
      </c>
      <c r="G1037" s="50" t="str">
        <f t="shared" si="83"/>
        <v/>
      </c>
      <c r="H1037" s="51" t="str">
        <f>IF($C1037="","",IFERROR(DATE(G1037,VLOOKUP(E1037,Paramètres!$K$11:$L$40,2,FALSE()),F1037),"?"))</f>
        <v/>
      </c>
      <c r="I1037" s="50" t="str">
        <f>IF(ISNUMBER(H1037),IF(COUNTIFS($D$2:D1037,D1037,$H$2:H1037,H1037)=1,1,0),"")</f>
        <v/>
      </c>
      <c r="J1037" s="50" t="str">
        <f>IF(ISNUMBER(H1037),IFERROR(INDEX(Calendrier!$C$2:$C$367,MATCH(H1037,Calendrier!$A$2:$A$367,0)),0),"")</f>
        <v/>
      </c>
      <c r="K1037" s="50" t="str">
        <f t="shared" si="84"/>
        <v/>
      </c>
      <c r="L1037" s="50" t="str">
        <f>IF(D1037="","",IF(COUNTIF(Paramètres!$A$11:$A$40,D1037)&gt;0,1,0))</f>
        <v/>
      </c>
    </row>
    <row r="1038" spans="1:12" hidden="1" x14ac:dyDescent="0.25">
      <c r="A1038" s="49"/>
      <c r="B1038" s="49"/>
      <c r="C1038" s="49"/>
      <c r="D1038" s="50" t="str">
        <f t="shared" si="80"/>
        <v/>
      </c>
      <c r="E1038" s="50" t="str">
        <f t="shared" si="81"/>
        <v/>
      </c>
      <c r="F1038" s="50" t="str">
        <f t="shared" si="82"/>
        <v/>
      </c>
      <c r="G1038" s="50" t="str">
        <f t="shared" si="83"/>
        <v/>
      </c>
      <c r="H1038" s="51" t="str">
        <f>IF($C1038="","",IFERROR(DATE(G1038,VLOOKUP(E1038,Paramètres!$K$11:$L$40,2,FALSE()),F1038),"?"))</f>
        <v/>
      </c>
      <c r="I1038" s="50" t="str">
        <f>IF(ISNUMBER(H1038),IF(COUNTIFS($D$2:D1038,D1038,$H$2:H1038,H1038)=1,1,0),"")</f>
        <v/>
      </c>
      <c r="J1038" s="50" t="str">
        <f>IF(ISNUMBER(H1038),IFERROR(INDEX(Calendrier!$C$2:$C$367,MATCH(H1038,Calendrier!$A$2:$A$367,0)),0),"")</f>
        <v/>
      </c>
      <c r="K1038" s="50" t="str">
        <f t="shared" si="84"/>
        <v/>
      </c>
      <c r="L1038" s="50" t="str">
        <f>IF(D1038="","",IF(COUNTIF(Paramètres!$A$11:$A$40,D1038)&gt;0,1,0))</f>
        <v/>
      </c>
    </row>
    <row r="1039" spans="1:12" hidden="1" x14ac:dyDescent="0.25">
      <c r="A1039" s="49"/>
      <c r="B1039" s="49"/>
      <c r="C1039" s="49"/>
      <c r="D1039" s="50" t="str">
        <f t="shared" si="80"/>
        <v/>
      </c>
      <c r="E1039" s="50" t="str">
        <f t="shared" si="81"/>
        <v/>
      </c>
      <c r="F1039" s="50" t="str">
        <f t="shared" si="82"/>
        <v/>
      </c>
      <c r="G1039" s="50" t="str">
        <f t="shared" si="83"/>
        <v/>
      </c>
      <c r="H1039" s="51" t="str">
        <f>IF($C1039="","",IFERROR(DATE(G1039,VLOOKUP(E1039,Paramètres!$K$11:$L$40,2,FALSE()),F1039),"?"))</f>
        <v/>
      </c>
      <c r="I1039" s="50" t="str">
        <f>IF(ISNUMBER(H1039),IF(COUNTIFS($D$2:D1039,D1039,$H$2:H1039,H1039)=1,1,0),"")</f>
        <v/>
      </c>
      <c r="J1039" s="50" t="str">
        <f>IF(ISNUMBER(H1039),IFERROR(INDEX(Calendrier!$C$2:$C$367,MATCH(H1039,Calendrier!$A$2:$A$367,0)),0),"")</f>
        <v/>
      </c>
      <c r="K1039" s="50" t="str">
        <f t="shared" si="84"/>
        <v/>
      </c>
      <c r="L1039" s="50" t="str">
        <f>IF(D1039="","",IF(COUNTIF(Paramètres!$A$11:$A$40,D1039)&gt;0,1,0))</f>
        <v/>
      </c>
    </row>
    <row r="1040" spans="1:12" hidden="1" x14ac:dyDescent="0.25">
      <c r="A1040" s="49"/>
      <c r="B1040" s="49"/>
      <c r="C1040" s="49"/>
      <c r="D1040" s="50" t="str">
        <f t="shared" si="80"/>
        <v/>
      </c>
      <c r="E1040" s="50" t="str">
        <f t="shared" si="81"/>
        <v/>
      </c>
      <c r="F1040" s="50" t="str">
        <f t="shared" si="82"/>
        <v/>
      </c>
      <c r="G1040" s="50" t="str">
        <f t="shared" si="83"/>
        <v/>
      </c>
      <c r="H1040" s="51" t="str">
        <f>IF($C1040="","",IFERROR(DATE(G1040,VLOOKUP(E1040,Paramètres!$K$11:$L$40,2,FALSE()),F1040),"?"))</f>
        <v/>
      </c>
      <c r="I1040" s="50" t="str">
        <f>IF(ISNUMBER(H1040),IF(COUNTIFS($D$2:D1040,D1040,$H$2:H1040,H1040)=1,1,0),"")</f>
        <v/>
      </c>
      <c r="J1040" s="50" t="str">
        <f>IF(ISNUMBER(H1040),IFERROR(INDEX(Calendrier!$C$2:$C$367,MATCH(H1040,Calendrier!$A$2:$A$367,0)),0),"")</f>
        <v/>
      </c>
      <c r="K1040" s="50" t="str">
        <f t="shared" si="84"/>
        <v/>
      </c>
      <c r="L1040" s="50" t="str">
        <f>IF(D1040="","",IF(COUNTIF(Paramètres!$A$11:$A$40,D1040)&gt;0,1,0))</f>
        <v/>
      </c>
    </row>
    <row r="1041" spans="1:12" hidden="1" x14ac:dyDescent="0.25">
      <c r="A1041" s="49"/>
      <c r="B1041" s="49"/>
      <c r="C1041" s="49"/>
      <c r="D1041" s="50" t="str">
        <f t="shared" si="80"/>
        <v/>
      </c>
      <c r="E1041" s="50" t="str">
        <f t="shared" si="81"/>
        <v/>
      </c>
      <c r="F1041" s="50" t="str">
        <f t="shared" si="82"/>
        <v/>
      </c>
      <c r="G1041" s="50" t="str">
        <f t="shared" si="83"/>
        <v/>
      </c>
      <c r="H1041" s="51" t="str">
        <f>IF($C1041="","",IFERROR(DATE(G1041,VLOOKUP(E1041,Paramètres!$K$11:$L$40,2,FALSE()),F1041),"?"))</f>
        <v/>
      </c>
      <c r="I1041" s="50" t="str">
        <f>IF(ISNUMBER(H1041),IF(COUNTIFS($D$2:D1041,D1041,$H$2:H1041,H1041)=1,1,0),"")</f>
        <v/>
      </c>
      <c r="J1041" s="50" t="str">
        <f>IF(ISNUMBER(H1041),IFERROR(INDEX(Calendrier!$C$2:$C$367,MATCH(H1041,Calendrier!$A$2:$A$367,0)),0),"")</f>
        <v/>
      </c>
      <c r="K1041" s="50" t="str">
        <f t="shared" si="84"/>
        <v/>
      </c>
      <c r="L1041" s="50" t="str">
        <f>IF(D1041="","",IF(COUNTIF(Paramètres!$A$11:$A$40,D1041)&gt;0,1,0))</f>
        <v/>
      </c>
    </row>
    <row r="1042" spans="1:12" hidden="1" x14ac:dyDescent="0.25">
      <c r="A1042" s="49"/>
      <c r="B1042" s="49"/>
      <c r="C1042" s="49"/>
      <c r="D1042" s="50" t="str">
        <f t="shared" si="80"/>
        <v/>
      </c>
      <c r="E1042" s="50" t="str">
        <f t="shared" si="81"/>
        <v/>
      </c>
      <c r="F1042" s="50" t="str">
        <f t="shared" si="82"/>
        <v/>
      </c>
      <c r="G1042" s="50" t="str">
        <f t="shared" si="83"/>
        <v/>
      </c>
      <c r="H1042" s="51" t="str">
        <f>IF($C1042="","",IFERROR(DATE(G1042,VLOOKUP(E1042,Paramètres!$K$11:$L$40,2,FALSE()),F1042),"?"))</f>
        <v/>
      </c>
      <c r="I1042" s="50" t="str">
        <f>IF(ISNUMBER(H1042),IF(COUNTIFS($D$2:D1042,D1042,$H$2:H1042,H1042)=1,1,0),"")</f>
        <v/>
      </c>
      <c r="J1042" s="50" t="str">
        <f>IF(ISNUMBER(H1042),IFERROR(INDEX(Calendrier!$C$2:$C$367,MATCH(H1042,Calendrier!$A$2:$A$367,0)),0),"")</f>
        <v/>
      </c>
      <c r="K1042" s="50" t="str">
        <f t="shared" si="84"/>
        <v/>
      </c>
      <c r="L1042" s="50" t="str">
        <f>IF(D1042="","",IF(COUNTIF(Paramètres!$A$11:$A$40,D1042)&gt;0,1,0))</f>
        <v/>
      </c>
    </row>
    <row r="1043" spans="1:12" hidden="1" x14ac:dyDescent="0.25">
      <c r="A1043" s="49"/>
      <c r="B1043" s="49"/>
      <c r="C1043" s="49"/>
      <c r="D1043" s="50" t="str">
        <f t="shared" si="80"/>
        <v/>
      </c>
      <c r="E1043" s="50" t="str">
        <f t="shared" si="81"/>
        <v/>
      </c>
      <c r="F1043" s="50" t="str">
        <f t="shared" si="82"/>
        <v/>
      </c>
      <c r="G1043" s="50" t="str">
        <f t="shared" si="83"/>
        <v/>
      </c>
      <c r="H1043" s="51" t="str">
        <f>IF($C1043="","",IFERROR(DATE(G1043,VLOOKUP(E1043,Paramètres!$K$11:$L$40,2,FALSE()),F1043),"?"))</f>
        <v/>
      </c>
      <c r="I1043" s="50" t="str">
        <f>IF(ISNUMBER(H1043),IF(COUNTIFS($D$2:D1043,D1043,$H$2:H1043,H1043)=1,1,0),"")</f>
        <v/>
      </c>
      <c r="J1043" s="50" t="str">
        <f>IF(ISNUMBER(H1043),IFERROR(INDEX(Calendrier!$C$2:$C$367,MATCH(H1043,Calendrier!$A$2:$A$367,0)),0),"")</f>
        <v/>
      </c>
      <c r="K1043" s="50" t="str">
        <f t="shared" si="84"/>
        <v/>
      </c>
      <c r="L1043" s="50" t="str">
        <f>IF(D1043="","",IF(COUNTIF(Paramètres!$A$11:$A$40,D1043)&gt;0,1,0))</f>
        <v/>
      </c>
    </row>
    <row r="1044" spans="1:12" hidden="1" x14ac:dyDescent="0.25">
      <c r="A1044" s="49"/>
      <c r="B1044" s="49"/>
      <c r="C1044" s="49"/>
      <c r="D1044" s="50" t="str">
        <f t="shared" si="80"/>
        <v/>
      </c>
      <c r="E1044" s="50" t="str">
        <f t="shared" si="81"/>
        <v/>
      </c>
      <c r="F1044" s="50" t="str">
        <f t="shared" si="82"/>
        <v/>
      </c>
      <c r="G1044" s="50" t="str">
        <f t="shared" si="83"/>
        <v/>
      </c>
      <c r="H1044" s="51" t="str">
        <f>IF($C1044="","",IFERROR(DATE(G1044,VLOOKUP(E1044,Paramètres!$K$11:$L$40,2,FALSE()),F1044),"?"))</f>
        <v/>
      </c>
      <c r="I1044" s="50" t="str">
        <f>IF(ISNUMBER(H1044),IF(COUNTIFS($D$2:D1044,D1044,$H$2:H1044,H1044)=1,1,0),"")</f>
        <v/>
      </c>
      <c r="J1044" s="50" t="str">
        <f>IF(ISNUMBER(H1044),IFERROR(INDEX(Calendrier!$C$2:$C$367,MATCH(H1044,Calendrier!$A$2:$A$367,0)),0),"")</f>
        <v/>
      </c>
      <c r="K1044" s="50" t="str">
        <f t="shared" si="84"/>
        <v/>
      </c>
      <c r="L1044" s="50" t="str">
        <f>IF(D1044="","",IF(COUNTIF(Paramètres!$A$11:$A$40,D1044)&gt;0,1,0))</f>
        <v/>
      </c>
    </row>
    <row r="1045" spans="1:12" hidden="1" x14ac:dyDescent="0.25">
      <c r="A1045" s="49"/>
      <c r="B1045" s="49"/>
      <c r="C1045" s="49"/>
      <c r="D1045" s="50" t="str">
        <f t="shared" si="80"/>
        <v/>
      </c>
      <c r="E1045" s="50" t="str">
        <f t="shared" si="81"/>
        <v/>
      </c>
      <c r="F1045" s="50" t="str">
        <f t="shared" si="82"/>
        <v/>
      </c>
      <c r="G1045" s="50" t="str">
        <f t="shared" si="83"/>
        <v/>
      </c>
      <c r="H1045" s="51" t="str">
        <f>IF($C1045="","",IFERROR(DATE(G1045,VLOOKUP(E1045,Paramètres!$K$11:$L$40,2,FALSE()),F1045),"?"))</f>
        <v/>
      </c>
      <c r="I1045" s="50" t="str">
        <f>IF(ISNUMBER(H1045),IF(COUNTIFS($D$2:D1045,D1045,$H$2:H1045,H1045)=1,1,0),"")</f>
        <v/>
      </c>
      <c r="J1045" s="50" t="str">
        <f>IF(ISNUMBER(H1045),IFERROR(INDEX(Calendrier!$C$2:$C$367,MATCH(H1045,Calendrier!$A$2:$A$367,0)),0),"")</f>
        <v/>
      </c>
      <c r="K1045" s="50" t="str">
        <f t="shared" si="84"/>
        <v/>
      </c>
      <c r="L1045" s="50" t="str">
        <f>IF(D1045="","",IF(COUNTIF(Paramètres!$A$11:$A$40,D1045)&gt;0,1,0))</f>
        <v/>
      </c>
    </row>
    <row r="1046" spans="1:12" hidden="1" x14ac:dyDescent="0.25">
      <c r="A1046" s="49"/>
      <c r="B1046" s="49"/>
      <c r="C1046" s="49"/>
      <c r="D1046" s="50" t="str">
        <f t="shared" si="80"/>
        <v/>
      </c>
      <c r="E1046" s="50" t="str">
        <f t="shared" si="81"/>
        <v/>
      </c>
      <c r="F1046" s="50" t="str">
        <f t="shared" si="82"/>
        <v/>
      </c>
      <c r="G1046" s="50" t="str">
        <f t="shared" si="83"/>
        <v/>
      </c>
      <c r="H1046" s="51" t="str">
        <f>IF($C1046="","",IFERROR(DATE(G1046,VLOOKUP(E1046,Paramètres!$K$11:$L$40,2,FALSE()),F1046),"?"))</f>
        <v/>
      </c>
      <c r="I1046" s="50" t="str">
        <f>IF(ISNUMBER(H1046),IF(COUNTIFS($D$2:D1046,D1046,$H$2:H1046,H1046)=1,1,0),"")</f>
        <v/>
      </c>
      <c r="J1046" s="50" t="str">
        <f>IF(ISNUMBER(H1046),IFERROR(INDEX(Calendrier!$C$2:$C$367,MATCH(H1046,Calendrier!$A$2:$A$367,0)),0),"")</f>
        <v/>
      </c>
      <c r="K1046" s="50" t="str">
        <f t="shared" si="84"/>
        <v/>
      </c>
      <c r="L1046" s="50" t="str">
        <f>IF(D1046="","",IF(COUNTIF(Paramètres!$A$11:$A$40,D1046)&gt;0,1,0))</f>
        <v/>
      </c>
    </row>
    <row r="1047" spans="1:12" hidden="1" x14ac:dyDescent="0.25">
      <c r="A1047" s="49"/>
      <c r="B1047" s="49"/>
      <c r="C1047" s="49"/>
      <c r="D1047" s="50" t="str">
        <f t="shared" si="80"/>
        <v/>
      </c>
      <c r="E1047" s="50" t="str">
        <f t="shared" si="81"/>
        <v/>
      </c>
      <c r="F1047" s="50" t="str">
        <f t="shared" si="82"/>
        <v/>
      </c>
      <c r="G1047" s="50" t="str">
        <f t="shared" si="83"/>
        <v/>
      </c>
      <c r="H1047" s="51" t="str">
        <f>IF($C1047="","",IFERROR(DATE(G1047,VLOOKUP(E1047,Paramètres!$K$11:$L$40,2,FALSE()),F1047),"?"))</f>
        <v/>
      </c>
      <c r="I1047" s="50" t="str">
        <f>IF(ISNUMBER(H1047),IF(COUNTIFS($D$2:D1047,D1047,$H$2:H1047,H1047)=1,1,0),"")</f>
        <v/>
      </c>
      <c r="J1047" s="50" t="str">
        <f>IF(ISNUMBER(H1047),IFERROR(INDEX(Calendrier!$C$2:$C$367,MATCH(H1047,Calendrier!$A$2:$A$367,0)),0),"")</f>
        <v/>
      </c>
      <c r="K1047" s="50" t="str">
        <f t="shared" si="84"/>
        <v/>
      </c>
      <c r="L1047" s="50" t="str">
        <f>IF(D1047="","",IF(COUNTIF(Paramètres!$A$11:$A$40,D1047)&gt;0,1,0))</f>
        <v/>
      </c>
    </row>
    <row r="1048" spans="1:12" hidden="1" x14ac:dyDescent="0.25">
      <c r="A1048" s="49"/>
      <c r="B1048" s="49"/>
      <c r="C1048" s="49"/>
      <c r="D1048" s="50" t="str">
        <f t="shared" si="80"/>
        <v/>
      </c>
      <c r="E1048" s="50" t="str">
        <f t="shared" si="81"/>
        <v/>
      </c>
      <c r="F1048" s="50" t="str">
        <f t="shared" si="82"/>
        <v/>
      </c>
      <c r="G1048" s="50" t="str">
        <f t="shared" si="83"/>
        <v/>
      </c>
      <c r="H1048" s="51" t="str">
        <f>IF($C1048="","",IFERROR(DATE(G1048,VLOOKUP(E1048,Paramètres!$K$11:$L$40,2,FALSE()),F1048),"?"))</f>
        <v/>
      </c>
      <c r="I1048" s="50" t="str">
        <f>IF(ISNUMBER(H1048),IF(COUNTIFS($D$2:D1048,D1048,$H$2:H1048,H1048)=1,1,0),"")</f>
        <v/>
      </c>
      <c r="J1048" s="50" t="str">
        <f>IF(ISNUMBER(H1048),IFERROR(INDEX(Calendrier!$C$2:$C$367,MATCH(H1048,Calendrier!$A$2:$A$367,0)),0),"")</f>
        <v/>
      </c>
      <c r="K1048" s="50" t="str">
        <f t="shared" si="84"/>
        <v/>
      </c>
      <c r="L1048" s="50" t="str">
        <f>IF(D1048="","",IF(COUNTIF(Paramètres!$A$11:$A$40,D1048)&gt;0,1,0))</f>
        <v/>
      </c>
    </row>
    <row r="1049" spans="1:12" hidden="1" x14ac:dyDescent="0.25">
      <c r="A1049" s="49"/>
      <c r="B1049" s="49"/>
      <c r="C1049" s="49"/>
      <c r="D1049" s="50" t="str">
        <f t="shared" si="80"/>
        <v/>
      </c>
      <c r="E1049" s="50" t="str">
        <f t="shared" si="81"/>
        <v/>
      </c>
      <c r="F1049" s="50" t="str">
        <f t="shared" si="82"/>
        <v/>
      </c>
      <c r="G1049" s="50" t="str">
        <f t="shared" si="83"/>
        <v/>
      </c>
      <c r="H1049" s="51" t="str">
        <f>IF($C1049="","",IFERROR(DATE(G1049,VLOOKUP(E1049,Paramètres!$K$11:$L$40,2,FALSE()),F1049),"?"))</f>
        <v/>
      </c>
      <c r="I1049" s="50" t="str">
        <f>IF(ISNUMBER(H1049),IF(COUNTIFS($D$2:D1049,D1049,$H$2:H1049,H1049)=1,1,0),"")</f>
        <v/>
      </c>
      <c r="J1049" s="50" t="str">
        <f>IF(ISNUMBER(H1049),IFERROR(INDEX(Calendrier!$C$2:$C$367,MATCH(H1049,Calendrier!$A$2:$A$367,0)),0),"")</f>
        <v/>
      </c>
      <c r="K1049" s="50" t="str">
        <f t="shared" si="84"/>
        <v/>
      </c>
      <c r="L1049" s="50" t="str">
        <f>IF(D1049="","",IF(COUNTIF(Paramètres!$A$11:$A$40,D1049)&gt;0,1,0))</f>
        <v/>
      </c>
    </row>
    <row r="1050" spans="1:12" hidden="1" x14ac:dyDescent="0.25">
      <c r="A1050" s="49"/>
      <c r="B1050" s="49"/>
      <c r="C1050" s="49"/>
      <c r="D1050" s="50" t="str">
        <f t="shared" si="80"/>
        <v/>
      </c>
      <c r="E1050" s="50" t="str">
        <f t="shared" si="81"/>
        <v/>
      </c>
      <c r="F1050" s="50" t="str">
        <f t="shared" si="82"/>
        <v/>
      </c>
      <c r="G1050" s="50" t="str">
        <f t="shared" si="83"/>
        <v/>
      </c>
      <c r="H1050" s="51" t="str">
        <f>IF($C1050="","",IFERROR(DATE(G1050,VLOOKUP(E1050,Paramètres!$K$11:$L$40,2,FALSE()),F1050),"?"))</f>
        <v/>
      </c>
      <c r="I1050" s="50" t="str">
        <f>IF(ISNUMBER(H1050),IF(COUNTIFS($D$2:D1050,D1050,$H$2:H1050,H1050)=1,1,0),"")</f>
        <v/>
      </c>
      <c r="J1050" s="50" t="str">
        <f>IF(ISNUMBER(H1050),IFERROR(INDEX(Calendrier!$C$2:$C$367,MATCH(H1050,Calendrier!$A$2:$A$367,0)),0),"")</f>
        <v/>
      </c>
      <c r="K1050" s="50" t="str">
        <f t="shared" si="84"/>
        <v/>
      </c>
      <c r="L1050" s="50" t="str">
        <f>IF(D1050="","",IF(COUNTIF(Paramètres!$A$11:$A$40,D1050)&gt;0,1,0))</f>
        <v/>
      </c>
    </row>
    <row r="1051" spans="1:12" hidden="1" x14ac:dyDescent="0.25">
      <c r="A1051" s="49"/>
      <c r="B1051" s="49"/>
      <c r="C1051" s="49"/>
      <c r="D1051" s="50" t="str">
        <f t="shared" si="80"/>
        <v/>
      </c>
      <c r="E1051" s="50" t="str">
        <f t="shared" si="81"/>
        <v/>
      </c>
      <c r="F1051" s="50" t="str">
        <f t="shared" si="82"/>
        <v/>
      </c>
      <c r="G1051" s="50" t="str">
        <f t="shared" si="83"/>
        <v/>
      </c>
      <c r="H1051" s="51" t="str">
        <f>IF($C1051="","",IFERROR(DATE(G1051,VLOOKUP(E1051,Paramètres!$K$11:$L$40,2,FALSE()),F1051),"?"))</f>
        <v/>
      </c>
      <c r="I1051" s="50" t="str">
        <f>IF(ISNUMBER(H1051),IF(COUNTIFS($D$2:D1051,D1051,$H$2:H1051,H1051)=1,1,0),"")</f>
        <v/>
      </c>
      <c r="J1051" s="50" t="str">
        <f>IF(ISNUMBER(H1051),IFERROR(INDEX(Calendrier!$C$2:$C$367,MATCH(H1051,Calendrier!$A$2:$A$367,0)),0),"")</f>
        <v/>
      </c>
      <c r="K1051" s="50" t="str">
        <f t="shared" si="84"/>
        <v/>
      </c>
      <c r="L1051" s="50" t="str">
        <f>IF(D1051="","",IF(COUNTIF(Paramètres!$A$11:$A$40,D1051)&gt;0,1,0))</f>
        <v/>
      </c>
    </row>
    <row r="1052" spans="1:12" hidden="1" x14ac:dyDescent="0.25">
      <c r="A1052" s="49"/>
      <c r="B1052" s="49"/>
      <c r="C1052" s="49"/>
      <c r="D1052" s="50" t="str">
        <f t="shared" si="80"/>
        <v/>
      </c>
      <c r="E1052" s="50" t="str">
        <f t="shared" si="81"/>
        <v/>
      </c>
      <c r="F1052" s="50" t="str">
        <f t="shared" si="82"/>
        <v/>
      </c>
      <c r="G1052" s="50" t="str">
        <f t="shared" si="83"/>
        <v/>
      </c>
      <c r="H1052" s="51" t="str">
        <f>IF($C1052="","",IFERROR(DATE(G1052,VLOOKUP(E1052,Paramètres!$K$11:$L$40,2,FALSE()),F1052),"?"))</f>
        <v/>
      </c>
      <c r="I1052" s="50" t="str">
        <f>IF(ISNUMBER(H1052),IF(COUNTIFS($D$2:D1052,D1052,$H$2:H1052,H1052)=1,1,0),"")</f>
        <v/>
      </c>
      <c r="J1052" s="50" t="str">
        <f>IF(ISNUMBER(H1052),IFERROR(INDEX(Calendrier!$C$2:$C$367,MATCH(H1052,Calendrier!$A$2:$A$367,0)),0),"")</f>
        <v/>
      </c>
      <c r="K1052" s="50" t="str">
        <f t="shared" si="84"/>
        <v/>
      </c>
      <c r="L1052" s="50" t="str">
        <f>IF(D1052="","",IF(COUNTIF(Paramètres!$A$11:$A$40,D1052)&gt;0,1,0))</f>
        <v/>
      </c>
    </row>
    <row r="1053" spans="1:12" hidden="1" x14ac:dyDescent="0.25">
      <c r="A1053" s="49"/>
      <c r="B1053" s="49"/>
      <c r="C1053" s="49"/>
      <c r="D1053" s="50" t="str">
        <f t="shared" si="80"/>
        <v/>
      </c>
      <c r="E1053" s="50" t="str">
        <f t="shared" si="81"/>
        <v/>
      </c>
      <c r="F1053" s="50" t="str">
        <f t="shared" si="82"/>
        <v/>
      </c>
      <c r="G1053" s="50" t="str">
        <f t="shared" si="83"/>
        <v/>
      </c>
      <c r="H1053" s="51" t="str">
        <f>IF($C1053="","",IFERROR(DATE(G1053,VLOOKUP(E1053,Paramètres!$K$11:$L$40,2,FALSE()),F1053),"?"))</f>
        <v/>
      </c>
      <c r="I1053" s="50" t="str">
        <f>IF(ISNUMBER(H1053),IF(COUNTIFS($D$2:D1053,D1053,$H$2:H1053,H1053)=1,1,0),"")</f>
        <v/>
      </c>
      <c r="J1053" s="50" t="str">
        <f>IF(ISNUMBER(H1053),IFERROR(INDEX(Calendrier!$C$2:$C$367,MATCH(H1053,Calendrier!$A$2:$A$367,0)),0),"")</f>
        <v/>
      </c>
      <c r="K1053" s="50" t="str">
        <f t="shared" si="84"/>
        <v/>
      </c>
      <c r="L1053" s="50" t="str">
        <f>IF(D1053="","",IF(COUNTIF(Paramètres!$A$11:$A$40,D1053)&gt;0,1,0))</f>
        <v/>
      </c>
    </row>
    <row r="1054" spans="1:12" hidden="1" x14ac:dyDescent="0.25">
      <c r="A1054" s="49"/>
      <c r="B1054" s="49"/>
      <c r="C1054" s="49"/>
      <c r="D1054" s="50" t="str">
        <f t="shared" si="80"/>
        <v/>
      </c>
      <c r="E1054" s="50" t="str">
        <f t="shared" si="81"/>
        <v/>
      </c>
      <c r="F1054" s="50" t="str">
        <f t="shared" si="82"/>
        <v/>
      </c>
      <c r="G1054" s="50" t="str">
        <f t="shared" si="83"/>
        <v/>
      </c>
      <c r="H1054" s="51" t="str">
        <f>IF($C1054="","",IFERROR(DATE(G1054,VLOOKUP(E1054,Paramètres!$K$11:$L$40,2,FALSE()),F1054),"?"))</f>
        <v/>
      </c>
      <c r="I1054" s="50" t="str">
        <f>IF(ISNUMBER(H1054),IF(COUNTIFS($D$2:D1054,D1054,$H$2:H1054,H1054)=1,1,0),"")</f>
        <v/>
      </c>
      <c r="J1054" s="50" t="str">
        <f>IF(ISNUMBER(H1054),IFERROR(INDEX(Calendrier!$C$2:$C$367,MATCH(H1054,Calendrier!$A$2:$A$367,0)),0),"")</f>
        <v/>
      </c>
      <c r="K1054" s="50" t="str">
        <f t="shared" si="84"/>
        <v/>
      </c>
      <c r="L1054" s="50" t="str">
        <f>IF(D1054="","",IF(COUNTIF(Paramètres!$A$11:$A$40,D1054)&gt;0,1,0))</f>
        <v/>
      </c>
    </row>
    <row r="1055" spans="1:12" hidden="1" x14ac:dyDescent="0.25">
      <c r="A1055" s="49"/>
      <c r="B1055" s="49"/>
      <c r="C1055" s="49"/>
      <c r="D1055" s="50" t="str">
        <f t="shared" si="80"/>
        <v/>
      </c>
      <c r="E1055" s="50" t="str">
        <f t="shared" si="81"/>
        <v/>
      </c>
      <c r="F1055" s="50" t="str">
        <f t="shared" si="82"/>
        <v/>
      </c>
      <c r="G1055" s="50" t="str">
        <f t="shared" si="83"/>
        <v/>
      </c>
      <c r="H1055" s="51" t="str">
        <f>IF($C1055="","",IFERROR(DATE(G1055,VLOOKUP(E1055,Paramètres!$K$11:$L$40,2,FALSE()),F1055),"?"))</f>
        <v/>
      </c>
      <c r="I1055" s="50" t="str">
        <f>IF(ISNUMBER(H1055),IF(COUNTIFS($D$2:D1055,D1055,$H$2:H1055,H1055)=1,1,0),"")</f>
        <v/>
      </c>
      <c r="J1055" s="50" t="str">
        <f>IF(ISNUMBER(H1055),IFERROR(INDEX(Calendrier!$C$2:$C$367,MATCH(H1055,Calendrier!$A$2:$A$367,0)),0),"")</f>
        <v/>
      </c>
      <c r="K1055" s="50" t="str">
        <f t="shared" si="84"/>
        <v/>
      </c>
      <c r="L1055" s="50" t="str">
        <f>IF(D1055="","",IF(COUNTIF(Paramètres!$A$11:$A$40,D1055)&gt;0,1,0))</f>
        <v/>
      </c>
    </row>
    <row r="1056" spans="1:12" hidden="1" x14ac:dyDescent="0.25">
      <c r="A1056" s="49"/>
      <c r="B1056" s="49"/>
      <c r="C1056" s="49"/>
      <c r="D1056" s="50" t="str">
        <f t="shared" si="80"/>
        <v/>
      </c>
      <c r="E1056" s="50" t="str">
        <f t="shared" si="81"/>
        <v/>
      </c>
      <c r="F1056" s="50" t="str">
        <f t="shared" si="82"/>
        <v/>
      </c>
      <c r="G1056" s="50" t="str">
        <f t="shared" si="83"/>
        <v/>
      </c>
      <c r="H1056" s="51" t="str">
        <f>IF($C1056="","",IFERROR(DATE(G1056,VLOOKUP(E1056,Paramètres!$K$11:$L$40,2,FALSE()),F1056),"?"))</f>
        <v/>
      </c>
      <c r="I1056" s="50" t="str">
        <f>IF(ISNUMBER(H1056),IF(COUNTIFS($D$2:D1056,D1056,$H$2:H1056,H1056)=1,1,0),"")</f>
        <v/>
      </c>
      <c r="J1056" s="50" t="str">
        <f>IF(ISNUMBER(H1056),IFERROR(INDEX(Calendrier!$C$2:$C$367,MATCH(H1056,Calendrier!$A$2:$A$367,0)),0),"")</f>
        <v/>
      </c>
      <c r="K1056" s="50" t="str">
        <f t="shared" si="84"/>
        <v/>
      </c>
      <c r="L1056" s="50" t="str">
        <f>IF(D1056="","",IF(COUNTIF(Paramètres!$A$11:$A$40,D1056)&gt;0,1,0))</f>
        <v/>
      </c>
    </row>
    <row r="1057" spans="1:12" hidden="1" x14ac:dyDescent="0.25">
      <c r="A1057" s="49"/>
      <c r="B1057" s="49"/>
      <c r="C1057" s="49"/>
      <c r="D1057" s="50" t="str">
        <f t="shared" si="80"/>
        <v/>
      </c>
      <c r="E1057" s="50" t="str">
        <f t="shared" si="81"/>
        <v/>
      </c>
      <c r="F1057" s="50" t="str">
        <f t="shared" si="82"/>
        <v/>
      </c>
      <c r="G1057" s="50" t="str">
        <f t="shared" si="83"/>
        <v/>
      </c>
      <c r="H1057" s="51" t="str">
        <f>IF($C1057="","",IFERROR(DATE(G1057,VLOOKUP(E1057,Paramètres!$K$11:$L$40,2,FALSE()),F1057),"?"))</f>
        <v/>
      </c>
      <c r="I1057" s="50" t="str">
        <f>IF(ISNUMBER(H1057),IF(COUNTIFS($D$2:D1057,D1057,$H$2:H1057,H1057)=1,1,0),"")</f>
        <v/>
      </c>
      <c r="J1057" s="50" t="str">
        <f>IF(ISNUMBER(H1057),IFERROR(INDEX(Calendrier!$C$2:$C$367,MATCH(H1057,Calendrier!$A$2:$A$367,0)),0),"")</f>
        <v/>
      </c>
      <c r="K1057" s="50" t="str">
        <f t="shared" si="84"/>
        <v/>
      </c>
      <c r="L1057" s="50" t="str">
        <f>IF(D1057="","",IF(COUNTIF(Paramètres!$A$11:$A$40,D1057)&gt;0,1,0))</f>
        <v/>
      </c>
    </row>
    <row r="1058" spans="1:12" hidden="1" x14ac:dyDescent="0.25">
      <c r="A1058" s="49"/>
      <c r="B1058" s="49"/>
      <c r="C1058" s="49"/>
      <c r="D1058" s="50" t="str">
        <f t="shared" si="80"/>
        <v/>
      </c>
      <c r="E1058" s="50" t="str">
        <f t="shared" si="81"/>
        <v/>
      </c>
      <c r="F1058" s="50" t="str">
        <f t="shared" si="82"/>
        <v/>
      </c>
      <c r="G1058" s="50" t="str">
        <f t="shared" si="83"/>
        <v/>
      </c>
      <c r="H1058" s="51" t="str">
        <f>IF($C1058="","",IFERROR(DATE(G1058,VLOOKUP(E1058,Paramètres!$K$11:$L$40,2,FALSE()),F1058),"?"))</f>
        <v/>
      </c>
      <c r="I1058" s="50" t="str">
        <f>IF(ISNUMBER(H1058),IF(COUNTIFS($D$2:D1058,D1058,$H$2:H1058,H1058)=1,1,0),"")</f>
        <v/>
      </c>
      <c r="J1058" s="50" t="str">
        <f>IF(ISNUMBER(H1058),IFERROR(INDEX(Calendrier!$C$2:$C$367,MATCH(H1058,Calendrier!$A$2:$A$367,0)),0),"")</f>
        <v/>
      </c>
      <c r="K1058" s="50" t="str">
        <f t="shared" si="84"/>
        <v/>
      </c>
      <c r="L1058" s="50" t="str">
        <f>IF(D1058="","",IF(COUNTIF(Paramètres!$A$11:$A$40,D1058)&gt;0,1,0))</f>
        <v/>
      </c>
    </row>
    <row r="1059" spans="1:12" hidden="1" x14ac:dyDescent="0.25">
      <c r="A1059" s="49"/>
      <c r="B1059" s="49"/>
      <c r="C1059" s="49"/>
      <c r="D1059" s="50" t="str">
        <f t="shared" si="80"/>
        <v/>
      </c>
      <c r="E1059" s="50" t="str">
        <f t="shared" si="81"/>
        <v/>
      </c>
      <c r="F1059" s="50" t="str">
        <f t="shared" si="82"/>
        <v/>
      </c>
      <c r="G1059" s="50" t="str">
        <f t="shared" si="83"/>
        <v/>
      </c>
      <c r="H1059" s="51" t="str">
        <f>IF($C1059="","",IFERROR(DATE(G1059,VLOOKUP(E1059,Paramètres!$K$11:$L$40,2,FALSE()),F1059),"?"))</f>
        <v/>
      </c>
      <c r="I1059" s="50" t="str">
        <f>IF(ISNUMBER(H1059),IF(COUNTIFS($D$2:D1059,D1059,$H$2:H1059,H1059)=1,1,0),"")</f>
        <v/>
      </c>
      <c r="J1059" s="50" t="str">
        <f>IF(ISNUMBER(H1059),IFERROR(INDEX(Calendrier!$C$2:$C$367,MATCH(H1059,Calendrier!$A$2:$A$367,0)),0),"")</f>
        <v/>
      </c>
      <c r="K1059" s="50" t="str">
        <f t="shared" si="84"/>
        <v/>
      </c>
      <c r="L1059" s="50" t="str">
        <f>IF(D1059="","",IF(COUNTIF(Paramètres!$A$11:$A$40,D1059)&gt;0,1,0))</f>
        <v/>
      </c>
    </row>
    <row r="1060" spans="1:12" hidden="1" x14ac:dyDescent="0.25">
      <c r="A1060" s="49"/>
      <c r="B1060" s="49"/>
      <c r="C1060" s="49"/>
      <c r="D1060" s="50" t="str">
        <f t="shared" si="80"/>
        <v/>
      </c>
      <c r="E1060" s="50" t="str">
        <f t="shared" si="81"/>
        <v/>
      </c>
      <c r="F1060" s="50" t="str">
        <f t="shared" si="82"/>
        <v/>
      </c>
      <c r="G1060" s="50" t="str">
        <f t="shared" si="83"/>
        <v/>
      </c>
      <c r="H1060" s="51" t="str">
        <f>IF($C1060="","",IFERROR(DATE(G1060,VLOOKUP(E1060,Paramètres!$K$11:$L$40,2,FALSE()),F1060),"?"))</f>
        <v/>
      </c>
      <c r="I1060" s="50" t="str">
        <f>IF(ISNUMBER(H1060),IF(COUNTIFS($D$2:D1060,D1060,$H$2:H1060,H1060)=1,1,0),"")</f>
        <v/>
      </c>
      <c r="J1060" s="50" t="str">
        <f>IF(ISNUMBER(H1060),IFERROR(INDEX(Calendrier!$C$2:$C$367,MATCH(H1060,Calendrier!$A$2:$A$367,0)),0),"")</f>
        <v/>
      </c>
      <c r="K1060" s="50" t="str">
        <f t="shared" si="84"/>
        <v/>
      </c>
      <c r="L1060" s="50" t="str">
        <f>IF(D1060="","",IF(COUNTIF(Paramètres!$A$11:$A$40,D1060)&gt;0,1,0))</f>
        <v/>
      </c>
    </row>
    <row r="1061" spans="1:12" hidden="1" x14ac:dyDescent="0.25">
      <c r="A1061" s="49"/>
      <c r="B1061" s="49"/>
      <c r="C1061" s="49"/>
      <c r="D1061" s="50" t="str">
        <f t="shared" si="80"/>
        <v/>
      </c>
      <c r="E1061" s="50" t="str">
        <f t="shared" si="81"/>
        <v/>
      </c>
      <c r="F1061" s="50" t="str">
        <f t="shared" si="82"/>
        <v/>
      </c>
      <c r="G1061" s="50" t="str">
        <f t="shared" si="83"/>
        <v/>
      </c>
      <c r="H1061" s="51" t="str">
        <f>IF($C1061="","",IFERROR(DATE(G1061,VLOOKUP(E1061,Paramètres!$K$11:$L$40,2,FALSE()),F1061),"?"))</f>
        <v/>
      </c>
      <c r="I1061" s="50" t="str">
        <f>IF(ISNUMBER(H1061),IF(COUNTIFS($D$2:D1061,D1061,$H$2:H1061,H1061)=1,1,0),"")</f>
        <v/>
      </c>
      <c r="J1061" s="50" t="str">
        <f>IF(ISNUMBER(H1061),IFERROR(INDEX(Calendrier!$C$2:$C$367,MATCH(H1061,Calendrier!$A$2:$A$367,0)),0),"")</f>
        <v/>
      </c>
      <c r="K1061" s="50" t="str">
        <f t="shared" si="84"/>
        <v/>
      </c>
      <c r="L1061" s="50" t="str">
        <f>IF(D1061="","",IF(COUNTIF(Paramètres!$A$11:$A$40,D1061)&gt;0,1,0))</f>
        <v/>
      </c>
    </row>
    <row r="1062" spans="1:12" hidden="1" x14ac:dyDescent="0.25">
      <c r="A1062" s="49"/>
      <c r="B1062" s="49"/>
      <c r="C1062" s="49"/>
      <c r="D1062" s="50" t="str">
        <f t="shared" si="80"/>
        <v/>
      </c>
      <c r="E1062" s="50" t="str">
        <f t="shared" si="81"/>
        <v/>
      </c>
      <c r="F1062" s="50" t="str">
        <f t="shared" si="82"/>
        <v/>
      </c>
      <c r="G1062" s="50" t="str">
        <f t="shared" si="83"/>
        <v/>
      </c>
      <c r="H1062" s="51" t="str">
        <f>IF($C1062="","",IFERROR(DATE(G1062,VLOOKUP(E1062,Paramètres!$K$11:$L$40,2,FALSE()),F1062),"?"))</f>
        <v/>
      </c>
      <c r="I1062" s="50" t="str">
        <f>IF(ISNUMBER(H1062),IF(COUNTIFS($D$2:D1062,D1062,$H$2:H1062,H1062)=1,1,0),"")</f>
        <v/>
      </c>
      <c r="J1062" s="50" t="str">
        <f>IF(ISNUMBER(H1062),IFERROR(INDEX(Calendrier!$C$2:$C$367,MATCH(H1062,Calendrier!$A$2:$A$367,0)),0),"")</f>
        <v/>
      </c>
      <c r="K1062" s="50" t="str">
        <f t="shared" si="84"/>
        <v/>
      </c>
      <c r="L1062" s="50" t="str">
        <f>IF(D1062="","",IF(COUNTIF(Paramètres!$A$11:$A$40,D1062)&gt;0,1,0))</f>
        <v/>
      </c>
    </row>
    <row r="1063" spans="1:12" hidden="1" x14ac:dyDescent="0.25">
      <c r="A1063" s="49"/>
      <c r="B1063" s="49"/>
      <c r="C1063" s="49"/>
      <c r="D1063" s="50" t="str">
        <f t="shared" si="80"/>
        <v/>
      </c>
      <c r="E1063" s="50" t="str">
        <f t="shared" si="81"/>
        <v/>
      </c>
      <c r="F1063" s="50" t="str">
        <f t="shared" si="82"/>
        <v/>
      </c>
      <c r="G1063" s="50" t="str">
        <f t="shared" si="83"/>
        <v/>
      </c>
      <c r="H1063" s="51" t="str">
        <f>IF($C1063="","",IFERROR(DATE(G1063,VLOOKUP(E1063,Paramètres!$K$11:$L$40,2,FALSE()),F1063),"?"))</f>
        <v/>
      </c>
      <c r="I1063" s="50" t="str">
        <f>IF(ISNUMBER(H1063),IF(COUNTIFS($D$2:D1063,D1063,$H$2:H1063,H1063)=1,1,0),"")</f>
        <v/>
      </c>
      <c r="J1063" s="50" t="str">
        <f>IF(ISNUMBER(H1063),IFERROR(INDEX(Calendrier!$C$2:$C$367,MATCH(H1063,Calendrier!$A$2:$A$367,0)),0),"")</f>
        <v/>
      </c>
      <c r="K1063" s="50" t="str">
        <f t="shared" si="84"/>
        <v/>
      </c>
      <c r="L1063" s="50" t="str">
        <f>IF(D1063="","",IF(COUNTIF(Paramètres!$A$11:$A$40,D1063)&gt;0,1,0))</f>
        <v/>
      </c>
    </row>
    <row r="1064" spans="1:12" hidden="1" x14ac:dyDescent="0.25">
      <c r="A1064" s="49"/>
      <c r="B1064" s="49"/>
      <c r="C1064" s="49"/>
      <c r="D1064" s="50" t="str">
        <f t="shared" si="80"/>
        <v/>
      </c>
      <c r="E1064" s="50" t="str">
        <f t="shared" si="81"/>
        <v/>
      </c>
      <c r="F1064" s="50" t="str">
        <f t="shared" si="82"/>
        <v/>
      </c>
      <c r="G1064" s="50" t="str">
        <f t="shared" si="83"/>
        <v/>
      </c>
      <c r="H1064" s="51" t="str">
        <f>IF($C1064="","",IFERROR(DATE(G1064,VLOOKUP(E1064,Paramètres!$K$11:$L$40,2,FALSE()),F1064),"?"))</f>
        <v/>
      </c>
      <c r="I1064" s="50" t="str">
        <f>IF(ISNUMBER(H1064),IF(COUNTIFS($D$2:D1064,D1064,$H$2:H1064,H1064)=1,1,0),"")</f>
        <v/>
      </c>
      <c r="J1064" s="50" t="str">
        <f>IF(ISNUMBER(H1064),IFERROR(INDEX(Calendrier!$C$2:$C$367,MATCH(H1064,Calendrier!$A$2:$A$367,0)),0),"")</f>
        <v/>
      </c>
      <c r="K1064" s="50" t="str">
        <f t="shared" si="84"/>
        <v/>
      </c>
      <c r="L1064" s="50" t="str">
        <f>IF(D1064="","",IF(COUNTIF(Paramètres!$A$11:$A$40,D1064)&gt;0,1,0))</f>
        <v/>
      </c>
    </row>
    <row r="1065" spans="1:12" hidden="1" x14ac:dyDescent="0.25">
      <c r="A1065" s="49"/>
      <c r="B1065" s="49"/>
      <c r="C1065" s="49"/>
      <c r="D1065" s="50" t="str">
        <f t="shared" si="80"/>
        <v/>
      </c>
      <c r="E1065" s="50" t="str">
        <f t="shared" si="81"/>
        <v/>
      </c>
      <c r="F1065" s="50" t="str">
        <f t="shared" si="82"/>
        <v/>
      </c>
      <c r="G1065" s="50" t="str">
        <f t="shared" si="83"/>
        <v/>
      </c>
      <c r="H1065" s="51" t="str">
        <f>IF($C1065="","",IFERROR(DATE(G1065,VLOOKUP(E1065,Paramètres!$K$11:$L$40,2,FALSE()),F1065),"?"))</f>
        <v/>
      </c>
      <c r="I1065" s="50" t="str">
        <f>IF(ISNUMBER(H1065),IF(COUNTIFS($D$2:D1065,D1065,$H$2:H1065,H1065)=1,1,0),"")</f>
        <v/>
      </c>
      <c r="J1065" s="50" t="str">
        <f>IF(ISNUMBER(H1065),IFERROR(INDEX(Calendrier!$C$2:$C$367,MATCH(H1065,Calendrier!$A$2:$A$367,0)),0),"")</f>
        <v/>
      </c>
      <c r="K1065" s="50" t="str">
        <f t="shared" si="84"/>
        <v/>
      </c>
      <c r="L1065" s="50" t="str">
        <f>IF(D1065="","",IF(COUNTIF(Paramètres!$A$11:$A$40,D1065)&gt;0,1,0))</f>
        <v/>
      </c>
    </row>
    <row r="1066" spans="1:12" hidden="1" x14ac:dyDescent="0.25">
      <c r="A1066" s="49"/>
      <c r="B1066" s="49"/>
      <c r="C1066" s="49"/>
      <c r="D1066" s="50" t="str">
        <f t="shared" si="80"/>
        <v/>
      </c>
      <c r="E1066" s="50" t="str">
        <f t="shared" si="81"/>
        <v/>
      </c>
      <c r="F1066" s="50" t="str">
        <f t="shared" si="82"/>
        <v/>
      </c>
      <c r="G1066" s="50" t="str">
        <f t="shared" si="83"/>
        <v/>
      </c>
      <c r="H1066" s="51" t="str">
        <f>IF($C1066="","",IFERROR(DATE(G1066,VLOOKUP(E1066,Paramètres!$K$11:$L$40,2,FALSE()),F1066),"?"))</f>
        <v/>
      </c>
      <c r="I1066" s="50" t="str">
        <f>IF(ISNUMBER(H1066),IF(COUNTIFS($D$2:D1066,D1066,$H$2:H1066,H1066)=1,1,0),"")</f>
        <v/>
      </c>
      <c r="J1066" s="50" t="str">
        <f>IF(ISNUMBER(H1066),IFERROR(INDEX(Calendrier!$C$2:$C$367,MATCH(H1066,Calendrier!$A$2:$A$367,0)),0),"")</f>
        <v/>
      </c>
      <c r="K1066" s="50" t="str">
        <f t="shared" si="84"/>
        <v/>
      </c>
      <c r="L1066" s="50" t="str">
        <f>IF(D1066="","",IF(COUNTIF(Paramètres!$A$11:$A$40,D1066)&gt;0,1,0))</f>
        <v/>
      </c>
    </row>
    <row r="1067" spans="1:12" hidden="1" x14ac:dyDescent="0.25">
      <c r="A1067" s="49"/>
      <c r="B1067" s="49"/>
      <c r="C1067" s="49"/>
      <c r="D1067" s="50" t="str">
        <f t="shared" si="80"/>
        <v/>
      </c>
      <c r="E1067" s="50" t="str">
        <f t="shared" si="81"/>
        <v/>
      </c>
      <c r="F1067" s="50" t="str">
        <f t="shared" si="82"/>
        <v/>
      </c>
      <c r="G1067" s="50" t="str">
        <f t="shared" si="83"/>
        <v/>
      </c>
      <c r="H1067" s="51" t="str">
        <f>IF($C1067="","",IFERROR(DATE(G1067,VLOOKUP(E1067,Paramètres!$K$11:$L$40,2,FALSE()),F1067),"?"))</f>
        <v/>
      </c>
      <c r="I1067" s="50" t="str">
        <f>IF(ISNUMBER(H1067),IF(COUNTIFS($D$2:D1067,D1067,$H$2:H1067,H1067)=1,1,0),"")</f>
        <v/>
      </c>
      <c r="J1067" s="50" t="str">
        <f>IF(ISNUMBER(H1067),IFERROR(INDEX(Calendrier!$C$2:$C$367,MATCH(H1067,Calendrier!$A$2:$A$367,0)),0),"")</f>
        <v/>
      </c>
      <c r="K1067" s="50" t="str">
        <f t="shared" si="84"/>
        <v/>
      </c>
      <c r="L1067" s="50" t="str">
        <f>IF(D1067="","",IF(COUNTIF(Paramètres!$A$11:$A$40,D1067)&gt;0,1,0))</f>
        <v/>
      </c>
    </row>
    <row r="1068" spans="1:12" hidden="1" x14ac:dyDescent="0.25">
      <c r="A1068" s="49"/>
      <c r="B1068" s="49"/>
      <c r="C1068" s="49"/>
      <c r="D1068" s="50" t="str">
        <f t="shared" si="80"/>
        <v/>
      </c>
      <c r="E1068" s="50" t="str">
        <f t="shared" si="81"/>
        <v/>
      </c>
      <c r="F1068" s="50" t="str">
        <f t="shared" si="82"/>
        <v/>
      </c>
      <c r="G1068" s="50" t="str">
        <f t="shared" si="83"/>
        <v/>
      </c>
      <c r="H1068" s="51" t="str">
        <f>IF($C1068="","",IFERROR(DATE(G1068,VLOOKUP(E1068,Paramètres!$K$11:$L$40,2,FALSE()),F1068),"?"))</f>
        <v/>
      </c>
      <c r="I1068" s="50" t="str">
        <f>IF(ISNUMBER(H1068),IF(COUNTIFS($D$2:D1068,D1068,$H$2:H1068,H1068)=1,1,0),"")</f>
        <v/>
      </c>
      <c r="J1068" s="50" t="str">
        <f>IF(ISNUMBER(H1068),IFERROR(INDEX(Calendrier!$C$2:$C$367,MATCH(H1068,Calendrier!$A$2:$A$367,0)),0),"")</f>
        <v/>
      </c>
      <c r="K1068" s="50" t="str">
        <f t="shared" si="84"/>
        <v/>
      </c>
      <c r="L1068" s="50" t="str">
        <f>IF(D1068="","",IF(COUNTIF(Paramètres!$A$11:$A$40,D1068)&gt;0,1,0))</f>
        <v/>
      </c>
    </row>
    <row r="1069" spans="1:12" hidden="1" x14ac:dyDescent="0.25">
      <c r="A1069" s="49"/>
      <c r="B1069" s="49"/>
      <c r="C1069" s="49"/>
      <c r="D1069" s="50" t="str">
        <f t="shared" si="80"/>
        <v/>
      </c>
      <c r="E1069" s="50" t="str">
        <f t="shared" si="81"/>
        <v/>
      </c>
      <c r="F1069" s="50" t="str">
        <f t="shared" si="82"/>
        <v/>
      </c>
      <c r="G1069" s="50" t="str">
        <f t="shared" si="83"/>
        <v/>
      </c>
      <c r="H1069" s="51" t="str">
        <f>IF($C1069="","",IFERROR(DATE(G1069,VLOOKUP(E1069,Paramètres!$K$11:$L$40,2,FALSE()),F1069),"?"))</f>
        <v/>
      </c>
      <c r="I1069" s="50" t="str">
        <f>IF(ISNUMBER(H1069),IF(COUNTIFS($D$2:D1069,D1069,$H$2:H1069,H1069)=1,1,0),"")</f>
        <v/>
      </c>
      <c r="J1069" s="50" t="str">
        <f>IF(ISNUMBER(H1069),IFERROR(INDEX(Calendrier!$C$2:$C$367,MATCH(H1069,Calendrier!$A$2:$A$367,0)),0),"")</f>
        <v/>
      </c>
      <c r="K1069" s="50" t="str">
        <f t="shared" si="84"/>
        <v/>
      </c>
      <c r="L1069" s="50" t="str">
        <f>IF(D1069="","",IF(COUNTIF(Paramètres!$A$11:$A$40,D1069)&gt;0,1,0))</f>
        <v/>
      </c>
    </row>
    <row r="1070" spans="1:12" hidden="1" x14ac:dyDescent="0.25">
      <c r="A1070" s="49"/>
      <c r="B1070" s="49"/>
      <c r="C1070" s="49"/>
      <c r="D1070" s="50" t="str">
        <f t="shared" si="80"/>
        <v/>
      </c>
      <c r="E1070" s="50" t="str">
        <f t="shared" si="81"/>
        <v/>
      </c>
      <c r="F1070" s="50" t="str">
        <f t="shared" si="82"/>
        <v/>
      </c>
      <c r="G1070" s="50" t="str">
        <f t="shared" si="83"/>
        <v/>
      </c>
      <c r="H1070" s="51" t="str">
        <f>IF($C1070="","",IFERROR(DATE(G1070,VLOOKUP(E1070,Paramètres!$K$11:$L$40,2,FALSE()),F1070),"?"))</f>
        <v/>
      </c>
      <c r="I1070" s="50" t="str">
        <f>IF(ISNUMBER(H1070),IF(COUNTIFS($D$2:D1070,D1070,$H$2:H1070,H1070)=1,1,0),"")</f>
        <v/>
      </c>
      <c r="J1070" s="50" t="str">
        <f>IF(ISNUMBER(H1070),IFERROR(INDEX(Calendrier!$C$2:$C$367,MATCH(H1070,Calendrier!$A$2:$A$367,0)),0),"")</f>
        <v/>
      </c>
      <c r="K1070" s="50" t="str">
        <f t="shared" si="84"/>
        <v/>
      </c>
      <c r="L1070" s="50" t="str">
        <f>IF(D1070="","",IF(COUNTIF(Paramètres!$A$11:$A$40,D1070)&gt;0,1,0))</f>
        <v/>
      </c>
    </row>
    <row r="1071" spans="1:12" hidden="1" x14ac:dyDescent="0.25">
      <c r="A1071" s="49"/>
      <c r="B1071" s="49"/>
      <c r="C1071" s="49"/>
      <c r="D1071" s="50" t="str">
        <f t="shared" si="80"/>
        <v/>
      </c>
      <c r="E1071" s="50" t="str">
        <f t="shared" si="81"/>
        <v/>
      </c>
      <c r="F1071" s="50" t="str">
        <f t="shared" si="82"/>
        <v/>
      </c>
      <c r="G1071" s="50" t="str">
        <f t="shared" si="83"/>
        <v/>
      </c>
      <c r="H1071" s="51" t="str">
        <f>IF($C1071="","",IFERROR(DATE(G1071,VLOOKUP(E1071,Paramètres!$K$11:$L$40,2,FALSE()),F1071),"?"))</f>
        <v/>
      </c>
      <c r="I1071" s="50" t="str">
        <f>IF(ISNUMBER(H1071),IF(COUNTIFS($D$2:D1071,D1071,$H$2:H1071,H1071)=1,1,0),"")</f>
        <v/>
      </c>
      <c r="J1071" s="50" t="str">
        <f>IF(ISNUMBER(H1071),IFERROR(INDEX(Calendrier!$C$2:$C$367,MATCH(H1071,Calendrier!$A$2:$A$367,0)),0),"")</f>
        <v/>
      </c>
      <c r="K1071" s="50" t="str">
        <f t="shared" si="84"/>
        <v/>
      </c>
      <c r="L1071" s="50" t="str">
        <f>IF(D1071="","",IF(COUNTIF(Paramètres!$A$11:$A$40,D1071)&gt;0,1,0))</f>
        <v/>
      </c>
    </row>
    <row r="1072" spans="1:12" hidden="1" x14ac:dyDescent="0.25">
      <c r="A1072" s="49"/>
      <c r="B1072" s="49"/>
      <c r="C1072" s="49"/>
      <c r="D1072" s="50" t="str">
        <f t="shared" si="80"/>
        <v/>
      </c>
      <c r="E1072" s="50" t="str">
        <f t="shared" si="81"/>
        <v/>
      </c>
      <c r="F1072" s="50" t="str">
        <f t="shared" si="82"/>
        <v/>
      </c>
      <c r="G1072" s="50" t="str">
        <f t="shared" si="83"/>
        <v/>
      </c>
      <c r="H1072" s="51" t="str">
        <f>IF($C1072="","",IFERROR(DATE(G1072,VLOOKUP(E1072,Paramètres!$K$11:$L$40,2,FALSE()),F1072),"?"))</f>
        <v/>
      </c>
      <c r="I1072" s="50" t="str">
        <f>IF(ISNUMBER(H1072),IF(COUNTIFS($D$2:D1072,D1072,$H$2:H1072,H1072)=1,1,0),"")</f>
        <v/>
      </c>
      <c r="J1072" s="50" t="str">
        <f>IF(ISNUMBER(H1072),IFERROR(INDEX(Calendrier!$C$2:$C$367,MATCH(H1072,Calendrier!$A$2:$A$367,0)),0),"")</f>
        <v/>
      </c>
      <c r="K1072" s="50" t="str">
        <f t="shared" si="84"/>
        <v/>
      </c>
      <c r="L1072" s="50" t="str">
        <f>IF(D1072="","",IF(COUNTIF(Paramètres!$A$11:$A$40,D1072)&gt;0,1,0))</f>
        <v/>
      </c>
    </row>
    <row r="1073" spans="1:12" hidden="1" x14ac:dyDescent="0.25">
      <c r="A1073" s="49"/>
      <c r="B1073" s="49"/>
      <c r="C1073" s="49"/>
      <c r="D1073" s="50" t="str">
        <f t="shared" si="80"/>
        <v/>
      </c>
      <c r="E1073" s="50" t="str">
        <f t="shared" si="81"/>
        <v/>
      </c>
      <c r="F1073" s="50" t="str">
        <f t="shared" si="82"/>
        <v/>
      </c>
      <c r="G1073" s="50" t="str">
        <f t="shared" si="83"/>
        <v/>
      </c>
      <c r="H1073" s="51" t="str">
        <f>IF($C1073="","",IFERROR(DATE(G1073,VLOOKUP(E1073,Paramètres!$K$11:$L$40,2,FALSE()),F1073),"?"))</f>
        <v/>
      </c>
      <c r="I1073" s="50" t="str">
        <f>IF(ISNUMBER(H1073),IF(COUNTIFS($D$2:D1073,D1073,$H$2:H1073,H1073)=1,1,0),"")</f>
        <v/>
      </c>
      <c r="J1073" s="50" t="str">
        <f>IF(ISNUMBER(H1073),IFERROR(INDEX(Calendrier!$C$2:$C$367,MATCH(H1073,Calendrier!$A$2:$A$367,0)),0),"")</f>
        <v/>
      </c>
      <c r="K1073" s="50" t="str">
        <f t="shared" si="84"/>
        <v/>
      </c>
      <c r="L1073" s="50" t="str">
        <f>IF(D1073="","",IF(COUNTIF(Paramètres!$A$11:$A$40,D1073)&gt;0,1,0))</f>
        <v/>
      </c>
    </row>
    <row r="1074" spans="1:12" hidden="1" x14ac:dyDescent="0.25">
      <c r="A1074" s="49"/>
      <c r="B1074" s="49"/>
      <c r="C1074" s="49"/>
      <c r="D1074" s="50" t="str">
        <f t="shared" si="80"/>
        <v/>
      </c>
      <c r="E1074" s="50" t="str">
        <f t="shared" si="81"/>
        <v/>
      </c>
      <c r="F1074" s="50" t="str">
        <f t="shared" si="82"/>
        <v/>
      </c>
      <c r="G1074" s="50" t="str">
        <f t="shared" si="83"/>
        <v/>
      </c>
      <c r="H1074" s="51" t="str">
        <f>IF($C1074="","",IFERROR(DATE(G1074,VLOOKUP(E1074,Paramètres!$K$11:$L$40,2,FALSE()),F1074),"?"))</f>
        <v/>
      </c>
      <c r="I1074" s="50" t="str">
        <f>IF(ISNUMBER(H1074),IF(COUNTIFS($D$2:D1074,D1074,$H$2:H1074,H1074)=1,1,0),"")</f>
        <v/>
      </c>
      <c r="J1074" s="50" t="str">
        <f>IF(ISNUMBER(H1074),IFERROR(INDEX(Calendrier!$C$2:$C$367,MATCH(H1074,Calendrier!$A$2:$A$367,0)),0),"")</f>
        <v/>
      </c>
      <c r="K1074" s="50" t="str">
        <f t="shared" si="84"/>
        <v/>
      </c>
      <c r="L1074" s="50" t="str">
        <f>IF(D1074="","",IF(COUNTIF(Paramètres!$A$11:$A$40,D1074)&gt;0,1,0))</f>
        <v/>
      </c>
    </row>
    <row r="1075" spans="1:12" hidden="1" x14ac:dyDescent="0.25">
      <c r="A1075" s="49"/>
      <c r="B1075" s="49"/>
      <c r="C1075" s="49"/>
      <c r="D1075" s="50" t="str">
        <f t="shared" si="80"/>
        <v/>
      </c>
      <c r="E1075" s="50" t="str">
        <f t="shared" si="81"/>
        <v/>
      </c>
      <c r="F1075" s="50" t="str">
        <f t="shared" si="82"/>
        <v/>
      </c>
      <c r="G1075" s="50" t="str">
        <f t="shared" si="83"/>
        <v/>
      </c>
      <c r="H1075" s="51" t="str">
        <f>IF($C1075="","",IFERROR(DATE(G1075,VLOOKUP(E1075,Paramètres!$K$11:$L$40,2,FALSE()),F1075),"?"))</f>
        <v/>
      </c>
      <c r="I1075" s="50" t="str">
        <f>IF(ISNUMBER(H1075),IF(COUNTIFS($D$2:D1075,D1075,$H$2:H1075,H1075)=1,1,0),"")</f>
        <v/>
      </c>
      <c r="J1075" s="50" t="str">
        <f>IF(ISNUMBER(H1075),IFERROR(INDEX(Calendrier!$C$2:$C$367,MATCH(H1075,Calendrier!$A$2:$A$367,0)),0),"")</f>
        <v/>
      </c>
      <c r="K1075" s="50" t="str">
        <f t="shared" si="84"/>
        <v/>
      </c>
      <c r="L1075" s="50" t="str">
        <f>IF(D1075="","",IF(COUNTIF(Paramètres!$A$11:$A$40,D1075)&gt;0,1,0))</f>
        <v/>
      </c>
    </row>
    <row r="1076" spans="1:12" hidden="1" x14ac:dyDescent="0.25">
      <c r="A1076" s="49"/>
      <c r="B1076" s="49"/>
      <c r="C1076" s="49"/>
      <c r="D1076" s="50" t="str">
        <f t="shared" si="80"/>
        <v/>
      </c>
      <c r="E1076" s="50" t="str">
        <f t="shared" si="81"/>
        <v/>
      </c>
      <c r="F1076" s="50" t="str">
        <f t="shared" si="82"/>
        <v/>
      </c>
      <c r="G1076" s="50" t="str">
        <f t="shared" si="83"/>
        <v/>
      </c>
      <c r="H1076" s="51" t="str">
        <f>IF($C1076="","",IFERROR(DATE(G1076,VLOOKUP(E1076,Paramètres!$K$11:$L$40,2,FALSE()),F1076),"?"))</f>
        <v/>
      </c>
      <c r="I1076" s="50" t="str">
        <f>IF(ISNUMBER(H1076),IF(COUNTIFS($D$2:D1076,D1076,$H$2:H1076,H1076)=1,1,0),"")</f>
        <v/>
      </c>
      <c r="J1076" s="50" t="str">
        <f>IF(ISNUMBER(H1076),IFERROR(INDEX(Calendrier!$C$2:$C$367,MATCH(H1076,Calendrier!$A$2:$A$367,0)),0),"")</f>
        <v/>
      </c>
      <c r="K1076" s="50" t="str">
        <f t="shared" si="84"/>
        <v/>
      </c>
      <c r="L1076" s="50" t="str">
        <f>IF(D1076="","",IF(COUNTIF(Paramètres!$A$11:$A$40,D1076)&gt;0,1,0))</f>
        <v/>
      </c>
    </row>
    <row r="1077" spans="1:12" hidden="1" x14ac:dyDescent="0.25">
      <c r="A1077" s="49"/>
      <c r="B1077" s="49"/>
      <c r="C1077" s="49"/>
      <c r="D1077" s="50" t="str">
        <f t="shared" si="80"/>
        <v/>
      </c>
      <c r="E1077" s="50" t="str">
        <f t="shared" si="81"/>
        <v/>
      </c>
      <c r="F1077" s="50" t="str">
        <f t="shared" si="82"/>
        <v/>
      </c>
      <c r="G1077" s="50" t="str">
        <f t="shared" si="83"/>
        <v/>
      </c>
      <c r="H1077" s="51" t="str">
        <f>IF($C1077="","",IFERROR(DATE(G1077,VLOOKUP(E1077,Paramètres!$K$11:$L$40,2,FALSE()),F1077),"?"))</f>
        <v/>
      </c>
      <c r="I1077" s="50" t="str">
        <f>IF(ISNUMBER(H1077),IF(COUNTIFS($D$2:D1077,D1077,$H$2:H1077,H1077)=1,1,0),"")</f>
        <v/>
      </c>
      <c r="J1077" s="50" t="str">
        <f>IF(ISNUMBER(H1077),IFERROR(INDEX(Calendrier!$C$2:$C$367,MATCH(H1077,Calendrier!$A$2:$A$367,0)),0),"")</f>
        <v/>
      </c>
      <c r="K1077" s="50" t="str">
        <f t="shared" si="84"/>
        <v/>
      </c>
      <c r="L1077" s="50" t="str">
        <f>IF(D1077="","",IF(COUNTIF(Paramètres!$A$11:$A$40,D1077)&gt;0,1,0))</f>
        <v/>
      </c>
    </row>
    <row r="1078" spans="1:12" hidden="1" x14ac:dyDescent="0.25">
      <c r="A1078" s="49"/>
      <c r="B1078" s="49"/>
      <c r="C1078" s="49"/>
      <c r="D1078" s="50" t="str">
        <f t="shared" si="80"/>
        <v/>
      </c>
      <c r="E1078" s="50" t="str">
        <f t="shared" si="81"/>
        <v/>
      </c>
      <c r="F1078" s="50" t="str">
        <f t="shared" si="82"/>
        <v/>
      </c>
      <c r="G1078" s="50" t="str">
        <f t="shared" si="83"/>
        <v/>
      </c>
      <c r="H1078" s="51" t="str">
        <f>IF($C1078="","",IFERROR(DATE(G1078,VLOOKUP(E1078,Paramètres!$K$11:$L$40,2,FALSE()),F1078),"?"))</f>
        <v/>
      </c>
      <c r="I1078" s="50" t="str">
        <f>IF(ISNUMBER(H1078),IF(COUNTIFS($D$2:D1078,D1078,$H$2:H1078,H1078)=1,1,0),"")</f>
        <v/>
      </c>
      <c r="J1078" s="50" t="str">
        <f>IF(ISNUMBER(H1078),IFERROR(INDEX(Calendrier!$C$2:$C$367,MATCH(H1078,Calendrier!$A$2:$A$367,0)),0),"")</f>
        <v/>
      </c>
      <c r="K1078" s="50" t="str">
        <f t="shared" si="84"/>
        <v/>
      </c>
      <c r="L1078" s="50" t="str">
        <f>IF(D1078="","",IF(COUNTIF(Paramètres!$A$11:$A$40,D1078)&gt;0,1,0))</f>
        <v/>
      </c>
    </row>
    <row r="1079" spans="1:12" hidden="1" x14ac:dyDescent="0.25">
      <c r="A1079" s="49"/>
      <c r="B1079" s="49"/>
      <c r="C1079" s="49"/>
      <c r="D1079" s="50" t="str">
        <f t="shared" si="80"/>
        <v/>
      </c>
      <c r="E1079" s="50" t="str">
        <f t="shared" si="81"/>
        <v/>
      </c>
      <c r="F1079" s="50" t="str">
        <f t="shared" si="82"/>
        <v/>
      </c>
      <c r="G1079" s="50" t="str">
        <f t="shared" si="83"/>
        <v/>
      </c>
      <c r="H1079" s="51" t="str">
        <f>IF($C1079="","",IFERROR(DATE(G1079,VLOOKUP(E1079,Paramètres!$K$11:$L$40,2,FALSE()),F1079),"?"))</f>
        <v/>
      </c>
      <c r="I1079" s="50" t="str">
        <f>IF(ISNUMBER(H1079),IF(COUNTIFS($D$2:D1079,D1079,$H$2:H1079,H1079)=1,1,0),"")</f>
        <v/>
      </c>
      <c r="J1079" s="50" t="str">
        <f>IF(ISNUMBER(H1079),IFERROR(INDEX(Calendrier!$C$2:$C$367,MATCH(H1079,Calendrier!$A$2:$A$367,0)),0),"")</f>
        <v/>
      </c>
      <c r="K1079" s="50" t="str">
        <f t="shared" si="84"/>
        <v/>
      </c>
      <c r="L1079" s="50" t="str">
        <f>IF(D1079="","",IF(COUNTIF(Paramètres!$A$11:$A$40,D1079)&gt;0,1,0))</f>
        <v/>
      </c>
    </row>
    <row r="1080" spans="1:12" hidden="1" x14ac:dyDescent="0.25">
      <c r="A1080" s="49"/>
      <c r="B1080" s="49"/>
      <c r="C1080" s="49"/>
      <c r="D1080" s="50" t="str">
        <f t="shared" si="80"/>
        <v/>
      </c>
      <c r="E1080" s="50" t="str">
        <f t="shared" si="81"/>
        <v/>
      </c>
      <c r="F1080" s="50" t="str">
        <f t="shared" si="82"/>
        <v/>
      </c>
      <c r="G1080" s="50" t="str">
        <f t="shared" si="83"/>
        <v/>
      </c>
      <c r="H1080" s="51" t="str">
        <f>IF($C1080="","",IFERROR(DATE(G1080,VLOOKUP(E1080,Paramètres!$K$11:$L$40,2,FALSE()),F1080),"?"))</f>
        <v/>
      </c>
      <c r="I1080" s="50" t="str">
        <f>IF(ISNUMBER(H1080),IF(COUNTIFS($D$2:D1080,D1080,$H$2:H1080,H1080)=1,1,0),"")</f>
        <v/>
      </c>
      <c r="J1080" s="50" t="str">
        <f>IF(ISNUMBER(H1080),IFERROR(INDEX(Calendrier!$C$2:$C$367,MATCH(H1080,Calendrier!$A$2:$A$367,0)),0),"")</f>
        <v/>
      </c>
      <c r="K1080" s="50" t="str">
        <f t="shared" si="84"/>
        <v/>
      </c>
      <c r="L1080" s="50" t="str">
        <f>IF(D1080="","",IF(COUNTIF(Paramètres!$A$11:$A$40,D1080)&gt;0,1,0))</f>
        <v/>
      </c>
    </row>
    <row r="1081" spans="1:12" hidden="1" x14ac:dyDescent="0.25">
      <c r="A1081" s="49"/>
      <c r="B1081" s="49"/>
      <c r="C1081" s="49"/>
      <c r="D1081" s="50" t="str">
        <f t="shared" si="80"/>
        <v/>
      </c>
      <c r="E1081" s="50" t="str">
        <f t="shared" si="81"/>
        <v/>
      </c>
      <c r="F1081" s="50" t="str">
        <f t="shared" si="82"/>
        <v/>
      </c>
      <c r="G1081" s="50" t="str">
        <f t="shared" si="83"/>
        <v/>
      </c>
      <c r="H1081" s="51" t="str">
        <f>IF($C1081="","",IFERROR(DATE(G1081,VLOOKUP(E1081,Paramètres!$K$11:$L$40,2,FALSE()),F1081),"?"))</f>
        <v/>
      </c>
      <c r="I1081" s="50" t="str">
        <f>IF(ISNUMBER(H1081),IF(COUNTIFS($D$2:D1081,D1081,$H$2:H1081,H1081)=1,1,0),"")</f>
        <v/>
      </c>
      <c r="J1081" s="50" t="str">
        <f>IF(ISNUMBER(H1081),IFERROR(INDEX(Calendrier!$C$2:$C$367,MATCH(H1081,Calendrier!$A$2:$A$367,0)),0),"")</f>
        <v/>
      </c>
      <c r="K1081" s="50" t="str">
        <f t="shared" si="84"/>
        <v/>
      </c>
      <c r="L1081" s="50" t="str">
        <f>IF(D1081="","",IF(COUNTIF(Paramètres!$A$11:$A$40,D1081)&gt;0,1,0))</f>
        <v/>
      </c>
    </row>
    <row r="1082" spans="1:12" hidden="1" x14ac:dyDescent="0.25">
      <c r="A1082" s="49"/>
      <c r="B1082" s="49"/>
      <c r="C1082" s="49"/>
      <c r="D1082" s="50" t="str">
        <f t="shared" si="80"/>
        <v/>
      </c>
      <c r="E1082" s="50" t="str">
        <f t="shared" si="81"/>
        <v/>
      </c>
      <c r="F1082" s="50" t="str">
        <f t="shared" si="82"/>
        <v/>
      </c>
      <c r="G1082" s="50" t="str">
        <f t="shared" si="83"/>
        <v/>
      </c>
      <c r="H1082" s="51" t="str">
        <f>IF($C1082="","",IFERROR(DATE(G1082,VLOOKUP(E1082,Paramètres!$K$11:$L$40,2,FALSE()),F1082),"?"))</f>
        <v/>
      </c>
      <c r="I1082" s="50" t="str">
        <f>IF(ISNUMBER(H1082),IF(COUNTIFS($D$2:D1082,D1082,$H$2:H1082,H1082)=1,1,0),"")</f>
        <v/>
      </c>
      <c r="J1082" s="50" t="str">
        <f>IF(ISNUMBER(H1082),IFERROR(INDEX(Calendrier!$C$2:$C$367,MATCH(H1082,Calendrier!$A$2:$A$367,0)),0),"")</f>
        <v/>
      </c>
      <c r="K1082" s="50" t="str">
        <f t="shared" si="84"/>
        <v/>
      </c>
      <c r="L1082" s="50" t="str">
        <f>IF(D1082="","",IF(COUNTIF(Paramètres!$A$11:$A$40,D1082)&gt;0,1,0))</f>
        <v/>
      </c>
    </row>
    <row r="1083" spans="1:12" hidden="1" x14ac:dyDescent="0.25">
      <c r="A1083" s="49"/>
      <c r="B1083" s="49"/>
      <c r="C1083" s="49"/>
      <c r="D1083" s="50" t="str">
        <f t="shared" si="80"/>
        <v/>
      </c>
      <c r="E1083" s="50" t="str">
        <f t="shared" si="81"/>
        <v/>
      </c>
      <c r="F1083" s="50" t="str">
        <f t="shared" si="82"/>
        <v/>
      </c>
      <c r="G1083" s="50" t="str">
        <f t="shared" si="83"/>
        <v/>
      </c>
      <c r="H1083" s="51" t="str">
        <f>IF($C1083="","",IFERROR(DATE(G1083,VLOOKUP(E1083,Paramètres!$K$11:$L$40,2,FALSE()),F1083),"?"))</f>
        <v/>
      </c>
      <c r="I1083" s="50" t="str">
        <f>IF(ISNUMBER(H1083),IF(COUNTIFS($D$2:D1083,D1083,$H$2:H1083,H1083)=1,1,0),"")</f>
        <v/>
      </c>
      <c r="J1083" s="50" t="str">
        <f>IF(ISNUMBER(H1083),IFERROR(INDEX(Calendrier!$C$2:$C$367,MATCH(H1083,Calendrier!$A$2:$A$367,0)),0),"")</f>
        <v/>
      </c>
      <c r="K1083" s="50" t="str">
        <f t="shared" si="84"/>
        <v/>
      </c>
      <c r="L1083" s="50" t="str">
        <f>IF(D1083="","",IF(COUNTIF(Paramètres!$A$11:$A$40,D1083)&gt;0,1,0))</f>
        <v/>
      </c>
    </row>
    <row r="1084" spans="1:12" hidden="1" x14ac:dyDescent="0.25">
      <c r="A1084" s="49"/>
      <c r="B1084" s="49"/>
      <c r="C1084" s="49"/>
      <c r="D1084" s="50" t="str">
        <f t="shared" si="80"/>
        <v/>
      </c>
      <c r="E1084" s="50" t="str">
        <f t="shared" si="81"/>
        <v/>
      </c>
      <c r="F1084" s="50" t="str">
        <f t="shared" si="82"/>
        <v/>
      </c>
      <c r="G1084" s="50" t="str">
        <f t="shared" si="83"/>
        <v/>
      </c>
      <c r="H1084" s="51" t="str">
        <f>IF($C1084="","",IFERROR(DATE(G1084,VLOOKUP(E1084,Paramètres!$K$11:$L$40,2,FALSE()),F1084),"?"))</f>
        <v/>
      </c>
      <c r="I1084" s="50" t="str">
        <f>IF(ISNUMBER(H1084),IF(COUNTIFS($D$2:D1084,D1084,$H$2:H1084,H1084)=1,1,0),"")</f>
        <v/>
      </c>
      <c r="J1084" s="50" t="str">
        <f>IF(ISNUMBER(H1084),IFERROR(INDEX(Calendrier!$C$2:$C$367,MATCH(H1084,Calendrier!$A$2:$A$367,0)),0),"")</f>
        <v/>
      </c>
      <c r="K1084" s="50" t="str">
        <f t="shared" si="84"/>
        <v/>
      </c>
      <c r="L1084" s="50" t="str">
        <f>IF(D1084="","",IF(COUNTIF(Paramètres!$A$11:$A$40,D1084)&gt;0,1,0))</f>
        <v/>
      </c>
    </row>
    <row r="1085" spans="1:12" hidden="1" x14ac:dyDescent="0.25">
      <c r="A1085" s="49"/>
      <c r="B1085" s="49"/>
      <c r="C1085" s="49"/>
      <c r="D1085" s="50" t="str">
        <f t="shared" si="80"/>
        <v/>
      </c>
      <c r="E1085" s="50" t="str">
        <f t="shared" si="81"/>
        <v/>
      </c>
      <c r="F1085" s="50" t="str">
        <f t="shared" si="82"/>
        <v/>
      </c>
      <c r="G1085" s="50" t="str">
        <f t="shared" si="83"/>
        <v/>
      </c>
      <c r="H1085" s="51" t="str">
        <f>IF($C1085="","",IFERROR(DATE(G1085,VLOOKUP(E1085,Paramètres!$K$11:$L$40,2,FALSE()),F1085),"?"))</f>
        <v/>
      </c>
      <c r="I1085" s="50" t="str">
        <f>IF(ISNUMBER(H1085),IF(COUNTIFS($D$2:D1085,D1085,$H$2:H1085,H1085)=1,1,0),"")</f>
        <v/>
      </c>
      <c r="J1085" s="50" t="str">
        <f>IF(ISNUMBER(H1085),IFERROR(INDEX(Calendrier!$C$2:$C$367,MATCH(H1085,Calendrier!$A$2:$A$367,0)),0),"")</f>
        <v/>
      </c>
      <c r="K1085" s="50" t="str">
        <f t="shared" si="84"/>
        <v/>
      </c>
      <c r="L1085" s="50" t="str">
        <f>IF(D1085="","",IF(COUNTIF(Paramètres!$A$11:$A$40,D1085)&gt;0,1,0))</f>
        <v/>
      </c>
    </row>
    <row r="1086" spans="1:12" hidden="1" x14ac:dyDescent="0.25">
      <c r="A1086" s="49"/>
      <c r="B1086" s="49"/>
      <c r="C1086" s="49"/>
      <c r="D1086" s="50" t="str">
        <f t="shared" si="80"/>
        <v/>
      </c>
      <c r="E1086" s="50" t="str">
        <f t="shared" si="81"/>
        <v/>
      </c>
      <c r="F1086" s="50" t="str">
        <f t="shared" si="82"/>
        <v/>
      </c>
      <c r="G1086" s="50" t="str">
        <f t="shared" si="83"/>
        <v/>
      </c>
      <c r="H1086" s="51" t="str">
        <f>IF($C1086="","",IFERROR(DATE(G1086,VLOOKUP(E1086,Paramètres!$K$11:$L$40,2,FALSE()),F1086),"?"))</f>
        <v/>
      </c>
      <c r="I1086" s="50" t="str">
        <f>IF(ISNUMBER(H1086),IF(COUNTIFS($D$2:D1086,D1086,$H$2:H1086,H1086)=1,1,0),"")</f>
        <v/>
      </c>
      <c r="J1086" s="50" t="str">
        <f>IF(ISNUMBER(H1086),IFERROR(INDEX(Calendrier!$C$2:$C$367,MATCH(H1086,Calendrier!$A$2:$A$367,0)),0),"")</f>
        <v/>
      </c>
      <c r="K1086" s="50" t="str">
        <f t="shared" si="84"/>
        <v/>
      </c>
      <c r="L1086" s="50" t="str">
        <f>IF(D1086="","",IF(COUNTIF(Paramètres!$A$11:$A$40,D1086)&gt;0,1,0))</f>
        <v/>
      </c>
    </row>
    <row r="1087" spans="1:12" hidden="1" x14ac:dyDescent="0.25">
      <c r="A1087" s="49"/>
      <c r="B1087" s="49"/>
      <c r="C1087" s="49"/>
      <c r="D1087" s="50" t="str">
        <f t="shared" si="80"/>
        <v/>
      </c>
      <c r="E1087" s="50" t="str">
        <f t="shared" si="81"/>
        <v/>
      </c>
      <c r="F1087" s="50" t="str">
        <f t="shared" si="82"/>
        <v/>
      </c>
      <c r="G1087" s="50" t="str">
        <f t="shared" si="83"/>
        <v/>
      </c>
      <c r="H1087" s="51" t="str">
        <f>IF($C1087="","",IFERROR(DATE(G1087,VLOOKUP(E1087,Paramètres!$K$11:$L$40,2,FALSE()),F1087),"?"))</f>
        <v/>
      </c>
      <c r="I1087" s="50" t="str">
        <f>IF(ISNUMBER(H1087),IF(COUNTIFS($D$2:D1087,D1087,$H$2:H1087,H1087)=1,1,0),"")</f>
        <v/>
      </c>
      <c r="J1087" s="50" t="str">
        <f>IF(ISNUMBER(H1087),IFERROR(INDEX(Calendrier!$C$2:$C$367,MATCH(H1087,Calendrier!$A$2:$A$367,0)),0),"")</f>
        <v/>
      </c>
      <c r="K1087" s="50" t="str">
        <f t="shared" si="84"/>
        <v/>
      </c>
      <c r="L1087" s="50" t="str">
        <f>IF(D1087="","",IF(COUNTIF(Paramètres!$A$11:$A$40,D1087)&gt;0,1,0))</f>
        <v/>
      </c>
    </row>
    <row r="1088" spans="1:12" hidden="1" x14ac:dyDescent="0.25">
      <c r="A1088" s="49"/>
      <c r="B1088" s="49"/>
      <c r="C1088" s="49"/>
      <c r="D1088" s="50" t="str">
        <f t="shared" si="80"/>
        <v/>
      </c>
      <c r="E1088" s="50" t="str">
        <f t="shared" si="81"/>
        <v/>
      </c>
      <c r="F1088" s="50" t="str">
        <f t="shared" si="82"/>
        <v/>
      </c>
      <c r="G1088" s="50" t="str">
        <f t="shared" si="83"/>
        <v/>
      </c>
      <c r="H1088" s="51" t="str">
        <f>IF($C1088="","",IFERROR(DATE(G1088,VLOOKUP(E1088,Paramètres!$K$11:$L$40,2,FALSE()),F1088),"?"))</f>
        <v/>
      </c>
      <c r="I1088" s="50" t="str">
        <f>IF(ISNUMBER(H1088),IF(COUNTIFS($D$2:D1088,D1088,$H$2:H1088,H1088)=1,1,0),"")</f>
        <v/>
      </c>
      <c r="J1088" s="50" t="str">
        <f>IF(ISNUMBER(H1088),IFERROR(INDEX(Calendrier!$C$2:$C$367,MATCH(H1088,Calendrier!$A$2:$A$367,0)),0),"")</f>
        <v/>
      </c>
      <c r="K1088" s="50" t="str">
        <f t="shared" si="84"/>
        <v/>
      </c>
      <c r="L1088" s="50" t="str">
        <f>IF(D1088="","",IF(COUNTIF(Paramètres!$A$11:$A$40,D1088)&gt;0,1,0))</f>
        <v/>
      </c>
    </row>
    <row r="1089" spans="1:12" hidden="1" x14ac:dyDescent="0.25">
      <c r="A1089" s="49"/>
      <c r="B1089" s="49"/>
      <c r="C1089" s="49"/>
      <c r="D1089" s="50" t="str">
        <f t="shared" si="80"/>
        <v/>
      </c>
      <c r="E1089" s="50" t="str">
        <f t="shared" si="81"/>
        <v/>
      </c>
      <c r="F1089" s="50" t="str">
        <f t="shared" si="82"/>
        <v/>
      </c>
      <c r="G1089" s="50" t="str">
        <f t="shared" si="83"/>
        <v/>
      </c>
      <c r="H1089" s="51" t="str">
        <f>IF($C1089="","",IFERROR(DATE(G1089,VLOOKUP(E1089,Paramètres!$K$11:$L$40,2,FALSE()),F1089),"?"))</f>
        <v/>
      </c>
      <c r="I1089" s="50" t="str">
        <f>IF(ISNUMBER(H1089),IF(COUNTIFS($D$2:D1089,D1089,$H$2:H1089,H1089)=1,1,0),"")</f>
        <v/>
      </c>
      <c r="J1089" s="50" t="str">
        <f>IF(ISNUMBER(H1089),IFERROR(INDEX(Calendrier!$C$2:$C$367,MATCH(H1089,Calendrier!$A$2:$A$367,0)),0),"")</f>
        <v/>
      </c>
      <c r="K1089" s="50" t="str">
        <f t="shared" si="84"/>
        <v/>
      </c>
      <c r="L1089" s="50" t="str">
        <f>IF(D1089="","",IF(COUNTIF(Paramètres!$A$11:$A$40,D1089)&gt;0,1,0))</f>
        <v/>
      </c>
    </row>
    <row r="1090" spans="1:12" hidden="1" x14ac:dyDescent="0.25">
      <c r="A1090" s="49"/>
      <c r="B1090" s="49"/>
      <c r="C1090" s="49"/>
      <c r="D1090" s="50" t="str">
        <f t="shared" ref="D1090:D1153" si="85">IF(B1090="","",TRIM(B1090))</f>
        <v/>
      </c>
      <c r="E1090" s="50" t="str">
        <f t="shared" ref="E1090:E1153" si="86">IF($C1090="","",LEFT($C1090,FIND(" ",$C1090)-1))</f>
        <v/>
      </c>
      <c r="F1090" s="50" t="str">
        <f t="shared" ref="F1090:F1153" si="87">IF($C1090="","",IFERROR(VALUE(LEFT(MID($C1090,FIND(" ",$C1090)+1,20),FIND(" ",MID($C1090,FIND(" ",$C1090)+1,20))-1)),"?"))</f>
        <v/>
      </c>
      <c r="G1090" s="50" t="str">
        <f t="shared" ref="G1090:G1153" si="88">IF($C1090="","",IFERROR(VALUE(MID(MID($C1090,FIND(" ",$C1090)+1,20),FIND(" ",MID($C1090,FIND(" ",$C1090)+1,20))+1,4)),"?"))</f>
        <v/>
      </c>
      <c r="H1090" s="51" t="str">
        <f>IF($C1090="","",IFERROR(DATE(G1090,VLOOKUP(E1090,Paramètres!$K$11:$L$40,2,FALSE()),F1090),"?"))</f>
        <v/>
      </c>
      <c r="I1090" s="50" t="str">
        <f>IF(ISNUMBER(H1090),IF(COUNTIFS($D$2:D1090,D1090,$H$2:H1090,H1090)=1,1,0),"")</f>
        <v/>
      </c>
      <c r="J1090" s="50" t="str">
        <f>IF(ISNUMBER(H1090),IFERROR(INDEX(Calendrier!$C$2:$C$367,MATCH(H1090,Calendrier!$A$2:$A$367,0)),0),"")</f>
        <v/>
      </c>
      <c r="K1090" s="50" t="str">
        <f t="shared" ref="K1090:K1153" si="89">IF(ISNUMBER(H1090),I1090*J1090,"")</f>
        <v/>
      </c>
      <c r="L1090" s="50" t="str">
        <f>IF(D1090="","",IF(COUNTIF(Paramètres!$A$11:$A$40,D1090)&gt;0,1,0))</f>
        <v/>
      </c>
    </row>
    <row r="1091" spans="1:12" hidden="1" x14ac:dyDescent="0.25">
      <c r="A1091" s="49"/>
      <c r="B1091" s="49"/>
      <c r="C1091" s="49"/>
      <c r="D1091" s="50" t="str">
        <f t="shared" si="85"/>
        <v/>
      </c>
      <c r="E1091" s="50" t="str">
        <f t="shared" si="86"/>
        <v/>
      </c>
      <c r="F1091" s="50" t="str">
        <f t="shared" si="87"/>
        <v/>
      </c>
      <c r="G1091" s="50" t="str">
        <f t="shared" si="88"/>
        <v/>
      </c>
      <c r="H1091" s="51" t="str">
        <f>IF($C1091="","",IFERROR(DATE(G1091,VLOOKUP(E1091,Paramètres!$K$11:$L$40,2,FALSE()),F1091),"?"))</f>
        <v/>
      </c>
      <c r="I1091" s="50" t="str">
        <f>IF(ISNUMBER(H1091),IF(COUNTIFS($D$2:D1091,D1091,$H$2:H1091,H1091)=1,1,0),"")</f>
        <v/>
      </c>
      <c r="J1091" s="50" t="str">
        <f>IF(ISNUMBER(H1091),IFERROR(INDEX(Calendrier!$C$2:$C$367,MATCH(H1091,Calendrier!$A$2:$A$367,0)),0),"")</f>
        <v/>
      </c>
      <c r="K1091" s="50" t="str">
        <f t="shared" si="89"/>
        <v/>
      </c>
      <c r="L1091" s="50" t="str">
        <f>IF(D1091="","",IF(COUNTIF(Paramètres!$A$11:$A$40,D1091)&gt;0,1,0))</f>
        <v/>
      </c>
    </row>
    <row r="1092" spans="1:12" hidden="1" x14ac:dyDescent="0.25">
      <c r="A1092" s="49"/>
      <c r="B1092" s="49"/>
      <c r="C1092" s="49"/>
      <c r="D1092" s="50" t="str">
        <f t="shared" si="85"/>
        <v/>
      </c>
      <c r="E1092" s="50" t="str">
        <f t="shared" si="86"/>
        <v/>
      </c>
      <c r="F1092" s="50" t="str">
        <f t="shared" si="87"/>
        <v/>
      </c>
      <c r="G1092" s="50" t="str">
        <f t="shared" si="88"/>
        <v/>
      </c>
      <c r="H1092" s="51" t="str">
        <f>IF($C1092="","",IFERROR(DATE(G1092,VLOOKUP(E1092,Paramètres!$K$11:$L$40,2,FALSE()),F1092),"?"))</f>
        <v/>
      </c>
      <c r="I1092" s="50" t="str">
        <f>IF(ISNUMBER(H1092),IF(COUNTIFS($D$2:D1092,D1092,$H$2:H1092,H1092)=1,1,0),"")</f>
        <v/>
      </c>
      <c r="J1092" s="50" t="str">
        <f>IF(ISNUMBER(H1092),IFERROR(INDEX(Calendrier!$C$2:$C$367,MATCH(H1092,Calendrier!$A$2:$A$367,0)),0),"")</f>
        <v/>
      </c>
      <c r="K1092" s="50" t="str">
        <f t="shared" si="89"/>
        <v/>
      </c>
      <c r="L1092" s="50" t="str">
        <f>IF(D1092="","",IF(COUNTIF(Paramètres!$A$11:$A$40,D1092)&gt;0,1,0))</f>
        <v/>
      </c>
    </row>
    <row r="1093" spans="1:12" hidden="1" x14ac:dyDescent="0.25">
      <c r="A1093" s="49"/>
      <c r="B1093" s="49"/>
      <c r="C1093" s="49"/>
      <c r="D1093" s="50" t="str">
        <f t="shared" si="85"/>
        <v/>
      </c>
      <c r="E1093" s="50" t="str">
        <f t="shared" si="86"/>
        <v/>
      </c>
      <c r="F1093" s="50" t="str">
        <f t="shared" si="87"/>
        <v/>
      </c>
      <c r="G1093" s="50" t="str">
        <f t="shared" si="88"/>
        <v/>
      </c>
      <c r="H1093" s="51" t="str">
        <f>IF($C1093="","",IFERROR(DATE(G1093,VLOOKUP(E1093,Paramètres!$K$11:$L$40,2,FALSE()),F1093),"?"))</f>
        <v/>
      </c>
      <c r="I1093" s="50" t="str">
        <f>IF(ISNUMBER(H1093),IF(COUNTIFS($D$2:D1093,D1093,$H$2:H1093,H1093)=1,1,0),"")</f>
        <v/>
      </c>
      <c r="J1093" s="50" t="str">
        <f>IF(ISNUMBER(H1093),IFERROR(INDEX(Calendrier!$C$2:$C$367,MATCH(H1093,Calendrier!$A$2:$A$367,0)),0),"")</f>
        <v/>
      </c>
      <c r="K1093" s="50" t="str">
        <f t="shared" si="89"/>
        <v/>
      </c>
      <c r="L1093" s="50" t="str">
        <f>IF(D1093="","",IF(COUNTIF(Paramètres!$A$11:$A$40,D1093)&gt;0,1,0))</f>
        <v/>
      </c>
    </row>
    <row r="1094" spans="1:12" hidden="1" x14ac:dyDescent="0.25">
      <c r="A1094" s="49"/>
      <c r="B1094" s="49"/>
      <c r="C1094" s="49"/>
      <c r="D1094" s="50" t="str">
        <f t="shared" si="85"/>
        <v/>
      </c>
      <c r="E1094" s="50" t="str">
        <f t="shared" si="86"/>
        <v/>
      </c>
      <c r="F1094" s="50" t="str">
        <f t="shared" si="87"/>
        <v/>
      </c>
      <c r="G1094" s="50" t="str">
        <f t="shared" si="88"/>
        <v/>
      </c>
      <c r="H1094" s="51" t="str">
        <f>IF($C1094="","",IFERROR(DATE(G1094,VLOOKUP(E1094,Paramètres!$K$11:$L$40,2,FALSE()),F1094),"?"))</f>
        <v/>
      </c>
      <c r="I1094" s="50" t="str">
        <f>IF(ISNUMBER(H1094),IF(COUNTIFS($D$2:D1094,D1094,$H$2:H1094,H1094)=1,1,0),"")</f>
        <v/>
      </c>
      <c r="J1094" s="50" t="str">
        <f>IF(ISNUMBER(H1094),IFERROR(INDEX(Calendrier!$C$2:$C$367,MATCH(H1094,Calendrier!$A$2:$A$367,0)),0),"")</f>
        <v/>
      </c>
      <c r="K1094" s="50" t="str">
        <f t="shared" si="89"/>
        <v/>
      </c>
      <c r="L1094" s="50" t="str">
        <f>IF(D1094="","",IF(COUNTIF(Paramètres!$A$11:$A$40,D1094)&gt;0,1,0))</f>
        <v/>
      </c>
    </row>
    <row r="1095" spans="1:12" hidden="1" x14ac:dyDescent="0.25">
      <c r="A1095" s="49"/>
      <c r="B1095" s="49"/>
      <c r="C1095" s="49"/>
      <c r="D1095" s="50" t="str">
        <f t="shared" si="85"/>
        <v/>
      </c>
      <c r="E1095" s="50" t="str">
        <f t="shared" si="86"/>
        <v/>
      </c>
      <c r="F1095" s="50" t="str">
        <f t="shared" si="87"/>
        <v/>
      </c>
      <c r="G1095" s="50" t="str">
        <f t="shared" si="88"/>
        <v/>
      </c>
      <c r="H1095" s="51" t="str">
        <f>IF($C1095="","",IFERROR(DATE(G1095,VLOOKUP(E1095,Paramètres!$K$11:$L$40,2,FALSE()),F1095),"?"))</f>
        <v/>
      </c>
      <c r="I1095" s="50" t="str">
        <f>IF(ISNUMBER(H1095),IF(COUNTIFS($D$2:D1095,D1095,$H$2:H1095,H1095)=1,1,0),"")</f>
        <v/>
      </c>
      <c r="J1095" s="50" t="str">
        <f>IF(ISNUMBER(H1095),IFERROR(INDEX(Calendrier!$C$2:$C$367,MATCH(H1095,Calendrier!$A$2:$A$367,0)),0),"")</f>
        <v/>
      </c>
      <c r="K1095" s="50" t="str">
        <f t="shared" si="89"/>
        <v/>
      </c>
      <c r="L1095" s="50" t="str">
        <f>IF(D1095="","",IF(COUNTIF(Paramètres!$A$11:$A$40,D1095)&gt;0,1,0))</f>
        <v/>
      </c>
    </row>
    <row r="1096" spans="1:12" hidden="1" x14ac:dyDescent="0.25">
      <c r="A1096" s="49"/>
      <c r="B1096" s="49"/>
      <c r="C1096" s="49"/>
      <c r="D1096" s="50" t="str">
        <f t="shared" si="85"/>
        <v/>
      </c>
      <c r="E1096" s="50" t="str">
        <f t="shared" si="86"/>
        <v/>
      </c>
      <c r="F1096" s="50" t="str">
        <f t="shared" si="87"/>
        <v/>
      </c>
      <c r="G1096" s="50" t="str">
        <f t="shared" si="88"/>
        <v/>
      </c>
      <c r="H1096" s="51" t="str">
        <f>IF($C1096="","",IFERROR(DATE(G1096,VLOOKUP(E1096,Paramètres!$K$11:$L$40,2,FALSE()),F1096),"?"))</f>
        <v/>
      </c>
      <c r="I1096" s="50" t="str">
        <f>IF(ISNUMBER(H1096),IF(COUNTIFS($D$2:D1096,D1096,$H$2:H1096,H1096)=1,1,0),"")</f>
        <v/>
      </c>
      <c r="J1096" s="50" t="str">
        <f>IF(ISNUMBER(H1096),IFERROR(INDEX(Calendrier!$C$2:$C$367,MATCH(H1096,Calendrier!$A$2:$A$367,0)),0),"")</f>
        <v/>
      </c>
      <c r="K1096" s="50" t="str">
        <f t="shared" si="89"/>
        <v/>
      </c>
      <c r="L1096" s="50" t="str">
        <f>IF(D1096="","",IF(COUNTIF(Paramètres!$A$11:$A$40,D1096)&gt;0,1,0))</f>
        <v/>
      </c>
    </row>
    <row r="1097" spans="1:12" hidden="1" x14ac:dyDescent="0.25">
      <c r="A1097" s="49"/>
      <c r="B1097" s="49"/>
      <c r="C1097" s="49"/>
      <c r="D1097" s="50" t="str">
        <f t="shared" si="85"/>
        <v/>
      </c>
      <c r="E1097" s="50" t="str">
        <f t="shared" si="86"/>
        <v/>
      </c>
      <c r="F1097" s="50" t="str">
        <f t="shared" si="87"/>
        <v/>
      </c>
      <c r="G1097" s="50" t="str">
        <f t="shared" si="88"/>
        <v/>
      </c>
      <c r="H1097" s="51" t="str">
        <f>IF($C1097="","",IFERROR(DATE(G1097,VLOOKUP(E1097,Paramètres!$K$11:$L$40,2,FALSE()),F1097),"?"))</f>
        <v/>
      </c>
      <c r="I1097" s="50" t="str">
        <f>IF(ISNUMBER(H1097),IF(COUNTIFS($D$2:D1097,D1097,$H$2:H1097,H1097)=1,1,0),"")</f>
        <v/>
      </c>
      <c r="J1097" s="50" t="str">
        <f>IF(ISNUMBER(H1097),IFERROR(INDEX(Calendrier!$C$2:$C$367,MATCH(H1097,Calendrier!$A$2:$A$367,0)),0),"")</f>
        <v/>
      </c>
      <c r="K1097" s="50" t="str">
        <f t="shared" si="89"/>
        <v/>
      </c>
      <c r="L1097" s="50" t="str">
        <f>IF(D1097="","",IF(COUNTIF(Paramètres!$A$11:$A$40,D1097)&gt;0,1,0))</f>
        <v/>
      </c>
    </row>
    <row r="1098" spans="1:12" hidden="1" x14ac:dyDescent="0.25">
      <c r="A1098" s="49"/>
      <c r="B1098" s="49"/>
      <c r="C1098" s="49"/>
      <c r="D1098" s="50" t="str">
        <f t="shared" si="85"/>
        <v/>
      </c>
      <c r="E1098" s="50" t="str">
        <f t="shared" si="86"/>
        <v/>
      </c>
      <c r="F1098" s="50" t="str">
        <f t="shared" si="87"/>
        <v/>
      </c>
      <c r="G1098" s="50" t="str">
        <f t="shared" si="88"/>
        <v/>
      </c>
      <c r="H1098" s="51" t="str">
        <f>IF($C1098="","",IFERROR(DATE(G1098,VLOOKUP(E1098,Paramètres!$K$11:$L$40,2,FALSE()),F1098),"?"))</f>
        <v/>
      </c>
      <c r="I1098" s="50" t="str">
        <f>IF(ISNUMBER(H1098),IF(COUNTIFS($D$2:D1098,D1098,$H$2:H1098,H1098)=1,1,0),"")</f>
        <v/>
      </c>
      <c r="J1098" s="50" t="str">
        <f>IF(ISNUMBER(H1098),IFERROR(INDEX(Calendrier!$C$2:$C$367,MATCH(H1098,Calendrier!$A$2:$A$367,0)),0),"")</f>
        <v/>
      </c>
      <c r="K1098" s="50" t="str">
        <f t="shared" si="89"/>
        <v/>
      </c>
      <c r="L1098" s="50" t="str">
        <f>IF(D1098="","",IF(COUNTIF(Paramètres!$A$11:$A$40,D1098)&gt;0,1,0))</f>
        <v/>
      </c>
    </row>
    <row r="1099" spans="1:12" hidden="1" x14ac:dyDescent="0.25">
      <c r="A1099" s="49"/>
      <c r="B1099" s="49"/>
      <c r="C1099" s="49"/>
      <c r="D1099" s="50" t="str">
        <f t="shared" si="85"/>
        <v/>
      </c>
      <c r="E1099" s="50" t="str">
        <f t="shared" si="86"/>
        <v/>
      </c>
      <c r="F1099" s="50" t="str">
        <f t="shared" si="87"/>
        <v/>
      </c>
      <c r="G1099" s="50" t="str">
        <f t="shared" si="88"/>
        <v/>
      </c>
      <c r="H1099" s="51" t="str">
        <f>IF($C1099="","",IFERROR(DATE(G1099,VLOOKUP(E1099,Paramètres!$K$11:$L$40,2,FALSE()),F1099),"?"))</f>
        <v/>
      </c>
      <c r="I1099" s="50" t="str">
        <f>IF(ISNUMBER(H1099),IF(COUNTIFS($D$2:D1099,D1099,$H$2:H1099,H1099)=1,1,0),"")</f>
        <v/>
      </c>
      <c r="J1099" s="50" t="str">
        <f>IF(ISNUMBER(H1099),IFERROR(INDEX(Calendrier!$C$2:$C$367,MATCH(H1099,Calendrier!$A$2:$A$367,0)),0),"")</f>
        <v/>
      </c>
      <c r="K1099" s="50" t="str">
        <f t="shared" si="89"/>
        <v/>
      </c>
      <c r="L1099" s="50" t="str">
        <f>IF(D1099="","",IF(COUNTIF(Paramètres!$A$11:$A$40,D1099)&gt;0,1,0))</f>
        <v/>
      </c>
    </row>
    <row r="1100" spans="1:12" hidden="1" x14ac:dyDescent="0.25">
      <c r="A1100" s="49"/>
      <c r="B1100" s="49"/>
      <c r="C1100" s="49"/>
      <c r="D1100" s="50" t="str">
        <f t="shared" si="85"/>
        <v/>
      </c>
      <c r="E1100" s="50" t="str">
        <f t="shared" si="86"/>
        <v/>
      </c>
      <c r="F1100" s="50" t="str">
        <f t="shared" si="87"/>
        <v/>
      </c>
      <c r="G1100" s="50" t="str">
        <f t="shared" si="88"/>
        <v/>
      </c>
      <c r="H1100" s="51" t="str">
        <f>IF($C1100="","",IFERROR(DATE(G1100,VLOOKUP(E1100,Paramètres!$K$11:$L$40,2,FALSE()),F1100),"?"))</f>
        <v/>
      </c>
      <c r="I1100" s="50" t="str">
        <f>IF(ISNUMBER(H1100),IF(COUNTIFS($D$2:D1100,D1100,$H$2:H1100,H1100)=1,1,0),"")</f>
        <v/>
      </c>
      <c r="J1100" s="50" t="str">
        <f>IF(ISNUMBER(H1100),IFERROR(INDEX(Calendrier!$C$2:$C$367,MATCH(H1100,Calendrier!$A$2:$A$367,0)),0),"")</f>
        <v/>
      </c>
      <c r="K1100" s="50" t="str">
        <f t="shared" si="89"/>
        <v/>
      </c>
      <c r="L1100" s="50" t="str">
        <f>IF(D1100="","",IF(COUNTIF(Paramètres!$A$11:$A$40,D1100)&gt;0,1,0))</f>
        <v/>
      </c>
    </row>
    <row r="1101" spans="1:12" hidden="1" x14ac:dyDescent="0.25">
      <c r="A1101" s="49"/>
      <c r="B1101" s="49"/>
      <c r="C1101" s="49"/>
      <c r="D1101" s="50" t="str">
        <f t="shared" si="85"/>
        <v/>
      </c>
      <c r="E1101" s="50" t="str">
        <f t="shared" si="86"/>
        <v/>
      </c>
      <c r="F1101" s="50" t="str">
        <f t="shared" si="87"/>
        <v/>
      </c>
      <c r="G1101" s="50" t="str">
        <f t="shared" si="88"/>
        <v/>
      </c>
      <c r="H1101" s="51" t="str">
        <f>IF($C1101="","",IFERROR(DATE(G1101,VLOOKUP(E1101,Paramètres!$K$11:$L$40,2,FALSE()),F1101),"?"))</f>
        <v/>
      </c>
      <c r="I1101" s="50" t="str">
        <f>IF(ISNUMBER(H1101),IF(COUNTIFS($D$2:D1101,D1101,$H$2:H1101,H1101)=1,1,0),"")</f>
        <v/>
      </c>
      <c r="J1101" s="50" t="str">
        <f>IF(ISNUMBER(H1101),IFERROR(INDEX(Calendrier!$C$2:$C$367,MATCH(H1101,Calendrier!$A$2:$A$367,0)),0),"")</f>
        <v/>
      </c>
      <c r="K1101" s="50" t="str">
        <f t="shared" si="89"/>
        <v/>
      </c>
      <c r="L1101" s="50" t="str">
        <f>IF(D1101="","",IF(COUNTIF(Paramètres!$A$11:$A$40,D1101)&gt;0,1,0))</f>
        <v/>
      </c>
    </row>
    <row r="1102" spans="1:12" hidden="1" x14ac:dyDescent="0.25">
      <c r="A1102" s="49"/>
      <c r="B1102" s="49"/>
      <c r="C1102" s="49"/>
      <c r="D1102" s="50" t="str">
        <f t="shared" si="85"/>
        <v/>
      </c>
      <c r="E1102" s="50" t="str">
        <f t="shared" si="86"/>
        <v/>
      </c>
      <c r="F1102" s="50" t="str">
        <f t="shared" si="87"/>
        <v/>
      </c>
      <c r="G1102" s="50" t="str">
        <f t="shared" si="88"/>
        <v/>
      </c>
      <c r="H1102" s="51" t="str">
        <f>IF($C1102="","",IFERROR(DATE(G1102,VLOOKUP(E1102,Paramètres!$K$11:$L$40,2,FALSE()),F1102),"?"))</f>
        <v/>
      </c>
      <c r="I1102" s="50" t="str">
        <f>IF(ISNUMBER(H1102),IF(COUNTIFS($D$2:D1102,D1102,$H$2:H1102,H1102)=1,1,0),"")</f>
        <v/>
      </c>
      <c r="J1102" s="50" t="str">
        <f>IF(ISNUMBER(H1102),IFERROR(INDEX(Calendrier!$C$2:$C$367,MATCH(H1102,Calendrier!$A$2:$A$367,0)),0),"")</f>
        <v/>
      </c>
      <c r="K1102" s="50" t="str">
        <f t="shared" si="89"/>
        <v/>
      </c>
      <c r="L1102" s="50" t="str">
        <f>IF(D1102="","",IF(COUNTIF(Paramètres!$A$11:$A$40,D1102)&gt;0,1,0))</f>
        <v/>
      </c>
    </row>
    <row r="1103" spans="1:12" hidden="1" x14ac:dyDescent="0.25">
      <c r="A1103" s="49"/>
      <c r="B1103" s="49"/>
      <c r="C1103" s="49"/>
      <c r="D1103" s="50" t="str">
        <f t="shared" si="85"/>
        <v/>
      </c>
      <c r="E1103" s="50" t="str">
        <f t="shared" si="86"/>
        <v/>
      </c>
      <c r="F1103" s="50" t="str">
        <f t="shared" si="87"/>
        <v/>
      </c>
      <c r="G1103" s="50" t="str">
        <f t="shared" si="88"/>
        <v/>
      </c>
      <c r="H1103" s="51" t="str">
        <f>IF($C1103="","",IFERROR(DATE(G1103,VLOOKUP(E1103,Paramètres!$K$11:$L$40,2,FALSE()),F1103),"?"))</f>
        <v/>
      </c>
      <c r="I1103" s="50" t="str">
        <f>IF(ISNUMBER(H1103),IF(COUNTIFS($D$2:D1103,D1103,$H$2:H1103,H1103)=1,1,0),"")</f>
        <v/>
      </c>
      <c r="J1103" s="50" t="str">
        <f>IF(ISNUMBER(H1103),IFERROR(INDEX(Calendrier!$C$2:$C$367,MATCH(H1103,Calendrier!$A$2:$A$367,0)),0),"")</f>
        <v/>
      </c>
      <c r="K1103" s="50" t="str">
        <f t="shared" si="89"/>
        <v/>
      </c>
      <c r="L1103" s="50" t="str">
        <f>IF(D1103="","",IF(COUNTIF(Paramètres!$A$11:$A$40,D1103)&gt;0,1,0))</f>
        <v/>
      </c>
    </row>
    <row r="1104" spans="1:12" hidden="1" x14ac:dyDescent="0.25">
      <c r="A1104" s="49"/>
      <c r="B1104" s="49"/>
      <c r="C1104" s="49"/>
      <c r="D1104" s="50" t="str">
        <f t="shared" si="85"/>
        <v/>
      </c>
      <c r="E1104" s="50" t="str">
        <f t="shared" si="86"/>
        <v/>
      </c>
      <c r="F1104" s="50" t="str">
        <f t="shared" si="87"/>
        <v/>
      </c>
      <c r="G1104" s="50" t="str">
        <f t="shared" si="88"/>
        <v/>
      </c>
      <c r="H1104" s="51" t="str">
        <f>IF($C1104="","",IFERROR(DATE(G1104,VLOOKUP(E1104,Paramètres!$K$11:$L$40,2,FALSE()),F1104),"?"))</f>
        <v/>
      </c>
      <c r="I1104" s="50" t="str">
        <f>IF(ISNUMBER(H1104),IF(COUNTIFS($D$2:D1104,D1104,$H$2:H1104,H1104)=1,1,0),"")</f>
        <v/>
      </c>
      <c r="J1104" s="50" t="str">
        <f>IF(ISNUMBER(H1104),IFERROR(INDEX(Calendrier!$C$2:$C$367,MATCH(H1104,Calendrier!$A$2:$A$367,0)),0),"")</f>
        <v/>
      </c>
      <c r="K1104" s="50" t="str">
        <f t="shared" si="89"/>
        <v/>
      </c>
      <c r="L1104" s="50" t="str">
        <f>IF(D1104="","",IF(COUNTIF(Paramètres!$A$11:$A$40,D1104)&gt;0,1,0))</f>
        <v/>
      </c>
    </row>
    <row r="1105" spans="1:12" hidden="1" x14ac:dyDescent="0.25">
      <c r="A1105" s="49"/>
      <c r="B1105" s="49"/>
      <c r="C1105" s="49"/>
      <c r="D1105" s="50" t="str">
        <f t="shared" si="85"/>
        <v/>
      </c>
      <c r="E1105" s="50" t="str">
        <f t="shared" si="86"/>
        <v/>
      </c>
      <c r="F1105" s="50" t="str">
        <f t="shared" si="87"/>
        <v/>
      </c>
      <c r="G1105" s="50" t="str">
        <f t="shared" si="88"/>
        <v/>
      </c>
      <c r="H1105" s="51" t="str">
        <f>IF($C1105="","",IFERROR(DATE(G1105,VLOOKUP(E1105,Paramètres!$K$11:$L$40,2,FALSE()),F1105),"?"))</f>
        <v/>
      </c>
      <c r="I1105" s="50" t="str">
        <f>IF(ISNUMBER(H1105),IF(COUNTIFS($D$2:D1105,D1105,$H$2:H1105,H1105)=1,1,0),"")</f>
        <v/>
      </c>
      <c r="J1105" s="50" t="str">
        <f>IF(ISNUMBER(H1105),IFERROR(INDEX(Calendrier!$C$2:$C$367,MATCH(H1105,Calendrier!$A$2:$A$367,0)),0),"")</f>
        <v/>
      </c>
      <c r="K1105" s="50" t="str">
        <f t="shared" si="89"/>
        <v/>
      </c>
      <c r="L1105" s="50" t="str">
        <f>IF(D1105="","",IF(COUNTIF(Paramètres!$A$11:$A$40,D1105)&gt;0,1,0))</f>
        <v/>
      </c>
    </row>
    <row r="1106" spans="1:12" hidden="1" x14ac:dyDescent="0.25">
      <c r="A1106" s="49"/>
      <c r="B1106" s="49"/>
      <c r="C1106" s="49"/>
      <c r="D1106" s="50" t="str">
        <f t="shared" si="85"/>
        <v/>
      </c>
      <c r="E1106" s="50" t="str">
        <f t="shared" si="86"/>
        <v/>
      </c>
      <c r="F1106" s="50" t="str">
        <f t="shared" si="87"/>
        <v/>
      </c>
      <c r="G1106" s="50" t="str">
        <f t="shared" si="88"/>
        <v/>
      </c>
      <c r="H1106" s="51" t="str">
        <f>IF($C1106="","",IFERROR(DATE(G1106,VLOOKUP(E1106,Paramètres!$K$11:$L$40,2,FALSE()),F1106),"?"))</f>
        <v/>
      </c>
      <c r="I1106" s="50" t="str">
        <f>IF(ISNUMBER(H1106),IF(COUNTIFS($D$2:D1106,D1106,$H$2:H1106,H1106)=1,1,0),"")</f>
        <v/>
      </c>
      <c r="J1106" s="50" t="str">
        <f>IF(ISNUMBER(H1106),IFERROR(INDEX(Calendrier!$C$2:$C$367,MATCH(H1106,Calendrier!$A$2:$A$367,0)),0),"")</f>
        <v/>
      </c>
      <c r="K1106" s="50" t="str">
        <f t="shared" si="89"/>
        <v/>
      </c>
      <c r="L1106" s="50" t="str">
        <f>IF(D1106="","",IF(COUNTIF(Paramètres!$A$11:$A$40,D1106)&gt;0,1,0))</f>
        <v/>
      </c>
    </row>
    <row r="1107" spans="1:12" hidden="1" x14ac:dyDescent="0.25">
      <c r="A1107" s="49"/>
      <c r="B1107" s="49"/>
      <c r="C1107" s="49"/>
      <c r="D1107" s="50" t="str">
        <f t="shared" si="85"/>
        <v/>
      </c>
      <c r="E1107" s="50" t="str">
        <f t="shared" si="86"/>
        <v/>
      </c>
      <c r="F1107" s="50" t="str">
        <f t="shared" si="87"/>
        <v/>
      </c>
      <c r="G1107" s="50" t="str">
        <f t="shared" si="88"/>
        <v/>
      </c>
      <c r="H1107" s="51" t="str">
        <f>IF($C1107="","",IFERROR(DATE(G1107,VLOOKUP(E1107,Paramètres!$K$11:$L$40,2,FALSE()),F1107),"?"))</f>
        <v/>
      </c>
      <c r="I1107" s="50" t="str">
        <f>IF(ISNUMBER(H1107),IF(COUNTIFS($D$2:D1107,D1107,$H$2:H1107,H1107)=1,1,0),"")</f>
        <v/>
      </c>
      <c r="J1107" s="50" t="str">
        <f>IF(ISNUMBER(H1107),IFERROR(INDEX(Calendrier!$C$2:$C$367,MATCH(H1107,Calendrier!$A$2:$A$367,0)),0),"")</f>
        <v/>
      </c>
      <c r="K1107" s="50" t="str">
        <f t="shared" si="89"/>
        <v/>
      </c>
      <c r="L1107" s="50" t="str">
        <f>IF(D1107="","",IF(COUNTIF(Paramètres!$A$11:$A$40,D1107)&gt;0,1,0))</f>
        <v/>
      </c>
    </row>
    <row r="1108" spans="1:12" hidden="1" x14ac:dyDescent="0.25">
      <c r="A1108" s="49"/>
      <c r="B1108" s="49"/>
      <c r="C1108" s="49"/>
      <c r="D1108" s="50" t="str">
        <f t="shared" si="85"/>
        <v/>
      </c>
      <c r="E1108" s="50" t="str">
        <f t="shared" si="86"/>
        <v/>
      </c>
      <c r="F1108" s="50" t="str">
        <f t="shared" si="87"/>
        <v/>
      </c>
      <c r="G1108" s="50" t="str">
        <f t="shared" si="88"/>
        <v/>
      </c>
      <c r="H1108" s="51" t="str">
        <f>IF($C1108="","",IFERROR(DATE(G1108,VLOOKUP(E1108,Paramètres!$K$11:$L$40,2,FALSE()),F1108),"?"))</f>
        <v/>
      </c>
      <c r="I1108" s="50" t="str">
        <f>IF(ISNUMBER(H1108),IF(COUNTIFS($D$2:D1108,D1108,$H$2:H1108,H1108)=1,1,0),"")</f>
        <v/>
      </c>
      <c r="J1108" s="50" t="str">
        <f>IF(ISNUMBER(H1108),IFERROR(INDEX(Calendrier!$C$2:$C$367,MATCH(H1108,Calendrier!$A$2:$A$367,0)),0),"")</f>
        <v/>
      </c>
      <c r="K1108" s="50" t="str">
        <f t="shared" si="89"/>
        <v/>
      </c>
      <c r="L1108" s="50" t="str">
        <f>IF(D1108="","",IF(COUNTIF(Paramètres!$A$11:$A$40,D1108)&gt;0,1,0))</f>
        <v/>
      </c>
    </row>
    <row r="1109" spans="1:12" hidden="1" x14ac:dyDescent="0.25">
      <c r="A1109" s="49"/>
      <c r="B1109" s="49"/>
      <c r="C1109" s="49"/>
      <c r="D1109" s="50" t="str">
        <f t="shared" si="85"/>
        <v/>
      </c>
      <c r="E1109" s="50" t="str">
        <f t="shared" si="86"/>
        <v/>
      </c>
      <c r="F1109" s="50" t="str">
        <f t="shared" si="87"/>
        <v/>
      </c>
      <c r="G1109" s="50" t="str">
        <f t="shared" si="88"/>
        <v/>
      </c>
      <c r="H1109" s="51" t="str">
        <f>IF($C1109="","",IFERROR(DATE(G1109,VLOOKUP(E1109,Paramètres!$K$11:$L$40,2,FALSE()),F1109),"?"))</f>
        <v/>
      </c>
      <c r="I1109" s="50" t="str">
        <f>IF(ISNUMBER(H1109),IF(COUNTIFS($D$2:D1109,D1109,$H$2:H1109,H1109)=1,1,0),"")</f>
        <v/>
      </c>
      <c r="J1109" s="50" t="str">
        <f>IF(ISNUMBER(H1109),IFERROR(INDEX(Calendrier!$C$2:$C$367,MATCH(H1109,Calendrier!$A$2:$A$367,0)),0),"")</f>
        <v/>
      </c>
      <c r="K1109" s="50" t="str">
        <f t="shared" si="89"/>
        <v/>
      </c>
      <c r="L1109" s="50" t="str">
        <f>IF(D1109="","",IF(COUNTIF(Paramètres!$A$11:$A$40,D1109)&gt;0,1,0))</f>
        <v/>
      </c>
    </row>
    <row r="1110" spans="1:12" hidden="1" x14ac:dyDescent="0.25">
      <c r="A1110" s="49"/>
      <c r="B1110" s="49"/>
      <c r="C1110" s="49"/>
      <c r="D1110" s="50" t="str">
        <f t="shared" si="85"/>
        <v/>
      </c>
      <c r="E1110" s="50" t="str">
        <f t="shared" si="86"/>
        <v/>
      </c>
      <c r="F1110" s="50" t="str">
        <f t="shared" si="87"/>
        <v/>
      </c>
      <c r="G1110" s="50" t="str">
        <f t="shared" si="88"/>
        <v/>
      </c>
      <c r="H1110" s="51" t="str">
        <f>IF($C1110="","",IFERROR(DATE(G1110,VLOOKUP(E1110,Paramètres!$K$11:$L$40,2,FALSE()),F1110),"?"))</f>
        <v/>
      </c>
      <c r="I1110" s="50" t="str">
        <f>IF(ISNUMBER(H1110),IF(COUNTIFS($D$2:D1110,D1110,$H$2:H1110,H1110)=1,1,0),"")</f>
        <v/>
      </c>
      <c r="J1110" s="50" t="str">
        <f>IF(ISNUMBER(H1110),IFERROR(INDEX(Calendrier!$C$2:$C$367,MATCH(H1110,Calendrier!$A$2:$A$367,0)),0),"")</f>
        <v/>
      </c>
      <c r="K1110" s="50" t="str">
        <f t="shared" si="89"/>
        <v/>
      </c>
      <c r="L1110" s="50" t="str">
        <f>IF(D1110="","",IF(COUNTIF(Paramètres!$A$11:$A$40,D1110)&gt;0,1,0))</f>
        <v/>
      </c>
    </row>
    <row r="1111" spans="1:12" hidden="1" x14ac:dyDescent="0.25">
      <c r="A1111" s="49"/>
      <c r="B1111" s="49"/>
      <c r="C1111" s="49"/>
      <c r="D1111" s="50" t="str">
        <f t="shared" si="85"/>
        <v/>
      </c>
      <c r="E1111" s="50" t="str">
        <f t="shared" si="86"/>
        <v/>
      </c>
      <c r="F1111" s="50" t="str">
        <f t="shared" si="87"/>
        <v/>
      </c>
      <c r="G1111" s="50" t="str">
        <f t="shared" si="88"/>
        <v/>
      </c>
      <c r="H1111" s="51" t="str">
        <f>IF($C1111="","",IFERROR(DATE(G1111,VLOOKUP(E1111,Paramètres!$K$11:$L$40,2,FALSE()),F1111),"?"))</f>
        <v/>
      </c>
      <c r="I1111" s="50" t="str">
        <f>IF(ISNUMBER(H1111),IF(COUNTIFS($D$2:D1111,D1111,$H$2:H1111,H1111)=1,1,0),"")</f>
        <v/>
      </c>
      <c r="J1111" s="50" t="str">
        <f>IF(ISNUMBER(H1111),IFERROR(INDEX(Calendrier!$C$2:$C$367,MATCH(H1111,Calendrier!$A$2:$A$367,0)),0),"")</f>
        <v/>
      </c>
      <c r="K1111" s="50" t="str">
        <f t="shared" si="89"/>
        <v/>
      </c>
      <c r="L1111" s="50" t="str">
        <f>IF(D1111="","",IF(COUNTIF(Paramètres!$A$11:$A$40,D1111)&gt;0,1,0))</f>
        <v/>
      </c>
    </row>
    <row r="1112" spans="1:12" hidden="1" x14ac:dyDescent="0.25">
      <c r="A1112" s="49"/>
      <c r="B1112" s="49"/>
      <c r="C1112" s="49"/>
      <c r="D1112" s="50" t="str">
        <f t="shared" si="85"/>
        <v/>
      </c>
      <c r="E1112" s="50" t="str">
        <f t="shared" si="86"/>
        <v/>
      </c>
      <c r="F1112" s="50" t="str">
        <f t="shared" si="87"/>
        <v/>
      </c>
      <c r="G1112" s="50" t="str">
        <f t="shared" si="88"/>
        <v/>
      </c>
      <c r="H1112" s="51" t="str">
        <f>IF($C1112="","",IFERROR(DATE(G1112,VLOOKUP(E1112,Paramètres!$K$11:$L$40,2,FALSE()),F1112),"?"))</f>
        <v/>
      </c>
      <c r="I1112" s="50" t="str">
        <f>IF(ISNUMBER(H1112),IF(COUNTIFS($D$2:D1112,D1112,$H$2:H1112,H1112)=1,1,0),"")</f>
        <v/>
      </c>
      <c r="J1112" s="50" t="str">
        <f>IF(ISNUMBER(H1112),IFERROR(INDEX(Calendrier!$C$2:$C$367,MATCH(H1112,Calendrier!$A$2:$A$367,0)),0),"")</f>
        <v/>
      </c>
      <c r="K1112" s="50" t="str">
        <f t="shared" si="89"/>
        <v/>
      </c>
      <c r="L1112" s="50" t="str">
        <f>IF(D1112="","",IF(COUNTIF(Paramètres!$A$11:$A$40,D1112)&gt;0,1,0))</f>
        <v/>
      </c>
    </row>
    <row r="1113" spans="1:12" hidden="1" x14ac:dyDescent="0.25">
      <c r="A1113" s="49"/>
      <c r="B1113" s="49"/>
      <c r="C1113" s="49"/>
      <c r="D1113" s="50" t="str">
        <f t="shared" si="85"/>
        <v/>
      </c>
      <c r="E1113" s="50" t="str">
        <f t="shared" si="86"/>
        <v/>
      </c>
      <c r="F1113" s="50" t="str">
        <f t="shared" si="87"/>
        <v/>
      </c>
      <c r="G1113" s="50" t="str">
        <f t="shared" si="88"/>
        <v/>
      </c>
      <c r="H1113" s="51" t="str">
        <f>IF($C1113="","",IFERROR(DATE(G1113,VLOOKUP(E1113,Paramètres!$K$11:$L$40,2,FALSE()),F1113),"?"))</f>
        <v/>
      </c>
      <c r="I1113" s="50" t="str">
        <f>IF(ISNUMBER(H1113),IF(COUNTIFS($D$2:D1113,D1113,$H$2:H1113,H1113)=1,1,0),"")</f>
        <v/>
      </c>
      <c r="J1113" s="50" t="str">
        <f>IF(ISNUMBER(H1113),IFERROR(INDEX(Calendrier!$C$2:$C$367,MATCH(H1113,Calendrier!$A$2:$A$367,0)),0),"")</f>
        <v/>
      </c>
      <c r="K1113" s="50" t="str">
        <f t="shared" si="89"/>
        <v/>
      </c>
      <c r="L1113" s="50" t="str">
        <f>IF(D1113="","",IF(COUNTIF(Paramètres!$A$11:$A$40,D1113)&gt;0,1,0))</f>
        <v/>
      </c>
    </row>
    <row r="1114" spans="1:12" hidden="1" x14ac:dyDescent="0.25">
      <c r="A1114" s="49"/>
      <c r="B1114" s="49"/>
      <c r="C1114" s="49"/>
      <c r="D1114" s="50" t="str">
        <f t="shared" si="85"/>
        <v/>
      </c>
      <c r="E1114" s="50" t="str">
        <f t="shared" si="86"/>
        <v/>
      </c>
      <c r="F1114" s="50" t="str">
        <f t="shared" si="87"/>
        <v/>
      </c>
      <c r="G1114" s="50" t="str">
        <f t="shared" si="88"/>
        <v/>
      </c>
      <c r="H1114" s="51" t="str">
        <f>IF($C1114="","",IFERROR(DATE(G1114,VLOOKUP(E1114,Paramètres!$K$11:$L$40,2,FALSE()),F1114),"?"))</f>
        <v/>
      </c>
      <c r="I1114" s="50" t="str">
        <f>IF(ISNUMBER(H1114),IF(COUNTIFS($D$2:D1114,D1114,$H$2:H1114,H1114)=1,1,0),"")</f>
        <v/>
      </c>
      <c r="J1114" s="50" t="str">
        <f>IF(ISNUMBER(H1114),IFERROR(INDEX(Calendrier!$C$2:$C$367,MATCH(H1114,Calendrier!$A$2:$A$367,0)),0),"")</f>
        <v/>
      </c>
      <c r="K1114" s="50" t="str">
        <f t="shared" si="89"/>
        <v/>
      </c>
      <c r="L1114" s="50" t="str">
        <f>IF(D1114="","",IF(COUNTIF(Paramètres!$A$11:$A$40,D1114)&gt;0,1,0))</f>
        <v/>
      </c>
    </row>
    <row r="1115" spans="1:12" hidden="1" x14ac:dyDescent="0.25">
      <c r="A1115" s="49"/>
      <c r="B1115" s="49"/>
      <c r="C1115" s="49"/>
      <c r="D1115" s="50" t="str">
        <f t="shared" si="85"/>
        <v/>
      </c>
      <c r="E1115" s="50" t="str">
        <f t="shared" si="86"/>
        <v/>
      </c>
      <c r="F1115" s="50" t="str">
        <f t="shared" si="87"/>
        <v/>
      </c>
      <c r="G1115" s="50" t="str">
        <f t="shared" si="88"/>
        <v/>
      </c>
      <c r="H1115" s="51" t="str">
        <f>IF($C1115="","",IFERROR(DATE(G1115,VLOOKUP(E1115,Paramètres!$K$11:$L$40,2,FALSE()),F1115),"?"))</f>
        <v/>
      </c>
      <c r="I1115" s="50" t="str">
        <f>IF(ISNUMBER(H1115),IF(COUNTIFS($D$2:D1115,D1115,$H$2:H1115,H1115)=1,1,0),"")</f>
        <v/>
      </c>
      <c r="J1115" s="50" t="str">
        <f>IF(ISNUMBER(H1115),IFERROR(INDEX(Calendrier!$C$2:$C$367,MATCH(H1115,Calendrier!$A$2:$A$367,0)),0),"")</f>
        <v/>
      </c>
      <c r="K1115" s="50" t="str">
        <f t="shared" si="89"/>
        <v/>
      </c>
      <c r="L1115" s="50" t="str">
        <f>IF(D1115="","",IF(COUNTIF(Paramètres!$A$11:$A$40,D1115)&gt;0,1,0))</f>
        <v/>
      </c>
    </row>
    <row r="1116" spans="1:12" hidden="1" x14ac:dyDescent="0.25">
      <c r="A1116" s="49"/>
      <c r="B1116" s="49"/>
      <c r="C1116" s="49"/>
      <c r="D1116" s="50" t="str">
        <f t="shared" si="85"/>
        <v/>
      </c>
      <c r="E1116" s="50" t="str">
        <f t="shared" si="86"/>
        <v/>
      </c>
      <c r="F1116" s="50" t="str">
        <f t="shared" si="87"/>
        <v/>
      </c>
      <c r="G1116" s="50" t="str">
        <f t="shared" si="88"/>
        <v/>
      </c>
      <c r="H1116" s="51" t="str">
        <f>IF($C1116="","",IFERROR(DATE(G1116,VLOOKUP(E1116,Paramètres!$K$11:$L$40,2,FALSE()),F1116),"?"))</f>
        <v/>
      </c>
      <c r="I1116" s="50" t="str">
        <f>IF(ISNUMBER(H1116),IF(COUNTIFS($D$2:D1116,D1116,$H$2:H1116,H1116)=1,1,0),"")</f>
        <v/>
      </c>
      <c r="J1116" s="50" t="str">
        <f>IF(ISNUMBER(H1116),IFERROR(INDEX(Calendrier!$C$2:$C$367,MATCH(H1116,Calendrier!$A$2:$A$367,0)),0),"")</f>
        <v/>
      </c>
      <c r="K1116" s="50" t="str">
        <f t="shared" si="89"/>
        <v/>
      </c>
      <c r="L1116" s="50" t="str">
        <f>IF(D1116="","",IF(COUNTIF(Paramètres!$A$11:$A$40,D1116)&gt;0,1,0))</f>
        <v/>
      </c>
    </row>
    <row r="1117" spans="1:12" hidden="1" x14ac:dyDescent="0.25">
      <c r="A1117" s="49"/>
      <c r="B1117" s="49"/>
      <c r="C1117" s="49"/>
      <c r="D1117" s="50" t="str">
        <f t="shared" si="85"/>
        <v/>
      </c>
      <c r="E1117" s="50" t="str">
        <f t="shared" si="86"/>
        <v/>
      </c>
      <c r="F1117" s="50" t="str">
        <f t="shared" si="87"/>
        <v/>
      </c>
      <c r="G1117" s="50" t="str">
        <f t="shared" si="88"/>
        <v/>
      </c>
      <c r="H1117" s="51" t="str">
        <f>IF($C1117="","",IFERROR(DATE(G1117,VLOOKUP(E1117,Paramètres!$K$11:$L$40,2,FALSE()),F1117),"?"))</f>
        <v/>
      </c>
      <c r="I1117" s="50" t="str">
        <f>IF(ISNUMBER(H1117),IF(COUNTIFS($D$2:D1117,D1117,$H$2:H1117,H1117)=1,1,0),"")</f>
        <v/>
      </c>
      <c r="J1117" s="50" t="str">
        <f>IF(ISNUMBER(H1117),IFERROR(INDEX(Calendrier!$C$2:$C$367,MATCH(H1117,Calendrier!$A$2:$A$367,0)),0),"")</f>
        <v/>
      </c>
      <c r="K1117" s="50" t="str">
        <f t="shared" si="89"/>
        <v/>
      </c>
      <c r="L1117" s="50" t="str">
        <f>IF(D1117="","",IF(COUNTIF(Paramètres!$A$11:$A$40,D1117)&gt;0,1,0))</f>
        <v/>
      </c>
    </row>
    <row r="1118" spans="1:12" hidden="1" x14ac:dyDescent="0.25">
      <c r="A1118" s="49"/>
      <c r="B1118" s="49"/>
      <c r="C1118" s="49"/>
      <c r="D1118" s="50" t="str">
        <f t="shared" si="85"/>
        <v/>
      </c>
      <c r="E1118" s="50" t="str">
        <f t="shared" si="86"/>
        <v/>
      </c>
      <c r="F1118" s="50" t="str">
        <f t="shared" si="87"/>
        <v/>
      </c>
      <c r="G1118" s="50" t="str">
        <f t="shared" si="88"/>
        <v/>
      </c>
      <c r="H1118" s="51" t="str">
        <f>IF($C1118="","",IFERROR(DATE(G1118,VLOOKUP(E1118,Paramètres!$K$11:$L$40,2,FALSE()),F1118),"?"))</f>
        <v/>
      </c>
      <c r="I1118" s="50" t="str">
        <f>IF(ISNUMBER(H1118),IF(COUNTIFS($D$2:D1118,D1118,$H$2:H1118,H1118)=1,1,0),"")</f>
        <v/>
      </c>
      <c r="J1118" s="50" t="str">
        <f>IF(ISNUMBER(H1118),IFERROR(INDEX(Calendrier!$C$2:$C$367,MATCH(H1118,Calendrier!$A$2:$A$367,0)),0),"")</f>
        <v/>
      </c>
      <c r="K1118" s="50" t="str">
        <f t="shared" si="89"/>
        <v/>
      </c>
      <c r="L1118" s="50" t="str">
        <f>IF(D1118="","",IF(COUNTIF(Paramètres!$A$11:$A$40,D1118)&gt;0,1,0))</f>
        <v/>
      </c>
    </row>
    <row r="1119" spans="1:12" hidden="1" x14ac:dyDescent="0.25">
      <c r="A1119" s="49"/>
      <c r="B1119" s="49"/>
      <c r="C1119" s="49"/>
      <c r="D1119" s="50" t="str">
        <f t="shared" si="85"/>
        <v/>
      </c>
      <c r="E1119" s="50" t="str">
        <f t="shared" si="86"/>
        <v/>
      </c>
      <c r="F1119" s="50" t="str">
        <f t="shared" si="87"/>
        <v/>
      </c>
      <c r="G1119" s="50" t="str">
        <f t="shared" si="88"/>
        <v/>
      </c>
      <c r="H1119" s="51" t="str">
        <f>IF($C1119="","",IFERROR(DATE(G1119,VLOOKUP(E1119,Paramètres!$K$11:$L$40,2,FALSE()),F1119),"?"))</f>
        <v/>
      </c>
      <c r="I1119" s="50" t="str">
        <f>IF(ISNUMBER(H1119),IF(COUNTIFS($D$2:D1119,D1119,$H$2:H1119,H1119)=1,1,0),"")</f>
        <v/>
      </c>
      <c r="J1119" s="50" t="str">
        <f>IF(ISNUMBER(H1119),IFERROR(INDEX(Calendrier!$C$2:$C$367,MATCH(H1119,Calendrier!$A$2:$A$367,0)),0),"")</f>
        <v/>
      </c>
      <c r="K1119" s="50" t="str">
        <f t="shared" si="89"/>
        <v/>
      </c>
      <c r="L1119" s="50" t="str">
        <f>IF(D1119="","",IF(COUNTIF(Paramètres!$A$11:$A$40,D1119)&gt;0,1,0))</f>
        <v/>
      </c>
    </row>
    <row r="1120" spans="1:12" hidden="1" x14ac:dyDescent="0.25">
      <c r="A1120" s="49"/>
      <c r="B1120" s="49"/>
      <c r="C1120" s="49"/>
      <c r="D1120" s="50" t="str">
        <f t="shared" si="85"/>
        <v/>
      </c>
      <c r="E1120" s="50" t="str">
        <f t="shared" si="86"/>
        <v/>
      </c>
      <c r="F1120" s="50" t="str">
        <f t="shared" si="87"/>
        <v/>
      </c>
      <c r="G1120" s="50" t="str">
        <f t="shared" si="88"/>
        <v/>
      </c>
      <c r="H1120" s="51" t="str">
        <f>IF($C1120="","",IFERROR(DATE(G1120,VLOOKUP(E1120,Paramètres!$K$11:$L$40,2,FALSE()),F1120),"?"))</f>
        <v/>
      </c>
      <c r="I1120" s="50" t="str">
        <f>IF(ISNUMBER(H1120),IF(COUNTIFS($D$2:D1120,D1120,$H$2:H1120,H1120)=1,1,0),"")</f>
        <v/>
      </c>
      <c r="J1120" s="50" t="str">
        <f>IF(ISNUMBER(H1120),IFERROR(INDEX(Calendrier!$C$2:$C$367,MATCH(H1120,Calendrier!$A$2:$A$367,0)),0),"")</f>
        <v/>
      </c>
      <c r="K1120" s="50" t="str">
        <f t="shared" si="89"/>
        <v/>
      </c>
      <c r="L1120" s="50" t="str">
        <f>IF(D1120="","",IF(COUNTIF(Paramètres!$A$11:$A$40,D1120)&gt;0,1,0))</f>
        <v/>
      </c>
    </row>
    <row r="1121" spans="1:12" hidden="1" x14ac:dyDescent="0.25">
      <c r="A1121" s="49"/>
      <c r="B1121" s="49"/>
      <c r="C1121" s="49"/>
      <c r="D1121" s="50" t="str">
        <f t="shared" si="85"/>
        <v/>
      </c>
      <c r="E1121" s="50" t="str">
        <f t="shared" si="86"/>
        <v/>
      </c>
      <c r="F1121" s="50" t="str">
        <f t="shared" si="87"/>
        <v/>
      </c>
      <c r="G1121" s="50" t="str">
        <f t="shared" si="88"/>
        <v/>
      </c>
      <c r="H1121" s="51" t="str">
        <f>IF($C1121="","",IFERROR(DATE(G1121,VLOOKUP(E1121,Paramètres!$K$11:$L$40,2,FALSE()),F1121),"?"))</f>
        <v/>
      </c>
      <c r="I1121" s="50" t="str">
        <f>IF(ISNUMBER(H1121),IF(COUNTIFS($D$2:D1121,D1121,$H$2:H1121,H1121)=1,1,0),"")</f>
        <v/>
      </c>
      <c r="J1121" s="50" t="str">
        <f>IF(ISNUMBER(H1121),IFERROR(INDEX(Calendrier!$C$2:$C$367,MATCH(H1121,Calendrier!$A$2:$A$367,0)),0),"")</f>
        <v/>
      </c>
      <c r="K1121" s="50" t="str">
        <f t="shared" si="89"/>
        <v/>
      </c>
      <c r="L1121" s="50" t="str">
        <f>IF(D1121="","",IF(COUNTIF(Paramètres!$A$11:$A$40,D1121)&gt;0,1,0))</f>
        <v/>
      </c>
    </row>
    <row r="1122" spans="1:12" hidden="1" x14ac:dyDescent="0.25">
      <c r="A1122" s="49"/>
      <c r="B1122" s="49"/>
      <c r="C1122" s="49"/>
      <c r="D1122" s="50" t="str">
        <f t="shared" si="85"/>
        <v/>
      </c>
      <c r="E1122" s="50" t="str">
        <f t="shared" si="86"/>
        <v/>
      </c>
      <c r="F1122" s="50" t="str">
        <f t="shared" si="87"/>
        <v/>
      </c>
      <c r="G1122" s="50" t="str">
        <f t="shared" si="88"/>
        <v/>
      </c>
      <c r="H1122" s="51" t="str">
        <f>IF($C1122="","",IFERROR(DATE(G1122,VLOOKUP(E1122,Paramètres!$K$11:$L$40,2,FALSE()),F1122),"?"))</f>
        <v/>
      </c>
      <c r="I1122" s="50" t="str">
        <f>IF(ISNUMBER(H1122),IF(COUNTIFS($D$2:D1122,D1122,$H$2:H1122,H1122)=1,1,0),"")</f>
        <v/>
      </c>
      <c r="J1122" s="50" t="str">
        <f>IF(ISNUMBER(H1122),IFERROR(INDEX(Calendrier!$C$2:$C$367,MATCH(H1122,Calendrier!$A$2:$A$367,0)),0),"")</f>
        <v/>
      </c>
      <c r="K1122" s="50" t="str">
        <f t="shared" si="89"/>
        <v/>
      </c>
      <c r="L1122" s="50" t="str">
        <f>IF(D1122="","",IF(COUNTIF(Paramètres!$A$11:$A$40,D1122)&gt;0,1,0))</f>
        <v/>
      </c>
    </row>
    <row r="1123" spans="1:12" hidden="1" x14ac:dyDescent="0.25">
      <c r="A1123" s="49"/>
      <c r="B1123" s="49"/>
      <c r="C1123" s="49"/>
      <c r="D1123" s="50" t="str">
        <f t="shared" si="85"/>
        <v/>
      </c>
      <c r="E1123" s="50" t="str">
        <f t="shared" si="86"/>
        <v/>
      </c>
      <c r="F1123" s="50" t="str">
        <f t="shared" si="87"/>
        <v/>
      </c>
      <c r="G1123" s="50" t="str">
        <f t="shared" si="88"/>
        <v/>
      </c>
      <c r="H1123" s="51" t="str">
        <f>IF($C1123="","",IFERROR(DATE(G1123,VLOOKUP(E1123,Paramètres!$K$11:$L$40,2,FALSE()),F1123),"?"))</f>
        <v/>
      </c>
      <c r="I1123" s="50" t="str">
        <f>IF(ISNUMBER(H1123),IF(COUNTIFS($D$2:D1123,D1123,$H$2:H1123,H1123)=1,1,0),"")</f>
        <v/>
      </c>
      <c r="J1123" s="50" t="str">
        <f>IF(ISNUMBER(H1123),IFERROR(INDEX(Calendrier!$C$2:$C$367,MATCH(H1123,Calendrier!$A$2:$A$367,0)),0),"")</f>
        <v/>
      </c>
      <c r="K1123" s="50" t="str">
        <f t="shared" si="89"/>
        <v/>
      </c>
      <c r="L1123" s="50" t="str">
        <f>IF(D1123="","",IF(COUNTIF(Paramètres!$A$11:$A$40,D1123)&gt;0,1,0))</f>
        <v/>
      </c>
    </row>
    <row r="1124" spans="1:12" hidden="1" x14ac:dyDescent="0.25">
      <c r="A1124" s="49"/>
      <c r="B1124" s="49"/>
      <c r="C1124" s="49"/>
      <c r="D1124" s="50" t="str">
        <f t="shared" si="85"/>
        <v/>
      </c>
      <c r="E1124" s="50" t="str">
        <f t="shared" si="86"/>
        <v/>
      </c>
      <c r="F1124" s="50" t="str">
        <f t="shared" si="87"/>
        <v/>
      </c>
      <c r="G1124" s="50" t="str">
        <f t="shared" si="88"/>
        <v/>
      </c>
      <c r="H1124" s="51" t="str">
        <f>IF($C1124="","",IFERROR(DATE(G1124,VLOOKUP(E1124,Paramètres!$K$11:$L$40,2,FALSE()),F1124),"?"))</f>
        <v/>
      </c>
      <c r="I1124" s="50" t="str">
        <f>IF(ISNUMBER(H1124),IF(COUNTIFS($D$2:D1124,D1124,$H$2:H1124,H1124)=1,1,0),"")</f>
        <v/>
      </c>
      <c r="J1124" s="50" t="str">
        <f>IF(ISNUMBER(H1124),IFERROR(INDEX(Calendrier!$C$2:$C$367,MATCH(H1124,Calendrier!$A$2:$A$367,0)),0),"")</f>
        <v/>
      </c>
      <c r="K1124" s="50" t="str">
        <f t="shared" si="89"/>
        <v/>
      </c>
      <c r="L1124" s="50" t="str">
        <f>IF(D1124="","",IF(COUNTIF(Paramètres!$A$11:$A$40,D1124)&gt;0,1,0))</f>
        <v/>
      </c>
    </row>
    <row r="1125" spans="1:12" hidden="1" x14ac:dyDescent="0.25">
      <c r="A1125" s="49"/>
      <c r="B1125" s="49"/>
      <c r="C1125" s="49"/>
      <c r="D1125" s="50" t="str">
        <f t="shared" si="85"/>
        <v/>
      </c>
      <c r="E1125" s="50" t="str">
        <f t="shared" si="86"/>
        <v/>
      </c>
      <c r="F1125" s="50" t="str">
        <f t="shared" si="87"/>
        <v/>
      </c>
      <c r="G1125" s="50" t="str">
        <f t="shared" si="88"/>
        <v/>
      </c>
      <c r="H1125" s="51" t="str">
        <f>IF($C1125="","",IFERROR(DATE(G1125,VLOOKUP(E1125,Paramètres!$K$11:$L$40,2,FALSE()),F1125),"?"))</f>
        <v/>
      </c>
      <c r="I1125" s="50" t="str">
        <f>IF(ISNUMBER(H1125),IF(COUNTIFS($D$2:D1125,D1125,$H$2:H1125,H1125)=1,1,0),"")</f>
        <v/>
      </c>
      <c r="J1125" s="50" t="str">
        <f>IF(ISNUMBER(H1125),IFERROR(INDEX(Calendrier!$C$2:$C$367,MATCH(H1125,Calendrier!$A$2:$A$367,0)),0),"")</f>
        <v/>
      </c>
      <c r="K1125" s="50" t="str">
        <f t="shared" si="89"/>
        <v/>
      </c>
      <c r="L1125" s="50" t="str">
        <f>IF(D1125="","",IF(COUNTIF(Paramètres!$A$11:$A$40,D1125)&gt;0,1,0))</f>
        <v/>
      </c>
    </row>
    <row r="1126" spans="1:12" hidden="1" x14ac:dyDescent="0.25">
      <c r="A1126" s="49"/>
      <c r="B1126" s="49"/>
      <c r="C1126" s="49"/>
      <c r="D1126" s="50" t="str">
        <f t="shared" si="85"/>
        <v/>
      </c>
      <c r="E1126" s="50" t="str">
        <f t="shared" si="86"/>
        <v/>
      </c>
      <c r="F1126" s="50" t="str">
        <f t="shared" si="87"/>
        <v/>
      </c>
      <c r="G1126" s="50" t="str">
        <f t="shared" si="88"/>
        <v/>
      </c>
      <c r="H1126" s="51" t="str">
        <f>IF($C1126="","",IFERROR(DATE(G1126,VLOOKUP(E1126,Paramètres!$K$11:$L$40,2,FALSE()),F1126),"?"))</f>
        <v/>
      </c>
      <c r="I1126" s="50" t="str">
        <f>IF(ISNUMBER(H1126),IF(COUNTIFS($D$2:D1126,D1126,$H$2:H1126,H1126)=1,1,0),"")</f>
        <v/>
      </c>
      <c r="J1126" s="50" t="str">
        <f>IF(ISNUMBER(H1126),IFERROR(INDEX(Calendrier!$C$2:$C$367,MATCH(H1126,Calendrier!$A$2:$A$367,0)),0),"")</f>
        <v/>
      </c>
      <c r="K1126" s="50" t="str">
        <f t="shared" si="89"/>
        <v/>
      </c>
      <c r="L1126" s="50" t="str">
        <f>IF(D1126="","",IF(COUNTIF(Paramètres!$A$11:$A$40,D1126)&gt;0,1,0))</f>
        <v/>
      </c>
    </row>
    <row r="1127" spans="1:12" hidden="1" x14ac:dyDescent="0.25">
      <c r="A1127" s="49"/>
      <c r="B1127" s="49"/>
      <c r="C1127" s="49"/>
      <c r="D1127" s="50" t="str">
        <f t="shared" si="85"/>
        <v/>
      </c>
      <c r="E1127" s="50" t="str">
        <f t="shared" si="86"/>
        <v/>
      </c>
      <c r="F1127" s="50" t="str">
        <f t="shared" si="87"/>
        <v/>
      </c>
      <c r="G1127" s="50" t="str">
        <f t="shared" si="88"/>
        <v/>
      </c>
      <c r="H1127" s="51" t="str">
        <f>IF($C1127="","",IFERROR(DATE(G1127,VLOOKUP(E1127,Paramètres!$K$11:$L$40,2,FALSE()),F1127),"?"))</f>
        <v/>
      </c>
      <c r="I1127" s="50" t="str">
        <f>IF(ISNUMBER(H1127),IF(COUNTIFS($D$2:D1127,D1127,$H$2:H1127,H1127)=1,1,0),"")</f>
        <v/>
      </c>
      <c r="J1127" s="50" t="str">
        <f>IF(ISNUMBER(H1127),IFERROR(INDEX(Calendrier!$C$2:$C$367,MATCH(H1127,Calendrier!$A$2:$A$367,0)),0),"")</f>
        <v/>
      </c>
      <c r="K1127" s="50" t="str">
        <f t="shared" si="89"/>
        <v/>
      </c>
      <c r="L1127" s="50" t="str">
        <f>IF(D1127="","",IF(COUNTIF(Paramètres!$A$11:$A$40,D1127)&gt;0,1,0))</f>
        <v/>
      </c>
    </row>
    <row r="1128" spans="1:12" hidden="1" x14ac:dyDescent="0.25">
      <c r="A1128" s="49"/>
      <c r="B1128" s="49"/>
      <c r="C1128" s="49"/>
      <c r="D1128" s="50" t="str">
        <f t="shared" si="85"/>
        <v/>
      </c>
      <c r="E1128" s="50" t="str">
        <f t="shared" si="86"/>
        <v/>
      </c>
      <c r="F1128" s="50" t="str">
        <f t="shared" si="87"/>
        <v/>
      </c>
      <c r="G1128" s="50" t="str">
        <f t="shared" si="88"/>
        <v/>
      </c>
      <c r="H1128" s="51" t="str">
        <f>IF($C1128="","",IFERROR(DATE(G1128,VLOOKUP(E1128,Paramètres!$K$11:$L$40,2,FALSE()),F1128),"?"))</f>
        <v/>
      </c>
      <c r="I1128" s="50" t="str">
        <f>IF(ISNUMBER(H1128),IF(COUNTIFS($D$2:D1128,D1128,$H$2:H1128,H1128)=1,1,0),"")</f>
        <v/>
      </c>
      <c r="J1128" s="50" t="str">
        <f>IF(ISNUMBER(H1128),IFERROR(INDEX(Calendrier!$C$2:$C$367,MATCH(H1128,Calendrier!$A$2:$A$367,0)),0),"")</f>
        <v/>
      </c>
      <c r="K1128" s="50" t="str">
        <f t="shared" si="89"/>
        <v/>
      </c>
      <c r="L1128" s="50" t="str">
        <f>IF(D1128="","",IF(COUNTIF(Paramètres!$A$11:$A$40,D1128)&gt;0,1,0))</f>
        <v/>
      </c>
    </row>
    <row r="1129" spans="1:12" hidden="1" x14ac:dyDescent="0.25">
      <c r="A1129" s="49"/>
      <c r="B1129" s="49"/>
      <c r="C1129" s="49"/>
      <c r="D1129" s="50" t="str">
        <f t="shared" si="85"/>
        <v/>
      </c>
      <c r="E1129" s="50" t="str">
        <f t="shared" si="86"/>
        <v/>
      </c>
      <c r="F1129" s="50" t="str">
        <f t="shared" si="87"/>
        <v/>
      </c>
      <c r="G1129" s="50" t="str">
        <f t="shared" si="88"/>
        <v/>
      </c>
      <c r="H1129" s="51" t="str">
        <f>IF($C1129="","",IFERROR(DATE(G1129,VLOOKUP(E1129,Paramètres!$K$11:$L$40,2,FALSE()),F1129),"?"))</f>
        <v/>
      </c>
      <c r="I1129" s="50" t="str">
        <f>IF(ISNUMBER(H1129),IF(COUNTIFS($D$2:D1129,D1129,$H$2:H1129,H1129)=1,1,0),"")</f>
        <v/>
      </c>
      <c r="J1129" s="50" t="str">
        <f>IF(ISNUMBER(H1129),IFERROR(INDEX(Calendrier!$C$2:$C$367,MATCH(H1129,Calendrier!$A$2:$A$367,0)),0),"")</f>
        <v/>
      </c>
      <c r="K1129" s="50" t="str">
        <f t="shared" si="89"/>
        <v/>
      </c>
      <c r="L1129" s="50" t="str">
        <f>IF(D1129="","",IF(COUNTIF(Paramètres!$A$11:$A$40,D1129)&gt;0,1,0))</f>
        <v/>
      </c>
    </row>
    <row r="1130" spans="1:12" hidden="1" x14ac:dyDescent="0.25">
      <c r="A1130" s="49"/>
      <c r="B1130" s="49"/>
      <c r="C1130" s="49"/>
      <c r="D1130" s="50" t="str">
        <f t="shared" si="85"/>
        <v/>
      </c>
      <c r="E1130" s="50" t="str">
        <f t="shared" si="86"/>
        <v/>
      </c>
      <c r="F1130" s="50" t="str">
        <f t="shared" si="87"/>
        <v/>
      </c>
      <c r="G1130" s="50" t="str">
        <f t="shared" si="88"/>
        <v/>
      </c>
      <c r="H1130" s="51" t="str">
        <f>IF($C1130="","",IFERROR(DATE(G1130,VLOOKUP(E1130,Paramètres!$K$11:$L$40,2,FALSE()),F1130),"?"))</f>
        <v/>
      </c>
      <c r="I1130" s="50" t="str">
        <f>IF(ISNUMBER(H1130),IF(COUNTIFS($D$2:D1130,D1130,$H$2:H1130,H1130)=1,1,0),"")</f>
        <v/>
      </c>
      <c r="J1130" s="50" t="str">
        <f>IF(ISNUMBER(H1130),IFERROR(INDEX(Calendrier!$C$2:$C$367,MATCH(H1130,Calendrier!$A$2:$A$367,0)),0),"")</f>
        <v/>
      </c>
      <c r="K1130" s="50" t="str">
        <f t="shared" si="89"/>
        <v/>
      </c>
      <c r="L1130" s="50" t="str">
        <f>IF(D1130="","",IF(COUNTIF(Paramètres!$A$11:$A$40,D1130)&gt;0,1,0))</f>
        <v/>
      </c>
    </row>
    <row r="1131" spans="1:12" hidden="1" x14ac:dyDescent="0.25">
      <c r="A1131" s="49"/>
      <c r="B1131" s="49"/>
      <c r="C1131" s="49"/>
      <c r="D1131" s="50" t="str">
        <f t="shared" si="85"/>
        <v/>
      </c>
      <c r="E1131" s="50" t="str">
        <f t="shared" si="86"/>
        <v/>
      </c>
      <c r="F1131" s="50" t="str">
        <f t="shared" si="87"/>
        <v/>
      </c>
      <c r="G1131" s="50" t="str">
        <f t="shared" si="88"/>
        <v/>
      </c>
      <c r="H1131" s="51" t="str">
        <f>IF($C1131="","",IFERROR(DATE(G1131,VLOOKUP(E1131,Paramètres!$K$11:$L$40,2,FALSE()),F1131),"?"))</f>
        <v/>
      </c>
      <c r="I1131" s="50" t="str">
        <f>IF(ISNUMBER(H1131),IF(COUNTIFS($D$2:D1131,D1131,$H$2:H1131,H1131)=1,1,0),"")</f>
        <v/>
      </c>
      <c r="J1131" s="50" t="str">
        <f>IF(ISNUMBER(H1131),IFERROR(INDEX(Calendrier!$C$2:$C$367,MATCH(H1131,Calendrier!$A$2:$A$367,0)),0),"")</f>
        <v/>
      </c>
      <c r="K1131" s="50" t="str">
        <f t="shared" si="89"/>
        <v/>
      </c>
      <c r="L1131" s="50" t="str">
        <f>IF(D1131="","",IF(COUNTIF(Paramètres!$A$11:$A$40,D1131)&gt;0,1,0))</f>
        <v/>
      </c>
    </row>
    <row r="1132" spans="1:12" hidden="1" x14ac:dyDescent="0.25">
      <c r="A1132" s="49"/>
      <c r="B1132" s="49"/>
      <c r="C1132" s="49"/>
      <c r="D1132" s="50" t="str">
        <f t="shared" si="85"/>
        <v/>
      </c>
      <c r="E1132" s="50" t="str">
        <f t="shared" si="86"/>
        <v/>
      </c>
      <c r="F1132" s="50" t="str">
        <f t="shared" si="87"/>
        <v/>
      </c>
      <c r="G1132" s="50" t="str">
        <f t="shared" si="88"/>
        <v/>
      </c>
      <c r="H1132" s="51" t="str">
        <f>IF($C1132="","",IFERROR(DATE(G1132,VLOOKUP(E1132,Paramètres!$K$11:$L$40,2,FALSE()),F1132),"?"))</f>
        <v/>
      </c>
      <c r="I1132" s="50" t="str">
        <f>IF(ISNUMBER(H1132),IF(COUNTIFS($D$2:D1132,D1132,$H$2:H1132,H1132)=1,1,0),"")</f>
        <v/>
      </c>
      <c r="J1132" s="50" t="str">
        <f>IF(ISNUMBER(H1132),IFERROR(INDEX(Calendrier!$C$2:$C$367,MATCH(H1132,Calendrier!$A$2:$A$367,0)),0),"")</f>
        <v/>
      </c>
      <c r="K1132" s="50" t="str">
        <f t="shared" si="89"/>
        <v/>
      </c>
      <c r="L1132" s="50" t="str">
        <f>IF(D1132="","",IF(COUNTIF(Paramètres!$A$11:$A$40,D1132)&gt;0,1,0))</f>
        <v/>
      </c>
    </row>
    <row r="1133" spans="1:12" hidden="1" x14ac:dyDescent="0.25">
      <c r="A1133" s="49"/>
      <c r="B1133" s="49"/>
      <c r="C1133" s="49"/>
      <c r="D1133" s="50" t="str">
        <f t="shared" si="85"/>
        <v/>
      </c>
      <c r="E1133" s="50" t="str">
        <f t="shared" si="86"/>
        <v/>
      </c>
      <c r="F1133" s="50" t="str">
        <f t="shared" si="87"/>
        <v/>
      </c>
      <c r="G1133" s="50" t="str">
        <f t="shared" si="88"/>
        <v/>
      </c>
      <c r="H1133" s="51" t="str">
        <f>IF($C1133="","",IFERROR(DATE(G1133,VLOOKUP(E1133,Paramètres!$K$11:$L$40,2,FALSE()),F1133),"?"))</f>
        <v/>
      </c>
      <c r="I1133" s="50" t="str">
        <f>IF(ISNUMBER(H1133),IF(COUNTIFS($D$2:D1133,D1133,$H$2:H1133,H1133)=1,1,0),"")</f>
        <v/>
      </c>
      <c r="J1133" s="50" t="str">
        <f>IF(ISNUMBER(H1133),IFERROR(INDEX(Calendrier!$C$2:$C$367,MATCH(H1133,Calendrier!$A$2:$A$367,0)),0),"")</f>
        <v/>
      </c>
      <c r="K1133" s="50" t="str">
        <f t="shared" si="89"/>
        <v/>
      </c>
      <c r="L1133" s="50" t="str">
        <f>IF(D1133="","",IF(COUNTIF(Paramètres!$A$11:$A$40,D1133)&gt;0,1,0))</f>
        <v/>
      </c>
    </row>
    <row r="1134" spans="1:12" hidden="1" x14ac:dyDescent="0.25">
      <c r="A1134" s="49"/>
      <c r="B1134" s="49"/>
      <c r="C1134" s="49"/>
      <c r="D1134" s="50" t="str">
        <f t="shared" si="85"/>
        <v/>
      </c>
      <c r="E1134" s="50" t="str">
        <f t="shared" si="86"/>
        <v/>
      </c>
      <c r="F1134" s="50" t="str">
        <f t="shared" si="87"/>
        <v/>
      </c>
      <c r="G1134" s="50" t="str">
        <f t="shared" si="88"/>
        <v/>
      </c>
      <c r="H1134" s="51" t="str">
        <f>IF($C1134="","",IFERROR(DATE(G1134,VLOOKUP(E1134,Paramètres!$K$11:$L$40,2,FALSE()),F1134),"?"))</f>
        <v/>
      </c>
      <c r="I1134" s="50" t="str">
        <f>IF(ISNUMBER(H1134),IF(COUNTIFS($D$2:D1134,D1134,$H$2:H1134,H1134)=1,1,0),"")</f>
        <v/>
      </c>
      <c r="J1134" s="50" t="str">
        <f>IF(ISNUMBER(H1134),IFERROR(INDEX(Calendrier!$C$2:$C$367,MATCH(H1134,Calendrier!$A$2:$A$367,0)),0),"")</f>
        <v/>
      </c>
      <c r="K1134" s="50" t="str">
        <f t="shared" si="89"/>
        <v/>
      </c>
      <c r="L1134" s="50" t="str">
        <f>IF(D1134="","",IF(COUNTIF(Paramètres!$A$11:$A$40,D1134)&gt;0,1,0))</f>
        <v/>
      </c>
    </row>
    <row r="1135" spans="1:12" hidden="1" x14ac:dyDescent="0.25">
      <c r="A1135" s="49"/>
      <c r="B1135" s="49"/>
      <c r="C1135" s="49"/>
      <c r="D1135" s="50" t="str">
        <f t="shared" si="85"/>
        <v/>
      </c>
      <c r="E1135" s="50" t="str">
        <f t="shared" si="86"/>
        <v/>
      </c>
      <c r="F1135" s="50" t="str">
        <f t="shared" si="87"/>
        <v/>
      </c>
      <c r="G1135" s="50" t="str">
        <f t="shared" si="88"/>
        <v/>
      </c>
      <c r="H1135" s="51" t="str">
        <f>IF($C1135="","",IFERROR(DATE(G1135,VLOOKUP(E1135,Paramètres!$K$11:$L$40,2,FALSE()),F1135),"?"))</f>
        <v/>
      </c>
      <c r="I1135" s="50" t="str">
        <f>IF(ISNUMBER(H1135),IF(COUNTIFS($D$2:D1135,D1135,$H$2:H1135,H1135)=1,1,0),"")</f>
        <v/>
      </c>
      <c r="J1135" s="50" t="str">
        <f>IF(ISNUMBER(H1135),IFERROR(INDEX(Calendrier!$C$2:$C$367,MATCH(H1135,Calendrier!$A$2:$A$367,0)),0),"")</f>
        <v/>
      </c>
      <c r="K1135" s="50" t="str">
        <f t="shared" si="89"/>
        <v/>
      </c>
      <c r="L1135" s="50" t="str">
        <f>IF(D1135="","",IF(COUNTIF(Paramètres!$A$11:$A$40,D1135)&gt;0,1,0))</f>
        <v/>
      </c>
    </row>
    <row r="1136" spans="1:12" hidden="1" x14ac:dyDescent="0.25">
      <c r="A1136" s="49"/>
      <c r="B1136" s="49"/>
      <c r="C1136" s="49"/>
      <c r="D1136" s="50" t="str">
        <f t="shared" si="85"/>
        <v/>
      </c>
      <c r="E1136" s="50" t="str">
        <f t="shared" si="86"/>
        <v/>
      </c>
      <c r="F1136" s="50" t="str">
        <f t="shared" si="87"/>
        <v/>
      </c>
      <c r="G1136" s="50" t="str">
        <f t="shared" si="88"/>
        <v/>
      </c>
      <c r="H1136" s="51" t="str">
        <f>IF($C1136="","",IFERROR(DATE(G1136,VLOOKUP(E1136,Paramètres!$K$11:$L$40,2,FALSE()),F1136),"?"))</f>
        <v/>
      </c>
      <c r="I1136" s="50" t="str">
        <f>IF(ISNUMBER(H1136),IF(COUNTIFS($D$2:D1136,D1136,$H$2:H1136,H1136)=1,1,0),"")</f>
        <v/>
      </c>
      <c r="J1136" s="50" t="str">
        <f>IF(ISNUMBER(H1136),IFERROR(INDEX(Calendrier!$C$2:$C$367,MATCH(H1136,Calendrier!$A$2:$A$367,0)),0),"")</f>
        <v/>
      </c>
      <c r="K1136" s="50" t="str">
        <f t="shared" si="89"/>
        <v/>
      </c>
      <c r="L1136" s="50" t="str">
        <f>IF(D1136="","",IF(COUNTIF(Paramètres!$A$11:$A$40,D1136)&gt;0,1,0))</f>
        <v/>
      </c>
    </row>
    <row r="1137" spans="1:12" hidden="1" x14ac:dyDescent="0.25">
      <c r="A1137" s="49"/>
      <c r="B1137" s="49"/>
      <c r="C1137" s="49"/>
      <c r="D1137" s="50" t="str">
        <f t="shared" si="85"/>
        <v/>
      </c>
      <c r="E1137" s="50" t="str">
        <f t="shared" si="86"/>
        <v/>
      </c>
      <c r="F1137" s="50" t="str">
        <f t="shared" si="87"/>
        <v/>
      </c>
      <c r="G1137" s="50" t="str">
        <f t="shared" si="88"/>
        <v/>
      </c>
      <c r="H1137" s="51" t="str">
        <f>IF($C1137="","",IFERROR(DATE(G1137,VLOOKUP(E1137,Paramètres!$K$11:$L$40,2,FALSE()),F1137),"?"))</f>
        <v/>
      </c>
      <c r="I1137" s="50" t="str">
        <f>IF(ISNUMBER(H1137),IF(COUNTIFS($D$2:D1137,D1137,$H$2:H1137,H1137)=1,1,0),"")</f>
        <v/>
      </c>
      <c r="J1137" s="50" t="str">
        <f>IF(ISNUMBER(H1137),IFERROR(INDEX(Calendrier!$C$2:$C$367,MATCH(H1137,Calendrier!$A$2:$A$367,0)),0),"")</f>
        <v/>
      </c>
      <c r="K1137" s="50" t="str">
        <f t="shared" si="89"/>
        <v/>
      </c>
      <c r="L1137" s="50" t="str">
        <f>IF(D1137="","",IF(COUNTIF(Paramètres!$A$11:$A$40,D1137)&gt;0,1,0))</f>
        <v/>
      </c>
    </row>
    <row r="1138" spans="1:12" hidden="1" x14ac:dyDescent="0.25">
      <c r="A1138" s="49"/>
      <c r="B1138" s="49"/>
      <c r="C1138" s="49"/>
      <c r="D1138" s="50" t="str">
        <f t="shared" si="85"/>
        <v/>
      </c>
      <c r="E1138" s="50" t="str">
        <f t="shared" si="86"/>
        <v/>
      </c>
      <c r="F1138" s="50" t="str">
        <f t="shared" si="87"/>
        <v/>
      </c>
      <c r="G1138" s="50" t="str">
        <f t="shared" si="88"/>
        <v/>
      </c>
      <c r="H1138" s="51" t="str">
        <f>IF($C1138="","",IFERROR(DATE(G1138,VLOOKUP(E1138,Paramètres!$K$11:$L$40,2,FALSE()),F1138),"?"))</f>
        <v/>
      </c>
      <c r="I1138" s="50" t="str">
        <f>IF(ISNUMBER(H1138),IF(COUNTIFS($D$2:D1138,D1138,$H$2:H1138,H1138)=1,1,0),"")</f>
        <v/>
      </c>
      <c r="J1138" s="50" t="str">
        <f>IF(ISNUMBER(H1138),IFERROR(INDEX(Calendrier!$C$2:$C$367,MATCH(H1138,Calendrier!$A$2:$A$367,0)),0),"")</f>
        <v/>
      </c>
      <c r="K1138" s="50" t="str">
        <f t="shared" si="89"/>
        <v/>
      </c>
      <c r="L1138" s="50" t="str">
        <f>IF(D1138="","",IF(COUNTIF(Paramètres!$A$11:$A$40,D1138)&gt;0,1,0))</f>
        <v/>
      </c>
    </row>
    <row r="1139" spans="1:12" hidden="1" x14ac:dyDescent="0.25">
      <c r="A1139" s="49"/>
      <c r="B1139" s="49"/>
      <c r="C1139" s="49"/>
      <c r="D1139" s="50" t="str">
        <f t="shared" si="85"/>
        <v/>
      </c>
      <c r="E1139" s="50" t="str">
        <f t="shared" si="86"/>
        <v/>
      </c>
      <c r="F1139" s="50" t="str">
        <f t="shared" si="87"/>
        <v/>
      </c>
      <c r="G1139" s="50" t="str">
        <f t="shared" si="88"/>
        <v/>
      </c>
      <c r="H1139" s="51" t="str">
        <f>IF($C1139="","",IFERROR(DATE(G1139,VLOOKUP(E1139,Paramètres!$K$11:$L$40,2,FALSE()),F1139),"?"))</f>
        <v/>
      </c>
      <c r="I1139" s="50" t="str">
        <f>IF(ISNUMBER(H1139),IF(COUNTIFS($D$2:D1139,D1139,$H$2:H1139,H1139)=1,1,0),"")</f>
        <v/>
      </c>
      <c r="J1139" s="50" t="str">
        <f>IF(ISNUMBER(H1139),IFERROR(INDEX(Calendrier!$C$2:$C$367,MATCH(H1139,Calendrier!$A$2:$A$367,0)),0),"")</f>
        <v/>
      </c>
      <c r="K1139" s="50" t="str">
        <f t="shared" si="89"/>
        <v/>
      </c>
      <c r="L1139" s="50" t="str">
        <f>IF(D1139="","",IF(COUNTIF(Paramètres!$A$11:$A$40,D1139)&gt;0,1,0))</f>
        <v/>
      </c>
    </row>
    <row r="1140" spans="1:12" hidden="1" x14ac:dyDescent="0.25">
      <c r="A1140" s="49"/>
      <c r="B1140" s="49"/>
      <c r="C1140" s="49"/>
      <c r="D1140" s="50" t="str">
        <f t="shared" si="85"/>
        <v/>
      </c>
      <c r="E1140" s="50" t="str">
        <f t="shared" si="86"/>
        <v/>
      </c>
      <c r="F1140" s="50" t="str">
        <f t="shared" si="87"/>
        <v/>
      </c>
      <c r="G1140" s="50" t="str">
        <f t="shared" si="88"/>
        <v/>
      </c>
      <c r="H1140" s="51" t="str">
        <f>IF($C1140="","",IFERROR(DATE(G1140,VLOOKUP(E1140,Paramètres!$K$11:$L$40,2,FALSE()),F1140),"?"))</f>
        <v/>
      </c>
      <c r="I1140" s="50" t="str">
        <f>IF(ISNUMBER(H1140),IF(COUNTIFS($D$2:D1140,D1140,$H$2:H1140,H1140)=1,1,0),"")</f>
        <v/>
      </c>
      <c r="J1140" s="50" t="str">
        <f>IF(ISNUMBER(H1140),IFERROR(INDEX(Calendrier!$C$2:$C$367,MATCH(H1140,Calendrier!$A$2:$A$367,0)),0),"")</f>
        <v/>
      </c>
      <c r="K1140" s="50" t="str">
        <f t="shared" si="89"/>
        <v/>
      </c>
      <c r="L1140" s="50" t="str">
        <f>IF(D1140="","",IF(COUNTIF(Paramètres!$A$11:$A$40,D1140)&gt;0,1,0))</f>
        <v/>
      </c>
    </row>
    <row r="1141" spans="1:12" hidden="1" x14ac:dyDescent="0.25">
      <c r="A1141" s="49"/>
      <c r="B1141" s="49"/>
      <c r="C1141" s="49"/>
      <c r="D1141" s="50" t="str">
        <f t="shared" si="85"/>
        <v/>
      </c>
      <c r="E1141" s="50" t="str">
        <f t="shared" si="86"/>
        <v/>
      </c>
      <c r="F1141" s="50" t="str">
        <f t="shared" si="87"/>
        <v/>
      </c>
      <c r="G1141" s="50" t="str">
        <f t="shared" si="88"/>
        <v/>
      </c>
      <c r="H1141" s="51" t="str">
        <f>IF($C1141="","",IFERROR(DATE(G1141,VLOOKUP(E1141,Paramètres!$K$11:$L$40,2,FALSE()),F1141),"?"))</f>
        <v/>
      </c>
      <c r="I1141" s="50" t="str">
        <f>IF(ISNUMBER(H1141),IF(COUNTIFS($D$2:D1141,D1141,$H$2:H1141,H1141)=1,1,0),"")</f>
        <v/>
      </c>
      <c r="J1141" s="50" t="str">
        <f>IF(ISNUMBER(H1141),IFERROR(INDEX(Calendrier!$C$2:$C$367,MATCH(H1141,Calendrier!$A$2:$A$367,0)),0),"")</f>
        <v/>
      </c>
      <c r="K1141" s="50" t="str">
        <f t="shared" si="89"/>
        <v/>
      </c>
      <c r="L1141" s="50" t="str">
        <f>IF(D1141="","",IF(COUNTIF(Paramètres!$A$11:$A$40,D1141)&gt;0,1,0))</f>
        <v/>
      </c>
    </row>
    <row r="1142" spans="1:12" hidden="1" x14ac:dyDescent="0.25">
      <c r="A1142" s="49"/>
      <c r="B1142" s="49"/>
      <c r="C1142" s="49"/>
      <c r="D1142" s="50" t="str">
        <f t="shared" si="85"/>
        <v/>
      </c>
      <c r="E1142" s="50" t="str">
        <f t="shared" si="86"/>
        <v/>
      </c>
      <c r="F1142" s="50" t="str">
        <f t="shared" si="87"/>
        <v/>
      </c>
      <c r="G1142" s="50" t="str">
        <f t="shared" si="88"/>
        <v/>
      </c>
      <c r="H1142" s="51" t="str">
        <f>IF($C1142="","",IFERROR(DATE(G1142,VLOOKUP(E1142,Paramètres!$K$11:$L$40,2,FALSE()),F1142),"?"))</f>
        <v/>
      </c>
      <c r="I1142" s="50" t="str">
        <f>IF(ISNUMBER(H1142),IF(COUNTIFS($D$2:D1142,D1142,$H$2:H1142,H1142)=1,1,0),"")</f>
        <v/>
      </c>
      <c r="J1142" s="50" t="str">
        <f>IF(ISNUMBER(H1142),IFERROR(INDEX(Calendrier!$C$2:$C$367,MATCH(H1142,Calendrier!$A$2:$A$367,0)),0),"")</f>
        <v/>
      </c>
      <c r="K1142" s="50" t="str">
        <f t="shared" si="89"/>
        <v/>
      </c>
      <c r="L1142" s="50" t="str">
        <f>IF(D1142="","",IF(COUNTIF(Paramètres!$A$11:$A$40,D1142)&gt;0,1,0))</f>
        <v/>
      </c>
    </row>
    <row r="1143" spans="1:12" hidden="1" x14ac:dyDescent="0.25">
      <c r="A1143" s="49"/>
      <c r="B1143" s="49"/>
      <c r="C1143" s="49"/>
      <c r="D1143" s="50" t="str">
        <f t="shared" si="85"/>
        <v/>
      </c>
      <c r="E1143" s="50" t="str">
        <f t="shared" si="86"/>
        <v/>
      </c>
      <c r="F1143" s="50" t="str">
        <f t="shared" si="87"/>
        <v/>
      </c>
      <c r="G1143" s="50" t="str">
        <f t="shared" si="88"/>
        <v/>
      </c>
      <c r="H1143" s="51" t="str">
        <f>IF($C1143="","",IFERROR(DATE(G1143,VLOOKUP(E1143,Paramètres!$K$11:$L$40,2,FALSE()),F1143),"?"))</f>
        <v/>
      </c>
      <c r="I1143" s="50" t="str">
        <f>IF(ISNUMBER(H1143),IF(COUNTIFS($D$2:D1143,D1143,$H$2:H1143,H1143)=1,1,0),"")</f>
        <v/>
      </c>
      <c r="J1143" s="50" t="str">
        <f>IF(ISNUMBER(H1143),IFERROR(INDEX(Calendrier!$C$2:$C$367,MATCH(H1143,Calendrier!$A$2:$A$367,0)),0),"")</f>
        <v/>
      </c>
      <c r="K1143" s="50" t="str">
        <f t="shared" si="89"/>
        <v/>
      </c>
      <c r="L1143" s="50" t="str">
        <f>IF(D1143="","",IF(COUNTIF(Paramètres!$A$11:$A$40,D1143)&gt;0,1,0))</f>
        <v/>
      </c>
    </row>
    <row r="1144" spans="1:12" hidden="1" x14ac:dyDescent="0.25">
      <c r="A1144" s="49"/>
      <c r="B1144" s="49"/>
      <c r="C1144" s="49"/>
      <c r="D1144" s="50" t="str">
        <f t="shared" si="85"/>
        <v/>
      </c>
      <c r="E1144" s="50" t="str">
        <f t="shared" si="86"/>
        <v/>
      </c>
      <c r="F1144" s="50" t="str">
        <f t="shared" si="87"/>
        <v/>
      </c>
      <c r="G1144" s="50" t="str">
        <f t="shared" si="88"/>
        <v/>
      </c>
      <c r="H1144" s="51" t="str">
        <f>IF($C1144="","",IFERROR(DATE(G1144,VLOOKUP(E1144,Paramètres!$K$11:$L$40,2,FALSE()),F1144),"?"))</f>
        <v/>
      </c>
      <c r="I1144" s="50" t="str">
        <f>IF(ISNUMBER(H1144),IF(COUNTIFS($D$2:D1144,D1144,$H$2:H1144,H1144)=1,1,0),"")</f>
        <v/>
      </c>
      <c r="J1144" s="50" t="str">
        <f>IF(ISNUMBER(H1144),IFERROR(INDEX(Calendrier!$C$2:$C$367,MATCH(H1144,Calendrier!$A$2:$A$367,0)),0),"")</f>
        <v/>
      </c>
      <c r="K1144" s="50" t="str">
        <f t="shared" si="89"/>
        <v/>
      </c>
      <c r="L1144" s="50" t="str">
        <f>IF(D1144="","",IF(COUNTIF(Paramètres!$A$11:$A$40,D1144)&gt;0,1,0))</f>
        <v/>
      </c>
    </row>
    <row r="1145" spans="1:12" hidden="1" x14ac:dyDescent="0.25">
      <c r="A1145" s="49"/>
      <c r="B1145" s="49"/>
      <c r="C1145" s="49"/>
      <c r="D1145" s="50" t="str">
        <f t="shared" si="85"/>
        <v/>
      </c>
      <c r="E1145" s="50" t="str">
        <f t="shared" si="86"/>
        <v/>
      </c>
      <c r="F1145" s="50" t="str">
        <f t="shared" si="87"/>
        <v/>
      </c>
      <c r="G1145" s="50" t="str">
        <f t="shared" si="88"/>
        <v/>
      </c>
      <c r="H1145" s="51" t="str">
        <f>IF($C1145="","",IFERROR(DATE(G1145,VLOOKUP(E1145,Paramètres!$K$11:$L$40,2,FALSE()),F1145),"?"))</f>
        <v/>
      </c>
      <c r="I1145" s="50" t="str">
        <f>IF(ISNUMBER(H1145),IF(COUNTIFS($D$2:D1145,D1145,$H$2:H1145,H1145)=1,1,0),"")</f>
        <v/>
      </c>
      <c r="J1145" s="50" t="str">
        <f>IF(ISNUMBER(H1145),IFERROR(INDEX(Calendrier!$C$2:$C$367,MATCH(H1145,Calendrier!$A$2:$A$367,0)),0),"")</f>
        <v/>
      </c>
      <c r="K1145" s="50" t="str">
        <f t="shared" si="89"/>
        <v/>
      </c>
      <c r="L1145" s="50" t="str">
        <f>IF(D1145="","",IF(COUNTIF(Paramètres!$A$11:$A$40,D1145)&gt;0,1,0))</f>
        <v/>
      </c>
    </row>
    <row r="1146" spans="1:12" hidden="1" x14ac:dyDescent="0.25">
      <c r="A1146" s="49"/>
      <c r="B1146" s="49"/>
      <c r="C1146" s="49"/>
      <c r="D1146" s="50" t="str">
        <f t="shared" si="85"/>
        <v/>
      </c>
      <c r="E1146" s="50" t="str">
        <f t="shared" si="86"/>
        <v/>
      </c>
      <c r="F1146" s="50" t="str">
        <f t="shared" si="87"/>
        <v/>
      </c>
      <c r="G1146" s="50" t="str">
        <f t="shared" si="88"/>
        <v/>
      </c>
      <c r="H1146" s="51" t="str">
        <f>IF($C1146="","",IFERROR(DATE(G1146,VLOOKUP(E1146,Paramètres!$K$11:$L$40,2,FALSE()),F1146),"?"))</f>
        <v/>
      </c>
      <c r="I1146" s="50" t="str">
        <f>IF(ISNUMBER(H1146),IF(COUNTIFS($D$2:D1146,D1146,$H$2:H1146,H1146)=1,1,0),"")</f>
        <v/>
      </c>
      <c r="J1146" s="50" t="str">
        <f>IF(ISNUMBER(H1146),IFERROR(INDEX(Calendrier!$C$2:$C$367,MATCH(H1146,Calendrier!$A$2:$A$367,0)),0),"")</f>
        <v/>
      </c>
      <c r="K1146" s="50" t="str">
        <f t="shared" si="89"/>
        <v/>
      </c>
      <c r="L1146" s="50" t="str">
        <f>IF(D1146="","",IF(COUNTIF(Paramètres!$A$11:$A$40,D1146)&gt;0,1,0))</f>
        <v/>
      </c>
    </row>
    <row r="1147" spans="1:12" hidden="1" x14ac:dyDescent="0.25">
      <c r="A1147" s="49"/>
      <c r="B1147" s="49"/>
      <c r="C1147" s="49"/>
      <c r="D1147" s="50" t="str">
        <f t="shared" si="85"/>
        <v/>
      </c>
      <c r="E1147" s="50" t="str">
        <f t="shared" si="86"/>
        <v/>
      </c>
      <c r="F1147" s="50" t="str">
        <f t="shared" si="87"/>
        <v/>
      </c>
      <c r="G1147" s="50" t="str">
        <f t="shared" si="88"/>
        <v/>
      </c>
      <c r="H1147" s="51" t="str">
        <f>IF($C1147="","",IFERROR(DATE(G1147,VLOOKUP(E1147,Paramètres!$K$11:$L$40,2,FALSE()),F1147),"?"))</f>
        <v/>
      </c>
      <c r="I1147" s="50" t="str">
        <f>IF(ISNUMBER(H1147),IF(COUNTIFS($D$2:D1147,D1147,$H$2:H1147,H1147)=1,1,0),"")</f>
        <v/>
      </c>
      <c r="J1147" s="50" t="str">
        <f>IF(ISNUMBER(H1147),IFERROR(INDEX(Calendrier!$C$2:$C$367,MATCH(H1147,Calendrier!$A$2:$A$367,0)),0),"")</f>
        <v/>
      </c>
      <c r="K1147" s="50" t="str">
        <f t="shared" si="89"/>
        <v/>
      </c>
      <c r="L1147" s="50" t="str">
        <f>IF(D1147="","",IF(COUNTIF(Paramètres!$A$11:$A$40,D1147)&gt;0,1,0))</f>
        <v/>
      </c>
    </row>
    <row r="1148" spans="1:12" hidden="1" x14ac:dyDescent="0.25">
      <c r="A1148" s="49"/>
      <c r="B1148" s="49"/>
      <c r="C1148" s="49"/>
      <c r="D1148" s="50" t="str">
        <f t="shared" si="85"/>
        <v/>
      </c>
      <c r="E1148" s="50" t="str">
        <f t="shared" si="86"/>
        <v/>
      </c>
      <c r="F1148" s="50" t="str">
        <f t="shared" si="87"/>
        <v/>
      </c>
      <c r="G1148" s="50" t="str">
        <f t="shared" si="88"/>
        <v/>
      </c>
      <c r="H1148" s="51" t="str">
        <f>IF($C1148="","",IFERROR(DATE(G1148,VLOOKUP(E1148,Paramètres!$K$11:$L$40,2,FALSE()),F1148),"?"))</f>
        <v/>
      </c>
      <c r="I1148" s="50" t="str">
        <f>IF(ISNUMBER(H1148),IF(COUNTIFS($D$2:D1148,D1148,$H$2:H1148,H1148)=1,1,0),"")</f>
        <v/>
      </c>
      <c r="J1148" s="50" t="str">
        <f>IF(ISNUMBER(H1148),IFERROR(INDEX(Calendrier!$C$2:$C$367,MATCH(H1148,Calendrier!$A$2:$A$367,0)),0),"")</f>
        <v/>
      </c>
      <c r="K1148" s="50" t="str">
        <f t="shared" si="89"/>
        <v/>
      </c>
      <c r="L1148" s="50" t="str">
        <f>IF(D1148="","",IF(COUNTIF(Paramètres!$A$11:$A$40,D1148)&gt;0,1,0))</f>
        <v/>
      </c>
    </row>
    <row r="1149" spans="1:12" hidden="1" x14ac:dyDescent="0.25">
      <c r="A1149" s="49"/>
      <c r="B1149" s="49"/>
      <c r="C1149" s="49"/>
      <c r="D1149" s="50" t="str">
        <f t="shared" si="85"/>
        <v/>
      </c>
      <c r="E1149" s="50" t="str">
        <f t="shared" si="86"/>
        <v/>
      </c>
      <c r="F1149" s="50" t="str">
        <f t="shared" si="87"/>
        <v/>
      </c>
      <c r="G1149" s="50" t="str">
        <f t="shared" si="88"/>
        <v/>
      </c>
      <c r="H1149" s="51" t="str">
        <f>IF($C1149="","",IFERROR(DATE(G1149,VLOOKUP(E1149,Paramètres!$K$11:$L$40,2,FALSE()),F1149),"?"))</f>
        <v/>
      </c>
      <c r="I1149" s="50" t="str">
        <f>IF(ISNUMBER(H1149),IF(COUNTIFS($D$2:D1149,D1149,$H$2:H1149,H1149)=1,1,0),"")</f>
        <v/>
      </c>
      <c r="J1149" s="50" t="str">
        <f>IF(ISNUMBER(H1149),IFERROR(INDEX(Calendrier!$C$2:$C$367,MATCH(H1149,Calendrier!$A$2:$A$367,0)),0),"")</f>
        <v/>
      </c>
      <c r="K1149" s="50" t="str">
        <f t="shared" si="89"/>
        <v/>
      </c>
      <c r="L1149" s="50" t="str">
        <f>IF(D1149="","",IF(COUNTIF(Paramètres!$A$11:$A$40,D1149)&gt;0,1,0))</f>
        <v/>
      </c>
    </row>
    <row r="1150" spans="1:12" hidden="1" x14ac:dyDescent="0.25">
      <c r="A1150" s="49"/>
      <c r="B1150" s="49"/>
      <c r="C1150" s="49"/>
      <c r="D1150" s="50" t="str">
        <f t="shared" si="85"/>
        <v/>
      </c>
      <c r="E1150" s="50" t="str">
        <f t="shared" si="86"/>
        <v/>
      </c>
      <c r="F1150" s="50" t="str">
        <f t="shared" si="87"/>
        <v/>
      </c>
      <c r="G1150" s="50" t="str">
        <f t="shared" si="88"/>
        <v/>
      </c>
      <c r="H1150" s="51" t="str">
        <f>IF($C1150="","",IFERROR(DATE(G1150,VLOOKUP(E1150,Paramètres!$K$11:$L$40,2,FALSE()),F1150),"?"))</f>
        <v/>
      </c>
      <c r="I1150" s="50" t="str">
        <f>IF(ISNUMBER(H1150),IF(COUNTIFS($D$2:D1150,D1150,$H$2:H1150,H1150)=1,1,0),"")</f>
        <v/>
      </c>
      <c r="J1150" s="50" t="str">
        <f>IF(ISNUMBER(H1150),IFERROR(INDEX(Calendrier!$C$2:$C$367,MATCH(H1150,Calendrier!$A$2:$A$367,0)),0),"")</f>
        <v/>
      </c>
      <c r="K1150" s="50" t="str">
        <f t="shared" si="89"/>
        <v/>
      </c>
      <c r="L1150" s="50" t="str">
        <f>IF(D1150="","",IF(COUNTIF(Paramètres!$A$11:$A$40,D1150)&gt;0,1,0))</f>
        <v/>
      </c>
    </row>
    <row r="1151" spans="1:12" hidden="1" x14ac:dyDescent="0.25">
      <c r="A1151" s="49"/>
      <c r="B1151" s="49"/>
      <c r="C1151" s="49"/>
      <c r="D1151" s="50" t="str">
        <f t="shared" si="85"/>
        <v/>
      </c>
      <c r="E1151" s="50" t="str">
        <f t="shared" si="86"/>
        <v/>
      </c>
      <c r="F1151" s="50" t="str">
        <f t="shared" si="87"/>
        <v/>
      </c>
      <c r="G1151" s="50" t="str">
        <f t="shared" si="88"/>
        <v/>
      </c>
      <c r="H1151" s="51" t="str">
        <f>IF($C1151="","",IFERROR(DATE(G1151,VLOOKUP(E1151,Paramètres!$K$11:$L$40,2,FALSE()),F1151),"?"))</f>
        <v/>
      </c>
      <c r="I1151" s="50" t="str">
        <f>IF(ISNUMBER(H1151),IF(COUNTIFS($D$2:D1151,D1151,$H$2:H1151,H1151)=1,1,0),"")</f>
        <v/>
      </c>
      <c r="J1151" s="50" t="str">
        <f>IF(ISNUMBER(H1151),IFERROR(INDEX(Calendrier!$C$2:$C$367,MATCH(H1151,Calendrier!$A$2:$A$367,0)),0),"")</f>
        <v/>
      </c>
      <c r="K1151" s="50" t="str">
        <f t="shared" si="89"/>
        <v/>
      </c>
      <c r="L1151" s="50" t="str">
        <f>IF(D1151="","",IF(COUNTIF(Paramètres!$A$11:$A$40,D1151)&gt;0,1,0))</f>
        <v/>
      </c>
    </row>
    <row r="1152" spans="1:12" hidden="1" x14ac:dyDescent="0.25">
      <c r="A1152" s="49"/>
      <c r="B1152" s="49"/>
      <c r="C1152" s="49"/>
      <c r="D1152" s="50" t="str">
        <f t="shared" si="85"/>
        <v/>
      </c>
      <c r="E1152" s="50" t="str">
        <f t="shared" si="86"/>
        <v/>
      </c>
      <c r="F1152" s="50" t="str">
        <f t="shared" si="87"/>
        <v/>
      </c>
      <c r="G1152" s="50" t="str">
        <f t="shared" si="88"/>
        <v/>
      </c>
      <c r="H1152" s="51" t="str">
        <f>IF($C1152="","",IFERROR(DATE(G1152,VLOOKUP(E1152,Paramètres!$K$11:$L$40,2,FALSE()),F1152),"?"))</f>
        <v/>
      </c>
      <c r="I1152" s="50" t="str">
        <f>IF(ISNUMBER(H1152),IF(COUNTIFS($D$2:D1152,D1152,$H$2:H1152,H1152)=1,1,0),"")</f>
        <v/>
      </c>
      <c r="J1152" s="50" t="str">
        <f>IF(ISNUMBER(H1152),IFERROR(INDEX(Calendrier!$C$2:$C$367,MATCH(H1152,Calendrier!$A$2:$A$367,0)),0),"")</f>
        <v/>
      </c>
      <c r="K1152" s="50" t="str">
        <f t="shared" si="89"/>
        <v/>
      </c>
      <c r="L1152" s="50" t="str">
        <f>IF(D1152="","",IF(COUNTIF(Paramètres!$A$11:$A$40,D1152)&gt;0,1,0))</f>
        <v/>
      </c>
    </row>
    <row r="1153" spans="1:12" hidden="1" x14ac:dyDescent="0.25">
      <c r="A1153" s="49"/>
      <c r="B1153" s="49"/>
      <c r="C1153" s="49"/>
      <c r="D1153" s="50" t="str">
        <f t="shared" si="85"/>
        <v/>
      </c>
      <c r="E1153" s="50" t="str">
        <f t="shared" si="86"/>
        <v/>
      </c>
      <c r="F1153" s="50" t="str">
        <f t="shared" si="87"/>
        <v/>
      </c>
      <c r="G1153" s="50" t="str">
        <f t="shared" si="88"/>
        <v/>
      </c>
      <c r="H1153" s="51" t="str">
        <f>IF($C1153="","",IFERROR(DATE(G1153,VLOOKUP(E1153,Paramètres!$K$11:$L$40,2,FALSE()),F1153),"?"))</f>
        <v/>
      </c>
      <c r="I1153" s="50" t="str">
        <f>IF(ISNUMBER(H1153),IF(COUNTIFS($D$2:D1153,D1153,$H$2:H1153,H1153)=1,1,0),"")</f>
        <v/>
      </c>
      <c r="J1153" s="50" t="str">
        <f>IF(ISNUMBER(H1153),IFERROR(INDEX(Calendrier!$C$2:$C$367,MATCH(H1153,Calendrier!$A$2:$A$367,0)),0),"")</f>
        <v/>
      </c>
      <c r="K1153" s="50" t="str">
        <f t="shared" si="89"/>
        <v/>
      </c>
      <c r="L1153" s="50" t="str">
        <f>IF(D1153="","",IF(COUNTIF(Paramètres!$A$11:$A$40,D1153)&gt;0,1,0))</f>
        <v/>
      </c>
    </row>
    <row r="1154" spans="1:12" hidden="1" x14ac:dyDescent="0.25">
      <c r="A1154" s="49"/>
      <c r="B1154" s="49"/>
      <c r="C1154" s="49"/>
      <c r="D1154" s="50" t="str">
        <f t="shared" ref="D1154:D1217" si="90">IF(B1154="","",TRIM(B1154))</f>
        <v/>
      </c>
      <c r="E1154" s="50" t="str">
        <f t="shared" ref="E1154:E1217" si="91">IF($C1154="","",LEFT($C1154,FIND(" ",$C1154)-1))</f>
        <v/>
      </c>
      <c r="F1154" s="50" t="str">
        <f t="shared" ref="F1154:F1217" si="92">IF($C1154="","",IFERROR(VALUE(LEFT(MID($C1154,FIND(" ",$C1154)+1,20),FIND(" ",MID($C1154,FIND(" ",$C1154)+1,20))-1)),"?"))</f>
        <v/>
      </c>
      <c r="G1154" s="50" t="str">
        <f t="shared" ref="G1154:G1217" si="93">IF($C1154="","",IFERROR(VALUE(MID(MID($C1154,FIND(" ",$C1154)+1,20),FIND(" ",MID($C1154,FIND(" ",$C1154)+1,20))+1,4)),"?"))</f>
        <v/>
      </c>
      <c r="H1154" s="51" t="str">
        <f>IF($C1154="","",IFERROR(DATE(G1154,VLOOKUP(E1154,Paramètres!$K$11:$L$40,2,FALSE()),F1154),"?"))</f>
        <v/>
      </c>
      <c r="I1154" s="50" t="str">
        <f>IF(ISNUMBER(H1154),IF(COUNTIFS($D$2:D1154,D1154,$H$2:H1154,H1154)=1,1,0),"")</f>
        <v/>
      </c>
      <c r="J1154" s="50" t="str">
        <f>IF(ISNUMBER(H1154),IFERROR(INDEX(Calendrier!$C$2:$C$367,MATCH(H1154,Calendrier!$A$2:$A$367,0)),0),"")</f>
        <v/>
      </c>
      <c r="K1154" s="50" t="str">
        <f t="shared" ref="K1154:K1217" si="94">IF(ISNUMBER(H1154),I1154*J1154,"")</f>
        <v/>
      </c>
      <c r="L1154" s="50" t="str">
        <f>IF(D1154="","",IF(COUNTIF(Paramètres!$A$11:$A$40,D1154)&gt;0,1,0))</f>
        <v/>
      </c>
    </row>
    <row r="1155" spans="1:12" hidden="1" x14ac:dyDescent="0.25">
      <c r="A1155" s="49"/>
      <c r="B1155" s="49"/>
      <c r="C1155" s="49"/>
      <c r="D1155" s="50" t="str">
        <f t="shared" si="90"/>
        <v/>
      </c>
      <c r="E1155" s="50" t="str">
        <f t="shared" si="91"/>
        <v/>
      </c>
      <c r="F1155" s="50" t="str">
        <f t="shared" si="92"/>
        <v/>
      </c>
      <c r="G1155" s="50" t="str">
        <f t="shared" si="93"/>
        <v/>
      </c>
      <c r="H1155" s="51" t="str">
        <f>IF($C1155="","",IFERROR(DATE(G1155,VLOOKUP(E1155,Paramètres!$K$11:$L$40,2,FALSE()),F1155),"?"))</f>
        <v/>
      </c>
      <c r="I1155" s="50" t="str">
        <f>IF(ISNUMBER(H1155),IF(COUNTIFS($D$2:D1155,D1155,$H$2:H1155,H1155)=1,1,0),"")</f>
        <v/>
      </c>
      <c r="J1155" s="50" t="str">
        <f>IF(ISNUMBER(H1155),IFERROR(INDEX(Calendrier!$C$2:$C$367,MATCH(H1155,Calendrier!$A$2:$A$367,0)),0),"")</f>
        <v/>
      </c>
      <c r="K1155" s="50" t="str">
        <f t="shared" si="94"/>
        <v/>
      </c>
      <c r="L1155" s="50" t="str">
        <f>IF(D1155="","",IF(COUNTIF(Paramètres!$A$11:$A$40,D1155)&gt;0,1,0))</f>
        <v/>
      </c>
    </row>
    <row r="1156" spans="1:12" hidden="1" x14ac:dyDescent="0.25">
      <c r="A1156" s="49"/>
      <c r="B1156" s="49"/>
      <c r="C1156" s="49"/>
      <c r="D1156" s="50" t="str">
        <f t="shared" si="90"/>
        <v/>
      </c>
      <c r="E1156" s="50" t="str">
        <f t="shared" si="91"/>
        <v/>
      </c>
      <c r="F1156" s="50" t="str">
        <f t="shared" si="92"/>
        <v/>
      </c>
      <c r="G1156" s="50" t="str">
        <f t="shared" si="93"/>
        <v/>
      </c>
      <c r="H1156" s="51" t="str">
        <f>IF($C1156="","",IFERROR(DATE(G1156,VLOOKUP(E1156,Paramètres!$K$11:$L$40,2,FALSE()),F1156),"?"))</f>
        <v/>
      </c>
      <c r="I1156" s="50" t="str">
        <f>IF(ISNUMBER(H1156),IF(COUNTIFS($D$2:D1156,D1156,$H$2:H1156,H1156)=1,1,0),"")</f>
        <v/>
      </c>
      <c r="J1156" s="50" t="str">
        <f>IF(ISNUMBER(H1156),IFERROR(INDEX(Calendrier!$C$2:$C$367,MATCH(H1156,Calendrier!$A$2:$A$367,0)),0),"")</f>
        <v/>
      </c>
      <c r="K1156" s="50" t="str">
        <f t="shared" si="94"/>
        <v/>
      </c>
      <c r="L1156" s="50" t="str">
        <f>IF(D1156="","",IF(COUNTIF(Paramètres!$A$11:$A$40,D1156)&gt;0,1,0))</f>
        <v/>
      </c>
    </row>
    <row r="1157" spans="1:12" hidden="1" x14ac:dyDescent="0.25">
      <c r="A1157" s="49"/>
      <c r="B1157" s="49"/>
      <c r="C1157" s="49"/>
      <c r="D1157" s="50" t="str">
        <f t="shared" si="90"/>
        <v/>
      </c>
      <c r="E1157" s="50" t="str">
        <f t="shared" si="91"/>
        <v/>
      </c>
      <c r="F1157" s="50" t="str">
        <f t="shared" si="92"/>
        <v/>
      </c>
      <c r="G1157" s="50" t="str">
        <f t="shared" si="93"/>
        <v/>
      </c>
      <c r="H1157" s="51" t="str">
        <f>IF($C1157="","",IFERROR(DATE(G1157,VLOOKUP(E1157,Paramètres!$K$11:$L$40,2,FALSE()),F1157),"?"))</f>
        <v/>
      </c>
      <c r="I1157" s="50" t="str">
        <f>IF(ISNUMBER(H1157),IF(COUNTIFS($D$2:D1157,D1157,$H$2:H1157,H1157)=1,1,0),"")</f>
        <v/>
      </c>
      <c r="J1157" s="50" t="str">
        <f>IF(ISNUMBER(H1157),IFERROR(INDEX(Calendrier!$C$2:$C$367,MATCH(H1157,Calendrier!$A$2:$A$367,0)),0),"")</f>
        <v/>
      </c>
      <c r="K1157" s="50" t="str">
        <f t="shared" si="94"/>
        <v/>
      </c>
      <c r="L1157" s="50" t="str">
        <f>IF(D1157="","",IF(COUNTIF(Paramètres!$A$11:$A$40,D1157)&gt;0,1,0))</f>
        <v/>
      </c>
    </row>
    <row r="1158" spans="1:12" hidden="1" x14ac:dyDescent="0.25">
      <c r="A1158" s="49"/>
      <c r="B1158" s="49"/>
      <c r="C1158" s="49"/>
      <c r="D1158" s="50" t="str">
        <f t="shared" si="90"/>
        <v/>
      </c>
      <c r="E1158" s="50" t="str">
        <f t="shared" si="91"/>
        <v/>
      </c>
      <c r="F1158" s="50" t="str">
        <f t="shared" si="92"/>
        <v/>
      </c>
      <c r="G1158" s="50" t="str">
        <f t="shared" si="93"/>
        <v/>
      </c>
      <c r="H1158" s="51" t="str">
        <f>IF($C1158="","",IFERROR(DATE(G1158,VLOOKUP(E1158,Paramètres!$K$11:$L$40,2,FALSE()),F1158),"?"))</f>
        <v/>
      </c>
      <c r="I1158" s="50" t="str">
        <f>IF(ISNUMBER(H1158),IF(COUNTIFS($D$2:D1158,D1158,$H$2:H1158,H1158)=1,1,0),"")</f>
        <v/>
      </c>
      <c r="J1158" s="50" t="str">
        <f>IF(ISNUMBER(H1158),IFERROR(INDEX(Calendrier!$C$2:$C$367,MATCH(H1158,Calendrier!$A$2:$A$367,0)),0),"")</f>
        <v/>
      </c>
      <c r="K1158" s="50" t="str">
        <f t="shared" si="94"/>
        <v/>
      </c>
      <c r="L1158" s="50" t="str">
        <f>IF(D1158="","",IF(COUNTIF(Paramètres!$A$11:$A$40,D1158)&gt;0,1,0))</f>
        <v/>
      </c>
    </row>
    <row r="1159" spans="1:12" hidden="1" x14ac:dyDescent="0.25">
      <c r="A1159" s="49"/>
      <c r="B1159" s="49"/>
      <c r="C1159" s="49"/>
      <c r="D1159" s="50" t="str">
        <f t="shared" si="90"/>
        <v/>
      </c>
      <c r="E1159" s="50" t="str">
        <f t="shared" si="91"/>
        <v/>
      </c>
      <c r="F1159" s="50" t="str">
        <f t="shared" si="92"/>
        <v/>
      </c>
      <c r="G1159" s="50" t="str">
        <f t="shared" si="93"/>
        <v/>
      </c>
      <c r="H1159" s="51" t="str">
        <f>IF($C1159="","",IFERROR(DATE(G1159,VLOOKUP(E1159,Paramètres!$K$11:$L$40,2,FALSE()),F1159),"?"))</f>
        <v/>
      </c>
      <c r="I1159" s="50" t="str">
        <f>IF(ISNUMBER(H1159),IF(COUNTIFS($D$2:D1159,D1159,$H$2:H1159,H1159)=1,1,0),"")</f>
        <v/>
      </c>
      <c r="J1159" s="50" t="str">
        <f>IF(ISNUMBER(H1159),IFERROR(INDEX(Calendrier!$C$2:$C$367,MATCH(H1159,Calendrier!$A$2:$A$367,0)),0),"")</f>
        <v/>
      </c>
      <c r="K1159" s="50" t="str">
        <f t="shared" si="94"/>
        <v/>
      </c>
      <c r="L1159" s="50" t="str">
        <f>IF(D1159="","",IF(COUNTIF(Paramètres!$A$11:$A$40,D1159)&gt;0,1,0))</f>
        <v/>
      </c>
    </row>
    <row r="1160" spans="1:12" hidden="1" x14ac:dyDescent="0.25">
      <c r="A1160" s="49"/>
      <c r="B1160" s="49"/>
      <c r="C1160" s="49"/>
      <c r="D1160" s="50" t="str">
        <f t="shared" si="90"/>
        <v/>
      </c>
      <c r="E1160" s="50" t="str">
        <f t="shared" si="91"/>
        <v/>
      </c>
      <c r="F1160" s="50" t="str">
        <f t="shared" si="92"/>
        <v/>
      </c>
      <c r="G1160" s="50" t="str">
        <f t="shared" si="93"/>
        <v/>
      </c>
      <c r="H1160" s="51" t="str">
        <f>IF($C1160="","",IFERROR(DATE(G1160,VLOOKUP(E1160,Paramètres!$K$11:$L$40,2,FALSE()),F1160),"?"))</f>
        <v/>
      </c>
      <c r="I1160" s="50" t="str">
        <f>IF(ISNUMBER(H1160),IF(COUNTIFS($D$2:D1160,D1160,$H$2:H1160,H1160)=1,1,0),"")</f>
        <v/>
      </c>
      <c r="J1160" s="50" t="str">
        <f>IF(ISNUMBER(H1160),IFERROR(INDEX(Calendrier!$C$2:$C$367,MATCH(H1160,Calendrier!$A$2:$A$367,0)),0),"")</f>
        <v/>
      </c>
      <c r="K1160" s="50" t="str">
        <f t="shared" si="94"/>
        <v/>
      </c>
      <c r="L1160" s="50" t="str">
        <f>IF(D1160="","",IF(COUNTIF(Paramètres!$A$11:$A$40,D1160)&gt;0,1,0))</f>
        <v/>
      </c>
    </row>
    <row r="1161" spans="1:12" hidden="1" x14ac:dyDescent="0.25">
      <c r="A1161" s="49"/>
      <c r="B1161" s="49"/>
      <c r="C1161" s="49"/>
      <c r="D1161" s="50" t="str">
        <f t="shared" si="90"/>
        <v/>
      </c>
      <c r="E1161" s="50" t="str">
        <f t="shared" si="91"/>
        <v/>
      </c>
      <c r="F1161" s="50" t="str">
        <f t="shared" si="92"/>
        <v/>
      </c>
      <c r="G1161" s="50" t="str">
        <f t="shared" si="93"/>
        <v/>
      </c>
      <c r="H1161" s="51" t="str">
        <f>IF($C1161="","",IFERROR(DATE(G1161,VLOOKUP(E1161,Paramètres!$K$11:$L$40,2,FALSE()),F1161),"?"))</f>
        <v/>
      </c>
      <c r="I1161" s="50" t="str">
        <f>IF(ISNUMBER(H1161),IF(COUNTIFS($D$2:D1161,D1161,$H$2:H1161,H1161)=1,1,0),"")</f>
        <v/>
      </c>
      <c r="J1161" s="50" t="str">
        <f>IF(ISNUMBER(H1161),IFERROR(INDEX(Calendrier!$C$2:$C$367,MATCH(H1161,Calendrier!$A$2:$A$367,0)),0),"")</f>
        <v/>
      </c>
      <c r="K1161" s="50" t="str">
        <f t="shared" si="94"/>
        <v/>
      </c>
      <c r="L1161" s="50" t="str">
        <f>IF(D1161="","",IF(COUNTIF(Paramètres!$A$11:$A$40,D1161)&gt;0,1,0))</f>
        <v/>
      </c>
    </row>
    <row r="1162" spans="1:12" hidden="1" x14ac:dyDescent="0.25">
      <c r="A1162" s="49"/>
      <c r="B1162" s="49"/>
      <c r="C1162" s="49"/>
      <c r="D1162" s="50" t="str">
        <f t="shared" si="90"/>
        <v/>
      </c>
      <c r="E1162" s="50" t="str">
        <f t="shared" si="91"/>
        <v/>
      </c>
      <c r="F1162" s="50" t="str">
        <f t="shared" si="92"/>
        <v/>
      </c>
      <c r="G1162" s="50" t="str">
        <f t="shared" si="93"/>
        <v/>
      </c>
      <c r="H1162" s="51" t="str">
        <f>IF($C1162="","",IFERROR(DATE(G1162,VLOOKUP(E1162,Paramètres!$K$11:$L$40,2,FALSE()),F1162),"?"))</f>
        <v/>
      </c>
      <c r="I1162" s="50" t="str">
        <f>IF(ISNUMBER(H1162),IF(COUNTIFS($D$2:D1162,D1162,$H$2:H1162,H1162)=1,1,0),"")</f>
        <v/>
      </c>
      <c r="J1162" s="50" t="str">
        <f>IF(ISNUMBER(H1162),IFERROR(INDEX(Calendrier!$C$2:$C$367,MATCH(H1162,Calendrier!$A$2:$A$367,0)),0),"")</f>
        <v/>
      </c>
      <c r="K1162" s="50" t="str">
        <f t="shared" si="94"/>
        <v/>
      </c>
      <c r="L1162" s="50" t="str">
        <f>IF(D1162="","",IF(COUNTIF(Paramètres!$A$11:$A$40,D1162)&gt;0,1,0))</f>
        <v/>
      </c>
    </row>
    <row r="1163" spans="1:12" hidden="1" x14ac:dyDescent="0.25">
      <c r="A1163" s="49"/>
      <c r="B1163" s="49"/>
      <c r="C1163" s="49"/>
      <c r="D1163" s="50" t="str">
        <f t="shared" si="90"/>
        <v/>
      </c>
      <c r="E1163" s="50" t="str">
        <f t="shared" si="91"/>
        <v/>
      </c>
      <c r="F1163" s="50" t="str">
        <f t="shared" si="92"/>
        <v/>
      </c>
      <c r="G1163" s="50" t="str">
        <f t="shared" si="93"/>
        <v/>
      </c>
      <c r="H1163" s="51" t="str">
        <f>IF($C1163="","",IFERROR(DATE(G1163,VLOOKUP(E1163,Paramètres!$K$11:$L$40,2,FALSE()),F1163),"?"))</f>
        <v/>
      </c>
      <c r="I1163" s="50" t="str">
        <f>IF(ISNUMBER(H1163),IF(COUNTIFS($D$2:D1163,D1163,$H$2:H1163,H1163)=1,1,0),"")</f>
        <v/>
      </c>
      <c r="J1163" s="50" t="str">
        <f>IF(ISNUMBER(H1163),IFERROR(INDEX(Calendrier!$C$2:$C$367,MATCH(H1163,Calendrier!$A$2:$A$367,0)),0),"")</f>
        <v/>
      </c>
      <c r="K1163" s="50" t="str">
        <f t="shared" si="94"/>
        <v/>
      </c>
      <c r="L1163" s="50" t="str">
        <f>IF(D1163="","",IF(COUNTIF(Paramètres!$A$11:$A$40,D1163)&gt;0,1,0))</f>
        <v/>
      </c>
    </row>
    <row r="1164" spans="1:12" hidden="1" x14ac:dyDescent="0.25">
      <c r="A1164" s="49"/>
      <c r="B1164" s="49"/>
      <c r="C1164" s="49"/>
      <c r="D1164" s="50" t="str">
        <f t="shared" si="90"/>
        <v/>
      </c>
      <c r="E1164" s="50" t="str">
        <f t="shared" si="91"/>
        <v/>
      </c>
      <c r="F1164" s="50" t="str">
        <f t="shared" si="92"/>
        <v/>
      </c>
      <c r="G1164" s="50" t="str">
        <f t="shared" si="93"/>
        <v/>
      </c>
      <c r="H1164" s="51" t="str">
        <f>IF($C1164="","",IFERROR(DATE(G1164,VLOOKUP(E1164,Paramètres!$K$11:$L$40,2,FALSE()),F1164),"?"))</f>
        <v/>
      </c>
      <c r="I1164" s="50" t="str">
        <f>IF(ISNUMBER(H1164),IF(COUNTIFS($D$2:D1164,D1164,$H$2:H1164,H1164)=1,1,0),"")</f>
        <v/>
      </c>
      <c r="J1164" s="50" t="str">
        <f>IF(ISNUMBER(H1164),IFERROR(INDEX(Calendrier!$C$2:$C$367,MATCH(H1164,Calendrier!$A$2:$A$367,0)),0),"")</f>
        <v/>
      </c>
      <c r="K1164" s="50" t="str">
        <f t="shared" si="94"/>
        <v/>
      </c>
      <c r="L1164" s="50" t="str">
        <f>IF(D1164="","",IF(COUNTIF(Paramètres!$A$11:$A$40,D1164)&gt;0,1,0))</f>
        <v/>
      </c>
    </row>
    <row r="1165" spans="1:12" hidden="1" x14ac:dyDescent="0.25">
      <c r="A1165" s="49"/>
      <c r="B1165" s="49"/>
      <c r="C1165" s="49"/>
      <c r="D1165" s="50" t="str">
        <f t="shared" si="90"/>
        <v/>
      </c>
      <c r="E1165" s="50" t="str">
        <f t="shared" si="91"/>
        <v/>
      </c>
      <c r="F1165" s="50" t="str">
        <f t="shared" si="92"/>
        <v/>
      </c>
      <c r="G1165" s="50" t="str">
        <f t="shared" si="93"/>
        <v/>
      </c>
      <c r="H1165" s="51" t="str">
        <f>IF($C1165="","",IFERROR(DATE(G1165,VLOOKUP(E1165,Paramètres!$K$11:$L$40,2,FALSE()),F1165),"?"))</f>
        <v/>
      </c>
      <c r="I1165" s="50" t="str">
        <f>IF(ISNUMBER(H1165),IF(COUNTIFS($D$2:D1165,D1165,$H$2:H1165,H1165)=1,1,0),"")</f>
        <v/>
      </c>
      <c r="J1165" s="50" t="str">
        <f>IF(ISNUMBER(H1165),IFERROR(INDEX(Calendrier!$C$2:$C$367,MATCH(H1165,Calendrier!$A$2:$A$367,0)),0),"")</f>
        <v/>
      </c>
      <c r="K1165" s="50" t="str">
        <f t="shared" si="94"/>
        <v/>
      </c>
      <c r="L1165" s="50" t="str">
        <f>IF(D1165="","",IF(COUNTIF(Paramètres!$A$11:$A$40,D1165)&gt;0,1,0))</f>
        <v/>
      </c>
    </row>
    <row r="1166" spans="1:12" hidden="1" x14ac:dyDescent="0.25">
      <c r="A1166" s="49"/>
      <c r="B1166" s="49"/>
      <c r="C1166" s="49"/>
      <c r="D1166" s="50" t="str">
        <f t="shared" si="90"/>
        <v/>
      </c>
      <c r="E1166" s="50" t="str">
        <f t="shared" si="91"/>
        <v/>
      </c>
      <c r="F1166" s="50" t="str">
        <f t="shared" si="92"/>
        <v/>
      </c>
      <c r="G1166" s="50" t="str">
        <f t="shared" si="93"/>
        <v/>
      </c>
      <c r="H1166" s="51" t="str">
        <f>IF($C1166="","",IFERROR(DATE(G1166,VLOOKUP(E1166,Paramètres!$K$11:$L$40,2,FALSE()),F1166),"?"))</f>
        <v/>
      </c>
      <c r="I1166" s="50" t="str">
        <f>IF(ISNUMBER(H1166),IF(COUNTIFS($D$2:D1166,D1166,$H$2:H1166,H1166)=1,1,0),"")</f>
        <v/>
      </c>
      <c r="J1166" s="50" t="str">
        <f>IF(ISNUMBER(H1166),IFERROR(INDEX(Calendrier!$C$2:$C$367,MATCH(H1166,Calendrier!$A$2:$A$367,0)),0),"")</f>
        <v/>
      </c>
      <c r="K1166" s="50" t="str">
        <f t="shared" si="94"/>
        <v/>
      </c>
      <c r="L1166" s="50" t="str">
        <f>IF(D1166="","",IF(COUNTIF(Paramètres!$A$11:$A$40,D1166)&gt;0,1,0))</f>
        <v/>
      </c>
    </row>
    <row r="1167" spans="1:12" hidden="1" x14ac:dyDescent="0.25">
      <c r="A1167" s="49"/>
      <c r="B1167" s="49"/>
      <c r="C1167" s="49"/>
      <c r="D1167" s="50" t="str">
        <f t="shared" si="90"/>
        <v/>
      </c>
      <c r="E1167" s="50" t="str">
        <f t="shared" si="91"/>
        <v/>
      </c>
      <c r="F1167" s="50" t="str">
        <f t="shared" si="92"/>
        <v/>
      </c>
      <c r="G1167" s="50" t="str">
        <f t="shared" si="93"/>
        <v/>
      </c>
      <c r="H1167" s="51" t="str">
        <f>IF($C1167="","",IFERROR(DATE(G1167,VLOOKUP(E1167,Paramètres!$K$11:$L$40,2,FALSE()),F1167),"?"))</f>
        <v/>
      </c>
      <c r="I1167" s="50" t="str">
        <f>IF(ISNUMBER(H1167),IF(COUNTIFS($D$2:D1167,D1167,$H$2:H1167,H1167)=1,1,0),"")</f>
        <v/>
      </c>
      <c r="J1167" s="50" t="str">
        <f>IF(ISNUMBER(H1167),IFERROR(INDEX(Calendrier!$C$2:$C$367,MATCH(H1167,Calendrier!$A$2:$A$367,0)),0),"")</f>
        <v/>
      </c>
      <c r="K1167" s="50" t="str">
        <f t="shared" si="94"/>
        <v/>
      </c>
      <c r="L1167" s="50" t="str">
        <f>IF(D1167="","",IF(COUNTIF(Paramètres!$A$11:$A$40,D1167)&gt;0,1,0))</f>
        <v/>
      </c>
    </row>
    <row r="1168" spans="1:12" hidden="1" x14ac:dyDescent="0.25">
      <c r="A1168" s="49"/>
      <c r="B1168" s="49"/>
      <c r="C1168" s="49"/>
      <c r="D1168" s="50" t="str">
        <f t="shared" si="90"/>
        <v/>
      </c>
      <c r="E1168" s="50" t="str">
        <f t="shared" si="91"/>
        <v/>
      </c>
      <c r="F1168" s="50" t="str">
        <f t="shared" si="92"/>
        <v/>
      </c>
      <c r="G1168" s="50" t="str">
        <f t="shared" si="93"/>
        <v/>
      </c>
      <c r="H1168" s="51" t="str">
        <f>IF($C1168="","",IFERROR(DATE(G1168,VLOOKUP(E1168,Paramètres!$K$11:$L$40,2,FALSE()),F1168),"?"))</f>
        <v/>
      </c>
      <c r="I1168" s="50" t="str">
        <f>IF(ISNUMBER(H1168),IF(COUNTIFS($D$2:D1168,D1168,$H$2:H1168,H1168)=1,1,0),"")</f>
        <v/>
      </c>
      <c r="J1168" s="50" t="str">
        <f>IF(ISNUMBER(H1168),IFERROR(INDEX(Calendrier!$C$2:$C$367,MATCH(H1168,Calendrier!$A$2:$A$367,0)),0),"")</f>
        <v/>
      </c>
      <c r="K1168" s="50" t="str">
        <f t="shared" si="94"/>
        <v/>
      </c>
      <c r="L1168" s="50" t="str">
        <f>IF(D1168="","",IF(COUNTIF(Paramètres!$A$11:$A$40,D1168)&gt;0,1,0))</f>
        <v/>
      </c>
    </row>
    <row r="1169" spans="1:12" hidden="1" x14ac:dyDescent="0.25">
      <c r="A1169" s="49"/>
      <c r="B1169" s="49"/>
      <c r="C1169" s="49"/>
      <c r="D1169" s="50" t="str">
        <f t="shared" si="90"/>
        <v/>
      </c>
      <c r="E1169" s="50" t="str">
        <f t="shared" si="91"/>
        <v/>
      </c>
      <c r="F1169" s="50" t="str">
        <f t="shared" si="92"/>
        <v/>
      </c>
      <c r="G1169" s="50" t="str">
        <f t="shared" si="93"/>
        <v/>
      </c>
      <c r="H1169" s="51" t="str">
        <f>IF($C1169="","",IFERROR(DATE(G1169,VLOOKUP(E1169,Paramètres!$K$11:$L$40,2,FALSE()),F1169),"?"))</f>
        <v/>
      </c>
      <c r="I1169" s="50" t="str">
        <f>IF(ISNUMBER(H1169),IF(COUNTIFS($D$2:D1169,D1169,$H$2:H1169,H1169)=1,1,0),"")</f>
        <v/>
      </c>
      <c r="J1169" s="50" t="str">
        <f>IF(ISNUMBER(H1169),IFERROR(INDEX(Calendrier!$C$2:$C$367,MATCH(H1169,Calendrier!$A$2:$A$367,0)),0),"")</f>
        <v/>
      </c>
      <c r="K1169" s="50" t="str">
        <f t="shared" si="94"/>
        <v/>
      </c>
      <c r="L1169" s="50" t="str">
        <f>IF(D1169="","",IF(COUNTIF(Paramètres!$A$11:$A$40,D1169)&gt;0,1,0))</f>
        <v/>
      </c>
    </row>
    <row r="1170" spans="1:12" hidden="1" x14ac:dyDescent="0.25">
      <c r="A1170" s="49"/>
      <c r="B1170" s="49"/>
      <c r="C1170" s="49"/>
      <c r="D1170" s="50" t="str">
        <f t="shared" si="90"/>
        <v/>
      </c>
      <c r="E1170" s="50" t="str">
        <f t="shared" si="91"/>
        <v/>
      </c>
      <c r="F1170" s="50" t="str">
        <f t="shared" si="92"/>
        <v/>
      </c>
      <c r="G1170" s="50" t="str">
        <f t="shared" si="93"/>
        <v/>
      </c>
      <c r="H1170" s="51" t="str">
        <f>IF($C1170="","",IFERROR(DATE(G1170,VLOOKUP(E1170,Paramètres!$K$11:$L$40,2,FALSE()),F1170),"?"))</f>
        <v/>
      </c>
      <c r="I1170" s="50" t="str">
        <f>IF(ISNUMBER(H1170),IF(COUNTIFS($D$2:D1170,D1170,$H$2:H1170,H1170)=1,1,0),"")</f>
        <v/>
      </c>
      <c r="J1170" s="50" t="str">
        <f>IF(ISNUMBER(H1170),IFERROR(INDEX(Calendrier!$C$2:$C$367,MATCH(H1170,Calendrier!$A$2:$A$367,0)),0),"")</f>
        <v/>
      </c>
      <c r="K1170" s="50" t="str">
        <f t="shared" si="94"/>
        <v/>
      </c>
      <c r="L1170" s="50" t="str">
        <f>IF(D1170="","",IF(COUNTIF(Paramètres!$A$11:$A$40,D1170)&gt;0,1,0))</f>
        <v/>
      </c>
    </row>
    <row r="1171" spans="1:12" hidden="1" x14ac:dyDescent="0.25">
      <c r="A1171" s="49"/>
      <c r="B1171" s="49"/>
      <c r="C1171" s="49"/>
      <c r="D1171" s="50" t="str">
        <f t="shared" si="90"/>
        <v/>
      </c>
      <c r="E1171" s="50" t="str">
        <f t="shared" si="91"/>
        <v/>
      </c>
      <c r="F1171" s="50" t="str">
        <f t="shared" si="92"/>
        <v/>
      </c>
      <c r="G1171" s="50" t="str">
        <f t="shared" si="93"/>
        <v/>
      </c>
      <c r="H1171" s="51" t="str">
        <f>IF($C1171="","",IFERROR(DATE(G1171,VLOOKUP(E1171,Paramètres!$K$11:$L$40,2,FALSE()),F1171),"?"))</f>
        <v/>
      </c>
      <c r="I1171" s="50" t="str">
        <f>IF(ISNUMBER(H1171),IF(COUNTIFS($D$2:D1171,D1171,$H$2:H1171,H1171)=1,1,0),"")</f>
        <v/>
      </c>
      <c r="J1171" s="50" t="str">
        <f>IF(ISNUMBER(H1171),IFERROR(INDEX(Calendrier!$C$2:$C$367,MATCH(H1171,Calendrier!$A$2:$A$367,0)),0),"")</f>
        <v/>
      </c>
      <c r="K1171" s="50" t="str">
        <f t="shared" si="94"/>
        <v/>
      </c>
      <c r="L1171" s="50" t="str">
        <f>IF(D1171="","",IF(COUNTIF(Paramètres!$A$11:$A$40,D1171)&gt;0,1,0))</f>
        <v/>
      </c>
    </row>
    <row r="1172" spans="1:12" hidden="1" x14ac:dyDescent="0.25">
      <c r="A1172" s="49"/>
      <c r="B1172" s="49"/>
      <c r="C1172" s="49"/>
      <c r="D1172" s="50" t="str">
        <f t="shared" si="90"/>
        <v/>
      </c>
      <c r="E1172" s="50" t="str">
        <f t="shared" si="91"/>
        <v/>
      </c>
      <c r="F1172" s="50" t="str">
        <f t="shared" si="92"/>
        <v/>
      </c>
      <c r="G1172" s="50" t="str">
        <f t="shared" si="93"/>
        <v/>
      </c>
      <c r="H1172" s="51" t="str">
        <f>IF($C1172="","",IFERROR(DATE(G1172,VLOOKUP(E1172,Paramètres!$K$11:$L$40,2,FALSE()),F1172),"?"))</f>
        <v/>
      </c>
      <c r="I1172" s="50" t="str">
        <f>IF(ISNUMBER(H1172),IF(COUNTIFS($D$2:D1172,D1172,$H$2:H1172,H1172)=1,1,0),"")</f>
        <v/>
      </c>
      <c r="J1172" s="50" t="str">
        <f>IF(ISNUMBER(H1172),IFERROR(INDEX(Calendrier!$C$2:$C$367,MATCH(H1172,Calendrier!$A$2:$A$367,0)),0),"")</f>
        <v/>
      </c>
      <c r="K1172" s="50" t="str">
        <f t="shared" si="94"/>
        <v/>
      </c>
      <c r="L1172" s="50" t="str">
        <f>IF(D1172="","",IF(COUNTIF(Paramètres!$A$11:$A$40,D1172)&gt;0,1,0))</f>
        <v/>
      </c>
    </row>
    <row r="1173" spans="1:12" hidden="1" x14ac:dyDescent="0.25">
      <c r="A1173" s="49"/>
      <c r="B1173" s="49"/>
      <c r="C1173" s="49"/>
      <c r="D1173" s="50" t="str">
        <f t="shared" si="90"/>
        <v/>
      </c>
      <c r="E1173" s="50" t="str">
        <f t="shared" si="91"/>
        <v/>
      </c>
      <c r="F1173" s="50" t="str">
        <f t="shared" si="92"/>
        <v/>
      </c>
      <c r="G1173" s="50" t="str">
        <f t="shared" si="93"/>
        <v/>
      </c>
      <c r="H1173" s="51" t="str">
        <f>IF($C1173="","",IFERROR(DATE(G1173,VLOOKUP(E1173,Paramètres!$K$11:$L$40,2,FALSE()),F1173),"?"))</f>
        <v/>
      </c>
      <c r="I1173" s="50" t="str">
        <f>IF(ISNUMBER(H1173),IF(COUNTIFS($D$2:D1173,D1173,$H$2:H1173,H1173)=1,1,0),"")</f>
        <v/>
      </c>
      <c r="J1173" s="50" t="str">
        <f>IF(ISNUMBER(H1173),IFERROR(INDEX(Calendrier!$C$2:$C$367,MATCH(H1173,Calendrier!$A$2:$A$367,0)),0),"")</f>
        <v/>
      </c>
      <c r="K1173" s="50" t="str">
        <f t="shared" si="94"/>
        <v/>
      </c>
      <c r="L1173" s="50" t="str">
        <f>IF(D1173="","",IF(COUNTIF(Paramètres!$A$11:$A$40,D1173)&gt;0,1,0))</f>
        <v/>
      </c>
    </row>
    <row r="1174" spans="1:12" hidden="1" x14ac:dyDescent="0.25">
      <c r="A1174" s="49"/>
      <c r="B1174" s="49"/>
      <c r="C1174" s="49"/>
      <c r="D1174" s="50" t="str">
        <f t="shared" si="90"/>
        <v/>
      </c>
      <c r="E1174" s="50" t="str">
        <f t="shared" si="91"/>
        <v/>
      </c>
      <c r="F1174" s="50" t="str">
        <f t="shared" si="92"/>
        <v/>
      </c>
      <c r="G1174" s="50" t="str">
        <f t="shared" si="93"/>
        <v/>
      </c>
      <c r="H1174" s="51" t="str">
        <f>IF($C1174="","",IFERROR(DATE(G1174,VLOOKUP(E1174,Paramètres!$K$11:$L$40,2,FALSE()),F1174),"?"))</f>
        <v/>
      </c>
      <c r="I1174" s="50" t="str">
        <f>IF(ISNUMBER(H1174),IF(COUNTIFS($D$2:D1174,D1174,$H$2:H1174,H1174)=1,1,0),"")</f>
        <v/>
      </c>
      <c r="J1174" s="50" t="str">
        <f>IF(ISNUMBER(H1174),IFERROR(INDEX(Calendrier!$C$2:$C$367,MATCH(H1174,Calendrier!$A$2:$A$367,0)),0),"")</f>
        <v/>
      </c>
      <c r="K1174" s="50" t="str">
        <f t="shared" si="94"/>
        <v/>
      </c>
      <c r="L1174" s="50" t="str">
        <f>IF(D1174="","",IF(COUNTIF(Paramètres!$A$11:$A$40,D1174)&gt;0,1,0))</f>
        <v/>
      </c>
    </row>
    <row r="1175" spans="1:12" hidden="1" x14ac:dyDescent="0.25">
      <c r="A1175" s="49"/>
      <c r="B1175" s="49"/>
      <c r="C1175" s="49"/>
      <c r="D1175" s="50" t="str">
        <f t="shared" si="90"/>
        <v/>
      </c>
      <c r="E1175" s="50" t="str">
        <f t="shared" si="91"/>
        <v/>
      </c>
      <c r="F1175" s="50" t="str">
        <f t="shared" si="92"/>
        <v/>
      </c>
      <c r="G1175" s="50" t="str">
        <f t="shared" si="93"/>
        <v/>
      </c>
      <c r="H1175" s="51" t="str">
        <f>IF($C1175="","",IFERROR(DATE(G1175,VLOOKUP(E1175,Paramètres!$K$11:$L$40,2,FALSE()),F1175),"?"))</f>
        <v/>
      </c>
      <c r="I1175" s="50" t="str">
        <f>IF(ISNUMBER(H1175),IF(COUNTIFS($D$2:D1175,D1175,$H$2:H1175,H1175)=1,1,0),"")</f>
        <v/>
      </c>
      <c r="J1175" s="50" t="str">
        <f>IF(ISNUMBER(H1175),IFERROR(INDEX(Calendrier!$C$2:$C$367,MATCH(H1175,Calendrier!$A$2:$A$367,0)),0),"")</f>
        <v/>
      </c>
      <c r="K1175" s="50" t="str">
        <f t="shared" si="94"/>
        <v/>
      </c>
      <c r="L1175" s="50" t="str">
        <f>IF(D1175="","",IF(COUNTIF(Paramètres!$A$11:$A$40,D1175)&gt;0,1,0))</f>
        <v/>
      </c>
    </row>
    <row r="1176" spans="1:12" hidden="1" x14ac:dyDescent="0.25">
      <c r="A1176" s="49"/>
      <c r="B1176" s="49"/>
      <c r="C1176" s="49"/>
      <c r="D1176" s="50" t="str">
        <f t="shared" si="90"/>
        <v/>
      </c>
      <c r="E1176" s="50" t="str">
        <f t="shared" si="91"/>
        <v/>
      </c>
      <c r="F1176" s="50" t="str">
        <f t="shared" si="92"/>
        <v/>
      </c>
      <c r="G1176" s="50" t="str">
        <f t="shared" si="93"/>
        <v/>
      </c>
      <c r="H1176" s="51" t="str">
        <f>IF($C1176="","",IFERROR(DATE(G1176,VLOOKUP(E1176,Paramètres!$K$11:$L$40,2,FALSE()),F1176),"?"))</f>
        <v/>
      </c>
      <c r="I1176" s="50" t="str">
        <f>IF(ISNUMBER(H1176),IF(COUNTIFS($D$2:D1176,D1176,$H$2:H1176,H1176)=1,1,0),"")</f>
        <v/>
      </c>
      <c r="J1176" s="50" t="str">
        <f>IF(ISNUMBER(H1176),IFERROR(INDEX(Calendrier!$C$2:$C$367,MATCH(H1176,Calendrier!$A$2:$A$367,0)),0),"")</f>
        <v/>
      </c>
      <c r="K1176" s="50" t="str">
        <f t="shared" si="94"/>
        <v/>
      </c>
      <c r="L1176" s="50" t="str">
        <f>IF(D1176="","",IF(COUNTIF(Paramètres!$A$11:$A$40,D1176)&gt;0,1,0))</f>
        <v/>
      </c>
    </row>
    <row r="1177" spans="1:12" hidden="1" x14ac:dyDescent="0.25">
      <c r="A1177" s="49"/>
      <c r="B1177" s="49"/>
      <c r="C1177" s="49"/>
      <c r="D1177" s="50" t="str">
        <f t="shared" si="90"/>
        <v/>
      </c>
      <c r="E1177" s="50" t="str">
        <f t="shared" si="91"/>
        <v/>
      </c>
      <c r="F1177" s="50" t="str">
        <f t="shared" si="92"/>
        <v/>
      </c>
      <c r="G1177" s="50" t="str">
        <f t="shared" si="93"/>
        <v/>
      </c>
      <c r="H1177" s="51" t="str">
        <f>IF($C1177="","",IFERROR(DATE(G1177,VLOOKUP(E1177,Paramètres!$K$11:$L$40,2,FALSE()),F1177),"?"))</f>
        <v/>
      </c>
      <c r="I1177" s="50" t="str">
        <f>IF(ISNUMBER(H1177),IF(COUNTIFS($D$2:D1177,D1177,$H$2:H1177,H1177)=1,1,0),"")</f>
        <v/>
      </c>
      <c r="J1177" s="50" t="str">
        <f>IF(ISNUMBER(H1177),IFERROR(INDEX(Calendrier!$C$2:$C$367,MATCH(H1177,Calendrier!$A$2:$A$367,0)),0),"")</f>
        <v/>
      </c>
      <c r="K1177" s="50" t="str">
        <f t="shared" si="94"/>
        <v/>
      </c>
      <c r="L1177" s="50" t="str">
        <f>IF(D1177="","",IF(COUNTIF(Paramètres!$A$11:$A$40,D1177)&gt;0,1,0))</f>
        <v/>
      </c>
    </row>
    <row r="1178" spans="1:12" hidden="1" x14ac:dyDescent="0.25">
      <c r="A1178" s="49"/>
      <c r="B1178" s="49"/>
      <c r="C1178" s="49"/>
      <c r="D1178" s="50" t="str">
        <f t="shared" si="90"/>
        <v/>
      </c>
      <c r="E1178" s="50" t="str">
        <f t="shared" si="91"/>
        <v/>
      </c>
      <c r="F1178" s="50" t="str">
        <f t="shared" si="92"/>
        <v/>
      </c>
      <c r="G1178" s="50" t="str">
        <f t="shared" si="93"/>
        <v/>
      </c>
      <c r="H1178" s="51" t="str">
        <f>IF($C1178="","",IFERROR(DATE(G1178,VLOOKUP(E1178,Paramètres!$K$11:$L$40,2,FALSE()),F1178),"?"))</f>
        <v/>
      </c>
      <c r="I1178" s="50" t="str">
        <f>IF(ISNUMBER(H1178),IF(COUNTIFS($D$2:D1178,D1178,$H$2:H1178,H1178)=1,1,0),"")</f>
        <v/>
      </c>
      <c r="J1178" s="50" t="str">
        <f>IF(ISNUMBER(H1178),IFERROR(INDEX(Calendrier!$C$2:$C$367,MATCH(H1178,Calendrier!$A$2:$A$367,0)),0),"")</f>
        <v/>
      </c>
      <c r="K1178" s="50" t="str">
        <f t="shared" si="94"/>
        <v/>
      </c>
      <c r="L1178" s="50" t="str">
        <f>IF(D1178="","",IF(COUNTIF(Paramètres!$A$11:$A$40,D1178)&gt;0,1,0))</f>
        <v/>
      </c>
    </row>
    <row r="1179" spans="1:12" hidden="1" x14ac:dyDescent="0.25">
      <c r="A1179" s="49"/>
      <c r="B1179" s="49"/>
      <c r="C1179" s="49"/>
      <c r="D1179" s="50" t="str">
        <f t="shared" si="90"/>
        <v/>
      </c>
      <c r="E1179" s="50" t="str">
        <f t="shared" si="91"/>
        <v/>
      </c>
      <c r="F1179" s="50" t="str">
        <f t="shared" si="92"/>
        <v/>
      </c>
      <c r="G1179" s="50" t="str">
        <f t="shared" si="93"/>
        <v/>
      </c>
      <c r="H1179" s="51" t="str">
        <f>IF($C1179="","",IFERROR(DATE(G1179,VLOOKUP(E1179,Paramètres!$K$11:$L$40,2,FALSE()),F1179),"?"))</f>
        <v/>
      </c>
      <c r="I1179" s="50" t="str">
        <f>IF(ISNUMBER(H1179),IF(COUNTIFS($D$2:D1179,D1179,$H$2:H1179,H1179)=1,1,0),"")</f>
        <v/>
      </c>
      <c r="J1179" s="50" t="str">
        <f>IF(ISNUMBER(H1179),IFERROR(INDEX(Calendrier!$C$2:$C$367,MATCH(H1179,Calendrier!$A$2:$A$367,0)),0),"")</f>
        <v/>
      </c>
      <c r="K1179" s="50" t="str">
        <f t="shared" si="94"/>
        <v/>
      </c>
      <c r="L1179" s="50" t="str">
        <f>IF(D1179="","",IF(COUNTIF(Paramètres!$A$11:$A$40,D1179)&gt;0,1,0))</f>
        <v/>
      </c>
    </row>
    <row r="1180" spans="1:12" hidden="1" x14ac:dyDescent="0.25">
      <c r="A1180" s="49"/>
      <c r="B1180" s="49"/>
      <c r="C1180" s="49"/>
      <c r="D1180" s="50" t="str">
        <f t="shared" si="90"/>
        <v/>
      </c>
      <c r="E1180" s="50" t="str">
        <f t="shared" si="91"/>
        <v/>
      </c>
      <c r="F1180" s="50" t="str">
        <f t="shared" si="92"/>
        <v/>
      </c>
      <c r="G1180" s="50" t="str">
        <f t="shared" si="93"/>
        <v/>
      </c>
      <c r="H1180" s="51" t="str">
        <f>IF($C1180="","",IFERROR(DATE(G1180,VLOOKUP(E1180,Paramètres!$K$11:$L$40,2,FALSE()),F1180),"?"))</f>
        <v/>
      </c>
      <c r="I1180" s="50" t="str">
        <f>IF(ISNUMBER(H1180),IF(COUNTIFS($D$2:D1180,D1180,$H$2:H1180,H1180)=1,1,0),"")</f>
        <v/>
      </c>
      <c r="J1180" s="50" t="str">
        <f>IF(ISNUMBER(H1180),IFERROR(INDEX(Calendrier!$C$2:$C$367,MATCH(H1180,Calendrier!$A$2:$A$367,0)),0),"")</f>
        <v/>
      </c>
      <c r="K1180" s="50" t="str">
        <f t="shared" si="94"/>
        <v/>
      </c>
      <c r="L1180" s="50" t="str">
        <f>IF(D1180="","",IF(COUNTIF(Paramètres!$A$11:$A$40,D1180)&gt;0,1,0))</f>
        <v/>
      </c>
    </row>
    <row r="1181" spans="1:12" hidden="1" x14ac:dyDescent="0.25">
      <c r="A1181" s="49"/>
      <c r="B1181" s="49"/>
      <c r="C1181" s="49"/>
      <c r="D1181" s="50" t="str">
        <f t="shared" si="90"/>
        <v/>
      </c>
      <c r="E1181" s="50" t="str">
        <f t="shared" si="91"/>
        <v/>
      </c>
      <c r="F1181" s="50" t="str">
        <f t="shared" si="92"/>
        <v/>
      </c>
      <c r="G1181" s="50" t="str">
        <f t="shared" si="93"/>
        <v/>
      </c>
      <c r="H1181" s="51" t="str">
        <f>IF($C1181="","",IFERROR(DATE(G1181,VLOOKUP(E1181,Paramètres!$K$11:$L$40,2,FALSE()),F1181),"?"))</f>
        <v/>
      </c>
      <c r="I1181" s="50" t="str">
        <f>IF(ISNUMBER(H1181),IF(COUNTIFS($D$2:D1181,D1181,$H$2:H1181,H1181)=1,1,0),"")</f>
        <v/>
      </c>
      <c r="J1181" s="50" t="str">
        <f>IF(ISNUMBER(H1181),IFERROR(INDEX(Calendrier!$C$2:$C$367,MATCH(H1181,Calendrier!$A$2:$A$367,0)),0),"")</f>
        <v/>
      </c>
      <c r="K1181" s="50" t="str">
        <f t="shared" si="94"/>
        <v/>
      </c>
      <c r="L1181" s="50" t="str">
        <f>IF(D1181="","",IF(COUNTIF(Paramètres!$A$11:$A$40,D1181)&gt;0,1,0))</f>
        <v/>
      </c>
    </row>
    <row r="1182" spans="1:12" hidden="1" x14ac:dyDescent="0.25">
      <c r="A1182" s="49"/>
      <c r="B1182" s="49"/>
      <c r="C1182" s="49"/>
      <c r="D1182" s="50" t="str">
        <f t="shared" si="90"/>
        <v/>
      </c>
      <c r="E1182" s="50" t="str">
        <f t="shared" si="91"/>
        <v/>
      </c>
      <c r="F1182" s="50" t="str">
        <f t="shared" si="92"/>
        <v/>
      </c>
      <c r="G1182" s="50" t="str">
        <f t="shared" si="93"/>
        <v/>
      </c>
      <c r="H1182" s="51" t="str">
        <f>IF($C1182="","",IFERROR(DATE(G1182,VLOOKUP(E1182,Paramètres!$K$11:$L$40,2,FALSE()),F1182),"?"))</f>
        <v/>
      </c>
      <c r="I1182" s="50" t="str">
        <f>IF(ISNUMBER(H1182),IF(COUNTIFS($D$2:D1182,D1182,$H$2:H1182,H1182)=1,1,0),"")</f>
        <v/>
      </c>
      <c r="J1182" s="50" t="str">
        <f>IF(ISNUMBER(H1182),IFERROR(INDEX(Calendrier!$C$2:$C$367,MATCH(H1182,Calendrier!$A$2:$A$367,0)),0),"")</f>
        <v/>
      </c>
      <c r="K1182" s="50" t="str">
        <f t="shared" si="94"/>
        <v/>
      </c>
      <c r="L1182" s="50" t="str">
        <f>IF(D1182="","",IF(COUNTIF(Paramètres!$A$11:$A$40,D1182)&gt;0,1,0))</f>
        <v/>
      </c>
    </row>
    <row r="1183" spans="1:12" hidden="1" x14ac:dyDescent="0.25">
      <c r="A1183" s="49"/>
      <c r="B1183" s="49"/>
      <c r="C1183" s="49"/>
      <c r="D1183" s="50" t="str">
        <f t="shared" si="90"/>
        <v/>
      </c>
      <c r="E1183" s="50" t="str">
        <f t="shared" si="91"/>
        <v/>
      </c>
      <c r="F1183" s="50" t="str">
        <f t="shared" si="92"/>
        <v/>
      </c>
      <c r="G1183" s="50" t="str">
        <f t="shared" si="93"/>
        <v/>
      </c>
      <c r="H1183" s="51" t="str">
        <f>IF($C1183="","",IFERROR(DATE(G1183,VLOOKUP(E1183,Paramètres!$K$11:$L$40,2,FALSE()),F1183),"?"))</f>
        <v/>
      </c>
      <c r="I1183" s="50" t="str">
        <f>IF(ISNUMBER(H1183),IF(COUNTIFS($D$2:D1183,D1183,$H$2:H1183,H1183)=1,1,0),"")</f>
        <v/>
      </c>
      <c r="J1183" s="50" t="str">
        <f>IF(ISNUMBER(H1183),IFERROR(INDEX(Calendrier!$C$2:$C$367,MATCH(H1183,Calendrier!$A$2:$A$367,0)),0),"")</f>
        <v/>
      </c>
      <c r="K1183" s="50" t="str">
        <f t="shared" si="94"/>
        <v/>
      </c>
      <c r="L1183" s="50" t="str">
        <f>IF(D1183="","",IF(COUNTIF(Paramètres!$A$11:$A$40,D1183)&gt;0,1,0))</f>
        <v/>
      </c>
    </row>
    <row r="1184" spans="1:12" hidden="1" x14ac:dyDescent="0.25">
      <c r="A1184" s="49"/>
      <c r="B1184" s="49"/>
      <c r="C1184" s="49"/>
      <c r="D1184" s="50" t="str">
        <f t="shared" si="90"/>
        <v/>
      </c>
      <c r="E1184" s="50" t="str">
        <f t="shared" si="91"/>
        <v/>
      </c>
      <c r="F1184" s="50" t="str">
        <f t="shared" si="92"/>
        <v/>
      </c>
      <c r="G1184" s="50" t="str">
        <f t="shared" si="93"/>
        <v/>
      </c>
      <c r="H1184" s="51" t="str">
        <f>IF($C1184="","",IFERROR(DATE(G1184,VLOOKUP(E1184,Paramètres!$K$11:$L$40,2,FALSE()),F1184),"?"))</f>
        <v/>
      </c>
      <c r="I1184" s="50" t="str">
        <f>IF(ISNUMBER(H1184),IF(COUNTIFS($D$2:D1184,D1184,$H$2:H1184,H1184)=1,1,0),"")</f>
        <v/>
      </c>
      <c r="J1184" s="50" t="str">
        <f>IF(ISNUMBER(H1184),IFERROR(INDEX(Calendrier!$C$2:$C$367,MATCH(H1184,Calendrier!$A$2:$A$367,0)),0),"")</f>
        <v/>
      </c>
      <c r="K1184" s="50" t="str">
        <f t="shared" si="94"/>
        <v/>
      </c>
      <c r="L1184" s="50" t="str">
        <f>IF(D1184="","",IF(COUNTIF(Paramètres!$A$11:$A$40,D1184)&gt;0,1,0))</f>
        <v/>
      </c>
    </row>
    <row r="1185" spans="1:12" hidden="1" x14ac:dyDescent="0.25">
      <c r="A1185" s="49"/>
      <c r="B1185" s="49"/>
      <c r="C1185" s="49"/>
      <c r="D1185" s="50" t="str">
        <f t="shared" si="90"/>
        <v/>
      </c>
      <c r="E1185" s="50" t="str">
        <f t="shared" si="91"/>
        <v/>
      </c>
      <c r="F1185" s="50" t="str">
        <f t="shared" si="92"/>
        <v/>
      </c>
      <c r="G1185" s="50" t="str">
        <f t="shared" si="93"/>
        <v/>
      </c>
      <c r="H1185" s="51" t="str">
        <f>IF($C1185="","",IFERROR(DATE(G1185,VLOOKUP(E1185,Paramètres!$K$11:$L$40,2,FALSE()),F1185),"?"))</f>
        <v/>
      </c>
      <c r="I1185" s="50" t="str">
        <f>IF(ISNUMBER(H1185),IF(COUNTIFS($D$2:D1185,D1185,$H$2:H1185,H1185)=1,1,0),"")</f>
        <v/>
      </c>
      <c r="J1185" s="50" t="str">
        <f>IF(ISNUMBER(H1185),IFERROR(INDEX(Calendrier!$C$2:$C$367,MATCH(H1185,Calendrier!$A$2:$A$367,0)),0),"")</f>
        <v/>
      </c>
      <c r="K1185" s="50" t="str">
        <f t="shared" si="94"/>
        <v/>
      </c>
      <c r="L1185" s="50" t="str">
        <f>IF(D1185="","",IF(COUNTIF(Paramètres!$A$11:$A$40,D1185)&gt;0,1,0))</f>
        <v/>
      </c>
    </row>
    <row r="1186" spans="1:12" hidden="1" x14ac:dyDescent="0.25">
      <c r="A1186" s="49"/>
      <c r="B1186" s="49"/>
      <c r="C1186" s="49"/>
      <c r="D1186" s="50" t="str">
        <f t="shared" si="90"/>
        <v/>
      </c>
      <c r="E1186" s="50" t="str">
        <f t="shared" si="91"/>
        <v/>
      </c>
      <c r="F1186" s="50" t="str">
        <f t="shared" si="92"/>
        <v/>
      </c>
      <c r="G1186" s="50" t="str">
        <f t="shared" si="93"/>
        <v/>
      </c>
      <c r="H1186" s="51" t="str">
        <f>IF($C1186="","",IFERROR(DATE(G1186,VLOOKUP(E1186,Paramètres!$K$11:$L$40,2,FALSE()),F1186),"?"))</f>
        <v/>
      </c>
      <c r="I1186" s="50" t="str">
        <f>IF(ISNUMBER(H1186),IF(COUNTIFS($D$2:D1186,D1186,$H$2:H1186,H1186)=1,1,0),"")</f>
        <v/>
      </c>
      <c r="J1186" s="50" t="str">
        <f>IF(ISNUMBER(H1186),IFERROR(INDEX(Calendrier!$C$2:$C$367,MATCH(H1186,Calendrier!$A$2:$A$367,0)),0),"")</f>
        <v/>
      </c>
      <c r="K1186" s="50" t="str">
        <f t="shared" si="94"/>
        <v/>
      </c>
      <c r="L1186" s="50" t="str">
        <f>IF(D1186="","",IF(COUNTIF(Paramètres!$A$11:$A$40,D1186)&gt;0,1,0))</f>
        <v/>
      </c>
    </row>
    <row r="1187" spans="1:12" hidden="1" x14ac:dyDescent="0.25">
      <c r="A1187" s="49"/>
      <c r="B1187" s="49"/>
      <c r="C1187" s="49"/>
      <c r="D1187" s="50" t="str">
        <f t="shared" si="90"/>
        <v/>
      </c>
      <c r="E1187" s="50" t="str">
        <f t="shared" si="91"/>
        <v/>
      </c>
      <c r="F1187" s="50" t="str">
        <f t="shared" si="92"/>
        <v/>
      </c>
      <c r="G1187" s="50" t="str">
        <f t="shared" si="93"/>
        <v/>
      </c>
      <c r="H1187" s="51" t="str">
        <f>IF($C1187="","",IFERROR(DATE(G1187,VLOOKUP(E1187,Paramètres!$K$11:$L$40,2,FALSE()),F1187),"?"))</f>
        <v/>
      </c>
      <c r="I1187" s="50" t="str">
        <f>IF(ISNUMBER(H1187),IF(COUNTIFS($D$2:D1187,D1187,$H$2:H1187,H1187)=1,1,0),"")</f>
        <v/>
      </c>
      <c r="J1187" s="50" t="str">
        <f>IF(ISNUMBER(H1187),IFERROR(INDEX(Calendrier!$C$2:$C$367,MATCH(H1187,Calendrier!$A$2:$A$367,0)),0),"")</f>
        <v/>
      </c>
      <c r="K1187" s="50" t="str">
        <f t="shared" si="94"/>
        <v/>
      </c>
      <c r="L1187" s="50" t="str">
        <f>IF(D1187="","",IF(COUNTIF(Paramètres!$A$11:$A$40,D1187)&gt;0,1,0))</f>
        <v/>
      </c>
    </row>
    <row r="1188" spans="1:12" hidden="1" x14ac:dyDescent="0.25">
      <c r="A1188" s="49"/>
      <c r="B1188" s="49"/>
      <c r="C1188" s="49"/>
      <c r="D1188" s="50" t="str">
        <f t="shared" si="90"/>
        <v/>
      </c>
      <c r="E1188" s="50" t="str">
        <f t="shared" si="91"/>
        <v/>
      </c>
      <c r="F1188" s="50" t="str">
        <f t="shared" si="92"/>
        <v/>
      </c>
      <c r="G1188" s="50" t="str">
        <f t="shared" si="93"/>
        <v/>
      </c>
      <c r="H1188" s="51" t="str">
        <f>IF($C1188="","",IFERROR(DATE(G1188,VLOOKUP(E1188,Paramètres!$K$11:$L$40,2,FALSE()),F1188),"?"))</f>
        <v/>
      </c>
      <c r="I1188" s="50" t="str">
        <f>IF(ISNUMBER(H1188),IF(COUNTIFS($D$2:D1188,D1188,$H$2:H1188,H1188)=1,1,0),"")</f>
        <v/>
      </c>
      <c r="J1188" s="50" t="str">
        <f>IF(ISNUMBER(H1188),IFERROR(INDEX(Calendrier!$C$2:$C$367,MATCH(H1188,Calendrier!$A$2:$A$367,0)),0),"")</f>
        <v/>
      </c>
      <c r="K1188" s="50" t="str">
        <f t="shared" si="94"/>
        <v/>
      </c>
      <c r="L1188" s="50" t="str">
        <f>IF(D1188="","",IF(COUNTIF(Paramètres!$A$11:$A$40,D1188)&gt;0,1,0))</f>
        <v/>
      </c>
    </row>
    <row r="1189" spans="1:12" hidden="1" x14ac:dyDescent="0.25">
      <c r="A1189" s="49"/>
      <c r="B1189" s="49"/>
      <c r="C1189" s="49"/>
      <c r="D1189" s="50" t="str">
        <f t="shared" si="90"/>
        <v/>
      </c>
      <c r="E1189" s="50" t="str">
        <f t="shared" si="91"/>
        <v/>
      </c>
      <c r="F1189" s="50" t="str">
        <f t="shared" si="92"/>
        <v/>
      </c>
      <c r="G1189" s="50" t="str">
        <f t="shared" si="93"/>
        <v/>
      </c>
      <c r="H1189" s="51" t="str">
        <f>IF($C1189="","",IFERROR(DATE(G1189,VLOOKUP(E1189,Paramètres!$K$11:$L$40,2,FALSE()),F1189),"?"))</f>
        <v/>
      </c>
      <c r="I1189" s="50" t="str">
        <f>IF(ISNUMBER(H1189),IF(COUNTIFS($D$2:D1189,D1189,$H$2:H1189,H1189)=1,1,0),"")</f>
        <v/>
      </c>
      <c r="J1189" s="50" t="str">
        <f>IF(ISNUMBER(H1189),IFERROR(INDEX(Calendrier!$C$2:$C$367,MATCH(H1189,Calendrier!$A$2:$A$367,0)),0),"")</f>
        <v/>
      </c>
      <c r="K1189" s="50" t="str">
        <f t="shared" si="94"/>
        <v/>
      </c>
      <c r="L1189" s="50" t="str">
        <f>IF(D1189="","",IF(COUNTIF(Paramètres!$A$11:$A$40,D1189)&gt;0,1,0))</f>
        <v/>
      </c>
    </row>
    <row r="1190" spans="1:12" hidden="1" x14ac:dyDescent="0.25">
      <c r="A1190" s="49"/>
      <c r="B1190" s="49"/>
      <c r="C1190" s="49"/>
      <c r="D1190" s="50" t="str">
        <f t="shared" si="90"/>
        <v/>
      </c>
      <c r="E1190" s="50" t="str">
        <f t="shared" si="91"/>
        <v/>
      </c>
      <c r="F1190" s="50" t="str">
        <f t="shared" si="92"/>
        <v/>
      </c>
      <c r="G1190" s="50" t="str">
        <f t="shared" si="93"/>
        <v/>
      </c>
      <c r="H1190" s="51" t="str">
        <f>IF($C1190="","",IFERROR(DATE(G1190,VLOOKUP(E1190,Paramètres!$K$11:$L$40,2,FALSE()),F1190),"?"))</f>
        <v/>
      </c>
      <c r="I1190" s="50" t="str">
        <f>IF(ISNUMBER(H1190),IF(COUNTIFS($D$2:D1190,D1190,$H$2:H1190,H1190)=1,1,0),"")</f>
        <v/>
      </c>
      <c r="J1190" s="50" t="str">
        <f>IF(ISNUMBER(H1190),IFERROR(INDEX(Calendrier!$C$2:$C$367,MATCH(H1190,Calendrier!$A$2:$A$367,0)),0),"")</f>
        <v/>
      </c>
      <c r="K1190" s="50" t="str">
        <f t="shared" si="94"/>
        <v/>
      </c>
      <c r="L1190" s="50" t="str">
        <f>IF(D1190="","",IF(COUNTIF(Paramètres!$A$11:$A$40,D1190)&gt;0,1,0))</f>
        <v/>
      </c>
    </row>
    <row r="1191" spans="1:12" hidden="1" x14ac:dyDescent="0.25">
      <c r="A1191" s="49"/>
      <c r="B1191" s="49"/>
      <c r="C1191" s="49"/>
      <c r="D1191" s="50" t="str">
        <f t="shared" si="90"/>
        <v/>
      </c>
      <c r="E1191" s="50" t="str">
        <f t="shared" si="91"/>
        <v/>
      </c>
      <c r="F1191" s="50" t="str">
        <f t="shared" si="92"/>
        <v/>
      </c>
      <c r="G1191" s="50" t="str">
        <f t="shared" si="93"/>
        <v/>
      </c>
      <c r="H1191" s="51" t="str">
        <f>IF($C1191="","",IFERROR(DATE(G1191,VLOOKUP(E1191,Paramètres!$K$11:$L$40,2,FALSE()),F1191),"?"))</f>
        <v/>
      </c>
      <c r="I1191" s="50" t="str">
        <f>IF(ISNUMBER(H1191),IF(COUNTIFS($D$2:D1191,D1191,$H$2:H1191,H1191)=1,1,0),"")</f>
        <v/>
      </c>
      <c r="J1191" s="50" t="str">
        <f>IF(ISNUMBER(H1191),IFERROR(INDEX(Calendrier!$C$2:$C$367,MATCH(H1191,Calendrier!$A$2:$A$367,0)),0),"")</f>
        <v/>
      </c>
      <c r="K1191" s="50" t="str">
        <f t="shared" si="94"/>
        <v/>
      </c>
      <c r="L1191" s="50" t="str">
        <f>IF(D1191="","",IF(COUNTIF(Paramètres!$A$11:$A$40,D1191)&gt;0,1,0))</f>
        <v/>
      </c>
    </row>
    <row r="1192" spans="1:12" hidden="1" x14ac:dyDescent="0.25">
      <c r="A1192" s="49"/>
      <c r="B1192" s="49"/>
      <c r="C1192" s="49"/>
      <c r="D1192" s="50" t="str">
        <f t="shared" si="90"/>
        <v/>
      </c>
      <c r="E1192" s="50" t="str">
        <f t="shared" si="91"/>
        <v/>
      </c>
      <c r="F1192" s="50" t="str">
        <f t="shared" si="92"/>
        <v/>
      </c>
      <c r="G1192" s="50" t="str">
        <f t="shared" si="93"/>
        <v/>
      </c>
      <c r="H1192" s="51" t="str">
        <f>IF($C1192="","",IFERROR(DATE(G1192,VLOOKUP(E1192,Paramètres!$K$11:$L$40,2,FALSE()),F1192),"?"))</f>
        <v/>
      </c>
      <c r="I1192" s="50" t="str">
        <f>IF(ISNUMBER(H1192),IF(COUNTIFS($D$2:D1192,D1192,$H$2:H1192,H1192)=1,1,0),"")</f>
        <v/>
      </c>
      <c r="J1192" s="50" t="str">
        <f>IF(ISNUMBER(H1192),IFERROR(INDEX(Calendrier!$C$2:$C$367,MATCH(H1192,Calendrier!$A$2:$A$367,0)),0),"")</f>
        <v/>
      </c>
      <c r="K1192" s="50" t="str">
        <f t="shared" si="94"/>
        <v/>
      </c>
      <c r="L1192" s="50" t="str">
        <f>IF(D1192="","",IF(COUNTIF(Paramètres!$A$11:$A$40,D1192)&gt;0,1,0))</f>
        <v/>
      </c>
    </row>
    <row r="1193" spans="1:12" hidden="1" x14ac:dyDescent="0.25">
      <c r="A1193" s="49"/>
      <c r="B1193" s="49"/>
      <c r="C1193" s="49"/>
      <c r="D1193" s="50" t="str">
        <f t="shared" si="90"/>
        <v/>
      </c>
      <c r="E1193" s="50" t="str">
        <f t="shared" si="91"/>
        <v/>
      </c>
      <c r="F1193" s="50" t="str">
        <f t="shared" si="92"/>
        <v/>
      </c>
      <c r="G1193" s="50" t="str">
        <f t="shared" si="93"/>
        <v/>
      </c>
      <c r="H1193" s="51" t="str">
        <f>IF($C1193="","",IFERROR(DATE(G1193,VLOOKUP(E1193,Paramètres!$K$11:$L$40,2,FALSE()),F1193),"?"))</f>
        <v/>
      </c>
      <c r="I1193" s="50" t="str">
        <f>IF(ISNUMBER(H1193),IF(COUNTIFS($D$2:D1193,D1193,$H$2:H1193,H1193)=1,1,0),"")</f>
        <v/>
      </c>
      <c r="J1193" s="50" t="str">
        <f>IF(ISNUMBER(H1193),IFERROR(INDEX(Calendrier!$C$2:$C$367,MATCH(H1193,Calendrier!$A$2:$A$367,0)),0),"")</f>
        <v/>
      </c>
      <c r="K1193" s="50" t="str">
        <f t="shared" si="94"/>
        <v/>
      </c>
      <c r="L1193" s="50" t="str">
        <f>IF(D1193="","",IF(COUNTIF(Paramètres!$A$11:$A$40,D1193)&gt;0,1,0))</f>
        <v/>
      </c>
    </row>
    <row r="1194" spans="1:12" hidden="1" x14ac:dyDescent="0.25">
      <c r="A1194" s="49"/>
      <c r="B1194" s="49"/>
      <c r="C1194" s="49"/>
      <c r="D1194" s="50" t="str">
        <f t="shared" si="90"/>
        <v/>
      </c>
      <c r="E1194" s="50" t="str">
        <f t="shared" si="91"/>
        <v/>
      </c>
      <c r="F1194" s="50" t="str">
        <f t="shared" si="92"/>
        <v/>
      </c>
      <c r="G1194" s="50" t="str">
        <f t="shared" si="93"/>
        <v/>
      </c>
      <c r="H1194" s="51" t="str">
        <f>IF($C1194="","",IFERROR(DATE(G1194,VLOOKUP(E1194,Paramètres!$K$11:$L$40,2,FALSE()),F1194),"?"))</f>
        <v/>
      </c>
      <c r="I1194" s="50" t="str">
        <f>IF(ISNUMBER(H1194),IF(COUNTIFS($D$2:D1194,D1194,$H$2:H1194,H1194)=1,1,0),"")</f>
        <v/>
      </c>
      <c r="J1194" s="50" t="str">
        <f>IF(ISNUMBER(H1194),IFERROR(INDEX(Calendrier!$C$2:$C$367,MATCH(H1194,Calendrier!$A$2:$A$367,0)),0),"")</f>
        <v/>
      </c>
      <c r="K1194" s="50" t="str">
        <f t="shared" si="94"/>
        <v/>
      </c>
      <c r="L1194" s="50" t="str">
        <f>IF(D1194="","",IF(COUNTIF(Paramètres!$A$11:$A$40,D1194)&gt;0,1,0))</f>
        <v/>
      </c>
    </row>
    <row r="1195" spans="1:12" hidden="1" x14ac:dyDescent="0.25">
      <c r="A1195" s="49"/>
      <c r="B1195" s="49"/>
      <c r="C1195" s="49"/>
      <c r="D1195" s="50" t="str">
        <f t="shared" si="90"/>
        <v/>
      </c>
      <c r="E1195" s="50" t="str">
        <f t="shared" si="91"/>
        <v/>
      </c>
      <c r="F1195" s="50" t="str">
        <f t="shared" si="92"/>
        <v/>
      </c>
      <c r="G1195" s="50" t="str">
        <f t="shared" si="93"/>
        <v/>
      </c>
      <c r="H1195" s="51" t="str">
        <f>IF($C1195="","",IFERROR(DATE(G1195,VLOOKUP(E1195,Paramètres!$K$11:$L$40,2,FALSE()),F1195),"?"))</f>
        <v/>
      </c>
      <c r="I1195" s="50" t="str">
        <f>IF(ISNUMBER(H1195),IF(COUNTIFS($D$2:D1195,D1195,$H$2:H1195,H1195)=1,1,0),"")</f>
        <v/>
      </c>
      <c r="J1195" s="50" t="str">
        <f>IF(ISNUMBER(H1195),IFERROR(INDEX(Calendrier!$C$2:$C$367,MATCH(H1195,Calendrier!$A$2:$A$367,0)),0),"")</f>
        <v/>
      </c>
      <c r="K1195" s="50" t="str">
        <f t="shared" si="94"/>
        <v/>
      </c>
      <c r="L1195" s="50" t="str">
        <f>IF(D1195="","",IF(COUNTIF(Paramètres!$A$11:$A$40,D1195)&gt;0,1,0))</f>
        <v/>
      </c>
    </row>
    <row r="1196" spans="1:12" hidden="1" x14ac:dyDescent="0.25">
      <c r="A1196" s="49"/>
      <c r="B1196" s="49"/>
      <c r="C1196" s="49"/>
      <c r="D1196" s="50" t="str">
        <f t="shared" si="90"/>
        <v/>
      </c>
      <c r="E1196" s="50" t="str">
        <f t="shared" si="91"/>
        <v/>
      </c>
      <c r="F1196" s="50" t="str">
        <f t="shared" si="92"/>
        <v/>
      </c>
      <c r="G1196" s="50" t="str">
        <f t="shared" si="93"/>
        <v/>
      </c>
      <c r="H1196" s="51" t="str">
        <f>IF($C1196="","",IFERROR(DATE(G1196,VLOOKUP(E1196,Paramètres!$K$11:$L$40,2,FALSE()),F1196),"?"))</f>
        <v/>
      </c>
      <c r="I1196" s="50" t="str">
        <f>IF(ISNUMBER(H1196),IF(COUNTIFS($D$2:D1196,D1196,$H$2:H1196,H1196)=1,1,0),"")</f>
        <v/>
      </c>
      <c r="J1196" s="50" t="str">
        <f>IF(ISNUMBER(H1196),IFERROR(INDEX(Calendrier!$C$2:$C$367,MATCH(H1196,Calendrier!$A$2:$A$367,0)),0),"")</f>
        <v/>
      </c>
      <c r="K1196" s="50" t="str">
        <f t="shared" si="94"/>
        <v/>
      </c>
      <c r="L1196" s="50" t="str">
        <f>IF(D1196="","",IF(COUNTIF(Paramètres!$A$11:$A$40,D1196)&gt;0,1,0))</f>
        <v/>
      </c>
    </row>
    <row r="1197" spans="1:12" hidden="1" x14ac:dyDescent="0.25">
      <c r="A1197" s="49"/>
      <c r="B1197" s="49"/>
      <c r="C1197" s="49"/>
      <c r="D1197" s="50" t="str">
        <f t="shared" si="90"/>
        <v/>
      </c>
      <c r="E1197" s="50" t="str">
        <f t="shared" si="91"/>
        <v/>
      </c>
      <c r="F1197" s="50" t="str">
        <f t="shared" si="92"/>
        <v/>
      </c>
      <c r="G1197" s="50" t="str">
        <f t="shared" si="93"/>
        <v/>
      </c>
      <c r="H1197" s="51" t="str">
        <f>IF($C1197="","",IFERROR(DATE(G1197,VLOOKUP(E1197,Paramètres!$K$11:$L$40,2,FALSE()),F1197),"?"))</f>
        <v/>
      </c>
      <c r="I1197" s="50" t="str">
        <f>IF(ISNUMBER(H1197),IF(COUNTIFS($D$2:D1197,D1197,$H$2:H1197,H1197)=1,1,0),"")</f>
        <v/>
      </c>
      <c r="J1197" s="50" t="str">
        <f>IF(ISNUMBER(H1197),IFERROR(INDEX(Calendrier!$C$2:$C$367,MATCH(H1197,Calendrier!$A$2:$A$367,0)),0),"")</f>
        <v/>
      </c>
      <c r="K1197" s="50" t="str">
        <f t="shared" si="94"/>
        <v/>
      </c>
      <c r="L1197" s="50" t="str">
        <f>IF(D1197="","",IF(COUNTIF(Paramètres!$A$11:$A$40,D1197)&gt;0,1,0))</f>
        <v/>
      </c>
    </row>
    <row r="1198" spans="1:12" hidden="1" x14ac:dyDescent="0.25">
      <c r="A1198" s="49"/>
      <c r="B1198" s="49"/>
      <c r="C1198" s="49"/>
      <c r="D1198" s="50" t="str">
        <f t="shared" si="90"/>
        <v/>
      </c>
      <c r="E1198" s="50" t="str">
        <f t="shared" si="91"/>
        <v/>
      </c>
      <c r="F1198" s="50" t="str">
        <f t="shared" si="92"/>
        <v/>
      </c>
      <c r="G1198" s="50" t="str">
        <f t="shared" si="93"/>
        <v/>
      </c>
      <c r="H1198" s="51" t="str">
        <f>IF($C1198="","",IFERROR(DATE(G1198,VLOOKUP(E1198,Paramètres!$K$11:$L$40,2,FALSE()),F1198),"?"))</f>
        <v/>
      </c>
      <c r="I1198" s="50" t="str">
        <f>IF(ISNUMBER(H1198),IF(COUNTIFS($D$2:D1198,D1198,$H$2:H1198,H1198)=1,1,0),"")</f>
        <v/>
      </c>
      <c r="J1198" s="50" t="str">
        <f>IF(ISNUMBER(H1198),IFERROR(INDEX(Calendrier!$C$2:$C$367,MATCH(H1198,Calendrier!$A$2:$A$367,0)),0),"")</f>
        <v/>
      </c>
      <c r="K1198" s="50" t="str">
        <f t="shared" si="94"/>
        <v/>
      </c>
      <c r="L1198" s="50" t="str">
        <f>IF(D1198="","",IF(COUNTIF(Paramètres!$A$11:$A$40,D1198)&gt;0,1,0))</f>
        <v/>
      </c>
    </row>
    <row r="1199" spans="1:12" hidden="1" x14ac:dyDescent="0.25">
      <c r="A1199" s="49"/>
      <c r="B1199" s="49"/>
      <c r="C1199" s="49"/>
      <c r="D1199" s="50" t="str">
        <f t="shared" si="90"/>
        <v/>
      </c>
      <c r="E1199" s="50" t="str">
        <f t="shared" si="91"/>
        <v/>
      </c>
      <c r="F1199" s="50" t="str">
        <f t="shared" si="92"/>
        <v/>
      </c>
      <c r="G1199" s="50" t="str">
        <f t="shared" si="93"/>
        <v/>
      </c>
      <c r="H1199" s="51" t="str">
        <f>IF($C1199="","",IFERROR(DATE(G1199,VLOOKUP(E1199,Paramètres!$K$11:$L$40,2,FALSE()),F1199),"?"))</f>
        <v/>
      </c>
      <c r="I1199" s="50" t="str">
        <f>IF(ISNUMBER(H1199),IF(COUNTIFS($D$2:D1199,D1199,$H$2:H1199,H1199)=1,1,0),"")</f>
        <v/>
      </c>
      <c r="J1199" s="50" t="str">
        <f>IF(ISNUMBER(H1199),IFERROR(INDEX(Calendrier!$C$2:$C$367,MATCH(H1199,Calendrier!$A$2:$A$367,0)),0),"")</f>
        <v/>
      </c>
      <c r="K1199" s="50" t="str">
        <f t="shared" si="94"/>
        <v/>
      </c>
      <c r="L1199" s="50" t="str">
        <f>IF(D1199="","",IF(COUNTIF(Paramètres!$A$11:$A$40,D1199)&gt;0,1,0))</f>
        <v/>
      </c>
    </row>
    <row r="1200" spans="1:12" hidden="1" x14ac:dyDescent="0.25">
      <c r="A1200" s="49"/>
      <c r="B1200" s="49"/>
      <c r="C1200" s="49"/>
      <c r="D1200" s="50" t="str">
        <f t="shared" si="90"/>
        <v/>
      </c>
      <c r="E1200" s="50" t="str">
        <f t="shared" si="91"/>
        <v/>
      </c>
      <c r="F1200" s="50" t="str">
        <f t="shared" si="92"/>
        <v/>
      </c>
      <c r="G1200" s="50" t="str">
        <f t="shared" si="93"/>
        <v/>
      </c>
      <c r="H1200" s="51" t="str">
        <f>IF($C1200="","",IFERROR(DATE(G1200,VLOOKUP(E1200,Paramètres!$K$11:$L$40,2,FALSE()),F1200),"?"))</f>
        <v/>
      </c>
      <c r="I1200" s="50" t="str">
        <f>IF(ISNUMBER(H1200),IF(COUNTIFS($D$2:D1200,D1200,$H$2:H1200,H1200)=1,1,0),"")</f>
        <v/>
      </c>
      <c r="J1200" s="50" t="str">
        <f>IF(ISNUMBER(H1200),IFERROR(INDEX(Calendrier!$C$2:$C$367,MATCH(H1200,Calendrier!$A$2:$A$367,0)),0),"")</f>
        <v/>
      </c>
      <c r="K1200" s="50" t="str">
        <f t="shared" si="94"/>
        <v/>
      </c>
      <c r="L1200" s="50" t="str">
        <f>IF(D1200="","",IF(COUNTIF(Paramètres!$A$11:$A$40,D1200)&gt;0,1,0))</f>
        <v/>
      </c>
    </row>
    <row r="1201" spans="1:12" hidden="1" x14ac:dyDescent="0.25">
      <c r="A1201" s="49"/>
      <c r="B1201" s="49"/>
      <c r="C1201" s="49"/>
      <c r="D1201" s="50" t="str">
        <f t="shared" si="90"/>
        <v/>
      </c>
      <c r="E1201" s="50" t="str">
        <f t="shared" si="91"/>
        <v/>
      </c>
      <c r="F1201" s="50" t="str">
        <f t="shared" si="92"/>
        <v/>
      </c>
      <c r="G1201" s="50" t="str">
        <f t="shared" si="93"/>
        <v/>
      </c>
      <c r="H1201" s="51" t="str">
        <f>IF($C1201="","",IFERROR(DATE(G1201,VLOOKUP(E1201,Paramètres!$K$11:$L$40,2,FALSE()),F1201),"?"))</f>
        <v/>
      </c>
      <c r="I1201" s="50" t="str">
        <f>IF(ISNUMBER(H1201),IF(COUNTIFS($D$2:D1201,D1201,$H$2:H1201,H1201)=1,1,0),"")</f>
        <v/>
      </c>
      <c r="J1201" s="50" t="str">
        <f>IF(ISNUMBER(H1201),IFERROR(INDEX(Calendrier!$C$2:$C$367,MATCH(H1201,Calendrier!$A$2:$A$367,0)),0),"")</f>
        <v/>
      </c>
      <c r="K1201" s="50" t="str">
        <f t="shared" si="94"/>
        <v/>
      </c>
      <c r="L1201" s="50" t="str">
        <f>IF(D1201="","",IF(COUNTIF(Paramètres!$A$11:$A$40,D1201)&gt;0,1,0))</f>
        <v/>
      </c>
    </row>
    <row r="1202" spans="1:12" hidden="1" x14ac:dyDescent="0.25">
      <c r="A1202" s="49"/>
      <c r="B1202" s="49"/>
      <c r="C1202" s="49"/>
      <c r="D1202" s="50" t="str">
        <f t="shared" si="90"/>
        <v/>
      </c>
      <c r="E1202" s="50" t="str">
        <f t="shared" si="91"/>
        <v/>
      </c>
      <c r="F1202" s="50" t="str">
        <f t="shared" si="92"/>
        <v/>
      </c>
      <c r="G1202" s="50" t="str">
        <f t="shared" si="93"/>
        <v/>
      </c>
      <c r="H1202" s="51" t="str">
        <f>IF($C1202="","",IFERROR(DATE(G1202,VLOOKUP(E1202,Paramètres!$K$11:$L$40,2,FALSE()),F1202),"?"))</f>
        <v/>
      </c>
      <c r="I1202" s="50" t="str">
        <f>IF(ISNUMBER(H1202),IF(COUNTIFS($D$2:D1202,D1202,$H$2:H1202,H1202)=1,1,0),"")</f>
        <v/>
      </c>
      <c r="J1202" s="50" t="str">
        <f>IF(ISNUMBER(H1202),IFERROR(INDEX(Calendrier!$C$2:$C$367,MATCH(H1202,Calendrier!$A$2:$A$367,0)),0),"")</f>
        <v/>
      </c>
      <c r="K1202" s="50" t="str">
        <f t="shared" si="94"/>
        <v/>
      </c>
      <c r="L1202" s="50" t="str">
        <f>IF(D1202="","",IF(COUNTIF(Paramètres!$A$11:$A$40,D1202)&gt;0,1,0))</f>
        <v/>
      </c>
    </row>
    <row r="1203" spans="1:12" hidden="1" x14ac:dyDescent="0.25">
      <c r="A1203" s="49"/>
      <c r="B1203" s="49"/>
      <c r="C1203" s="49"/>
      <c r="D1203" s="50" t="str">
        <f t="shared" si="90"/>
        <v/>
      </c>
      <c r="E1203" s="50" t="str">
        <f t="shared" si="91"/>
        <v/>
      </c>
      <c r="F1203" s="50" t="str">
        <f t="shared" si="92"/>
        <v/>
      </c>
      <c r="G1203" s="50" t="str">
        <f t="shared" si="93"/>
        <v/>
      </c>
      <c r="H1203" s="51" t="str">
        <f>IF($C1203="","",IFERROR(DATE(G1203,VLOOKUP(E1203,Paramètres!$K$11:$L$40,2,FALSE()),F1203),"?"))</f>
        <v/>
      </c>
      <c r="I1203" s="50" t="str">
        <f>IF(ISNUMBER(H1203),IF(COUNTIFS($D$2:D1203,D1203,$H$2:H1203,H1203)=1,1,0),"")</f>
        <v/>
      </c>
      <c r="J1203" s="50" t="str">
        <f>IF(ISNUMBER(H1203),IFERROR(INDEX(Calendrier!$C$2:$C$367,MATCH(H1203,Calendrier!$A$2:$A$367,0)),0),"")</f>
        <v/>
      </c>
      <c r="K1203" s="50" t="str">
        <f t="shared" si="94"/>
        <v/>
      </c>
      <c r="L1203" s="50" t="str">
        <f>IF(D1203="","",IF(COUNTIF(Paramètres!$A$11:$A$40,D1203)&gt;0,1,0))</f>
        <v/>
      </c>
    </row>
    <row r="1204" spans="1:12" hidden="1" x14ac:dyDescent="0.25">
      <c r="A1204" s="49"/>
      <c r="B1204" s="49"/>
      <c r="C1204" s="49"/>
      <c r="D1204" s="50" t="str">
        <f t="shared" si="90"/>
        <v/>
      </c>
      <c r="E1204" s="50" t="str">
        <f t="shared" si="91"/>
        <v/>
      </c>
      <c r="F1204" s="50" t="str">
        <f t="shared" si="92"/>
        <v/>
      </c>
      <c r="G1204" s="50" t="str">
        <f t="shared" si="93"/>
        <v/>
      </c>
      <c r="H1204" s="51" t="str">
        <f>IF($C1204="","",IFERROR(DATE(G1204,VLOOKUP(E1204,Paramètres!$K$11:$L$40,2,FALSE()),F1204),"?"))</f>
        <v/>
      </c>
      <c r="I1204" s="50" t="str">
        <f>IF(ISNUMBER(H1204),IF(COUNTIFS($D$2:D1204,D1204,$H$2:H1204,H1204)=1,1,0),"")</f>
        <v/>
      </c>
      <c r="J1204" s="50" t="str">
        <f>IF(ISNUMBER(H1204),IFERROR(INDEX(Calendrier!$C$2:$C$367,MATCH(H1204,Calendrier!$A$2:$A$367,0)),0),"")</f>
        <v/>
      </c>
      <c r="K1204" s="50" t="str">
        <f t="shared" si="94"/>
        <v/>
      </c>
      <c r="L1204" s="50" t="str">
        <f>IF(D1204="","",IF(COUNTIF(Paramètres!$A$11:$A$40,D1204)&gt;0,1,0))</f>
        <v/>
      </c>
    </row>
    <row r="1205" spans="1:12" hidden="1" x14ac:dyDescent="0.25">
      <c r="A1205" s="49"/>
      <c r="B1205" s="49"/>
      <c r="C1205" s="49"/>
      <c r="D1205" s="50" t="str">
        <f t="shared" si="90"/>
        <v/>
      </c>
      <c r="E1205" s="50" t="str">
        <f t="shared" si="91"/>
        <v/>
      </c>
      <c r="F1205" s="50" t="str">
        <f t="shared" si="92"/>
        <v/>
      </c>
      <c r="G1205" s="50" t="str">
        <f t="shared" si="93"/>
        <v/>
      </c>
      <c r="H1205" s="51" t="str">
        <f>IF($C1205="","",IFERROR(DATE(G1205,VLOOKUP(E1205,Paramètres!$K$11:$L$40,2,FALSE()),F1205),"?"))</f>
        <v/>
      </c>
      <c r="I1205" s="50" t="str">
        <f>IF(ISNUMBER(H1205),IF(COUNTIFS($D$2:D1205,D1205,$H$2:H1205,H1205)=1,1,0),"")</f>
        <v/>
      </c>
      <c r="J1205" s="50" t="str">
        <f>IF(ISNUMBER(H1205),IFERROR(INDEX(Calendrier!$C$2:$C$367,MATCH(H1205,Calendrier!$A$2:$A$367,0)),0),"")</f>
        <v/>
      </c>
      <c r="K1205" s="50" t="str">
        <f t="shared" si="94"/>
        <v/>
      </c>
      <c r="L1205" s="50" t="str">
        <f>IF(D1205="","",IF(COUNTIF(Paramètres!$A$11:$A$40,D1205)&gt;0,1,0))</f>
        <v/>
      </c>
    </row>
    <row r="1206" spans="1:12" hidden="1" x14ac:dyDescent="0.25">
      <c r="A1206" s="49"/>
      <c r="B1206" s="49"/>
      <c r="C1206" s="49"/>
      <c r="D1206" s="50" t="str">
        <f t="shared" si="90"/>
        <v/>
      </c>
      <c r="E1206" s="50" t="str">
        <f t="shared" si="91"/>
        <v/>
      </c>
      <c r="F1206" s="50" t="str">
        <f t="shared" si="92"/>
        <v/>
      </c>
      <c r="G1206" s="50" t="str">
        <f t="shared" si="93"/>
        <v/>
      </c>
      <c r="H1206" s="51" t="str">
        <f>IF($C1206="","",IFERROR(DATE(G1206,VLOOKUP(E1206,Paramètres!$K$11:$L$40,2,FALSE()),F1206),"?"))</f>
        <v/>
      </c>
      <c r="I1206" s="50" t="str">
        <f>IF(ISNUMBER(H1206),IF(COUNTIFS($D$2:D1206,D1206,$H$2:H1206,H1206)=1,1,0),"")</f>
        <v/>
      </c>
      <c r="J1206" s="50" t="str">
        <f>IF(ISNUMBER(H1206),IFERROR(INDEX(Calendrier!$C$2:$C$367,MATCH(H1206,Calendrier!$A$2:$A$367,0)),0),"")</f>
        <v/>
      </c>
      <c r="K1206" s="50" t="str">
        <f t="shared" si="94"/>
        <v/>
      </c>
      <c r="L1206" s="50" t="str">
        <f>IF(D1206="","",IF(COUNTIF(Paramètres!$A$11:$A$40,D1206)&gt;0,1,0))</f>
        <v/>
      </c>
    </row>
    <row r="1207" spans="1:12" hidden="1" x14ac:dyDescent="0.25">
      <c r="A1207" s="49"/>
      <c r="B1207" s="49"/>
      <c r="C1207" s="49"/>
      <c r="D1207" s="50" t="str">
        <f t="shared" si="90"/>
        <v/>
      </c>
      <c r="E1207" s="50" t="str">
        <f t="shared" si="91"/>
        <v/>
      </c>
      <c r="F1207" s="50" t="str">
        <f t="shared" si="92"/>
        <v/>
      </c>
      <c r="G1207" s="50" t="str">
        <f t="shared" si="93"/>
        <v/>
      </c>
      <c r="H1207" s="51" t="str">
        <f>IF($C1207="","",IFERROR(DATE(G1207,VLOOKUP(E1207,Paramètres!$K$11:$L$40,2,FALSE()),F1207),"?"))</f>
        <v/>
      </c>
      <c r="I1207" s="50" t="str">
        <f>IF(ISNUMBER(H1207),IF(COUNTIFS($D$2:D1207,D1207,$H$2:H1207,H1207)=1,1,0),"")</f>
        <v/>
      </c>
      <c r="J1207" s="50" t="str">
        <f>IF(ISNUMBER(H1207),IFERROR(INDEX(Calendrier!$C$2:$C$367,MATCH(H1207,Calendrier!$A$2:$A$367,0)),0),"")</f>
        <v/>
      </c>
      <c r="K1207" s="50" t="str">
        <f t="shared" si="94"/>
        <v/>
      </c>
      <c r="L1207" s="50" t="str">
        <f>IF(D1207="","",IF(COUNTIF(Paramètres!$A$11:$A$40,D1207)&gt;0,1,0))</f>
        <v/>
      </c>
    </row>
    <row r="1208" spans="1:12" hidden="1" x14ac:dyDescent="0.25">
      <c r="A1208" s="49"/>
      <c r="B1208" s="49"/>
      <c r="C1208" s="49"/>
      <c r="D1208" s="50" t="str">
        <f t="shared" si="90"/>
        <v/>
      </c>
      <c r="E1208" s="50" t="str">
        <f t="shared" si="91"/>
        <v/>
      </c>
      <c r="F1208" s="50" t="str">
        <f t="shared" si="92"/>
        <v/>
      </c>
      <c r="G1208" s="50" t="str">
        <f t="shared" si="93"/>
        <v/>
      </c>
      <c r="H1208" s="51" t="str">
        <f>IF($C1208="","",IFERROR(DATE(G1208,VLOOKUP(E1208,Paramètres!$K$11:$L$40,2,FALSE()),F1208),"?"))</f>
        <v/>
      </c>
      <c r="I1208" s="50" t="str">
        <f>IF(ISNUMBER(H1208),IF(COUNTIFS($D$2:D1208,D1208,$H$2:H1208,H1208)=1,1,0),"")</f>
        <v/>
      </c>
      <c r="J1208" s="50" t="str">
        <f>IF(ISNUMBER(H1208),IFERROR(INDEX(Calendrier!$C$2:$C$367,MATCH(H1208,Calendrier!$A$2:$A$367,0)),0),"")</f>
        <v/>
      </c>
      <c r="K1208" s="50" t="str">
        <f t="shared" si="94"/>
        <v/>
      </c>
      <c r="L1208" s="50" t="str">
        <f>IF(D1208="","",IF(COUNTIF(Paramètres!$A$11:$A$40,D1208)&gt;0,1,0))</f>
        <v/>
      </c>
    </row>
    <row r="1209" spans="1:12" hidden="1" x14ac:dyDescent="0.25">
      <c r="A1209" s="49"/>
      <c r="B1209" s="49"/>
      <c r="C1209" s="49"/>
      <c r="D1209" s="50" t="str">
        <f t="shared" si="90"/>
        <v/>
      </c>
      <c r="E1209" s="50" t="str">
        <f t="shared" si="91"/>
        <v/>
      </c>
      <c r="F1209" s="50" t="str">
        <f t="shared" si="92"/>
        <v/>
      </c>
      <c r="G1209" s="50" t="str">
        <f t="shared" si="93"/>
        <v/>
      </c>
      <c r="H1209" s="51" t="str">
        <f>IF($C1209="","",IFERROR(DATE(G1209,VLOOKUP(E1209,Paramètres!$K$11:$L$40,2,FALSE()),F1209),"?"))</f>
        <v/>
      </c>
      <c r="I1209" s="50" t="str">
        <f>IF(ISNUMBER(H1209),IF(COUNTIFS($D$2:D1209,D1209,$H$2:H1209,H1209)=1,1,0),"")</f>
        <v/>
      </c>
      <c r="J1209" s="50" t="str">
        <f>IF(ISNUMBER(H1209),IFERROR(INDEX(Calendrier!$C$2:$C$367,MATCH(H1209,Calendrier!$A$2:$A$367,0)),0),"")</f>
        <v/>
      </c>
      <c r="K1209" s="50" t="str">
        <f t="shared" si="94"/>
        <v/>
      </c>
      <c r="L1209" s="50" t="str">
        <f>IF(D1209="","",IF(COUNTIF(Paramètres!$A$11:$A$40,D1209)&gt;0,1,0))</f>
        <v/>
      </c>
    </row>
    <row r="1210" spans="1:12" hidden="1" x14ac:dyDescent="0.25">
      <c r="A1210" s="49"/>
      <c r="B1210" s="49"/>
      <c r="C1210" s="49"/>
      <c r="D1210" s="50" t="str">
        <f t="shared" si="90"/>
        <v/>
      </c>
      <c r="E1210" s="50" t="str">
        <f t="shared" si="91"/>
        <v/>
      </c>
      <c r="F1210" s="50" t="str">
        <f t="shared" si="92"/>
        <v/>
      </c>
      <c r="G1210" s="50" t="str">
        <f t="shared" si="93"/>
        <v/>
      </c>
      <c r="H1210" s="51" t="str">
        <f>IF($C1210="","",IFERROR(DATE(G1210,VLOOKUP(E1210,Paramètres!$K$11:$L$40,2,FALSE()),F1210),"?"))</f>
        <v/>
      </c>
      <c r="I1210" s="50" t="str">
        <f>IF(ISNUMBER(H1210),IF(COUNTIFS($D$2:D1210,D1210,$H$2:H1210,H1210)=1,1,0),"")</f>
        <v/>
      </c>
      <c r="J1210" s="50" t="str">
        <f>IF(ISNUMBER(H1210),IFERROR(INDEX(Calendrier!$C$2:$C$367,MATCH(H1210,Calendrier!$A$2:$A$367,0)),0),"")</f>
        <v/>
      </c>
      <c r="K1210" s="50" t="str">
        <f t="shared" si="94"/>
        <v/>
      </c>
      <c r="L1210" s="50" t="str">
        <f>IF(D1210="","",IF(COUNTIF(Paramètres!$A$11:$A$40,D1210)&gt;0,1,0))</f>
        <v/>
      </c>
    </row>
    <row r="1211" spans="1:12" hidden="1" x14ac:dyDescent="0.25">
      <c r="A1211" s="49"/>
      <c r="B1211" s="49"/>
      <c r="C1211" s="49"/>
      <c r="D1211" s="50" t="str">
        <f t="shared" si="90"/>
        <v/>
      </c>
      <c r="E1211" s="50" t="str">
        <f t="shared" si="91"/>
        <v/>
      </c>
      <c r="F1211" s="50" t="str">
        <f t="shared" si="92"/>
        <v/>
      </c>
      <c r="G1211" s="50" t="str">
        <f t="shared" si="93"/>
        <v/>
      </c>
      <c r="H1211" s="51" t="str">
        <f>IF($C1211="","",IFERROR(DATE(G1211,VLOOKUP(E1211,Paramètres!$K$11:$L$40,2,FALSE()),F1211),"?"))</f>
        <v/>
      </c>
      <c r="I1211" s="50" t="str">
        <f>IF(ISNUMBER(H1211),IF(COUNTIFS($D$2:D1211,D1211,$H$2:H1211,H1211)=1,1,0),"")</f>
        <v/>
      </c>
      <c r="J1211" s="50" t="str">
        <f>IF(ISNUMBER(H1211),IFERROR(INDEX(Calendrier!$C$2:$C$367,MATCH(H1211,Calendrier!$A$2:$A$367,0)),0),"")</f>
        <v/>
      </c>
      <c r="K1211" s="50" t="str">
        <f t="shared" si="94"/>
        <v/>
      </c>
      <c r="L1211" s="50" t="str">
        <f>IF(D1211="","",IF(COUNTIF(Paramètres!$A$11:$A$40,D1211)&gt;0,1,0))</f>
        <v/>
      </c>
    </row>
    <row r="1212" spans="1:12" hidden="1" x14ac:dyDescent="0.25">
      <c r="A1212" s="49"/>
      <c r="B1212" s="49"/>
      <c r="C1212" s="49"/>
      <c r="D1212" s="50" t="str">
        <f t="shared" si="90"/>
        <v/>
      </c>
      <c r="E1212" s="50" t="str">
        <f t="shared" si="91"/>
        <v/>
      </c>
      <c r="F1212" s="50" t="str">
        <f t="shared" si="92"/>
        <v/>
      </c>
      <c r="G1212" s="50" t="str">
        <f t="shared" si="93"/>
        <v/>
      </c>
      <c r="H1212" s="51" t="str">
        <f>IF($C1212="","",IFERROR(DATE(G1212,VLOOKUP(E1212,Paramètres!$K$11:$L$40,2,FALSE()),F1212),"?"))</f>
        <v/>
      </c>
      <c r="I1212" s="50" t="str">
        <f>IF(ISNUMBER(H1212),IF(COUNTIFS($D$2:D1212,D1212,$H$2:H1212,H1212)=1,1,0),"")</f>
        <v/>
      </c>
      <c r="J1212" s="50" t="str">
        <f>IF(ISNUMBER(H1212),IFERROR(INDEX(Calendrier!$C$2:$C$367,MATCH(H1212,Calendrier!$A$2:$A$367,0)),0),"")</f>
        <v/>
      </c>
      <c r="K1212" s="50" t="str">
        <f t="shared" si="94"/>
        <v/>
      </c>
      <c r="L1212" s="50" t="str">
        <f>IF(D1212="","",IF(COUNTIF(Paramètres!$A$11:$A$40,D1212)&gt;0,1,0))</f>
        <v/>
      </c>
    </row>
    <row r="1213" spans="1:12" hidden="1" x14ac:dyDescent="0.25">
      <c r="A1213" s="49"/>
      <c r="B1213" s="49"/>
      <c r="C1213" s="49"/>
      <c r="D1213" s="50" t="str">
        <f t="shared" si="90"/>
        <v/>
      </c>
      <c r="E1213" s="50" t="str">
        <f t="shared" si="91"/>
        <v/>
      </c>
      <c r="F1213" s="50" t="str">
        <f t="shared" si="92"/>
        <v/>
      </c>
      <c r="G1213" s="50" t="str">
        <f t="shared" si="93"/>
        <v/>
      </c>
      <c r="H1213" s="51" t="str">
        <f>IF($C1213="","",IFERROR(DATE(G1213,VLOOKUP(E1213,Paramètres!$K$11:$L$40,2,FALSE()),F1213),"?"))</f>
        <v/>
      </c>
      <c r="I1213" s="50" t="str">
        <f>IF(ISNUMBER(H1213),IF(COUNTIFS($D$2:D1213,D1213,$H$2:H1213,H1213)=1,1,0),"")</f>
        <v/>
      </c>
      <c r="J1213" s="50" t="str">
        <f>IF(ISNUMBER(H1213),IFERROR(INDEX(Calendrier!$C$2:$C$367,MATCH(H1213,Calendrier!$A$2:$A$367,0)),0),"")</f>
        <v/>
      </c>
      <c r="K1213" s="50" t="str">
        <f t="shared" si="94"/>
        <v/>
      </c>
      <c r="L1213" s="50" t="str">
        <f>IF(D1213="","",IF(COUNTIF(Paramètres!$A$11:$A$40,D1213)&gt;0,1,0))</f>
        <v/>
      </c>
    </row>
    <row r="1214" spans="1:12" hidden="1" x14ac:dyDescent="0.25">
      <c r="A1214" s="49"/>
      <c r="B1214" s="49"/>
      <c r="C1214" s="49"/>
      <c r="D1214" s="50" t="str">
        <f t="shared" si="90"/>
        <v/>
      </c>
      <c r="E1214" s="50" t="str">
        <f t="shared" si="91"/>
        <v/>
      </c>
      <c r="F1214" s="50" t="str">
        <f t="shared" si="92"/>
        <v/>
      </c>
      <c r="G1214" s="50" t="str">
        <f t="shared" si="93"/>
        <v/>
      </c>
      <c r="H1214" s="51" t="str">
        <f>IF($C1214="","",IFERROR(DATE(G1214,VLOOKUP(E1214,Paramètres!$K$11:$L$40,2,FALSE()),F1214),"?"))</f>
        <v/>
      </c>
      <c r="I1214" s="50" t="str">
        <f>IF(ISNUMBER(H1214),IF(COUNTIFS($D$2:D1214,D1214,$H$2:H1214,H1214)=1,1,0),"")</f>
        <v/>
      </c>
      <c r="J1214" s="50" t="str">
        <f>IF(ISNUMBER(H1214),IFERROR(INDEX(Calendrier!$C$2:$C$367,MATCH(H1214,Calendrier!$A$2:$A$367,0)),0),"")</f>
        <v/>
      </c>
      <c r="K1214" s="50" t="str">
        <f t="shared" si="94"/>
        <v/>
      </c>
      <c r="L1214" s="50" t="str">
        <f>IF(D1214="","",IF(COUNTIF(Paramètres!$A$11:$A$40,D1214)&gt;0,1,0))</f>
        <v/>
      </c>
    </row>
    <row r="1215" spans="1:12" hidden="1" x14ac:dyDescent="0.25">
      <c r="A1215" s="49"/>
      <c r="B1215" s="49"/>
      <c r="C1215" s="49"/>
      <c r="D1215" s="50" t="str">
        <f t="shared" si="90"/>
        <v/>
      </c>
      <c r="E1215" s="50" t="str">
        <f t="shared" si="91"/>
        <v/>
      </c>
      <c r="F1215" s="50" t="str">
        <f t="shared" si="92"/>
        <v/>
      </c>
      <c r="G1215" s="50" t="str">
        <f t="shared" si="93"/>
        <v/>
      </c>
      <c r="H1215" s="51" t="str">
        <f>IF($C1215="","",IFERROR(DATE(G1215,VLOOKUP(E1215,Paramètres!$K$11:$L$40,2,FALSE()),F1215),"?"))</f>
        <v/>
      </c>
      <c r="I1215" s="50" t="str">
        <f>IF(ISNUMBER(H1215),IF(COUNTIFS($D$2:D1215,D1215,$H$2:H1215,H1215)=1,1,0),"")</f>
        <v/>
      </c>
      <c r="J1215" s="50" t="str">
        <f>IF(ISNUMBER(H1215),IFERROR(INDEX(Calendrier!$C$2:$C$367,MATCH(H1215,Calendrier!$A$2:$A$367,0)),0),"")</f>
        <v/>
      </c>
      <c r="K1215" s="50" t="str">
        <f t="shared" si="94"/>
        <v/>
      </c>
      <c r="L1215" s="50" t="str">
        <f>IF(D1215="","",IF(COUNTIF(Paramètres!$A$11:$A$40,D1215)&gt;0,1,0))</f>
        <v/>
      </c>
    </row>
    <row r="1216" spans="1:12" hidden="1" x14ac:dyDescent="0.25">
      <c r="A1216" s="49"/>
      <c r="B1216" s="49"/>
      <c r="C1216" s="49"/>
      <c r="D1216" s="50" t="str">
        <f t="shared" si="90"/>
        <v/>
      </c>
      <c r="E1216" s="50" t="str">
        <f t="shared" si="91"/>
        <v/>
      </c>
      <c r="F1216" s="50" t="str">
        <f t="shared" si="92"/>
        <v/>
      </c>
      <c r="G1216" s="50" t="str">
        <f t="shared" si="93"/>
        <v/>
      </c>
      <c r="H1216" s="51" t="str">
        <f>IF($C1216="","",IFERROR(DATE(G1216,VLOOKUP(E1216,Paramètres!$K$11:$L$40,2,FALSE()),F1216),"?"))</f>
        <v/>
      </c>
      <c r="I1216" s="50" t="str">
        <f>IF(ISNUMBER(H1216),IF(COUNTIFS($D$2:D1216,D1216,$H$2:H1216,H1216)=1,1,0),"")</f>
        <v/>
      </c>
      <c r="J1216" s="50" t="str">
        <f>IF(ISNUMBER(H1216),IFERROR(INDEX(Calendrier!$C$2:$C$367,MATCH(H1216,Calendrier!$A$2:$A$367,0)),0),"")</f>
        <v/>
      </c>
      <c r="K1216" s="50" t="str">
        <f t="shared" si="94"/>
        <v/>
      </c>
      <c r="L1216" s="50" t="str">
        <f>IF(D1216="","",IF(COUNTIF(Paramètres!$A$11:$A$40,D1216)&gt;0,1,0))</f>
        <v/>
      </c>
    </row>
    <row r="1217" spans="1:12" hidden="1" x14ac:dyDescent="0.25">
      <c r="A1217" s="49"/>
      <c r="B1217" s="49"/>
      <c r="C1217" s="49"/>
      <c r="D1217" s="50" t="str">
        <f t="shared" si="90"/>
        <v/>
      </c>
      <c r="E1217" s="50" t="str">
        <f t="shared" si="91"/>
        <v/>
      </c>
      <c r="F1217" s="50" t="str">
        <f t="shared" si="92"/>
        <v/>
      </c>
      <c r="G1217" s="50" t="str">
        <f t="shared" si="93"/>
        <v/>
      </c>
      <c r="H1217" s="51" t="str">
        <f>IF($C1217="","",IFERROR(DATE(G1217,VLOOKUP(E1217,Paramètres!$K$11:$L$40,2,FALSE()),F1217),"?"))</f>
        <v/>
      </c>
      <c r="I1217" s="50" t="str">
        <f>IF(ISNUMBER(H1217),IF(COUNTIFS($D$2:D1217,D1217,$H$2:H1217,H1217)=1,1,0),"")</f>
        <v/>
      </c>
      <c r="J1217" s="50" t="str">
        <f>IF(ISNUMBER(H1217),IFERROR(INDEX(Calendrier!$C$2:$C$367,MATCH(H1217,Calendrier!$A$2:$A$367,0)),0),"")</f>
        <v/>
      </c>
      <c r="K1217" s="50" t="str">
        <f t="shared" si="94"/>
        <v/>
      </c>
      <c r="L1217" s="50" t="str">
        <f>IF(D1217="","",IF(COUNTIF(Paramètres!$A$11:$A$40,D1217)&gt;0,1,0))</f>
        <v/>
      </c>
    </row>
    <row r="1218" spans="1:12" hidden="1" x14ac:dyDescent="0.25">
      <c r="A1218" s="49"/>
      <c r="B1218" s="49"/>
      <c r="C1218" s="49"/>
      <c r="D1218" s="50" t="str">
        <f t="shared" ref="D1218:D1281" si="95">IF(B1218="","",TRIM(B1218))</f>
        <v/>
      </c>
      <c r="E1218" s="50" t="str">
        <f t="shared" ref="E1218:E1281" si="96">IF($C1218="","",LEFT($C1218,FIND(" ",$C1218)-1))</f>
        <v/>
      </c>
      <c r="F1218" s="50" t="str">
        <f t="shared" ref="F1218:F1281" si="97">IF($C1218="","",IFERROR(VALUE(LEFT(MID($C1218,FIND(" ",$C1218)+1,20),FIND(" ",MID($C1218,FIND(" ",$C1218)+1,20))-1)),"?"))</f>
        <v/>
      </c>
      <c r="G1218" s="50" t="str">
        <f t="shared" ref="G1218:G1281" si="98">IF($C1218="","",IFERROR(VALUE(MID(MID($C1218,FIND(" ",$C1218)+1,20),FIND(" ",MID($C1218,FIND(" ",$C1218)+1,20))+1,4)),"?"))</f>
        <v/>
      </c>
      <c r="H1218" s="51" t="str">
        <f>IF($C1218="","",IFERROR(DATE(G1218,VLOOKUP(E1218,Paramètres!$K$11:$L$40,2,FALSE()),F1218),"?"))</f>
        <v/>
      </c>
      <c r="I1218" s="50" t="str">
        <f>IF(ISNUMBER(H1218),IF(COUNTIFS($D$2:D1218,D1218,$H$2:H1218,H1218)=1,1,0),"")</f>
        <v/>
      </c>
      <c r="J1218" s="50" t="str">
        <f>IF(ISNUMBER(H1218),IFERROR(INDEX(Calendrier!$C$2:$C$367,MATCH(H1218,Calendrier!$A$2:$A$367,0)),0),"")</f>
        <v/>
      </c>
      <c r="K1218" s="50" t="str">
        <f t="shared" ref="K1218:K1281" si="99">IF(ISNUMBER(H1218),I1218*J1218,"")</f>
        <v/>
      </c>
      <c r="L1218" s="50" t="str">
        <f>IF(D1218="","",IF(COUNTIF(Paramètres!$A$11:$A$40,D1218)&gt;0,1,0))</f>
        <v/>
      </c>
    </row>
    <row r="1219" spans="1:12" hidden="1" x14ac:dyDescent="0.25">
      <c r="A1219" s="49"/>
      <c r="B1219" s="49"/>
      <c r="C1219" s="49"/>
      <c r="D1219" s="50" t="str">
        <f t="shared" si="95"/>
        <v/>
      </c>
      <c r="E1219" s="50" t="str">
        <f t="shared" si="96"/>
        <v/>
      </c>
      <c r="F1219" s="50" t="str">
        <f t="shared" si="97"/>
        <v/>
      </c>
      <c r="G1219" s="50" t="str">
        <f t="shared" si="98"/>
        <v/>
      </c>
      <c r="H1219" s="51" t="str">
        <f>IF($C1219="","",IFERROR(DATE(G1219,VLOOKUP(E1219,Paramètres!$K$11:$L$40,2,FALSE()),F1219),"?"))</f>
        <v/>
      </c>
      <c r="I1219" s="50" t="str">
        <f>IF(ISNUMBER(H1219),IF(COUNTIFS($D$2:D1219,D1219,$H$2:H1219,H1219)=1,1,0),"")</f>
        <v/>
      </c>
      <c r="J1219" s="50" t="str">
        <f>IF(ISNUMBER(H1219),IFERROR(INDEX(Calendrier!$C$2:$C$367,MATCH(H1219,Calendrier!$A$2:$A$367,0)),0),"")</f>
        <v/>
      </c>
      <c r="K1219" s="50" t="str">
        <f t="shared" si="99"/>
        <v/>
      </c>
      <c r="L1219" s="50" t="str">
        <f>IF(D1219="","",IF(COUNTIF(Paramètres!$A$11:$A$40,D1219)&gt;0,1,0))</f>
        <v/>
      </c>
    </row>
    <row r="1220" spans="1:12" hidden="1" x14ac:dyDescent="0.25">
      <c r="A1220" s="49"/>
      <c r="B1220" s="49"/>
      <c r="C1220" s="49"/>
      <c r="D1220" s="50" t="str">
        <f t="shared" si="95"/>
        <v/>
      </c>
      <c r="E1220" s="50" t="str">
        <f t="shared" si="96"/>
        <v/>
      </c>
      <c r="F1220" s="50" t="str">
        <f t="shared" si="97"/>
        <v/>
      </c>
      <c r="G1220" s="50" t="str">
        <f t="shared" si="98"/>
        <v/>
      </c>
      <c r="H1220" s="51" t="str">
        <f>IF($C1220="","",IFERROR(DATE(G1220,VLOOKUP(E1220,Paramètres!$K$11:$L$40,2,FALSE()),F1220),"?"))</f>
        <v/>
      </c>
      <c r="I1220" s="50" t="str">
        <f>IF(ISNUMBER(H1220),IF(COUNTIFS($D$2:D1220,D1220,$H$2:H1220,H1220)=1,1,0),"")</f>
        <v/>
      </c>
      <c r="J1220" s="50" t="str">
        <f>IF(ISNUMBER(H1220),IFERROR(INDEX(Calendrier!$C$2:$C$367,MATCH(H1220,Calendrier!$A$2:$A$367,0)),0),"")</f>
        <v/>
      </c>
      <c r="K1220" s="50" t="str">
        <f t="shared" si="99"/>
        <v/>
      </c>
      <c r="L1220" s="50" t="str">
        <f>IF(D1220="","",IF(COUNTIF(Paramètres!$A$11:$A$40,D1220)&gt;0,1,0))</f>
        <v/>
      </c>
    </row>
    <row r="1221" spans="1:12" hidden="1" x14ac:dyDescent="0.25">
      <c r="A1221" s="49"/>
      <c r="B1221" s="49"/>
      <c r="C1221" s="49"/>
      <c r="D1221" s="50" t="str">
        <f t="shared" si="95"/>
        <v/>
      </c>
      <c r="E1221" s="50" t="str">
        <f t="shared" si="96"/>
        <v/>
      </c>
      <c r="F1221" s="50" t="str">
        <f t="shared" si="97"/>
        <v/>
      </c>
      <c r="G1221" s="50" t="str">
        <f t="shared" si="98"/>
        <v/>
      </c>
      <c r="H1221" s="51" t="str">
        <f>IF($C1221="","",IFERROR(DATE(G1221,VLOOKUP(E1221,Paramètres!$K$11:$L$40,2,FALSE()),F1221),"?"))</f>
        <v/>
      </c>
      <c r="I1221" s="50" t="str">
        <f>IF(ISNUMBER(H1221),IF(COUNTIFS($D$2:D1221,D1221,$H$2:H1221,H1221)=1,1,0),"")</f>
        <v/>
      </c>
      <c r="J1221" s="50" t="str">
        <f>IF(ISNUMBER(H1221),IFERROR(INDEX(Calendrier!$C$2:$C$367,MATCH(H1221,Calendrier!$A$2:$A$367,0)),0),"")</f>
        <v/>
      </c>
      <c r="K1221" s="50" t="str">
        <f t="shared" si="99"/>
        <v/>
      </c>
      <c r="L1221" s="50" t="str">
        <f>IF(D1221="","",IF(COUNTIF(Paramètres!$A$11:$A$40,D1221)&gt;0,1,0))</f>
        <v/>
      </c>
    </row>
    <row r="1222" spans="1:12" hidden="1" x14ac:dyDescent="0.25">
      <c r="A1222" s="49"/>
      <c r="B1222" s="49"/>
      <c r="C1222" s="49"/>
      <c r="D1222" s="50" t="str">
        <f t="shared" si="95"/>
        <v/>
      </c>
      <c r="E1222" s="50" t="str">
        <f t="shared" si="96"/>
        <v/>
      </c>
      <c r="F1222" s="50" t="str">
        <f t="shared" si="97"/>
        <v/>
      </c>
      <c r="G1222" s="50" t="str">
        <f t="shared" si="98"/>
        <v/>
      </c>
      <c r="H1222" s="51" t="str">
        <f>IF($C1222="","",IFERROR(DATE(G1222,VLOOKUP(E1222,Paramètres!$K$11:$L$40,2,FALSE()),F1222),"?"))</f>
        <v/>
      </c>
      <c r="I1222" s="50" t="str">
        <f>IF(ISNUMBER(H1222),IF(COUNTIFS($D$2:D1222,D1222,$H$2:H1222,H1222)=1,1,0),"")</f>
        <v/>
      </c>
      <c r="J1222" s="50" t="str">
        <f>IF(ISNUMBER(H1222),IFERROR(INDEX(Calendrier!$C$2:$C$367,MATCH(H1222,Calendrier!$A$2:$A$367,0)),0),"")</f>
        <v/>
      </c>
      <c r="K1222" s="50" t="str">
        <f t="shared" si="99"/>
        <v/>
      </c>
      <c r="L1222" s="50" t="str">
        <f>IF(D1222="","",IF(COUNTIF(Paramètres!$A$11:$A$40,D1222)&gt;0,1,0))</f>
        <v/>
      </c>
    </row>
    <row r="1223" spans="1:12" hidden="1" x14ac:dyDescent="0.25">
      <c r="A1223" s="49"/>
      <c r="B1223" s="49"/>
      <c r="C1223" s="49"/>
      <c r="D1223" s="50" t="str">
        <f t="shared" si="95"/>
        <v/>
      </c>
      <c r="E1223" s="50" t="str">
        <f t="shared" si="96"/>
        <v/>
      </c>
      <c r="F1223" s="50" t="str">
        <f t="shared" si="97"/>
        <v/>
      </c>
      <c r="G1223" s="50" t="str">
        <f t="shared" si="98"/>
        <v/>
      </c>
      <c r="H1223" s="51" t="str">
        <f>IF($C1223="","",IFERROR(DATE(G1223,VLOOKUP(E1223,Paramètres!$K$11:$L$40,2,FALSE()),F1223),"?"))</f>
        <v/>
      </c>
      <c r="I1223" s="50" t="str">
        <f>IF(ISNUMBER(H1223),IF(COUNTIFS($D$2:D1223,D1223,$H$2:H1223,H1223)=1,1,0),"")</f>
        <v/>
      </c>
      <c r="J1223" s="50" t="str">
        <f>IF(ISNUMBER(H1223),IFERROR(INDEX(Calendrier!$C$2:$C$367,MATCH(H1223,Calendrier!$A$2:$A$367,0)),0),"")</f>
        <v/>
      </c>
      <c r="K1223" s="50" t="str">
        <f t="shared" si="99"/>
        <v/>
      </c>
      <c r="L1223" s="50" t="str">
        <f>IF(D1223="","",IF(COUNTIF(Paramètres!$A$11:$A$40,D1223)&gt;0,1,0))</f>
        <v/>
      </c>
    </row>
    <row r="1224" spans="1:12" hidden="1" x14ac:dyDescent="0.25">
      <c r="A1224" s="49"/>
      <c r="B1224" s="49"/>
      <c r="C1224" s="49"/>
      <c r="D1224" s="50" t="str">
        <f t="shared" si="95"/>
        <v/>
      </c>
      <c r="E1224" s="50" t="str">
        <f t="shared" si="96"/>
        <v/>
      </c>
      <c r="F1224" s="50" t="str">
        <f t="shared" si="97"/>
        <v/>
      </c>
      <c r="G1224" s="50" t="str">
        <f t="shared" si="98"/>
        <v/>
      </c>
      <c r="H1224" s="51" t="str">
        <f>IF($C1224="","",IFERROR(DATE(G1224,VLOOKUP(E1224,Paramètres!$K$11:$L$40,2,FALSE()),F1224),"?"))</f>
        <v/>
      </c>
      <c r="I1224" s="50" t="str">
        <f>IF(ISNUMBER(H1224),IF(COUNTIFS($D$2:D1224,D1224,$H$2:H1224,H1224)=1,1,0),"")</f>
        <v/>
      </c>
      <c r="J1224" s="50" t="str">
        <f>IF(ISNUMBER(H1224),IFERROR(INDEX(Calendrier!$C$2:$C$367,MATCH(H1224,Calendrier!$A$2:$A$367,0)),0),"")</f>
        <v/>
      </c>
      <c r="K1224" s="50" t="str">
        <f t="shared" si="99"/>
        <v/>
      </c>
      <c r="L1224" s="50" t="str">
        <f>IF(D1224="","",IF(COUNTIF(Paramètres!$A$11:$A$40,D1224)&gt;0,1,0))</f>
        <v/>
      </c>
    </row>
    <row r="1225" spans="1:12" hidden="1" x14ac:dyDescent="0.25">
      <c r="A1225" s="49"/>
      <c r="B1225" s="49"/>
      <c r="C1225" s="49"/>
      <c r="D1225" s="50" t="str">
        <f t="shared" si="95"/>
        <v/>
      </c>
      <c r="E1225" s="50" t="str">
        <f t="shared" si="96"/>
        <v/>
      </c>
      <c r="F1225" s="50" t="str">
        <f t="shared" si="97"/>
        <v/>
      </c>
      <c r="G1225" s="50" t="str">
        <f t="shared" si="98"/>
        <v/>
      </c>
      <c r="H1225" s="51" t="str">
        <f>IF($C1225="","",IFERROR(DATE(G1225,VLOOKUP(E1225,Paramètres!$K$11:$L$40,2,FALSE()),F1225),"?"))</f>
        <v/>
      </c>
      <c r="I1225" s="50" t="str">
        <f>IF(ISNUMBER(H1225),IF(COUNTIFS($D$2:D1225,D1225,$H$2:H1225,H1225)=1,1,0),"")</f>
        <v/>
      </c>
      <c r="J1225" s="50" t="str">
        <f>IF(ISNUMBER(H1225),IFERROR(INDEX(Calendrier!$C$2:$C$367,MATCH(H1225,Calendrier!$A$2:$A$367,0)),0),"")</f>
        <v/>
      </c>
      <c r="K1225" s="50" t="str">
        <f t="shared" si="99"/>
        <v/>
      </c>
      <c r="L1225" s="50" t="str">
        <f>IF(D1225="","",IF(COUNTIF(Paramètres!$A$11:$A$40,D1225)&gt;0,1,0))</f>
        <v/>
      </c>
    </row>
    <row r="1226" spans="1:12" hidden="1" x14ac:dyDescent="0.25">
      <c r="A1226" s="49"/>
      <c r="B1226" s="49"/>
      <c r="C1226" s="49"/>
      <c r="D1226" s="50" t="str">
        <f t="shared" si="95"/>
        <v/>
      </c>
      <c r="E1226" s="50" t="str">
        <f t="shared" si="96"/>
        <v/>
      </c>
      <c r="F1226" s="50" t="str">
        <f t="shared" si="97"/>
        <v/>
      </c>
      <c r="G1226" s="50" t="str">
        <f t="shared" si="98"/>
        <v/>
      </c>
      <c r="H1226" s="51" t="str">
        <f>IF($C1226="","",IFERROR(DATE(G1226,VLOOKUP(E1226,Paramètres!$K$11:$L$40,2,FALSE()),F1226),"?"))</f>
        <v/>
      </c>
      <c r="I1226" s="50" t="str">
        <f>IF(ISNUMBER(H1226),IF(COUNTIFS($D$2:D1226,D1226,$H$2:H1226,H1226)=1,1,0),"")</f>
        <v/>
      </c>
      <c r="J1226" s="50" t="str">
        <f>IF(ISNUMBER(H1226),IFERROR(INDEX(Calendrier!$C$2:$C$367,MATCH(H1226,Calendrier!$A$2:$A$367,0)),0),"")</f>
        <v/>
      </c>
      <c r="K1226" s="50" t="str">
        <f t="shared" si="99"/>
        <v/>
      </c>
      <c r="L1226" s="50" t="str">
        <f>IF(D1226="","",IF(COUNTIF(Paramètres!$A$11:$A$40,D1226)&gt;0,1,0))</f>
        <v/>
      </c>
    </row>
    <row r="1227" spans="1:12" hidden="1" x14ac:dyDescent="0.25">
      <c r="A1227" s="49"/>
      <c r="B1227" s="49"/>
      <c r="C1227" s="49"/>
      <c r="D1227" s="50" t="str">
        <f t="shared" si="95"/>
        <v/>
      </c>
      <c r="E1227" s="50" t="str">
        <f t="shared" si="96"/>
        <v/>
      </c>
      <c r="F1227" s="50" t="str">
        <f t="shared" si="97"/>
        <v/>
      </c>
      <c r="G1227" s="50" t="str">
        <f t="shared" si="98"/>
        <v/>
      </c>
      <c r="H1227" s="51" t="str">
        <f>IF($C1227="","",IFERROR(DATE(G1227,VLOOKUP(E1227,Paramètres!$K$11:$L$40,2,FALSE()),F1227),"?"))</f>
        <v/>
      </c>
      <c r="I1227" s="50" t="str">
        <f>IF(ISNUMBER(H1227),IF(COUNTIFS($D$2:D1227,D1227,$H$2:H1227,H1227)=1,1,0),"")</f>
        <v/>
      </c>
      <c r="J1227" s="50" t="str">
        <f>IF(ISNUMBER(H1227),IFERROR(INDEX(Calendrier!$C$2:$C$367,MATCH(H1227,Calendrier!$A$2:$A$367,0)),0),"")</f>
        <v/>
      </c>
      <c r="K1227" s="50" t="str">
        <f t="shared" si="99"/>
        <v/>
      </c>
      <c r="L1227" s="50" t="str">
        <f>IF(D1227="","",IF(COUNTIF(Paramètres!$A$11:$A$40,D1227)&gt;0,1,0))</f>
        <v/>
      </c>
    </row>
    <row r="1228" spans="1:12" hidden="1" x14ac:dyDescent="0.25">
      <c r="A1228" s="49"/>
      <c r="B1228" s="49"/>
      <c r="C1228" s="49"/>
      <c r="D1228" s="50" t="str">
        <f t="shared" si="95"/>
        <v/>
      </c>
      <c r="E1228" s="50" t="str">
        <f t="shared" si="96"/>
        <v/>
      </c>
      <c r="F1228" s="50" t="str">
        <f t="shared" si="97"/>
        <v/>
      </c>
      <c r="G1228" s="50" t="str">
        <f t="shared" si="98"/>
        <v/>
      </c>
      <c r="H1228" s="51" t="str">
        <f>IF($C1228="","",IFERROR(DATE(G1228,VLOOKUP(E1228,Paramètres!$K$11:$L$40,2,FALSE()),F1228),"?"))</f>
        <v/>
      </c>
      <c r="I1228" s="50" t="str">
        <f>IF(ISNUMBER(H1228),IF(COUNTIFS($D$2:D1228,D1228,$H$2:H1228,H1228)=1,1,0),"")</f>
        <v/>
      </c>
      <c r="J1228" s="50" t="str">
        <f>IF(ISNUMBER(H1228),IFERROR(INDEX(Calendrier!$C$2:$C$367,MATCH(H1228,Calendrier!$A$2:$A$367,0)),0),"")</f>
        <v/>
      </c>
      <c r="K1228" s="50" t="str">
        <f t="shared" si="99"/>
        <v/>
      </c>
      <c r="L1228" s="50" t="str">
        <f>IF(D1228="","",IF(COUNTIF(Paramètres!$A$11:$A$40,D1228)&gt;0,1,0))</f>
        <v/>
      </c>
    </row>
    <row r="1229" spans="1:12" hidden="1" x14ac:dyDescent="0.25">
      <c r="A1229" s="49"/>
      <c r="B1229" s="49"/>
      <c r="C1229" s="49"/>
      <c r="D1229" s="50" t="str">
        <f t="shared" si="95"/>
        <v/>
      </c>
      <c r="E1229" s="50" t="str">
        <f t="shared" si="96"/>
        <v/>
      </c>
      <c r="F1229" s="50" t="str">
        <f t="shared" si="97"/>
        <v/>
      </c>
      <c r="G1229" s="50" t="str">
        <f t="shared" si="98"/>
        <v/>
      </c>
      <c r="H1229" s="51" t="str">
        <f>IF($C1229="","",IFERROR(DATE(G1229,VLOOKUP(E1229,Paramètres!$K$11:$L$40,2,FALSE()),F1229),"?"))</f>
        <v/>
      </c>
      <c r="I1229" s="50" t="str">
        <f>IF(ISNUMBER(H1229),IF(COUNTIFS($D$2:D1229,D1229,$H$2:H1229,H1229)=1,1,0),"")</f>
        <v/>
      </c>
      <c r="J1229" s="50" t="str">
        <f>IF(ISNUMBER(H1229),IFERROR(INDEX(Calendrier!$C$2:$C$367,MATCH(H1229,Calendrier!$A$2:$A$367,0)),0),"")</f>
        <v/>
      </c>
      <c r="K1229" s="50" t="str">
        <f t="shared" si="99"/>
        <v/>
      </c>
      <c r="L1229" s="50" t="str">
        <f>IF(D1229="","",IF(COUNTIF(Paramètres!$A$11:$A$40,D1229)&gt;0,1,0))</f>
        <v/>
      </c>
    </row>
    <row r="1230" spans="1:12" hidden="1" x14ac:dyDescent="0.25">
      <c r="A1230" s="49"/>
      <c r="B1230" s="49"/>
      <c r="C1230" s="49"/>
      <c r="D1230" s="50" t="str">
        <f t="shared" si="95"/>
        <v/>
      </c>
      <c r="E1230" s="50" t="str">
        <f t="shared" si="96"/>
        <v/>
      </c>
      <c r="F1230" s="50" t="str">
        <f t="shared" si="97"/>
        <v/>
      </c>
      <c r="G1230" s="50" t="str">
        <f t="shared" si="98"/>
        <v/>
      </c>
      <c r="H1230" s="51" t="str">
        <f>IF($C1230="","",IFERROR(DATE(G1230,VLOOKUP(E1230,Paramètres!$K$11:$L$40,2,FALSE()),F1230),"?"))</f>
        <v/>
      </c>
      <c r="I1230" s="50" t="str">
        <f>IF(ISNUMBER(H1230),IF(COUNTIFS($D$2:D1230,D1230,$H$2:H1230,H1230)=1,1,0),"")</f>
        <v/>
      </c>
      <c r="J1230" s="50" t="str">
        <f>IF(ISNUMBER(H1230),IFERROR(INDEX(Calendrier!$C$2:$C$367,MATCH(H1230,Calendrier!$A$2:$A$367,0)),0),"")</f>
        <v/>
      </c>
      <c r="K1230" s="50" t="str">
        <f t="shared" si="99"/>
        <v/>
      </c>
      <c r="L1230" s="50" t="str">
        <f>IF(D1230="","",IF(COUNTIF(Paramètres!$A$11:$A$40,D1230)&gt;0,1,0))</f>
        <v/>
      </c>
    </row>
    <row r="1231" spans="1:12" hidden="1" x14ac:dyDescent="0.25">
      <c r="A1231" s="49"/>
      <c r="B1231" s="49"/>
      <c r="C1231" s="49"/>
      <c r="D1231" s="50" t="str">
        <f t="shared" si="95"/>
        <v/>
      </c>
      <c r="E1231" s="50" t="str">
        <f t="shared" si="96"/>
        <v/>
      </c>
      <c r="F1231" s="50" t="str">
        <f t="shared" si="97"/>
        <v/>
      </c>
      <c r="G1231" s="50" t="str">
        <f t="shared" si="98"/>
        <v/>
      </c>
      <c r="H1231" s="51" t="str">
        <f>IF($C1231="","",IFERROR(DATE(G1231,VLOOKUP(E1231,Paramètres!$K$11:$L$40,2,FALSE()),F1231),"?"))</f>
        <v/>
      </c>
      <c r="I1231" s="50" t="str">
        <f>IF(ISNUMBER(H1231),IF(COUNTIFS($D$2:D1231,D1231,$H$2:H1231,H1231)=1,1,0),"")</f>
        <v/>
      </c>
      <c r="J1231" s="50" t="str">
        <f>IF(ISNUMBER(H1231),IFERROR(INDEX(Calendrier!$C$2:$C$367,MATCH(H1231,Calendrier!$A$2:$A$367,0)),0),"")</f>
        <v/>
      </c>
      <c r="K1231" s="50" t="str">
        <f t="shared" si="99"/>
        <v/>
      </c>
      <c r="L1231" s="50" t="str">
        <f>IF(D1231="","",IF(COUNTIF(Paramètres!$A$11:$A$40,D1231)&gt;0,1,0))</f>
        <v/>
      </c>
    </row>
    <row r="1232" spans="1:12" hidden="1" x14ac:dyDescent="0.25">
      <c r="A1232" s="49"/>
      <c r="B1232" s="49"/>
      <c r="C1232" s="49"/>
      <c r="D1232" s="50" t="str">
        <f t="shared" si="95"/>
        <v/>
      </c>
      <c r="E1232" s="50" t="str">
        <f t="shared" si="96"/>
        <v/>
      </c>
      <c r="F1232" s="50" t="str">
        <f t="shared" si="97"/>
        <v/>
      </c>
      <c r="G1232" s="50" t="str">
        <f t="shared" si="98"/>
        <v/>
      </c>
      <c r="H1232" s="51" t="str">
        <f>IF($C1232="","",IFERROR(DATE(G1232,VLOOKUP(E1232,Paramètres!$K$11:$L$40,2,FALSE()),F1232),"?"))</f>
        <v/>
      </c>
      <c r="I1232" s="50" t="str">
        <f>IF(ISNUMBER(H1232),IF(COUNTIFS($D$2:D1232,D1232,$H$2:H1232,H1232)=1,1,0),"")</f>
        <v/>
      </c>
      <c r="J1232" s="50" t="str">
        <f>IF(ISNUMBER(H1232),IFERROR(INDEX(Calendrier!$C$2:$C$367,MATCH(H1232,Calendrier!$A$2:$A$367,0)),0),"")</f>
        <v/>
      </c>
      <c r="K1232" s="50" t="str">
        <f t="shared" si="99"/>
        <v/>
      </c>
      <c r="L1232" s="50" t="str">
        <f>IF(D1232="","",IF(COUNTIF(Paramètres!$A$11:$A$40,D1232)&gt;0,1,0))</f>
        <v/>
      </c>
    </row>
    <row r="1233" spans="1:12" hidden="1" x14ac:dyDescent="0.25">
      <c r="A1233" s="49"/>
      <c r="B1233" s="49"/>
      <c r="C1233" s="49"/>
      <c r="D1233" s="50" t="str">
        <f t="shared" si="95"/>
        <v/>
      </c>
      <c r="E1233" s="50" t="str">
        <f t="shared" si="96"/>
        <v/>
      </c>
      <c r="F1233" s="50" t="str">
        <f t="shared" si="97"/>
        <v/>
      </c>
      <c r="G1233" s="50" t="str">
        <f t="shared" si="98"/>
        <v/>
      </c>
      <c r="H1233" s="51" t="str">
        <f>IF($C1233="","",IFERROR(DATE(G1233,VLOOKUP(E1233,Paramètres!$K$11:$L$40,2,FALSE()),F1233),"?"))</f>
        <v/>
      </c>
      <c r="I1233" s="50" t="str">
        <f>IF(ISNUMBER(H1233),IF(COUNTIFS($D$2:D1233,D1233,$H$2:H1233,H1233)=1,1,0),"")</f>
        <v/>
      </c>
      <c r="J1233" s="50" t="str">
        <f>IF(ISNUMBER(H1233),IFERROR(INDEX(Calendrier!$C$2:$C$367,MATCH(H1233,Calendrier!$A$2:$A$367,0)),0),"")</f>
        <v/>
      </c>
      <c r="K1233" s="50" t="str">
        <f t="shared" si="99"/>
        <v/>
      </c>
      <c r="L1233" s="50" t="str">
        <f>IF(D1233="","",IF(COUNTIF(Paramètres!$A$11:$A$40,D1233)&gt;0,1,0))</f>
        <v/>
      </c>
    </row>
    <row r="1234" spans="1:12" hidden="1" x14ac:dyDescent="0.25">
      <c r="A1234" s="49"/>
      <c r="B1234" s="49"/>
      <c r="C1234" s="49"/>
      <c r="D1234" s="50" t="str">
        <f t="shared" si="95"/>
        <v/>
      </c>
      <c r="E1234" s="50" t="str">
        <f t="shared" si="96"/>
        <v/>
      </c>
      <c r="F1234" s="50" t="str">
        <f t="shared" si="97"/>
        <v/>
      </c>
      <c r="G1234" s="50" t="str">
        <f t="shared" si="98"/>
        <v/>
      </c>
      <c r="H1234" s="51" t="str">
        <f>IF($C1234="","",IFERROR(DATE(G1234,VLOOKUP(E1234,Paramètres!$K$11:$L$40,2,FALSE()),F1234),"?"))</f>
        <v/>
      </c>
      <c r="I1234" s="50" t="str">
        <f>IF(ISNUMBER(H1234),IF(COUNTIFS($D$2:D1234,D1234,$H$2:H1234,H1234)=1,1,0),"")</f>
        <v/>
      </c>
      <c r="J1234" s="50" t="str">
        <f>IF(ISNUMBER(H1234),IFERROR(INDEX(Calendrier!$C$2:$C$367,MATCH(H1234,Calendrier!$A$2:$A$367,0)),0),"")</f>
        <v/>
      </c>
      <c r="K1234" s="50" t="str">
        <f t="shared" si="99"/>
        <v/>
      </c>
      <c r="L1234" s="50" t="str">
        <f>IF(D1234="","",IF(COUNTIF(Paramètres!$A$11:$A$40,D1234)&gt;0,1,0))</f>
        <v/>
      </c>
    </row>
    <row r="1235" spans="1:12" hidden="1" x14ac:dyDescent="0.25">
      <c r="A1235" s="49"/>
      <c r="B1235" s="49"/>
      <c r="C1235" s="49"/>
      <c r="D1235" s="50" t="str">
        <f t="shared" si="95"/>
        <v/>
      </c>
      <c r="E1235" s="50" t="str">
        <f t="shared" si="96"/>
        <v/>
      </c>
      <c r="F1235" s="50" t="str">
        <f t="shared" si="97"/>
        <v/>
      </c>
      <c r="G1235" s="50" t="str">
        <f t="shared" si="98"/>
        <v/>
      </c>
      <c r="H1235" s="51" t="str">
        <f>IF($C1235="","",IFERROR(DATE(G1235,VLOOKUP(E1235,Paramètres!$K$11:$L$40,2,FALSE()),F1235),"?"))</f>
        <v/>
      </c>
      <c r="I1235" s="50" t="str">
        <f>IF(ISNUMBER(H1235),IF(COUNTIFS($D$2:D1235,D1235,$H$2:H1235,H1235)=1,1,0),"")</f>
        <v/>
      </c>
      <c r="J1235" s="50" t="str">
        <f>IF(ISNUMBER(H1235),IFERROR(INDEX(Calendrier!$C$2:$C$367,MATCH(H1235,Calendrier!$A$2:$A$367,0)),0),"")</f>
        <v/>
      </c>
      <c r="K1235" s="50" t="str">
        <f t="shared" si="99"/>
        <v/>
      </c>
      <c r="L1235" s="50" t="str">
        <f>IF(D1235="","",IF(COUNTIF(Paramètres!$A$11:$A$40,D1235)&gt;0,1,0))</f>
        <v/>
      </c>
    </row>
    <row r="1236" spans="1:12" hidden="1" x14ac:dyDescent="0.25">
      <c r="A1236" s="49"/>
      <c r="B1236" s="49"/>
      <c r="C1236" s="49"/>
      <c r="D1236" s="50" t="str">
        <f t="shared" si="95"/>
        <v/>
      </c>
      <c r="E1236" s="50" t="str">
        <f t="shared" si="96"/>
        <v/>
      </c>
      <c r="F1236" s="50" t="str">
        <f t="shared" si="97"/>
        <v/>
      </c>
      <c r="G1236" s="50" t="str">
        <f t="shared" si="98"/>
        <v/>
      </c>
      <c r="H1236" s="51" t="str">
        <f>IF($C1236="","",IFERROR(DATE(G1236,VLOOKUP(E1236,Paramètres!$K$11:$L$40,2,FALSE()),F1236),"?"))</f>
        <v/>
      </c>
      <c r="I1236" s="50" t="str">
        <f>IF(ISNUMBER(H1236),IF(COUNTIFS($D$2:D1236,D1236,$H$2:H1236,H1236)=1,1,0),"")</f>
        <v/>
      </c>
      <c r="J1236" s="50" t="str">
        <f>IF(ISNUMBER(H1236),IFERROR(INDEX(Calendrier!$C$2:$C$367,MATCH(H1236,Calendrier!$A$2:$A$367,0)),0),"")</f>
        <v/>
      </c>
      <c r="K1236" s="50" t="str">
        <f t="shared" si="99"/>
        <v/>
      </c>
      <c r="L1236" s="50" t="str">
        <f>IF(D1236="","",IF(COUNTIF(Paramètres!$A$11:$A$40,D1236)&gt;0,1,0))</f>
        <v/>
      </c>
    </row>
    <row r="1237" spans="1:12" hidden="1" x14ac:dyDescent="0.25">
      <c r="A1237" s="49"/>
      <c r="B1237" s="49"/>
      <c r="C1237" s="49"/>
      <c r="D1237" s="50" t="str">
        <f t="shared" si="95"/>
        <v/>
      </c>
      <c r="E1237" s="50" t="str">
        <f t="shared" si="96"/>
        <v/>
      </c>
      <c r="F1237" s="50" t="str">
        <f t="shared" si="97"/>
        <v/>
      </c>
      <c r="G1237" s="50" t="str">
        <f t="shared" si="98"/>
        <v/>
      </c>
      <c r="H1237" s="51" t="str">
        <f>IF($C1237="","",IFERROR(DATE(G1237,VLOOKUP(E1237,Paramètres!$K$11:$L$40,2,FALSE()),F1237),"?"))</f>
        <v/>
      </c>
      <c r="I1237" s="50" t="str">
        <f>IF(ISNUMBER(H1237),IF(COUNTIFS($D$2:D1237,D1237,$H$2:H1237,H1237)=1,1,0),"")</f>
        <v/>
      </c>
      <c r="J1237" s="50" t="str">
        <f>IF(ISNUMBER(H1237),IFERROR(INDEX(Calendrier!$C$2:$C$367,MATCH(H1237,Calendrier!$A$2:$A$367,0)),0),"")</f>
        <v/>
      </c>
      <c r="K1237" s="50" t="str">
        <f t="shared" si="99"/>
        <v/>
      </c>
      <c r="L1237" s="50" t="str">
        <f>IF(D1237="","",IF(COUNTIF(Paramètres!$A$11:$A$40,D1237)&gt;0,1,0))</f>
        <v/>
      </c>
    </row>
    <row r="1238" spans="1:12" hidden="1" x14ac:dyDescent="0.25">
      <c r="A1238" s="49"/>
      <c r="B1238" s="49"/>
      <c r="C1238" s="49"/>
      <c r="D1238" s="50" t="str">
        <f t="shared" si="95"/>
        <v/>
      </c>
      <c r="E1238" s="50" t="str">
        <f t="shared" si="96"/>
        <v/>
      </c>
      <c r="F1238" s="50" t="str">
        <f t="shared" si="97"/>
        <v/>
      </c>
      <c r="G1238" s="50" t="str">
        <f t="shared" si="98"/>
        <v/>
      </c>
      <c r="H1238" s="51" t="str">
        <f>IF($C1238="","",IFERROR(DATE(G1238,VLOOKUP(E1238,Paramètres!$K$11:$L$40,2,FALSE()),F1238),"?"))</f>
        <v/>
      </c>
      <c r="I1238" s="50" t="str">
        <f>IF(ISNUMBER(H1238),IF(COUNTIFS($D$2:D1238,D1238,$H$2:H1238,H1238)=1,1,0),"")</f>
        <v/>
      </c>
      <c r="J1238" s="50" t="str">
        <f>IF(ISNUMBER(H1238),IFERROR(INDEX(Calendrier!$C$2:$C$367,MATCH(H1238,Calendrier!$A$2:$A$367,0)),0),"")</f>
        <v/>
      </c>
      <c r="K1238" s="50" t="str">
        <f t="shared" si="99"/>
        <v/>
      </c>
      <c r="L1238" s="50" t="str">
        <f>IF(D1238="","",IF(COUNTIF(Paramètres!$A$11:$A$40,D1238)&gt;0,1,0))</f>
        <v/>
      </c>
    </row>
    <row r="1239" spans="1:12" hidden="1" x14ac:dyDescent="0.25">
      <c r="A1239" s="49"/>
      <c r="B1239" s="49"/>
      <c r="C1239" s="49"/>
      <c r="D1239" s="50" t="str">
        <f t="shared" si="95"/>
        <v/>
      </c>
      <c r="E1239" s="50" t="str">
        <f t="shared" si="96"/>
        <v/>
      </c>
      <c r="F1239" s="50" t="str">
        <f t="shared" si="97"/>
        <v/>
      </c>
      <c r="G1239" s="50" t="str">
        <f t="shared" si="98"/>
        <v/>
      </c>
      <c r="H1239" s="51" t="str">
        <f>IF($C1239="","",IFERROR(DATE(G1239,VLOOKUP(E1239,Paramètres!$K$11:$L$40,2,FALSE()),F1239),"?"))</f>
        <v/>
      </c>
      <c r="I1239" s="50" t="str">
        <f>IF(ISNUMBER(H1239),IF(COUNTIFS($D$2:D1239,D1239,$H$2:H1239,H1239)=1,1,0),"")</f>
        <v/>
      </c>
      <c r="J1239" s="50" t="str">
        <f>IF(ISNUMBER(H1239),IFERROR(INDEX(Calendrier!$C$2:$C$367,MATCH(H1239,Calendrier!$A$2:$A$367,0)),0),"")</f>
        <v/>
      </c>
      <c r="K1239" s="50" t="str">
        <f t="shared" si="99"/>
        <v/>
      </c>
      <c r="L1239" s="50" t="str">
        <f>IF(D1239="","",IF(COUNTIF(Paramètres!$A$11:$A$40,D1239)&gt;0,1,0))</f>
        <v/>
      </c>
    </row>
    <row r="1240" spans="1:12" hidden="1" x14ac:dyDescent="0.25">
      <c r="A1240" s="49"/>
      <c r="B1240" s="49"/>
      <c r="C1240" s="49"/>
      <c r="D1240" s="50" t="str">
        <f t="shared" si="95"/>
        <v/>
      </c>
      <c r="E1240" s="50" t="str">
        <f t="shared" si="96"/>
        <v/>
      </c>
      <c r="F1240" s="50" t="str">
        <f t="shared" si="97"/>
        <v/>
      </c>
      <c r="G1240" s="50" t="str">
        <f t="shared" si="98"/>
        <v/>
      </c>
      <c r="H1240" s="51" t="str">
        <f>IF($C1240="","",IFERROR(DATE(G1240,VLOOKUP(E1240,Paramètres!$K$11:$L$40,2,FALSE()),F1240),"?"))</f>
        <v/>
      </c>
      <c r="I1240" s="50" t="str">
        <f>IF(ISNUMBER(H1240),IF(COUNTIFS($D$2:D1240,D1240,$H$2:H1240,H1240)=1,1,0),"")</f>
        <v/>
      </c>
      <c r="J1240" s="50" t="str">
        <f>IF(ISNUMBER(H1240),IFERROR(INDEX(Calendrier!$C$2:$C$367,MATCH(H1240,Calendrier!$A$2:$A$367,0)),0),"")</f>
        <v/>
      </c>
      <c r="K1240" s="50" t="str">
        <f t="shared" si="99"/>
        <v/>
      </c>
      <c r="L1240" s="50" t="str">
        <f>IF(D1240="","",IF(COUNTIF(Paramètres!$A$11:$A$40,D1240)&gt;0,1,0))</f>
        <v/>
      </c>
    </row>
    <row r="1241" spans="1:12" hidden="1" x14ac:dyDescent="0.25">
      <c r="A1241" s="49"/>
      <c r="B1241" s="49"/>
      <c r="C1241" s="49"/>
      <c r="D1241" s="50" t="str">
        <f t="shared" si="95"/>
        <v/>
      </c>
      <c r="E1241" s="50" t="str">
        <f t="shared" si="96"/>
        <v/>
      </c>
      <c r="F1241" s="50" t="str">
        <f t="shared" si="97"/>
        <v/>
      </c>
      <c r="G1241" s="50" t="str">
        <f t="shared" si="98"/>
        <v/>
      </c>
      <c r="H1241" s="51" t="str">
        <f>IF($C1241="","",IFERROR(DATE(G1241,VLOOKUP(E1241,Paramètres!$K$11:$L$40,2,FALSE()),F1241),"?"))</f>
        <v/>
      </c>
      <c r="I1241" s="50" t="str">
        <f>IF(ISNUMBER(H1241),IF(COUNTIFS($D$2:D1241,D1241,$H$2:H1241,H1241)=1,1,0),"")</f>
        <v/>
      </c>
      <c r="J1241" s="50" t="str">
        <f>IF(ISNUMBER(H1241),IFERROR(INDEX(Calendrier!$C$2:$C$367,MATCH(H1241,Calendrier!$A$2:$A$367,0)),0),"")</f>
        <v/>
      </c>
      <c r="K1241" s="50" t="str">
        <f t="shared" si="99"/>
        <v/>
      </c>
      <c r="L1241" s="50" t="str">
        <f>IF(D1241="","",IF(COUNTIF(Paramètres!$A$11:$A$40,D1241)&gt;0,1,0))</f>
        <v/>
      </c>
    </row>
    <row r="1242" spans="1:12" hidden="1" x14ac:dyDescent="0.25">
      <c r="A1242" s="49"/>
      <c r="B1242" s="49"/>
      <c r="C1242" s="49"/>
      <c r="D1242" s="50" t="str">
        <f t="shared" si="95"/>
        <v/>
      </c>
      <c r="E1242" s="50" t="str">
        <f t="shared" si="96"/>
        <v/>
      </c>
      <c r="F1242" s="50" t="str">
        <f t="shared" si="97"/>
        <v/>
      </c>
      <c r="G1242" s="50" t="str">
        <f t="shared" si="98"/>
        <v/>
      </c>
      <c r="H1242" s="51" t="str">
        <f>IF($C1242="","",IFERROR(DATE(G1242,VLOOKUP(E1242,Paramètres!$K$11:$L$40,2,FALSE()),F1242),"?"))</f>
        <v/>
      </c>
      <c r="I1242" s="50" t="str">
        <f>IF(ISNUMBER(H1242),IF(COUNTIFS($D$2:D1242,D1242,$H$2:H1242,H1242)=1,1,0),"")</f>
        <v/>
      </c>
      <c r="J1242" s="50" t="str">
        <f>IF(ISNUMBER(H1242),IFERROR(INDEX(Calendrier!$C$2:$C$367,MATCH(H1242,Calendrier!$A$2:$A$367,0)),0),"")</f>
        <v/>
      </c>
      <c r="K1242" s="50" t="str">
        <f t="shared" si="99"/>
        <v/>
      </c>
      <c r="L1242" s="50" t="str">
        <f>IF(D1242="","",IF(COUNTIF(Paramètres!$A$11:$A$40,D1242)&gt;0,1,0))</f>
        <v/>
      </c>
    </row>
    <row r="1243" spans="1:12" hidden="1" x14ac:dyDescent="0.25">
      <c r="A1243" s="49"/>
      <c r="B1243" s="49"/>
      <c r="C1243" s="49"/>
      <c r="D1243" s="50" t="str">
        <f t="shared" si="95"/>
        <v/>
      </c>
      <c r="E1243" s="50" t="str">
        <f t="shared" si="96"/>
        <v/>
      </c>
      <c r="F1243" s="50" t="str">
        <f t="shared" si="97"/>
        <v/>
      </c>
      <c r="G1243" s="50" t="str">
        <f t="shared" si="98"/>
        <v/>
      </c>
      <c r="H1243" s="51" t="str">
        <f>IF($C1243="","",IFERROR(DATE(G1243,VLOOKUP(E1243,Paramètres!$K$11:$L$40,2,FALSE()),F1243),"?"))</f>
        <v/>
      </c>
      <c r="I1243" s="50" t="str">
        <f>IF(ISNUMBER(H1243),IF(COUNTIFS($D$2:D1243,D1243,$H$2:H1243,H1243)=1,1,0),"")</f>
        <v/>
      </c>
      <c r="J1243" s="50" t="str">
        <f>IF(ISNUMBER(H1243),IFERROR(INDEX(Calendrier!$C$2:$C$367,MATCH(H1243,Calendrier!$A$2:$A$367,0)),0),"")</f>
        <v/>
      </c>
      <c r="K1243" s="50" t="str">
        <f t="shared" si="99"/>
        <v/>
      </c>
      <c r="L1243" s="50" t="str">
        <f>IF(D1243="","",IF(COUNTIF(Paramètres!$A$11:$A$40,D1243)&gt;0,1,0))</f>
        <v/>
      </c>
    </row>
    <row r="1244" spans="1:12" hidden="1" x14ac:dyDescent="0.25">
      <c r="A1244" s="49"/>
      <c r="B1244" s="49"/>
      <c r="C1244" s="49"/>
      <c r="D1244" s="50" t="str">
        <f t="shared" si="95"/>
        <v/>
      </c>
      <c r="E1244" s="50" t="str">
        <f t="shared" si="96"/>
        <v/>
      </c>
      <c r="F1244" s="50" t="str">
        <f t="shared" si="97"/>
        <v/>
      </c>
      <c r="G1244" s="50" t="str">
        <f t="shared" si="98"/>
        <v/>
      </c>
      <c r="H1244" s="51" t="str">
        <f>IF($C1244="","",IFERROR(DATE(G1244,VLOOKUP(E1244,Paramètres!$K$11:$L$40,2,FALSE()),F1244),"?"))</f>
        <v/>
      </c>
      <c r="I1244" s="50" t="str">
        <f>IF(ISNUMBER(H1244),IF(COUNTIFS($D$2:D1244,D1244,$H$2:H1244,H1244)=1,1,0),"")</f>
        <v/>
      </c>
      <c r="J1244" s="50" t="str">
        <f>IF(ISNUMBER(H1244),IFERROR(INDEX(Calendrier!$C$2:$C$367,MATCH(H1244,Calendrier!$A$2:$A$367,0)),0),"")</f>
        <v/>
      </c>
      <c r="K1244" s="50" t="str">
        <f t="shared" si="99"/>
        <v/>
      </c>
      <c r="L1244" s="50" t="str">
        <f>IF(D1244="","",IF(COUNTIF(Paramètres!$A$11:$A$40,D1244)&gt;0,1,0))</f>
        <v/>
      </c>
    </row>
    <row r="1245" spans="1:12" hidden="1" x14ac:dyDescent="0.25">
      <c r="A1245" s="49"/>
      <c r="B1245" s="49"/>
      <c r="C1245" s="49"/>
      <c r="D1245" s="50" t="str">
        <f t="shared" si="95"/>
        <v/>
      </c>
      <c r="E1245" s="50" t="str">
        <f t="shared" si="96"/>
        <v/>
      </c>
      <c r="F1245" s="50" t="str">
        <f t="shared" si="97"/>
        <v/>
      </c>
      <c r="G1245" s="50" t="str">
        <f t="shared" si="98"/>
        <v/>
      </c>
      <c r="H1245" s="51" t="str">
        <f>IF($C1245="","",IFERROR(DATE(G1245,VLOOKUP(E1245,Paramètres!$K$11:$L$40,2,FALSE()),F1245),"?"))</f>
        <v/>
      </c>
      <c r="I1245" s="50" t="str">
        <f>IF(ISNUMBER(H1245),IF(COUNTIFS($D$2:D1245,D1245,$H$2:H1245,H1245)=1,1,0),"")</f>
        <v/>
      </c>
      <c r="J1245" s="50" t="str">
        <f>IF(ISNUMBER(H1245),IFERROR(INDEX(Calendrier!$C$2:$C$367,MATCH(H1245,Calendrier!$A$2:$A$367,0)),0),"")</f>
        <v/>
      </c>
      <c r="K1245" s="50" t="str">
        <f t="shared" si="99"/>
        <v/>
      </c>
      <c r="L1245" s="50" t="str">
        <f>IF(D1245="","",IF(COUNTIF(Paramètres!$A$11:$A$40,D1245)&gt;0,1,0))</f>
        <v/>
      </c>
    </row>
    <row r="1246" spans="1:12" hidden="1" x14ac:dyDescent="0.25">
      <c r="A1246" s="49"/>
      <c r="B1246" s="49"/>
      <c r="C1246" s="49"/>
      <c r="D1246" s="50" t="str">
        <f t="shared" si="95"/>
        <v/>
      </c>
      <c r="E1246" s="50" t="str">
        <f t="shared" si="96"/>
        <v/>
      </c>
      <c r="F1246" s="50" t="str">
        <f t="shared" si="97"/>
        <v/>
      </c>
      <c r="G1246" s="50" t="str">
        <f t="shared" si="98"/>
        <v/>
      </c>
      <c r="H1246" s="51" t="str">
        <f>IF($C1246="","",IFERROR(DATE(G1246,VLOOKUP(E1246,Paramètres!$K$11:$L$40,2,FALSE()),F1246),"?"))</f>
        <v/>
      </c>
      <c r="I1246" s="50" t="str">
        <f>IF(ISNUMBER(H1246),IF(COUNTIFS($D$2:D1246,D1246,$H$2:H1246,H1246)=1,1,0),"")</f>
        <v/>
      </c>
      <c r="J1246" s="50" t="str">
        <f>IF(ISNUMBER(H1246),IFERROR(INDEX(Calendrier!$C$2:$C$367,MATCH(H1246,Calendrier!$A$2:$A$367,0)),0),"")</f>
        <v/>
      </c>
      <c r="K1246" s="50" t="str">
        <f t="shared" si="99"/>
        <v/>
      </c>
      <c r="L1246" s="50" t="str">
        <f>IF(D1246="","",IF(COUNTIF(Paramètres!$A$11:$A$40,D1246)&gt;0,1,0))</f>
        <v/>
      </c>
    </row>
    <row r="1247" spans="1:12" hidden="1" x14ac:dyDescent="0.25">
      <c r="A1247" s="49"/>
      <c r="B1247" s="49"/>
      <c r="C1247" s="49"/>
      <c r="D1247" s="50" t="str">
        <f t="shared" si="95"/>
        <v/>
      </c>
      <c r="E1247" s="50" t="str">
        <f t="shared" si="96"/>
        <v/>
      </c>
      <c r="F1247" s="50" t="str">
        <f t="shared" si="97"/>
        <v/>
      </c>
      <c r="G1247" s="50" t="str">
        <f t="shared" si="98"/>
        <v/>
      </c>
      <c r="H1247" s="51" t="str">
        <f>IF($C1247="","",IFERROR(DATE(G1247,VLOOKUP(E1247,Paramètres!$K$11:$L$40,2,FALSE()),F1247),"?"))</f>
        <v/>
      </c>
      <c r="I1247" s="50" t="str">
        <f>IF(ISNUMBER(H1247),IF(COUNTIFS($D$2:D1247,D1247,$H$2:H1247,H1247)=1,1,0),"")</f>
        <v/>
      </c>
      <c r="J1247" s="50" t="str">
        <f>IF(ISNUMBER(H1247),IFERROR(INDEX(Calendrier!$C$2:$C$367,MATCH(H1247,Calendrier!$A$2:$A$367,0)),0),"")</f>
        <v/>
      </c>
      <c r="K1247" s="50" t="str">
        <f t="shared" si="99"/>
        <v/>
      </c>
      <c r="L1247" s="50" t="str">
        <f>IF(D1247="","",IF(COUNTIF(Paramètres!$A$11:$A$40,D1247)&gt;0,1,0))</f>
        <v/>
      </c>
    </row>
    <row r="1248" spans="1:12" hidden="1" x14ac:dyDescent="0.25">
      <c r="A1248" s="49"/>
      <c r="B1248" s="49"/>
      <c r="C1248" s="49"/>
      <c r="D1248" s="50" t="str">
        <f t="shared" si="95"/>
        <v/>
      </c>
      <c r="E1248" s="50" t="str">
        <f t="shared" si="96"/>
        <v/>
      </c>
      <c r="F1248" s="50" t="str">
        <f t="shared" si="97"/>
        <v/>
      </c>
      <c r="G1248" s="50" t="str">
        <f t="shared" si="98"/>
        <v/>
      </c>
      <c r="H1248" s="51" t="str">
        <f>IF($C1248="","",IFERROR(DATE(G1248,VLOOKUP(E1248,Paramètres!$K$11:$L$40,2,FALSE()),F1248),"?"))</f>
        <v/>
      </c>
      <c r="I1248" s="50" t="str">
        <f>IF(ISNUMBER(H1248),IF(COUNTIFS($D$2:D1248,D1248,$H$2:H1248,H1248)=1,1,0),"")</f>
        <v/>
      </c>
      <c r="J1248" s="50" t="str">
        <f>IF(ISNUMBER(H1248),IFERROR(INDEX(Calendrier!$C$2:$C$367,MATCH(H1248,Calendrier!$A$2:$A$367,0)),0),"")</f>
        <v/>
      </c>
      <c r="K1248" s="50" t="str">
        <f t="shared" si="99"/>
        <v/>
      </c>
      <c r="L1248" s="50" t="str">
        <f>IF(D1248="","",IF(COUNTIF(Paramètres!$A$11:$A$40,D1248)&gt;0,1,0))</f>
        <v/>
      </c>
    </row>
    <row r="1249" spans="1:12" hidden="1" x14ac:dyDescent="0.25">
      <c r="A1249" s="49"/>
      <c r="B1249" s="49"/>
      <c r="C1249" s="49"/>
      <c r="D1249" s="50" t="str">
        <f t="shared" si="95"/>
        <v/>
      </c>
      <c r="E1249" s="50" t="str">
        <f t="shared" si="96"/>
        <v/>
      </c>
      <c r="F1249" s="50" t="str">
        <f t="shared" si="97"/>
        <v/>
      </c>
      <c r="G1249" s="50" t="str">
        <f t="shared" si="98"/>
        <v/>
      </c>
      <c r="H1249" s="51" t="str">
        <f>IF($C1249="","",IFERROR(DATE(G1249,VLOOKUP(E1249,Paramètres!$K$11:$L$40,2,FALSE()),F1249),"?"))</f>
        <v/>
      </c>
      <c r="I1249" s="50" t="str">
        <f>IF(ISNUMBER(H1249),IF(COUNTIFS($D$2:D1249,D1249,$H$2:H1249,H1249)=1,1,0),"")</f>
        <v/>
      </c>
      <c r="J1249" s="50" t="str">
        <f>IF(ISNUMBER(H1249),IFERROR(INDEX(Calendrier!$C$2:$C$367,MATCH(H1249,Calendrier!$A$2:$A$367,0)),0),"")</f>
        <v/>
      </c>
      <c r="K1249" s="50" t="str">
        <f t="shared" si="99"/>
        <v/>
      </c>
      <c r="L1249" s="50" t="str">
        <f>IF(D1249="","",IF(COUNTIF(Paramètres!$A$11:$A$40,D1249)&gt;0,1,0))</f>
        <v/>
      </c>
    </row>
    <row r="1250" spans="1:12" hidden="1" x14ac:dyDescent="0.25">
      <c r="A1250" s="49"/>
      <c r="B1250" s="49"/>
      <c r="C1250" s="49"/>
      <c r="D1250" s="50" t="str">
        <f t="shared" si="95"/>
        <v/>
      </c>
      <c r="E1250" s="50" t="str">
        <f t="shared" si="96"/>
        <v/>
      </c>
      <c r="F1250" s="50" t="str">
        <f t="shared" si="97"/>
        <v/>
      </c>
      <c r="G1250" s="50" t="str">
        <f t="shared" si="98"/>
        <v/>
      </c>
      <c r="H1250" s="51" t="str">
        <f>IF($C1250="","",IFERROR(DATE(G1250,VLOOKUP(E1250,Paramètres!$K$11:$L$40,2,FALSE()),F1250),"?"))</f>
        <v/>
      </c>
      <c r="I1250" s="50" t="str">
        <f>IF(ISNUMBER(H1250),IF(COUNTIFS($D$2:D1250,D1250,$H$2:H1250,H1250)=1,1,0),"")</f>
        <v/>
      </c>
      <c r="J1250" s="50" t="str">
        <f>IF(ISNUMBER(H1250),IFERROR(INDEX(Calendrier!$C$2:$C$367,MATCH(H1250,Calendrier!$A$2:$A$367,0)),0),"")</f>
        <v/>
      </c>
      <c r="K1250" s="50" t="str">
        <f t="shared" si="99"/>
        <v/>
      </c>
      <c r="L1250" s="50" t="str">
        <f>IF(D1250="","",IF(COUNTIF(Paramètres!$A$11:$A$40,D1250)&gt;0,1,0))</f>
        <v/>
      </c>
    </row>
    <row r="1251" spans="1:12" hidden="1" x14ac:dyDescent="0.25">
      <c r="A1251" s="49"/>
      <c r="B1251" s="49"/>
      <c r="C1251" s="49"/>
      <c r="D1251" s="50" t="str">
        <f t="shared" si="95"/>
        <v/>
      </c>
      <c r="E1251" s="50" t="str">
        <f t="shared" si="96"/>
        <v/>
      </c>
      <c r="F1251" s="50" t="str">
        <f t="shared" si="97"/>
        <v/>
      </c>
      <c r="G1251" s="50" t="str">
        <f t="shared" si="98"/>
        <v/>
      </c>
      <c r="H1251" s="51" t="str">
        <f>IF($C1251="","",IFERROR(DATE(G1251,VLOOKUP(E1251,Paramètres!$K$11:$L$40,2,FALSE()),F1251),"?"))</f>
        <v/>
      </c>
      <c r="I1251" s="50" t="str">
        <f>IF(ISNUMBER(H1251),IF(COUNTIFS($D$2:D1251,D1251,$H$2:H1251,H1251)=1,1,0),"")</f>
        <v/>
      </c>
      <c r="J1251" s="50" t="str">
        <f>IF(ISNUMBER(H1251),IFERROR(INDEX(Calendrier!$C$2:$C$367,MATCH(H1251,Calendrier!$A$2:$A$367,0)),0),"")</f>
        <v/>
      </c>
      <c r="K1251" s="50" t="str">
        <f t="shared" si="99"/>
        <v/>
      </c>
      <c r="L1251" s="50" t="str">
        <f>IF(D1251="","",IF(COUNTIF(Paramètres!$A$11:$A$40,D1251)&gt;0,1,0))</f>
        <v/>
      </c>
    </row>
    <row r="1252" spans="1:12" hidden="1" x14ac:dyDescent="0.25">
      <c r="A1252" s="49"/>
      <c r="B1252" s="49"/>
      <c r="C1252" s="49"/>
      <c r="D1252" s="50" t="str">
        <f t="shared" si="95"/>
        <v/>
      </c>
      <c r="E1252" s="50" t="str">
        <f t="shared" si="96"/>
        <v/>
      </c>
      <c r="F1252" s="50" t="str">
        <f t="shared" si="97"/>
        <v/>
      </c>
      <c r="G1252" s="50" t="str">
        <f t="shared" si="98"/>
        <v/>
      </c>
      <c r="H1252" s="51" t="str">
        <f>IF($C1252="","",IFERROR(DATE(G1252,VLOOKUP(E1252,Paramètres!$K$11:$L$40,2,FALSE()),F1252),"?"))</f>
        <v/>
      </c>
      <c r="I1252" s="50" t="str">
        <f>IF(ISNUMBER(H1252),IF(COUNTIFS($D$2:D1252,D1252,$H$2:H1252,H1252)=1,1,0),"")</f>
        <v/>
      </c>
      <c r="J1252" s="50" t="str">
        <f>IF(ISNUMBER(H1252),IFERROR(INDEX(Calendrier!$C$2:$C$367,MATCH(H1252,Calendrier!$A$2:$A$367,0)),0),"")</f>
        <v/>
      </c>
      <c r="K1252" s="50" t="str">
        <f t="shared" si="99"/>
        <v/>
      </c>
      <c r="L1252" s="50" t="str">
        <f>IF(D1252="","",IF(COUNTIF(Paramètres!$A$11:$A$40,D1252)&gt;0,1,0))</f>
        <v/>
      </c>
    </row>
    <row r="1253" spans="1:12" hidden="1" x14ac:dyDescent="0.25">
      <c r="A1253" s="49"/>
      <c r="B1253" s="49"/>
      <c r="C1253" s="49"/>
      <c r="D1253" s="50" t="str">
        <f t="shared" si="95"/>
        <v/>
      </c>
      <c r="E1253" s="50" t="str">
        <f t="shared" si="96"/>
        <v/>
      </c>
      <c r="F1253" s="50" t="str">
        <f t="shared" si="97"/>
        <v/>
      </c>
      <c r="G1253" s="50" t="str">
        <f t="shared" si="98"/>
        <v/>
      </c>
      <c r="H1253" s="51" t="str">
        <f>IF($C1253="","",IFERROR(DATE(G1253,VLOOKUP(E1253,Paramètres!$K$11:$L$40,2,FALSE()),F1253),"?"))</f>
        <v/>
      </c>
      <c r="I1253" s="50" t="str">
        <f>IF(ISNUMBER(H1253),IF(COUNTIFS($D$2:D1253,D1253,$H$2:H1253,H1253)=1,1,0),"")</f>
        <v/>
      </c>
      <c r="J1253" s="50" t="str">
        <f>IF(ISNUMBER(H1253),IFERROR(INDEX(Calendrier!$C$2:$C$367,MATCH(H1253,Calendrier!$A$2:$A$367,0)),0),"")</f>
        <v/>
      </c>
      <c r="K1253" s="50" t="str">
        <f t="shared" si="99"/>
        <v/>
      </c>
      <c r="L1253" s="50" t="str">
        <f>IF(D1253="","",IF(COUNTIF(Paramètres!$A$11:$A$40,D1253)&gt;0,1,0))</f>
        <v/>
      </c>
    </row>
    <row r="1254" spans="1:12" hidden="1" x14ac:dyDescent="0.25">
      <c r="A1254" s="49"/>
      <c r="B1254" s="49"/>
      <c r="C1254" s="49"/>
      <c r="D1254" s="50" t="str">
        <f t="shared" si="95"/>
        <v/>
      </c>
      <c r="E1254" s="50" t="str">
        <f t="shared" si="96"/>
        <v/>
      </c>
      <c r="F1254" s="50" t="str">
        <f t="shared" si="97"/>
        <v/>
      </c>
      <c r="G1254" s="50" t="str">
        <f t="shared" si="98"/>
        <v/>
      </c>
      <c r="H1254" s="51" t="str">
        <f>IF($C1254="","",IFERROR(DATE(G1254,VLOOKUP(E1254,Paramètres!$K$11:$L$40,2,FALSE()),F1254),"?"))</f>
        <v/>
      </c>
      <c r="I1254" s="50" t="str">
        <f>IF(ISNUMBER(H1254),IF(COUNTIFS($D$2:D1254,D1254,$H$2:H1254,H1254)=1,1,0),"")</f>
        <v/>
      </c>
      <c r="J1254" s="50" t="str">
        <f>IF(ISNUMBER(H1254),IFERROR(INDEX(Calendrier!$C$2:$C$367,MATCH(H1254,Calendrier!$A$2:$A$367,0)),0),"")</f>
        <v/>
      </c>
      <c r="K1254" s="50" t="str">
        <f t="shared" si="99"/>
        <v/>
      </c>
      <c r="L1254" s="50" t="str">
        <f>IF(D1254="","",IF(COUNTIF(Paramètres!$A$11:$A$40,D1254)&gt;0,1,0))</f>
        <v/>
      </c>
    </row>
    <row r="1255" spans="1:12" hidden="1" x14ac:dyDescent="0.25">
      <c r="A1255" s="49"/>
      <c r="B1255" s="49"/>
      <c r="C1255" s="49"/>
      <c r="D1255" s="50" t="str">
        <f t="shared" si="95"/>
        <v/>
      </c>
      <c r="E1255" s="50" t="str">
        <f t="shared" si="96"/>
        <v/>
      </c>
      <c r="F1255" s="50" t="str">
        <f t="shared" si="97"/>
        <v/>
      </c>
      <c r="G1255" s="50" t="str">
        <f t="shared" si="98"/>
        <v/>
      </c>
      <c r="H1255" s="51" t="str">
        <f>IF($C1255="","",IFERROR(DATE(G1255,VLOOKUP(E1255,Paramètres!$K$11:$L$40,2,FALSE()),F1255),"?"))</f>
        <v/>
      </c>
      <c r="I1255" s="50" t="str">
        <f>IF(ISNUMBER(H1255),IF(COUNTIFS($D$2:D1255,D1255,$H$2:H1255,H1255)=1,1,0),"")</f>
        <v/>
      </c>
      <c r="J1255" s="50" t="str">
        <f>IF(ISNUMBER(H1255),IFERROR(INDEX(Calendrier!$C$2:$C$367,MATCH(H1255,Calendrier!$A$2:$A$367,0)),0),"")</f>
        <v/>
      </c>
      <c r="K1255" s="50" t="str">
        <f t="shared" si="99"/>
        <v/>
      </c>
      <c r="L1255" s="50" t="str">
        <f>IF(D1255="","",IF(COUNTIF(Paramètres!$A$11:$A$40,D1255)&gt;0,1,0))</f>
        <v/>
      </c>
    </row>
    <row r="1256" spans="1:12" hidden="1" x14ac:dyDescent="0.25">
      <c r="A1256" s="49"/>
      <c r="B1256" s="49"/>
      <c r="C1256" s="49"/>
      <c r="D1256" s="50" t="str">
        <f t="shared" si="95"/>
        <v/>
      </c>
      <c r="E1256" s="50" t="str">
        <f t="shared" si="96"/>
        <v/>
      </c>
      <c r="F1256" s="50" t="str">
        <f t="shared" si="97"/>
        <v/>
      </c>
      <c r="G1256" s="50" t="str">
        <f t="shared" si="98"/>
        <v/>
      </c>
      <c r="H1256" s="51" t="str">
        <f>IF($C1256="","",IFERROR(DATE(G1256,VLOOKUP(E1256,Paramètres!$K$11:$L$40,2,FALSE()),F1256),"?"))</f>
        <v/>
      </c>
      <c r="I1256" s="50" t="str">
        <f>IF(ISNUMBER(H1256),IF(COUNTIFS($D$2:D1256,D1256,$H$2:H1256,H1256)=1,1,0),"")</f>
        <v/>
      </c>
      <c r="J1256" s="50" t="str">
        <f>IF(ISNUMBER(H1256),IFERROR(INDEX(Calendrier!$C$2:$C$367,MATCH(H1256,Calendrier!$A$2:$A$367,0)),0),"")</f>
        <v/>
      </c>
      <c r="K1256" s="50" t="str">
        <f t="shared" si="99"/>
        <v/>
      </c>
      <c r="L1256" s="50" t="str">
        <f>IF(D1256="","",IF(COUNTIF(Paramètres!$A$11:$A$40,D1256)&gt;0,1,0))</f>
        <v/>
      </c>
    </row>
    <row r="1257" spans="1:12" hidden="1" x14ac:dyDescent="0.25">
      <c r="A1257" s="49"/>
      <c r="B1257" s="49"/>
      <c r="C1257" s="49"/>
      <c r="D1257" s="50" t="str">
        <f t="shared" si="95"/>
        <v/>
      </c>
      <c r="E1257" s="50" t="str">
        <f t="shared" si="96"/>
        <v/>
      </c>
      <c r="F1257" s="50" t="str">
        <f t="shared" si="97"/>
        <v/>
      </c>
      <c r="G1257" s="50" t="str">
        <f t="shared" si="98"/>
        <v/>
      </c>
      <c r="H1257" s="51" t="str">
        <f>IF($C1257="","",IFERROR(DATE(G1257,VLOOKUP(E1257,Paramètres!$K$11:$L$40,2,FALSE()),F1257),"?"))</f>
        <v/>
      </c>
      <c r="I1257" s="50" t="str">
        <f>IF(ISNUMBER(H1257),IF(COUNTIFS($D$2:D1257,D1257,$H$2:H1257,H1257)=1,1,0),"")</f>
        <v/>
      </c>
      <c r="J1257" s="50" t="str">
        <f>IF(ISNUMBER(H1257),IFERROR(INDEX(Calendrier!$C$2:$C$367,MATCH(H1257,Calendrier!$A$2:$A$367,0)),0),"")</f>
        <v/>
      </c>
      <c r="K1257" s="50" t="str">
        <f t="shared" si="99"/>
        <v/>
      </c>
      <c r="L1257" s="50" t="str">
        <f>IF(D1257="","",IF(COUNTIF(Paramètres!$A$11:$A$40,D1257)&gt;0,1,0))</f>
        <v/>
      </c>
    </row>
    <row r="1258" spans="1:12" hidden="1" x14ac:dyDescent="0.25">
      <c r="A1258" s="49"/>
      <c r="B1258" s="49"/>
      <c r="C1258" s="49"/>
      <c r="D1258" s="50" t="str">
        <f t="shared" si="95"/>
        <v/>
      </c>
      <c r="E1258" s="50" t="str">
        <f t="shared" si="96"/>
        <v/>
      </c>
      <c r="F1258" s="50" t="str">
        <f t="shared" si="97"/>
        <v/>
      </c>
      <c r="G1258" s="50" t="str">
        <f t="shared" si="98"/>
        <v/>
      </c>
      <c r="H1258" s="51" t="str">
        <f>IF($C1258="","",IFERROR(DATE(G1258,VLOOKUP(E1258,Paramètres!$K$11:$L$40,2,FALSE()),F1258),"?"))</f>
        <v/>
      </c>
      <c r="I1258" s="50" t="str">
        <f>IF(ISNUMBER(H1258),IF(COUNTIFS($D$2:D1258,D1258,$H$2:H1258,H1258)=1,1,0),"")</f>
        <v/>
      </c>
      <c r="J1258" s="50" t="str">
        <f>IF(ISNUMBER(H1258),IFERROR(INDEX(Calendrier!$C$2:$C$367,MATCH(H1258,Calendrier!$A$2:$A$367,0)),0),"")</f>
        <v/>
      </c>
      <c r="K1258" s="50" t="str">
        <f t="shared" si="99"/>
        <v/>
      </c>
      <c r="L1258" s="50" t="str">
        <f>IF(D1258="","",IF(COUNTIF(Paramètres!$A$11:$A$40,D1258)&gt;0,1,0))</f>
        <v/>
      </c>
    </row>
    <row r="1259" spans="1:12" hidden="1" x14ac:dyDescent="0.25">
      <c r="A1259" s="49"/>
      <c r="B1259" s="49"/>
      <c r="C1259" s="49"/>
      <c r="D1259" s="50" t="str">
        <f t="shared" si="95"/>
        <v/>
      </c>
      <c r="E1259" s="50" t="str">
        <f t="shared" si="96"/>
        <v/>
      </c>
      <c r="F1259" s="50" t="str">
        <f t="shared" si="97"/>
        <v/>
      </c>
      <c r="G1259" s="50" t="str">
        <f t="shared" si="98"/>
        <v/>
      </c>
      <c r="H1259" s="51" t="str">
        <f>IF($C1259="","",IFERROR(DATE(G1259,VLOOKUP(E1259,Paramètres!$K$11:$L$40,2,FALSE()),F1259),"?"))</f>
        <v/>
      </c>
      <c r="I1259" s="50" t="str">
        <f>IF(ISNUMBER(H1259),IF(COUNTIFS($D$2:D1259,D1259,$H$2:H1259,H1259)=1,1,0),"")</f>
        <v/>
      </c>
      <c r="J1259" s="50" t="str">
        <f>IF(ISNUMBER(H1259),IFERROR(INDEX(Calendrier!$C$2:$C$367,MATCH(H1259,Calendrier!$A$2:$A$367,0)),0),"")</f>
        <v/>
      </c>
      <c r="K1259" s="50" t="str">
        <f t="shared" si="99"/>
        <v/>
      </c>
      <c r="L1259" s="50" t="str">
        <f>IF(D1259="","",IF(COUNTIF(Paramètres!$A$11:$A$40,D1259)&gt;0,1,0))</f>
        <v/>
      </c>
    </row>
    <row r="1260" spans="1:12" hidden="1" x14ac:dyDescent="0.25">
      <c r="A1260" s="49"/>
      <c r="B1260" s="49"/>
      <c r="C1260" s="49"/>
      <c r="D1260" s="50" t="str">
        <f t="shared" si="95"/>
        <v/>
      </c>
      <c r="E1260" s="50" t="str">
        <f t="shared" si="96"/>
        <v/>
      </c>
      <c r="F1260" s="50" t="str">
        <f t="shared" si="97"/>
        <v/>
      </c>
      <c r="G1260" s="50" t="str">
        <f t="shared" si="98"/>
        <v/>
      </c>
      <c r="H1260" s="51" t="str">
        <f>IF($C1260="","",IFERROR(DATE(G1260,VLOOKUP(E1260,Paramètres!$K$11:$L$40,2,FALSE()),F1260),"?"))</f>
        <v/>
      </c>
      <c r="I1260" s="50" t="str">
        <f>IF(ISNUMBER(H1260),IF(COUNTIFS($D$2:D1260,D1260,$H$2:H1260,H1260)=1,1,0),"")</f>
        <v/>
      </c>
      <c r="J1260" s="50" t="str">
        <f>IF(ISNUMBER(H1260),IFERROR(INDEX(Calendrier!$C$2:$C$367,MATCH(H1260,Calendrier!$A$2:$A$367,0)),0),"")</f>
        <v/>
      </c>
      <c r="K1260" s="50" t="str">
        <f t="shared" si="99"/>
        <v/>
      </c>
      <c r="L1260" s="50" t="str">
        <f>IF(D1260="","",IF(COUNTIF(Paramètres!$A$11:$A$40,D1260)&gt;0,1,0))</f>
        <v/>
      </c>
    </row>
    <row r="1261" spans="1:12" hidden="1" x14ac:dyDescent="0.25">
      <c r="A1261" s="49"/>
      <c r="B1261" s="49"/>
      <c r="C1261" s="49"/>
      <c r="D1261" s="50" t="str">
        <f t="shared" si="95"/>
        <v/>
      </c>
      <c r="E1261" s="50" t="str">
        <f t="shared" si="96"/>
        <v/>
      </c>
      <c r="F1261" s="50" t="str">
        <f t="shared" si="97"/>
        <v/>
      </c>
      <c r="G1261" s="50" t="str">
        <f t="shared" si="98"/>
        <v/>
      </c>
      <c r="H1261" s="51" t="str">
        <f>IF($C1261="","",IFERROR(DATE(G1261,VLOOKUP(E1261,Paramètres!$K$11:$L$40,2,FALSE()),F1261),"?"))</f>
        <v/>
      </c>
      <c r="I1261" s="50" t="str">
        <f>IF(ISNUMBER(H1261),IF(COUNTIFS($D$2:D1261,D1261,$H$2:H1261,H1261)=1,1,0),"")</f>
        <v/>
      </c>
      <c r="J1261" s="50" t="str">
        <f>IF(ISNUMBER(H1261),IFERROR(INDEX(Calendrier!$C$2:$C$367,MATCH(H1261,Calendrier!$A$2:$A$367,0)),0),"")</f>
        <v/>
      </c>
      <c r="K1261" s="50" t="str">
        <f t="shared" si="99"/>
        <v/>
      </c>
      <c r="L1261" s="50" t="str">
        <f>IF(D1261="","",IF(COUNTIF(Paramètres!$A$11:$A$40,D1261)&gt;0,1,0))</f>
        <v/>
      </c>
    </row>
    <row r="1262" spans="1:12" hidden="1" x14ac:dyDescent="0.25">
      <c r="A1262" s="49"/>
      <c r="B1262" s="49"/>
      <c r="C1262" s="49"/>
      <c r="D1262" s="50" t="str">
        <f t="shared" si="95"/>
        <v/>
      </c>
      <c r="E1262" s="50" t="str">
        <f t="shared" si="96"/>
        <v/>
      </c>
      <c r="F1262" s="50" t="str">
        <f t="shared" si="97"/>
        <v/>
      </c>
      <c r="G1262" s="50" t="str">
        <f t="shared" si="98"/>
        <v/>
      </c>
      <c r="H1262" s="51" t="str">
        <f>IF($C1262="","",IFERROR(DATE(G1262,VLOOKUP(E1262,Paramètres!$K$11:$L$40,2,FALSE()),F1262),"?"))</f>
        <v/>
      </c>
      <c r="I1262" s="50" t="str">
        <f>IF(ISNUMBER(H1262),IF(COUNTIFS($D$2:D1262,D1262,$H$2:H1262,H1262)=1,1,0),"")</f>
        <v/>
      </c>
      <c r="J1262" s="50" t="str">
        <f>IF(ISNUMBER(H1262),IFERROR(INDEX(Calendrier!$C$2:$C$367,MATCH(H1262,Calendrier!$A$2:$A$367,0)),0),"")</f>
        <v/>
      </c>
      <c r="K1262" s="50" t="str">
        <f t="shared" si="99"/>
        <v/>
      </c>
      <c r="L1262" s="50" t="str">
        <f>IF(D1262="","",IF(COUNTIF(Paramètres!$A$11:$A$40,D1262)&gt;0,1,0))</f>
        <v/>
      </c>
    </row>
    <row r="1263" spans="1:12" hidden="1" x14ac:dyDescent="0.25">
      <c r="A1263" s="49"/>
      <c r="B1263" s="49"/>
      <c r="C1263" s="49"/>
      <c r="D1263" s="50" t="str">
        <f t="shared" si="95"/>
        <v/>
      </c>
      <c r="E1263" s="50" t="str">
        <f t="shared" si="96"/>
        <v/>
      </c>
      <c r="F1263" s="50" t="str">
        <f t="shared" si="97"/>
        <v/>
      </c>
      <c r="G1263" s="50" t="str">
        <f t="shared" si="98"/>
        <v/>
      </c>
      <c r="H1263" s="51" t="str">
        <f>IF($C1263="","",IFERROR(DATE(G1263,VLOOKUP(E1263,Paramètres!$K$11:$L$40,2,FALSE()),F1263),"?"))</f>
        <v/>
      </c>
      <c r="I1263" s="50" t="str">
        <f>IF(ISNUMBER(H1263),IF(COUNTIFS($D$2:D1263,D1263,$H$2:H1263,H1263)=1,1,0),"")</f>
        <v/>
      </c>
      <c r="J1263" s="50" t="str">
        <f>IF(ISNUMBER(H1263),IFERROR(INDEX(Calendrier!$C$2:$C$367,MATCH(H1263,Calendrier!$A$2:$A$367,0)),0),"")</f>
        <v/>
      </c>
      <c r="K1263" s="50" t="str">
        <f t="shared" si="99"/>
        <v/>
      </c>
      <c r="L1263" s="50" t="str">
        <f>IF(D1263="","",IF(COUNTIF(Paramètres!$A$11:$A$40,D1263)&gt;0,1,0))</f>
        <v/>
      </c>
    </row>
    <row r="1264" spans="1:12" hidden="1" x14ac:dyDescent="0.25">
      <c r="A1264" s="49"/>
      <c r="B1264" s="49"/>
      <c r="C1264" s="49"/>
      <c r="D1264" s="50" t="str">
        <f t="shared" si="95"/>
        <v/>
      </c>
      <c r="E1264" s="50" t="str">
        <f t="shared" si="96"/>
        <v/>
      </c>
      <c r="F1264" s="50" t="str">
        <f t="shared" si="97"/>
        <v/>
      </c>
      <c r="G1264" s="50" t="str">
        <f t="shared" si="98"/>
        <v/>
      </c>
      <c r="H1264" s="51" t="str">
        <f>IF($C1264="","",IFERROR(DATE(G1264,VLOOKUP(E1264,Paramètres!$K$11:$L$40,2,FALSE()),F1264),"?"))</f>
        <v/>
      </c>
      <c r="I1264" s="50" t="str">
        <f>IF(ISNUMBER(H1264),IF(COUNTIFS($D$2:D1264,D1264,$H$2:H1264,H1264)=1,1,0),"")</f>
        <v/>
      </c>
      <c r="J1264" s="50" t="str">
        <f>IF(ISNUMBER(H1264),IFERROR(INDEX(Calendrier!$C$2:$C$367,MATCH(H1264,Calendrier!$A$2:$A$367,0)),0),"")</f>
        <v/>
      </c>
      <c r="K1264" s="50" t="str">
        <f t="shared" si="99"/>
        <v/>
      </c>
      <c r="L1264" s="50" t="str">
        <f>IF(D1264="","",IF(COUNTIF(Paramètres!$A$11:$A$40,D1264)&gt;0,1,0))</f>
        <v/>
      </c>
    </row>
    <row r="1265" spans="1:12" hidden="1" x14ac:dyDescent="0.25">
      <c r="A1265" s="49"/>
      <c r="B1265" s="49"/>
      <c r="C1265" s="49"/>
      <c r="D1265" s="50" t="str">
        <f t="shared" si="95"/>
        <v/>
      </c>
      <c r="E1265" s="50" t="str">
        <f t="shared" si="96"/>
        <v/>
      </c>
      <c r="F1265" s="50" t="str">
        <f t="shared" si="97"/>
        <v/>
      </c>
      <c r="G1265" s="50" t="str">
        <f t="shared" si="98"/>
        <v/>
      </c>
      <c r="H1265" s="51" t="str">
        <f>IF($C1265="","",IFERROR(DATE(G1265,VLOOKUP(E1265,Paramètres!$K$11:$L$40,2,FALSE()),F1265),"?"))</f>
        <v/>
      </c>
      <c r="I1265" s="50" t="str">
        <f>IF(ISNUMBER(H1265),IF(COUNTIFS($D$2:D1265,D1265,$H$2:H1265,H1265)=1,1,0),"")</f>
        <v/>
      </c>
      <c r="J1265" s="50" t="str">
        <f>IF(ISNUMBER(H1265),IFERROR(INDEX(Calendrier!$C$2:$C$367,MATCH(H1265,Calendrier!$A$2:$A$367,0)),0),"")</f>
        <v/>
      </c>
      <c r="K1265" s="50" t="str">
        <f t="shared" si="99"/>
        <v/>
      </c>
      <c r="L1265" s="50" t="str">
        <f>IF(D1265="","",IF(COUNTIF(Paramètres!$A$11:$A$40,D1265)&gt;0,1,0))</f>
        <v/>
      </c>
    </row>
    <row r="1266" spans="1:12" hidden="1" x14ac:dyDescent="0.25">
      <c r="A1266" s="49"/>
      <c r="B1266" s="49"/>
      <c r="C1266" s="49"/>
      <c r="D1266" s="50" t="str">
        <f t="shared" si="95"/>
        <v/>
      </c>
      <c r="E1266" s="50" t="str">
        <f t="shared" si="96"/>
        <v/>
      </c>
      <c r="F1266" s="50" t="str">
        <f t="shared" si="97"/>
        <v/>
      </c>
      <c r="G1266" s="50" t="str">
        <f t="shared" si="98"/>
        <v/>
      </c>
      <c r="H1266" s="51" t="str">
        <f>IF($C1266="","",IFERROR(DATE(G1266,VLOOKUP(E1266,Paramètres!$K$11:$L$40,2,FALSE()),F1266),"?"))</f>
        <v/>
      </c>
      <c r="I1266" s="50" t="str">
        <f>IF(ISNUMBER(H1266),IF(COUNTIFS($D$2:D1266,D1266,$H$2:H1266,H1266)=1,1,0),"")</f>
        <v/>
      </c>
      <c r="J1266" s="50" t="str">
        <f>IF(ISNUMBER(H1266),IFERROR(INDEX(Calendrier!$C$2:$C$367,MATCH(H1266,Calendrier!$A$2:$A$367,0)),0),"")</f>
        <v/>
      </c>
      <c r="K1266" s="50" t="str">
        <f t="shared" si="99"/>
        <v/>
      </c>
      <c r="L1266" s="50" t="str">
        <f>IF(D1266="","",IF(COUNTIF(Paramètres!$A$11:$A$40,D1266)&gt;0,1,0))</f>
        <v/>
      </c>
    </row>
    <row r="1267" spans="1:12" hidden="1" x14ac:dyDescent="0.25">
      <c r="A1267" s="49"/>
      <c r="B1267" s="49"/>
      <c r="C1267" s="49"/>
      <c r="D1267" s="50" t="str">
        <f t="shared" si="95"/>
        <v/>
      </c>
      <c r="E1267" s="50" t="str">
        <f t="shared" si="96"/>
        <v/>
      </c>
      <c r="F1267" s="50" t="str">
        <f t="shared" si="97"/>
        <v/>
      </c>
      <c r="G1267" s="50" t="str">
        <f t="shared" si="98"/>
        <v/>
      </c>
      <c r="H1267" s="51" t="str">
        <f>IF($C1267="","",IFERROR(DATE(G1267,VLOOKUP(E1267,Paramètres!$K$11:$L$40,2,FALSE()),F1267),"?"))</f>
        <v/>
      </c>
      <c r="I1267" s="50" t="str">
        <f>IF(ISNUMBER(H1267),IF(COUNTIFS($D$2:D1267,D1267,$H$2:H1267,H1267)=1,1,0),"")</f>
        <v/>
      </c>
      <c r="J1267" s="50" t="str">
        <f>IF(ISNUMBER(H1267),IFERROR(INDEX(Calendrier!$C$2:$C$367,MATCH(H1267,Calendrier!$A$2:$A$367,0)),0),"")</f>
        <v/>
      </c>
      <c r="K1267" s="50" t="str">
        <f t="shared" si="99"/>
        <v/>
      </c>
      <c r="L1267" s="50" t="str">
        <f>IF(D1267="","",IF(COUNTIF(Paramètres!$A$11:$A$40,D1267)&gt;0,1,0))</f>
        <v/>
      </c>
    </row>
    <row r="1268" spans="1:12" hidden="1" x14ac:dyDescent="0.25">
      <c r="A1268" s="49"/>
      <c r="B1268" s="49"/>
      <c r="C1268" s="49"/>
      <c r="D1268" s="50" t="str">
        <f t="shared" si="95"/>
        <v/>
      </c>
      <c r="E1268" s="50" t="str">
        <f t="shared" si="96"/>
        <v/>
      </c>
      <c r="F1268" s="50" t="str">
        <f t="shared" si="97"/>
        <v/>
      </c>
      <c r="G1268" s="50" t="str">
        <f t="shared" si="98"/>
        <v/>
      </c>
      <c r="H1268" s="51" t="str">
        <f>IF($C1268="","",IFERROR(DATE(G1268,VLOOKUP(E1268,Paramètres!$K$11:$L$40,2,FALSE()),F1268),"?"))</f>
        <v/>
      </c>
      <c r="I1268" s="50" t="str">
        <f>IF(ISNUMBER(H1268),IF(COUNTIFS($D$2:D1268,D1268,$H$2:H1268,H1268)=1,1,0),"")</f>
        <v/>
      </c>
      <c r="J1268" s="50" t="str">
        <f>IF(ISNUMBER(H1268),IFERROR(INDEX(Calendrier!$C$2:$C$367,MATCH(H1268,Calendrier!$A$2:$A$367,0)),0),"")</f>
        <v/>
      </c>
      <c r="K1268" s="50" t="str">
        <f t="shared" si="99"/>
        <v/>
      </c>
      <c r="L1268" s="50" t="str">
        <f>IF(D1268="","",IF(COUNTIF(Paramètres!$A$11:$A$40,D1268)&gt;0,1,0))</f>
        <v/>
      </c>
    </row>
    <row r="1269" spans="1:12" hidden="1" x14ac:dyDescent="0.25">
      <c r="A1269" s="49"/>
      <c r="B1269" s="49"/>
      <c r="C1269" s="49"/>
      <c r="D1269" s="50" t="str">
        <f t="shared" si="95"/>
        <v/>
      </c>
      <c r="E1269" s="50" t="str">
        <f t="shared" si="96"/>
        <v/>
      </c>
      <c r="F1269" s="50" t="str">
        <f t="shared" si="97"/>
        <v/>
      </c>
      <c r="G1269" s="50" t="str">
        <f t="shared" si="98"/>
        <v/>
      </c>
      <c r="H1269" s="51" t="str">
        <f>IF($C1269="","",IFERROR(DATE(G1269,VLOOKUP(E1269,Paramètres!$K$11:$L$40,2,FALSE()),F1269),"?"))</f>
        <v/>
      </c>
      <c r="I1269" s="50" t="str">
        <f>IF(ISNUMBER(H1269),IF(COUNTIFS($D$2:D1269,D1269,$H$2:H1269,H1269)=1,1,0),"")</f>
        <v/>
      </c>
      <c r="J1269" s="50" t="str">
        <f>IF(ISNUMBER(H1269),IFERROR(INDEX(Calendrier!$C$2:$C$367,MATCH(H1269,Calendrier!$A$2:$A$367,0)),0),"")</f>
        <v/>
      </c>
      <c r="K1269" s="50" t="str">
        <f t="shared" si="99"/>
        <v/>
      </c>
      <c r="L1269" s="50" t="str">
        <f>IF(D1269="","",IF(COUNTIF(Paramètres!$A$11:$A$40,D1269)&gt;0,1,0))</f>
        <v/>
      </c>
    </row>
    <row r="1270" spans="1:12" hidden="1" x14ac:dyDescent="0.25">
      <c r="A1270" s="49"/>
      <c r="B1270" s="49"/>
      <c r="C1270" s="49"/>
      <c r="D1270" s="50" t="str">
        <f t="shared" si="95"/>
        <v/>
      </c>
      <c r="E1270" s="50" t="str">
        <f t="shared" si="96"/>
        <v/>
      </c>
      <c r="F1270" s="50" t="str">
        <f t="shared" si="97"/>
        <v/>
      </c>
      <c r="G1270" s="50" t="str">
        <f t="shared" si="98"/>
        <v/>
      </c>
      <c r="H1270" s="51" t="str">
        <f>IF($C1270="","",IFERROR(DATE(G1270,VLOOKUP(E1270,Paramètres!$K$11:$L$40,2,FALSE()),F1270),"?"))</f>
        <v/>
      </c>
      <c r="I1270" s="50" t="str">
        <f>IF(ISNUMBER(H1270),IF(COUNTIFS($D$2:D1270,D1270,$H$2:H1270,H1270)=1,1,0),"")</f>
        <v/>
      </c>
      <c r="J1270" s="50" t="str">
        <f>IF(ISNUMBER(H1270),IFERROR(INDEX(Calendrier!$C$2:$C$367,MATCH(H1270,Calendrier!$A$2:$A$367,0)),0),"")</f>
        <v/>
      </c>
      <c r="K1270" s="50" t="str">
        <f t="shared" si="99"/>
        <v/>
      </c>
      <c r="L1270" s="50" t="str">
        <f>IF(D1270="","",IF(COUNTIF(Paramètres!$A$11:$A$40,D1270)&gt;0,1,0))</f>
        <v/>
      </c>
    </row>
    <row r="1271" spans="1:12" hidden="1" x14ac:dyDescent="0.25">
      <c r="A1271" s="49"/>
      <c r="B1271" s="49"/>
      <c r="C1271" s="49"/>
      <c r="D1271" s="50" t="str">
        <f t="shared" si="95"/>
        <v/>
      </c>
      <c r="E1271" s="50" t="str">
        <f t="shared" si="96"/>
        <v/>
      </c>
      <c r="F1271" s="50" t="str">
        <f t="shared" si="97"/>
        <v/>
      </c>
      <c r="G1271" s="50" t="str">
        <f t="shared" si="98"/>
        <v/>
      </c>
      <c r="H1271" s="51" t="str">
        <f>IF($C1271="","",IFERROR(DATE(G1271,VLOOKUP(E1271,Paramètres!$K$11:$L$40,2,FALSE()),F1271),"?"))</f>
        <v/>
      </c>
      <c r="I1271" s="50" t="str">
        <f>IF(ISNUMBER(H1271),IF(COUNTIFS($D$2:D1271,D1271,$H$2:H1271,H1271)=1,1,0),"")</f>
        <v/>
      </c>
      <c r="J1271" s="50" t="str">
        <f>IF(ISNUMBER(H1271),IFERROR(INDEX(Calendrier!$C$2:$C$367,MATCH(H1271,Calendrier!$A$2:$A$367,0)),0),"")</f>
        <v/>
      </c>
      <c r="K1271" s="50" t="str">
        <f t="shared" si="99"/>
        <v/>
      </c>
      <c r="L1271" s="50" t="str">
        <f>IF(D1271="","",IF(COUNTIF(Paramètres!$A$11:$A$40,D1271)&gt;0,1,0))</f>
        <v/>
      </c>
    </row>
    <row r="1272" spans="1:12" hidden="1" x14ac:dyDescent="0.25">
      <c r="A1272" s="49"/>
      <c r="B1272" s="49"/>
      <c r="C1272" s="49"/>
      <c r="D1272" s="50" t="str">
        <f t="shared" si="95"/>
        <v/>
      </c>
      <c r="E1272" s="50" t="str">
        <f t="shared" si="96"/>
        <v/>
      </c>
      <c r="F1272" s="50" t="str">
        <f t="shared" si="97"/>
        <v/>
      </c>
      <c r="G1272" s="50" t="str">
        <f t="shared" si="98"/>
        <v/>
      </c>
      <c r="H1272" s="51" t="str">
        <f>IF($C1272="","",IFERROR(DATE(G1272,VLOOKUP(E1272,Paramètres!$K$11:$L$40,2,FALSE()),F1272),"?"))</f>
        <v/>
      </c>
      <c r="I1272" s="50" t="str">
        <f>IF(ISNUMBER(H1272),IF(COUNTIFS($D$2:D1272,D1272,$H$2:H1272,H1272)=1,1,0),"")</f>
        <v/>
      </c>
      <c r="J1272" s="50" t="str">
        <f>IF(ISNUMBER(H1272),IFERROR(INDEX(Calendrier!$C$2:$C$367,MATCH(H1272,Calendrier!$A$2:$A$367,0)),0),"")</f>
        <v/>
      </c>
      <c r="K1272" s="50" t="str">
        <f t="shared" si="99"/>
        <v/>
      </c>
      <c r="L1272" s="50" t="str">
        <f>IF(D1272="","",IF(COUNTIF(Paramètres!$A$11:$A$40,D1272)&gt;0,1,0))</f>
        <v/>
      </c>
    </row>
    <row r="1273" spans="1:12" hidden="1" x14ac:dyDescent="0.25">
      <c r="A1273" s="49"/>
      <c r="B1273" s="49"/>
      <c r="C1273" s="49"/>
      <c r="D1273" s="50" t="str">
        <f t="shared" si="95"/>
        <v/>
      </c>
      <c r="E1273" s="50" t="str">
        <f t="shared" si="96"/>
        <v/>
      </c>
      <c r="F1273" s="50" t="str">
        <f t="shared" si="97"/>
        <v/>
      </c>
      <c r="G1273" s="50" t="str">
        <f t="shared" si="98"/>
        <v/>
      </c>
      <c r="H1273" s="51" t="str">
        <f>IF($C1273="","",IFERROR(DATE(G1273,VLOOKUP(E1273,Paramètres!$K$11:$L$40,2,FALSE()),F1273),"?"))</f>
        <v/>
      </c>
      <c r="I1273" s="50" t="str">
        <f>IF(ISNUMBER(H1273),IF(COUNTIFS($D$2:D1273,D1273,$H$2:H1273,H1273)=1,1,0),"")</f>
        <v/>
      </c>
      <c r="J1273" s="50" t="str">
        <f>IF(ISNUMBER(H1273),IFERROR(INDEX(Calendrier!$C$2:$C$367,MATCH(H1273,Calendrier!$A$2:$A$367,0)),0),"")</f>
        <v/>
      </c>
      <c r="K1273" s="50" t="str">
        <f t="shared" si="99"/>
        <v/>
      </c>
      <c r="L1273" s="50" t="str">
        <f>IF(D1273="","",IF(COUNTIF(Paramètres!$A$11:$A$40,D1273)&gt;0,1,0))</f>
        <v/>
      </c>
    </row>
    <row r="1274" spans="1:12" hidden="1" x14ac:dyDescent="0.25">
      <c r="A1274" s="49"/>
      <c r="B1274" s="49"/>
      <c r="C1274" s="49"/>
      <c r="D1274" s="50" t="str">
        <f t="shared" si="95"/>
        <v/>
      </c>
      <c r="E1274" s="50" t="str">
        <f t="shared" si="96"/>
        <v/>
      </c>
      <c r="F1274" s="50" t="str">
        <f t="shared" si="97"/>
        <v/>
      </c>
      <c r="G1274" s="50" t="str">
        <f t="shared" si="98"/>
        <v/>
      </c>
      <c r="H1274" s="51" t="str">
        <f>IF($C1274="","",IFERROR(DATE(G1274,VLOOKUP(E1274,Paramètres!$K$11:$L$40,2,FALSE()),F1274),"?"))</f>
        <v/>
      </c>
      <c r="I1274" s="50" t="str">
        <f>IF(ISNUMBER(H1274),IF(COUNTIFS($D$2:D1274,D1274,$H$2:H1274,H1274)=1,1,0),"")</f>
        <v/>
      </c>
      <c r="J1274" s="50" t="str">
        <f>IF(ISNUMBER(H1274),IFERROR(INDEX(Calendrier!$C$2:$C$367,MATCH(H1274,Calendrier!$A$2:$A$367,0)),0),"")</f>
        <v/>
      </c>
      <c r="K1274" s="50" t="str">
        <f t="shared" si="99"/>
        <v/>
      </c>
      <c r="L1274" s="50" t="str">
        <f>IF(D1274="","",IF(COUNTIF(Paramètres!$A$11:$A$40,D1274)&gt;0,1,0))</f>
        <v/>
      </c>
    </row>
    <row r="1275" spans="1:12" hidden="1" x14ac:dyDescent="0.25">
      <c r="A1275" s="49"/>
      <c r="B1275" s="49"/>
      <c r="C1275" s="49"/>
      <c r="D1275" s="50" t="str">
        <f t="shared" si="95"/>
        <v/>
      </c>
      <c r="E1275" s="50" t="str">
        <f t="shared" si="96"/>
        <v/>
      </c>
      <c r="F1275" s="50" t="str">
        <f t="shared" si="97"/>
        <v/>
      </c>
      <c r="G1275" s="50" t="str">
        <f t="shared" si="98"/>
        <v/>
      </c>
      <c r="H1275" s="51" t="str">
        <f>IF($C1275="","",IFERROR(DATE(G1275,VLOOKUP(E1275,Paramètres!$K$11:$L$40,2,FALSE()),F1275),"?"))</f>
        <v/>
      </c>
      <c r="I1275" s="50" t="str">
        <f>IF(ISNUMBER(H1275),IF(COUNTIFS($D$2:D1275,D1275,$H$2:H1275,H1275)=1,1,0),"")</f>
        <v/>
      </c>
      <c r="J1275" s="50" t="str">
        <f>IF(ISNUMBER(H1275),IFERROR(INDEX(Calendrier!$C$2:$C$367,MATCH(H1275,Calendrier!$A$2:$A$367,0)),0),"")</f>
        <v/>
      </c>
      <c r="K1275" s="50" t="str">
        <f t="shared" si="99"/>
        <v/>
      </c>
      <c r="L1275" s="50" t="str">
        <f>IF(D1275="","",IF(COUNTIF(Paramètres!$A$11:$A$40,D1275)&gt;0,1,0))</f>
        <v/>
      </c>
    </row>
    <row r="1276" spans="1:12" hidden="1" x14ac:dyDescent="0.25">
      <c r="A1276" s="49"/>
      <c r="B1276" s="49"/>
      <c r="C1276" s="49"/>
      <c r="D1276" s="50" t="str">
        <f t="shared" si="95"/>
        <v/>
      </c>
      <c r="E1276" s="50" t="str">
        <f t="shared" si="96"/>
        <v/>
      </c>
      <c r="F1276" s="50" t="str">
        <f t="shared" si="97"/>
        <v/>
      </c>
      <c r="G1276" s="50" t="str">
        <f t="shared" si="98"/>
        <v/>
      </c>
      <c r="H1276" s="51" t="str">
        <f>IF($C1276="","",IFERROR(DATE(G1276,VLOOKUP(E1276,Paramètres!$K$11:$L$40,2,FALSE()),F1276),"?"))</f>
        <v/>
      </c>
      <c r="I1276" s="50" t="str">
        <f>IF(ISNUMBER(H1276),IF(COUNTIFS($D$2:D1276,D1276,$H$2:H1276,H1276)=1,1,0),"")</f>
        <v/>
      </c>
      <c r="J1276" s="50" t="str">
        <f>IF(ISNUMBER(H1276),IFERROR(INDEX(Calendrier!$C$2:$C$367,MATCH(H1276,Calendrier!$A$2:$A$367,0)),0),"")</f>
        <v/>
      </c>
      <c r="K1276" s="50" t="str">
        <f t="shared" si="99"/>
        <v/>
      </c>
      <c r="L1276" s="50" t="str">
        <f>IF(D1276="","",IF(COUNTIF(Paramètres!$A$11:$A$40,D1276)&gt;0,1,0))</f>
        <v/>
      </c>
    </row>
    <row r="1277" spans="1:12" hidden="1" x14ac:dyDescent="0.25">
      <c r="A1277" s="49"/>
      <c r="B1277" s="49"/>
      <c r="C1277" s="49"/>
      <c r="D1277" s="50" t="str">
        <f t="shared" si="95"/>
        <v/>
      </c>
      <c r="E1277" s="50" t="str">
        <f t="shared" si="96"/>
        <v/>
      </c>
      <c r="F1277" s="50" t="str">
        <f t="shared" si="97"/>
        <v/>
      </c>
      <c r="G1277" s="50" t="str">
        <f t="shared" si="98"/>
        <v/>
      </c>
      <c r="H1277" s="51" t="str">
        <f>IF($C1277="","",IFERROR(DATE(G1277,VLOOKUP(E1277,Paramètres!$K$11:$L$40,2,FALSE()),F1277),"?"))</f>
        <v/>
      </c>
      <c r="I1277" s="50" t="str">
        <f>IF(ISNUMBER(H1277),IF(COUNTIFS($D$2:D1277,D1277,$H$2:H1277,H1277)=1,1,0),"")</f>
        <v/>
      </c>
      <c r="J1277" s="50" t="str">
        <f>IF(ISNUMBER(H1277),IFERROR(INDEX(Calendrier!$C$2:$C$367,MATCH(H1277,Calendrier!$A$2:$A$367,0)),0),"")</f>
        <v/>
      </c>
      <c r="K1277" s="50" t="str">
        <f t="shared" si="99"/>
        <v/>
      </c>
      <c r="L1277" s="50" t="str">
        <f>IF(D1277="","",IF(COUNTIF(Paramètres!$A$11:$A$40,D1277)&gt;0,1,0))</f>
        <v/>
      </c>
    </row>
    <row r="1278" spans="1:12" hidden="1" x14ac:dyDescent="0.25">
      <c r="A1278" s="49"/>
      <c r="B1278" s="49"/>
      <c r="C1278" s="49"/>
      <c r="D1278" s="50" t="str">
        <f t="shared" si="95"/>
        <v/>
      </c>
      <c r="E1278" s="50" t="str">
        <f t="shared" si="96"/>
        <v/>
      </c>
      <c r="F1278" s="50" t="str">
        <f t="shared" si="97"/>
        <v/>
      </c>
      <c r="G1278" s="50" t="str">
        <f t="shared" si="98"/>
        <v/>
      </c>
      <c r="H1278" s="51" t="str">
        <f>IF($C1278="","",IFERROR(DATE(G1278,VLOOKUP(E1278,Paramètres!$K$11:$L$40,2,FALSE()),F1278),"?"))</f>
        <v/>
      </c>
      <c r="I1278" s="50" t="str">
        <f>IF(ISNUMBER(H1278),IF(COUNTIFS($D$2:D1278,D1278,$H$2:H1278,H1278)=1,1,0),"")</f>
        <v/>
      </c>
      <c r="J1278" s="50" t="str">
        <f>IF(ISNUMBER(H1278),IFERROR(INDEX(Calendrier!$C$2:$C$367,MATCH(H1278,Calendrier!$A$2:$A$367,0)),0),"")</f>
        <v/>
      </c>
      <c r="K1278" s="50" t="str">
        <f t="shared" si="99"/>
        <v/>
      </c>
      <c r="L1278" s="50" t="str">
        <f>IF(D1278="","",IF(COUNTIF(Paramètres!$A$11:$A$40,D1278)&gt;0,1,0))</f>
        <v/>
      </c>
    </row>
    <row r="1279" spans="1:12" hidden="1" x14ac:dyDescent="0.25">
      <c r="A1279" s="49"/>
      <c r="B1279" s="49"/>
      <c r="C1279" s="49"/>
      <c r="D1279" s="50" t="str">
        <f t="shared" si="95"/>
        <v/>
      </c>
      <c r="E1279" s="50" t="str">
        <f t="shared" si="96"/>
        <v/>
      </c>
      <c r="F1279" s="50" t="str">
        <f t="shared" si="97"/>
        <v/>
      </c>
      <c r="G1279" s="50" t="str">
        <f t="shared" si="98"/>
        <v/>
      </c>
      <c r="H1279" s="51" t="str">
        <f>IF($C1279="","",IFERROR(DATE(G1279,VLOOKUP(E1279,Paramètres!$K$11:$L$40,2,FALSE()),F1279),"?"))</f>
        <v/>
      </c>
      <c r="I1279" s="50" t="str">
        <f>IF(ISNUMBER(H1279),IF(COUNTIFS($D$2:D1279,D1279,$H$2:H1279,H1279)=1,1,0),"")</f>
        <v/>
      </c>
      <c r="J1279" s="50" t="str">
        <f>IF(ISNUMBER(H1279),IFERROR(INDEX(Calendrier!$C$2:$C$367,MATCH(H1279,Calendrier!$A$2:$A$367,0)),0),"")</f>
        <v/>
      </c>
      <c r="K1279" s="50" t="str">
        <f t="shared" si="99"/>
        <v/>
      </c>
      <c r="L1279" s="50" t="str">
        <f>IF(D1279="","",IF(COUNTIF(Paramètres!$A$11:$A$40,D1279)&gt;0,1,0))</f>
        <v/>
      </c>
    </row>
    <row r="1280" spans="1:12" hidden="1" x14ac:dyDescent="0.25">
      <c r="A1280" s="49"/>
      <c r="B1280" s="49"/>
      <c r="C1280" s="49"/>
      <c r="D1280" s="50" t="str">
        <f t="shared" si="95"/>
        <v/>
      </c>
      <c r="E1280" s="50" t="str">
        <f t="shared" si="96"/>
        <v/>
      </c>
      <c r="F1280" s="50" t="str">
        <f t="shared" si="97"/>
        <v/>
      </c>
      <c r="G1280" s="50" t="str">
        <f t="shared" si="98"/>
        <v/>
      </c>
      <c r="H1280" s="51" t="str">
        <f>IF($C1280="","",IFERROR(DATE(G1280,VLOOKUP(E1280,Paramètres!$K$11:$L$40,2,FALSE()),F1280),"?"))</f>
        <v/>
      </c>
      <c r="I1280" s="50" t="str">
        <f>IF(ISNUMBER(H1280),IF(COUNTIFS($D$2:D1280,D1280,$H$2:H1280,H1280)=1,1,0),"")</f>
        <v/>
      </c>
      <c r="J1280" s="50" t="str">
        <f>IF(ISNUMBER(H1280),IFERROR(INDEX(Calendrier!$C$2:$C$367,MATCH(H1280,Calendrier!$A$2:$A$367,0)),0),"")</f>
        <v/>
      </c>
      <c r="K1280" s="50" t="str">
        <f t="shared" si="99"/>
        <v/>
      </c>
      <c r="L1280" s="50" t="str">
        <f>IF(D1280="","",IF(COUNTIF(Paramètres!$A$11:$A$40,D1280)&gt;0,1,0))</f>
        <v/>
      </c>
    </row>
    <row r="1281" spans="1:12" hidden="1" x14ac:dyDescent="0.25">
      <c r="A1281" s="49"/>
      <c r="B1281" s="49"/>
      <c r="C1281" s="49"/>
      <c r="D1281" s="50" t="str">
        <f t="shared" si="95"/>
        <v/>
      </c>
      <c r="E1281" s="50" t="str">
        <f t="shared" si="96"/>
        <v/>
      </c>
      <c r="F1281" s="50" t="str">
        <f t="shared" si="97"/>
        <v/>
      </c>
      <c r="G1281" s="50" t="str">
        <f t="shared" si="98"/>
        <v/>
      </c>
      <c r="H1281" s="51" t="str">
        <f>IF($C1281="","",IFERROR(DATE(G1281,VLOOKUP(E1281,Paramètres!$K$11:$L$40,2,FALSE()),F1281),"?"))</f>
        <v/>
      </c>
      <c r="I1281" s="50" t="str">
        <f>IF(ISNUMBER(H1281),IF(COUNTIFS($D$2:D1281,D1281,$H$2:H1281,H1281)=1,1,0),"")</f>
        <v/>
      </c>
      <c r="J1281" s="50" t="str">
        <f>IF(ISNUMBER(H1281),IFERROR(INDEX(Calendrier!$C$2:$C$367,MATCH(H1281,Calendrier!$A$2:$A$367,0)),0),"")</f>
        <v/>
      </c>
      <c r="K1281" s="50" t="str">
        <f t="shared" si="99"/>
        <v/>
      </c>
      <c r="L1281" s="50" t="str">
        <f>IF(D1281="","",IF(COUNTIF(Paramètres!$A$11:$A$40,D1281)&gt;0,1,0))</f>
        <v/>
      </c>
    </row>
    <row r="1282" spans="1:12" hidden="1" x14ac:dyDescent="0.25">
      <c r="A1282" s="49"/>
      <c r="B1282" s="49"/>
      <c r="C1282" s="49"/>
      <c r="D1282" s="50" t="str">
        <f t="shared" ref="D1282:D1345" si="100">IF(B1282="","",TRIM(B1282))</f>
        <v/>
      </c>
      <c r="E1282" s="50" t="str">
        <f t="shared" ref="E1282:E1345" si="101">IF($C1282="","",LEFT($C1282,FIND(" ",$C1282)-1))</f>
        <v/>
      </c>
      <c r="F1282" s="50" t="str">
        <f t="shared" ref="F1282:F1345" si="102">IF($C1282="","",IFERROR(VALUE(LEFT(MID($C1282,FIND(" ",$C1282)+1,20),FIND(" ",MID($C1282,FIND(" ",$C1282)+1,20))-1)),"?"))</f>
        <v/>
      </c>
      <c r="G1282" s="50" t="str">
        <f t="shared" ref="G1282:G1345" si="103">IF($C1282="","",IFERROR(VALUE(MID(MID($C1282,FIND(" ",$C1282)+1,20),FIND(" ",MID($C1282,FIND(" ",$C1282)+1,20))+1,4)),"?"))</f>
        <v/>
      </c>
      <c r="H1282" s="51" t="str">
        <f>IF($C1282="","",IFERROR(DATE(G1282,VLOOKUP(E1282,Paramètres!$K$11:$L$40,2,FALSE()),F1282),"?"))</f>
        <v/>
      </c>
      <c r="I1282" s="50" t="str">
        <f>IF(ISNUMBER(H1282),IF(COUNTIFS($D$2:D1282,D1282,$H$2:H1282,H1282)=1,1,0),"")</f>
        <v/>
      </c>
      <c r="J1282" s="50" t="str">
        <f>IF(ISNUMBER(H1282),IFERROR(INDEX(Calendrier!$C$2:$C$367,MATCH(H1282,Calendrier!$A$2:$A$367,0)),0),"")</f>
        <v/>
      </c>
      <c r="K1282" s="50" t="str">
        <f t="shared" ref="K1282:K1345" si="104">IF(ISNUMBER(H1282),I1282*J1282,"")</f>
        <v/>
      </c>
      <c r="L1282" s="50" t="str">
        <f>IF(D1282="","",IF(COUNTIF(Paramètres!$A$11:$A$40,D1282)&gt;0,1,0))</f>
        <v/>
      </c>
    </row>
    <row r="1283" spans="1:12" hidden="1" x14ac:dyDescent="0.25">
      <c r="A1283" s="49"/>
      <c r="B1283" s="49"/>
      <c r="C1283" s="49"/>
      <c r="D1283" s="50" t="str">
        <f t="shared" si="100"/>
        <v/>
      </c>
      <c r="E1283" s="50" t="str">
        <f t="shared" si="101"/>
        <v/>
      </c>
      <c r="F1283" s="50" t="str">
        <f t="shared" si="102"/>
        <v/>
      </c>
      <c r="G1283" s="50" t="str">
        <f t="shared" si="103"/>
        <v/>
      </c>
      <c r="H1283" s="51" t="str">
        <f>IF($C1283="","",IFERROR(DATE(G1283,VLOOKUP(E1283,Paramètres!$K$11:$L$40,2,FALSE()),F1283),"?"))</f>
        <v/>
      </c>
      <c r="I1283" s="50" t="str">
        <f>IF(ISNUMBER(H1283),IF(COUNTIFS($D$2:D1283,D1283,$H$2:H1283,H1283)=1,1,0),"")</f>
        <v/>
      </c>
      <c r="J1283" s="50" t="str">
        <f>IF(ISNUMBER(H1283),IFERROR(INDEX(Calendrier!$C$2:$C$367,MATCH(H1283,Calendrier!$A$2:$A$367,0)),0),"")</f>
        <v/>
      </c>
      <c r="K1283" s="50" t="str">
        <f t="shared" si="104"/>
        <v/>
      </c>
      <c r="L1283" s="50" t="str">
        <f>IF(D1283="","",IF(COUNTIF(Paramètres!$A$11:$A$40,D1283)&gt;0,1,0))</f>
        <v/>
      </c>
    </row>
    <row r="1284" spans="1:12" hidden="1" x14ac:dyDescent="0.25">
      <c r="A1284" s="49"/>
      <c r="B1284" s="49"/>
      <c r="C1284" s="49"/>
      <c r="D1284" s="50" t="str">
        <f t="shared" si="100"/>
        <v/>
      </c>
      <c r="E1284" s="50" t="str">
        <f t="shared" si="101"/>
        <v/>
      </c>
      <c r="F1284" s="50" t="str">
        <f t="shared" si="102"/>
        <v/>
      </c>
      <c r="G1284" s="50" t="str">
        <f t="shared" si="103"/>
        <v/>
      </c>
      <c r="H1284" s="51" t="str">
        <f>IF($C1284="","",IFERROR(DATE(G1284,VLOOKUP(E1284,Paramètres!$K$11:$L$40,2,FALSE()),F1284),"?"))</f>
        <v/>
      </c>
      <c r="I1284" s="50" t="str">
        <f>IF(ISNUMBER(H1284),IF(COUNTIFS($D$2:D1284,D1284,$H$2:H1284,H1284)=1,1,0),"")</f>
        <v/>
      </c>
      <c r="J1284" s="50" t="str">
        <f>IF(ISNUMBER(H1284),IFERROR(INDEX(Calendrier!$C$2:$C$367,MATCH(H1284,Calendrier!$A$2:$A$367,0)),0),"")</f>
        <v/>
      </c>
      <c r="K1284" s="50" t="str">
        <f t="shared" si="104"/>
        <v/>
      </c>
      <c r="L1284" s="50" t="str">
        <f>IF(D1284="","",IF(COUNTIF(Paramètres!$A$11:$A$40,D1284)&gt;0,1,0))</f>
        <v/>
      </c>
    </row>
    <row r="1285" spans="1:12" hidden="1" x14ac:dyDescent="0.25">
      <c r="A1285" s="49"/>
      <c r="B1285" s="49"/>
      <c r="C1285" s="49"/>
      <c r="D1285" s="50" t="str">
        <f t="shared" si="100"/>
        <v/>
      </c>
      <c r="E1285" s="50" t="str">
        <f t="shared" si="101"/>
        <v/>
      </c>
      <c r="F1285" s="50" t="str">
        <f t="shared" si="102"/>
        <v/>
      </c>
      <c r="G1285" s="50" t="str">
        <f t="shared" si="103"/>
        <v/>
      </c>
      <c r="H1285" s="51" t="str">
        <f>IF($C1285="","",IFERROR(DATE(G1285,VLOOKUP(E1285,Paramètres!$K$11:$L$40,2,FALSE()),F1285),"?"))</f>
        <v/>
      </c>
      <c r="I1285" s="50" t="str">
        <f>IF(ISNUMBER(H1285),IF(COUNTIFS($D$2:D1285,D1285,$H$2:H1285,H1285)=1,1,0),"")</f>
        <v/>
      </c>
      <c r="J1285" s="50" t="str">
        <f>IF(ISNUMBER(H1285),IFERROR(INDEX(Calendrier!$C$2:$C$367,MATCH(H1285,Calendrier!$A$2:$A$367,0)),0),"")</f>
        <v/>
      </c>
      <c r="K1285" s="50" t="str">
        <f t="shared" si="104"/>
        <v/>
      </c>
      <c r="L1285" s="50" t="str">
        <f>IF(D1285="","",IF(COUNTIF(Paramètres!$A$11:$A$40,D1285)&gt;0,1,0))</f>
        <v/>
      </c>
    </row>
    <row r="1286" spans="1:12" hidden="1" x14ac:dyDescent="0.25">
      <c r="A1286" s="49"/>
      <c r="B1286" s="49"/>
      <c r="C1286" s="49"/>
      <c r="D1286" s="50" t="str">
        <f t="shared" si="100"/>
        <v/>
      </c>
      <c r="E1286" s="50" t="str">
        <f t="shared" si="101"/>
        <v/>
      </c>
      <c r="F1286" s="50" t="str">
        <f t="shared" si="102"/>
        <v/>
      </c>
      <c r="G1286" s="50" t="str">
        <f t="shared" si="103"/>
        <v/>
      </c>
      <c r="H1286" s="51" t="str">
        <f>IF($C1286="","",IFERROR(DATE(G1286,VLOOKUP(E1286,Paramètres!$K$11:$L$40,2,FALSE()),F1286),"?"))</f>
        <v/>
      </c>
      <c r="I1286" s="50" t="str">
        <f>IF(ISNUMBER(H1286),IF(COUNTIFS($D$2:D1286,D1286,$H$2:H1286,H1286)=1,1,0),"")</f>
        <v/>
      </c>
      <c r="J1286" s="50" t="str">
        <f>IF(ISNUMBER(H1286),IFERROR(INDEX(Calendrier!$C$2:$C$367,MATCH(H1286,Calendrier!$A$2:$A$367,0)),0),"")</f>
        <v/>
      </c>
      <c r="K1286" s="50" t="str">
        <f t="shared" si="104"/>
        <v/>
      </c>
      <c r="L1286" s="50" t="str">
        <f>IF(D1286="","",IF(COUNTIF(Paramètres!$A$11:$A$40,D1286)&gt;0,1,0))</f>
        <v/>
      </c>
    </row>
    <row r="1287" spans="1:12" hidden="1" x14ac:dyDescent="0.25">
      <c r="A1287" s="49"/>
      <c r="B1287" s="49"/>
      <c r="C1287" s="49"/>
      <c r="D1287" s="50" t="str">
        <f t="shared" si="100"/>
        <v/>
      </c>
      <c r="E1287" s="50" t="str">
        <f t="shared" si="101"/>
        <v/>
      </c>
      <c r="F1287" s="50" t="str">
        <f t="shared" si="102"/>
        <v/>
      </c>
      <c r="G1287" s="50" t="str">
        <f t="shared" si="103"/>
        <v/>
      </c>
      <c r="H1287" s="51" t="str">
        <f>IF($C1287="","",IFERROR(DATE(G1287,VLOOKUP(E1287,Paramètres!$K$11:$L$40,2,FALSE()),F1287),"?"))</f>
        <v/>
      </c>
      <c r="I1287" s="50" t="str">
        <f>IF(ISNUMBER(H1287),IF(COUNTIFS($D$2:D1287,D1287,$H$2:H1287,H1287)=1,1,0),"")</f>
        <v/>
      </c>
      <c r="J1287" s="50" t="str">
        <f>IF(ISNUMBER(H1287),IFERROR(INDEX(Calendrier!$C$2:$C$367,MATCH(H1287,Calendrier!$A$2:$A$367,0)),0),"")</f>
        <v/>
      </c>
      <c r="K1287" s="50" t="str">
        <f t="shared" si="104"/>
        <v/>
      </c>
      <c r="L1287" s="50" t="str">
        <f>IF(D1287="","",IF(COUNTIF(Paramètres!$A$11:$A$40,D1287)&gt;0,1,0))</f>
        <v/>
      </c>
    </row>
    <row r="1288" spans="1:12" hidden="1" x14ac:dyDescent="0.25">
      <c r="A1288" s="49"/>
      <c r="B1288" s="49"/>
      <c r="C1288" s="49"/>
      <c r="D1288" s="50" t="str">
        <f t="shared" si="100"/>
        <v/>
      </c>
      <c r="E1288" s="50" t="str">
        <f t="shared" si="101"/>
        <v/>
      </c>
      <c r="F1288" s="50" t="str">
        <f t="shared" si="102"/>
        <v/>
      </c>
      <c r="G1288" s="50" t="str">
        <f t="shared" si="103"/>
        <v/>
      </c>
      <c r="H1288" s="51" t="str">
        <f>IF($C1288="","",IFERROR(DATE(G1288,VLOOKUP(E1288,Paramètres!$K$11:$L$40,2,FALSE()),F1288),"?"))</f>
        <v/>
      </c>
      <c r="I1288" s="50" t="str">
        <f>IF(ISNUMBER(H1288),IF(COUNTIFS($D$2:D1288,D1288,$H$2:H1288,H1288)=1,1,0),"")</f>
        <v/>
      </c>
      <c r="J1288" s="50" t="str">
        <f>IF(ISNUMBER(H1288),IFERROR(INDEX(Calendrier!$C$2:$C$367,MATCH(H1288,Calendrier!$A$2:$A$367,0)),0),"")</f>
        <v/>
      </c>
      <c r="K1288" s="50" t="str">
        <f t="shared" si="104"/>
        <v/>
      </c>
      <c r="L1288" s="50" t="str">
        <f>IF(D1288="","",IF(COUNTIF(Paramètres!$A$11:$A$40,D1288)&gt;0,1,0))</f>
        <v/>
      </c>
    </row>
    <row r="1289" spans="1:12" hidden="1" x14ac:dyDescent="0.25">
      <c r="A1289" s="49"/>
      <c r="B1289" s="49"/>
      <c r="C1289" s="49"/>
      <c r="D1289" s="50" t="str">
        <f t="shared" si="100"/>
        <v/>
      </c>
      <c r="E1289" s="50" t="str">
        <f t="shared" si="101"/>
        <v/>
      </c>
      <c r="F1289" s="50" t="str">
        <f t="shared" si="102"/>
        <v/>
      </c>
      <c r="G1289" s="50" t="str">
        <f t="shared" si="103"/>
        <v/>
      </c>
      <c r="H1289" s="51" t="str">
        <f>IF($C1289="","",IFERROR(DATE(G1289,VLOOKUP(E1289,Paramètres!$K$11:$L$40,2,FALSE()),F1289),"?"))</f>
        <v/>
      </c>
      <c r="I1289" s="50" t="str">
        <f>IF(ISNUMBER(H1289),IF(COUNTIFS($D$2:D1289,D1289,$H$2:H1289,H1289)=1,1,0),"")</f>
        <v/>
      </c>
      <c r="J1289" s="50" t="str">
        <f>IF(ISNUMBER(H1289),IFERROR(INDEX(Calendrier!$C$2:$C$367,MATCH(H1289,Calendrier!$A$2:$A$367,0)),0),"")</f>
        <v/>
      </c>
      <c r="K1289" s="50" t="str">
        <f t="shared" si="104"/>
        <v/>
      </c>
      <c r="L1289" s="50" t="str">
        <f>IF(D1289="","",IF(COUNTIF(Paramètres!$A$11:$A$40,D1289)&gt;0,1,0))</f>
        <v/>
      </c>
    </row>
    <row r="1290" spans="1:12" hidden="1" x14ac:dyDescent="0.25">
      <c r="A1290" s="49"/>
      <c r="B1290" s="49"/>
      <c r="C1290" s="49"/>
      <c r="D1290" s="50" t="str">
        <f t="shared" si="100"/>
        <v/>
      </c>
      <c r="E1290" s="50" t="str">
        <f t="shared" si="101"/>
        <v/>
      </c>
      <c r="F1290" s="50" t="str">
        <f t="shared" si="102"/>
        <v/>
      </c>
      <c r="G1290" s="50" t="str">
        <f t="shared" si="103"/>
        <v/>
      </c>
      <c r="H1290" s="51" t="str">
        <f>IF($C1290="","",IFERROR(DATE(G1290,VLOOKUP(E1290,Paramètres!$K$11:$L$40,2,FALSE()),F1290),"?"))</f>
        <v/>
      </c>
      <c r="I1290" s="50" t="str">
        <f>IF(ISNUMBER(H1290),IF(COUNTIFS($D$2:D1290,D1290,$H$2:H1290,H1290)=1,1,0),"")</f>
        <v/>
      </c>
      <c r="J1290" s="50" t="str">
        <f>IF(ISNUMBER(H1290),IFERROR(INDEX(Calendrier!$C$2:$C$367,MATCH(H1290,Calendrier!$A$2:$A$367,0)),0),"")</f>
        <v/>
      </c>
      <c r="K1290" s="50" t="str">
        <f t="shared" si="104"/>
        <v/>
      </c>
      <c r="L1290" s="50" t="str">
        <f>IF(D1290="","",IF(COUNTIF(Paramètres!$A$11:$A$40,D1290)&gt;0,1,0))</f>
        <v/>
      </c>
    </row>
    <row r="1291" spans="1:12" hidden="1" x14ac:dyDescent="0.25">
      <c r="A1291" s="49"/>
      <c r="B1291" s="49"/>
      <c r="C1291" s="49"/>
      <c r="D1291" s="50" t="str">
        <f t="shared" si="100"/>
        <v/>
      </c>
      <c r="E1291" s="50" t="str">
        <f t="shared" si="101"/>
        <v/>
      </c>
      <c r="F1291" s="50" t="str">
        <f t="shared" si="102"/>
        <v/>
      </c>
      <c r="G1291" s="50" t="str">
        <f t="shared" si="103"/>
        <v/>
      </c>
      <c r="H1291" s="51" t="str">
        <f>IF($C1291="","",IFERROR(DATE(G1291,VLOOKUP(E1291,Paramètres!$K$11:$L$40,2,FALSE()),F1291),"?"))</f>
        <v/>
      </c>
      <c r="I1291" s="50" t="str">
        <f>IF(ISNUMBER(H1291),IF(COUNTIFS($D$2:D1291,D1291,$H$2:H1291,H1291)=1,1,0),"")</f>
        <v/>
      </c>
      <c r="J1291" s="50" t="str">
        <f>IF(ISNUMBER(H1291),IFERROR(INDEX(Calendrier!$C$2:$C$367,MATCH(H1291,Calendrier!$A$2:$A$367,0)),0),"")</f>
        <v/>
      </c>
      <c r="K1291" s="50" t="str">
        <f t="shared" si="104"/>
        <v/>
      </c>
      <c r="L1291" s="50" t="str">
        <f>IF(D1291="","",IF(COUNTIF(Paramètres!$A$11:$A$40,D1291)&gt;0,1,0))</f>
        <v/>
      </c>
    </row>
    <row r="1292" spans="1:12" hidden="1" x14ac:dyDescent="0.25">
      <c r="A1292" s="49"/>
      <c r="B1292" s="49"/>
      <c r="C1292" s="49"/>
      <c r="D1292" s="50" t="str">
        <f t="shared" si="100"/>
        <v/>
      </c>
      <c r="E1292" s="50" t="str">
        <f t="shared" si="101"/>
        <v/>
      </c>
      <c r="F1292" s="50" t="str">
        <f t="shared" si="102"/>
        <v/>
      </c>
      <c r="G1292" s="50" t="str">
        <f t="shared" si="103"/>
        <v/>
      </c>
      <c r="H1292" s="51" t="str">
        <f>IF($C1292="","",IFERROR(DATE(G1292,VLOOKUP(E1292,Paramètres!$K$11:$L$40,2,FALSE()),F1292),"?"))</f>
        <v/>
      </c>
      <c r="I1292" s="50" t="str">
        <f>IF(ISNUMBER(H1292),IF(COUNTIFS($D$2:D1292,D1292,$H$2:H1292,H1292)=1,1,0),"")</f>
        <v/>
      </c>
      <c r="J1292" s="50" t="str">
        <f>IF(ISNUMBER(H1292),IFERROR(INDEX(Calendrier!$C$2:$C$367,MATCH(H1292,Calendrier!$A$2:$A$367,0)),0),"")</f>
        <v/>
      </c>
      <c r="K1292" s="50" t="str">
        <f t="shared" si="104"/>
        <v/>
      </c>
      <c r="L1292" s="50" t="str">
        <f>IF(D1292="","",IF(COUNTIF(Paramètres!$A$11:$A$40,D1292)&gt;0,1,0))</f>
        <v/>
      </c>
    </row>
    <row r="1293" spans="1:12" hidden="1" x14ac:dyDescent="0.25">
      <c r="A1293" s="49"/>
      <c r="B1293" s="49"/>
      <c r="C1293" s="49"/>
      <c r="D1293" s="50" t="str">
        <f t="shared" si="100"/>
        <v/>
      </c>
      <c r="E1293" s="50" t="str">
        <f t="shared" si="101"/>
        <v/>
      </c>
      <c r="F1293" s="50" t="str">
        <f t="shared" si="102"/>
        <v/>
      </c>
      <c r="G1293" s="50" t="str">
        <f t="shared" si="103"/>
        <v/>
      </c>
      <c r="H1293" s="51" t="str">
        <f>IF($C1293="","",IFERROR(DATE(G1293,VLOOKUP(E1293,Paramètres!$K$11:$L$40,2,FALSE()),F1293),"?"))</f>
        <v/>
      </c>
      <c r="I1293" s="50" t="str">
        <f>IF(ISNUMBER(H1293),IF(COUNTIFS($D$2:D1293,D1293,$H$2:H1293,H1293)=1,1,0),"")</f>
        <v/>
      </c>
      <c r="J1293" s="50" t="str">
        <f>IF(ISNUMBER(H1293),IFERROR(INDEX(Calendrier!$C$2:$C$367,MATCH(H1293,Calendrier!$A$2:$A$367,0)),0),"")</f>
        <v/>
      </c>
      <c r="K1293" s="50" t="str">
        <f t="shared" si="104"/>
        <v/>
      </c>
      <c r="L1293" s="50" t="str">
        <f>IF(D1293="","",IF(COUNTIF(Paramètres!$A$11:$A$40,D1293)&gt;0,1,0))</f>
        <v/>
      </c>
    </row>
    <row r="1294" spans="1:12" hidden="1" x14ac:dyDescent="0.25">
      <c r="A1294" s="49"/>
      <c r="B1294" s="49"/>
      <c r="C1294" s="49"/>
      <c r="D1294" s="50" t="str">
        <f t="shared" si="100"/>
        <v/>
      </c>
      <c r="E1294" s="50" t="str">
        <f t="shared" si="101"/>
        <v/>
      </c>
      <c r="F1294" s="50" t="str">
        <f t="shared" si="102"/>
        <v/>
      </c>
      <c r="G1294" s="50" t="str">
        <f t="shared" si="103"/>
        <v/>
      </c>
      <c r="H1294" s="51" t="str">
        <f>IF($C1294="","",IFERROR(DATE(G1294,VLOOKUP(E1294,Paramètres!$K$11:$L$40,2,FALSE()),F1294),"?"))</f>
        <v/>
      </c>
      <c r="I1294" s="50" t="str">
        <f>IF(ISNUMBER(H1294),IF(COUNTIFS($D$2:D1294,D1294,$H$2:H1294,H1294)=1,1,0),"")</f>
        <v/>
      </c>
      <c r="J1294" s="50" t="str">
        <f>IF(ISNUMBER(H1294),IFERROR(INDEX(Calendrier!$C$2:$C$367,MATCH(H1294,Calendrier!$A$2:$A$367,0)),0),"")</f>
        <v/>
      </c>
      <c r="K1294" s="50" t="str">
        <f t="shared" si="104"/>
        <v/>
      </c>
      <c r="L1294" s="50" t="str">
        <f>IF(D1294="","",IF(COUNTIF(Paramètres!$A$11:$A$40,D1294)&gt;0,1,0))</f>
        <v/>
      </c>
    </row>
    <row r="1295" spans="1:12" hidden="1" x14ac:dyDescent="0.25">
      <c r="A1295" s="49"/>
      <c r="B1295" s="49"/>
      <c r="C1295" s="49"/>
      <c r="D1295" s="50" t="str">
        <f t="shared" si="100"/>
        <v/>
      </c>
      <c r="E1295" s="50" t="str">
        <f t="shared" si="101"/>
        <v/>
      </c>
      <c r="F1295" s="50" t="str">
        <f t="shared" si="102"/>
        <v/>
      </c>
      <c r="G1295" s="50" t="str">
        <f t="shared" si="103"/>
        <v/>
      </c>
      <c r="H1295" s="51" t="str">
        <f>IF($C1295="","",IFERROR(DATE(G1295,VLOOKUP(E1295,Paramètres!$K$11:$L$40,2,FALSE()),F1295),"?"))</f>
        <v/>
      </c>
      <c r="I1295" s="50" t="str">
        <f>IF(ISNUMBER(H1295),IF(COUNTIFS($D$2:D1295,D1295,$H$2:H1295,H1295)=1,1,0),"")</f>
        <v/>
      </c>
      <c r="J1295" s="50" t="str">
        <f>IF(ISNUMBER(H1295),IFERROR(INDEX(Calendrier!$C$2:$C$367,MATCH(H1295,Calendrier!$A$2:$A$367,0)),0),"")</f>
        <v/>
      </c>
      <c r="K1295" s="50" t="str">
        <f t="shared" si="104"/>
        <v/>
      </c>
      <c r="L1295" s="50" t="str">
        <f>IF(D1295="","",IF(COUNTIF(Paramètres!$A$11:$A$40,D1295)&gt;0,1,0))</f>
        <v/>
      </c>
    </row>
    <row r="1296" spans="1:12" hidden="1" x14ac:dyDescent="0.25">
      <c r="A1296" s="49"/>
      <c r="B1296" s="49"/>
      <c r="C1296" s="49"/>
      <c r="D1296" s="50" t="str">
        <f t="shared" si="100"/>
        <v/>
      </c>
      <c r="E1296" s="50" t="str">
        <f t="shared" si="101"/>
        <v/>
      </c>
      <c r="F1296" s="50" t="str">
        <f t="shared" si="102"/>
        <v/>
      </c>
      <c r="G1296" s="50" t="str">
        <f t="shared" si="103"/>
        <v/>
      </c>
      <c r="H1296" s="51" t="str">
        <f>IF($C1296="","",IFERROR(DATE(G1296,VLOOKUP(E1296,Paramètres!$K$11:$L$40,2,FALSE()),F1296),"?"))</f>
        <v/>
      </c>
      <c r="I1296" s="50" t="str">
        <f>IF(ISNUMBER(H1296),IF(COUNTIFS($D$2:D1296,D1296,$H$2:H1296,H1296)=1,1,0),"")</f>
        <v/>
      </c>
      <c r="J1296" s="50" t="str">
        <f>IF(ISNUMBER(H1296),IFERROR(INDEX(Calendrier!$C$2:$C$367,MATCH(H1296,Calendrier!$A$2:$A$367,0)),0),"")</f>
        <v/>
      </c>
      <c r="K1296" s="50" t="str">
        <f t="shared" si="104"/>
        <v/>
      </c>
      <c r="L1296" s="50" t="str">
        <f>IF(D1296="","",IF(COUNTIF(Paramètres!$A$11:$A$40,D1296)&gt;0,1,0))</f>
        <v/>
      </c>
    </row>
    <row r="1297" spans="1:12" hidden="1" x14ac:dyDescent="0.25">
      <c r="A1297" s="49"/>
      <c r="B1297" s="49"/>
      <c r="C1297" s="49"/>
      <c r="D1297" s="50" t="str">
        <f t="shared" si="100"/>
        <v/>
      </c>
      <c r="E1297" s="50" t="str">
        <f t="shared" si="101"/>
        <v/>
      </c>
      <c r="F1297" s="50" t="str">
        <f t="shared" si="102"/>
        <v/>
      </c>
      <c r="G1297" s="50" t="str">
        <f t="shared" si="103"/>
        <v/>
      </c>
      <c r="H1297" s="51" t="str">
        <f>IF($C1297="","",IFERROR(DATE(G1297,VLOOKUP(E1297,Paramètres!$K$11:$L$40,2,FALSE()),F1297),"?"))</f>
        <v/>
      </c>
      <c r="I1297" s="50" t="str">
        <f>IF(ISNUMBER(H1297),IF(COUNTIFS($D$2:D1297,D1297,$H$2:H1297,H1297)=1,1,0),"")</f>
        <v/>
      </c>
      <c r="J1297" s="50" t="str">
        <f>IF(ISNUMBER(H1297),IFERROR(INDEX(Calendrier!$C$2:$C$367,MATCH(H1297,Calendrier!$A$2:$A$367,0)),0),"")</f>
        <v/>
      </c>
      <c r="K1297" s="50" t="str">
        <f t="shared" si="104"/>
        <v/>
      </c>
      <c r="L1297" s="50" t="str">
        <f>IF(D1297="","",IF(COUNTIF(Paramètres!$A$11:$A$40,D1297)&gt;0,1,0))</f>
        <v/>
      </c>
    </row>
    <row r="1298" spans="1:12" hidden="1" x14ac:dyDescent="0.25">
      <c r="A1298" s="49"/>
      <c r="B1298" s="49"/>
      <c r="C1298" s="49"/>
      <c r="D1298" s="50" t="str">
        <f t="shared" si="100"/>
        <v/>
      </c>
      <c r="E1298" s="50" t="str">
        <f t="shared" si="101"/>
        <v/>
      </c>
      <c r="F1298" s="50" t="str">
        <f t="shared" si="102"/>
        <v/>
      </c>
      <c r="G1298" s="50" t="str">
        <f t="shared" si="103"/>
        <v/>
      </c>
      <c r="H1298" s="51" t="str">
        <f>IF($C1298="","",IFERROR(DATE(G1298,VLOOKUP(E1298,Paramètres!$K$11:$L$40,2,FALSE()),F1298),"?"))</f>
        <v/>
      </c>
      <c r="I1298" s="50" t="str">
        <f>IF(ISNUMBER(H1298),IF(COUNTIFS($D$2:D1298,D1298,$H$2:H1298,H1298)=1,1,0),"")</f>
        <v/>
      </c>
      <c r="J1298" s="50" t="str">
        <f>IF(ISNUMBER(H1298),IFERROR(INDEX(Calendrier!$C$2:$C$367,MATCH(H1298,Calendrier!$A$2:$A$367,0)),0),"")</f>
        <v/>
      </c>
      <c r="K1298" s="50" t="str">
        <f t="shared" si="104"/>
        <v/>
      </c>
      <c r="L1298" s="50" t="str">
        <f>IF(D1298="","",IF(COUNTIF(Paramètres!$A$11:$A$40,D1298)&gt;0,1,0))</f>
        <v/>
      </c>
    </row>
    <row r="1299" spans="1:12" hidden="1" x14ac:dyDescent="0.25">
      <c r="A1299" s="49"/>
      <c r="B1299" s="49"/>
      <c r="C1299" s="49"/>
      <c r="D1299" s="50" t="str">
        <f t="shared" si="100"/>
        <v/>
      </c>
      <c r="E1299" s="50" t="str">
        <f t="shared" si="101"/>
        <v/>
      </c>
      <c r="F1299" s="50" t="str">
        <f t="shared" si="102"/>
        <v/>
      </c>
      <c r="G1299" s="50" t="str">
        <f t="shared" si="103"/>
        <v/>
      </c>
      <c r="H1299" s="51" t="str">
        <f>IF($C1299="","",IFERROR(DATE(G1299,VLOOKUP(E1299,Paramètres!$K$11:$L$40,2,FALSE()),F1299),"?"))</f>
        <v/>
      </c>
      <c r="I1299" s="50" t="str">
        <f>IF(ISNUMBER(H1299),IF(COUNTIFS($D$2:D1299,D1299,$H$2:H1299,H1299)=1,1,0),"")</f>
        <v/>
      </c>
      <c r="J1299" s="50" t="str">
        <f>IF(ISNUMBER(H1299),IFERROR(INDEX(Calendrier!$C$2:$C$367,MATCH(H1299,Calendrier!$A$2:$A$367,0)),0),"")</f>
        <v/>
      </c>
      <c r="K1299" s="50" t="str">
        <f t="shared" si="104"/>
        <v/>
      </c>
      <c r="L1299" s="50" t="str">
        <f>IF(D1299="","",IF(COUNTIF(Paramètres!$A$11:$A$40,D1299)&gt;0,1,0))</f>
        <v/>
      </c>
    </row>
    <row r="1300" spans="1:12" hidden="1" x14ac:dyDescent="0.25">
      <c r="A1300" s="49"/>
      <c r="B1300" s="49"/>
      <c r="C1300" s="49"/>
      <c r="D1300" s="50" t="str">
        <f t="shared" si="100"/>
        <v/>
      </c>
      <c r="E1300" s="50" t="str">
        <f t="shared" si="101"/>
        <v/>
      </c>
      <c r="F1300" s="50" t="str">
        <f t="shared" si="102"/>
        <v/>
      </c>
      <c r="G1300" s="50" t="str">
        <f t="shared" si="103"/>
        <v/>
      </c>
      <c r="H1300" s="51" t="str">
        <f>IF($C1300="","",IFERROR(DATE(G1300,VLOOKUP(E1300,Paramètres!$K$11:$L$40,2,FALSE()),F1300),"?"))</f>
        <v/>
      </c>
      <c r="I1300" s="50" t="str">
        <f>IF(ISNUMBER(H1300),IF(COUNTIFS($D$2:D1300,D1300,$H$2:H1300,H1300)=1,1,0),"")</f>
        <v/>
      </c>
      <c r="J1300" s="50" t="str">
        <f>IF(ISNUMBER(H1300),IFERROR(INDEX(Calendrier!$C$2:$C$367,MATCH(H1300,Calendrier!$A$2:$A$367,0)),0),"")</f>
        <v/>
      </c>
      <c r="K1300" s="50" t="str">
        <f t="shared" si="104"/>
        <v/>
      </c>
      <c r="L1300" s="50" t="str">
        <f>IF(D1300="","",IF(COUNTIF(Paramètres!$A$11:$A$40,D1300)&gt;0,1,0))</f>
        <v/>
      </c>
    </row>
    <row r="1301" spans="1:12" hidden="1" x14ac:dyDescent="0.25">
      <c r="A1301" s="49"/>
      <c r="B1301" s="49"/>
      <c r="C1301" s="49"/>
      <c r="D1301" s="50" t="str">
        <f t="shared" si="100"/>
        <v/>
      </c>
      <c r="E1301" s="50" t="str">
        <f t="shared" si="101"/>
        <v/>
      </c>
      <c r="F1301" s="50" t="str">
        <f t="shared" si="102"/>
        <v/>
      </c>
      <c r="G1301" s="50" t="str">
        <f t="shared" si="103"/>
        <v/>
      </c>
      <c r="H1301" s="51" t="str">
        <f>IF($C1301="","",IFERROR(DATE(G1301,VLOOKUP(E1301,Paramètres!$K$11:$L$40,2,FALSE()),F1301),"?"))</f>
        <v/>
      </c>
      <c r="I1301" s="50" t="str">
        <f>IF(ISNUMBER(H1301),IF(COUNTIFS($D$2:D1301,D1301,$H$2:H1301,H1301)=1,1,0),"")</f>
        <v/>
      </c>
      <c r="J1301" s="50" t="str">
        <f>IF(ISNUMBER(H1301),IFERROR(INDEX(Calendrier!$C$2:$C$367,MATCH(H1301,Calendrier!$A$2:$A$367,0)),0),"")</f>
        <v/>
      </c>
      <c r="K1301" s="50" t="str">
        <f t="shared" si="104"/>
        <v/>
      </c>
      <c r="L1301" s="50" t="str">
        <f>IF(D1301="","",IF(COUNTIF(Paramètres!$A$11:$A$40,D1301)&gt;0,1,0))</f>
        <v/>
      </c>
    </row>
    <row r="1302" spans="1:12" hidden="1" x14ac:dyDescent="0.25">
      <c r="A1302" s="49"/>
      <c r="B1302" s="49"/>
      <c r="C1302" s="49"/>
      <c r="D1302" s="50" t="str">
        <f t="shared" si="100"/>
        <v/>
      </c>
      <c r="E1302" s="50" t="str">
        <f t="shared" si="101"/>
        <v/>
      </c>
      <c r="F1302" s="50" t="str">
        <f t="shared" si="102"/>
        <v/>
      </c>
      <c r="G1302" s="50" t="str">
        <f t="shared" si="103"/>
        <v/>
      </c>
      <c r="H1302" s="51" t="str">
        <f>IF($C1302="","",IFERROR(DATE(G1302,VLOOKUP(E1302,Paramètres!$K$11:$L$40,2,FALSE()),F1302),"?"))</f>
        <v/>
      </c>
      <c r="I1302" s="50" t="str">
        <f>IF(ISNUMBER(H1302),IF(COUNTIFS($D$2:D1302,D1302,$H$2:H1302,H1302)=1,1,0),"")</f>
        <v/>
      </c>
      <c r="J1302" s="50" t="str">
        <f>IF(ISNUMBER(H1302),IFERROR(INDEX(Calendrier!$C$2:$C$367,MATCH(H1302,Calendrier!$A$2:$A$367,0)),0),"")</f>
        <v/>
      </c>
      <c r="K1302" s="50" t="str">
        <f t="shared" si="104"/>
        <v/>
      </c>
      <c r="L1302" s="50" t="str">
        <f>IF(D1302="","",IF(COUNTIF(Paramètres!$A$11:$A$40,D1302)&gt;0,1,0))</f>
        <v/>
      </c>
    </row>
    <row r="1303" spans="1:12" hidden="1" x14ac:dyDescent="0.25">
      <c r="A1303" s="49"/>
      <c r="B1303" s="49"/>
      <c r="C1303" s="49"/>
      <c r="D1303" s="50" t="str">
        <f t="shared" si="100"/>
        <v/>
      </c>
      <c r="E1303" s="50" t="str">
        <f t="shared" si="101"/>
        <v/>
      </c>
      <c r="F1303" s="50" t="str">
        <f t="shared" si="102"/>
        <v/>
      </c>
      <c r="G1303" s="50" t="str">
        <f t="shared" si="103"/>
        <v/>
      </c>
      <c r="H1303" s="51" t="str">
        <f>IF($C1303="","",IFERROR(DATE(G1303,VLOOKUP(E1303,Paramètres!$K$11:$L$40,2,FALSE()),F1303),"?"))</f>
        <v/>
      </c>
      <c r="I1303" s="50" t="str">
        <f>IF(ISNUMBER(H1303),IF(COUNTIFS($D$2:D1303,D1303,$H$2:H1303,H1303)=1,1,0),"")</f>
        <v/>
      </c>
      <c r="J1303" s="50" t="str">
        <f>IF(ISNUMBER(H1303),IFERROR(INDEX(Calendrier!$C$2:$C$367,MATCH(H1303,Calendrier!$A$2:$A$367,0)),0),"")</f>
        <v/>
      </c>
      <c r="K1303" s="50" t="str">
        <f t="shared" si="104"/>
        <v/>
      </c>
      <c r="L1303" s="50" t="str">
        <f>IF(D1303="","",IF(COUNTIF(Paramètres!$A$11:$A$40,D1303)&gt;0,1,0))</f>
        <v/>
      </c>
    </row>
    <row r="1304" spans="1:12" hidden="1" x14ac:dyDescent="0.25">
      <c r="A1304" s="49"/>
      <c r="B1304" s="49"/>
      <c r="C1304" s="49"/>
      <c r="D1304" s="50" t="str">
        <f t="shared" si="100"/>
        <v/>
      </c>
      <c r="E1304" s="50" t="str">
        <f t="shared" si="101"/>
        <v/>
      </c>
      <c r="F1304" s="50" t="str">
        <f t="shared" si="102"/>
        <v/>
      </c>
      <c r="G1304" s="50" t="str">
        <f t="shared" si="103"/>
        <v/>
      </c>
      <c r="H1304" s="51" t="str">
        <f>IF($C1304="","",IFERROR(DATE(G1304,VLOOKUP(E1304,Paramètres!$K$11:$L$40,2,FALSE()),F1304),"?"))</f>
        <v/>
      </c>
      <c r="I1304" s="50" t="str">
        <f>IF(ISNUMBER(H1304),IF(COUNTIFS($D$2:D1304,D1304,$H$2:H1304,H1304)=1,1,0),"")</f>
        <v/>
      </c>
      <c r="J1304" s="50" t="str">
        <f>IF(ISNUMBER(H1304),IFERROR(INDEX(Calendrier!$C$2:$C$367,MATCH(H1304,Calendrier!$A$2:$A$367,0)),0),"")</f>
        <v/>
      </c>
      <c r="K1304" s="50" t="str">
        <f t="shared" si="104"/>
        <v/>
      </c>
      <c r="L1304" s="50" t="str">
        <f>IF(D1304="","",IF(COUNTIF(Paramètres!$A$11:$A$40,D1304)&gt;0,1,0))</f>
        <v/>
      </c>
    </row>
    <row r="1305" spans="1:12" hidden="1" x14ac:dyDescent="0.25">
      <c r="A1305" s="49"/>
      <c r="B1305" s="49"/>
      <c r="C1305" s="49"/>
      <c r="D1305" s="50" t="str">
        <f t="shared" si="100"/>
        <v/>
      </c>
      <c r="E1305" s="50" t="str">
        <f t="shared" si="101"/>
        <v/>
      </c>
      <c r="F1305" s="50" t="str">
        <f t="shared" si="102"/>
        <v/>
      </c>
      <c r="G1305" s="50" t="str">
        <f t="shared" si="103"/>
        <v/>
      </c>
      <c r="H1305" s="51" t="str">
        <f>IF($C1305="","",IFERROR(DATE(G1305,VLOOKUP(E1305,Paramètres!$K$11:$L$40,2,FALSE()),F1305),"?"))</f>
        <v/>
      </c>
      <c r="I1305" s="50" t="str">
        <f>IF(ISNUMBER(H1305),IF(COUNTIFS($D$2:D1305,D1305,$H$2:H1305,H1305)=1,1,0),"")</f>
        <v/>
      </c>
      <c r="J1305" s="50" t="str">
        <f>IF(ISNUMBER(H1305),IFERROR(INDEX(Calendrier!$C$2:$C$367,MATCH(H1305,Calendrier!$A$2:$A$367,0)),0),"")</f>
        <v/>
      </c>
      <c r="K1305" s="50" t="str">
        <f t="shared" si="104"/>
        <v/>
      </c>
      <c r="L1305" s="50" t="str">
        <f>IF(D1305="","",IF(COUNTIF(Paramètres!$A$11:$A$40,D1305)&gt;0,1,0))</f>
        <v/>
      </c>
    </row>
    <row r="1306" spans="1:12" hidden="1" x14ac:dyDescent="0.25">
      <c r="A1306" s="49"/>
      <c r="B1306" s="49"/>
      <c r="C1306" s="49"/>
      <c r="D1306" s="50" t="str">
        <f t="shared" si="100"/>
        <v/>
      </c>
      <c r="E1306" s="50" t="str">
        <f t="shared" si="101"/>
        <v/>
      </c>
      <c r="F1306" s="50" t="str">
        <f t="shared" si="102"/>
        <v/>
      </c>
      <c r="G1306" s="50" t="str">
        <f t="shared" si="103"/>
        <v/>
      </c>
      <c r="H1306" s="51" t="str">
        <f>IF($C1306="","",IFERROR(DATE(G1306,VLOOKUP(E1306,Paramètres!$K$11:$L$40,2,FALSE()),F1306),"?"))</f>
        <v/>
      </c>
      <c r="I1306" s="50" t="str">
        <f>IF(ISNUMBER(H1306),IF(COUNTIFS($D$2:D1306,D1306,$H$2:H1306,H1306)=1,1,0),"")</f>
        <v/>
      </c>
      <c r="J1306" s="50" t="str">
        <f>IF(ISNUMBER(H1306),IFERROR(INDEX(Calendrier!$C$2:$C$367,MATCH(H1306,Calendrier!$A$2:$A$367,0)),0),"")</f>
        <v/>
      </c>
      <c r="K1306" s="50" t="str">
        <f t="shared" si="104"/>
        <v/>
      </c>
      <c r="L1306" s="50" t="str">
        <f>IF(D1306="","",IF(COUNTIF(Paramètres!$A$11:$A$40,D1306)&gt;0,1,0))</f>
        <v/>
      </c>
    </row>
    <row r="1307" spans="1:12" hidden="1" x14ac:dyDescent="0.25">
      <c r="A1307" s="49"/>
      <c r="B1307" s="49"/>
      <c r="C1307" s="49"/>
      <c r="D1307" s="50" t="str">
        <f t="shared" si="100"/>
        <v/>
      </c>
      <c r="E1307" s="50" t="str">
        <f t="shared" si="101"/>
        <v/>
      </c>
      <c r="F1307" s="50" t="str">
        <f t="shared" si="102"/>
        <v/>
      </c>
      <c r="G1307" s="50" t="str">
        <f t="shared" si="103"/>
        <v/>
      </c>
      <c r="H1307" s="51" t="str">
        <f>IF($C1307="","",IFERROR(DATE(G1307,VLOOKUP(E1307,Paramètres!$K$11:$L$40,2,FALSE()),F1307),"?"))</f>
        <v/>
      </c>
      <c r="I1307" s="50" t="str">
        <f>IF(ISNUMBER(H1307),IF(COUNTIFS($D$2:D1307,D1307,$H$2:H1307,H1307)=1,1,0),"")</f>
        <v/>
      </c>
      <c r="J1307" s="50" t="str">
        <f>IF(ISNUMBER(H1307),IFERROR(INDEX(Calendrier!$C$2:$C$367,MATCH(H1307,Calendrier!$A$2:$A$367,0)),0),"")</f>
        <v/>
      </c>
      <c r="K1307" s="50" t="str">
        <f t="shared" si="104"/>
        <v/>
      </c>
      <c r="L1307" s="50" t="str">
        <f>IF(D1307="","",IF(COUNTIF(Paramètres!$A$11:$A$40,D1307)&gt;0,1,0))</f>
        <v/>
      </c>
    </row>
    <row r="1308" spans="1:12" hidden="1" x14ac:dyDescent="0.25">
      <c r="A1308" s="49"/>
      <c r="B1308" s="49"/>
      <c r="C1308" s="49"/>
      <c r="D1308" s="50" t="str">
        <f t="shared" si="100"/>
        <v/>
      </c>
      <c r="E1308" s="50" t="str">
        <f t="shared" si="101"/>
        <v/>
      </c>
      <c r="F1308" s="50" t="str">
        <f t="shared" si="102"/>
        <v/>
      </c>
      <c r="G1308" s="50" t="str">
        <f t="shared" si="103"/>
        <v/>
      </c>
      <c r="H1308" s="51" t="str">
        <f>IF($C1308="","",IFERROR(DATE(G1308,VLOOKUP(E1308,Paramètres!$K$11:$L$40,2,FALSE()),F1308),"?"))</f>
        <v/>
      </c>
      <c r="I1308" s="50" t="str">
        <f>IF(ISNUMBER(H1308),IF(COUNTIFS($D$2:D1308,D1308,$H$2:H1308,H1308)=1,1,0),"")</f>
        <v/>
      </c>
      <c r="J1308" s="50" t="str">
        <f>IF(ISNUMBER(H1308),IFERROR(INDEX(Calendrier!$C$2:$C$367,MATCH(H1308,Calendrier!$A$2:$A$367,0)),0),"")</f>
        <v/>
      </c>
      <c r="K1308" s="50" t="str">
        <f t="shared" si="104"/>
        <v/>
      </c>
      <c r="L1308" s="50" t="str">
        <f>IF(D1308="","",IF(COUNTIF(Paramètres!$A$11:$A$40,D1308)&gt;0,1,0))</f>
        <v/>
      </c>
    </row>
    <row r="1309" spans="1:12" hidden="1" x14ac:dyDescent="0.25">
      <c r="A1309" s="49"/>
      <c r="B1309" s="49"/>
      <c r="C1309" s="49"/>
      <c r="D1309" s="50" t="str">
        <f t="shared" si="100"/>
        <v/>
      </c>
      <c r="E1309" s="50" t="str">
        <f t="shared" si="101"/>
        <v/>
      </c>
      <c r="F1309" s="50" t="str">
        <f t="shared" si="102"/>
        <v/>
      </c>
      <c r="G1309" s="50" t="str">
        <f t="shared" si="103"/>
        <v/>
      </c>
      <c r="H1309" s="51" t="str">
        <f>IF($C1309="","",IFERROR(DATE(G1309,VLOOKUP(E1309,Paramètres!$K$11:$L$40,2,FALSE()),F1309),"?"))</f>
        <v/>
      </c>
      <c r="I1309" s="50" t="str">
        <f>IF(ISNUMBER(H1309),IF(COUNTIFS($D$2:D1309,D1309,$H$2:H1309,H1309)=1,1,0),"")</f>
        <v/>
      </c>
      <c r="J1309" s="50" t="str">
        <f>IF(ISNUMBER(H1309),IFERROR(INDEX(Calendrier!$C$2:$C$367,MATCH(H1309,Calendrier!$A$2:$A$367,0)),0),"")</f>
        <v/>
      </c>
      <c r="K1309" s="50" t="str">
        <f t="shared" si="104"/>
        <v/>
      </c>
      <c r="L1309" s="50" t="str">
        <f>IF(D1309="","",IF(COUNTIF(Paramètres!$A$11:$A$40,D1309)&gt;0,1,0))</f>
        <v/>
      </c>
    </row>
    <row r="1310" spans="1:12" hidden="1" x14ac:dyDescent="0.25">
      <c r="A1310" s="49"/>
      <c r="B1310" s="49"/>
      <c r="C1310" s="49"/>
      <c r="D1310" s="50" t="str">
        <f t="shared" si="100"/>
        <v/>
      </c>
      <c r="E1310" s="50" t="str">
        <f t="shared" si="101"/>
        <v/>
      </c>
      <c r="F1310" s="50" t="str">
        <f t="shared" si="102"/>
        <v/>
      </c>
      <c r="G1310" s="50" t="str">
        <f t="shared" si="103"/>
        <v/>
      </c>
      <c r="H1310" s="51" t="str">
        <f>IF($C1310="","",IFERROR(DATE(G1310,VLOOKUP(E1310,Paramètres!$K$11:$L$40,2,FALSE()),F1310),"?"))</f>
        <v/>
      </c>
      <c r="I1310" s="50" t="str">
        <f>IF(ISNUMBER(H1310),IF(COUNTIFS($D$2:D1310,D1310,$H$2:H1310,H1310)=1,1,0),"")</f>
        <v/>
      </c>
      <c r="J1310" s="50" t="str">
        <f>IF(ISNUMBER(H1310),IFERROR(INDEX(Calendrier!$C$2:$C$367,MATCH(H1310,Calendrier!$A$2:$A$367,0)),0),"")</f>
        <v/>
      </c>
      <c r="K1310" s="50" t="str">
        <f t="shared" si="104"/>
        <v/>
      </c>
      <c r="L1310" s="50" t="str">
        <f>IF(D1310="","",IF(COUNTIF(Paramètres!$A$11:$A$40,D1310)&gt;0,1,0))</f>
        <v/>
      </c>
    </row>
    <row r="1311" spans="1:12" hidden="1" x14ac:dyDescent="0.25">
      <c r="A1311" s="49"/>
      <c r="B1311" s="49"/>
      <c r="C1311" s="49"/>
      <c r="D1311" s="50" t="str">
        <f t="shared" si="100"/>
        <v/>
      </c>
      <c r="E1311" s="50" t="str">
        <f t="shared" si="101"/>
        <v/>
      </c>
      <c r="F1311" s="50" t="str">
        <f t="shared" si="102"/>
        <v/>
      </c>
      <c r="G1311" s="50" t="str">
        <f t="shared" si="103"/>
        <v/>
      </c>
      <c r="H1311" s="51" t="str">
        <f>IF($C1311="","",IFERROR(DATE(G1311,VLOOKUP(E1311,Paramètres!$K$11:$L$40,2,FALSE()),F1311),"?"))</f>
        <v/>
      </c>
      <c r="I1311" s="50" t="str">
        <f>IF(ISNUMBER(H1311),IF(COUNTIFS($D$2:D1311,D1311,$H$2:H1311,H1311)=1,1,0),"")</f>
        <v/>
      </c>
      <c r="J1311" s="50" t="str">
        <f>IF(ISNUMBER(H1311),IFERROR(INDEX(Calendrier!$C$2:$C$367,MATCH(H1311,Calendrier!$A$2:$A$367,0)),0),"")</f>
        <v/>
      </c>
      <c r="K1311" s="50" t="str">
        <f t="shared" si="104"/>
        <v/>
      </c>
      <c r="L1311" s="50" t="str">
        <f>IF(D1311="","",IF(COUNTIF(Paramètres!$A$11:$A$40,D1311)&gt;0,1,0))</f>
        <v/>
      </c>
    </row>
    <row r="1312" spans="1:12" hidden="1" x14ac:dyDescent="0.25">
      <c r="A1312" s="49"/>
      <c r="B1312" s="49"/>
      <c r="C1312" s="49"/>
      <c r="D1312" s="50" t="str">
        <f t="shared" si="100"/>
        <v/>
      </c>
      <c r="E1312" s="50" t="str">
        <f t="shared" si="101"/>
        <v/>
      </c>
      <c r="F1312" s="50" t="str">
        <f t="shared" si="102"/>
        <v/>
      </c>
      <c r="G1312" s="50" t="str">
        <f t="shared" si="103"/>
        <v/>
      </c>
      <c r="H1312" s="51" t="str">
        <f>IF($C1312="","",IFERROR(DATE(G1312,VLOOKUP(E1312,Paramètres!$K$11:$L$40,2,FALSE()),F1312),"?"))</f>
        <v/>
      </c>
      <c r="I1312" s="50" t="str">
        <f>IF(ISNUMBER(H1312),IF(COUNTIFS($D$2:D1312,D1312,$H$2:H1312,H1312)=1,1,0),"")</f>
        <v/>
      </c>
      <c r="J1312" s="50" t="str">
        <f>IF(ISNUMBER(H1312),IFERROR(INDEX(Calendrier!$C$2:$C$367,MATCH(H1312,Calendrier!$A$2:$A$367,0)),0),"")</f>
        <v/>
      </c>
      <c r="K1312" s="50" t="str">
        <f t="shared" si="104"/>
        <v/>
      </c>
      <c r="L1312" s="50" t="str">
        <f>IF(D1312="","",IF(COUNTIF(Paramètres!$A$11:$A$40,D1312)&gt;0,1,0))</f>
        <v/>
      </c>
    </row>
    <row r="1313" spans="1:12" hidden="1" x14ac:dyDescent="0.25">
      <c r="A1313" s="49"/>
      <c r="B1313" s="49"/>
      <c r="C1313" s="49"/>
      <c r="D1313" s="50" t="str">
        <f t="shared" si="100"/>
        <v/>
      </c>
      <c r="E1313" s="50" t="str">
        <f t="shared" si="101"/>
        <v/>
      </c>
      <c r="F1313" s="50" t="str">
        <f t="shared" si="102"/>
        <v/>
      </c>
      <c r="G1313" s="50" t="str">
        <f t="shared" si="103"/>
        <v/>
      </c>
      <c r="H1313" s="51" t="str">
        <f>IF($C1313="","",IFERROR(DATE(G1313,VLOOKUP(E1313,Paramètres!$K$11:$L$40,2,FALSE()),F1313),"?"))</f>
        <v/>
      </c>
      <c r="I1313" s="50" t="str">
        <f>IF(ISNUMBER(H1313),IF(COUNTIFS($D$2:D1313,D1313,$H$2:H1313,H1313)=1,1,0),"")</f>
        <v/>
      </c>
      <c r="J1313" s="50" t="str">
        <f>IF(ISNUMBER(H1313),IFERROR(INDEX(Calendrier!$C$2:$C$367,MATCH(H1313,Calendrier!$A$2:$A$367,0)),0),"")</f>
        <v/>
      </c>
      <c r="K1313" s="50" t="str">
        <f t="shared" si="104"/>
        <v/>
      </c>
      <c r="L1313" s="50" t="str">
        <f>IF(D1313="","",IF(COUNTIF(Paramètres!$A$11:$A$40,D1313)&gt;0,1,0))</f>
        <v/>
      </c>
    </row>
    <row r="1314" spans="1:12" hidden="1" x14ac:dyDescent="0.25">
      <c r="A1314" s="49"/>
      <c r="B1314" s="49"/>
      <c r="C1314" s="49"/>
      <c r="D1314" s="50" t="str">
        <f t="shared" si="100"/>
        <v/>
      </c>
      <c r="E1314" s="50" t="str">
        <f t="shared" si="101"/>
        <v/>
      </c>
      <c r="F1314" s="50" t="str">
        <f t="shared" si="102"/>
        <v/>
      </c>
      <c r="G1314" s="50" t="str">
        <f t="shared" si="103"/>
        <v/>
      </c>
      <c r="H1314" s="51" t="str">
        <f>IF($C1314="","",IFERROR(DATE(G1314,VLOOKUP(E1314,Paramètres!$K$11:$L$40,2,FALSE()),F1314),"?"))</f>
        <v/>
      </c>
      <c r="I1314" s="50" t="str">
        <f>IF(ISNUMBER(H1314),IF(COUNTIFS($D$2:D1314,D1314,$H$2:H1314,H1314)=1,1,0),"")</f>
        <v/>
      </c>
      <c r="J1314" s="50" t="str">
        <f>IF(ISNUMBER(H1314),IFERROR(INDEX(Calendrier!$C$2:$C$367,MATCH(H1314,Calendrier!$A$2:$A$367,0)),0),"")</f>
        <v/>
      </c>
      <c r="K1314" s="50" t="str">
        <f t="shared" si="104"/>
        <v/>
      </c>
      <c r="L1314" s="50" t="str">
        <f>IF(D1314="","",IF(COUNTIF(Paramètres!$A$11:$A$40,D1314)&gt;0,1,0))</f>
        <v/>
      </c>
    </row>
    <row r="1315" spans="1:12" hidden="1" x14ac:dyDescent="0.25">
      <c r="A1315" s="49"/>
      <c r="B1315" s="49"/>
      <c r="C1315" s="49"/>
      <c r="D1315" s="50" t="str">
        <f t="shared" si="100"/>
        <v/>
      </c>
      <c r="E1315" s="50" t="str">
        <f t="shared" si="101"/>
        <v/>
      </c>
      <c r="F1315" s="50" t="str">
        <f t="shared" si="102"/>
        <v/>
      </c>
      <c r="G1315" s="50" t="str">
        <f t="shared" si="103"/>
        <v/>
      </c>
      <c r="H1315" s="51" t="str">
        <f>IF($C1315="","",IFERROR(DATE(G1315,VLOOKUP(E1315,Paramètres!$K$11:$L$40,2,FALSE()),F1315),"?"))</f>
        <v/>
      </c>
      <c r="I1315" s="50" t="str">
        <f>IF(ISNUMBER(H1315),IF(COUNTIFS($D$2:D1315,D1315,$H$2:H1315,H1315)=1,1,0),"")</f>
        <v/>
      </c>
      <c r="J1315" s="50" t="str">
        <f>IF(ISNUMBER(H1315),IFERROR(INDEX(Calendrier!$C$2:$C$367,MATCH(H1315,Calendrier!$A$2:$A$367,0)),0),"")</f>
        <v/>
      </c>
      <c r="K1315" s="50" t="str">
        <f t="shared" si="104"/>
        <v/>
      </c>
      <c r="L1315" s="50" t="str">
        <f>IF(D1315="","",IF(COUNTIF(Paramètres!$A$11:$A$40,D1315)&gt;0,1,0))</f>
        <v/>
      </c>
    </row>
    <row r="1316" spans="1:12" hidden="1" x14ac:dyDescent="0.25">
      <c r="A1316" s="49"/>
      <c r="B1316" s="49"/>
      <c r="C1316" s="49"/>
      <c r="D1316" s="50" t="str">
        <f t="shared" si="100"/>
        <v/>
      </c>
      <c r="E1316" s="50" t="str">
        <f t="shared" si="101"/>
        <v/>
      </c>
      <c r="F1316" s="50" t="str">
        <f t="shared" si="102"/>
        <v/>
      </c>
      <c r="G1316" s="50" t="str">
        <f t="shared" si="103"/>
        <v/>
      </c>
      <c r="H1316" s="51" t="str">
        <f>IF($C1316="","",IFERROR(DATE(G1316,VLOOKUP(E1316,Paramètres!$K$11:$L$40,2,FALSE()),F1316),"?"))</f>
        <v/>
      </c>
      <c r="I1316" s="50" t="str">
        <f>IF(ISNUMBER(H1316),IF(COUNTIFS($D$2:D1316,D1316,$H$2:H1316,H1316)=1,1,0),"")</f>
        <v/>
      </c>
      <c r="J1316" s="50" t="str">
        <f>IF(ISNUMBER(H1316),IFERROR(INDEX(Calendrier!$C$2:$C$367,MATCH(H1316,Calendrier!$A$2:$A$367,0)),0),"")</f>
        <v/>
      </c>
      <c r="K1316" s="50" t="str">
        <f t="shared" si="104"/>
        <v/>
      </c>
      <c r="L1316" s="50" t="str">
        <f>IF(D1316="","",IF(COUNTIF(Paramètres!$A$11:$A$40,D1316)&gt;0,1,0))</f>
        <v/>
      </c>
    </row>
    <row r="1317" spans="1:12" hidden="1" x14ac:dyDescent="0.25">
      <c r="A1317" s="49"/>
      <c r="B1317" s="49"/>
      <c r="C1317" s="49"/>
      <c r="D1317" s="50" t="str">
        <f t="shared" si="100"/>
        <v/>
      </c>
      <c r="E1317" s="50" t="str">
        <f t="shared" si="101"/>
        <v/>
      </c>
      <c r="F1317" s="50" t="str">
        <f t="shared" si="102"/>
        <v/>
      </c>
      <c r="G1317" s="50" t="str">
        <f t="shared" si="103"/>
        <v/>
      </c>
      <c r="H1317" s="51" t="str">
        <f>IF($C1317="","",IFERROR(DATE(G1317,VLOOKUP(E1317,Paramètres!$K$11:$L$40,2,FALSE()),F1317),"?"))</f>
        <v/>
      </c>
      <c r="I1317" s="50" t="str">
        <f>IF(ISNUMBER(H1317),IF(COUNTIFS($D$2:D1317,D1317,$H$2:H1317,H1317)=1,1,0),"")</f>
        <v/>
      </c>
      <c r="J1317" s="50" t="str">
        <f>IF(ISNUMBER(H1317),IFERROR(INDEX(Calendrier!$C$2:$C$367,MATCH(H1317,Calendrier!$A$2:$A$367,0)),0),"")</f>
        <v/>
      </c>
      <c r="K1317" s="50" t="str">
        <f t="shared" si="104"/>
        <v/>
      </c>
      <c r="L1317" s="50" t="str">
        <f>IF(D1317="","",IF(COUNTIF(Paramètres!$A$11:$A$40,D1317)&gt;0,1,0))</f>
        <v/>
      </c>
    </row>
    <row r="1318" spans="1:12" hidden="1" x14ac:dyDescent="0.25">
      <c r="A1318" s="49"/>
      <c r="B1318" s="49"/>
      <c r="C1318" s="49"/>
      <c r="D1318" s="50" t="str">
        <f t="shared" si="100"/>
        <v/>
      </c>
      <c r="E1318" s="50" t="str">
        <f t="shared" si="101"/>
        <v/>
      </c>
      <c r="F1318" s="50" t="str">
        <f t="shared" si="102"/>
        <v/>
      </c>
      <c r="G1318" s="50" t="str">
        <f t="shared" si="103"/>
        <v/>
      </c>
      <c r="H1318" s="51" t="str">
        <f>IF($C1318="","",IFERROR(DATE(G1318,VLOOKUP(E1318,Paramètres!$K$11:$L$40,2,FALSE()),F1318),"?"))</f>
        <v/>
      </c>
      <c r="I1318" s="50" t="str">
        <f>IF(ISNUMBER(H1318),IF(COUNTIFS($D$2:D1318,D1318,$H$2:H1318,H1318)=1,1,0),"")</f>
        <v/>
      </c>
      <c r="J1318" s="50" t="str">
        <f>IF(ISNUMBER(H1318),IFERROR(INDEX(Calendrier!$C$2:$C$367,MATCH(H1318,Calendrier!$A$2:$A$367,0)),0),"")</f>
        <v/>
      </c>
      <c r="K1318" s="50" t="str">
        <f t="shared" si="104"/>
        <v/>
      </c>
      <c r="L1318" s="50" t="str">
        <f>IF(D1318="","",IF(COUNTIF(Paramètres!$A$11:$A$40,D1318)&gt;0,1,0))</f>
        <v/>
      </c>
    </row>
    <row r="1319" spans="1:12" hidden="1" x14ac:dyDescent="0.25">
      <c r="A1319" s="49"/>
      <c r="B1319" s="49"/>
      <c r="C1319" s="49"/>
      <c r="D1319" s="50" t="str">
        <f t="shared" si="100"/>
        <v/>
      </c>
      <c r="E1319" s="50" t="str">
        <f t="shared" si="101"/>
        <v/>
      </c>
      <c r="F1319" s="50" t="str">
        <f t="shared" si="102"/>
        <v/>
      </c>
      <c r="G1319" s="50" t="str">
        <f t="shared" si="103"/>
        <v/>
      </c>
      <c r="H1319" s="51" t="str">
        <f>IF($C1319="","",IFERROR(DATE(G1319,VLOOKUP(E1319,Paramètres!$K$11:$L$40,2,FALSE()),F1319),"?"))</f>
        <v/>
      </c>
      <c r="I1319" s="50" t="str">
        <f>IF(ISNUMBER(H1319),IF(COUNTIFS($D$2:D1319,D1319,$H$2:H1319,H1319)=1,1,0),"")</f>
        <v/>
      </c>
      <c r="J1319" s="50" t="str">
        <f>IF(ISNUMBER(H1319),IFERROR(INDEX(Calendrier!$C$2:$C$367,MATCH(H1319,Calendrier!$A$2:$A$367,0)),0),"")</f>
        <v/>
      </c>
      <c r="K1319" s="50" t="str">
        <f t="shared" si="104"/>
        <v/>
      </c>
      <c r="L1319" s="50" t="str">
        <f>IF(D1319="","",IF(COUNTIF(Paramètres!$A$11:$A$40,D1319)&gt;0,1,0))</f>
        <v/>
      </c>
    </row>
    <row r="1320" spans="1:12" hidden="1" x14ac:dyDescent="0.25">
      <c r="A1320" s="49"/>
      <c r="B1320" s="49"/>
      <c r="C1320" s="49"/>
      <c r="D1320" s="50" t="str">
        <f t="shared" si="100"/>
        <v/>
      </c>
      <c r="E1320" s="50" t="str">
        <f t="shared" si="101"/>
        <v/>
      </c>
      <c r="F1320" s="50" t="str">
        <f t="shared" si="102"/>
        <v/>
      </c>
      <c r="G1320" s="50" t="str">
        <f t="shared" si="103"/>
        <v/>
      </c>
      <c r="H1320" s="51" t="str">
        <f>IF($C1320="","",IFERROR(DATE(G1320,VLOOKUP(E1320,Paramètres!$K$11:$L$40,2,FALSE()),F1320),"?"))</f>
        <v/>
      </c>
      <c r="I1320" s="50" t="str">
        <f>IF(ISNUMBER(H1320),IF(COUNTIFS($D$2:D1320,D1320,$H$2:H1320,H1320)=1,1,0),"")</f>
        <v/>
      </c>
      <c r="J1320" s="50" t="str">
        <f>IF(ISNUMBER(H1320),IFERROR(INDEX(Calendrier!$C$2:$C$367,MATCH(H1320,Calendrier!$A$2:$A$367,0)),0),"")</f>
        <v/>
      </c>
      <c r="K1320" s="50" t="str">
        <f t="shared" si="104"/>
        <v/>
      </c>
      <c r="L1320" s="50" t="str">
        <f>IF(D1320="","",IF(COUNTIF(Paramètres!$A$11:$A$40,D1320)&gt;0,1,0))</f>
        <v/>
      </c>
    </row>
    <row r="1321" spans="1:12" hidden="1" x14ac:dyDescent="0.25">
      <c r="A1321" s="49"/>
      <c r="B1321" s="49"/>
      <c r="C1321" s="49"/>
      <c r="D1321" s="50" t="str">
        <f t="shared" si="100"/>
        <v/>
      </c>
      <c r="E1321" s="50" t="str">
        <f t="shared" si="101"/>
        <v/>
      </c>
      <c r="F1321" s="50" t="str">
        <f t="shared" si="102"/>
        <v/>
      </c>
      <c r="G1321" s="50" t="str">
        <f t="shared" si="103"/>
        <v/>
      </c>
      <c r="H1321" s="51" t="str">
        <f>IF($C1321="","",IFERROR(DATE(G1321,VLOOKUP(E1321,Paramètres!$K$11:$L$40,2,FALSE()),F1321),"?"))</f>
        <v/>
      </c>
      <c r="I1321" s="50" t="str">
        <f>IF(ISNUMBER(H1321),IF(COUNTIFS($D$2:D1321,D1321,$H$2:H1321,H1321)=1,1,0),"")</f>
        <v/>
      </c>
      <c r="J1321" s="50" t="str">
        <f>IF(ISNUMBER(H1321),IFERROR(INDEX(Calendrier!$C$2:$C$367,MATCH(H1321,Calendrier!$A$2:$A$367,0)),0),"")</f>
        <v/>
      </c>
      <c r="K1321" s="50" t="str">
        <f t="shared" si="104"/>
        <v/>
      </c>
      <c r="L1321" s="50" t="str">
        <f>IF(D1321="","",IF(COUNTIF(Paramètres!$A$11:$A$40,D1321)&gt;0,1,0))</f>
        <v/>
      </c>
    </row>
    <row r="1322" spans="1:12" hidden="1" x14ac:dyDescent="0.25">
      <c r="A1322" s="49"/>
      <c r="B1322" s="49"/>
      <c r="C1322" s="49"/>
      <c r="D1322" s="50" t="str">
        <f t="shared" si="100"/>
        <v/>
      </c>
      <c r="E1322" s="50" t="str">
        <f t="shared" si="101"/>
        <v/>
      </c>
      <c r="F1322" s="50" t="str">
        <f t="shared" si="102"/>
        <v/>
      </c>
      <c r="G1322" s="50" t="str">
        <f t="shared" si="103"/>
        <v/>
      </c>
      <c r="H1322" s="51" t="str">
        <f>IF($C1322="","",IFERROR(DATE(G1322,VLOOKUP(E1322,Paramètres!$K$11:$L$40,2,FALSE()),F1322),"?"))</f>
        <v/>
      </c>
      <c r="I1322" s="50" t="str">
        <f>IF(ISNUMBER(H1322),IF(COUNTIFS($D$2:D1322,D1322,$H$2:H1322,H1322)=1,1,0),"")</f>
        <v/>
      </c>
      <c r="J1322" s="50" t="str">
        <f>IF(ISNUMBER(H1322),IFERROR(INDEX(Calendrier!$C$2:$C$367,MATCH(H1322,Calendrier!$A$2:$A$367,0)),0),"")</f>
        <v/>
      </c>
      <c r="K1322" s="50" t="str">
        <f t="shared" si="104"/>
        <v/>
      </c>
      <c r="L1322" s="50" t="str">
        <f>IF(D1322="","",IF(COUNTIF(Paramètres!$A$11:$A$40,D1322)&gt;0,1,0))</f>
        <v/>
      </c>
    </row>
    <row r="1323" spans="1:12" hidden="1" x14ac:dyDescent="0.25">
      <c r="A1323" s="49"/>
      <c r="B1323" s="49"/>
      <c r="C1323" s="49"/>
      <c r="D1323" s="50" t="str">
        <f t="shared" si="100"/>
        <v/>
      </c>
      <c r="E1323" s="50" t="str">
        <f t="shared" si="101"/>
        <v/>
      </c>
      <c r="F1323" s="50" t="str">
        <f t="shared" si="102"/>
        <v/>
      </c>
      <c r="G1323" s="50" t="str">
        <f t="shared" si="103"/>
        <v/>
      </c>
      <c r="H1323" s="51" t="str">
        <f>IF($C1323="","",IFERROR(DATE(G1323,VLOOKUP(E1323,Paramètres!$K$11:$L$40,2,FALSE()),F1323),"?"))</f>
        <v/>
      </c>
      <c r="I1323" s="50" t="str">
        <f>IF(ISNUMBER(H1323),IF(COUNTIFS($D$2:D1323,D1323,$H$2:H1323,H1323)=1,1,0),"")</f>
        <v/>
      </c>
      <c r="J1323" s="50" t="str">
        <f>IF(ISNUMBER(H1323),IFERROR(INDEX(Calendrier!$C$2:$C$367,MATCH(H1323,Calendrier!$A$2:$A$367,0)),0),"")</f>
        <v/>
      </c>
      <c r="K1323" s="50" t="str">
        <f t="shared" si="104"/>
        <v/>
      </c>
      <c r="L1323" s="50" t="str">
        <f>IF(D1323="","",IF(COUNTIF(Paramètres!$A$11:$A$40,D1323)&gt;0,1,0))</f>
        <v/>
      </c>
    </row>
    <row r="1324" spans="1:12" hidden="1" x14ac:dyDescent="0.25">
      <c r="A1324" s="49"/>
      <c r="B1324" s="49"/>
      <c r="C1324" s="49"/>
      <c r="D1324" s="50" t="str">
        <f t="shared" si="100"/>
        <v/>
      </c>
      <c r="E1324" s="50" t="str">
        <f t="shared" si="101"/>
        <v/>
      </c>
      <c r="F1324" s="50" t="str">
        <f t="shared" si="102"/>
        <v/>
      </c>
      <c r="G1324" s="50" t="str">
        <f t="shared" si="103"/>
        <v/>
      </c>
      <c r="H1324" s="51" t="str">
        <f>IF($C1324="","",IFERROR(DATE(G1324,VLOOKUP(E1324,Paramètres!$K$11:$L$40,2,FALSE()),F1324),"?"))</f>
        <v/>
      </c>
      <c r="I1324" s="50" t="str">
        <f>IF(ISNUMBER(H1324),IF(COUNTIFS($D$2:D1324,D1324,$H$2:H1324,H1324)=1,1,0),"")</f>
        <v/>
      </c>
      <c r="J1324" s="50" t="str">
        <f>IF(ISNUMBER(H1324),IFERROR(INDEX(Calendrier!$C$2:$C$367,MATCH(H1324,Calendrier!$A$2:$A$367,0)),0),"")</f>
        <v/>
      </c>
      <c r="K1324" s="50" t="str">
        <f t="shared" si="104"/>
        <v/>
      </c>
      <c r="L1324" s="50" t="str">
        <f>IF(D1324="","",IF(COUNTIF(Paramètres!$A$11:$A$40,D1324)&gt;0,1,0))</f>
        <v/>
      </c>
    </row>
    <row r="1325" spans="1:12" hidden="1" x14ac:dyDescent="0.25">
      <c r="A1325" s="49"/>
      <c r="B1325" s="49"/>
      <c r="C1325" s="49"/>
      <c r="D1325" s="50" t="str">
        <f t="shared" si="100"/>
        <v/>
      </c>
      <c r="E1325" s="50" t="str">
        <f t="shared" si="101"/>
        <v/>
      </c>
      <c r="F1325" s="50" t="str">
        <f t="shared" si="102"/>
        <v/>
      </c>
      <c r="G1325" s="50" t="str">
        <f t="shared" si="103"/>
        <v/>
      </c>
      <c r="H1325" s="51" t="str">
        <f>IF($C1325="","",IFERROR(DATE(G1325,VLOOKUP(E1325,Paramètres!$K$11:$L$40,2,FALSE()),F1325),"?"))</f>
        <v/>
      </c>
      <c r="I1325" s="50" t="str">
        <f>IF(ISNUMBER(H1325),IF(COUNTIFS($D$2:D1325,D1325,$H$2:H1325,H1325)=1,1,0),"")</f>
        <v/>
      </c>
      <c r="J1325" s="50" t="str">
        <f>IF(ISNUMBER(H1325),IFERROR(INDEX(Calendrier!$C$2:$C$367,MATCH(H1325,Calendrier!$A$2:$A$367,0)),0),"")</f>
        <v/>
      </c>
      <c r="K1325" s="50" t="str">
        <f t="shared" si="104"/>
        <v/>
      </c>
      <c r="L1325" s="50" t="str">
        <f>IF(D1325="","",IF(COUNTIF(Paramètres!$A$11:$A$40,D1325)&gt;0,1,0))</f>
        <v/>
      </c>
    </row>
    <row r="1326" spans="1:12" hidden="1" x14ac:dyDescent="0.25">
      <c r="A1326" s="49"/>
      <c r="B1326" s="49"/>
      <c r="C1326" s="49"/>
      <c r="D1326" s="50" t="str">
        <f t="shared" si="100"/>
        <v/>
      </c>
      <c r="E1326" s="50" t="str">
        <f t="shared" si="101"/>
        <v/>
      </c>
      <c r="F1326" s="50" t="str">
        <f t="shared" si="102"/>
        <v/>
      </c>
      <c r="G1326" s="50" t="str">
        <f t="shared" si="103"/>
        <v/>
      </c>
      <c r="H1326" s="51" t="str">
        <f>IF($C1326="","",IFERROR(DATE(G1326,VLOOKUP(E1326,Paramètres!$K$11:$L$40,2,FALSE()),F1326),"?"))</f>
        <v/>
      </c>
      <c r="I1326" s="50" t="str">
        <f>IF(ISNUMBER(H1326),IF(COUNTIFS($D$2:D1326,D1326,$H$2:H1326,H1326)=1,1,0),"")</f>
        <v/>
      </c>
      <c r="J1326" s="50" t="str">
        <f>IF(ISNUMBER(H1326),IFERROR(INDEX(Calendrier!$C$2:$C$367,MATCH(H1326,Calendrier!$A$2:$A$367,0)),0),"")</f>
        <v/>
      </c>
      <c r="K1326" s="50" t="str">
        <f t="shared" si="104"/>
        <v/>
      </c>
      <c r="L1326" s="50" t="str">
        <f>IF(D1326="","",IF(COUNTIF(Paramètres!$A$11:$A$40,D1326)&gt;0,1,0))</f>
        <v/>
      </c>
    </row>
    <row r="1327" spans="1:12" hidden="1" x14ac:dyDescent="0.25">
      <c r="A1327" s="49"/>
      <c r="B1327" s="49"/>
      <c r="C1327" s="49"/>
      <c r="D1327" s="50" t="str">
        <f t="shared" si="100"/>
        <v/>
      </c>
      <c r="E1327" s="50" t="str">
        <f t="shared" si="101"/>
        <v/>
      </c>
      <c r="F1327" s="50" t="str">
        <f t="shared" si="102"/>
        <v/>
      </c>
      <c r="G1327" s="50" t="str">
        <f t="shared" si="103"/>
        <v/>
      </c>
      <c r="H1327" s="51" t="str">
        <f>IF($C1327="","",IFERROR(DATE(G1327,VLOOKUP(E1327,Paramètres!$K$11:$L$40,2,FALSE()),F1327),"?"))</f>
        <v/>
      </c>
      <c r="I1327" s="50" t="str">
        <f>IF(ISNUMBER(H1327),IF(COUNTIFS($D$2:D1327,D1327,$H$2:H1327,H1327)=1,1,0),"")</f>
        <v/>
      </c>
      <c r="J1327" s="50" t="str">
        <f>IF(ISNUMBER(H1327),IFERROR(INDEX(Calendrier!$C$2:$C$367,MATCH(H1327,Calendrier!$A$2:$A$367,0)),0),"")</f>
        <v/>
      </c>
      <c r="K1327" s="50" t="str">
        <f t="shared" si="104"/>
        <v/>
      </c>
      <c r="L1327" s="50" t="str">
        <f>IF(D1327="","",IF(COUNTIF(Paramètres!$A$11:$A$40,D1327)&gt;0,1,0))</f>
        <v/>
      </c>
    </row>
    <row r="1328" spans="1:12" hidden="1" x14ac:dyDescent="0.25">
      <c r="A1328" s="49"/>
      <c r="B1328" s="49"/>
      <c r="C1328" s="49"/>
      <c r="D1328" s="50" t="str">
        <f t="shared" si="100"/>
        <v/>
      </c>
      <c r="E1328" s="50" t="str">
        <f t="shared" si="101"/>
        <v/>
      </c>
      <c r="F1328" s="50" t="str">
        <f t="shared" si="102"/>
        <v/>
      </c>
      <c r="G1328" s="50" t="str">
        <f t="shared" si="103"/>
        <v/>
      </c>
      <c r="H1328" s="51" t="str">
        <f>IF($C1328="","",IFERROR(DATE(G1328,VLOOKUP(E1328,Paramètres!$K$11:$L$40,2,FALSE()),F1328),"?"))</f>
        <v/>
      </c>
      <c r="I1328" s="50" t="str">
        <f>IF(ISNUMBER(H1328),IF(COUNTIFS($D$2:D1328,D1328,$H$2:H1328,H1328)=1,1,0),"")</f>
        <v/>
      </c>
      <c r="J1328" s="50" t="str">
        <f>IF(ISNUMBER(H1328),IFERROR(INDEX(Calendrier!$C$2:$C$367,MATCH(H1328,Calendrier!$A$2:$A$367,0)),0),"")</f>
        <v/>
      </c>
      <c r="K1328" s="50" t="str">
        <f t="shared" si="104"/>
        <v/>
      </c>
      <c r="L1328" s="50" t="str">
        <f>IF(D1328="","",IF(COUNTIF(Paramètres!$A$11:$A$40,D1328)&gt;0,1,0))</f>
        <v/>
      </c>
    </row>
    <row r="1329" spans="1:12" hidden="1" x14ac:dyDescent="0.25">
      <c r="A1329" s="49"/>
      <c r="B1329" s="49"/>
      <c r="C1329" s="49"/>
      <c r="D1329" s="50" t="str">
        <f t="shared" si="100"/>
        <v/>
      </c>
      <c r="E1329" s="50" t="str">
        <f t="shared" si="101"/>
        <v/>
      </c>
      <c r="F1329" s="50" t="str">
        <f t="shared" si="102"/>
        <v/>
      </c>
      <c r="G1329" s="50" t="str">
        <f t="shared" si="103"/>
        <v/>
      </c>
      <c r="H1329" s="51" t="str">
        <f>IF($C1329="","",IFERROR(DATE(G1329,VLOOKUP(E1329,Paramètres!$K$11:$L$40,2,FALSE()),F1329),"?"))</f>
        <v/>
      </c>
      <c r="I1329" s="50" t="str">
        <f>IF(ISNUMBER(H1329),IF(COUNTIFS($D$2:D1329,D1329,$H$2:H1329,H1329)=1,1,0),"")</f>
        <v/>
      </c>
      <c r="J1329" s="50" t="str">
        <f>IF(ISNUMBER(H1329),IFERROR(INDEX(Calendrier!$C$2:$C$367,MATCH(H1329,Calendrier!$A$2:$A$367,0)),0),"")</f>
        <v/>
      </c>
      <c r="K1329" s="50" t="str">
        <f t="shared" si="104"/>
        <v/>
      </c>
      <c r="L1329" s="50" t="str">
        <f>IF(D1329="","",IF(COUNTIF(Paramètres!$A$11:$A$40,D1329)&gt;0,1,0))</f>
        <v/>
      </c>
    </row>
    <row r="1330" spans="1:12" hidden="1" x14ac:dyDescent="0.25">
      <c r="A1330" s="49"/>
      <c r="B1330" s="49"/>
      <c r="C1330" s="49"/>
      <c r="D1330" s="50" t="str">
        <f t="shared" si="100"/>
        <v/>
      </c>
      <c r="E1330" s="50" t="str">
        <f t="shared" si="101"/>
        <v/>
      </c>
      <c r="F1330" s="50" t="str">
        <f t="shared" si="102"/>
        <v/>
      </c>
      <c r="G1330" s="50" t="str">
        <f t="shared" si="103"/>
        <v/>
      </c>
      <c r="H1330" s="51" t="str">
        <f>IF($C1330="","",IFERROR(DATE(G1330,VLOOKUP(E1330,Paramètres!$K$11:$L$40,2,FALSE()),F1330),"?"))</f>
        <v/>
      </c>
      <c r="I1330" s="50" t="str">
        <f>IF(ISNUMBER(H1330),IF(COUNTIFS($D$2:D1330,D1330,$H$2:H1330,H1330)=1,1,0),"")</f>
        <v/>
      </c>
      <c r="J1330" s="50" t="str">
        <f>IF(ISNUMBER(H1330),IFERROR(INDEX(Calendrier!$C$2:$C$367,MATCH(H1330,Calendrier!$A$2:$A$367,0)),0),"")</f>
        <v/>
      </c>
      <c r="K1330" s="50" t="str">
        <f t="shared" si="104"/>
        <v/>
      </c>
      <c r="L1330" s="50" t="str">
        <f>IF(D1330="","",IF(COUNTIF(Paramètres!$A$11:$A$40,D1330)&gt;0,1,0))</f>
        <v/>
      </c>
    </row>
    <row r="1331" spans="1:12" hidden="1" x14ac:dyDescent="0.25">
      <c r="A1331" s="49"/>
      <c r="B1331" s="49"/>
      <c r="C1331" s="49"/>
      <c r="D1331" s="50" t="str">
        <f t="shared" si="100"/>
        <v/>
      </c>
      <c r="E1331" s="50" t="str">
        <f t="shared" si="101"/>
        <v/>
      </c>
      <c r="F1331" s="50" t="str">
        <f t="shared" si="102"/>
        <v/>
      </c>
      <c r="G1331" s="50" t="str">
        <f t="shared" si="103"/>
        <v/>
      </c>
      <c r="H1331" s="51" t="str">
        <f>IF($C1331="","",IFERROR(DATE(G1331,VLOOKUP(E1331,Paramètres!$K$11:$L$40,2,FALSE()),F1331),"?"))</f>
        <v/>
      </c>
      <c r="I1331" s="50" t="str">
        <f>IF(ISNUMBER(H1331),IF(COUNTIFS($D$2:D1331,D1331,$H$2:H1331,H1331)=1,1,0),"")</f>
        <v/>
      </c>
      <c r="J1331" s="50" t="str">
        <f>IF(ISNUMBER(H1331),IFERROR(INDEX(Calendrier!$C$2:$C$367,MATCH(H1331,Calendrier!$A$2:$A$367,0)),0),"")</f>
        <v/>
      </c>
      <c r="K1331" s="50" t="str">
        <f t="shared" si="104"/>
        <v/>
      </c>
      <c r="L1331" s="50" t="str">
        <f>IF(D1331="","",IF(COUNTIF(Paramètres!$A$11:$A$40,D1331)&gt;0,1,0))</f>
        <v/>
      </c>
    </row>
    <row r="1332" spans="1:12" hidden="1" x14ac:dyDescent="0.25">
      <c r="A1332" s="49"/>
      <c r="B1332" s="49"/>
      <c r="C1332" s="49"/>
      <c r="D1332" s="50" t="str">
        <f t="shared" si="100"/>
        <v/>
      </c>
      <c r="E1332" s="50" t="str">
        <f t="shared" si="101"/>
        <v/>
      </c>
      <c r="F1332" s="50" t="str">
        <f t="shared" si="102"/>
        <v/>
      </c>
      <c r="G1332" s="50" t="str">
        <f t="shared" si="103"/>
        <v/>
      </c>
      <c r="H1332" s="51" t="str">
        <f>IF($C1332="","",IFERROR(DATE(G1332,VLOOKUP(E1332,Paramètres!$K$11:$L$40,2,FALSE()),F1332),"?"))</f>
        <v/>
      </c>
      <c r="I1332" s="50" t="str">
        <f>IF(ISNUMBER(H1332),IF(COUNTIFS($D$2:D1332,D1332,$H$2:H1332,H1332)=1,1,0),"")</f>
        <v/>
      </c>
      <c r="J1332" s="50" t="str">
        <f>IF(ISNUMBER(H1332),IFERROR(INDEX(Calendrier!$C$2:$C$367,MATCH(H1332,Calendrier!$A$2:$A$367,0)),0),"")</f>
        <v/>
      </c>
      <c r="K1332" s="50" t="str">
        <f t="shared" si="104"/>
        <v/>
      </c>
      <c r="L1332" s="50" t="str">
        <f>IF(D1332="","",IF(COUNTIF(Paramètres!$A$11:$A$40,D1332)&gt;0,1,0))</f>
        <v/>
      </c>
    </row>
    <row r="1333" spans="1:12" hidden="1" x14ac:dyDescent="0.25">
      <c r="A1333" s="49"/>
      <c r="B1333" s="49"/>
      <c r="C1333" s="49"/>
      <c r="D1333" s="50" t="str">
        <f t="shared" si="100"/>
        <v/>
      </c>
      <c r="E1333" s="50" t="str">
        <f t="shared" si="101"/>
        <v/>
      </c>
      <c r="F1333" s="50" t="str">
        <f t="shared" si="102"/>
        <v/>
      </c>
      <c r="G1333" s="50" t="str">
        <f t="shared" si="103"/>
        <v/>
      </c>
      <c r="H1333" s="51" t="str">
        <f>IF($C1333="","",IFERROR(DATE(G1333,VLOOKUP(E1333,Paramètres!$K$11:$L$40,2,FALSE()),F1333),"?"))</f>
        <v/>
      </c>
      <c r="I1333" s="50" t="str">
        <f>IF(ISNUMBER(H1333),IF(COUNTIFS($D$2:D1333,D1333,$H$2:H1333,H1333)=1,1,0),"")</f>
        <v/>
      </c>
      <c r="J1333" s="50" t="str">
        <f>IF(ISNUMBER(H1333),IFERROR(INDEX(Calendrier!$C$2:$C$367,MATCH(H1333,Calendrier!$A$2:$A$367,0)),0),"")</f>
        <v/>
      </c>
      <c r="K1333" s="50" t="str">
        <f t="shared" si="104"/>
        <v/>
      </c>
      <c r="L1333" s="50" t="str">
        <f>IF(D1333="","",IF(COUNTIF(Paramètres!$A$11:$A$40,D1333)&gt;0,1,0))</f>
        <v/>
      </c>
    </row>
    <row r="1334" spans="1:12" hidden="1" x14ac:dyDescent="0.25">
      <c r="A1334" s="49"/>
      <c r="B1334" s="49"/>
      <c r="C1334" s="49"/>
      <c r="D1334" s="50" t="str">
        <f t="shared" si="100"/>
        <v/>
      </c>
      <c r="E1334" s="50" t="str">
        <f t="shared" si="101"/>
        <v/>
      </c>
      <c r="F1334" s="50" t="str">
        <f t="shared" si="102"/>
        <v/>
      </c>
      <c r="G1334" s="50" t="str">
        <f t="shared" si="103"/>
        <v/>
      </c>
      <c r="H1334" s="51" t="str">
        <f>IF($C1334="","",IFERROR(DATE(G1334,VLOOKUP(E1334,Paramètres!$K$11:$L$40,2,FALSE()),F1334),"?"))</f>
        <v/>
      </c>
      <c r="I1334" s="50" t="str">
        <f>IF(ISNUMBER(H1334),IF(COUNTIFS($D$2:D1334,D1334,$H$2:H1334,H1334)=1,1,0),"")</f>
        <v/>
      </c>
      <c r="J1334" s="50" t="str">
        <f>IF(ISNUMBER(H1334),IFERROR(INDEX(Calendrier!$C$2:$C$367,MATCH(H1334,Calendrier!$A$2:$A$367,0)),0),"")</f>
        <v/>
      </c>
      <c r="K1334" s="50" t="str">
        <f t="shared" si="104"/>
        <v/>
      </c>
      <c r="L1334" s="50" t="str">
        <f>IF(D1334="","",IF(COUNTIF(Paramètres!$A$11:$A$40,D1334)&gt;0,1,0))</f>
        <v/>
      </c>
    </row>
    <row r="1335" spans="1:12" hidden="1" x14ac:dyDescent="0.25">
      <c r="A1335" s="49"/>
      <c r="B1335" s="49"/>
      <c r="C1335" s="49"/>
      <c r="D1335" s="50" t="str">
        <f t="shared" si="100"/>
        <v/>
      </c>
      <c r="E1335" s="50" t="str">
        <f t="shared" si="101"/>
        <v/>
      </c>
      <c r="F1335" s="50" t="str">
        <f t="shared" si="102"/>
        <v/>
      </c>
      <c r="G1335" s="50" t="str">
        <f t="shared" si="103"/>
        <v/>
      </c>
      <c r="H1335" s="51" t="str">
        <f>IF($C1335="","",IFERROR(DATE(G1335,VLOOKUP(E1335,Paramètres!$K$11:$L$40,2,FALSE()),F1335),"?"))</f>
        <v/>
      </c>
      <c r="I1335" s="50" t="str">
        <f>IF(ISNUMBER(H1335),IF(COUNTIFS($D$2:D1335,D1335,$H$2:H1335,H1335)=1,1,0),"")</f>
        <v/>
      </c>
      <c r="J1335" s="50" t="str">
        <f>IF(ISNUMBER(H1335),IFERROR(INDEX(Calendrier!$C$2:$C$367,MATCH(H1335,Calendrier!$A$2:$A$367,0)),0),"")</f>
        <v/>
      </c>
      <c r="K1335" s="50" t="str">
        <f t="shared" si="104"/>
        <v/>
      </c>
      <c r="L1335" s="50" t="str">
        <f>IF(D1335="","",IF(COUNTIF(Paramètres!$A$11:$A$40,D1335)&gt;0,1,0))</f>
        <v/>
      </c>
    </row>
    <row r="1336" spans="1:12" hidden="1" x14ac:dyDescent="0.25">
      <c r="A1336" s="49"/>
      <c r="B1336" s="49"/>
      <c r="C1336" s="49"/>
      <c r="D1336" s="50" t="str">
        <f t="shared" si="100"/>
        <v/>
      </c>
      <c r="E1336" s="50" t="str">
        <f t="shared" si="101"/>
        <v/>
      </c>
      <c r="F1336" s="50" t="str">
        <f t="shared" si="102"/>
        <v/>
      </c>
      <c r="G1336" s="50" t="str">
        <f t="shared" si="103"/>
        <v/>
      </c>
      <c r="H1336" s="51" t="str">
        <f>IF($C1336="","",IFERROR(DATE(G1336,VLOOKUP(E1336,Paramètres!$K$11:$L$40,2,FALSE()),F1336),"?"))</f>
        <v/>
      </c>
      <c r="I1336" s="50" t="str">
        <f>IF(ISNUMBER(H1336),IF(COUNTIFS($D$2:D1336,D1336,$H$2:H1336,H1336)=1,1,0),"")</f>
        <v/>
      </c>
      <c r="J1336" s="50" t="str">
        <f>IF(ISNUMBER(H1336),IFERROR(INDEX(Calendrier!$C$2:$C$367,MATCH(H1336,Calendrier!$A$2:$A$367,0)),0),"")</f>
        <v/>
      </c>
      <c r="K1336" s="50" t="str">
        <f t="shared" si="104"/>
        <v/>
      </c>
      <c r="L1336" s="50" t="str">
        <f>IF(D1336="","",IF(COUNTIF(Paramètres!$A$11:$A$40,D1336)&gt;0,1,0))</f>
        <v/>
      </c>
    </row>
    <row r="1337" spans="1:12" hidden="1" x14ac:dyDescent="0.25">
      <c r="A1337" s="49"/>
      <c r="B1337" s="49"/>
      <c r="C1337" s="49"/>
      <c r="D1337" s="50" t="str">
        <f t="shared" si="100"/>
        <v/>
      </c>
      <c r="E1337" s="50" t="str">
        <f t="shared" si="101"/>
        <v/>
      </c>
      <c r="F1337" s="50" t="str">
        <f t="shared" si="102"/>
        <v/>
      </c>
      <c r="G1337" s="50" t="str">
        <f t="shared" si="103"/>
        <v/>
      </c>
      <c r="H1337" s="51" t="str">
        <f>IF($C1337="","",IFERROR(DATE(G1337,VLOOKUP(E1337,Paramètres!$K$11:$L$40,2,FALSE()),F1337),"?"))</f>
        <v/>
      </c>
      <c r="I1337" s="50" t="str">
        <f>IF(ISNUMBER(H1337),IF(COUNTIFS($D$2:D1337,D1337,$H$2:H1337,H1337)=1,1,0),"")</f>
        <v/>
      </c>
      <c r="J1337" s="50" t="str">
        <f>IF(ISNUMBER(H1337),IFERROR(INDEX(Calendrier!$C$2:$C$367,MATCH(H1337,Calendrier!$A$2:$A$367,0)),0),"")</f>
        <v/>
      </c>
      <c r="K1337" s="50" t="str">
        <f t="shared" si="104"/>
        <v/>
      </c>
      <c r="L1337" s="50" t="str">
        <f>IF(D1337="","",IF(COUNTIF(Paramètres!$A$11:$A$40,D1337)&gt;0,1,0))</f>
        <v/>
      </c>
    </row>
    <row r="1338" spans="1:12" hidden="1" x14ac:dyDescent="0.25">
      <c r="A1338" s="49"/>
      <c r="B1338" s="49"/>
      <c r="C1338" s="49"/>
      <c r="D1338" s="50" t="str">
        <f t="shared" si="100"/>
        <v/>
      </c>
      <c r="E1338" s="50" t="str">
        <f t="shared" si="101"/>
        <v/>
      </c>
      <c r="F1338" s="50" t="str">
        <f t="shared" si="102"/>
        <v/>
      </c>
      <c r="G1338" s="50" t="str">
        <f t="shared" si="103"/>
        <v/>
      </c>
      <c r="H1338" s="51" t="str">
        <f>IF($C1338="","",IFERROR(DATE(G1338,VLOOKUP(E1338,Paramètres!$K$11:$L$40,2,FALSE()),F1338),"?"))</f>
        <v/>
      </c>
      <c r="I1338" s="50" t="str">
        <f>IF(ISNUMBER(H1338),IF(COUNTIFS($D$2:D1338,D1338,$H$2:H1338,H1338)=1,1,0),"")</f>
        <v/>
      </c>
      <c r="J1338" s="50" t="str">
        <f>IF(ISNUMBER(H1338),IFERROR(INDEX(Calendrier!$C$2:$C$367,MATCH(H1338,Calendrier!$A$2:$A$367,0)),0),"")</f>
        <v/>
      </c>
      <c r="K1338" s="50" t="str">
        <f t="shared" si="104"/>
        <v/>
      </c>
      <c r="L1338" s="50" t="str">
        <f>IF(D1338="","",IF(COUNTIF(Paramètres!$A$11:$A$40,D1338)&gt;0,1,0))</f>
        <v/>
      </c>
    </row>
    <row r="1339" spans="1:12" hidden="1" x14ac:dyDescent="0.25">
      <c r="A1339" s="49"/>
      <c r="B1339" s="49"/>
      <c r="C1339" s="49"/>
      <c r="D1339" s="50" t="str">
        <f t="shared" si="100"/>
        <v/>
      </c>
      <c r="E1339" s="50" t="str">
        <f t="shared" si="101"/>
        <v/>
      </c>
      <c r="F1339" s="50" t="str">
        <f t="shared" si="102"/>
        <v/>
      </c>
      <c r="G1339" s="50" t="str">
        <f t="shared" si="103"/>
        <v/>
      </c>
      <c r="H1339" s="51" t="str">
        <f>IF($C1339="","",IFERROR(DATE(G1339,VLOOKUP(E1339,Paramètres!$K$11:$L$40,2,FALSE()),F1339),"?"))</f>
        <v/>
      </c>
      <c r="I1339" s="50" t="str">
        <f>IF(ISNUMBER(H1339),IF(COUNTIFS($D$2:D1339,D1339,$H$2:H1339,H1339)=1,1,0),"")</f>
        <v/>
      </c>
      <c r="J1339" s="50" t="str">
        <f>IF(ISNUMBER(H1339),IFERROR(INDEX(Calendrier!$C$2:$C$367,MATCH(H1339,Calendrier!$A$2:$A$367,0)),0),"")</f>
        <v/>
      </c>
      <c r="K1339" s="50" t="str">
        <f t="shared" si="104"/>
        <v/>
      </c>
      <c r="L1339" s="50" t="str">
        <f>IF(D1339="","",IF(COUNTIF(Paramètres!$A$11:$A$40,D1339)&gt;0,1,0))</f>
        <v/>
      </c>
    </row>
    <row r="1340" spans="1:12" hidden="1" x14ac:dyDescent="0.25">
      <c r="A1340" s="49"/>
      <c r="B1340" s="49"/>
      <c r="C1340" s="49"/>
      <c r="D1340" s="50" t="str">
        <f t="shared" si="100"/>
        <v/>
      </c>
      <c r="E1340" s="50" t="str">
        <f t="shared" si="101"/>
        <v/>
      </c>
      <c r="F1340" s="50" t="str">
        <f t="shared" si="102"/>
        <v/>
      </c>
      <c r="G1340" s="50" t="str">
        <f t="shared" si="103"/>
        <v/>
      </c>
      <c r="H1340" s="51" t="str">
        <f>IF($C1340="","",IFERROR(DATE(G1340,VLOOKUP(E1340,Paramètres!$K$11:$L$40,2,FALSE()),F1340),"?"))</f>
        <v/>
      </c>
      <c r="I1340" s="50" t="str">
        <f>IF(ISNUMBER(H1340),IF(COUNTIFS($D$2:D1340,D1340,$H$2:H1340,H1340)=1,1,0),"")</f>
        <v/>
      </c>
      <c r="J1340" s="50" t="str">
        <f>IF(ISNUMBER(H1340),IFERROR(INDEX(Calendrier!$C$2:$C$367,MATCH(H1340,Calendrier!$A$2:$A$367,0)),0),"")</f>
        <v/>
      </c>
      <c r="K1340" s="50" t="str">
        <f t="shared" si="104"/>
        <v/>
      </c>
      <c r="L1340" s="50" t="str">
        <f>IF(D1340="","",IF(COUNTIF(Paramètres!$A$11:$A$40,D1340)&gt;0,1,0))</f>
        <v/>
      </c>
    </row>
    <row r="1341" spans="1:12" hidden="1" x14ac:dyDescent="0.25">
      <c r="A1341" s="49"/>
      <c r="B1341" s="49"/>
      <c r="C1341" s="49"/>
      <c r="D1341" s="50" t="str">
        <f t="shared" si="100"/>
        <v/>
      </c>
      <c r="E1341" s="50" t="str">
        <f t="shared" si="101"/>
        <v/>
      </c>
      <c r="F1341" s="50" t="str">
        <f t="shared" si="102"/>
        <v/>
      </c>
      <c r="G1341" s="50" t="str">
        <f t="shared" si="103"/>
        <v/>
      </c>
      <c r="H1341" s="51" t="str">
        <f>IF($C1341="","",IFERROR(DATE(G1341,VLOOKUP(E1341,Paramètres!$K$11:$L$40,2,FALSE()),F1341),"?"))</f>
        <v/>
      </c>
      <c r="I1341" s="50" t="str">
        <f>IF(ISNUMBER(H1341),IF(COUNTIFS($D$2:D1341,D1341,$H$2:H1341,H1341)=1,1,0),"")</f>
        <v/>
      </c>
      <c r="J1341" s="50" t="str">
        <f>IF(ISNUMBER(H1341),IFERROR(INDEX(Calendrier!$C$2:$C$367,MATCH(H1341,Calendrier!$A$2:$A$367,0)),0),"")</f>
        <v/>
      </c>
      <c r="K1341" s="50" t="str">
        <f t="shared" si="104"/>
        <v/>
      </c>
      <c r="L1341" s="50" t="str">
        <f>IF(D1341="","",IF(COUNTIF(Paramètres!$A$11:$A$40,D1341)&gt;0,1,0))</f>
        <v/>
      </c>
    </row>
    <row r="1342" spans="1:12" hidden="1" x14ac:dyDescent="0.25">
      <c r="A1342" s="49"/>
      <c r="B1342" s="49"/>
      <c r="C1342" s="49"/>
      <c r="D1342" s="50" t="str">
        <f t="shared" si="100"/>
        <v/>
      </c>
      <c r="E1342" s="50" t="str">
        <f t="shared" si="101"/>
        <v/>
      </c>
      <c r="F1342" s="50" t="str">
        <f t="shared" si="102"/>
        <v/>
      </c>
      <c r="G1342" s="50" t="str">
        <f t="shared" si="103"/>
        <v/>
      </c>
      <c r="H1342" s="51" t="str">
        <f>IF($C1342="","",IFERROR(DATE(G1342,VLOOKUP(E1342,Paramètres!$K$11:$L$40,2,FALSE()),F1342),"?"))</f>
        <v/>
      </c>
      <c r="I1342" s="50" t="str">
        <f>IF(ISNUMBER(H1342),IF(COUNTIFS($D$2:D1342,D1342,$H$2:H1342,H1342)=1,1,0),"")</f>
        <v/>
      </c>
      <c r="J1342" s="50" t="str">
        <f>IF(ISNUMBER(H1342),IFERROR(INDEX(Calendrier!$C$2:$C$367,MATCH(H1342,Calendrier!$A$2:$A$367,0)),0),"")</f>
        <v/>
      </c>
      <c r="K1342" s="50" t="str">
        <f t="shared" si="104"/>
        <v/>
      </c>
      <c r="L1342" s="50" t="str">
        <f>IF(D1342="","",IF(COUNTIF(Paramètres!$A$11:$A$40,D1342)&gt;0,1,0))</f>
        <v/>
      </c>
    </row>
    <row r="1343" spans="1:12" hidden="1" x14ac:dyDescent="0.25">
      <c r="A1343" s="49"/>
      <c r="B1343" s="49"/>
      <c r="C1343" s="49"/>
      <c r="D1343" s="50" t="str">
        <f t="shared" si="100"/>
        <v/>
      </c>
      <c r="E1343" s="50" t="str">
        <f t="shared" si="101"/>
        <v/>
      </c>
      <c r="F1343" s="50" t="str">
        <f t="shared" si="102"/>
        <v/>
      </c>
      <c r="G1343" s="50" t="str">
        <f t="shared" si="103"/>
        <v/>
      </c>
      <c r="H1343" s="51" t="str">
        <f>IF($C1343="","",IFERROR(DATE(G1343,VLOOKUP(E1343,Paramètres!$K$11:$L$40,2,FALSE()),F1343),"?"))</f>
        <v/>
      </c>
      <c r="I1343" s="50" t="str">
        <f>IF(ISNUMBER(H1343),IF(COUNTIFS($D$2:D1343,D1343,$H$2:H1343,H1343)=1,1,0),"")</f>
        <v/>
      </c>
      <c r="J1343" s="50" t="str">
        <f>IF(ISNUMBER(H1343),IFERROR(INDEX(Calendrier!$C$2:$C$367,MATCH(H1343,Calendrier!$A$2:$A$367,0)),0),"")</f>
        <v/>
      </c>
      <c r="K1343" s="50" t="str">
        <f t="shared" si="104"/>
        <v/>
      </c>
      <c r="L1343" s="50" t="str">
        <f>IF(D1343="","",IF(COUNTIF(Paramètres!$A$11:$A$40,D1343)&gt;0,1,0))</f>
        <v/>
      </c>
    </row>
    <row r="1344" spans="1:12" hidden="1" x14ac:dyDescent="0.25">
      <c r="A1344" s="49"/>
      <c r="B1344" s="49"/>
      <c r="C1344" s="49"/>
      <c r="D1344" s="50" t="str">
        <f t="shared" si="100"/>
        <v/>
      </c>
      <c r="E1344" s="50" t="str">
        <f t="shared" si="101"/>
        <v/>
      </c>
      <c r="F1344" s="50" t="str">
        <f t="shared" si="102"/>
        <v/>
      </c>
      <c r="G1344" s="50" t="str">
        <f t="shared" si="103"/>
        <v/>
      </c>
      <c r="H1344" s="51" t="str">
        <f>IF($C1344="","",IFERROR(DATE(G1344,VLOOKUP(E1344,Paramètres!$K$11:$L$40,2,FALSE()),F1344),"?"))</f>
        <v/>
      </c>
      <c r="I1344" s="50" t="str">
        <f>IF(ISNUMBER(H1344),IF(COUNTIFS($D$2:D1344,D1344,$H$2:H1344,H1344)=1,1,0),"")</f>
        <v/>
      </c>
      <c r="J1344" s="50" t="str">
        <f>IF(ISNUMBER(H1344),IFERROR(INDEX(Calendrier!$C$2:$C$367,MATCH(H1344,Calendrier!$A$2:$A$367,0)),0),"")</f>
        <v/>
      </c>
      <c r="K1344" s="50" t="str">
        <f t="shared" si="104"/>
        <v/>
      </c>
      <c r="L1344" s="50" t="str">
        <f>IF(D1344="","",IF(COUNTIF(Paramètres!$A$11:$A$40,D1344)&gt;0,1,0))</f>
        <v/>
      </c>
    </row>
    <row r="1345" spans="1:12" hidden="1" x14ac:dyDescent="0.25">
      <c r="A1345" s="49"/>
      <c r="B1345" s="49"/>
      <c r="C1345" s="49"/>
      <c r="D1345" s="50" t="str">
        <f t="shared" si="100"/>
        <v/>
      </c>
      <c r="E1345" s="50" t="str">
        <f t="shared" si="101"/>
        <v/>
      </c>
      <c r="F1345" s="50" t="str">
        <f t="shared" si="102"/>
        <v/>
      </c>
      <c r="G1345" s="50" t="str">
        <f t="shared" si="103"/>
        <v/>
      </c>
      <c r="H1345" s="51" t="str">
        <f>IF($C1345="","",IFERROR(DATE(G1345,VLOOKUP(E1345,Paramètres!$K$11:$L$40,2,FALSE()),F1345),"?"))</f>
        <v/>
      </c>
      <c r="I1345" s="50" t="str">
        <f>IF(ISNUMBER(H1345),IF(COUNTIFS($D$2:D1345,D1345,$H$2:H1345,H1345)=1,1,0),"")</f>
        <v/>
      </c>
      <c r="J1345" s="50" t="str">
        <f>IF(ISNUMBER(H1345),IFERROR(INDEX(Calendrier!$C$2:$C$367,MATCH(H1345,Calendrier!$A$2:$A$367,0)),0),"")</f>
        <v/>
      </c>
      <c r="K1345" s="50" t="str">
        <f t="shared" si="104"/>
        <v/>
      </c>
      <c r="L1345" s="50" t="str">
        <f>IF(D1345="","",IF(COUNTIF(Paramètres!$A$11:$A$40,D1345)&gt;0,1,0))</f>
        <v/>
      </c>
    </row>
    <row r="1346" spans="1:12" hidden="1" x14ac:dyDescent="0.25">
      <c r="A1346" s="49"/>
      <c r="B1346" s="49"/>
      <c r="C1346" s="49"/>
      <c r="D1346" s="50" t="str">
        <f t="shared" ref="D1346:D1409" si="105">IF(B1346="","",TRIM(B1346))</f>
        <v/>
      </c>
      <c r="E1346" s="50" t="str">
        <f t="shared" ref="E1346:E1409" si="106">IF($C1346="","",LEFT($C1346,FIND(" ",$C1346)-1))</f>
        <v/>
      </c>
      <c r="F1346" s="50" t="str">
        <f t="shared" ref="F1346:F1409" si="107">IF($C1346="","",IFERROR(VALUE(LEFT(MID($C1346,FIND(" ",$C1346)+1,20),FIND(" ",MID($C1346,FIND(" ",$C1346)+1,20))-1)),"?"))</f>
        <v/>
      </c>
      <c r="G1346" s="50" t="str">
        <f t="shared" ref="G1346:G1409" si="108">IF($C1346="","",IFERROR(VALUE(MID(MID($C1346,FIND(" ",$C1346)+1,20),FIND(" ",MID($C1346,FIND(" ",$C1346)+1,20))+1,4)),"?"))</f>
        <v/>
      </c>
      <c r="H1346" s="51" t="str">
        <f>IF($C1346="","",IFERROR(DATE(G1346,VLOOKUP(E1346,Paramètres!$K$11:$L$40,2,FALSE()),F1346),"?"))</f>
        <v/>
      </c>
      <c r="I1346" s="50" t="str">
        <f>IF(ISNUMBER(H1346),IF(COUNTIFS($D$2:D1346,D1346,$H$2:H1346,H1346)=1,1,0),"")</f>
        <v/>
      </c>
      <c r="J1346" s="50" t="str">
        <f>IF(ISNUMBER(H1346),IFERROR(INDEX(Calendrier!$C$2:$C$367,MATCH(H1346,Calendrier!$A$2:$A$367,0)),0),"")</f>
        <v/>
      </c>
      <c r="K1346" s="50" t="str">
        <f t="shared" ref="K1346:K1409" si="109">IF(ISNUMBER(H1346),I1346*J1346,"")</f>
        <v/>
      </c>
      <c r="L1346" s="50" t="str">
        <f>IF(D1346="","",IF(COUNTIF(Paramètres!$A$11:$A$40,D1346)&gt;0,1,0))</f>
        <v/>
      </c>
    </row>
    <row r="1347" spans="1:12" hidden="1" x14ac:dyDescent="0.25">
      <c r="A1347" s="49"/>
      <c r="B1347" s="49"/>
      <c r="C1347" s="49"/>
      <c r="D1347" s="50" t="str">
        <f t="shared" si="105"/>
        <v/>
      </c>
      <c r="E1347" s="50" t="str">
        <f t="shared" si="106"/>
        <v/>
      </c>
      <c r="F1347" s="50" t="str">
        <f t="shared" si="107"/>
        <v/>
      </c>
      <c r="G1347" s="50" t="str">
        <f t="shared" si="108"/>
        <v/>
      </c>
      <c r="H1347" s="51" t="str">
        <f>IF($C1347="","",IFERROR(DATE(G1347,VLOOKUP(E1347,Paramètres!$K$11:$L$40,2,FALSE()),F1347),"?"))</f>
        <v/>
      </c>
      <c r="I1347" s="50" t="str">
        <f>IF(ISNUMBER(H1347),IF(COUNTIFS($D$2:D1347,D1347,$H$2:H1347,H1347)=1,1,0),"")</f>
        <v/>
      </c>
      <c r="J1347" s="50" t="str">
        <f>IF(ISNUMBER(H1347),IFERROR(INDEX(Calendrier!$C$2:$C$367,MATCH(H1347,Calendrier!$A$2:$A$367,0)),0),"")</f>
        <v/>
      </c>
      <c r="K1347" s="50" t="str">
        <f t="shared" si="109"/>
        <v/>
      </c>
      <c r="L1347" s="50" t="str">
        <f>IF(D1347="","",IF(COUNTIF(Paramètres!$A$11:$A$40,D1347)&gt;0,1,0))</f>
        <v/>
      </c>
    </row>
    <row r="1348" spans="1:12" hidden="1" x14ac:dyDescent="0.25">
      <c r="A1348" s="49"/>
      <c r="B1348" s="49"/>
      <c r="C1348" s="49"/>
      <c r="D1348" s="50" t="str">
        <f t="shared" si="105"/>
        <v/>
      </c>
      <c r="E1348" s="50" t="str">
        <f t="shared" si="106"/>
        <v/>
      </c>
      <c r="F1348" s="50" t="str">
        <f t="shared" si="107"/>
        <v/>
      </c>
      <c r="G1348" s="50" t="str">
        <f t="shared" si="108"/>
        <v/>
      </c>
      <c r="H1348" s="51" t="str">
        <f>IF($C1348="","",IFERROR(DATE(G1348,VLOOKUP(E1348,Paramètres!$K$11:$L$40,2,FALSE()),F1348),"?"))</f>
        <v/>
      </c>
      <c r="I1348" s="50" t="str">
        <f>IF(ISNUMBER(H1348),IF(COUNTIFS($D$2:D1348,D1348,$H$2:H1348,H1348)=1,1,0),"")</f>
        <v/>
      </c>
      <c r="J1348" s="50" t="str">
        <f>IF(ISNUMBER(H1348),IFERROR(INDEX(Calendrier!$C$2:$C$367,MATCH(H1348,Calendrier!$A$2:$A$367,0)),0),"")</f>
        <v/>
      </c>
      <c r="K1348" s="50" t="str">
        <f t="shared" si="109"/>
        <v/>
      </c>
      <c r="L1348" s="50" t="str">
        <f>IF(D1348="","",IF(COUNTIF(Paramètres!$A$11:$A$40,D1348)&gt;0,1,0))</f>
        <v/>
      </c>
    </row>
    <row r="1349" spans="1:12" hidden="1" x14ac:dyDescent="0.25">
      <c r="A1349" s="49"/>
      <c r="B1349" s="49"/>
      <c r="C1349" s="49"/>
      <c r="D1349" s="50" t="str">
        <f t="shared" si="105"/>
        <v/>
      </c>
      <c r="E1349" s="50" t="str">
        <f t="shared" si="106"/>
        <v/>
      </c>
      <c r="F1349" s="50" t="str">
        <f t="shared" si="107"/>
        <v/>
      </c>
      <c r="G1349" s="50" t="str">
        <f t="shared" si="108"/>
        <v/>
      </c>
      <c r="H1349" s="51" t="str">
        <f>IF($C1349="","",IFERROR(DATE(G1349,VLOOKUP(E1349,Paramètres!$K$11:$L$40,2,FALSE()),F1349),"?"))</f>
        <v/>
      </c>
      <c r="I1349" s="50" t="str">
        <f>IF(ISNUMBER(H1349),IF(COUNTIFS($D$2:D1349,D1349,$H$2:H1349,H1349)=1,1,0),"")</f>
        <v/>
      </c>
      <c r="J1349" s="50" t="str">
        <f>IF(ISNUMBER(H1349),IFERROR(INDEX(Calendrier!$C$2:$C$367,MATCH(H1349,Calendrier!$A$2:$A$367,0)),0),"")</f>
        <v/>
      </c>
      <c r="K1349" s="50" t="str">
        <f t="shared" si="109"/>
        <v/>
      </c>
      <c r="L1349" s="50" t="str">
        <f>IF(D1349="","",IF(COUNTIF(Paramètres!$A$11:$A$40,D1349)&gt;0,1,0))</f>
        <v/>
      </c>
    </row>
    <row r="1350" spans="1:12" hidden="1" x14ac:dyDescent="0.25">
      <c r="A1350" s="49"/>
      <c r="B1350" s="49"/>
      <c r="C1350" s="49"/>
      <c r="D1350" s="50" t="str">
        <f t="shared" si="105"/>
        <v/>
      </c>
      <c r="E1350" s="50" t="str">
        <f t="shared" si="106"/>
        <v/>
      </c>
      <c r="F1350" s="50" t="str">
        <f t="shared" si="107"/>
        <v/>
      </c>
      <c r="G1350" s="50" t="str">
        <f t="shared" si="108"/>
        <v/>
      </c>
      <c r="H1350" s="51" t="str">
        <f>IF($C1350="","",IFERROR(DATE(G1350,VLOOKUP(E1350,Paramètres!$K$11:$L$40,2,FALSE()),F1350),"?"))</f>
        <v/>
      </c>
      <c r="I1350" s="50" t="str">
        <f>IF(ISNUMBER(H1350),IF(COUNTIFS($D$2:D1350,D1350,$H$2:H1350,H1350)=1,1,0),"")</f>
        <v/>
      </c>
      <c r="J1350" s="50" t="str">
        <f>IF(ISNUMBER(H1350),IFERROR(INDEX(Calendrier!$C$2:$C$367,MATCH(H1350,Calendrier!$A$2:$A$367,0)),0),"")</f>
        <v/>
      </c>
      <c r="K1350" s="50" t="str">
        <f t="shared" si="109"/>
        <v/>
      </c>
      <c r="L1350" s="50" t="str">
        <f>IF(D1350="","",IF(COUNTIF(Paramètres!$A$11:$A$40,D1350)&gt;0,1,0))</f>
        <v/>
      </c>
    </row>
    <row r="1351" spans="1:12" hidden="1" x14ac:dyDescent="0.25">
      <c r="A1351" s="49"/>
      <c r="B1351" s="49"/>
      <c r="C1351" s="49"/>
      <c r="D1351" s="50" t="str">
        <f t="shared" si="105"/>
        <v/>
      </c>
      <c r="E1351" s="50" t="str">
        <f t="shared" si="106"/>
        <v/>
      </c>
      <c r="F1351" s="50" t="str">
        <f t="shared" si="107"/>
        <v/>
      </c>
      <c r="G1351" s="50" t="str">
        <f t="shared" si="108"/>
        <v/>
      </c>
      <c r="H1351" s="51" t="str">
        <f>IF($C1351="","",IFERROR(DATE(G1351,VLOOKUP(E1351,Paramètres!$K$11:$L$40,2,FALSE()),F1351),"?"))</f>
        <v/>
      </c>
      <c r="I1351" s="50" t="str">
        <f>IF(ISNUMBER(H1351),IF(COUNTIFS($D$2:D1351,D1351,$H$2:H1351,H1351)=1,1,0),"")</f>
        <v/>
      </c>
      <c r="J1351" s="50" t="str">
        <f>IF(ISNUMBER(H1351),IFERROR(INDEX(Calendrier!$C$2:$C$367,MATCH(H1351,Calendrier!$A$2:$A$367,0)),0),"")</f>
        <v/>
      </c>
      <c r="K1351" s="50" t="str">
        <f t="shared" si="109"/>
        <v/>
      </c>
      <c r="L1351" s="50" t="str">
        <f>IF(D1351="","",IF(COUNTIF(Paramètres!$A$11:$A$40,D1351)&gt;0,1,0))</f>
        <v/>
      </c>
    </row>
    <row r="1352" spans="1:12" hidden="1" x14ac:dyDescent="0.25">
      <c r="A1352" s="49"/>
      <c r="B1352" s="49"/>
      <c r="C1352" s="49"/>
      <c r="D1352" s="50" t="str">
        <f t="shared" si="105"/>
        <v/>
      </c>
      <c r="E1352" s="50" t="str">
        <f t="shared" si="106"/>
        <v/>
      </c>
      <c r="F1352" s="50" t="str">
        <f t="shared" si="107"/>
        <v/>
      </c>
      <c r="G1352" s="50" t="str">
        <f t="shared" si="108"/>
        <v/>
      </c>
      <c r="H1352" s="51" t="str">
        <f>IF($C1352="","",IFERROR(DATE(G1352,VLOOKUP(E1352,Paramètres!$K$11:$L$40,2,FALSE()),F1352),"?"))</f>
        <v/>
      </c>
      <c r="I1352" s="50" t="str">
        <f>IF(ISNUMBER(H1352),IF(COUNTIFS($D$2:D1352,D1352,$H$2:H1352,H1352)=1,1,0),"")</f>
        <v/>
      </c>
      <c r="J1352" s="50" t="str">
        <f>IF(ISNUMBER(H1352),IFERROR(INDEX(Calendrier!$C$2:$C$367,MATCH(H1352,Calendrier!$A$2:$A$367,0)),0),"")</f>
        <v/>
      </c>
      <c r="K1352" s="50" t="str">
        <f t="shared" si="109"/>
        <v/>
      </c>
      <c r="L1352" s="50" t="str">
        <f>IF(D1352="","",IF(COUNTIF(Paramètres!$A$11:$A$40,D1352)&gt;0,1,0))</f>
        <v/>
      </c>
    </row>
    <row r="1353" spans="1:12" hidden="1" x14ac:dyDescent="0.25">
      <c r="A1353" s="49"/>
      <c r="B1353" s="49"/>
      <c r="C1353" s="49"/>
      <c r="D1353" s="50" t="str">
        <f t="shared" si="105"/>
        <v/>
      </c>
      <c r="E1353" s="50" t="str">
        <f t="shared" si="106"/>
        <v/>
      </c>
      <c r="F1353" s="50" t="str">
        <f t="shared" si="107"/>
        <v/>
      </c>
      <c r="G1353" s="50" t="str">
        <f t="shared" si="108"/>
        <v/>
      </c>
      <c r="H1353" s="51" t="str">
        <f>IF($C1353="","",IFERROR(DATE(G1353,VLOOKUP(E1353,Paramètres!$K$11:$L$40,2,FALSE()),F1353),"?"))</f>
        <v/>
      </c>
      <c r="I1353" s="50" t="str">
        <f>IF(ISNUMBER(H1353),IF(COUNTIFS($D$2:D1353,D1353,$H$2:H1353,H1353)=1,1,0),"")</f>
        <v/>
      </c>
      <c r="J1353" s="50" t="str">
        <f>IF(ISNUMBER(H1353),IFERROR(INDEX(Calendrier!$C$2:$C$367,MATCH(H1353,Calendrier!$A$2:$A$367,0)),0),"")</f>
        <v/>
      </c>
      <c r="K1353" s="50" t="str">
        <f t="shared" si="109"/>
        <v/>
      </c>
      <c r="L1353" s="50" t="str">
        <f>IF(D1353="","",IF(COUNTIF(Paramètres!$A$11:$A$40,D1353)&gt;0,1,0))</f>
        <v/>
      </c>
    </row>
    <row r="1354" spans="1:12" hidden="1" x14ac:dyDescent="0.25">
      <c r="A1354" s="49"/>
      <c r="B1354" s="49"/>
      <c r="C1354" s="49"/>
      <c r="D1354" s="50" t="str">
        <f t="shared" si="105"/>
        <v/>
      </c>
      <c r="E1354" s="50" t="str">
        <f t="shared" si="106"/>
        <v/>
      </c>
      <c r="F1354" s="50" t="str">
        <f t="shared" si="107"/>
        <v/>
      </c>
      <c r="G1354" s="50" t="str">
        <f t="shared" si="108"/>
        <v/>
      </c>
      <c r="H1354" s="51" t="str">
        <f>IF($C1354="","",IFERROR(DATE(G1354,VLOOKUP(E1354,Paramètres!$K$11:$L$40,2,FALSE()),F1354),"?"))</f>
        <v/>
      </c>
      <c r="I1354" s="50" t="str">
        <f>IF(ISNUMBER(H1354),IF(COUNTIFS($D$2:D1354,D1354,$H$2:H1354,H1354)=1,1,0),"")</f>
        <v/>
      </c>
      <c r="J1354" s="50" t="str">
        <f>IF(ISNUMBER(H1354),IFERROR(INDEX(Calendrier!$C$2:$C$367,MATCH(H1354,Calendrier!$A$2:$A$367,0)),0),"")</f>
        <v/>
      </c>
      <c r="K1354" s="50" t="str">
        <f t="shared" si="109"/>
        <v/>
      </c>
      <c r="L1354" s="50" t="str">
        <f>IF(D1354="","",IF(COUNTIF(Paramètres!$A$11:$A$40,D1354)&gt;0,1,0))</f>
        <v/>
      </c>
    </row>
    <row r="1355" spans="1:12" hidden="1" x14ac:dyDescent="0.25">
      <c r="A1355" s="49"/>
      <c r="B1355" s="49"/>
      <c r="C1355" s="49"/>
      <c r="D1355" s="50" t="str">
        <f t="shared" si="105"/>
        <v/>
      </c>
      <c r="E1355" s="50" t="str">
        <f t="shared" si="106"/>
        <v/>
      </c>
      <c r="F1355" s="50" t="str">
        <f t="shared" si="107"/>
        <v/>
      </c>
      <c r="G1355" s="50" t="str">
        <f t="shared" si="108"/>
        <v/>
      </c>
      <c r="H1355" s="51" t="str">
        <f>IF($C1355="","",IFERROR(DATE(G1355,VLOOKUP(E1355,Paramètres!$K$11:$L$40,2,FALSE()),F1355),"?"))</f>
        <v/>
      </c>
      <c r="I1355" s="50" t="str">
        <f>IF(ISNUMBER(H1355),IF(COUNTIFS($D$2:D1355,D1355,$H$2:H1355,H1355)=1,1,0),"")</f>
        <v/>
      </c>
      <c r="J1355" s="50" t="str">
        <f>IF(ISNUMBER(H1355),IFERROR(INDEX(Calendrier!$C$2:$C$367,MATCH(H1355,Calendrier!$A$2:$A$367,0)),0),"")</f>
        <v/>
      </c>
      <c r="K1355" s="50" t="str">
        <f t="shared" si="109"/>
        <v/>
      </c>
      <c r="L1355" s="50" t="str">
        <f>IF(D1355="","",IF(COUNTIF(Paramètres!$A$11:$A$40,D1355)&gt;0,1,0))</f>
        <v/>
      </c>
    </row>
    <row r="1356" spans="1:12" hidden="1" x14ac:dyDescent="0.25">
      <c r="A1356" s="49"/>
      <c r="B1356" s="49"/>
      <c r="C1356" s="49"/>
      <c r="D1356" s="50" t="str">
        <f t="shared" si="105"/>
        <v/>
      </c>
      <c r="E1356" s="50" t="str">
        <f t="shared" si="106"/>
        <v/>
      </c>
      <c r="F1356" s="50" t="str">
        <f t="shared" si="107"/>
        <v/>
      </c>
      <c r="G1356" s="50" t="str">
        <f t="shared" si="108"/>
        <v/>
      </c>
      <c r="H1356" s="51" t="str">
        <f>IF($C1356="","",IFERROR(DATE(G1356,VLOOKUP(E1356,Paramètres!$K$11:$L$40,2,FALSE()),F1356),"?"))</f>
        <v/>
      </c>
      <c r="I1356" s="50" t="str">
        <f>IF(ISNUMBER(H1356),IF(COUNTIFS($D$2:D1356,D1356,$H$2:H1356,H1356)=1,1,0),"")</f>
        <v/>
      </c>
      <c r="J1356" s="50" t="str">
        <f>IF(ISNUMBER(H1356),IFERROR(INDEX(Calendrier!$C$2:$C$367,MATCH(H1356,Calendrier!$A$2:$A$367,0)),0),"")</f>
        <v/>
      </c>
      <c r="K1356" s="50" t="str">
        <f t="shared" si="109"/>
        <v/>
      </c>
      <c r="L1356" s="50" t="str">
        <f>IF(D1356="","",IF(COUNTIF(Paramètres!$A$11:$A$40,D1356)&gt;0,1,0))</f>
        <v/>
      </c>
    </row>
    <row r="1357" spans="1:12" hidden="1" x14ac:dyDescent="0.25">
      <c r="A1357" s="49"/>
      <c r="B1357" s="49"/>
      <c r="C1357" s="49"/>
      <c r="D1357" s="50" t="str">
        <f t="shared" si="105"/>
        <v/>
      </c>
      <c r="E1357" s="50" t="str">
        <f t="shared" si="106"/>
        <v/>
      </c>
      <c r="F1357" s="50" t="str">
        <f t="shared" si="107"/>
        <v/>
      </c>
      <c r="G1357" s="50" t="str">
        <f t="shared" si="108"/>
        <v/>
      </c>
      <c r="H1357" s="51" t="str">
        <f>IF($C1357="","",IFERROR(DATE(G1357,VLOOKUP(E1357,Paramètres!$K$11:$L$40,2,FALSE()),F1357),"?"))</f>
        <v/>
      </c>
      <c r="I1357" s="50" t="str">
        <f>IF(ISNUMBER(H1357),IF(COUNTIFS($D$2:D1357,D1357,$H$2:H1357,H1357)=1,1,0),"")</f>
        <v/>
      </c>
      <c r="J1357" s="50" t="str">
        <f>IF(ISNUMBER(H1357),IFERROR(INDEX(Calendrier!$C$2:$C$367,MATCH(H1357,Calendrier!$A$2:$A$367,0)),0),"")</f>
        <v/>
      </c>
      <c r="K1357" s="50" t="str">
        <f t="shared" si="109"/>
        <v/>
      </c>
      <c r="L1357" s="50" t="str">
        <f>IF(D1357="","",IF(COUNTIF(Paramètres!$A$11:$A$40,D1357)&gt;0,1,0))</f>
        <v/>
      </c>
    </row>
    <row r="1358" spans="1:12" hidden="1" x14ac:dyDescent="0.25">
      <c r="A1358" s="49"/>
      <c r="B1358" s="49"/>
      <c r="C1358" s="49"/>
      <c r="D1358" s="50" t="str">
        <f t="shared" si="105"/>
        <v/>
      </c>
      <c r="E1358" s="50" t="str">
        <f t="shared" si="106"/>
        <v/>
      </c>
      <c r="F1358" s="50" t="str">
        <f t="shared" si="107"/>
        <v/>
      </c>
      <c r="G1358" s="50" t="str">
        <f t="shared" si="108"/>
        <v/>
      </c>
      <c r="H1358" s="51" t="str">
        <f>IF($C1358="","",IFERROR(DATE(G1358,VLOOKUP(E1358,Paramètres!$K$11:$L$40,2,FALSE()),F1358),"?"))</f>
        <v/>
      </c>
      <c r="I1358" s="50" t="str">
        <f>IF(ISNUMBER(H1358),IF(COUNTIFS($D$2:D1358,D1358,$H$2:H1358,H1358)=1,1,0),"")</f>
        <v/>
      </c>
      <c r="J1358" s="50" t="str">
        <f>IF(ISNUMBER(H1358),IFERROR(INDEX(Calendrier!$C$2:$C$367,MATCH(H1358,Calendrier!$A$2:$A$367,0)),0),"")</f>
        <v/>
      </c>
      <c r="K1358" s="50" t="str">
        <f t="shared" si="109"/>
        <v/>
      </c>
      <c r="L1358" s="50" t="str">
        <f>IF(D1358="","",IF(COUNTIF(Paramètres!$A$11:$A$40,D1358)&gt;0,1,0))</f>
        <v/>
      </c>
    </row>
    <row r="1359" spans="1:12" hidden="1" x14ac:dyDescent="0.25">
      <c r="A1359" s="49"/>
      <c r="B1359" s="49"/>
      <c r="C1359" s="49"/>
      <c r="D1359" s="50" t="str">
        <f t="shared" si="105"/>
        <v/>
      </c>
      <c r="E1359" s="50" t="str">
        <f t="shared" si="106"/>
        <v/>
      </c>
      <c r="F1359" s="50" t="str">
        <f t="shared" si="107"/>
        <v/>
      </c>
      <c r="G1359" s="50" t="str">
        <f t="shared" si="108"/>
        <v/>
      </c>
      <c r="H1359" s="51" t="str">
        <f>IF($C1359="","",IFERROR(DATE(G1359,VLOOKUP(E1359,Paramètres!$K$11:$L$40,2,FALSE()),F1359),"?"))</f>
        <v/>
      </c>
      <c r="I1359" s="50" t="str">
        <f>IF(ISNUMBER(H1359),IF(COUNTIFS($D$2:D1359,D1359,$H$2:H1359,H1359)=1,1,0),"")</f>
        <v/>
      </c>
      <c r="J1359" s="50" t="str">
        <f>IF(ISNUMBER(H1359),IFERROR(INDEX(Calendrier!$C$2:$C$367,MATCH(H1359,Calendrier!$A$2:$A$367,0)),0),"")</f>
        <v/>
      </c>
      <c r="K1359" s="50" t="str">
        <f t="shared" si="109"/>
        <v/>
      </c>
      <c r="L1359" s="50" t="str">
        <f>IF(D1359="","",IF(COUNTIF(Paramètres!$A$11:$A$40,D1359)&gt;0,1,0))</f>
        <v/>
      </c>
    </row>
    <row r="1360" spans="1:12" hidden="1" x14ac:dyDescent="0.25">
      <c r="A1360" s="49"/>
      <c r="B1360" s="49"/>
      <c r="C1360" s="49"/>
      <c r="D1360" s="50" t="str">
        <f t="shared" si="105"/>
        <v/>
      </c>
      <c r="E1360" s="50" t="str">
        <f t="shared" si="106"/>
        <v/>
      </c>
      <c r="F1360" s="50" t="str">
        <f t="shared" si="107"/>
        <v/>
      </c>
      <c r="G1360" s="50" t="str">
        <f t="shared" si="108"/>
        <v/>
      </c>
      <c r="H1360" s="51" t="str">
        <f>IF($C1360="","",IFERROR(DATE(G1360,VLOOKUP(E1360,Paramètres!$K$11:$L$40,2,FALSE()),F1360),"?"))</f>
        <v/>
      </c>
      <c r="I1360" s="50" t="str">
        <f>IF(ISNUMBER(H1360),IF(COUNTIFS($D$2:D1360,D1360,$H$2:H1360,H1360)=1,1,0),"")</f>
        <v/>
      </c>
      <c r="J1360" s="50" t="str">
        <f>IF(ISNUMBER(H1360),IFERROR(INDEX(Calendrier!$C$2:$C$367,MATCH(H1360,Calendrier!$A$2:$A$367,0)),0),"")</f>
        <v/>
      </c>
      <c r="K1360" s="50" t="str">
        <f t="shared" si="109"/>
        <v/>
      </c>
      <c r="L1360" s="50" t="str">
        <f>IF(D1360="","",IF(COUNTIF(Paramètres!$A$11:$A$40,D1360)&gt;0,1,0))</f>
        <v/>
      </c>
    </row>
    <row r="1361" spans="1:12" hidden="1" x14ac:dyDescent="0.25">
      <c r="A1361" s="49"/>
      <c r="B1361" s="49"/>
      <c r="C1361" s="49"/>
      <c r="D1361" s="50" t="str">
        <f t="shared" si="105"/>
        <v/>
      </c>
      <c r="E1361" s="50" t="str">
        <f t="shared" si="106"/>
        <v/>
      </c>
      <c r="F1361" s="50" t="str">
        <f t="shared" si="107"/>
        <v/>
      </c>
      <c r="G1361" s="50" t="str">
        <f t="shared" si="108"/>
        <v/>
      </c>
      <c r="H1361" s="51" t="str">
        <f>IF($C1361="","",IFERROR(DATE(G1361,VLOOKUP(E1361,Paramètres!$K$11:$L$40,2,FALSE()),F1361),"?"))</f>
        <v/>
      </c>
      <c r="I1361" s="50" t="str">
        <f>IF(ISNUMBER(H1361),IF(COUNTIFS($D$2:D1361,D1361,$H$2:H1361,H1361)=1,1,0),"")</f>
        <v/>
      </c>
      <c r="J1361" s="50" t="str">
        <f>IF(ISNUMBER(H1361),IFERROR(INDEX(Calendrier!$C$2:$C$367,MATCH(H1361,Calendrier!$A$2:$A$367,0)),0),"")</f>
        <v/>
      </c>
      <c r="K1361" s="50" t="str">
        <f t="shared" si="109"/>
        <v/>
      </c>
      <c r="L1361" s="50" t="str">
        <f>IF(D1361="","",IF(COUNTIF(Paramètres!$A$11:$A$40,D1361)&gt;0,1,0))</f>
        <v/>
      </c>
    </row>
    <row r="1362" spans="1:12" hidden="1" x14ac:dyDescent="0.25">
      <c r="A1362" s="49"/>
      <c r="B1362" s="49"/>
      <c r="C1362" s="49"/>
      <c r="D1362" s="50" t="str">
        <f t="shared" si="105"/>
        <v/>
      </c>
      <c r="E1362" s="50" t="str">
        <f t="shared" si="106"/>
        <v/>
      </c>
      <c r="F1362" s="50" t="str">
        <f t="shared" si="107"/>
        <v/>
      </c>
      <c r="G1362" s="50" t="str">
        <f t="shared" si="108"/>
        <v/>
      </c>
      <c r="H1362" s="51" t="str">
        <f>IF($C1362="","",IFERROR(DATE(G1362,VLOOKUP(E1362,Paramètres!$K$11:$L$40,2,FALSE()),F1362),"?"))</f>
        <v/>
      </c>
      <c r="I1362" s="50" t="str">
        <f>IF(ISNUMBER(H1362),IF(COUNTIFS($D$2:D1362,D1362,$H$2:H1362,H1362)=1,1,0),"")</f>
        <v/>
      </c>
      <c r="J1362" s="50" t="str">
        <f>IF(ISNUMBER(H1362),IFERROR(INDEX(Calendrier!$C$2:$C$367,MATCH(H1362,Calendrier!$A$2:$A$367,0)),0),"")</f>
        <v/>
      </c>
      <c r="K1362" s="50" t="str">
        <f t="shared" si="109"/>
        <v/>
      </c>
      <c r="L1362" s="50" t="str">
        <f>IF(D1362="","",IF(COUNTIF(Paramètres!$A$11:$A$40,D1362)&gt;0,1,0))</f>
        <v/>
      </c>
    </row>
    <row r="1363" spans="1:12" hidden="1" x14ac:dyDescent="0.25">
      <c r="A1363" s="49"/>
      <c r="B1363" s="49"/>
      <c r="C1363" s="49"/>
      <c r="D1363" s="50" t="str">
        <f t="shared" si="105"/>
        <v/>
      </c>
      <c r="E1363" s="50" t="str">
        <f t="shared" si="106"/>
        <v/>
      </c>
      <c r="F1363" s="50" t="str">
        <f t="shared" si="107"/>
        <v/>
      </c>
      <c r="G1363" s="50" t="str">
        <f t="shared" si="108"/>
        <v/>
      </c>
      <c r="H1363" s="51" t="str">
        <f>IF($C1363="","",IFERROR(DATE(G1363,VLOOKUP(E1363,Paramètres!$K$11:$L$40,2,FALSE()),F1363),"?"))</f>
        <v/>
      </c>
      <c r="I1363" s="50" t="str">
        <f>IF(ISNUMBER(H1363),IF(COUNTIFS($D$2:D1363,D1363,$H$2:H1363,H1363)=1,1,0),"")</f>
        <v/>
      </c>
      <c r="J1363" s="50" t="str">
        <f>IF(ISNUMBER(H1363),IFERROR(INDEX(Calendrier!$C$2:$C$367,MATCH(H1363,Calendrier!$A$2:$A$367,0)),0),"")</f>
        <v/>
      </c>
      <c r="K1363" s="50" t="str">
        <f t="shared" si="109"/>
        <v/>
      </c>
      <c r="L1363" s="50" t="str">
        <f>IF(D1363="","",IF(COUNTIF(Paramètres!$A$11:$A$40,D1363)&gt;0,1,0))</f>
        <v/>
      </c>
    </row>
    <row r="1364" spans="1:12" hidden="1" x14ac:dyDescent="0.25">
      <c r="A1364" s="49"/>
      <c r="B1364" s="49"/>
      <c r="C1364" s="49"/>
      <c r="D1364" s="50" t="str">
        <f t="shared" si="105"/>
        <v/>
      </c>
      <c r="E1364" s="50" t="str">
        <f t="shared" si="106"/>
        <v/>
      </c>
      <c r="F1364" s="50" t="str">
        <f t="shared" si="107"/>
        <v/>
      </c>
      <c r="G1364" s="50" t="str">
        <f t="shared" si="108"/>
        <v/>
      </c>
      <c r="H1364" s="51" t="str">
        <f>IF($C1364="","",IFERROR(DATE(G1364,VLOOKUP(E1364,Paramètres!$K$11:$L$40,2,FALSE()),F1364),"?"))</f>
        <v/>
      </c>
      <c r="I1364" s="50" t="str">
        <f>IF(ISNUMBER(H1364),IF(COUNTIFS($D$2:D1364,D1364,$H$2:H1364,H1364)=1,1,0),"")</f>
        <v/>
      </c>
      <c r="J1364" s="50" t="str">
        <f>IF(ISNUMBER(H1364),IFERROR(INDEX(Calendrier!$C$2:$C$367,MATCH(H1364,Calendrier!$A$2:$A$367,0)),0),"")</f>
        <v/>
      </c>
      <c r="K1364" s="50" t="str">
        <f t="shared" si="109"/>
        <v/>
      </c>
      <c r="L1364" s="50" t="str">
        <f>IF(D1364="","",IF(COUNTIF(Paramètres!$A$11:$A$40,D1364)&gt;0,1,0))</f>
        <v/>
      </c>
    </row>
    <row r="1365" spans="1:12" hidden="1" x14ac:dyDescent="0.25">
      <c r="A1365" s="49"/>
      <c r="B1365" s="49"/>
      <c r="C1365" s="49"/>
      <c r="D1365" s="50" t="str">
        <f t="shared" si="105"/>
        <v/>
      </c>
      <c r="E1365" s="50" t="str">
        <f t="shared" si="106"/>
        <v/>
      </c>
      <c r="F1365" s="50" t="str">
        <f t="shared" si="107"/>
        <v/>
      </c>
      <c r="G1365" s="50" t="str">
        <f t="shared" si="108"/>
        <v/>
      </c>
      <c r="H1365" s="51" t="str">
        <f>IF($C1365="","",IFERROR(DATE(G1365,VLOOKUP(E1365,Paramètres!$K$11:$L$40,2,FALSE()),F1365),"?"))</f>
        <v/>
      </c>
      <c r="I1365" s="50" t="str">
        <f>IF(ISNUMBER(H1365),IF(COUNTIFS($D$2:D1365,D1365,$H$2:H1365,H1365)=1,1,0),"")</f>
        <v/>
      </c>
      <c r="J1365" s="50" t="str">
        <f>IF(ISNUMBER(H1365),IFERROR(INDEX(Calendrier!$C$2:$C$367,MATCH(H1365,Calendrier!$A$2:$A$367,0)),0),"")</f>
        <v/>
      </c>
      <c r="K1365" s="50" t="str">
        <f t="shared" si="109"/>
        <v/>
      </c>
      <c r="L1365" s="50" t="str">
        <f>IF(D1365="","",IF(COUNTIF(Paramètres!$A$11:$A$40,D1365)&gt;0,1,0))</f>
        <v/>
      </c>
    </row>
    <row r="1366" spans="1:12" hidden="1" x14ac:dyDescent="0.25">
      <c r="A1366" s="49"/>
      <c r="B1366" s="49"/>
      <c r="C1366" s="49"/>
      <c r="D1366" s="50" t="str">
        <f t="shared" si="105"/>
        <v/>
      </c>
      <c r="E1366" s="50" t="str">
        <f t="shared" si="106"/>
        <v/>
      </c>
      <c r="F1366" s="50" t="str">
        <f t="shared" si="107"/>
        <v/>
      </c>
      <c r="G1366" s="50" t="str">
        <f t="shared" si="108"/>
        <v/>
      </c>
      <c r="H1366" s="51" t="str">
        <f>IF($C1366="","",IFERROR(DATE(G1366,VLOOKUP(E1366,Paramètres!$K$11:$L$40,2,FALSE()),F1366),"?"))</f>
        <v/>
      </c>
      <c r="I1366" s="50" t="str">
        <f>IF(ISNUMBER(H1366),IF(COUNTIFS($D$2:D1366,D1366,$H$2:H1366,H1366)=1,1,0),"")</f>
        <v/>
      </c>
      <c r="J1366" s="50" t="str">
        <f>IF(ISNUMBER(H1366),IFERROR(INDEX(Calendrier!$C$2:$C$367,MATCH(H1366,Calendrier!$A$2:$A$367,0)),0),"")</f>
        <v/>
      </c>
      <c r="K1366" s="50" t="str">
        <f t="shared" si="109"/>
        <v/>
      </c>
      <c r="L1366" s="50" t="str">
        <f>IF(D1366="","",IF(COUNTIF(Paramètres!$A$11:$A$40,D1366)&gt;0,1,0))</f>
        <v/>
      </c>
    </row>
    <row r="1367" spans="1:12" hidden="1" x14ac:dyDescent="0.25">
      <c r="A1367" s="49"/>
      <c r="B1367" s="49"/>
      <c r="C1367" s="49"/>
      <c r="D1367" s="50" t="str">
        <f t="shared" si="105"/>
        <v/>
      </c>
      <c r="E1367" s="50" t="str">
        <f t="shared" si="106"/>
        <v/>
      </c>
      <c r="F1367" s="50" t="str">
        <f t="shared" si="107"/>
        <v/>
      </c>
      <c r="G1367" s="50" t="str">
        <f t="shared" si="108"/>
        <v/>
      </c>
      <c r="H1367" s="51" t="str">
        <f>IF($C1367="","",IFERROR(DATE(G1367,VLOOKUP(E1367,Paramètres!$K$11:$L$40,2,FALSE()),F1367),"?"))</f>
        <v/>
      </c>
      <c r="I1367" s="50" t="str">
        <f>IF(ISNUMBER(H1367),IF(COUNTIFS($D$2:D1367,D1367,$H$2:H1367,H1367)=1,1,0),"")</f>
        <v/>
      </c>
      <c r="J1367" s="50" t="str">
        <f>IF(ISNUMBER(H1367),IFERROR(INDEX(Calendrier!$C$2:$C$367,MATCH(H1367,Calendrier!$A$2:$A$367,0)),0),"")</f>
        <v/>
      </c>
      <c r="K1367" s="50" t="str">
        <f t="shared" si="109"/>
        <v/>
      </c>
      <c r="L1367" s="50" t="str">
        <f>IF(D1367="","",IF(COUNTIF(Paramètres!$A$11:$A$40,D1367)&gt;0,1,0))</f>
        <v/>
      </c>
    </row>
    <row r="1368" spans="1:12" hidden="1" x14ac:dyDescent="0.25">
      <c r="A1368" s="49"/>
      <c r="B1368" s="49"/>
      <c r="C1368" s="49"/>
      <c r="D1368" s="50" t="str">
        <f t="shared" si="105"/>
        <v/>
      </c>
      <c r="E1368" s="50" t="str">
        <f t="shared" si="106"/>
        <v/>
      </c>
      <c r="F1368" s="50" t="str">
        <f t="shared" si="107"/>
        <v/>
      </c>
      <c r="G1368" s="50" t="str">
        <f t="shared" si="108"/>
        <v/>
      </c>
      <c r="H1368" s="51" t="str">
        <f>IF($C1368="","",IFERROR(DATE(G1368,VLOOKUP(E1368,Paramètres!$K$11:$L$40,2,FALSE()),F1368),"?"))</f>
        <v/>
      </c>
      <c r="I1368" s="50" t="str">
        <f>IF(ISNUMBER(H1368),IF(COUNTIFS($D$2:D1368,D1368,$H$2:H1368,H1368)=1,1,0),"")</f>
        <v/>
      </c>
      <c r="J1368" s="50" t="str">
        <f>IF(ISNUMBER(H1368),IFERROR(INDEX(Calendrier!$C$2:$C$367,MATCH(H1368,Calendrier!$A$2:$A$367,0)),0),"")</f>
        <v/>
      </c>
      <c r="K1368" s="50" t="str">
        <f t="shared" si="109"/>
        <v/>
      </c>
      <c r="L1368" s="50" t="str">
        <f>IF(D1368="","",IF(COUNTIF(Paramètres!$A$11:$A$40,D1368)&gt;0,1,0))</f>
        <v/>
      </c>
    </row>
    <row r="1369" spans="1:12" hidden="1" x14ac:dyDescent="0.25">
      <c r="A1369" s="49"/>
      <c r="B1369" s="49"/>
      <c r="C1369" s="49"/>
      <c r="D1369" s="50" t="str">
        <f t="shared" si="105"/>
        <v/>
      </c>
      <c r="E1369" s="50" t="str">
        <f t="shared" si="106"/>
        <v/>
      </c>
      <c r="F1369" s="50" t="str">
        <f t="shared" si="107"/>
        <v/>
      </c>
      <c r="G1369" s="50" t="str">
        <f t="shared" si="108"/>
        <v/>
      </c>
      <c r="H1369" s="51" t="str">
        <f>IF($C1369="","",IFERROR(DATE(G1369,VLOOKUP(E1369,Paramètres!$K$11:$L$40,2,FALSE()),F1369),"?"))</f>
        <v/>
      </c>
      <c r="I1369" s="50" t="str">
        <f>IF(ISNUMBER(H1369),IF(COUNTIFS($D$2:D1369,D1369,$H$2:H1369,H1369)=1,1,0),"")</f>
        <v/>
      </c>
      <c r="J1369" s="50" t="str">
        <f>IF(ISNUMBER(H1369),IFERROR(INDEX(Calendrier!$C$2:$C$367,MATCH(H1369,Calendrier!$A$2:$A$367,0)),0),"")</f>
        <v/>
      </c>
      <c r="K1369" s="50" t="str">
        <f t="shared" si="109"/>
        <v/>
      </c>
      <c r="L1369" s="50" t="str">
        <f>IF(D1369="","",IF(COUNTIF(Paramètres!$A$11:$A$40,D1369)&gt;0,1,0))</f>
        <v/>
      </c>
    </row>
    <row r="1370" spans="1:12" hidden="1" x14ac:dyDescent="0.25">
      <c r="A1370" s="49"/>
      <c r="B1370" s="49"/>
      <c r="C1370" s="49"/>
      <c r="D1370" s="50" t="str">
        <f t="shared" si="105"/>
        <v/>
      </c>
      <c r="E1370" s="50" t="str">
        <f t="shared" si="106"/>
        <v/>
      </c>
      <c r="F1370" s="50" t="str">
        <f t="shared" si="107"/>
        <v/>
      </c>
      <c r="G1370" s="50" t="str">
        <f t="shared" si="108"/>
        <v/>
      </c>
      <c r="H1370" s="51" t="str">
        <f>IF($C1370="","",IFERROR(DATE(G1370,VLOOKUP(E1370,Paramètres!$K$11:$L$40,2,FALSE()),F1370),"?"))</f>
        <v/>
      </c>
      <c r="I1370" s="50" t="str">
        <f>IF(ISNUMBER(H1370),IF(COUNTIFS($D$2:D1370,D1370,$H$2:H1370,H1370)=1,1,0),"")</f>
        <v/>
      </c>
      <c r="J1370" s="50" t="str">
        <f>IF(ISNUMBER(H1370),IFERROR(INDEX(Calendrier!$C$2:$C$367,MATCH(H1370,Calendrier!$A$2:$A$367,0)),0),"")</f>
        <v/>
      </c>
      <c r="K1370" s="50" t="str">
        <f t="shared" si="109"/>
        <v/>
      </c>
      <c r="L1370" s="50" t="str">
        <f>IF(D1370="","",IF(COUNTIF(Paramètres!$A$11:$A$40,D1370)&gt;0,1,0))</f>
        <v/>
      </c>
    </row>
    <row r="1371" spans="1:12" hidden="1" x14ac:dyDescent="0.25">
      <c r="A1371" s="49"/>
      <c r="B1371" s="49"/>
      <c r="C1371" s="49"/>
      <c r="D1371" s="50" t="str">
        <f t="shared" si="105"/>
        <v/>
      </c>
      <c r="E1371" s="50" t="str">
        <f t="shared" si="106"/>
        <v/>
      </c>
      <c r="F1371" s="50" t="str">
        <f t="shared" si="107"/>
        <v/>
      </c>
      <c r="G1371" s="50" t="str">
        <f t="shared" si="108"/>
        <v/>
      </c>
      <c r="H1371" s="51" t="str">
        <f>IF($C1371="","",IFERROR(DATE(G1371,VLOOKUP(E1371,Paramètres!$K$11:$L$40,2,FALSE()),F1371),"?"))</f>
        <v/>
      </c>
      <c r="I1371" s="50" t="str">
        <f>IF(ISNUMBER(H1371),IF(COUNTIFS($D$2:D1371,D1371,$H$2:H1371,H1371)=1,1,0),"")</f>
        <v/>
      </c>
      <c r="J1371" s="50" t="str">
        <f>IF(ISNUMBER(H1371),IFERROR(INDEX(Calendrier!$C$2:$C$367,MATCH(H1371,Calendrier!$A$2:$A$367,0)),0),"")</f>
        <v/>
      </c>
      <c r="K1371" s="50" t="str">
        <f t="shared" si="109"/>
        <v/>
      </c>
      <c r="L1371" s="50" t="str">
        <f>IF(D1371="","",IF(COUNTIF(Paramètres!$A$11:$A$40,D1371)&gt;0,1,0))</f>
        <v/>
      </c>
    </row>
    <row r="1372" spans="1:12" hidden="1" x14ac:dyDescent="0.25">
      <c r="A1372" s="49"/>
      <c r="B1372" s="49"/>
      <c r="C1372" s="49"/>
      <c r="D1372" s="50" t="str">
        <f t="shared" si="105"/>
        <v/>
      </c>
      <c r="E1372" s="50" t="str">
        <f t="shared" si="106"/>
        <v/>
      </c>
      <c r="F1372" s="50" t="str">
        <f t="shared" si="107"/>
        <v/>
      </c>
      <c r="G1372" s="50" t="str">
        <f t="shared" si="108"/>
        <v/>
      </c>
      <c r="H1372" s="51" t="str">
        <f>IF($C1372="","",IFERROR(DATE(G1372,VLOOKUP(E1372,Paramètres!$K$11:$L$40,2,FALSE()),F1372),"?"))</f>
        <v/>
      </c>
      <c r="I1372" s="50" t="str">
        <f>IF(ISNUMBER(H1372),IF(COUNTIFS($D$2:D1372,D1372,$H$2:H1372,H1372)=1,1,0),"")</f>
        <v/>
      </c>
      <c r="J1372" s="50" t="str">
        <f>IF(ISNUMBER(H1372),IFERROR(INDEX(Calendrier!$C$2:$C$367,MATCH(H1372,Calendrier!$A$2:$A$367,0)),0),"")</f>
        <v/>
      </c>
      <c r="K1372" s="50" t="str">
        <f t="shared" si="109"/>
        <v/>
      </c>
      <c r="L1372" s="50" t="str">
        <f>IF(D1372="","",IF(COUNTIF(Paramètres!$A$11:$A$40,D1372)&gt;0,1,0))</f>
        <v/>
      </c>
    </row>
    <row r="1373" spans="1:12" hidden="1" x14ac:dyDescent="0.25">
      <c r="A1373" s="49"/>
      <c r="B1373" s="49"/>
      <c r="C1373" s="49"/>
      <c r="D1373" s="50" t="str">
        <f t="shared" si="105"/>
        <v/>
      </c>
      <c r="E1373" s="50" t="str">
        <f t="shared" si="106"/>
        <v/>
      </c>
      <c r="F1373" s="50" t="str">
        <f t="shared" si="107"/>
        <v/>
      </c>
      <c r="G1373" s="50" t="str">
        <f t="shared" si="108"/>
        <v/>
      </c>
      <c r="H1373" s="51" t="str">
        <f>IF($C1373="","",IFERROR(DATE(G1373,VLOOKUP(E1373,Paramètres!$K$11:$L$40,2,FALSE()),F1373),"?"))</f>
        <v/>
      </c>
      <c r="I1373" s="50" t="str">
        <f>IF(ISNUMBER(H1373),IF(COUNTIFS($D$2:D1373,D1373,$H$2:H1373,H1373)=1,1,0),"")</f>
        <v/>
      </c>
      <c r="J1373" s="50" t="str">
        <f>IF(ISNUMBER(H1373),IFERROR(INDEX(Calendrier!$C$2:$C$367,MATCH(H1373,Calendrier!$A$2:$A$367,0)),0),"")</f>
        <v/>
      </c>
      <c r="K1373" s="50" t="str">
        <f t="shared" si="109"/>
        <v/>
      </c>
      <c r="L1373" s="50" t="str">
        <f>IF(D1373="","",IF(COUNTIF(Paramètres!$A$11:$A$40,D1373)&gt;0,1,0))</f>
        <v/>
      </c>
    </row>
    <row r="1374" spans="1:12" hidden="1" x14ac:dyDescent="0.25">
      <c r="A1374" s="49"/>
      <c r="B1374" s="49"/>
      <c r="C1374" s="49"/>
      <c r="D1374" s="50" t="str">
        <f t="shared" si="105"/>
        <v/>
      </c>
      <c r="E1374" s="50" t="str">
        <f t="shared" si="106"/>
        <v/>
      </c>
      <c r="F1374" s="50" t="str">
        <f t="shared" si="107"/>
        <v/>
      </c>
      <c r="G1374" s="50" t="str">
        <f t="shared" si="108"/>
        <v/>
      </c>
      <c r="H1374" s="51" t="str">
        <f>IF($C1374="","",IFERROR(DATE(G1374,VLOOKUP(E1374,Paramètres!$K$11:$L$40,2,FALSE()),F1374),"?"))</f>
        <v/>
      </c>
      <c r="I1374" s="50" t="str">
        <f>IF(ISNUMBER(H1374),IF(COUNTIFS($D$2:D1374,D1374,$H$2:H1374,H1374)=1,1,0),"")</f>
        <v/>
      </c>
      <c r="J1374" s="50" t="str">
        <f>IF(ISNUMBER(H1374),IFERROR(INDEX(Calendrier!$C$2:$C$367,MATCH(H1374,Calendrier!$A$2:$A$367,0)),0),"")</f>
        <v/>
      </c>
      <c r="K1374" s="50" t="str">
        <f t="shared" si="109"/>
        <v/>
      </c>
      <c r="L1374" s="50" t="str">
        <f>IF(D1374="","",IF(COUNTIF(Paramètres!$A$11:$A$40,D1374)&gt;0,1,0))</f>
        <v/>
      </c>
    </row>
    <row r="1375" spans="1:12" hidden="1" x14ac:dyDescent="0.25">
      <c r="A1375" s="49"/>
      <c r="B1375" s="49"/>
      <c r="C1375" s="49"/>
      <c r="D1375" s="50" t="str">
        <f t="shared" si="105"/>
        <v/>
      </c>
      <c r="E1375" s="50" t="str">
        <f t="shared" si="106"/>
        <v/>
      </c>
      <c r="F1375" s="50" t="str">
        <f t="shared" si="107"/>
        <v/>
      </c>
      <c r="G1375" s="50" t="str">
        <f t="shared" si="108"/>
        <v/>
      </c>
      <c r="H1375" s="51" t="str">
        <f>IF($C1375="","",IFERROR(DATE(G1375,VLOOKUP(E1375,Paramètres!$K$11:$L$40,2,FALSE()),F1375),"?"))</f>
        <v/>
      </c>
      <c r="I1375" s="50" t="str">
        <f>IF(ISNUMBER(H1375),IF(COUNTIFS($D$2:D1375,D1375,$H$2:H1375,H1375)=1,1,0),"")</f>
        <v/>
      </c>
      <c r="J1375" s="50" t="str">
        <f>IF(ISNUMBER(H1375),IFERROR(INDEX(Calendrier!$C$2:$C$367,MATCH(H1375,Calendrier!$A$2:$A$367,0)),0),"")</f>
        <v/>
      </c>
      <c r="K1375" s="50" t="str">
        <f t="shared" si="109"/>
        <v/>
      </c>
      <c r="L1375" s="50" t="str">
        <f>IF(D1375="","",IF(COUNTIF(Paramètres!$A$11:$A$40,D1375)&gt;0,1,0))</f>
        <v/>
      </c>
    </row>
    <row r="1376" spans="1:12" hidden="1" x14ac:dyDescent="0.25">
      <c r="A1376" s="49"/>
      <c r="B1376" s="49"/>
      <c r="C1376" s="49"/>
      <c r="D1376" s="50" t="str">
        <f t="shared" si="105"/>
        <v/>
      </c>
      <c r="E1376" s="50" t="str">
        <f t="shared" si="106"/>
        <v/>
      </c>
      <c r="F1376" s="50" t="str">
        <f t="shared" si="107"/>
        <v/>
      </c>
      <c r="G1376" s="50" t="str">
        <f t="shared" si="108"/>
        <v/>
      </c>
      <c r="H1376" s="51" t="str">
        <f>IF($C1376="","",IFERROR(DATE(G1376,VLOOKUP(E1376,Paramètres!$K$11:$L$40,2,FALSE()),F1376),"?"))</f>
        <v/>
      </c>
      <c r="I1376" s="50" t="str">
        <f>IF(ISNUMBER(H1376),IF(COUNTIFS($D$2:D1376,D1376,$H$2:H1376,H1376)=1,1,0),"")</f>
        <v/>
      </c>
      <c r="J1376" s="50" t="str">
        <f>IF(ISNUMBER(H1376),IFERROR(INDEX(Calendrier!$C$2:$C$367,MATCH(H1376,Calendrier!$A$2:$A$367,0)),0),"")</f>
        <v/>
      </c>
      <c r="K1376" s="50" t="str">
        <f t="shared" si="109"/>
        <v/>
      </c>
      <c r="L1376" s="50" t="str">
        <f>IF(D1376="","",IF(COUNTIF(Paramètres!$A$11:$A$40,D1376)&gt;0,1,0))</f>
        <v/>
      </c>
    </row>
    <row r="1377" spans="1:12" hidden="1" x14ac:dyDescent="0.25">
      <c r="A1377" s="49"/>
      <c r="B1377" s="49"/>
      <c r="C1377" s="49"/>
      <c r="D1377" s="50" t="str">
        <f t="shared" si="105"/>
        <v/>
      </c>
      <c r="E1377" s="50" t="str">
        <f t="shared" si="106"/>
        <v/>
      </c>
      <c r="F1377" s="50" t="str">
        <f t="shared" si="107"/>
        <v/>
      </c>
      <c r="G1377" s="50" t="str">
        <f t="shared" si="108"/>
        <v/>
      </c>
      <c r="H1377" s="51" t="str">
        <f>IF($C1377="","",IFERROR(DATE(G1377,VLOOKUP(E1377,Paramètres!$K$11:$L$40,2,FALSE()),F1377),"?"))</f>
        <v/>
      </c>
      <c r="I1377" s="50" t="str">
        <f>IF(ISNUMBER(H1377),IF(COUNTIFS($D$2:D1377,D1377,$H$2:H1377,H1377)=1,1,0),"")</f>
        <v/>
      </c>
      <c r="J1377" s="50" t="str">
        <f>IF(ISNUMBER(H1377),IFERROR(INDEX(Calendrier!$C$2:$C$367,MATCH(H1377,Calendrier!$A$2:$A$367,0)),0),"")</f>
        <v/>
      </c>
      <c r="K1377" s="50" t="str">
        <f t="shared" si="109"/>
        <v/>
      </c>
      <c r="L1377" s="50" t="str">
        <f>IF(D1377="","",IF(COUNTIF(Paramètres!$A$11:$A$40,D1377)&gt;0,1,0))</f>
        <v/>
      </c>
    </row>
    <row r="1378" spans="1:12" hidden="1" x14ac:dyDescent="0.25">
      <c r="A1378" s="49"/>
      <c r="B1378" s="49"/>
      <c r="C1378" s="49"/>
      <c r="D1378" s="50" t="str">
        <f t="shared" si="105"/>
        <v/>
      </c>
      <c r="E1378" s="50" t="str">
        <f t="shared" si="106"/>
        <v/>
      </c>
      <c r="F1378" s="50" t="str">
        <f t="shared" si="107"/>
        <v/>
      </c>
      <c r="G1378" s="50" t="str">
        <f t="shared" si="108"/>
        <v/>
      </c>
      <c r="H1378" s="51" t="str">
        <f>IF($C1378="","",IFERROR(DATE(G1378,VLOOKUP(E1378,Paramètres!$K$11:$L$40,2,FALSE()),F1378),"?"))</f>
        <v/>
      </c>
      <c r="I1378" s="50" t="str">
        <f>IF(ISNUMBER(H1378),IF(COUNTIFS($D$2:D1378,D1378,$H$2:H1378,H1378)=1,1,0),"")</f>
        <v/>
      </c>
      <c r="J1378" s="50" t="str">
        <f>IF(ISNUMBER(H1378),IFERROR(INDEX(Calendrier!$C$2:$C$367,MATCH(H1378,Calendrier!$A$2:$A$367,0)),0),"")</f>
        <v/>
      </c>
      <c r="K1378" s="50" t="str">
        <f t="shared" si="109"/>
        <v/>
      </c>
      <c r="L1378" s="50" t="str">
        <f>IF(D1378="","",IF(COUNTIF(Paramètres!$A$11:$A$40,D1378)&gt;0,1,0))</f>
        <v/>
      </c>
    </row>
    <row r="1379" spans="1:12" hidden="1" x14ac:dyDescent="0.25">
      <c r="A1379" s="49"/>
      <c r="B1379" s="49"/>
      <c r="C1379" s="49"/>
      <c r="D1379" s="50" t="str">
        <f t="shared" si="105"/>
        <v/>
      </c>
      <c r="E1379" s="50" t="str">
        <f t="shared" si="106"/>
        <v/>
      </c>
      <c r="F1379" s="50" t="str">
        <f t="shared" si="107"/>
        <v/>
      </c>
      <c r="G1379" s="50" t="str">
        <f t="shared" si="108"/>
        <v/>
      </c>
      <c r="H1379" s="51" t="str">
        <f>IF($C1379="","",IFERROR(DATE(G1379,VLOOKUP(E1379,Paramètres!$K$11:$L$40,2,FALSE()),F1379),"?"))</f>
        <v/>
      </c>
      <c r="I1379" s="50" t="str">
        <f>IF(ISNUMBER(H1379),IF(COUNTIFS($D$2:D1379,D1379,$H$2:H1379,H1379)=1,1,0),"")</f>
        <v/>
      </c>
      <c r="J1379" s="50" t="str">
        <f>IF(ISNUMBER(H1379),IFERROR(INDEX(Calendrier!$C$2:$C$367,MATCH(H1379,Calendrier!$A$2:$A$367,0)),0),"")</f>
        <v/>
      </c>
      <c r="K1379" s="50" t="str">
        <f t="shared" si="109"/>
        <v/>
      </c>
      <c r="L1379" s="50" t="str">
        <f>IF(D1379="","",IF(COUNTIF(Paramètres!$A$11:$A$40,D1379)&gt;0,1,0))</f>
        <v/>
      </c>
    </row>
    <row r="1380" spans="1:12" hidden="1" x14ac:dyDescent="0.25">
      <c r="A1380" s="49"/>
      <c r="B1380" s="49"/>
      <c r="C1380" s="49"/>
      <c r="D1380" s="50" t="str">
        <f t="shared" si="105"/>
        <v/>
      </c>
      <c r="E1380" s="50" t="str">
        <f t="shared" si="106"/>
        <v/>
      </c>
      <c r="F1380" s="50" t="str">
        <f t="shared" si="107"/>
        <v/>
      </c>
      <c r="G1380" s="50" t="str">
        <f t="shared" si="108"/>
        <v/>
      </c>
      <c r="H1380" s="51" t="str">
        <f>IF($C1380="","",IFERROR(DATE(G1380,VLOOKUP(E1380,Paramètres!$K$11:$L$40,2,FALSE()),F1380),"?"))</f>
        <v/>
      </c>
      <c r="I1380" s="50" t="str">
        <f>IF(ISNUMBER(H1380),IF(COUNTIFS($D$2:D1380,D1380,$H$2:H1380,H1380)=1,1,0),"")</f>
        <v/>
      </c>
      <c r="J1380" s="50" t="str">
        <f>IF(ISNUMBER(H1380),IFERROR(INDEX(Calendrier!$C$2:$C$367,MATCH(H1380,Calendrier!$A$2:$A$367,0)),0),"")</f>
        <v/>
      </c>
      <c r="K1380" s="50" t="str">
        <f t="shared" si="109"/>
        <v/>
      </c>
      <c r="L1380" s="50" t="str">
        <f>IF(D1380="","",IF(COUNTIF(Paramètres!$A$11:$A$40,D1380)&gt;0,1,0))</f>
        <v/>
      </c>
    </row>
    <row r="1381" spans="1:12" hidden="1" x14ac:dyDescent="0.25">
      <c r="A1381" s="49"/>
      <c r="B1381" s="49"/>
      <c r="C1381" s="49"/>
      <c r="D1381" s="50" t="str">
        <f t="shared" si="105"/>
        <v/>
      </c>
      <c r="E1381" s="50" t="str">
        <f t="shared" si="106"/>
        <v/>
      </c>
      <c r="F1381" s="50" t="str">
        <f t="shared" si="107"/>
        <v/>
      </c>
      <c r="G1381" s="50" t="str">
        <f t="shared" si="108"/>
        <v/>
      </c>
      <c r="H1381" s="51" t="str">
        <f>IF($C1381="","",IFERROR(DATE(G1381,VLOOKUP(E1381,Paramètres!$K$11:$L$40,2,FALSE()),F1381),"?"))</f>
        <v/>
      </c>
      <c r="I1381" s="50" t="str">
        <f>IF(ISNUMBER(H1381),IF(COUNTIFS($D$2:D1381,D1381,$H$2:H1381,H1381)=1,1,0),"")</f>
        <v/>
      </c>
      <c r="J1381" s="50" t="str">
        <f>IF(ISNUMBER(H1381),IFERROR(INDEX(Calendrier!$C$2:$C$367,MATCH(H1381,Calendrier!$A$2:$A$367,0)),0),"")</f>
        <v/>
      </c>
      <c r="K1381" s="50" t="str">
        <f t="shared" si="109"/>
        <v/>
      </c>
      <c r="L1381" s="50" t="str">
        <f>IF(D1381="","",IF(COUNTIF(Paramètres!$A$11:$A$40,D1381)&gt;0,1,0))</f>
        <v/>
      </c>
    </row>
    <row r="1382" spans="1:12" hidden="1" x14ac:dyDescent="0.25">
      <c r="A1382" s="49"/>
      <c r="B1382" s="49"/>
      <c r="C1382" s="49"/>
      <c r="D1382" s="50" t="str">
        <f t="shared" si="105"/>
        <v/>
      </c>
      <c r="E1382" s="50" t="str">
        <f t="shared" si="106"/>
        <v/>
      </c>
      <c r="F1382" s="50" t="str">
        <f t="shared" si="107"/>
        <v/>
      </c>
      <c r="G1382" s="50" t="str">
        <f t="shared" si="108"/>
        <v/>
      </c>
      <c r="H1382" s="51" t="str">
        <f>IF($C1382="","",IFERROR(DATE(G1382,VLOOKUP(E1382,Paramètres!$K$11:$L$40,2,FALSE()),F1382),"?"))</f>
        <v/>
      </c>
      <c r="I1382" s="50" t="str">
        <f>IF(ISNUMBER(H1382),IF(COUNTIFS($D$2:D1382,D1382,$H$2:H1382,H1382)=1,1,0),"")</f>
        <v/>
      </c>
      <c r="J1382" s="50" t="str">
        <f>IF(ISNUMBER(H1382),IFERROR(INDEX(Calendrier!$C$2:$C$367,MATCH(H1382,Calendrier!$A$2:$A$367,0)),0),"")</f>
        <v/>
      </c>
      <c r="K1382" s="50" t="str">
        <f t="shared" si="109"/>
        <v/>
      </c>
      <c r="L1382" s="50" t="str">
        <f>IF(D1382="","",IF(COUNTIF(Paramètres!$A$11:$A$40,D1382)&gt;0,1,0))</f>
        <v/>
      </c>
    </row>
    <row r="1383" spans="1:12" hidden="1" x14ac:dyDescent="0.25">
      <c r="A1383" s="49"/>
      <c r="B1383" s="49"/>
      <c r="C1383" s="49"/>
      <c r="D1383" s="50" t="str">
        <f t="shared" si="105"/>
        <v/>
      </c>
      <c r="E1383" s="50" t="str">
        <f t="shared" si="106"/>
        <v/>
      </c>
      <c r="F1383" s="50" t="str">
        <f t="shared" si="107"/>
        <v/>
      </c>
      <c r="G1383" s="50" t="str">
        <f t="shared" si="108"/>
        <v/>
      </c>
      <c r="H1383" s="51" t="str">
        <f>IF($C1383="","",IFERROR(DATE(G1383,VLOOKUP(E1383,Paramètres!$K$11:$L$40,2,FALSE()),F1383),"?"))</f>
        <v/>
      </c>
      <c r="I1383" s="50" t="str">
        <f>IF(ISNUMBER(H1383),IF(COUNTIFS($D$2:D1383,D1383,$H$2:H1383,H1383)=1,1,0),"")</f>
        <v/>
      </c>
      <c r="J1383" s="50" t="str">
        <f>IF(ISNUMBER(H1383),IFERROR(INDEX(Calendrier!$C$2:$C$367,MATCH(H1383,Calendrier!$A$2:$A$367,0)),0),"")</f>
        <v/>
      </c>
      <c r="K1383" s="50" t="str">
        <f t="shared" si="109"/>
        <v/>
      </c>
      <c r="L1383" s="50" t="str">
        <f>IF(D1383="","",IF(COUNTIF(Paramètres!$A$11:$A$40,D1383)&gt;0,1,0))</f>
        <v/>
      </c>
    </row>
    <row r="1384" spans="1:12" hidden="1" x14ac:dyDescent="0.25">
      <c r="A1384" s="49"/>
      <c r="B1384" s="49"/>
      <c r="C1384" s="49"/>
      <c r="D1384" s="50" t="str">
        <f t="shared" si="105"/>
        <v/>
      </c>
      <c r="E1384" s="50" t="str">
        <f t="shared" si="106"/>
        <v/>
      </c>
      <c r="F1384" s="50" t="str">
        <f t="shared" si="107"/>
        <v/>
      </c>
      <c r="G1384" s="50" t="str">
        <f t="shared" si="108"/>
        <v/>
      </c>
      <c r="H1384" s="51" t="str">
        <f>IF($C1384="","",IFERROR(DATE(G1384,VLOOKUP(E1384,Paramètres!$K$11:$L$40,2,FALSE()),F1384),"?"))</f>
        <v/>
      </c>
      <c r="I1384" s="50" t="str">
        <f>IF(ISNUMBER(H1384),IF(COUNTIFS($D$2:D1384,D1384,$H$2:H1384,H1384)=1,1,0),"")</f>
        <v/>
      </c>
      <c r="J1384" s="50" t="str">
        <f>IF(ISNUMBER(H1384),IFERROR(INDEX(Calendrier!$C$2:$C$367,MATCH(H1384,Calendrier!$A$2:$A$367,0)),0),"")</f>
        <v/>
      </c>
      <c r="K1384" s="50" t="str">
        <f t="shared" si="109"/>
        <v/>
      </c>
      <c r="L1384" s="50" t="str">
        <f>IF(D1384="","",IF(COUNTIF(Paramètres!$A$11:$A$40,D1384)&gt;0,1,0))</f>
        <v/>
      </c>
    </row>
    <row r="1385" spans="1:12" hidden="1" x14ac:dyDescent="0.25">
      <c r="A1385" s="49"/>
      <c r="B1385" s="49"/>
      <c r="C1385" s="49"/>
      <c r="D1385" s="50" t="str">
        <f t="shared" si="105"/>
        <v/>
      </c>
      <c r="E1385" s="50" t="str">
        <f t="shared" si="106"/>
        <v/>
      </c>
      <c r="F1385" s="50" t="str">
        <f t="shared" si="107"/>
        <v/>
      </c>
      <c r="G1385" s="50" t="str">
        <f t="shared" si="108"/>
        <v/>
      </c>
      <c r="H1385" s="51" t="str">
        <f>IF($C1385="","",IFERROR(DATE(G1385,VLOOKUP(E1385,Paramètres!$K$11:$L$40,2,FALSE()),F1385),"?"))</f>
        <v/>
      </c>
      <c r="I1385" s="50" t="str">
        <f>IF(ISNUMBER(H1385),IF(COUNTIFS($D$2:D1385,D1385,$H$2:H1385,H1385)=1,1,0),"")</f>
        <v/>
      </c>
      <c r="J1385" s="50" t="str">
        <f>IF(ISNUMBER(H1385),IFERROR(INDEX(Calendrier!$C$2:$C$367,MATCH(H1385,Calendrier!$A$2:$A$367,0)),0),"")</f>
        <v/>
      </c>
      <c r="K1385" s="50" t="str">
        <f t="shared" si="109"/>
        <v/>
      </c>
      <c r="L1385" s="50" t="str">
        <f>IF(D1385="","",IF(COUNTIF(Paramètres!$A$11:$A$40,D1385)&gt;0,1,0))</f>
        <v/>
      </c>
    </row>
    <row r="1386" spans="1:12" hidden="1" x14ac:dyDescent="0.25">
      <c r="A1386" s="49"/>
      <c r="B1386" s="49"/>
      <c r="C1386" s="49"/>
      <c r="D1386" s="50" t="str">
        <f t="shared" si="105"/>
        <v/>
      </c>
      <c r="E1386" s="50" t="str">
        <f t="shared" si="106"/>
        <v/>
      </c>
      <c r="F1386" s="50" t="str">
        <f t="shared" si="107"/>
        <v/>
      </c>
      <c r="G1386" s="50" t="str">
        <f t="shared" si="108"/>
        <v/>
      </c>
      <c r="H1386" s="51" t="str">
        <f>IF($C1386="","",IFERROR(DATE(G1386,VLOOKUP(E1386,Paramètres!$K$11:$L$40,2,FALSE()),F1386),"?"))</f>
        <v/>
      </c>
      <c r="I1386" s="50" t="str">
        <f>IF(ISNUMBER(H1386),IF(COUNTIFS($D$2:D1386,D1386,$H$2:H1386,H1386)=1,1,0),"")</f>
        <v/>
      </c>
      <c r="J1386" s="50" t="str">
        <f>IF(ISNUMBER(H1386),IFERROR(INDEX(Calendrier!$C$2:$C$367,MATCH(H1386,Calendrier!$A$2:$A$367,0)),0),"")</f>
        <v/>
      </c>
      <c r="K1386" s="50" t="str">
        <f t="shared" si="109"/>
        <v/>
      </c>
      <c r="L1386" s="50" t="str">
        <f>IF(D1386="","",IF(COUNTIF(Paramètres!$A$11:$A$40,D1386)&gt;0,1,0))</f>
        <v/>
      </c>
    </row>
    <row r="1387" spans="1:12" hidden="1" x14ac:dyDescent="0.25">
      <c r="A1387" s="49"/>
      <c r="B1387" s="49"/>
      <c r="C1387" s="49"/>
      <c r="D1387" s="50" t="str">
        <f t="shared" si="105"/>
        <v/>
      </c>
      <c r="E1387" s="50" t="str">
        <f t="shared" si="106"/>
        <v/>
      </c>
      <c r="F1387" s="50" t="str">
        <f t="shared" si="107"/>
        <v/>
      </c>
      <c r="G1387" s="50" t="str">
        <f t="shared" si="108"/>
        <v/>
      </c>
      <c r="H1387" s="51" t="str">
        <f>IF($C1387="","",IFERROR(DATE(G1387,VLOOKUP(E1387,Paramètres!$K$11:$L$40,2,FALSE()),F1387),"?"))</f>
        <v/>
      </c>
      <c r="I1387" s="50" t="str">
        <f>IF(ISNUMBER(H1387),IF(COUNTIFS($D$2:D1387,D1387,$H$2:H1387,H1387)=1,1,0),"")</f>
        <v/>
      </c>
      <c r="J1387" s="50" t="str">
        <f>IF(ISNUMBER(H1387),IFERROR(INDEX(Calendrier!$C$2:$C$367,MATCH(H1387,Calendrier!$A$2:$A$367,0)),0),"")</f>
        <v/>
      </c>
      <c r="K1387" s="50" t="str">
        <f t="shared" si="109"/>
        <v/>
      </c>
      <c r="L1387" s="50" t="str">
        <f>IF(D1387="","",IF(COUNTIF(Paramètres!$A$11:$A$40,D1387)&gt;0,1,0))</f>
        <v/>
      </c>
    </row>
    <row r="1388" spans="1:12" hidden="1" x14ac:dyDescent="0.25">
      <c r="A1388" s="49"/>
      <c r="B1388" s="49"/>
      <c r="C1388" s="49"/>
      <c r="D1388" s="50" t="str">
        <f t="shared" si="105"/>
        <v/>
      </c>
      <c r="E1388" s="50" t="str">
        <f t="shared" si="106"/>
        <v/>
      </c>
      <c r="F1388" s="50" t="str">
        <f t="shared" si="107"/>
        <v/>
      </c>
      <c r="G1388" s="50" t="str">
        <f t="shared" si="108"/>
        <v/>
      </c>
      <c r="H1388" s="51" t="str">
        <f>IF($C1388="","",IFERROR(DATE(G1388,VLOOKUP(E1388,Paramètres!$K$11:$L$40,2,FALSE()),F1388),"?"))</f>
        <v/>
      </c>
      <c r="I1388" s="50" t="str">
        <f>IF(ISNUMBER(H1388),IF(COUNTIFS($D$2:D1388,D1388,$H$2:H1388,H1388)=1,1,0),"")</f>
        <v/>
      </c>
      <c r="J1388" s="50" t="str">
        <f>IF(ISNUMBER(H1388),IFERROR(INDEX(Calendrier!$C$2:$C$367,MATCH(H1388,Calendrier!$A$2:$A$367,0)),0),"")</f>
        <v/>
      </c>
      <c r="K1388" s="50" t="str">
        <f t="shared" si="109"/>
        <v/>
      </c>
      <c r="L1388" s="50" t="str">
        <f>IF(D1388="","",IF(COUNTIF(Paramètres!$A$11:$A$40,D1388)&gt;0,1,0))</f>
        <v/>
      </c>
    </row>
    <row r="1389" spans="1:12" hidden="1" x14ac:dyDescent="0.25">
      <c r="A1389" s="49"/>
      <c r="B1389" s="49"/>
      <c r="C1389" s="49"/>
      <c r="D1389" s="50" t="str">
        <f t="shared" si="105"/>
        <v/>
      </c>
      <c r="E1389" s="50" t="str">
        <f t="shared" si="106"/>
        <v/>
      </c>
      <c r="F1389" s="50" t="str">
        <f t="shared" si="107"/>
        <v/>
      </c>
      <c r="G1389" s="50" t="str">
        <f t="shared" si="108"/>
        <v/>
      </c>
      <c r="H1389" s="51" t="str">
        <f>IF($C1389="","",IFERROR(DATE(G1389,VLOOKUP(E1389,Paramètres!$K$11:$L$40,2,FALSE()),F1389),"?"))</f>
        <v/>
      </c>
      <c r="I1389" s="50" t="str">
        <f>IF(ISNUMBER(H1389),IF(COUNTIFS($D$2:D1389,D1389,$H$2:H1389,H1389)=1,1,0),"")</f>
        <v/>
      </c>
      <c r="J1389" s="50" t="str">
        <f>IF(ISNUMBER(H1389),IFERROR(INDEX(Calendrier!$C$2:$C$367,MATCH(H1389,Calendrier!$A$2:$A$367,0)),0),"")</f>
        <v/>
      </c>
      <c r="K1389" s="50" t="str">
        <f t="shared" si="109"/>
        <v/>
      </c>
      <c r="L1389" s="50" t="str">
        <f>IF(D1389="","",IF(COUNTIF(Paramètres!$A$11:$A$40,D1389)&gt;0,1,0))</f>
        <v/>
      </c>
    </row>
    <row r="1390" spans="1:12" hidden="1" x14ac:dyDescent="0.25">
      <c r="A1390" s="49"/>
      <c r="B1390" s="49"/>
      <c r="C1390" s="49"/>
      <c r="D1390" s="50" t="str">
        <f t="shared" si="105"/>
        <v/>
      </c>
      <c r="E1390" s="50" t="str">
        <f t="shared" si="106"/>
        <v/>
      </c>
      <c r="F1390" s="50" t="str">
        <f t="shared" si="107"/>
        <v/>
      </c>
      <c r="G1390" s="50" t="str">
        <f t="shared" si="108"/>
        <v/>
      </c>
      <c r="H1390" s="51" t="str">
        <f>IF($C1390="","",IFERROR(DATE(G1390,VLOOKUP(E1390,Paramètres!$K$11:$L$40,2,FALSE()),F1390),"?"))</f>
        <v/>
      </c>
      <c r="I1390" s="50" t="str">
        <f>IF(ISNUMBER(H1390),IF(COUNTIFS($D$2:D1390,D1390,$H$2:H1390,H1390)=1,1,0),"")</f>
        <v/>
      </c>
      <c r="J1390" s="50" t="str">
        <f>IF(ISNUMBER(H1390),IFERROR(INDEX(Calendrier!$C$2:$C$367,MATCH(H1390,Calendrier!$A$2:$A$367,0)),0),"")</f>
        <v/>
      </c>
      <c r="K1390" s="50" t="str">
        <f t="shared" si="109"/>
        <v/>
      </c>
      <c r="L1390" s="50" t="str">
        <f>IF(D1390="","",IF(COUNTIF(Paramètres!$A$11:$A$40,D1390)&gt;0,1,0))</f>
        <v/>
      </c>
    </row>
    <row r="1391" spans="1:12" hidden="1" x14ac:dyDescent="0.25">
      <c r="A1391" s="49"/>
      <c r="B1391" s="49"/>
      <c r="C1391" s="49"/>
      <c r="D1391" s="50" t="str">
        <f t="shared" si="105"/>
        <v/>
      </c>
      <c r="E1391" s="50" t="str">
        <f t="shared" si="106"/>
        <v/>
      </c>
      <c r="F1391" s="50" t="str">
        <f t="shared" si="107"/>
        <v/>
      </c>
      <c r="G1391" s="50" t="str">
        <f t="shared" si="108"/>
        <v/>
      </c>
      <c r="H1391" s="51" t="str">
        <f>IF($C1391="","",IFERROR(DATE(G1391,VLOOKUP(E1391,Paramètres!$K$11:$L$40,2,FALSE()),F1391),"?"))</f>
        <v/>
      </c>
      <c r="I1391" s="50" t="str">
        <f>IF(ISNUMBER(H1391),IF(COUNTIFS($D$2:D1391,D1391,$H$2:H1391,H1391)=1,1,0),"")</f>
        <v/>
      </c>
      <c r="J1391" s="50" t="str">
        <f>IF(ISNUMBER(H1391),IFERROR(INDEX(Calendrier!$C$2:$C$367,MATCH(H1391,Calendrier!$A$2:$A$367,0)),0),"")</f>
        <v/>
      </c>
      <c r="K1391" s="50" t="str">
        <f t="shared" si="109"/>
        <v/>
      </c>
      <c r="L1391" s="50" t="str">
        <f>IF(D1391="","",IF(COUNTIF(Paramètres!$A$11:$A$40,D1391)&gt;0,1,0))</f>
        <v/>
      </c>
    </row>
    <row r="1392" spans="1:12" hidden="1" x14ac:dyDescent="0.25">
      <c r="A1392" s="49"/>
      <c r="B1392" s="49"/>
      <c r="C1392" s="49"/>
      <c r="D1392" s="50" t="str">
        <f t="shared" si="105"/>
        <v/>
      </c>
      <c r="E1392" s="50" t="str">
        <f t="shared" si="106"/>
        <v/>
      </c>
      <c r="F1392" s="50" t="str">
        <f t="shared" si="107"/>
        <v/>
      </c>
      <c r="G1392" s="50" t="str">
        <f t="shared" si="108"/>
        <v/>
      </c>
      <c r="H1392" s="51" t="str">
        <f>IF($C1392="","",IFERROR(DATE(G1392,VLOOKUP(E1392,Paramètres!$K$11:$L$40,2,FALSE()),F1392),"?"))</f>
        <v/>
      </c>
      <c r="I1392" s="50" t="str">
        <f>IF(ISNUMBER(H1392),IF(COUNTIFS($D$2:D1392,D1392,$H$2:H1392,H1392)=1,1,0),"")</f>
        <v/>
      </c>
      <c r="J1392" s="50" t="str">
        <f>IF(ISNUMBER(H1392),IFERROR(INDEX(Calendrier!$C$2:$C$367,MATCH(H1392,Calendrier!$A$2:$A$367,0)),0),"")</f>
        <v/>
      </c>
      <c r="K1392" s="50" t="str">
        <f t="shared" si="109"/>
        <v/>
      </c>
      <c r="L1392" s="50" t="str">
        <f>IF(D1392="","",IF(COUNTIF(Paramètres!$A$11:$A$40,D1392)&gt;0,1,0))</f>
        <v/>
      </c>
    </row>
    <row r="1393" spans="1:12" hidden="1" x14ac:dyDescent="0.25">
      <c r="A1393" s="49"/>
      <c r="B1393" s="49"/>
      <c r="C1393" s="49"/>
      <c r="D1393" s="50" t="str">
        <f t="shared" si="105"/>
        <v/>
      </c>
      <c r="E1393" s="50" t="str">
        <f t="shared" si="106"/>
        <v/>
      </c>
      <c r="F1393" s="50" t="str">
        <f t="shared" si="107"/>
        <v/>
      </c>
      <c r="G1393" s="50" t="str">
        <f t="shared" si="108"/>
        <v/>
      </c>
      <c r="H1393" s="51" t="str">
        <f>IF($C1393="","",IFERROR(DATE(G1393,VLOOKUP(E1393,Paramètres!$K$11:$L$40,2,FALSE()),F1393),"?"))</f>
        <v/>
      </c>
      <c r="I1393" s="50" t="str">
        <f>IF(ISNUMBER(H1393),IF(COUNTIFS($D$2:D1393,D1393,$H$2:H1393,H1393)=1,1,0),"")</f>
        <v/>
      </c>
      <c r="J1393" s="50" t="str">
        <f>IF(ISNUMBER(H1393),IFERROR(INDEX(Calendrier!$C$2:$C$367,MATCH(H1393,Calendrier!$A$2:$A$367,0)),0),"")</f>
        <v/>
      </c>
      <c r="K1393" s="50" t="str">
        <f t="shared" si="109"/>
        <v/>
      </c>
      <c r="L1393" s="50" t="str">
        <f>IF(D1393="","",IF(COUNTIF(Paramètres!$A$11:$A$40,D1393)&gt;0,1,0))</f>
        <v/>
      </c>
    </row>
    <row r="1394" spans="1:12" hidden="1" x14ac:dyDescent="0.25">
      <c r="A1394" s="49"/>
      <c r="B1394" s="49"/>
      <c r="C1394" s="49"/>
      <c r="D1394" s="50" t="str">
        <f t="shared" si="105"/>
        <v/>
      </c>
      <c r="E1394" s="50" t="str">
        <f t="shared" si="106"/>
        <v/>
      </c>
      <c r="F1394" s="50" t="str">
        <f t="shared" si="107"/>
        <v/>
      </c>
      <c r="G1394" s="50" t="str">
        <f t="shared" si="108"/>
        <v/>
      </c>
      <c r="H1394" s="51" t="str">
        <f>IF($C1394="","",IFERROR(DATE(G1394,VLOOKUP(E1394,Paramètres!$K$11:$L$40,2,FALSE()),F1394),"?"))</f>
        <v/>
      </c>
      <c r="I1394" s="50" t="str">
        <f>IF(ISNUMBER(H1394),IF(COUNTIFS($D$2:D1394,D1394,$H$2:H1394,H1394)=1,1,0),"")</f>
        <v/>
      </c>
      <c r="J1394" s="50" t="str">
        <f>IF(ISNUMBER(H1394),IFERROR(INDEX(Calendrier!$C$2:$C$367,MATCH(H1394,Calendrier!$A$2:$A$367,0)),0),"")</f>
        <v/>
      </c>
      <c r="K1394" s="50" t="str">
        <f t="shared" si="109"/>
        <v/>
      </c>
      <c r="L1394" s="50" t="str">
        <f>IF(D1394="","",IF(COUNTIF(Paramètres!$A$11:$A$40,D1394)&gt;0,1,0))</f>
        <v/>
      </c>
    </row>
    <row r="1395" spans="1:12" hidden="1" x14ac:dyDescent="0.25">
      <c r="A1395" s="49"/>
      <c r="B1395" s="49"/>
      <c r="C1395" s="49"/>
      <c r="D1395" s="50" t="str">
        <f t="shared" si="105"/>
        <v/>
      </c>
      <c r="E1395" s="50" t="str">
        <f t="shared" si="106"/>
        <v/>
      </c>
      <c r="F1395" s="50" t="str">
        <f t="shared" si="107"/>
        <v/>
      </c>
      <c r="G1395" s="50" t="str">
        <f t="shared" si="108"/>
        <v/>
      </c>
      <c r="H1395" s="51" t="str">
        <f>IF($C1395="","",IFERROR(DATE(G1395,VLOOKUP(E1395,Paramètres!$K$11:$L$40,2,FALSE()),F1395),"?"))</f>
        <v/>
      </c>
      <c r="I1395" s="50" t="str">
        <f>IF(ISNUMBER(H1395),IF(COUNTIFS($D$2:D1395,D1395,$H$2:H1395,H1395)=1,1,0),"")</f>
        <v/>
      </c>
      <c r="J1395" s="50" t="str">
        <f>IF(ISNUMBER(H1395),IFERROR(INDEX(Calendrier!$C$2:$C$367,MATCH(H1395,Calendrier!$A$2:$A$367,0)),0),"")</f>
        <v/>
      </c>
      <c r="K1395" s="50" t="str">
        <f t="shared" si="109"/>
        <v/>
      </c>
      <c r="L1395" s="50" t="str">
        <f>IF(D1395="","",IF(COUNTIF(Paramètres!$A$11:$A$40,D1395)&gt;0,1,0))</f>
        <v/>
      </c>
    </row>
    <row r="1396" spans="1:12" hidden="1" x14ac:dyDescent="0.25">
      <c r="A1396" s="49"/>
      <c r="B1396" s="49"/>
      <c r="C1396" s="49"/>
      <c r="D1396" s="50" t="str">
        <f t="shared" si="105"/>
        <v/>
      </c>
      <c r="E1396" s="50" t="str">
        <f t="shared" si="106"/>
        <v/>
      </c>
      <c r="F1396" s="50" t="str">
        <f t="shared" si="107"/>
        <v/>
      </c>
      <c r="G1396" s="50" t="str">
        <f t="shared" si="108"/>
        <v/>
      </c>
      <c r="H1396" s="51" t="str">
        <f>IF($C1396="","",IFERROR(DATE(G1396,VLOOKUP(E1396,Paramètres!$K$11:$L$40,2,FALSE()),F1396),"?"))</f>
        <v/>
      </c>
      <c r="I1396" s="50" t="str">
        <f>IF(ISNUMBER(H1396),IF(COUNTIFS($D$2:D1396,D1396,$H$2:H1396,H1396)=1,1,0),"")</f>
        <v/>
      </c>
      <c r="J1396" s="50" t="str">
        <f>IF(ISNUMBER(H1396),IFERROR(INDEX(Calendrier!$C$2:$C$367,MATCH(H1396,Calendrier!$A$2:$A$367,0)),0),"")</f>
        <v/>
      </c>
      <c r="K1396" s="50" t="str">
        <f t="shared" si="109"/>
        <v/>
      </c>
      <c r="L1396" s="50" t="str">
        <f>IF(D1396="","",IF(COUNTIF(Paramètres!$A$11:$A$40,D1396)&gt;0,1,0))</f>
        <v/>
      </c>
    </row>
    <row r="1397" spans="1:12" hidden="1" x14ac:dyDescent="0.25">
      <c r="A1397" s="49"/>
      <c r="B1397" s="49"/>
      <c r="C1397" s="49"/>
      <c r="D1397" s="50" t="str">
        <f t="shared" si="105"/>
        <v/>
      </c>
      <c r="E1397" s="50" t="str">
        <f t="shared" si="106"/>
        <v/>
      </c>
      <c r="F1397" s="50" t="str">
        <f t="shared" si="107"/>
        <v/>
      </c>
      <c r="G1397" s="50" t="str">
        <f t="shared" si="108"/>
        <v/>
      </c>
      <c r="H1397" s="51" t="str">
        <f>IF($C1397="","",IFERROR(DATE(G1397,VLOOKUP(E1397,Paramètres!$K$11:$L$40,2,FALSE()),F1397),"?"))</f>
        <v/>
      </c>
      <c r="I1397" s="50" t="str">
        <f>IF(ISNUMBER(H1397),IF(COUNTIFS($D$2:D1397,D1397,$H$2:H1397,H1397)=1,1,0),"")</f>
        <v/>
      </c>
      <c r="J1397" s="50" t="str">
        <f>IF(ISNUMBER(H1397),IFERROR(INDEX(Calendrier!$C$2:$C$367,MATCH(H1397,Calendrier!$A$2:$A$367,0)),0),"")</f>
        <v/>
      </c>
      <c r="K1397" s="50" t="str">
        <f t="shared" si="109"/>
        <v/>
      </c>
      <c r="L1397" s="50" t="str">
        <f>IF(D1397="","",IF(COUNTIF(Paramètres!$A$11:$A$40,D1397)&gt;0,1,0))</f>
        <v/>
      </c>
    </row>
    <row r="1398" spans="1:12" hidden="1" x14ac:dyDescent="0.25">
      <c r="A1398" s="49"/>
      <c r="B1398" s="49"/>
      <c r="C1398" s="49"/>
      <c r="D1398" s="50" t="str">
        <f t="shared" si="105"/>
        <v/>
      </c>
      <c r="E1398" s="50" t="str">
        <f t="shared" si="106"/>
        <v/>
      </c>
      <c r="F1398" s="50" t="str">
        <f t="shared" si="107"/>
        <v/>
      </c>
      <c r="G1398" s="50" t="str">
        <f t="shared" si="108"/>
        <v/>
      </c>
      <c r="H1398" s="51" t="str">
        <f>IF($C1398="","",IFERROR(DATE(G1398,VLOOKUP(E1398,Paramètres!$K$11:$L$40,2,FALSE()),F1398),"?"))</f>
        <v/>
      </c>
      <c r="I1398" s="50" t="str">
        <f>IF(ISNUMBER(H1398),IF(COUNTIFS($D$2:D1398,D1398,$H$2:H1398,H1398)=1,1,0),"")</f>
        <v/>
      </c>
      <c r="J1398" s="50" t="str">
        <f>IF(ISNUMBER(H1398),IFERROR(INDEX(Calendrier!$C$2:$C$367,MATCH(H1398,Calendrier!$A$2:$A$367,0)),0),"")</f>
        <v/>
      </c>
      <c r="K1398" s="50" t="str">
        <f t="shared" si="109"/>
        <v/>
      </c>
      <c r="L1398" s="50" t="str">
        <f>IF(D1398="","",IF(COUNTIF(Paramètres!$A$11:$A$40,D1398)&gt;0,1,0))</f>
        <v/>
      </c>
    </row>
    <row r="1399" spans="1:12" hidden="1" x14ac:dyDescent="0.25">
      <c r="A1399" s="49"/>
      <c r="B1399" s="49"/>
      <c r="C1399" s="49"/>
      <c r="D1399" s="50" t="str">
        <f t="shared" si="105"/>
        <v/>
      </c>
      <c r="E1399" s="50" t="str">
        <f t="shared" si="106"/>
        <v/>
      </c>
      <c r="F1399" s="50" t="str">
        <f t="shared" si="107"/>
        <v/>
      </c>
      <c r="G1399" s="50" t="str">
        <f t="shared" si="108"/>
        <v/>
      </c>
      <c r="H1399" s="51" t="str">
        <f>IF($C1399="","",IFERROR(DATE(G1399,VLOOKUP(E1399,Paramètres!$K$11:$L$40,2,FALSE()),F1399),"?"))</f>
        <v/>
      </c>
      <c r="I1399" s="50" t="str">
        <f>IF(ISNUMBER(H1399),IF(COUNTIFS($D$2:D1399,D1399,$H$2:H1399,H1399)=1,1,0),"")</f>
        <v/>
      </c>
      <c r="J1399" s="50" t="str">
        <f>IF(ISNUMBER(H1399),IFERROR(INDEX(Calendrier!$C$2:$C$367,MATCH(H1399,Calendrier!$A$2:$A$367,0)),0),"")</f>
        <v/>
      </c>
      <c r="K1399" s="50" t="str">
        <f t="shared" si="109"/>
        <v/>
      </c>
      <c r="L1399" s="50" t="str">
        <f>IF(D1399="","",IF(COUNTIF(Paramètres!$A$11:$A$40,D1399)&gt;0,1,0))</f>
        <v/>
      </c>
    </row>
    <row r="1400" spans="1:12" hidden="1" x14ac:dyDescent="0.25">
      <c r="A1400" s="49"/>
      <c r="B1400" s="49"/>
      <c r="C1400" s="49"/>
      <c r="D1400" s="50" t="str">
        <f t="shared" si="105"/>
        <v/>
      </c>
      <c r="E1400" s="50" t="str">
        <f t="shared" si="106"/>
        <v/>
      </c>
      <c r="F1400" s="50" t="str">
        <f t="shared" si="107"/>
        <v/>
      </c>
      <c r="G1400" s="50" t="str">
        <f t="shared" si="108"/>
        <v/>
      </c>
      <c r="H1400" s="51" t="str">
        <f>IF($C1400="","",IFERROR(DATE(G1400,VLOOKUP(E1400,Paramètres!$K$11:$L$40,2,FALSE()),F1400),"?"))</f>
        <v/>
      </c>
      <c r="I1400" s="50" t="str">
        <f>IF(ISNUMBER(H1400),IF(COUNTIFS($D$2:D1400,D1400,$H$2:H1400,H1400)=1,1,0),"")</f>
        <v/>
      </c>
      <c r="J1400" s="50" t="str">
        <f>IF(ISNUMBER(H1400),IFERROR(INDEX(Calendrier!$C$2:$C$367,MATCH(H1400,Calendrier!$A$2:$A$367,0)),0),"")</f>
        <v/>
      </c>
      <c r="K1400" s="50" t="str">
        <f t="shared" si="109"/>
        <v/>
      </c>
      <c r="L1400" s="50" t="str">
        <f>IF(D1400="","",IF(COUNTIF(Paramètres!$A$11:$A$40,D1400)&gt;0,1,0))</f>
        <v/>
      </c>
    </row>
    <row r="1401" spans="1:12" hidden="1" x14ac:dyDescent="0.25">
      <c r="A1401" s="49"/>
      <c r="B1401" s="49"/>
      <c r="C1401" s="49"/>
      <c r="D1401" s="50" t="str">
        <f t="shared" si="105"/>
        <v/>
      </c>
      <c r="E1401" s="50" t="str">
        <f t="shared" si="106"/>
        <v/>
      </c>
      <c r="F1401" s="50" t="str">
        <f t="shared" si="107"/>
        <v/>
      </c>
      <c r="G1401" s="50" t="str">
        <f t="shared" si="108"/>
        <v/>
      </c>
      <c r="H1401" s="51" t="str">
        <f>IF($C1401="","",IFERROR(DATE(G1401,VLOOKUP(E1401,Paramètres!$K$11:$L$40,2,FALSE()),F1401),"?"))</f>
        <v/>
      </c>
      <c r="I1401" s="50" t="str">
        <f>IF(ISNUMBER(H1401),IF(COUNTIFS($D$2:D1401,D1401,$H$2:H1401,H1401)=1,1,0),"")</f>
        <v/>
      </c>
      <c r="J1401" s="50" t="str">
        <f>IF(ISNUMBER(H1401),IFERROR(INDEX(Calendrier!$C$2:$C$367,MATCH(H1401,Calendrier!$A$2:$A$367,0)),0),"")</f>
        <v/>
      </c>
      <c r="K1401" s="50" t="str">
        <f t="shared" si="109"/>
        <v/>
      </c>
      <c r="L1401" s="50" t="str">
        <f>IF(D1401="","",IF(COUNTIF(Paramètres!$A$11:$A$40,D1401)&gt;0,1,0))</f>
        <v/>
      </c>
    </row>
    <row r="1402" spans="1:12" hidden="1" x14ac:dyDescent="0.25">
      <c r="A1402" s="49"/>
      <c r="B1402" s="49"/>
      <c r="C1402" s="49"/>
      <c r="D1402" s="50" t="str">
        <f t="shared" si="105"/>
        <v/>
      </c>
      <c r="E1402" s="50" t="str">
        <f t="shared" si="106"/>
        <v/>
      </c>
      <c r="F1402" s="50" t="str">
        <f t="shared" si="107"/>
        <v/>
      </c>
      <c r="G1402" s="50" t="str">
        <f t="shared" si="108"/>
        <v/>
      </c>
      <c r="H1402" s="51" t="str">
        <f>IF($C1402="","",IFERROR(DATE(G1402,VLOOKUP(E1402,Paramètres!$K$11:$L$40,2,FALSE()),F1402),"?"))</f>
        <v/>
      </c>
      <c r="I1402" s="50" t="str">
        <f>IF(ISNUMBER(H1402),IF(COUNTIFS($D$2:D1402,D1402,$H$2:H1402,H1402)=1,1,0),"")</f>
        <v/>
      </c>
      <c r="J1402" s="50" t="str">
        <f>IF(ISNUMBER(H1402),IFERROR(INDEX(Calendrier!$C$2:$C$367,MATCH(H1402,Calendrier!$A$2:$A$367,0)),0),"")</f>
        <v/>
      </c>
      <c r="K1402" s="50" t="str">
        <f t="shared" si="109"/>
        <v/>
      </c>
      <c r="L1402" s="50" t="str">
        <f>IF(D1402="","",IF(COUNTIF(Paramètres!$A$11:$A$40,D1402)&gt;0,1,0))</f>
        <v/>
      </c>
    </row>
    <row r="1403" spans="1:12" hidden="1" x14ac:dyDescent="0.25">
      <c r="A1403" s="49"/>
      <c r="B1403" s="49"/>
      <c r="C1403" s="49"/>
      <c r="D1403" s="50" t="str">
        <f t="shared" si="105"/>
        <v/>
      </c>
      <c r="E1403" s="50" t="str">
        <f t="shared" si="106"/>
        <v/>
      </c>
      <c r="F1403" s="50" t="str">
        <f t="shared" si="107"/>
        <v/>
      </c>
      <c r="G1403" s="50" t="str">
        <f t="shared" si="108"/>
        <v/>
      </c>
      <c r="H1403" s="51" t="str">
        <f>IF($C1403="","",IFERROR(DATE(G1403,VLOOKUP(E1403,Paramètres!$K$11:$L$40,2,FALSE()),F1403),"?"))</f>
        <v/>
      </c>
      <c r="I1403" s="50" t="str">
        <f>IF(ISNUMBER(H1403),IF(COUNTIFS($D$2:D1403,D1403,$H$2:H1403,H1403)=1,1,0),"")</f>
        <v/>
      </c>
      <c r="J1403" s="50" t="str">
        <f>IF(ISNUMBER(H1403),IFERROR(INDEX(Calendrier!$C$2:$C$367,MATCH(H1403,Calendrier!$A$2:$A$367,0)),0),"")</f>
        <v/>
      </c>
      <c r="K1403" s="50" t="str">
        <f t="shared" si="109"/>
        <v/>
      </c>
      <c r="L1403" s="50" t="str">
        <f>IF(D1403="","",IF(COUNTIF(Paramètres!$A$11:$A$40,D1403)&gt;0,1,0))</f>
        <v/>
      </c>
    </row>
    <row r="1404" spans="1:12" hidden="1" x14ac:dyDescent="0.25">
      <c r="A1404" s="49"/>
      <c r="B1404" s="49"/>
      <c r="C1404" s="49"/>
      <c r="D1404" s="50" t="str">
        <f t="shared" si="105"/>
        <v/>
      </c>
      <c r="E1404" s="50" t="str">
        <f t="shared" si="106"/>
        <v/>
      </c>
      <c r="F1404" s="50" t="str">
        <f t="shared" si="107"/>
        <v/>
      </c>
      <c r="G1404" s="50" t="str">
        <f t="shared" si="108"/>
        <v/>
      </c>
      <c r="H1404" s="51" t="str">
        <f>IF($C1404="","",IFERROR(DATE(G1404,VLOOKUP(E1404,Paramètres!$K$11:$L$40,2,FALSE()),F1404),"?"))</f>
        <v/>
      </c>
      <c r="I1404" s="50" t="str">
        <f>IF(ISNUMBER(H1404),IF(COUNTIFS($D$2:D1404,D1404,$H$2:H1404,H1404)=1,1,0),"")</f>
        <v/>
      </c>
      <c r="J1404" s="50" t="str">
        <f>IF(ISNUMBER(H1404),IFERROR(INDEX(Calendrier!$C$2:$C$367,MATCH(H1404,Calendrier!$A$2:$A$367,0)),0),"")</f>
        <v/>
      </c>
      <c r="K1404" s="50" t="str">
        <f t="shared" si="109"/>
        <v/>
      </c>
      <c r="L1404" s="50" t="str">
        <f>IF(D1404="","",IF(COUNTIF(Paramètres!$A$11:$A$40,D1404)&gt;0,1,0))</f>
        <v/>
      </c>
    </row>
    <row r="1405" spans="1:12" hidden="1" x14ac:dyDescent="0.25">
      <c r="A1405" s="49"/>
      <c r="B1405" s="49"/>
      <c r="C1405" s="49"/>
      <c r="D1405" s="50" t="str">
        <f t="shared" si="105"/>
        <v/>
      </c>
      <c r="E1405" s="50" t="str">
        <f t="shared" si="106"/>
        <v/>
      </c>
      <c r="F1405" s="50" t="str">
        <f t="shared" si="107"/>
        <v/>
      </c>
      <c r="G1405" s="50" t="str">
        <f t="shared" si="108"/>
        <v/>
      </c>
      <c r="H1405" s="51" t="str">
        <f>IF($C1405="","",IFERROR(DATE(G1405,VLOOKUP(E1405,Paramètres!$K$11:$L$40,2,FALSE()),F1405),"?"))</f>
        <v/>
      </c>
      <c r="I1405" s="50" t="str">
        <f>IF(ISNUMBER(H1405),IF(COUNTIFS($D$2:D1405,D1405,$H$2:H1405,H1405)=1,1,0),"")</f>
        <v/>
      </c>
      <c r="J1405" s="50" t="str">
        <f>IF(ISNUMBER(H1405),IFERROR(INDEX(Calendrier!$C$2:$C$367,MATCH(H1405,Calendrier!$A$2:$A$367,0)),0),"")</f>
        <v/>
      </c>
      <c r="K1405" s="50" t="str">
        <f t="shared" si="109"/>
        <v/>
      </c>
      <c r="L1405" s="50" t="str">
        <f>IF(D1405="","",IF(COUNTIF(Paramètres!$A$11:$A$40,D1405)&gt;0,1,0))</f>
        <v/>
      </c>
    </row>
    <row r="1406" spans="1:12" hidden="1" x14ac:dyDescent="0.25">
      <c r="A1406" s="49"/>
      <c r="B1406" s="49"/>
      <c r="C1406" s="49"/>
      <c r="D1406" s="50" t="str">
        <f t="shared" si="105"/>
        <v/>
      </c>
      <c r="E1406" s="50" t="str">
        <f t="shared" si="106"/>
        <v/>
      </c>
      <c r="F1406" s="50" t="str">
        <f t="shared" si="107"/>
        <v/>
      </c>
      <c r="G1406" s="50" t="str">
        <f t="shared" si="108"/>
        <v/>
      </c>
      <c r="H1406" s="51" t="str">
        <f>IF($C1406="","",IFERROR(DATE(G1406,VLOOKUP(E1406,Paramètres!$K$11:$L$40,2,FALSE()),F1406),"?"))</f>
        <v/>
      </c>
      <c r="I1406" s="50" t="str">
        <f>IF(ISNUMBER(H1406),IF(COUNTIFS($D$2:D1406,D1406,$H$2:H1406,H1406)=1,1,0),"")</f>
        <v/>
      </c>
      <c r="J1406" s="50" t="str">
        <f>IF(ISNUMBER(H1406),IFERROR(INDEX(Calendrier!$C$2:$C$367,MATCH(H1406,Calendrier!$A$2:$A$367,0)),0),"")</f>
        <v/>
      </c>
      <c r="K1406" s="50" t="str">
        <f t="shared" si="109"/>
        <v/>
      </c>
      <c r="L1406" s="50" t="str">
        <f>IF(D1406="","",IF(COUNTIF(Paramètres!$A$11:$A$40,D1406)&gt;0,1,0))</f>
        <v/>
      </c>
    </row>
    <row r="1407" spans="1:12" hidden="1" x14ac:dyDescent="0.25">
      <c r="A1407" s="49"/>
      <c r="B1407" s="49"/>
      <c r="C1407" s="49"/>
      <c r="D1407" s="50" t="str">
        <f t="shared" si="105"/>
        <v/>
      </c>
      <c r="E1407" s="50" t="str">
        <f t="shared" si="106"/>
        <v/>
      </c>
      <c r="F1407" s="50" t="str">
        <f t="shared" si="107"/>
        <v/>
      </c>
      <c r="G1407" s="50" t="str">
        <f t="shared" si="108"/>
        <v/>
      </c>
      <c r="H1407" s="51" t="str">
        <f>IF($C1407="","",IFERROR(DATE(G1407,VLOOKUP(E1407,Paramètres!$K$11:$L$40,2,FALSE()),F1407),"?"))</f>
        <v/>
      </c>
      <c r="I1407" s="50" t="str">
        <f>IF(ISNUMBER(H1407),IF(COUNTIFS($D$2:D1407,D1407,$H$2:H1407,H1407)=1,1,0),"")</f>
        <v/>
      </c>
      <c r="J1407" s="50" t="str">
        <f>IF(ISNUMBER(H1407),IFERROR(INDEX(Calendrier!$C$2:$C$367,MATCH(H1407,Calendrier!$A$2:$A$367,0)),0),"")</f>
        <v/>
      </c>
      <c r="K1407" s="50" t="str">
        <f t="shared" si="109"/>
        <v/>
      </c>
      <c r="L1407" s="50" t="str">
        <f>IF(D1407="","",IF(COUNTIF(Paramètres!$A$11:$A$40,D1407)&gt;0,1,0))</f>
        <v/>
      </c>
    </row>
    <row r="1408" spans="1:12" hidden="1" x14ac:dyDescent="0.25">
      <c r="A1408" s="49"/>
      <c r="B1408" s="49"/>
      <c r="C1408" s="49"/>
      <c r="D1408" s="50" t="str">
        <f t="shared" si="105"/>
        <v/>
      </c>
      <c r="E1408" s="50" t="str">
        <f t="shared" si="106"/>
        <v/>
      </c>
      <c r="F1408" s="50" t="str">
        <f t="shared" si="107"/>
        <v/>
      </c>
      <c r="G1408" s="50" t="str">
        <f t="shared" si="108"/>
        <v/>
      </c>
      <c r="H1408" s="51" t="str">
        <f>IF($C1408="","",IFERROR(DATE(G1408,VLOOKUP(E1408,Paramètres!$K$11:$L$40,2,FALSE()),F1408),"?"))</f>
        <v/>
      </c>
      <c r="I1408" s="50" t="str">
        <f>IF(ISNUMBER(H1408),IF(COUNTIFS($D$2:D1408,D1408,$H$2:H1408,H1408)=1,1,0),"")</f>
        <v/>
      </c>
      <c r="J1408" s="50" t="str">
        <f>IF(ISNUMBER(H1408),IFERROR(INDEX(Calendrier!$C$2:$C$367,MATCH(H1408,Calendrier!$A$2:$A$367,0)),0),"")</f>
        <v/>
      </c>
      <c r="K1408" s="50" t="str">
        <f t="shared" si="109"/>
        <v/>
      </c>
      <c r="L1408" s="50" t="str">
        <f>IF(D1408="","",IF(COUNTIF(Paramètres!$A$11:$A$40,D1408)&gt;0,1,0))</f>
        <v/>
      </c>
    </row>
    <row r="1409" spans="1:12" hidden="1" x14ac:dyDescent="0.25">
      <c r="A1409" s="49"/>
      <c r="B1409" s="49"/>
      <c r="C1409" s="49"/>
      <c r="D1409" s="50" t="str">
        <f t="shared" si="105"/>
        <v/>
      </c>
      <c r="E1409" s="50" t="str">
        <f t="shared" si="106"/>
        <v/>
      </c>
      <c r="F1409" s="50" t="str">
        <f t="shared" si="107"/>
        <v/>
      </c>
      <c r="G1409" s="50" t="str">
        <f t="shared" si="108"/>
        <v/>
      </c>
      <c r="H1409" s="51" t="str">
        <f>IF($C1409="","",IFERROR(DATE(G1409,VLOOKUP(E1409,Paramètres!$K$11:$L$40,2,FALSE()),F1409),"?"))</f>
        <v/>
      </c>
      <c r="I1409" s="50" t="str">
        <f>IF(ISNUMBER(H1409),IF(COUNTIFS($D$2:D1409,D1409,$H$2:H1409,H1409)=1,1,0),"")</f>
        <v/>
      </c>
      <c r="J1409" s="50" t="str">
        <f>IF(ISNUMBER(H1409),IFERROR(INDEX(Calendrier!$C$2:$C$367,MATCH(H1409,Calendrier!$A$2:$A$367,0)),0),"")</f>
        <v/>
      </c>
      <c r="K1409" s="50" t="str">
        <f t="shared" si="109"/>
        <v/>
      </c>
      <c r="L1409" s="50" t="str">
        <f>IF(D1409="","",IF(COUNTIF(Paramètres!$A$11:$A$40,D1409)&gt;0,1,0))</f>
        <v/>
      </c>
    </row>
    <row r="1410" spans="1:12" hidden="1" x14ac:dyDescent="0.25">
      <c r="A1410" s="49"/>
      <c r="B1410" s="49"/>
      <c r="C1410" s="49"/>
      <c r="D1410" s="50" t="str">
        <f t="shared" ref="D1410:D1473" si="110">IF(B1410="","",TRIM(B1410))</f>
        <v/>
      </c>
      <c r="E1410" s="50" t="str">
        <f t="shared" ref="E1410:E1473" si="111">IF($C1410="","",LEFT($C1410,FIND(" ",$C1410)-1))</f>
        <v/>
      </c>
      <c r="F1410" s="50" t="str">
        <f t="shared" ref="F1410:F1473" si="112">IF($C1410="","",IFERROR(VALUE(LEFT(MID($C1410,FIND(" ",$C1410)+1,20),FIND(" ",MID($C1410,FIND(" ",$C1410)+1,20))-1)),"?"))</f>
        <v/>
      </c>
      <c r="G1410" s="50" t="str">
        <f t="shared" ref="G1410:G1473" si="113">IF($C1410="","",IFERROR(VALUE(MID(MID($C1410,FIND(" ",$C1410)+1,20),FIND(" ",MID($C1410,FIND(" ",$C1410)+1,20))+1,4)),"?"))</f>
        <v/>
      </c>
      <c r="H1410" s="51" t="str">
        <f>IF($C1410="","",IFERROR(DATE(G1410,VLOOKUP(E1410,Paramètres!$K$11:$L$40,2,FALSE()),F1410),"?"))</f>
        <v/>
      </c>
      <c r="I1410" s="50" t="str">
        <f>IF(ISNUMBER(H1410),IF(COUNTIFS($D$2:D1410,D1410,$H$2:H1410,H1410)=1,1,0),"")</f>
        <v/>
      </c>
      <c r="J1410" s="50" t="str">
        <f>IF(ISNUMBER(H1410),IFERROR(INDEX(Calendrier!$C$2:$C$367,MATCH(H1410,Calendrier!$A$2:$A$367,0)),0),"")</f>
        <v/>
      </c>
      <c r="K1410" s="50" t="str">
        <f t="shared" ref="K1410:K1473" si="114">IF(ISNUMBER(H1410),I1410*J1410,"")</f>
        <v/>
      </c>
      <c r="L1410" s="50" t="str">
        <f>IF(D1410="","",IF(COUNTIF(Paramètres!$A$11:$A$40,D1410)&gt;0,1,0))</f>
        <v/>
      </c>
    </row>
    <row r="1411" spans="1:12" hidden="1" x14ac:dyDescent="0.25">
      <c r="A1411" s="49"/>
      <c r="B1411" s="49"/>
      <c r="C1411" s="49"/>
      <c r="D1411" s="50" t="str">
        <f t="shared" si="110"/>
        <v/>
      </c>
      <c r="E1411" s="50" t="str">
        <f t="shared" si="111"/>
        <v/>
      </c>
      <c r="F1411" s="50" t="str">
        <f t="shared" si="112"/>
        <v/>
      </c>
      <c r="G1411" s="50" t="str">
        <f t="shared" si="113"/>
        <v/>
      </c>
      <c r="H1411" s="51" t="str">
        <f>IF($C1411="","",IFERROR(DATE(G1411,VLOOKUP(E1411,Paramètres!$K$11:$L$40,2,FALSE()),F1411),"?"))</f>
        <v/>
      </c>
      <c r="I1411" s="50" t="str">
        <f>IF(ISNUMBER(H1411),IF(COUNTIFS($D$2:D1411,D1411,$H$2:H1411,H1411)=1,1,0),"")</f>
        <v/>
      </c>
      <c r="J1411" s="50" t="str">
        <f>IF(ISNUMBER(H1411),IFERROR(INDEX(Calendrier!$C$2:$C$367,MATCH(H1411,Calendrier!$A$2:$A$367,0)),0),"")</f>
        <v/>
      </c>
      <c r="K1411" s="50" t="str">
        <f t="shared" si="114"/>
        <v/>
      </c>
      <c r="L1411" s="50" t="str">
        <f>IF(D1411="","",IF(COUNTIF(Paramètres!$A$11:$A$40,D1411)&gt;0,1,0))</f>
        <v/>
      </c>
    </row>
    <row r="1412" spans="1:12" hidden="1" x14ac:dyDescent="0.25">
      <c r="A1412" s="49"/>
      <c r="B1412" s="49"/>
      <c r="C1412" s="49"/>
      <c r="D1412" s="50" t="str">
        <f t="shared" si="110"/>
        <v/>
      </c>
      <c r="E1412" s="50" t="str">
        <f t="shared" si="111"/>
        <v/>
      </c>
      <c r="F1412" s="50" t="str">
        <f t="shared" si="112"/>
        <v/>
      </c>
      <c r="G1412" s="50" t="str">
        <f t="shared" si="113"/>
        <v/>
      </c>
      <c r="H1412" s="51" t="str">
        <f>IF($C1412="","",IFERROR(DATE(G1412,VLOOKUP(E1412,Paramètres!$K$11:$L$40,2,FALSE()),F1412),"?"))</f>
        <v/>
      </c>
      <c r="I1412" s="50" t="str">
        <f>IF(ISNUMBER(H1412),IF(COUNTIFS($D$2:D1412,D1412,$H$2:H1412,H1412)=1,1,0),"")</f>
        <v/>
      </c>
      <c r="J1412" s="50" t="str">
        <f>IF(ISNUMBER(H1412),IFERROR(INDEX(Calendrier!$C$2:$C$367,MATCH(H1412,Calendrier!$A$2:$A$367,0)),0),"")</f>
        <v/>
      </c>
      <c r="K1412" s="50" t="str">
        <f t="shared" si="114"/>
        <v/>
      </c>
      <c r="L1412" s="50" t="str">
        <f>IF(D1412="","",IF(COUNTIF(Paramètres!$A$11:$A$40,D1412)&gt;0,1,0))</f>
        <v/>
      </c>
    </row>
    <row r="1413" spans="1:12" hidden="1" x14ac:dyDescent="0.25">
      <c r="A1413" s="49"/>
      <c r="B1413" s="49"/>
      <c r="C1413" s="49"/>
      <c r="D1413" s="50" t="str">
        <f t="shared" si="110"/>
        <v/>
      </c>
      <c r="E1413" s="50" t="str">
        <f t="shared" si="111"/>
        <v/>
      </c>
      <c r="F1413" s="50" t="str">
        <f t="shared" si="112"/>
        <v/>
      </c>
      <c r="G1413" s="50" t="str">
        <f t="shared" si="113"/>
        <v/>
      </c>
      <c r="H1413" s="51" t="str">
        <f>IF($C1413="","",IFERROR(DATE(G1413,VLOOKUP(E1413,Paramètres!$K$11:$L$40,2,FALSE()),F1413),"?"))</f>
        <v/>
      </c>
      <c r="I1413" s="50" t="str">
        <f>IF(ISNUMBER(H1413),IF(COUNTIFS($D$2:D1413,D1413,$H$2:H1413,H1413)=1,1,0),"")</f>
        <v/>
      </c>
      <c r="J1413" s="50" t="str">
        <f>IF(ISNUMBER(H1413),IFERROR(INDEX(Calendrier!$C$2:$C$367,MATCH(H1413,Calendrier!$A$2:$A$367,0)),0),"")</f>
        <v/>
      </c>
      <c r="K1413" s="50" t="str">
        <f t="shared" si="114"/>
        <v/>
      </c>
      <c r="L1413" s="50" t="str">
        <f>IF(D1413="","",IF(COUNTIF(Paramètres!$A$11:$A$40,D1413)&gt;0,1,0))</f>
        <v/>
      </c>
    </row>
    <row r="1414" spans="1:12" hidden="1" x14ac:dyDescent="0.25">
      <c r="A1414" s="49"/>
      <c r="B1414" s="49"/>
      <c r="C1414" s="49"/>
      <c r="D1414" s="50" t="str">
        <f t="shared" si="110"/>
        <v/>
      </c>
      <c r="E1414" s="50" t="str">
        <f t="shared" si="111"/>
        <v/>
      </c>
      <c r="F1414" s="50" t="str">
        <f t="shared" si="112"/>
        <v/>
      </c>
      <c r="G1414" s="50" t="str">
        <f t="shared" si="113"/>
        <v/>
      </c>
      <c r="H1414" s="51" t="str">
        <f>IF($C1414="","",IFERROR(DATE(G1414,VLOOKUP(E1414,Paramètres!$K$11:$L$40,2,FALSE()),F1414),"?"))</f>
        <v/>
      </c>
      <c r="I1414" s="50" t="str">
        <f>IF(ISNUMBER(H1414),IF(COUNTIFS($D$2:D1414,D1414,$H$2:H1414,H1414)=1,1,0),"")</f>
        <v/>
      </c>
      <c r="J1414" s="50" t="str">
        <f>IF(ISNUMBER(H1414),IFERROR(INDEX(Calendrier!$C$2:$C$367,MATCH(H1414,Calendrier!$A$2:$A$367,0)),0),"")</f>
        <v/>
      </c>
      <c r="K1414" s="50" t="str">
        <f t="shared" si="114"/>
        <v/>
      </c>
      <c r="L1414" s="50" t="str">
        <f>IF(D1414="","",IF(COUNTIF(Paramètres!$A$11:$A$40,D1414)&gt;0,1,0))</f>
        <v/>
      </c>
    </row>
    <row r="1415" spans="1:12" hidden="1" x14ac:dyDescent="0.25">
      <c r="A1415" s="49"/>
      <c r="B1415" s="49"/>
      <c r="C1415" s="49"/>
      <c r="D1415" s="50" t="str">
        <f t="shared" si="110"/>
        <v/>
      </c>
      <c r="E1415" s="50" t="str">
        <f t="shared" si="111"/>
        <v/>
      </c>
      <c r="F1415" s="50" t="str">
        <f t="shared" si="112"/>
        <v/>
      </c>
      <c r="G1415" s="50" t="str">
        <f t="shared" si="113"/>
        <v/>
      </c>
      <c r="H1415" s="51" t="str">
        <f>IF($C1415="","",IFERROR(DATE(G1415,VLOOKUP(E1415,Paramètres!$K$11:$L$40,2,FALSE()),F1415),"?"))</f>
        <v/>
      </c>
      <c r="I1415" s="50" t="str">
        <f>IF(ISNUMBER(H1415),IF(COUNTIFS($D$2:D1415,D1415,$H$2:H1415,H1415)=1,1,0),"")</f>
        <v/>
      </c>
      <c r="J1415" s="50" t="str">
        <f>IF(ISNUMBER(H1415),IFERROR(INDEX(Calendrier!$C$2:$C$367,MATCH(H1415,Calendrier!$A$2:$A$367,0)),0),"")</f>
        <v/>
      </c>
      <c r="K1415" s="50" t="str">
        <f t="shared" si="114"/>
        <v/>
      </c>
      <c r="L1415" s="50" t="str">
        <f>IF(D1415="","",IF(COUNTIF(Paramètres!$A$11:$A$40,D1415)&gt;0,1,0))</f>
        <v/>
      </c>
    </row>
    <row r="1416" spans="1:12" hidden="1" x14ac:dyDescent="0.25">
      <c r="A1416" s="49"/>
      <c r="B1416" s="49"/>
      <c r="C1416" s="49"/>
      <c r="D1416" s="50" t="str">
        <f t="shared" si="110"/>
        <v/>
      </c>
      <c r="E1416" s="50" t="str">
        <f t="shared" si="111"/>
        <v/>
      </c>
      <c r="F1416" s="50" t="str">
        <f t="shared" si="112"/>
        <v/>
      </c>
      <c r="G1416" s="50" t="str">
        <f t="shared" si="113"/>
        <v/>
      </c>
      <c r="H1416" s="51" t="str">
        <f>IF($C1416="","",IFERROR(DATE(G1416,VLOOKUP(E1416,Paramètres!$K$11:$L$40,2,FALSE()),F1416),"?"))</f>
        <v/>
      </c>
      <c r="I1416" s="50" t="str">
        <f>IF(ISNUMBER(H1416),IF(COUNTIFS($D$2:D1416,D1416,$H$2:H1416,H1416)=1,1,0),"")</f>
        <v/>
      </c>
      <c r="J1416" s="50" t="str">
        <f>IF(ISNUMBER(H1416),IFERROR(INDEX(Calendrier!$C$2:$C$367,MATCH(H1416,Calendrier!$A$2:$A$367,0)),0),"")</f>
        <v/>
      </c>
      <c r="K1416" s="50" t="str">
        <f t="shared" si="114"/>
        <v/>
      </c>
      <c r="L1416" s="50" t="str">
        <f>IF(D1416="","",IF(COUNTIF(Paramètres!$A$11:$A$40,D1416)&gt;0,1,0))</f>
        <v/>
      </c>
    </row>
    <row r="1417" spans="1:12" hidden="1" x14ac:dyDescent="0.25">
      <c r="A1417" s="49"/>
      <c r="B1417" s="49"/>
      <c r="C1417" s="49"/>
      <c r="D1417" s="50" t="str">
        <f t="shared" si="110"/>
        <v/>
      </c>
      <c r="E1417" s="50" t="str">
        <f t="shared" si="111"/>
        <v/>
      </c>
      <c r="F1417" s="50" t="str">
        <f t="shared" si="112"/>
        <v/>
      </c>
      <c r="G1417" s="50" t="str">
        <f t="shared" si="113"/>
        <v/>
      </c>
      <c r="H1417" s="51" t="str">
        <f>IF($C1417="","",IFERROR(DATE(G1417,VLOOKUP(E1417,Paramètres!$K$11:$L$40,2,FALSE()),F1417),"?"))</f>
        <v/>
      </c>
      <c r="I1417" s="50" t="str">
        <f>IF(ISNUMBER(H1417),IF(COUNTIFS($D$2:D1417,D1417,$H$2:H1417,H1417)=1,1,0),"")</f>
        <v/>
      </c>
      <c r="J1417" s="50" t="str">
        <f>IF(ISNUMBER(H1417),IFERROR(INDEX(Calendrier!$C$2:$C$367,MATCH(H1417,Calendrier!$A$2:$A$367,0)),0),"")</f>
        <v/>
      </c>
      <c r="K1417" s="50" t="str">
        <f t="shared" si="114"/>
        <v/>
      </c>
      <c r="L1417" s="50" t="str">
        <f>IF(D1417="","",IF(COUNTIF(Paramètres!$A$11:$A$40,D1417)&gt;0,1,0))</f>
        <v/>
      </c>
    </row>
    <row r="1418" spans="1:12" hidden="1" x14ac:dyDescent="0.25">
      <c r="A1418" s="49"/>
      <c r="B1418" s="49"/>
      <c r="C1418" s="49"/>
      <c r="D1418" s="50" t="str">
        <f t="shared" si="110"/>
        <v/>
      </c>
      <c r="E1418" s="50" t="str">
        <f t="shared" si="111"/>
        <v/>
      </c>
      <c r="F1418" s="50" t="str">
        <f t="shared" si="112"/>
        <v/>
      </c>
      <c r="G1418" s="50" t="str">
        <f t="shared" si="113"/>
        <v/>
      </c>
      <c r="H1418" s="51" t="str">
        <f>IF($C1418="","",IFERROR(DATE(G1418,VLOOKUP(E1418,Paramètres!$K$11:$L$40,2,FALSE()),F1418),"?"))</f>
        <v/>
      </c>
      <c r="I1418" s="50" t="str">
        <f>IF(ISNUMBER(H1418),IF(COUNTIFS($D$2:D1418,D1418,$H$2:H1418,H1418)=1,1,0),"")</f>
        <v/>
      </c>
      <c r="J1418" s="50" t="str">
        <f>IF(ISNUMBER(H1418),IFERROR(INDEX(Calendrier!$C$2:$C$367,MATCH(H1418,Calendrier!$A$2:$A$367,0)),0),"")</f>
        <v/>
      </c>
      <c r="K1418" s="50" t="str">
        <f t="shared" si="114"/>
        <v/>
      </c>
      <c r="L1418" s="50" t="str">
        <f>IF(D1418="","",IF(COUNTIF(Paramètres!$A$11:$A$40,D1418)&gt;0,1,0))</f>
        <v/>
      </c>
    </row>
    <row r="1419" spans="1:12" hidden="1" x14ac:dyDescent="0.25">
      <c r="A1419" s="49"/>
      <c r="B1419" s="49"/>
      <c r="C1419" s="49"/>
      <c r="D1419" s="50" t="str">
        <f t="shared" si="110"/>
        <v/>
      </c>
      <c r="E1419" s="50" t="str">
        <f t="shared" si="111"/>
        <v/>
      </c>
      <c r="F1419" s="50" t="str">
        <f t="shared" si="112"/>
        <v/>
      </c>
      <c r="G1419" s="50" t="str">
        <f t="shared" si="113"/>
        <v/>
      </c>
      <c r="H1419" s="51" t="str">
        <f>IF($C1419="","",IFERROR(DATE(G1419,VLOOKUP(E1419,Paramètres!$K$11:$L$40,2,FALSE()),F1419),"?"))</f>
        <v/>
      </c>
      <c r="I1419" s="50" t="str">
        <f>IF(ISNUMBER(H1419),IF(COUNTIFS($D$2:D1419,D1419,$H$2:H1419,H1419)=1,1,0),"")</f>
        <v/>
      </c>
      <c r="J1419" s="50" t="str">
        <f>IF(ISNUMBER(H1419),IFERROR(INDEX(Calendrier!$C$2:$C$367,MATCH(H1419,Calendrier!$A$2:$A$367,0)),0),"")</f>
        <v/>
      </c>
      <c r="K1419" s="50" t="str">
        <f t="shared" si="114"/>
        <v/>
      </c>
      <c r="L1419" s="50" t="str">
        <f>IF(D1419="","",IF(COUNTIF(Paramètres!$A$11:$A$40,D1419)&gt;0,1,0))</f>
        <v/>
      </c>
    </row>
    <row r="1420" spans="1:12" hidden="1" x14ac:dyDescent="0.25">
      <c r="A1420" s="49"/>
      <c r="B1420" s="49"/>
      <c r="C1420" s="49"/>
      <c r="D1420" s="50" t="str">
        <f t="shared" si="110"/>
        <v/>
      </c>
      <c r="E1420" s="50" t="str">
        <f t="shared" si="111"/>
        <v/>
      </c>
      <c r="F1420" s="50" t="str">
        <f t="shared" si="112"/>
        <v/>
      </c>
      <c r="G1420" s="50" t="str">
        <f t="shared" si="113"/>
        <v/>
      </c>
      <c r="H1420" s="51" t="str">
        <f>IF($C1420="","",IFERROR(DATE(G1420,VLOOKUP(E1420,Paramètres!$K$11:$L$40,2,FALSE()),F1420),"?"))</f>
        <v/>
      </c>
      <c r="I1420" s="50" t="str">
        <f>IF(ISNUMBER(H1420),IF(COUNTIFS($D$2:D1420,D1420,$H$2:H1420,H1420)=1,1,0),"")</f>
        <v/>
      </c>
      <c r="J1420" s="50" t="str">
        <f>IF(ISNUMBER(H1420),IFERROR(INDEX(Calendrier!$C$2:$C$367,MATCH(H1420,Calendrier!$A$2:$A$367,0)),0),"")</f>
        <v/>
      </c>
      <c r="K1420" s="50" t="str">
        <f t="shared" si="114"/>
        <v/>
      </c>
      <c r="L1420" s="50" t="str">
        <f>IF(D1420="","",IF(COUNTIF(Paramètres!$A$11:$A$40,D1420)&gt;0,1,0))</f>
        <v/>
      </c>
    </row>
    <row r="1421" spans="1:12" hidden="1" x14ac:dyDescent="0.25">
      <c r="A1421" s="49"/>
      <c r="B1421" s="49"/>
      <c r="C1421" s="49"/>
      <c r="D1421" s="50" t="str">
        <f t="shared" si="110"/>
        <v/>
      </c>
      <c r="E1421" s="50" t="str">
        <f t="shared" si="111"/>
        <v/>
      </c>
      <c r="F1421" s="50" t="str">
        <f t="shared" si="112"/>
        <v/>
      </c>
      <c r="G1421" s="50" t="str">
        <f t="shared" si="113"/>
        <v/>
      </c>
      <c r="H1421" s="51" t="str">
        <f>IF($C1421="","",IFERROR(DATE(G1421,VLOOKUP(E1421,Paramètres!$K$11:$L$40,2,FALSE()),F1421),"?"))</f>
        <v/>
      </c>
      <c r="I1421" s="50" t="str">
        <f>IF(ISNUMBER(H1421),IF(COUNTIFS($D$2:D1421,D1421,$H$2:H1421,H1421)=1,1,0),"")</f>
        <v/>
      </c>
      <c r="J1421" s="50" t="str">
        <f>IF(ISNUMBER(H1421),IFERROR(INDEX(Calendrier!$C$2:$C$367,MATCH(H1421,Calendrier!$A$2:$A$367,0)),0),"")</f>
        <v/>
      </c>
      <c r="K1421" s="50" t="str">
        <f t="shared" si="114"/>
        <v/>
      </c>
      <c r="L1421" s="50" t="str">
        <f>IF(D1421="","",IF(COUNTIF(Paramètres!$A$11:$A$40,D1421)&gt;0,1,0))</f>
        <v/>
      </c>
    </row>
    <row r="1422" spans="1:12" hidden="1" x14ac:dyDescent="0.25">
      <c r="A1422" s="49"/>
      <c r="B1422" s="49"/>
      <c r="C1422" s="49"/>
      <c r="D1422" s="50" t="str">
        <f t="shared" si="110"/>
        <v/>
      </c>
      <c r="E1422" s="50" t="str">
        <f t="shared" si="111"/>
        <v/>
      </c>
      <c r="F1422" s="50" t="str">
        <f t="shared" si="112"/>
        <v/>
      </c>
      <c r="G1422" s="50" t="str">
        <f t="shared" si="113"/>
        <v/>
      </c>
      <c r="H1422" s="51" t="str">
        <f>IF($C1422="","",IFERROR(DATE(G1422,VLOOKUP(E1422,Paramètres!$K$11:$L$40,2,FALSE()),F1422),"?"))</f>
        <v/>
      </c>
      <c r="I1422" s="50" t="str">
        <f>IF(ISNUMBER(H1422),IF(COUNTIFS($D$2:D1422,D1422,$H$2:H1422,H1422)=1,1,0),"")</f>
        <v/>
      </c>
      <c r="J1422" s="50" t="str">
        <f>IF(ISNUMBER(H1422),IFERROR(INDEX(Calendrier!$C$2:$C$367,MATCH(H1422,Calendrier!$A$2:$A$367,0)),0),"")</f>
        <v/>
      </c>
      <c r="K1422" s="50" t="str">
        <f t="shared" si="114"/>
        <v/>
      </c>
      <c r="L1422" s="50" t="str">
        <f>IF(D1422="","",IF(COUNTIF(Paramètres!$A$11:$A$40,D1422)&gt;0,1,0))</f>
        <v/>
      </c>
    </row>
    <row r="1423" spans="1:12" hidden="1" x14ac:dyDescent="0.25">
      <c r="A1423" s="49"/>
      <c r="B1423" s="49"/>
      <c r="C1423" s="49"/>
      <c r="D1423" s="50" t="str">
        <f t="shared" si="110"/>
        <v/>
      </c>
      <c r="E1423" s="50" t="str">
        <f t="shared" si="111"/>
        <v/>
      </c>
      <c r="F1423" s="50" t="str">
        <f t="shared" si="112"/>
        <v/>
      </c>
      <c r="G1423" s="50" t="str">
        <f t="shared" si="113"/>
        <v/>
      </c>
      <c r="H1423" s="51" t="str">
        <f>IF($C1423="","",IFERROR(DATE(G1423,VLOOKUP(E1423,Paramètres!$K$11:$L$40,2,FALSE()),F1423),"?"))</f>
        <v/>
      </c>
      <c r="I1423" s="50" t="str">
        <f>IF(ISNUMBER(H1423),IF(COUNTIFS($D$2:D1423,D1423,$H$2:H1423,H1423)=1,1,0),"")</f>
        <v/>
      </c>
      <c r="J1423" s="50" t="str">
        <f>IF(ISNUMBER(H1423),IFERROR(INDEX(Calendrier!$C$2:$C$367,MATCH(H1423,Calendrier!$A$2:$A$367,0)),0),"")</f>
        <v/>
      </c>
      <c r="K1423" s="50" t="str">
        <f t="shared" si="114"/>
        <v/>
      </c>
      <c r="L1423" s="50" t="str">
        <f>IF(D1423="","",IF(COUNTIF(Paramètres!$A$11:$A$40,D1423)&gt;0,1,0))</f>
        <v/>
      </c>
    </row>
    <row r="1424" spans="1:12" hidden="1" x14ac:dyDescent="0.25">
      <c r="A1424" s="49"/>
      <c r="B1424" s="49"/>
      <c r="C1424" s="49"/>
      <c r="D1424" s="50" t="str">
        <f t="shared" si="110"/>
        <v/>
      </c>
      <c r="E1424" s="50" t="str">
        <f t="shared" si="111"/>
        <v/>
      </c>
      <c r="F1424" s="50" t="str">
        <f t="shared" si="112"/>
        <v/>
      </c>
      <c r="G1424" s="50" t="str">
        <f t="shared" si="113"/>
        <v/>
      </c>
      <c r="H1424" s="51" t="str">
        <f>IF($C1424="","",IFERROR(DATE(G1424,VLOOKUP(E1424,Paramètres!$K$11:$L$40,2,FALSE()),F1424),"?"))</f>
        <v/>
      </c>
      <c r="I1424" s="50" t="str">
        <f>IF(ISNUMBER(H1424),IF(COUNTIFS($D$2:D1424,D1424,$H$2:H1424,H1424)=1,1,0),"")</f>
        <v/>
      </c>
      <c r="J1424" s="50" t="str">
        <f>IF(ISNUMBER(H1424),IFERROR(INDEX(Calendrier!$C$2:$C$367,MATCH(H1424,Calendrier!$A$2:$A$367,0)),0),"")</f>
        <v/>
      </c>
      <c r="K1424" s="50" t="str">
        <f t="shared" si="114"/>
        <v/>
      </c>
      <c r="L1424" s="50" t="str">
        <f>IF(D1424="","",IF(COUNTIF(Paramètres!$A$11:$A$40,D1424)&gt;0,1,0))</f>
        <v/>
      </c>
    </row>
    <row r="1425" spans="1:12" hidden="1" x14ac:dyDescent="0.25">
      <c r="A1425" s="49"/>
      <c r="B1425" s="49"/>
      <c r="C1425" s="49"/>
      <c r="D1425" s="50" t="str">
        <f t="shared" si="110"/>
        <v/>
      </c>
      <c r="E1425" s="50" t="str">
        <f t="shared" si="111"/>
        <v/>
      </c>
      <c r="F1425" s="50" t="str">
        <f t="shared" si="112"/>
        <v/>
      </c>
      <c r="G1425" s="50" t="str">
        <f t="shared" si="113"/>
        <v/>
      </c>
      <c r="H1425" s="51" t="str">
        <f>IF($C1425="","",IFERROR(DATE(G1425,VLOOKUP(E1425,Paramètres!$K$11:$L$40,2,FALSE()),F1425),"?"))</f>
        <v/>
      </c>
      <c r="I1425" s="50" t="str">
        <f>IF(ISNUMBER(H1425),IF(COUNTIFS($D$2:D1425,D1425,$H$2:H1425,H1425)=1,1,0),"")</f>
        <v/>
      </c>
      <c r="J1425" s="50" t="str">
        <f>IF(ISNUMBER(H1425),IFERROR(INDEX(Calendrier!$C$2:$C$367,MATCH(H1425,Calendrier!$A$2:$A$367,0)),0),"")</f>
        <v/>
      </c>
      <c r="K1425" s="50" t="str">
        <f t="shared" si="114"/>
        <v/>
      </c>
      <c r="L1425" s="50" t="str">
        <f>IF(D1425="","",IF(COUNTIF(Paramètres!$A$11:$A$40,D1425)&gt;0,1,0))</f>
        <v/>
      </c>
    </row>
    <row r="1426" spans="1:12" hidden="1" x14ac:dyDescent="0.25">
      <c r="A1426" s="49"/>
      <c r="B1426" s="49"/>
      <c r="C1426" s="49"/>
      <c r="D1426" s="50" t="str">
        <f t="shared" si="110"/>
        <v/>
      </c>
      <c r="E1426" s="50" t="str">
        <f t="shared" si="111"/>
        <v/>
      </c>
      <c r="F1426" s="50" t="str">
        <f t="shared" si="112"/>
        <v/>
      </c>
      <c r="G1426" s="50" t="str">
        <f t="shared" si="113"/>
        <v/>
      </c>
      <c r="H1426" s="51" t="str">
        <f>IF($C1426="","",IFERROR(DATE(G1426,VLOOKUP(E1426,Paramètres!$K$11:$L$40,2,FALSE()),F1426),"?"))</f>
        <v/>
      </c>
      <c r="I1426" s="50" t="str">
        <f>IF(ISNUMBER(H1426),IF(COUNTIFS($D$2:D1426,D1426,$H$2:H1426,H1426)=1,1,0),"")</f>
        <v/>
      </c>
      <c r="J1426" s="50" t="str">
        <f>IF(ISNUMBER(H1426),IFERROR(INDEX(Calendrier!$C$2:$C$367,MATCH(H1426,Calendrier!$A$2:$A$367,0)),0),"")</f>
        <v/>
      </c>
      <c r="K1426" s="50" t="str">
        <f t="shared" si="114"/>
        <v/>
      </c>
      <c r="L1426" s="50" t="str">
        <f>IF(D1426="","",IF(COUNTIF(Paramètres!$A$11:$A$40,D1426)&gt;0,1,0))</f>
        <v/>
      </c>
    </row>
    <row r="1427" spans="1:12" hidden="1" x14ac:dyDescent="0.25">
      <c r="A1427" s="49"/>
      <c r="B1427" s="49"/>
      <c r="C1427" s="49"/>
      <c r="D1427" s="50" t="str">
        <f t="shared" si="110"/>
        <v/>
      </c>
      <c r="E1427" s="50" t="str">
        <f t="shared" si="111"/>
        <v/>
      </c>
      <c r="F1427" s="50" t="str">
        <f t="shared" si="112"/>
        <v/>
      </c>
      <c r="G1427" s="50" t="str">
        <f t="shared" si="113"/>
        <v/>
      </c>
      <c r="H1427" s="51" t="str">
        <f>IF($C1427="","",IFERROR(DATE(G1427,VLOOKUP(E1427,Paramètres!$K$11:$L$40,2,FALSE()),F1427),"?"))</f>
        <v/>
      </c>
      <c r="I1427" s="50" t="str">
        <f>IF(ISNUMBER(H1427),IF(COUNTIFS($D$2:D1427,D1427,$H$2:H1427,H1427)=1,1,0),"")</f>
        <v/>
      </c>
      <c r="J1427" s="50" t="str">
        <f>IF(ISNUMBER(H1427),IFERROR(INDEX(Calendrier!$C$2:$C$367,MATCH(H1427,Calendrier!$A$2:$A$367,0)),0),"")</f>
        <v/>
      </c>
      <c r="K1427" s="50" t="str">
        <f t="shared" si="114"/>
        <v/>
      </c>
      <c r="L1427" s="50" t="str">
        <f>IF(D1427="","",IF(COUNTIF(Paramètres!$A$11:$A$40,D1427)&gt;0,1,0))</f>
        <v/>
      </c>
    </row>
    <row r="1428" spans="1:12" hidden="1" x14ac:dyDescent="0.25">
      <c r="A1428" s="49"/>
      <c r="B1428" s="49"/>
      <c r="C1428" s="49"/>
      <c r="D1428" s="50" t="str">
        <f t="shared" si="110"/>
        <v/>
      </c>
      <c r="E1428" s="50" t="str">
        <f t="shared" si="111"/>
        <v/>
      </c>
      <c r="F1428" s="50" t="str">
        <f t="shared" si="112"/>
        <v/>
      </c>
      <c r="G1428" s="50" t="str">
        <f t="shared" si="113"/>
        <v/>
      </c>
      <c r="H1428" s="51" t="str">
        <f>IF($C1428="","",IFERROR(DATE(G1428,VLOOKUP(E1428,Paramètres!$K$11:$L$40,2,FALSE()),F1428),"?"))</f>
        <v/>
      </c>
      <c r="I1428" s="50" t="str">
        <f>IF(ISNUMBER(H1428),IF(COUNTIFS($D$2:D1428,D1428,$H$2:H1428,H1428)=1,1,0),"")</f>
        <v/>
      </c>
      <c r="J1428" s="50" t="str">
        <f>IF(ISNUMBER(H1428),IFERROR(INDEX(Calendrier!$C$2:$C$367,MATCH(H1428,Calendrier!$A$2:$A$367,0)),0),"")</f>
        <v/>
      </c>
      <c r="K1428" s="50" t="str">
        <f t="shared" si="114"/>
        <v/>
      </c>
      <c r="L1428" s="50" t="str">
        <f>IF(D1428="","",IF(COUNTIF(Paramètres!$A$11:$A$40,D1428)&gt;0,1,0))</f>
        <v/>
      </c>
    </row>
    <row r="1429" spans="1:12" hidden="1" x14ac:dyDescent="0.25">
      <c r="A1429" s="49"/>
      <c r="B1429" s="49"/>
      <c r="C1429" s="49"/>
      <c r="D1429" s="50" t="str">
        <f t="shared" si="110"/>
        <v/>
      </c>
      <c r="E1429" s="50" t="str">
        <f t="shared" si="111"/>
        <v/>
      </c>
      <c r="F1429" s="50" t="str">
        <f t="shared" si="112"/>
        <v/>
      </c>
      <c r="G1429" s="50" t="str">
        <f t="shared" si="113"/>
        <v/>
      </c>
      <c r="H1429" s="51" t="str">
        <f>IF($C1429="","",IFERROR(DATE(G1429,VLOOKUP(E1429,Paramètres!$K$11:$L$40,2,FALSE()),F1429),"?"))</f>
        <v/>
      </c>
      <c r="I1429" s="50" t="str">
        <f>IF(ISNUMBER(H1429),IF(COUNTIFS($D$2:D1429,D1429,$H$2:H1429,H1429)=1,1,0),"")</f>
        <v/>
      </c>
      <c r="J1429" s="50" t="str">
        <f>IF(ISNUMBER(H1429),IFERROR(INDEX(Calendrier!$C$2:$C$367,MATCH(H1429,Calendrier!$A$2:$A$367,0)),0),"")</f>
        <v/>
      </c>
      <c r="K1429" s="50" t="str">
        <f t="shared" si="114"/>
        <v/>
      </c>
      <c r="L1429" s="50" t="str">
        <f>IF(D1429="","",IF(COUNTIF(Paramètres!$A$11:$A$40,D1429)&gt;0,1,0))</f>
        <v/>
      </c>
    </row>
    <row r="1430" spans="1:12" hidden="1" x14ac:dyDescent="0.25">
      <c r="A1430" s="49"/>
      <c r="B1430" s="49"/>
      <c r="C1430" s="49"/>
      <c r="D1430" s="50" t="str">
        <f t="shared" si="110"/>
        <v/>
      </c>
      <c r="E1430" s="50" t="str">
        <f t="shared" si="111"/>
        <v/>
      </c>
      <c r="F1430" s="50" t="str">
        <f t="shared" si="112"/>
        <v/>
      </c>
      <c r="G1430" s="50" t="str">
        <f t="shared" si="113"/>
        <v/>
      </c>
      <c r="H1430" s="51" t="str">
        <f>IF($C1430="","",IFERROR(DATE(G1430,VLOOKUP(E1430,Paramètres!$K$11:$L$40,2,FALSE()),F1430),"?"))</f>
        <v/>
      </c>
      <c r="I1430" s="50" t="str">
        <f>IF(ISNUMBER(H1430),IF(COUNTIFS($D$2:D1430,D1430,$H$2:H1430,H1430)=1,1,0),"")</f>
        <v/>
      </c>
      <c r="J1430" s="50" t="str">
        <f>IF(ISNUMBER(H1430),IFERROR(INDEX(Calendrier!$C$2:$C$367,MATCH(H1430,Calendrier!$A$2:$A$367,0)),0),"")</f>
        <v/>
      </c>
      <c r="K1430" s="50" t="str">
        <f t="shared" si="114"/>
        <v/>
      </c>
      <c r="L1430" s="50" t="str">
        <f>IF(D1430="","",IF(COUNTIF(Paramètres!$A$11:$A$40,D1430)&gt;0,1,0))</f>
        <v/>
      </c>
    </row>
    <row r="1431" spans="1:12" hidden="1" x14ac:dyDescent="0.25">
      <c r="A1431" s="49"/>
      <c r="B1431" s="49"/>
      <c r="C1431" s="49"/>
      <c r="D1431" s="50" t="str">
        <f t="shared" si="110"/>
        <v/>
      </c>
      <c r="E1431" s="50" t="str">
        <f t="shared" si="111"/>
        <v/>
      </c>
      <c r="F1431" s="50" t="str">
        <f t="shared" si="112"/>
        <v/>
      </c>
      <c r="G1431" s="50" t="str">
        <f t="shared" si="113"/>
        <v/>
      </c>
      <c r="H1431" s="51" t="str">
        <f>IF($C1431="","",IFERROR(DATE(G1431,VLOOKUP(E1431,Paramètres!$K$11:$L$40,2,FALSE()),F1431),"?"))</f>
        <v/>
      </c>
      <c r="I1431" s="50" t="str">
        <f>IF(ISNUMBER(H1431),IF(COUNTIFS($D$2:D1431,D1431,$H$2:H1431,H1431)=1,1,0),"")</f>
        <v/>
      </c>
      <c r="J1431" s="50" t="str">
        <f>IF(ISNUMBER(H1431),IFERROR(INDEX(Calendrier!$C$2:$C$367,MATCH(H1431,Calendrier!$A$2:$A$367,0)),0),"")</f>
        <v/>
      </c>
      <c r="K1431" s="50" t="str">
        <f t="shared" si="114"/>
        <v/>
      </c>
      <c r="L1431" s="50" t="str">
        <f>IF(D1431="","",IF(COUNTIF(Paramètres!$A$11:$A$40,D1431)&gt;0,1,0))</f>
        <v/>
      </c>
    </row>
    <row r="1432" spans="1:12" hidden="1" x14ac:dyDescent="0.25">
      <c r="A1432" s="49"/>
      <c r="B1432" s="49"/>
      <c r="C1432" s="49"/>
      <c r="D1432" s="50" t="str">
        <f t="shared" si="110"/>
        <v/>
      </c>
      <c r="E1432" s="50" t="str">
        <f t="shared" si="111"/>
        <v/>
      </c>
      <c r="F1432" s="50" t="str">
        <f t="shared" si="112"/>
        <v/>
      </c>
      <c r="G1432" s="50" t="str">
        <f t="shared" si="113"/>
        <v/>
      </c>
      <c r="H1432" s="51" t="str">
        <f>IF($C1432="","",IFERROR(DATE(G1432,VLOOKUP(E1432,Paramètres!$K$11:$L$40,2,FALSE()),F1432),"?"))</f>
        <v/>
      </c>
      <c r="I1432" s="50" t="str">
        <f>IF(ISNUMBER(H1432),IF(COUNTIFS($D$2:D1432,D1432,$H$2:H1432,H1432)=1,1,0),"")</f>
        <v/>
      </c>
      <c r="J1432" s="50" t="str">
        <f>IF(ISNUMBER(H1432),IFERROR(INDEX(Calendrier!$C$2:$C$367,MATCH(H1432,Calendrier!$A$2:$A$367,0)),0),"")</f>
        <v/>
      </c>
      <c r="K1432" s="50" t="str">
        <f t="shared" si="114"/>
        <v/>
      </c>
      <c r="L1432" s="50" t="str">
        <f>IF(D1432="","",IF(COUNTIF(Paramètres!$A$11:$A$40,D1432)&gt;0,1,0))</f>
        <v/>
      </c>
    </row>
    <row r="1433" spans="1:12" hidden="1" x14ac:dyDescent="0.25">
      <c r="A1433" s="49"/>
      <c r="B1433" s="49"/>
      <c r="C1433" s="49"/>
      <c r="D1433" s="50" t="str">
        <f t="shared" si="110"/>
        <v/>
      </c>
      <c r="E1433" s="50" t="str">
        <f t="shared" si="111"/>
        <v/>
      </c>
      <c r="F1433" s="50" t="str">
        <f t="shared" si="112"/>
        <v/>
      </c>
      <c r="G1433" s="50" t="str">
        <f t="shared" si="113"/>
        <v/>
      </c>
      <c r="H1433" s="51" t="str">
        <f>IF($C1433="","",IFERROR(DATE(G1433,VLOOKUP(E1433,Paramètres!$K$11:$L$40,2,FALSE()),F1433),"?"))</f>
        <v/>
      </c>
      <c r="I1433" s="50" t="str">
        <f>IF(ISNUMBER(H1433),IF(COUNTIFS($D$2:D1433,D1433,$H$2:H1433,H1433)=1,1,0),"")</f>
        <v/>
      </c>
      <c r="J1433" s="50" t="str">
        <f>IF(ISNUMBER(H1433),IFERROR(INDEX(Calendrier!$C$2:$C$367,MATCH(H1433,Calendrier!$A$2:$A$367,0)),0),"")</f>
        <v/>
      </c>
      <c r="K1433" s="50" t="str">
        <f t="shared" si="114"/>
        <v/>
      </c>
      <c r="L1433" s="50" t="str">
        <f>IF(D1433="","",IF(COUNTIF(Paramètres!$A$11:$A$40,D1433)&gt;0,1,0))</f>
        <v/>
      </c>
    </row>
    <row r="1434" spans="1:12" hidden="1" x14ac:dyDescent="0.25">
      <c r="A1434" s="49"/>
      <c r="B1434" s="49"/>
      <c r="C1434" s="49"/>
      <c r="D1434" s="50" t="str">
        <f t="shared" si="110"/>
        <v/>
      </c>
      <c r="E1434" s="50" t="str">
        <f t="shared" si="111"/>
        <v/>
      </c>
      <c r="F1434" s="50" t="str">
        <f t="shared" si="112"/>
        <v/>
      </c>
      <c r="G1434" s="50" t="str">
        <f t="shared" si="113"/>
        <v/>
      </c>
      <c r="H1434" s="51" t="str">
        <f>IF($C1434="","",IFERROR(DATE(G1434,VLOOKUP(E1434,Paramètres!$K$11:$L$40,2,FALSE()),F1434),"?"))</f>
        <v/>
      </c>
      <c r="I1434" s="50" t="str">
        <f>IF(ISNUMBER(H1434),IF(COUNTIFS($D$2:D1434,D1434,$H$2:H1434,H1434)=1,1,0),"")</f>
        <v/>
      </c>
      <c r="J1434" s="50" t="str">
        <f>IF(ISNUMBER(H1434),IFERROR(INDEX(Calendrier!$C$2:$C$367,MATCH(H1434,Calendrier!$A$2:$A$367,0)),0),"")</f>
        <v/>
      </c>
      <c r="K1434" s="50" t="str">
        <f t="shared" si="114"/>
        <v/>
      </c>
      <c r="L1434" s="50" t="str">
        <f>IF(D1434="","",IF(COUNTIF(Paramètres!$A$11:$A$40,D1434)&gt;0,1,0))</f>
        <v/>
      </c>
    </row>
    <row r="1435" spans="1:12" hidden="1" x14ac:dyDescent="0.25">
      <c r="A1435" s="49"/>
      <c r="B1435" s="49"/>
      <c r="C1435" s="49"/>
      <c r="D1435" s="50" t="str">
        <f t="shared" si="110"/>
        <v/>
      </c>
      <c r="E1435" s="50" t="str">
        <f t="shared" si="111"/>
        <v/>
      </c>
      <c r="F1435" s="50" t="str">
        <f t="shared" si="112"/>
        <v/>
      </c>
      <c r="G1435" s="50" t="str">
        <f t="shared" si="113"/>
        <v/>
      </c>
      <c r="H1435" s="51" t="str">
        <f>IF($C1435="","",IFERROR(DATE(G1435,VLOOKUP(E1435,Paramètres!$K$11:$L$40,2,FALSE()),F1435),"?"))</f>
        <v/>
      </c>
      <c r="I1435" s="50" t="str">
        <f>IF(ISNUMBER(H1435),IF(COUNTIFS($D$2:D1435,D1435,$H$2:H1435,H1435)=1,1,0),"")</f>
        <v/>
      </c>
      <c r="J1435" s="50" t="str">
        <f>IF(ISNUMBER(H1435),IFERROR(INDEX(Calendrier!$C$2:$C$367,MATCH(H1435,Calendrier!$A$2:$A$367,0)),0),"")</f>
        <v/>
      </c>
      <c r="K1435" s="50" t="str">
        <f t="shared" si="114"/>
        <v/>
      </c>
      <c r="L1435" s="50" t="str">
        <f>IF(D1435="","",IF(COUNTIF(Paramètres!$A$11:$A$40,D1435)&gt;0,1,0))</f>
        <v/>
      </c>
    </row>
    <row r="1436" spans="1:12" hidden="1" x14ac:dyDescent="0.25">
      <c r="A1436" s="49"/>
      <c r="B1436" s="49"/>
      <c r="C1436" s="49"/>
      <c r="D1436" s="50" t="str">
        <f t="shared" si="110"/>
        <v/>
      </c>
      <c r="E1436" s="50" t="str">
        <f t="shared" si="111"/>
        <v/>
      </c>
      <c r="F1436" s="50" t="str">
        <f t="shared" si="112"/>
        <v/>
      </c>
      <c r="G1436" s="50" t="str">
        <f t="shared" si="113"/>
        <v/>
      </c>
      <c r="H1436" s="51" t="str">
        <f>IF($C1436="","",IFERROR(DATE(G1436,VLOOKUP(E1436,Paramètres!$K$11:$L$40,2,FALSE()),F1436),"?"))</f>
        <v/>
      </c>
      <c r="I1436" s="50" t="str">
        <f>IF(ISNUMBER(H1436),IF(COUNTIFS($D$2:D1436,D1436,$H$2:H1436,H1436)=1,1,0),"")</f>
        <v/>
      </c>
      <c r="J1436" s="50" t="str">
        <f>IF(ISNUMBER(H1436),IFERROR(INDEX(Calendrier!$C$2:$C$367,MATCH(H1436,Calendrier!$A$2:$A$367,0)),0),"")</f>
        <v/>
      </c>
      <c r="K1436" s="50" t="str">
        <f t="shared" si="114"/>
        <v/>
      </c>
      <c r="L1436" s="50" t="str">
        <f>IF(D1436="","",IF(COUNTIF(Paramètres!$A$11:$A$40,D1436)&gt;0,1,0))</f>
        <v/>
      </c>
    </row>
    <row r="1437" spans="1:12" hidden="1" x14ac:dyDescent="0.25">
      <c r="A1437" s="49"/>
      <c r="B1437" s="49"/>
      <c r="C1437" s="49"/>
      <c r="D1437" s="50" t="str">
        <f t="shared" si="110"/>
        <v/>
      </c>
      <c r="E1437" s="50" t="str">
        <f t="shared" si="111"/>
        <v/>
      </c>
      <c r="F1437" s="50" t="str">
        <f t="shared" si="112"/>
        <v/>
      </c>
      <c r="G1437" s="50" t="str">
        <f t="shared" si="113"/>
        <v/>
      </c>
      <c r="H1437" s="51" t="str">
        <f>IF($C1437="","",IFERROR(DATE(G1437,VLOOKUP(E1437,Paramètres!$K$11:$L$40,2,FALSE()),F1437),"?"))</f>
        <v/>
      </c>
      <c r="I1437" s="50" t="str">
        <f>IF(ISNUMBER(H1437),IF(COUNTIFS($D$2:D1437,D1437,$H$2:H1437,H1437)=1,1,0),"")</f>
        <v/>
      </c>
      <c r="J1437" s="50" t="str">
        <f>IF(ISNUMBER(H1437),IFERROR(INDEX(Calendrier!$C$2:$C$367,MATCH(H1437,Calendrier!$A$2:$A$367,0)),0),"")</f>
        <v/>
      </c>
      <c r="K1437" s="50" t="str">
        <f t="shared" si="114"/>
        <v/>
      </c>
      <c r="L1437" s="50" t="str">
        <f>IF(D1437="","",IF(COUNTIF(Paramètres!$A$11:$A$40,D1437)&gt;0,1,0))</f>
        <v/>
      </c>
    </row>
    <row r="1438" spans="1:12" hidden="1" x14ac:dyDescent="0.25">
      <c r="A1438" s="49"/>
      <c r="B1438" s="49"/>
      <c r="C1438" s="49"/>
      <c r="D1438" s="50" t="str">
        <f t="shared" si="110"/>
        <v/>
      </c>
      <c r="E1438" s="50" t="str">
        <f t="shared" si="111"/>
        <v/>
      </c>
      <c r="F1438" s="50" t="str">
        <f t="shared" si="112"/>
        <v/>
      </c>
      <c r="G1438" s="50" t="str">
        <f t="shared" si="113"/>
        <v/>
      </c>
      <c r="H1438" s="51" t="str">
        <f>IF($C1438="","",IFERROR(DATE(G1438,VLOOKUP(E1438,Paramètres!$K$11:$L$40,2,FALSE()),F1438),"?"))</f>
        <v/>
      </c>
      <c r="I1438" s="50" t="str">
        <f>IF(ISNUMBER(H1438),IF(COUNTIFS($D$2:D1438,D1438,$H$2:H1438,H1438)=1,1,0),"")</f>
        <v/>
      </c>
      <c r="J1438" s="50" t="str">
        <f>IF(ISNUMBER(H1438),IFERROR(INDEX(Calendrier!$C$2:$C$367,MATCH(H1438,Calendrier!$A$2:$A$367,0)),0),"")</f>
        <v/>
      </c>
      <c r="K1438" s="50" t="str">
        <f t="shared" si="114"/>
        <v/>
      </c>
      <c r="L1438" s="50" t="str">
        <f>IF(D1438="","",IF(COUNTIF(Paramètres!$A$11:$A$40,D1438)&gt;0,1,0))</f>
        <v/>
      </c>
    </row>
    <row r="1439" spans="1:12" hidden="1" x14ac:dyDescent="0.25">
      <c r="A1439" s="49"/>
      <c r="B1439" s="49"/>
      <c r="C1439" s="49"/>
      <c r="D1439" s="50" t="str">
        <f t="shared" si="110"/>
        <v/>
      </c>
      <c r="E1439" s="50" t="str">
        <f t="shared" si="111"/>
        <v/>
      </c>
      <c r="F1439" s="50" t="str">
        <f t="shared" si="112"/>
        <v/>
      </c>
      <c r="G1439" s="50" t="str">
        <f t="shared" si="113"/>
        <v/>
      </c>
      <c r="H1439" s="51" t="str">
        <f>IF($C1439="","",IFERROR(DATE(G1439,VLOOKUP(E1439,Paramètres!$K$11:$L$40,2,FALSE()),F1439),"?"))</f>
        <v/>
      </c>
      <c r="I1439" s="50" t="str">
        <f>IF(ISNUMBER(H1439),IF(COUNTIFS($D$2:D1439,D1439,$H$2:H1439,H1439)=1,1,0),"")</f>
        <v/>
      </c>
      <c r="J1439" s="50" t="str">
        <f>IF(ISNUMBER(H1439),IFERROR(INDEX(Calendrier!$C$2:$C$367,MATCH(H1439,Calendrier!$A$2:$A$367,0)),0),"")</f>
        <v/>
      </c>
      <c r="K1439" s="50" t="str">
        <f t="shared" si="114"/>
        <v/>
      </c>
      <c r="L1439" s="50" t="str">
        <f>IF(D1439="","",IF(COUNTIF(Paramètres!$A$11:$A$40,D1439)&gt;0,1,0))</f>
        <v/>
      </c>
    </row>
    <row r="1440" spans="1:12" hidden="1" x14ac:dyDescent="0.25">
      <c r="A1440" s="49"/>
      <c r="B1440" s="49"/>
      <c r="C1440" s="49"/>
      <c r="D1440" s="50" t="str">
        <f t="shared" si="110"/>
        <v/>
      </c>
      <c r="E1440" s="50" t="str">
        <f t="shared" si="111"/>
        <v/>
      </c>
      <c r="F1440" s="50" t="str">
        <f t="shared" si="112"/>
        <v/>
      </c>
      <c r="G1440" s="50" t="str">
        <f t="shared" si="113"/>
        <v/>
      </c>
      <c r="H1440" s="51" t="str">
        <f>IF($C1440="","",IFERROR(DATE(G1440,VLOOKUP(E1440,Paramètres!$K$11:$L$40,2,FALSE()),F1440),"?"))</f>
        <v/>
      </c>
      <c r="I1440" s="50" t="str">
        <f>IF(ISNUMBER(H1440),IF(COUNTIFS($D$2:D1440,D1440,$H$2:H1440,H1440)=1,1,0),"")</f>
        <v/>
      </c>
      <c r="J1440" s="50" t="str">
        <f>IF(ISNUMBER(H1440),IFERROR(INDEX(Calendrier!$C$2:$C$367,MATCH(H1440,Calendrier!$A$2:$A$367,0)),0),"")</f>
        <v/>
      </c>
      <c r="K1440" s="50" t="str">
        <f t="shared" si="114"/>
        <v/>
      </c>
      <c r="L1440" s="50" t="str">
        <f>IF(D1440="","",IF(COUNTIF(Paramètres!$A$11:$A$40,D1440)&gt;0,1,0))</f>
        <v/>
      </c>
    </row>
    <row r="1441" spans="1:12" hidden="1" x14ac:dyDescent="0.25">
      <c r="A1441" s="49"/>
      <c r="B1441" s="49"/>
      <c r="C1441" s="49"/>
      <c r="D1441" s="50" t="str">
        <f t="shared" si="110"/>
        <v/>
      </c>
      <c r="E1441" s="50" t="str">
        <f t="shared" si="111"/>
        <v/>
      </c>
      <c r="F1441" s="50" t="str">
        <f t="shared" si="112"/>
        <v/>
      </c>
      <c r="G1441" s="50" t="str">
        <f t="shared" si="113"/>
        <v/>
      </c>
      <c r="H1441" s="51" t="str">
        <f>IF($C1441="","",IFERROR(DATE(G1441,VLOOKUP(E1441,Paramètres!$K$11:$L$40,2,FALSE()),F1441),"?"))</f>
        <v/>
      </c>
      <c r="I1441" s="50" t="str">
        <f>IF(ISNUMBER(H1441),IF(COUNTIFS($D$2:D1441,D1441,$H$2:H1441,H1441)=1,1,0),"")</f>
        <v/>
      </c>
      <c r="J1441" s="50" t="str">
        <f>IF(ISNUMBER(H1441),IFERROR(INDEX(Calendrier!$C$2:$C$367,MATCH(H1441,Calendrier!$A$2:$A$367,0)),0),"")</f>
        <v/>
      </c>
      <c r="K1441" s="50" t="str">
        <f t="shared" si="114"/>
        <v/>
      </c>
      <c r="L1441" s="50" t="str">
        <f>IF(D1441="","",IF(COUNTIF(Paramètres!$A$11:$A$40,D1441)&gt;0,1,0))</f>
        <v/>
      </c>
    </row>
    <row r="1442" spans="1:12" hidden="1" x14ac:dyDescent="0.25">
      <c r="A1442" s="49"/>
      <c r="B1442" s="49"/>
      <c r="C1442" s="49"/>
      <c r="D1442" s="50" t="str">
        <f t="shared" si="110"/>
        <v/>
      </c>
      <c r="E1442" s="50" t="str">
        <f t="shared" si="111"/>
        <v/>
      </c>
      <c r="F1442" s="50" t="str">
        <f t="shared" si="112"/>
        <v/>
      </c>
      <c r="G1442" s="50" t="str">
        <f t="shared" si="113"/>
        <v/>
      </c>
      <c r="H1442" s="51" t="str">
        <f>IF($C1442="","",IFERROR(DATE(G1442,VLOOKUP(E1442,Paramètres!$K$11:$L$40,2,FALSE()),F1442),"?"))</f>
        <v/>
      </c>
      <c r="I1442" s="50" t="str">
        <f>IF(ISNUMBER(H1442),IF(COUNTIFS($D$2:D1442,D1442,$H$2:H1442,H1442)=1,1,0),"")</f>
        <v/>
      </c>
      <c r="J1442" s="50" t="str">
        <f>IF(ISNUMBER(H1442),IFERROR(INDEX(Calendrier!$C$2:$C$367,MATCH(H1442,Calendrier!$A$2:$A$367,0)),0),"")</f>
        <v/>
      </c>
      <c r="K1442" s="50" t="str">
        <f t="shared" si="114"/>
        <v/>
      </c>
      <c r="L1442" s="50" t="str">
        <f>IF(D1442="","",IF(COUNTIF(Paramètres!$A$11:$A$40,D1442)&gt;0,1,0))</f>
        <v/>
      </c>
    </row>
    <row r="1443" spans="1:12" hidden="1" x14ac:dyDescent="0.25">
      <c r="A1443" s="49"/>
      <c r="B1443" s="49"/>
      <c r="C1443" s="49"/>
      <c r="D1443" s="50" t="str">
        <f t="shared" si="110"/>
        <v/>
      </c>
      <c r="E1443" s="50" t="str">
        <f t="shared" si="111"/>
        <v/>
      </c>
      <c r="F1443" s="50" t="str">
        <f t="shared" si="112"/>
        <v/>
      </c>
      <c r="G1443" s="50" t="str">
        <f t="shared" si="113"/>
        <v/>
      </c>
      <c r="H1443" s="51" t="str">
        <f>IF($C1443="","",IFERROR(DATE(G1443,VLOOKUP(E1443,Paramètres!$K$11:$L$40,2,FALSE()),F1443),"?"))</f>
        <v/>
      </c>
      <c r="I1443" s="50" t="str">
        <f>IF(ISNUMBER(H1443),IF(COUNTIFS($D$2:D1443,D1443,$H$2:H1443,H1443)=1,1,0),"")</f>
        <v/>
      </c>
      <c r="J1443" s="50" t="str">
        <f>IF(ISNUMBER(H1443),IFERROR(INDEX(Calendrier!$C$2:$C$367,MATCH(H1443,Calendrier!$A$2:$A$367,0)),0),"")</f>
        <v/>
      </c>
      <c r="K1443" s="50" t="str">
        <f t="shared" si="114"/>
        <v/>
      </c>
      <c r="L1443" s="50" t="str">
        <f>IF(D1443="","",IF(COUNTIF(Paramètres!$A$11:$A$40,D1443)&gt;0,1,0))</f>
        <v/>
      </c>
    </row>
    <row r="1444" spans="1:12" hidden="1" x14ac:dyDescent="0.25">
      <c r="A1444" s="49"/>
      <c r="B1444" s="49"/>
      <c r="C1444" s="49"/>
      <c r="D1444" s="50" t="str">
        <f t="shared" si="110"/>
        <v/>
      </c>
      <c r="E1444" s="50" t="str">
        <f t="shared" si="111"/>
        <v/>
      </c>
      <c r="F1444" s="50" t="str">
        <f t="shared" si="112"/>
        <v/>
      </c>
      <c r="G1444" s="50" t="str">
        <f t="shared" si="113"/>
        <v/>
      </c>
      <c r="H1444" s="51" t="str">
        <f>IF($C1444="","",IFERROR(DATE(G1444,VLOOKUP(E1444,Paramètres!$K$11:$L$40,2,FALSE()),F1444),"?"))</f>
        <v/>
      </c>
      <c r="I1444" s="50" t="str">
        <f>IF(ISNUMBER(H1444),IF(COUNTIFS($D$2:D1444,D1444,$H$2:H1444,H1444)=1,1,0),"")</f>
        <v/>
      </c>
      <c r="J1444" s="50" t="str">
        <f>IF(ISNUMBER(H1444),IFERROR(INDEX(Calendrier!$C$2:$C$367,MATCH(H1444,Calendrier!$A$2:$A$367,0)),0),"")</f>
        <v/>
      </c>
      <c r="K1444" s="50" t="str">
        <f t="shared" si="114"/>
        <v/>
      </c>
      <c r="L1444" s="50" t="str">
        <f>IF(D1444="","",IF(COUNTIF(Paramètres!$A$11:$A$40,D1444)&gt;0,1,0))</f>
        <v/>
      </c>
    </row>
    <row r="1445" spans="1:12" hidden="1" x14ac:dyDescent="0.25">
      <c r="A1445" s="49"/>
      <c r="B1445" s="49"/>
      <c r="C1445" s="49"/>
      <c r="D1445" s="50" t="str">
        <f t="shared" si="110"/>
        <v/>
      </c>
      <c r="E1445" s="50" t="str">
        <f t="shared" si="111"/>
        <v/>
      </c>
      <c r="F1445" s="50" t="str">
        <f t="shared" si="112"/>
        <v/>
      </c>
      <c r="G1445" s="50" t="str">
        <f t="shared" si="113"/>
        <v/>
      </c>
      <c r="H1445" s="51" t="str">
        <f>IF($C1445="","",IFERROR(DATE(G1445,VLOOKUP(E1445,Paramètres!$K$11:$L$40,2,FALSE()),F1445),"?"))</f>
        <v/>
      </c>
      <c r="I1445" s="50" t="str">
        <f>IF(ISNUMBER(H1445),IF(COUNTIFS($D$2:D1445,D1445,$H$2:H1445,H1445)=1,1,0),"")</f>
        <v/>
      </c>
      <c r="J1445" s="50" t="str">
        <f>IF(ISNUMBER(H1445),IFERROR(INDEX(Calendrier!$C$2:$C$367,MATCH(H1445,Calendrier!$A$2:$A$367,0)),0),"")</f>
        <v/>
      </c>
      <c r="K1445" s="50" t="str">
        <f t="shared" si="114"/>
        <v/>
      </c>
      <c r="L1445" s="50" t="str">
        <f>IF(D1445="","",IF(COUNTIF(Paramètres!$A$11:$A$40,D1445)&gt;0,1,0))</f>
        <v/>
      </c>
    </row>
    <row r="1446" spans="1:12" hidden="1" x14ac:dyDescent="0.25">
      <c r="A1446" s="49"/>
      <c r="B1446" s="49"/>
      <c r="C1446" s="49"/>
      <c r="D1446" s="50" t="str">
        <f t="shared" si="110"/>
        <v/>
      </c>
      <c r="E1446" s="50" t="str">
        <f t="shared" si="111"/>
        <v/>
      </c>
      <c r="F1446" s="50" t="str">
        <f t="shared" si="112"/>
        <v/>
      </c>
      <c r="G1446" s="50" t="str">
        <f t="shared" si="113"/>
        <v/>
      </c>
      <c r="H1446" s="51" t="str">
        <f>IF($C1446="","",IFERROR(DATE(G1446,VLOOKUP(E1446,Paramètres!$K$11:$L$40,2,FALSE()),F1446),"?"))</f>
        <v/>
      </c>
      <c r="I1446" s="50" t="str">
        <f>IF(ISNUMBER(H1446),IF(COUNTIFS($D$2:D1446,D1446,$H$2:H1446,H1446)=1,1,0),"")</f>
        <v/>
      </c>
      <c r="J1446" s="50" t="str">
        <f>IF(ISNUMBER(H1446),IFERROR(INDEX(Calendrier!$C$2:$C$367,MATCH(H1446,Calendrier!$A$2:$A$367,0)),0),"")</f>
        <v/>
      </c>
      <c r="K1446" s="50" t="str">
        <f t="shared" si="114"/>
        <v/>
      </c>
      <c r="L1446" s="50" t="str">
        <f>IF(D1446="","",IF(COUNTIF(Paramètres!$A$11:$A$40,D1446)&gt;0,1,0))</f>
        <v/>
      </c>
    </row>
    <row r="1447" spans="1:12" hidden="1" x14ac:dyDescent="0.25">
      <c r="A1447" s="49"/>
      <c r="B1447" s="49"/>
      <c r="C1447" s="49"/>
      <c r="D1447" s="50" t="str">
        <f t="shared" si="110"/>
        <v/>
      </c>
      <c r="E1447" s="50" t="str">
        <f t="shared" si="111"/>
        <v/>
      </c>
      <c r="F1447" s="50" t="str">
        <f t="shared" si="112"/>
        <v/>
      </c>
      <c r="G1447" s="50" t="str">
        <f t="shared" si="113"/>
        <v/>
      </c>
      <c r="H1447" s="51" t="str">
        <f>IF($C1447="","",IFERROR(DATE(G1447,VLOOKUP(E1447,Paramètres!$K$11:$L$40,2,FALSE()),F1447),"?"))</f>
        <v/>
      </c>
      <c r="I1447" s="50" t="str">
        <f>IF(ISNUMBER(H1447),IF(COUNTIFS($D$2:D1447,D1447,$H$2:H1447,H1447)=1,1,0),"")</f>
        <v/>
      </c>
      <c r="J1447" s="50" t="str">
        <f>IF(ISNUMBER(H1447),IFERROR(INDEX(Calendrier!$C$2:$C$367,MATCH(H1447,Calendrier!$A$2:$A$367,0)),0),"")</f>
        <v/>
      </c>
      <c r="K1447" s="50" t="str">
        <f t="shared" si="114"/>
        <v/>
      </c>
      <c r="L1447" s="50" t="str">
        <f>IF(D1447="","",IF(COUNTIF(Paramètres!$A$11:$A$40,D1447)&gt;0,1,0))</f>
        <v/>
      </c>
    </row>
    <row r="1448" spans="1:12" hidden="1" x14ac:dyDescent="0.25">
      <c r="A1448" s="49"/>
      <c r="B1448" s="49"/>
      <c r="C1448" s="49"/>
      <c r="D1448" s="50" t="str">
        <f t="shared" si="110"/>
        <v/>
      </c>
      <c r="E1448" s="50" t="str">
        <f t="shared" si="111"/>
        <v/>
      </c>
      <c r="F1448" s="50" t="str">
        <f t="shared" si="112"/>
        <v/>
      </c>
      <c r="G1448" s="50" t="str">
        <f t="shared" si="113"/>
        <v/>
      </c>
      <c r="H1448" s="51" t="str">
        <f>IF($C1448="","",IFERROR(DATE(G1448,VLOOKUP(E1448,Paramètres!$K$11:$L$40,2,FALSE()),F1448),"?"))</f>
        <v/>
      </c>
      <c r="I1448" s="50" t="str">
        <f>IF(ISNUMBER(H1448),IF(COUNTIFS($D$2:D1448,D1448,$H$2:H1448,H1448)=1,1,0),"")</f>
        <v/>
      </c>
      <c r="J1448" s="50" t="str">
        <f>IF(ISNUMBER(H1448),IFERROR(INDEX(Calendrier!$C$2:$C$367,MATCH(H1448,Calendrier!$A$2:$A$367,0)),0),"")</f>
        <v/>
      </c>
      <c r="K1448" s="50" t="str">
        <f t="shared" si="114"/>
        <v/>
      </c>
      <c r="L1448" s="50" t="str">
        <f>IF(D1448="","",IF(COUNTIF(Paramètres!$A$11:$A$40,D1448)&gt;0,1,0))</f>
        <v/>
      </c>
    </row>
    <row r="1449" spans="1:12" hidden="1" x14ac:dyDescent="0.25">
      <c r="A1449" s="49"/>
      <c r="B1449" s="49"/>
      <c r="C1449" s="49"/>
      <c r="D1449" s="50" t="str">
        <f t="shared" si="110"/>
        <v/>
      </c>
      <c r="E1449" s="50" t="str">
        <f t="shared" si="111"/>
        <v/>
      </c>
      <c r="F1449" s="50" t="str">
        <f t="shared" si="112"/>
        <v/>
      </c>
      <c r="G1449" s="50" t="str">
        <f t="shared" si="113"/>
        <v/>
      </c>
      <c r="H1449" s="51" t="str">
        <f>IF($C1449="","",IFERROR(DATE(G1449,VLOOKUP(E1449,Paramètres!$K$11:$L$40,2,FALSE()),F1449),"?"))</f>
        <v/>
      </c>
      <c r="I1449" s="50" t="str">
        <f>IF(ISNUMBER(H1449),IF(COUNTIFS($D$2:D1449,D1449,$H$2:H1449,H1449)=1,1,0),"")</f>
        <v/>
      </c>
      <c r="J1449" s="50" t="str">
        <f>IF(ISNUMBER(H1449),IFERROR(INDEX(Calendrier!$C$2:$C$367,MATCH(H1449,Calendrier!$A$2:$A$367,0)),0),"")</f>
        <v/>
      </c>
      <c r="K1449" s="50" t="str">
        <f t="shared" si="114"/>
        <v/>
      </c>
      <c r="L1449" s="50" t="str">
        <f>IF(D1449="","",IF(COUNTIF(Paramètres!$A$11:$A$40,D1449)&gt;0,1,0))</f>
        <v/>
      </c>
    </row>
    <row r="1450" spans="1:12" hidden="1" x14ac:dyDescent="0.25">
      <c r="A1450" s="49"/>
      <c r="B1450" s="49"/>
      <c r="C1450" s="49"/>
      <c r="D1450" s="50" t="str">
        <f t="shared" si="110"/>
        <v/>
      </c>
      <c r="E1450" s="50" t="str">
        <f t="shared" si="111"/>
        <v/>
      </c>
      <c r="F1450" s="50" t="str">
        <f t="shared" si="112"/>
        <v/>
      </c>
      <c r="G1450" s="50" t="str">
        <f t="shared" si="113"/>
        <v/>
      </c>
      <c r="H1450" s="51" t="str">
        <f>IF($C1450="","",IFERROR(DATE(G1450,VLOOKUP(E1450,Paramètres!$K$11:$L$40,2,FALSE()),F1450),"?"))</f>
        <v/>
      </c>
      <c r="I1450" s="50" t="str">
        <f>IF(ISNUMBER(H1450),IF(COUNTIFS($D$2:D1450,D1450,$H$2:H1450,H1450)=1,1,0),"")</f>
        <v/>
      </c>
      <c r="J1450" s="50" t="str">
        <f>IF(ISNUMBER(H1450),IFERROR(INDEX(Calendrier!$C$2:$C$367,MATCH(H1450,Calendrier!$A$2:$A$367,0)),0),"")</f>
        <v/>
      </c>
      <c r="K1450" s="50" t="str">
        <f t="shared" si="114"/>
        <v/>
      </c>
      <c r="L1450" s="50" t="str">
        <f>IF(D1450="","",IF(COUNTIF(Paramètres!$A$11:$A$40,D1450)&gt;0,1,0))</f>
        <v/>
      </c>
    </row>
    <row r="1451" spans="1:12" hidden="1" x14ac:dyDescent="0.25">
      <c r="A1451" s="49"/>
      <c r="B1451" s="49"/>
      <c r="C1451" s="49"/>
      <c r="D1451" s="50" t="str">
        <f t="shared" si="110"/>
        <v/>
      </c>
      <c r="E1451" s="50" t="str">
        <f t="shared" si="111"/>
        <v/>
      </c>
      <c r="F1451" s="50" t="str">
        <f t="shared" si="112"/>
        <v/>
      </c>
      <c r="G1451" s="50" t="str">
        <f t="shared" si="113"/>
        <v/>
      </c>
      <c r="H1451" s="51" t="str">
        <f>IF($C1451="","",IFERROR(DATE(G1451,VLOOKUP(E1451,Paramètres!$K$11:$L$40,2,FALSE()),F1451),"?"))</f>
        <v/>
      </c>
      <c r="I1451" s="50" t="str">
        <f>IF(ISNUMBER(H1451),IF(COUNTIFS($D$2:D1451,D1451,$H$2:H1451,H1451)=1,1,0),"")</f>
        <v/>
      </c>
      <c r="J1451" s="50" t="str">
        <f>IF(ISNUMBER(H1451),IFERROR(INDEX(Calendrier!$C$2:$C$367,MATCH(H1451,Calendrier!$A$2:$A$367,0)),0),"")</f>
        <v/>
      </c>
      <c r="K1451" s="50" t="str">
        <f t="shared" si="114"/>
        <v/>
      </c>
      <c r="L1451" s="50" t="str">
        <f>IF(D1451="","",IF(COUNTIF(Paramètres!$A$11:$A$40,D1451)&gt;0,1,0))</f>
        <v/>
      </c>
    </row>
    <row r="1452" spans="1:12" hidden="1" x14ac:dyDescent="0.25">
      <c r="A1452" s="49"/>
      <c r="B1452" s="49"/>
      <c r="C1452" s="49"/>
      <c r="D1452" s="50" t="str">
        <f t="shared" si="110"/>
        <v/>
      </c>
      <c r="E1452" s="50" t="str">
        <f t="shared" si="111"/>
        <v/>
      </c>
      <c r="F1452" s="50" t="str">
        <f t="shared" si="112"/>
        <v/>
      </c>
      <c r="G1452" s="50" t="str">
        <f t="shared" si="113"/>
        <v/>
      </c>
      <c r="H1452" s="51" t="str">
        <f>IF($C1452="","",IFERROR(DATE(G1452,VLOOKUP(E1452,Paramètres!$K$11:$L$40,2,FALSE()),F1452),"?"))</f>
        <v/>
      </c>
      <c r="I1452" s="50" t="str">
        <f>IF(ISNUMBER(H1452),IF(COUNTIFS($D$2:D1452,D1452,$H$2:H1452,H1452)=1,1,0),"")</f>
        <v/>
      </c>
      <c r="J1452" s="50" t="str">
        <f>IF(ISNUMBER(H1452),IFERROR(INDEX(Calendrier!$C$2:$C$367,MATCH(H1452,Calendrier!$A$2:$A$367,0)),0),"")</f>
        <v/>
      </c>
      <c r="K1452" s="50" t="str">
        <f t="shared" si="114"/>
        <v/>
      </c>
      <c r="L1452" s="50" t="str">
        <f>IF(D1452="","",IF(COUNTIF(Paramètres!$A$11:$A$40,D1452)&gt;0,1,0))</f>
        <v/>
      </c>
    </row>
    <row r="1453" spans="1:12" hidden="1" x14ac:dyDescent="0.25">
      <c r="A1453" s="49"/>
      <c r="B1453" s="49"/>
      <c r="C1453" s="49"/>
      <c r="D1453" s="50" t="str">
        <f t="shared" si="110"/>
        <v/>
      </c>
      <c r="E1453" s="50" t="str">
        <f t="shared" si="111"/>
        <v/>
      </c>
      <c r="F1453" s="50" t="str">
        <f t="shared" si="112"/>
        <v/>
      </c>
      <c r="G1453" s="50" t="str">
        <f t="shared" si="113"/>
        <v/>
      </c>
      <c r="H1453" s="51" t="str">
        <f>IF($C1453="","",IFERROR(DATE(G1453,VLOOKUP(E1453,Paramètres!$K$11:$L$40,2,FALSE()),F1453),"?"))</f>
        <v/>
      </c>
      <c r="I1453" s="50" t="str">
        <f>IF(ISNUMBER(H1453),IF(COUNTIFS($D$2:D1453,D1453,$H$2:H1453,H1453)=1,1,0),"")</f>
        <v/>
      </c>
      <c r="J1453" s="50" t="str">
        <f>IF(ISNUMBER(H1453),IFERROR(INDEX(Calendrier!$C$2:$C$367,MATCH(H1453,Calendrier!$A$2:$A$367,0)),0),"")</f>
        <v/>
      </c>
      <c r="K1453" s="50" t="str">
        <f t="shared" si="114"/>
        <v/>
      </c>
      <c r="L1453" s="50" t="str">
        <f>IF(D1453="","",IF(COUNTIF(Paramètres!$A$11:$A$40,D1453)&gt;0,1,0))</f>
        <v/>
      </c>
    </row>
    <row r="1454" spans="1:12" hidden="1" x14ac:dyDescent="0.25">
      <c r="A1454" s="49"/>
      <c r="B1454" s="49"/>
      <c r="C1454" s="49"/>
      <c r="D1454" s="50" t="str">
        <f t="shared" si="110"/>
        <v/>
      </c>
      <c r="E1454" s="50" t="str">
        <f t="shared" si="111"/>
        <v/>
      </c>
      <c r="F1454" s="50" t="str">
        <f t="shared" si="112"/>
        <v/>
      </c>
      <c r="G1454" s="50" t="str">
        <f t="shared" si="113"/>
        <v/>
      </c>
      <c r="H1454" s="51" t="str">
        <f>IF($C1454="","",IFERROR(DATE(G1454,VLOOKUP(E1454,Paramètres!$K$11:$L$40,2,FALSE()),F1454),"?"))</f>
        <v/>
      </c>
      <c r="I1454" s="50" t="str">
        <f>IF(ISNUMBER(H1454),IF(COUNTIFS($D$2:D1454,D1454,$H$2:H1454,H1454)=1,1,0),"")</f>
        <v/>
      </c>
      <c r="J1454" s="50" t="str">
        <f>IF(ISNUMBER(H1454),IFERROR(INDEX(Calendrier!$C$2:$C$367,MATCH(H1454,Calendrier!$A$2:$A$367,0)),0),"")</f>
        <v/>
      </c>
      <c r="K1454" s="50" t="str">
        <f t="shared" si="114"/>
        <v/>
      </c>
      <c r="L1454" s="50" t="str">
        <f>IF(D1454="","",IF(COUNTIF(Paramètres!$A$11:$A$40,D1454)&gt;0,1,0))</f>
        <v/>
      </c>
    </row>
    <row r="1455" spans="1:12" hidden="1" x14ac:dyDescent="0.25">
      <c r="A1455" s="49"/>
      <c r="B1455" s="49"/>
      <c r="C1455" s="49"/>
      <c r="D1455" s="50" t="str">
        <f t="shared" si="110"/>
        <v/>
      </c>
      <c r="E1455" s="50" t="str">
        <f t="shared" si="111"/>
        <v/>
      </c>
      <c r="F1455" s="50" t="str">
        <f t="shared" si="112"/>
        <v/>
      </c>
      <c r="G1455" s="50" t="str">
        <f t="shared" si="113"/>
        <v/>
      </c>
      <c r="H1455" s="51" t="str">
        <f>IF($C1455="","",IFERROR(DATE(G1455,VLOOKUP(E1455,Paramètres!$K$11:$L$40,2,FALSE()),F1455),"?"))</f>
        <v/>
      </c>
      <c r="I1455" s="50" t="str">
        <f>IF(ISNUMBER(H1455),IF(COUNTIFS($D$2:D1455,D1455,$H$2:H1455,H1455)=1,1,0),"")</f>
        <v/>
      </c>
      <c r="J1455" s="50" t="str">
        <f>IF(ISNUMBER(H1455),IFERROR(INDEX(Calendrier!$C$2:$C$367,MATCH(H1455,Calendrier!$A$2:$A$367,0)),0),"")</f>
        <v/>
      </c>
      <c r="K1455" s="50" t="str">
        <f t="shared" si="114"/>
        <v/>
      </c>
      <c r="L1455" s="50" t="str">
        <f>IF(D1455="","",IF(COUNTIF(Paramètres!$A$11:$A$40,D1455)&gt;0,1,0))</f>
        <v/>
      </c>
    </row>
    <row r="1456" spans="1:12" hidden="1" x14ac:dyDescent="0.25">
      <c r="A1456" s="49"/>
      <c r="B1456" s="49"/>
      <c r="C1456" s="49"/>
      <c r="D1456" s="50" t="str">
        <f t="shared" si="110"/>
        <v/>
      </c>
      <c r="E1456" s="50" t="str">
        <f t="shared" si="111"/>
        <v/>
      </c>
      <c r="F1456" s="50" t="str">
        <f t="shared" si="112"/>
        <v/>
      </c>
      <c r="G1456" s="50" t="str">
        <f t="shared" si="113"/>
        <v/>
      </c>
      <c r="H1456" s="51" t="str">
        <f>IF($C1456="","",IFERROR(DATE(G1456,VLOOKUP(E1456,Paramètres!$K$11:$L$40,2,FALSE()),F1456),"?"))</f>
        <v/>
      </c>
      <c r="I1456" s="50" t="str">
        <f>IF(ISNUMBER(H1456),IF(COUNTIFS($D$2:D1456,D1456,$H$2:H1456,H1456)=1,1,0),"")</f>
        <v/>
      </c>
      <c r="J1456" s="50" t="str">
        <f>IF(ISNUMBER(H1456),IFERROR(INDEX(Calendrier!$C$2:$C$367,MATCH(H1456,Calendrier!$A$2:$A$367,0)),0),"")</f>
        <v/>
      </c>
      <c r="K1456" s="50" t="str">
        <f t="shared" si="114"/>
        <v/>
      </c>
      <c r="L1456" s="50" t="str">
        <f>IF(D1456="","",IF(COUNTIF(Paramètres!$A$11:$A$40,D1456)&gt;0,1,0))</f>
        <v/>
      </c>
    </row>
    <row r="1457" spans="1:12" hidden="1" x14ac:dyDescent="0.25">
      <c r="A1457" s="49"/>
      <c r="B1457" s="49"/>
      <c r="C1457" s="49"/>
      <c r="D1457" s="50" t="str">
        <f t="shared" si="110"/>
        <v/>
      </c>
      <c r="E1457" s="50" t="str">
        <f t="shared" si="111"/>
        <v/>
      </c>
      <c r="F1457" s="50" t="str">
        <f t="shared" si="112"/>
        <v/>
      </c>
      <c r="G1457" s="50" t="str">
        <f t="shared" si="113"/>
        <v/>
      </c>
      <c r="H1457" s="51" t="str">
        <f>IF($C1457="","",IFERROR(DATE(G1457,VLOOKUP(E1457,Paramètres!$K$11:$L$40,2,FALSE()),F1457),"?"))</f>
        <v/>
      </c>
      <c r="I1457" s="50" t="str">
        <f>IF(ISNUMBER(H1457),IF(COUNTIFS($D$2:D1457,D1457,$H$2:H1457,H1457)=1,1,0),"")</f>
        <v/>
      </c>
      <c r="J1457" s="50" t="str">
        <f>IF(ISNUMBER(H1457),IFERROR(INDEX(Calendrier!$C$2:$C$367,MATCH(H1457,Calendrier!$A$2:$A$367,0)),0),"")</f>
        <v/>
      </c>
      <c r="K1457" s="50" t="str">
        <f t="shared" si="114"/>
        <v/>
      </c>
      <c r="L1457" s="50" t="str">
        <f>IF(D1457="","",IF(COUNTIF(Paramètres!$A$11:$A$40,D1457)&gt;0,1,0))</f>
        <v/>
      </c>
    </row>
    <row r="1458" spans="1:12" hidden="1" x14ac:dyDescent="0.25">
      <c r="A1458" s="49"/>
      <c r="B1458" s="49"/>
      <c r="C1458" s="49"/>
      <c r="D1458" s="50" t="str">
        <f t="shared" si="110"/>
        <v/>
      </c>
      <c r="E1458" s="50" t="str">
        <f t="shared" si="111"/>
        <v/>
      </c>
      <c r="F1458" s="50" t="str">
        <f t="shared" si="112"/>
        <v/>
      </c>
      <c r="G1458" s="50" t="str">
        <f t="shared" si="113"/>
        <v/>
      </c>
      <c r="H1458" s="51" t="str">
        <f>IF($C1458="","",IFERROR(DATE(G1458,VLOOKUP(E1458,Paramètres!$K$11:$L$40,2,FALSE()),F1458),"?"))</f>
        <v/>
      </c>
      <c r="I1458" s="50" t="str">
        <f>IF(ISNUMBER(H1458),IF(COUNTIFS($D$2:D1458,D1458,$H$2:H1458,H1458)=1,1,0),"")</f>
        <v/>
      </c>
      <c r="J1458" s="50" t="str">
        <f>IF(ISNUMBER(H1458),IFERROR(INDEX(Calendrier!$C$2:$C$367,MATCH(H1458,Calendrier!$A$2:$A$367,0)),0),"")</f>
        <v/>
      </c>
      <c r="K1458" s="50" t="str">
        <f t="shared" si="114"/>
        <v/>
      </c>
      <c r="L1458" s="50" t="str">
        <f>IF(D1458="","",IF(COUNTIF(Paramètres!$A$11:$A$40,D1458)&gt;0,1,0))</f>
        <v/>
      </c>
    </row>
    <row r="1459" spans="1:12" hidden="1" x14ac:dyDescent="0.25">
      <c r="A1459" s="49"/>
      <c r="B1459" s="49"/>
      <c r="C1459" s="49"/>
      <c r="D1459" s="50" t="str">
        <f t="shared" si="110"/>
        <v/>
      </c>
      <c r="E1459" s="50" t="str">
        <f t="shared" si="111"/>
        <v/>
      </c>
      <c r="F1459" s="50" t="str">
        <f t="shared" si="112"/>
        <v/>
      </c>
      <c r="G1459" s="50" t="str">
        <f t="shared" si="113"/>
        <v/>
      </c>
      <c r="H1459" s="51" t="str">
        <f>IF($C1459="","",IFERROR(DATE(G1459,VLOOKUP(E1459,Paramètres!$K$11:$L$40,2,FALSE()),F1459),"?"))</f>
        <v/>
      </c>
      <c r="I1459" s="50" t="str">
        <f>IF(ISNUMBER(H1459),IF(COUNTIFS($D$2:D1459,D1459,$H$2:H1459,H1459)=1,1,0),"")</f>
        <v/>
      </c>
      <c r="J1459" s="50" t="str">
        <f>IF(ISNUMBER(H1459),IFERROR(INDEX(Calendrier!$C$2:$C$367,MATCH(H1459,Calendrier!$A$2:$A$367,0)),0),"")</f>
        <v/>
      </c>
      <c r="K1459" s="50" t="str">
        <f t="shared" si="114"/>
        <v/>
      </c>
      <c r="L1459" s="50" t="str">
        <f>IF(D1459="","",IF(COUNTIF(Paramètres!$A$11:$A$40,D1459)&gt;0,1,0))</f>
        <v/>
      </c>
    </row>
    <row r="1460" spans="1:12" hidden="1" x14ac:dyDescent="0.25">
      <c r="A1460" s="49"/>
      <c r="B1460" s="49"/>
      <c r="C1460" s="49"/>
      <c r="D1460" s="50" t="str">
        <f t="shared" si="110"/>
        <v/>
      </c>
      <c r="E1460" s="50" t="str">
        <f t="shared" si="111"/>
        <v/>
      </c>
      <c r="F1460" s="50" t="str">
        <f t="shared" si="112"/>
        <v/>
      </c>
      <c r="G1460" s="50" t="str">
        <f t="shared" si="113"/>
        <v/>
      </c>
      <c r="H1460" s="51" t="str">
        <f>IF($C1460="","",IFERROR(DATE(G1460,VLOOKUP(E1460,Paramètres!$K$11:$L$40,2,FALSE()),F1460),"?"))</f>
        <v/>
      </c>
      <c r="I1460" s="50" t="str">
        <f>IF(ISNUMBER(H1460),IF(COUNTIFS($D$2:D1460,D1460,$H$2:H1460,H1460)=1,1,0),"")</f>
        <v/>
      </c>
      <c r="J1460" s="50" t="str">
        <f>IF(ISNUMBER(H1460),IFERROR(INDEX(Calendrier!$C$2:$C$367,MATCH(H1460,Calendrier!$A$2:$A$367,0)),0),"")</f>
        <v/>
      </c>
      <c r="K1460" s="50" t="str">
        <f t="shared" si="114"/>
        <v/>
      </c>
      <c r="L1460" s="50" t="str">
        <f>IF(D1460="","",IF(COUNTIF(Paramètres!$A$11:$A$40,D1460)&gt;0,1,0))</f>
        <v/>
      </c>
    </row>
    <row r="1461" spans="1:12" hidden="1" x14ac:dyDescent="0.25">
      <c r="A1461" s="49"/>
      <c r="B1461" s="49"/>
      <c r="C1461" s="49"/>
      <c r="D1461" s="50" t="str">
        <f t="shared" si="110"/>
        <v/>
      </c>
      <c r="E1461" s="50" t="str">
        <f t="shared" si="111"/>
        <v/>
      </c>
      <c r="F1461" s="50" t="str">
        <f t="shared" si="112"/>
        <v/>
      </c>
      <c r="G1461" s="50" t="str">
        <f t="shared" si="113"/>
        <v/>
      </c>
      <c r="H1461" s="51" t="str">
        <f>IF($C1461="","",IFERROR(DATE(G1461,VLOOKUP(E1461,Paramètres!$K$11:$L$40,2,FALSE()),F1461),"?"))</f>
        <v/>
      </c>
      <c r="I1461" s="50" t="str">
        <f>IF(ISNUMBER(H1461),IF(COUNTIFS($D$2:D1461,D1461,$H$2:H1461,H1461)=1,1,0),"")</f>
        <v/>
      </c>
      <c r="J1461" s="50" t="str">
        <f>IF(ISNUMBER(H1461),IFERROR(INDEX(Calendrier!$C$2:$C$367,MATCH(H1461,Calendrier!$A$2:$A$367,0)),0),"")</f>
        <v/>
      </c>
      <c r="K1461" s="50" t="str">
        <f t="shared" si="114"/>
        <v/>
      </c>
      <c r="L1461" s="50" t="str">
        <f>IF(D1461="","",IF(COUNTIF(Paramètres!$A$11:$A$40,D1461)&gt;0,1,0))</f>
        <v/>
      </c>
    </row>
    <row r="1462" spans="1:12" hidden="1" x14ac:dyDescent="0.25">
      <c r="A1462" s="49"/>
      <c r="B1462" s="49"/>
      <c r="C1462" s="49"/>
      <c r="D1462" s="50" t="str">
        <f t="shared" si="110"/>
        <v/>
      </c>
      <c r="E1462" s="50" t="str">
        <f t="shared" si="111"/>
        <v/>
      </c>
      <c r="F1462" s="50" t="str">
        <f t="shared" si="112"/>
        <v/>
      </c>
      <c r="G1462" s="50" t="str">
        <f t="shared" si="113"/>
        <v/>
      </c>
      <c r="H1462" s="51" t="str">
        <f>IF($C1462="","",IFERROR(DATE(G1462,VLOOKUP(E1462,Paramètres!$K$11:$L$40,2,FALSE()),F1462),"?"))</f>
        <v/>
      </c>
      <c r="I1462" s="50" t="str">
        <f>IF(ISNUMBER(H1462),IF(COUNTIFS($D$2:D1462,D1462,$H$2:H1462,H1462)=1,1,0),"")</f>
        <v/>
      </c>
      <c r="J1462" s="50" t="str">
        <f>IF(ISNUMBER(H1462),IFERROR(INDEX(Calendrier!$C$2:$C$367,MATCH(H1462,Calendrier!$A$2:$A$367,0)),0),"")</f>
        <v/>
      </c>
      <c r="K1462" s="50" t="str">
        <f t="shared" si="114"/>
        <v/>
      </c>
      <c r="L1462" s="50" t="str">
        <f>IF(D1462="","",IF(COUNTIF(Paramètres!$A$11:$A$40,D1462)&gt;0,1,0))</f>
        <v/>
      </c>
    </row>
    <row r="1463" spans="1:12" hidden="1" x14ac:dyDescent="0.25">
      <c r="A1463" s="49"/>
      <c r="B1463" s="49"/>
      <c r="C1463" s="49"/>
      <c r="D1463" s="50" t="str">
        <f t="shared" si="110"/>
        <v/>
      </c>
      <c r="E1463" s="50" t="str">
        <f t="shared" si="111"/>
        <v/>
      </c>
      <c r="F1463" s="50" t="str">
        <f t="shared" si="112"/>
        <v/>
      </c>
      <c r="G1463" s="50" t="str">
        <f t="shared" si="113"/>
        <v/>
      </c>
      <c r="H1463" s="51" t="str">
        <f>IF($C1463="","",IFERROR(DATE(G1463,VLOOKUP(E1463,Paramètres!$K$11:$L$40,2,FALSE()),F1463),"?"))</f>
        <v/>
      </c>
      <c r="I1463" s="50" t="str">
        <f>IF(ISNUMBER(H1463),IF(COUNTIFS($D$2:D1463,D1463,$H$2:H1463,H1463)=1,1,0),"")</f>
        <v/>
      </c>
      <c r="J1463" s="50" t="str">
        <f>IF(ISNUMBER(H1463),IFERROR(INDEX(Calendrier!$C$2:$C$367,MATCH(H1463,Calendrier!$A$2:$A$367,0)),0),"")</f>
        <v/>
      </c>
      <c r="K1463" s="50" t="str">
        <f t="shared" si="114"/>
        <v/>
      </c>
      <c r="L1463" s="50" t="str">
        <f>IF(D1463="","",IF(COUNTIF(Paramètres!$A$11:$A$40,D1463)&gt;0,1,0))</f>
        <v/>
      </c>
    </row>
    <row r="1464" spans="1:12" hidden="1" x14ac:dyDescent="0.25">
      <c r="A1464" s="49"/>
      <c r="B1464" s="49"/>
      <c r="C1464" s="49"/>
      <c r="D1464" s="50" t="str">
        <f t="shared" si="110"/>
        <v/>
      </c>
      <c r="E1464" s="50" t="str">
        <f t="shared" si="111"/>
        <v/>
      </c>
      <c r="F1464" s="50" t="str">
        <f t="shared" si="112"/>
        <v/>
      </c>
      <c r="G1464" s="50" t="str">
        <f t="shared" si="113"/>
        <v/>
      </c>
      <c r="H1464" s="51" t="str">
        <f>IF($C1464="","",IFERROR(DATE(G1464,VLOOKUP(E1464,Paramètres!$K$11:$L$40,2,FALSE()),F1464),"?"))</f>
        <v/>
      </c>
      <c r="I1464" s="50" t="str">
        <f>IF(ISNUMBER(H1464),IF(COUNTIFS($D$2:D1464,D1464,$H$2:H1464,H1464)=1,1,0),"")</f>
        <v/>
      </c>
      <c r="J1464" s="50" t="str">
        <f>IF(ISNUMBER(H1464),IFERROR(INDEX(Calendrier!$C$2:$C$367,MATCH(H1464,Calendrier!$A$2:$A$367,0)),0),"")</f>
        <v/>
      </c>
      <c r="K1464" s="50" t="str">
        <f t="shared" si="114"/>
        <v/>
      </c>
      <c r="L1464" s="50" t="str">
        <f>IF(D1464="","",IF(COUNTIF(Paramètres!$A$11:$A$40,D1464)&gt;0,1,0))</f>
        <v/>
      </c>
    </row>
    <row r="1465" spans="1:12" hidden="1" x14ac:dyDescent="0.25">
      <c r="A1465" s="49"/>
      <c r="B1465" s="49"/>
      <c r="C1465" s="49"/>
      <c r="D1465" s="50" t="str">
        <f t="shared" si="110"/>
        <v/>
      </c>
      <c r="E1465" s="50" t="str">
        <f t="shared" si="111"/>
        <v/>
      </c>
      <c r="F1465" s="50" t="str">
        <f t="shared" si="112"/>
        <v/>
      </c>
      <c r="G1465" s="50" t="str">
        <f t="shared" si="113"/>
        <v/>
      </c>
      <c r="H1465" s="51" t="str">
        <f>IF($C1465="","",IFERROR(DATE(G1465,VLOOKUP(E1465,Paramètres!$K$11:$L$40,2,FALSE()),F1465),"?"))</f>
        <v/>
      </c>
      <c r="I1465" s="50" t="str">
        <f>IF(ISNUMBER(H1465),IF(COUNTIFS($D$2:D1465,D1465,$H$2:H1465,H1465)=1,1,0),"")</f>
        <v/>
      </c>
      <c r="J1465" s="50" t="str">
        <f>IF(ISNUMBER(H1465),IFERROR(INDEX(Calendrier!$C$2:$C$367,MATCH(H1465,Calendrier!$A$2:$A$367,0)),0),"")</f>
        <v/>
      </c>
      <c r="K1465" s="50" t="str">
        <f t="shared" si="114"/>
        <v/>
      </c>
      <c r="L1465" s="50" t="str">
        <f>IF(D1465="","",IF(COUNTIF(Paramètres!$A$11:$A$40,D1465)&gt;0,1,0))</f>
        <v/>
      </c>
    </row>
    <row r="1466" spans="1:12" hidden="1" x14ac:dyDescent="0.25">
      <c r="A1466" s="49"/>
      <c r="B1466" s="49"/>
      <c r="C1466" s="49"/>
      <c r="D1466" s="50" t="str">
        <f t="shared" si="110"/>
        <v/>
      </c>
      <c r="E1466" s="50" t="str">
        <f t="shared" si="111"/>
        <v/>
      </c>
      <c r="F1466" s="50" t="str">
        <f t="shared" si="112"/>
        <v/>
      </c>
      <c r="G1466" s="50" t="str">
        <f t="shared" si="113"/>
        <v/>
      </c>
      <c r="H1466" s="51" t="str">
        <f>IF($C1466="","",IFERROR(DATE(G1466,VLOOKUP(E1466,Paramètres!$K$11:$L$40,2,FALSE()),F1466),"?"))</f>
        <v/>
      </c>
      <c r="I1466" s="50" t="str">
        <f>IF(ISNUMBER(H1466),IF(COUNTIFS($D$2:D1466,D1466,$H$2:H1466,H1466)=1,1,0),"")</f>
        <v/>
      </c>
      <c r="J1466" s="50" t="str">
        <f>IF(ISNUMBER(H1466),IFERROR(INDEX(Calendrier!$C$2:$C$367,MATCH(H1466,Calendrier!$A$2:$A$367,0)),0),"")</f>
        <v/>
      </c>
      <c r="K1466" s="50" t="str">
        <f t="shared" si="114"/>
        <v/>
      </c>
      <c r="L1466" s="50" t="str">
        <f>IF(D1466="","",IF(COUNTIF(Paramètres!$A$11:$A$40,D1466)&gt;0,1,0))</f>
        <v/>
      </c>
    </row>
    <row r="1467" spans="1:12" hidden="1" x14ac:dyDescent="0.25">
      <c r="A1467" s="49"/>
      <c r="B1467" s="49"/>
      <c r="C1467" s="49"/>
      <c r="D1467" s="50" t="str">
        <f t="shared" si="110"/>
        <v/>
      </c>
      <c r="E1467" s="50" t="str">
        <f t="shared" si="111"/>
        <v/>
      </c>
      <c r="F1467" s="50" t="str">
        <f t="shared" si="112"/>
        <v/>
      </c>
      <c r="G1467" s="50" t="str">
        <f t="shared" si="113"/>
        <v/>
      </c>
      <c r="H1467" s="51" t="str">
        <f>IF($C1467="","",IFERROR(DATE(G1467,VLOOKUP(E1467,Paramètres!$K$11:$L$40,2,FALSE()),F1467),"?"))</f>
        <v/>
      </c>
      <c r="I1467" s="50" t="str">
        <f>IF(ISNUMBER(H1467),IF(COUNTIFS($D$2:D1467,D1467,$H$2:H1467,H1467)=1,1,0),"")</f>
        <v/>
      </c>
      <c r="J1467" s="50" t="str">
        <f>IF(ISNUMBER(H1467),IFERROR(INDEX(Calendrier!$C$2:$C$367,MATCH(H1467,Calendrier!$A$2:$A$367,0)),0),"")</f>
        <v/>
      </c>
      <c r="K1467" s="50" t="str">
        <f t="shared" si="114"/>
        <v/>
      </c>
      <c r="L1467" s="50" t="str">
        <f>IF(D1467="","",IF(COUNTIF(Paramètres!$A$11:$A$40,D1467)&gt;0,1,0))</f>
        <v/>
      </c>
    </row>
    <row r="1468" spans="1:12" hidden="1" x14ac:dyDescent="0.25">
      <c r="A1468" s="49"/>
      <c r="B1468" s="49"/>
      <c r="C1468" s="49"/>
      <c r="D1468" s="50" t="str">
        <f t="shared" si="110"/>
        <v/>
      </c>
      <c r="E1468" s="50" t="str">
        <f t="shared" si="111"/>
        <v/>
      </c>
      <c r="F1468" s="50" t="str">
        <f t="shared" si="112"/>
        <v/>
      </c>
      <c r="G1468" s="50" t="str">
        <f t="shared" si="113"/>
        <v/>
      </c>
      <c r="H1468" s="51" t="str">
        <f>IF($C1468="","",IFERROR(DATE(G1468,VLOOKUP(E1468,Paramètres!$K$11:$L$40,2,FALSE()),F1468),"?"))</f>
        <v/>
      </c>
      <c r="I1468" s="50" t="str">
        <f>IF(ISNUMBER(H1468),IF(COUNTIFS($D$2:D1468,D1468,$H$2:H1468,H1468)=1,1,0),"")</f>
        <v/>
      </c>
      <c r="J1468" s="50" t="str">
        <f>IF(ISNUMBER(H1468),IFERROR(INDEX(Calendrier!$C$2:$C$367,MATCH(H1468,Calendrier!$A$2:$A$367,0)),0),"")</f>
        <v/>
      </c>
      <c r="K1468" s="50" t="str">
        <f t="shared" si="114"/>
        <v/>
      </c>
      <c r="L1468" s="50" t="str">
        <f>IF(D1468="","",IF(COUNTIF(Paramètres!$A$11:$A$40,D1468)&gt;0,1,0))</f>
        <v/>
      </c>
    </row>
    <row r="1469" spans="1:12" hidden="1" x14ac:dyDescent="0.25">
      <c r="A1469" s="49"/>
      <c r="B1469" s="49"/>
      <c r="C1469" s="49"/>
      <c r="D1469" s="50" t="str">
        <f t="shared" si="110"/>
        <v/>
      </c>
      <c r="E1469" s="50" t="str">
        <f t="shared" si="111"/>
        <v/>
      </c>
      <c r="F1469" s="50" t="str">
        <f t="shared" si="112"/>
        <v/>
      </c>
      <c r="G1469" s="50" t="str">
        <f t="shared" si="113"/>
        <v/>
      </c>
      <c r="H1469" s="51" t="str">
        <f>IF($C1469="","",IFERROR(DATE(G1469,VLOOKUP(E1469,Paramètres!$K$11:$L$40,2,FALSE()),F1469),"?"))</f>
        <v/>
      </c>
      <c r="I1469" s="50" t="str">
        <f>IF(ISNUMBER(H1469),IF(COUNTIFS($D$2:D1469,D1469,$H$2:H1469,H1469)=1,1,0),"")</f>
        <v/>
      </c>
      <c r="J1469" s="50" t="str">
        <f>IF(ISNUMBER(H1469),IFERROR(INDEX(Calendrier!$C$2:$C$367,MATCH(H1469,Calendrier!$A$2:$A$367,0)),0),"")</f>
        <v/>
      </c>
      <c r="K1469" s="50" t="str">
        <f t="shared" si="114"/>
        <v/>
      </c>
      <c r="L1469" s="50" t="str">
        <f>IF(D1469="","",IF(COUNTIF(Paramètres!$A$11:$A$40,D1469)&gt;0,1,0))</f>
        <v/>
      </c>
    </row>
    <row r="1470" spans="1:12" hidden="1" x14ac:dyDescent="0.25">
      <c r="A1470" s="49"/>
      <c r="B1470" s="49"/>
      <c r="C1470" s="49"/>
      <c r="D1470" s="50" t="str">
        <f t="shared" si="110"/>
        <v/>
      </c>
      <c r="E1470" s="50" t="str">
        <f t="shared" si="111"/>
        <v/>
      </c>
      <c r="F1470" s="50" t="str">
        <f t="shared" si="112"/>
        <v/>
      </c>
      <c r="G1470" s="50" t="str">
        <f t="shared" si="113"/>
        <v/>
      </c>
      <c r="H1470" s="51" t="str">
        <f>IF($C1470="","",IFERROR(DATE(G1470,VLOOKUP(E1470,Paramètres!$K$11:$L$40,2,FALSE()),F1470),"?"))</f>
        <v/>
      </c>
      <c r="I1470" s="50" t="str">
        <f>IF(ISNUMBER(H1470),IF(COUNTIFS($D$2:D1470,D1470,$H$2:H1470,H1470)=1,1,0),"")</f>
        <v/>
      </c>
      <c r="J1470" s="50" t="str">
        <f>IF(ISNUMBER(H1470),IFERROR(INDEX(Calendrier!$C$2:$C$367,MATCH(H1470,Calendrier!$A$2:$A$367,0)),0),"")</f>
        <v/>
      </c>
      <c r="K1470" s="50" t="str">
        <f t="shared" si="114"/>
        <v/>
      </c>
      <c r="L1470" s="50" t="str">
        <f>IF(D1470="","",IF(COUNTIF(Paramètres!$A$11:$A$40,D1470)&gt;0,1,0))</f>
        <v/>
      </c>
    </row>
    <row r="1471" spans="1:12" hidden="1" x14ac:dyDescent="0.25">
      <c r="A1471" s="49"/>
      <c r="B1471" s="49"/>
      <c r="C1471" s="49"/>
      <c r="D1471" s="50" t="str">
        <f t="shared" si="110"/>
        <v/>
      </c>
      <c r="E1471" s="50" t="str">
        <f t="shared" si="111"/>
        <v/>
      </c>
      <c r="F1471" s="50" t="str">
        <f t="shared" si="112"/>
        <v/>
      </c>
      <c r="G1471" s="50" t="str">
        <f t="shared" si="113"/>
        <v/>
      </c>
      <c r="H1471" s="51" t="str">
        <f>IF($C1471="","",IFERROR(DATE(G1471,VLOOKUP(E1471,Paramètres!$K$11:$L$40,2,FALSE()),F1471),"?"))</f>
        <v/>
      </c>
      <c r="I1471" s="50" t="str">
        <f>IF(ISNUMBER(H1471),IF(COUNTIFS($D$2:D1471,D1471,$H$2:H1471,H1471)=1,1,0),"")</f>
        <v/>
      </c>
      <c r="J1471" s="50" t="str">
        <f>IF(ISNUMBER(H1471),IFERROR(INDEX(Calendrier!$C$2:$C$367,MATCH(H1471,Calendrier!$A$2:$A$367,0)),0),"")</f>
        <v/>
      </c>
      <c r="K1471" s="50" t="str">
        <f t="shared" si="114"/>
        <v/>
      </c>
      <c r="L1471" s="50" t="str">
        <f>IF(D1471="","",IF(COUNTIF(Paramètres!$A$11:$A$40,D1471)&gt;0,1,0))</f>
        <v/>
      </c>
    </row>
    <row r="1472" spans="1:12" hidden="1" x14ac:dyDescent="0.25">
      <c r="A1472" s="49"/>
      <c r="B1472" s="49"/>
      <c r="C1472" s="49"/>
      <c r="D1472" s="50" t="str">
        <f t="shared" si="110"/>
        <v/>
      </c>
      <c r="E1472" s="50" t="str">
        <f t="shared" si="111"/>
        <v/>
      </c>
      <c r="F1472" s="50" t="str">
        <f t="shared" si="112"/>
        <v/>
      </c>
      <c r="G1472" s="50" t="str">
        <f t="shared" si="113"/>
        <v/>
      </c>
      <c r="H1472" s="51" t="str">
        <f>IF($C1472="","",IFERROR(DATE(G1472,VLOOKUP(E1472,Paramètres!$K$11:$L$40,2,FALSE()),F1472),"?"))</f>
        <v/>
      </c>
      <c r="I1472" s="50" t="str">
        <f>IF(ISNUMBER(H1472),IF(COUNTIFS($D$2:D1472,D1472,$H$2:H1472,H1472)=1,1,0),"")</f>
        <v/>
      </c>
      <c r="J1472" s="50" t="str">
        <f>IF(ISNUMBER(H1472),IFERROR(INDEX(Calendrier!$C$2:$C$367,MATCH(H1472,Calendrier!$A$2:$A$367,0)),0),"")</f>
        <v/>
      </c>
      <c r="K1472" s="50" t="str">
        <f t="shared" si="114"/>
        <v/>
      </c>
      <c r="L1472" s="50" t="str">
        <f>IF(D1472="","",IF(COUNTIF(Paramètres!$A$11:$A$40,D1472)&gt;0,1,0))</f>
        <v/>
      </c>
    </row>
    <row r="1473" spans="1:12" hidden="1" x14ac:dyDescent="0.25">
      <c r="A1473" s="49"/>
      <c r="B1473" s="49"/>
      <c r="C1473" s="49"/>
      <c r="D1473" s="50" t="str">
        <f t="shared" si="110"/>
        <v/>
      </c>
      <c r="E1473" s="50" t="str">
        <f t="shared" si="111"/>
        <v/>
      </c>
      <c r="F1473" s="50" t="str">
        <f t="shared" si="112"/>
        <v/>
      </c>
      <c r="G1473" s="50" t="str">
        <f t="shared" si="113"/>
        <v/>
      </c>
      <c r="H1473" s="51" t="str">
        <f>IF($C1473="","",IFERROR(DATE(G1473,VLOOKUP(E1473,Paramètres!$K$11:$L$40,2,FALSE()),F1473),"?"))</f>
        <v/>
      </c>
      <c r="I1473" s="50" t="str">
        <f>IF(ISNUMBER(H1473),IF(COUNTIFS($D$2:D1473,D1473,$H$2:H1473,H1473)=1,1,0),"")</f>
        <v/>
      </c>
      <c r="J1473" s="50" t="str">
        <f>IF(ISNUMBER(H1473),IFERROR(INDEX(Calendrier!$C$2:$C$367,MATCH(H1473,Calendrier!$A$2:$A$367,0)),0),"")</f>
        <v/>
      </c>
      <c r="K1473" s="50" t="str">
        <f t="shared" si="114"/>
        <v/>
      </c>
      <c r="L1473" s="50" t="str">
        <f>IF(D1473="","",IF(COUNTIF(Paramètres!$A$11:$A$40,D1473)&gt;0,1,0))</f>
        <v/>
      </c>
    </row>
    <row r="1474" spans="1:12" hidden="1" x14ac:dyDescent="0.25">
      <c r="A1474" s="49"/>
      <c r="B1474" s="49"/>
      <c r="C1474" s="49"/>
      <c r="D1474" s="50" t="str">
        <f t="shared" ref="D1474:D1537" si="115">IF(B1474="","",TRIM(B1474))</f>
        <v/>
      </c>
      <c r="E1474" s="50" t="str">
        <f t="shared" ref="E1474:E1537" si="116">IF($C1474="","",LEFT($C1474,FIND(" ",$C1474)-1))</f>
        <v/>
      </c>
      <c r="F1474" s="50" t="str">
        <f t="shared" ref="F1474:F1537" si="117">IF($C1474="","",IFERROR(VALUE(LEFT(MID($C1474,FIND(" ",$C1474)+1,20),FIND(" ",MID($C1474,FIND(" ",$C1474)+1,20))-1)),"?"))</f>
        <v/>
      </c>
      <c r="G1474" s="50" t="str">
        <f t="shared" ref="G1474:G1537" si="118">IF($C1474="","",IFERROR(VALUE(MID(MID($C1474,FIND(" ",$C1474)+1,20),FIND(" ",MID($C1474,FIND(" ",$C1474)+1,20))+1,4)),"?"))</f>
        <v/>
      </c>
      <c r="H1474" s="51" t="str">
        <f>IF($C1474="","",IFERROR(DATE(G1474,VLOOKUP(E1474,Paramètres!$K$11:$L$40,2,FALSE()),F1474),"?"))</f>
        <v/>
      </c>
      <c r="I1474" s="50" t="str">
        <f>IF(ISNUMBER(H1474),IF(COUNTIFS($D$2:D1474,D1474,$H$2:H1474,H1474)=1,1,0),"")</f>
        <v/>
      </c>
      <c r="J1474" s="50" t="str">
        <f>IF(ISNUMBER(H1474),IFERROR(INDEX(Calendrier!$C$2:$C$367,MATCH(H1474,Calendrier!$A$2:$A$367,0)),0),"")</f>
        <v/>
      </c>
      <c r="K1474" s="50" t="str">
        <f t="shared" ref="K1474:K1537" si="119">IF(ISNUMBER(H1474),I1474*J1474,"")</f>
        <v/>
      </c>
      <c r="L1474" s="50" t="str">
        <f>IF(D1474="","",IF(COUNTIF(Paramètres!$A$11:$A$40,D1474)&gt;0,1,0))</f>
        <v/>
      </c>
    </row>
    <row r="1475" spans="1:12" hidden="1" x14ac:dyDescent="0.25">
      <c r="A1475" s="49"/>
      <c r="B1475" s="49"/>
      <c r="C1475" s="49"/>
      <c r="D1475" s="50" t="str">
        <f t="shared" si="115"/>
        <v/>
      </c>
      <c r="E1475" s="50" t="str">
        <f t="shared" si="116"/>
        <v/>
      </c>
      <c r="F1475" s="50" t="str">
        <f t="shared" si="117"/>
        <v/>
      </c>
      <c r="G1475" s="50" t="str">
        <f t="shared" si="118"/>
        <v/>
      </c>
      <c r="H1475" s="51" t="str">
        <f>IF($C1475="","",IFERROR(DATE(G1475,VLOOKUP(E1475,Paramètres!$K$11:$L$40,2,FALSE()),F1475),"?"))</f>
        <v/>
      </c>
      <c r="I1475" s="50" t="str">
        <f>IF(ISNUMBER(H1475),IF(COUNTIFS($D$2:D1475,D1475,$H$2:H1475,H1475)=1,1,0),"")</f>
        <v/>
      </c>
      <c r="J1475" s="50" t="str">
        <f>IF(ISNUMBER(H1475),IFERROR(INDEX(Calendrier!$C$2:$C$367,MATCH(H1475,Calendrier!$A$2:$A$367,0)),0),"")</f>
        <v/>
      </c>
      <c r="K1475" s="50" t="str">
        <f t="shared" si="119"/>
        <v/>
      </c>
      <c r="L1475" s="50" t="str">
        <f>IF(D1475="","",IF(COUNTIF(Paramètres!$A$11:$A$40,D1475)&gt;0,1,0))</f>
        <v/>
      </c>
    </row>
    <row r="1476" spans="1:12" hidden="1" x14ac:dyDescent="0.25">
      <c r="A1476" s="49"/>
      <c r="B1476" s="49"/>
      <c r="C1476" s="49"/>
      <c r="D1476" s="50" t="str">
        <f t="shared" si="115"/>
        <v/>
      </c>
      <c r="E1476" s="50" t="str">
        <f t="shared" si="116"/>
        <v/>
      </c>
      <c r="F1476" s="50" t="str">
        <f t="shared" si="117"/>
        <v/>
      </c>
      <c r="G1476" s="50" t="str">
        <f t="shared" si="118"/>
        <v/>
      </c>
      <c r="H1476" s="51" t="str">
        <f>IF($C1476="","",IFERROR(DATE(G1476,VLOOKUP(E1476,Paramètres!$K$11:$L$40,2,FALSE()),F1476),"?"))</f>
        <v/>
      </c>
      <c r="I1476" s="50" t="str">
        <f>IF(ISNUMBER(H1476),IF(COUNTIFS($D$2:D1476,D1476,$H$2:H1476,H1476)=1,1,0),"")</f>
        <v/>
      </c>
      <c r="J1476" s="50" t="str">
        <f>IF(ISNUMBER(H1476),IFERROR(INDEX(Calendrier!$C$2:$C$367,MATCH(H1476,Calendrier!$A$2:$A$367,0)),0),"")</f>
        <v/>
      </c>
      <c r="K1476" s="50" t="str">
        <f t="shared" si="119"/>
        <v/>
      </c>
      <c r="L1476" s="50" t="str">
        <f>IF(D1476="","",IF(COUNTIF(Paramètres!$A$11:$A$40,D1476)&gt;0,1,0))</f>
        <v/>
      </c>
    </row>
    <row r="1477" spans="1:12" hidden="1" x14ac:dyDescent="0.25">
      <c r="A1477" s="49"/>
      <c r="B1477" s="49"/>
      <c r="C1477" s="49"/>
      <c r="D1477" s="50" t="str">
        <f t="shared" si="115"/>
        <v/>
      </c>
      <c r="E1477" s="50" t="str">
        <f t="shared" si="116"/>
        <v/>
      </c>
      <c r="F1477" s="50" t="str">
        <f t="shared" si="117"/>
        <v/>
      </c>
      <c r="G1477" s="50" t="str">
        <f t="shared" si="118"/>
        <v/>
      </c>
      <c r="H1477" s="51" t="str">
        <f>IF($C1477="","",IFERROR(DATE(G1477,VLOOKUP(E1477,Paramètres!$K$11:$L$40,2,FALSE()),F1477),"?"))</f>
        <v/>
      </c>
      <c r="I1477" s="50" t="str">
        <f>IF(ISNUMBER(H1477),IF(COUNTIFS($D$2:D1477,D1477,$H$2:H1477,H1477)=1,1,0),"")</f>
        <v/>
      </c>
      <c r="J1477" s="50" t="str">
        <f>IF(ISNUMBER(H1477),IFERROR(INDEX(Calendrier!$C$2:$C$367,MATCH(H1477,Calendrier!$A$2:$A$367,0)),0),"")</f>
        <v/>
      </c>
      <c r="K1477" s="50" t="str">
        <f t="shared" si="119"/>
        <v/>
      </c>
      <c r="L1477" s="50" t="str">
        <f>IF(D1477="","",IF(COUNTIF(Paramètres!$A$11:$A$40,D1477)&gt;0,1,0))</f>
        <v/>
      </c>
    </row>
    <row r="1478" spans="1:12" hidden="1" x14ac:dyDescent="0.25">
      <c r="A1478" s="49"/>
      <c r="B1478" s="49"/>
      <c r="C1478" s="49"/>
      <c r="D1478" s="50" t="str">
        <f t="shared" si="115"/>
        <v/>
      </c>
      <c r="E1478" s="50" t="str">
        <f t="shared" si="116"/>
        <v/>
      </c>
      <c r="F1478" s="50" t="str">
        <f t="shared" si="117"/>
        <v/>
      </c>
      <c r="G1478" s="50" t="str">
        <f t="shared" si="118"/>
        <v/>
      </c>
      <c r="H1478" s="51" t="str">
        <f>IF($C1478="","",IFERROR(DATE(G1478,VLOOKUP(E1478,Paramètres!$K$11:$L$40,2,FALSE()),F1478),"?"))</f>
        <v/>
      </c>
      <c r="I1478" s="50" t="str">
        <f>IF(ISNUMBER(H1478),IF(COUNTIFS($D$2:D1478,D1478,$H$2:H1478,H1478)=1,1,0),"")</f>
        <v/>
      </c>
      <c r="J1478" s="50" t="str">
        <f>IF(ISNUMBER(H1478),IFERROR(INDEX(Calendrier!$C$2:$C$367,MATCH(H1478,Calendrier!$A$2:$A$367,0)),0),"")</f>
        <v/>
      </c>
      <c r="K1478" s="50" t="str">
        <f t="shared" si="119"/>
        <v/>
      </c>
      <c r="L1478" s="50" t="str">
        <f>IF(D1478="","",IF(COUNTIF(Paramètres!$A$11:$A$40,D1478)&gt;0,1,0))</f>
        <v/>
      </c>
    </row>
    <row r="1479" spans="1:12" hidden="1" x14ac:dyDescent="0.25">
      <c r="A1479" s="49"/>
      <c r="B1479" s="49"/>
      <c r="C1479" s="49"/>
      <c r="D1479" s="50" t="str">
        <f t="shared" si="115"/>
        <v/>
      </c>
      <c r="E1479" s="50" t="str">
        <f t="shared" si="116"/>
        <v/>
      </c>
      <c r="F1479" s="50" t="str">
        <f t="shared" si="117"/>
        <v/>
      </c>
      <c r="G1479" s="50" t="str">
        <f t="shared" si="118"/>
        <v/>
      </c>
      <c r="H1479" s="51" t="str">
        <f>IF($C1479="","",IFERROR(DATE(G1479,VLOOKUP(E1479,Paramètres!$K$11:$L$40,2,FALSE()),F1479),"?"))</f>
        <v/>
      </c>
      <c r="I1479" s="50" t="str">
        <f>IF(ISNUMBER(H1479),IF(COUNTIFS($D$2:D1479,D1479,$H$2:H1479,H1479)=1,1,0),"")</f>
        <v/>
      </c>
      <c r="J1479" s="50" t="str">
        <f>IF(ISNUMBER(H1479),IFERROR(INDEX(Calendrier!$C$2:$C$367,MATCH(H1479,Calendrier!$A$2:$A$367,0)),0),"")</f>
        <v/>
      </c>
      <c r="K1479" s="50" t="str">
        <f t="shared" si="119"/>
        <v/>
      </c>
      <c r="L1479" s="50" t="str">
        <f>IF(D1479="","",IF(COUNTIF(Paramètres!$A$11:$A$40,D1479)&gt;0,1,0))</f>
        <v/>
      </c>
    </row>
    <row r="1480" spans="1:12" hidden="1" x14ac:dyDescent="0.25">
      <c r="A1480" s="49"/>
      <c r="B1480" s="49"/>
      <c r="C1480" s="49"/>
      <c r="D1480" s="50" t="str">
        <f t="shared" si="115"/>
        <v/>
      </c>
      <c r="E1480" s="50" t="str">
        <f t="shared" si="116"/>
        <v/>
      </c>
      <c r="F1480" s="50" t="str">
        <f t="shared" si="117"/>
        <v/>
      </c>
      <c r="G1480" s="50" t="str">
        <f t="shared" si="118"/>
        <v/>
      </c>
      <c r="H1480" s="51" t="str">
        <f>IF($C1480="","",IFERROR(DATE(G1480,VLOOKUP(E1480,Paramètres!$K$11:$L$40,2,FALSE()),F1480),"?"))</f>
        <v/>
      </c>
      <c r="I1480" s="50" t="str">
        <f>IF(ISNUMBER(H1480),IF(COUNTIFS($D$2:D1480,D1480,$H$2:H1480,H1480)=1,1,0),"")</f>
        <v/>
      </c>
      <c r="J1480" s="50" t="str">
        <f>IF(ISNUMBER(H1480),IFERROR(INDEX(Calendrier!$C$2:$C$367,MATCH(H1480,Calendrier!$A$2:$A$367,0)),0),"")</f>
        <v/>
      </c>
      <c r="K1480" s="50" t="str">
        <f t="shared" si="119"/>
        <v/>
      </c>
      <c r="L1480" s="50" t="str">
        <f>IF(D1480="","",IF(COUNTIF(Paramètres!$A$11:$A$40,D1480)&gt;0,1,0))</f>
        <v/>
      </c>
    </row>
    <row r="1481" spans="1:12" hidden="1" x14ac:dyDescent="0.25">
      <c r="A1481" s="49"/>
      <c r="B1481" s="49"/>
      <c r="C1481" s="49"/>
      <c r="D1481" s="50" t="str">
        <f t="shared" si="115"/>
        <v/>
      </c>
      <c r="E1481" s="50" t="str">
        <f t="shared" si="116"/>
        <v/>
      </c>
      <c r="F1481" s="50" t="str">
        <f t="shared" si="117"/>
        <v/>
      </c>
      <c r="G1481" s="50" t="str">
        <f t="shared" si="118"/>
        <v/>
      </c>
      <c r="H1481" s="51" t="str">
        <f>IF($C1481="","",IFERROR(DATE(G1481,VLOOKUP(E1481,Paramètres!$K$11:$L$40,2,FALSE()),F1481),"?"))</f>
        <v/>
      </c>
      <c r="I1481" s="50" t="str">
        <f>IF(ISNUMBER(H1481),IF(COUNTIFS($D$2:D1481,D1481,$H$2:H1481,H1481)=1,1,0),"")</f>
        <v/>
      </c>
      <c r="J1481" s="50" t="str">
        <f>IF(ISNUMBER(H1481),IFERROR(INDEX(Calendrier!$C$2:$C$367,MATCH(H1481,Calendrier!$A$2:$A$367,0)),0),"")</f>
        <v/>
      </c>
      <c r="K1481" s="50" t="str">
        <f t="shared" si="119"/>
        <v/>
      </c>
      <c r="L1481" s="50" t="str">
        <f>IF(D1481="","",IF(COUNTIF(Paramètres!$A$11:$A$40,D1481)&gt;0,1,0))</f>
        <v/>
      </c>
    </row>
    <row r="1482" spans="1:12" hidden="1" x14ac:dyDescent="0.25">
      <c r="A1482" s="49"/>
      <c r="B1482" s="49"/>
      <c r="C1482" s="49"/>
      <c r="D1482" s="50" t="str">
        <f t="shared" si="115"/>
        <v/>
      </c>
      <c r="E1482" s="50" t="str">
        <f t="shared" si="116"/>
        <v/>
      </c>
      <c r="F1482" s="50" t="str">
        <f t="shared" si="117"/>
        <v/>
      </c>
      <c r="G1482" s="50" t="str">
        <f t="shared" si="118"/>
        <v/>
      </c>
      <c r="H1482" s="51" t="str">
        <f>IF($C1482="","",IFERROR(DATE(G1482,VLOOKUP(E1482,Paramètres!$K$11:$L$40,2,FALSE()),F1482),"?"))</f>
        <v/>
      </c>
      <c r="I1482" s="50" t="str">
        <f>IF(ISNUMBER(H1482),IF(COUNTIFS($D$2:D1482,D1482,$H$2:H1482,H1482)=1,1,0),"")</f>
        <v/>
      </c>
      <c r="J1482" s="50" t="str">
        <f>IF(ISNUMBER(H1482),IFERROR(INDEX(Calendrier!$C$2:$C$367,MATCH(H1482,Calendrier!$A$2:$A$367,0)),0),"")</f>
        <v/>
      </c>
      <c r="K1482" s="50" t="str">
        <f t="shared" si="119"/>
        <v/>
      </c>
      <c r="L1482" s="50" t="str">
        <f>IF(D1482="","",IF(COUNTIF(Paramètres!$A$11:$A$40,D1482)&gt;0,1,0))</f>
        <v/>
      </c>
    </row>
    <row r="1483" spans="1:12" hidden="1" x14ac:dyDescent="0.25">
      <c r="A1483" s="49"/>
      <c r="B1483" s="49"/>
      <c r="C1483" s="49"/>
      <c r="D1483" s="50" t="str">
        <f t="shared" si="115"/>
        <v/>
      </c>
      <c r="E1483" s="50" t="str">
        <f t="shared" si="116"/>
        <v/>
      </c>
      <c r="F1483" s="50" t="str">
        <f t="shared" si="117"/>
        <v/>
      </c>
      <c r="G1483" s="50" t="str">
        <f t="shared" si="118"/>
        <v/>
      </c>
      <c r="H1483" s="51" t="str">
        <f>IF($C1483="","",IFERROR(DATE(G1483,VLOOKUP(E1483,Paramètres!$K$11:$L$40,2,FALSE()),F1483),"?"))</f>
        <v/>
      </c>
      <c r="I1483" s="50" t="str">
        <f>IF(ISNUMBER(H1483),IF(COUNTIFS($D$2:D1483,D1483,$H$2:H1483,H1483)=1,1,0),"")</f>
        <v/>
      </c>
      <c r="J1483" s="50" t="str">
        <f>IF(ISNUMBER(H1483),IFERROR(INDEX(Calendrier!$C$2:$C$367,MATCH(H1483,Calendrier!$A$2:$A$367,0)),0),"")</f>
        <v/>
      </c>
      <c r="K1483" s="50" t="str">
        <f t="shared" si="119"/>
        <v/>
      </c>
      <c r="L1483" s="50" t="str">
        <f>IF(D1483="","",IF(COUNTIF(Paramètres!$A$11:$A$40,D1483)&gt;0,1,0))</f>
        <v/>
      </c>
    </row>
    <row r="1484" spans="1:12" hidden="1" x14ac:dyDescent="0.25">
      <c r="A1484" s="49"/>
      <c r="B1484" s="49"/>
      <c r="C1484" s="49"/>
      <c r="D1484" s="50" t="str">
        <f t="shared" si="115"/>
        <v/>
      </c>
      <c r="E1484" s="50" t="str">
        <f t="shared" si="116"/>
        <v/>
      </c>
      <c r="F1484" s="50" t="str">
        <f t="shared" si="117"/>
        <v/>
      </c>
      <c r="G1484" s="50" t="str">
        <f t="shared" si="118"/>
        <v/>
      </c>
      <c r="H1484" s="51" t="str">
        <f>IF($C1484="","",IFERROR(DATE(G1484,VLOOKUP(E1484,Paramètres!$K$11:$L$40,2,FALSE()),F1484),"?"))</f>
        <v/>
      </c>
      <c r="I1484" s="50" t="str">
        <f>IF(ISNUMBER(H1484),IF(COUNTIFS($D$2:D1484,D1484,$H$2:H1484,H1484)=1,1,0),"")</f>
        <v/>
      </c>
      <c r="J1484" s="50" t="str">
        <f>IF(ISNUMBER(H1484),IFERROR(INDEX(Calendrier!$C$2:$C$367,MATCH(H1484,Calendrier!$A$2:$A$367,0)),0),"")</f>
        <v/>
      </c>
      <c r="K1484" s="50" t="str">
        <f t="shared" si="119"/>
        <v/>
      </c>
      <c r="L1484" s="50" t="str">
        <f>IF(D1484="","",IF(COUNTIF(Paramètres!$A$11:$A$40,D1484)&gt;0,1,0))</f>
        <v/>
      </c>
    </row>
    <row r="1485" spans="1:12" hidden="1" x14ac:dyDescent="0.25">
      <c r="A1485" s="49"/>
      <c r="B1485" s="49"/>
      <c r="C1485" s="49"/>
      <c r="D1485" s="50" t="str">
        <f t="shared" si="115"/>
        <v/>
      </c>
      <c r="E1485" s="50" t="str">
        <f t="shared" si="116"/>
        <v/>
      </c>
      <c r="F1485" s="50" t="str">
        <f t="shared" si="117"/>
        <v/>
      </c>
      <c r="G1485" s="50" t="str">
        <f t="shared" si="118"/>
        <v/>
      </c>
      <c r="H1485" s="51" t="str">
        <f>IF($C1485="","",IFERROR(DATE(G1485,VLOOKUP(E1485,Paramètres!$K$11:$L$40,2,FALSE()),F1485),"?"))</f>
        <v/>
      </c>
      <c r="I1485" s="50" t="str">
        <f>IF(ISNUMBER(H1485),IF(COUNTIFS($D$2:D1485,D1485,$H$2:H1485,H1485)=1,1,0),"")</f>
        <v/>
      </c>
      <c r="J1485" s="50" t="str">
        <f>IF(ISNUMBER(H1485),IFERROR(INDEX(Calendrier!$C$2:$C$367,MATCH(H1485,Calendrier!$A$2:$A$367,0)),0),"")</f>
        <v/>
      </c>
      <c r="K1485" s="50" t="str">
        <f t="shared" si="119"/>
        <v/>
      </c>
      <c r="L1485" s="50" t="str">
        <f>IF(D1485="","",IF(COUNTIF(Paramètres!$A$11:$A$40,D1485)&gt;0,1,0))</f>
        <v/>
      </c>
    </row>
    <row r="1486" spans="1:12" hidden="1" x14ac:dyDescent="0.25">
      <c r="A1486" s="49"/>
      <c r="B1486" s="49"/>
      <c r="C1486" s="49"/>
      <c r="D1486" s="50" t="str">
        <f t="shared" si="115"/>
        <v/>
      </c>
      <c r="E1486" s="50" t="str">
        <f t="shared" si="116"/>
        <v/>
      </c>
      <c r="F1486" s="50" t="str">
        <f t="shared" si="117"/>
        <v/>
      </c>
      <c r="G1486" s="50" t="str">
        <f t="shared" si="118"/>
        <v/>
      </c>
      <c r="H1486" s="51" t="str">
        <f>IF($C1486="","",IFERROR(DATE(G1486,VLOOKUP(E1486,Paramètres!$K$11:$L$40,2,FALSE()),F1486),"?"))</f>
        <v/>
      </c>
      <c r="I1486" s="50" t="str">
        <f>IF(ISNUMBER(H1486),IF(COUNTIFS($D$2:D1486,D1486,$H$2:H1486,H1486)=1,1,0),"")</f>
        <v/>
      </c>
      <c r="J1486" s="50" t="str">
        <f>IF(ISNUMBER(H1486),IFERROR(INDEX(Calendrier!$C$2:$C$367,MATCH(H1486,Calendrier!$A$2:$A$367,0)),0),"")</f>
        <v/>
      </c>
      <c r="K1486" s="50" t="str">
        <f t="shared" si="119"/>
        <v/>
      </c>
      <c r="L1486" s="50" t="str">
        <f>IF(D1486="","",IF(COUNTIF(Paramètres!$A$11:$A$40,D1486)&gt;0,1,0))</f>
        <v/>
      </c>
    </row>
    <row r="1487" spans="1:12" hidden="1" x14ac:dyDescent="0.25">
      <c r="A1487" s="49"/>
      <c r="B1487" s="49"/>
      <c r="C1487" s="49"/>
      <c r="D1487" s="50" t="str">
        <f t="shared" si="115"/>
        <v/>
      </c>
      <c r="E1487" s="50" t="str">
        <f t="shared" si="116"/>
        <v/>
      </c>
      <c r="F1487" s="50" t="str">
        <f t="shared" si="117"/>
        <v/>
      </c>
      <c r="G1487" s="50" t="str">
        <f t="shared" si="118"/>
        <v/>
      </c>
      <c r="H1487" s="51" t="str">
        <f>IF($C1487="","",IFERROR(DATE(G1487,VLOOKUP(E1487,Paramètres!$K$11:$L$40,2,FALSE()),F1487),"?"))</f>
        <v/>
      </c>
      <c r="I1487" s="50" t="str">
        <f>IF(ISNUMBER(H1487),IF(COUNTIFS($D$2:D1487,D1487,$H$2:H1487,H1487)=1,1,0),"")</f>
        <v/>
      </c>
      <c r="J1487" s="50" t="str">
        <f>IF(ISNUMBER(H1487),IFERROR(INDEX(Calendrier!$C$2:$C$367,MATCH(H1487,Calendrier!$A$2:$A$367,0)),0),"")</f>
        <v/>
      </c>
      <c r="K1487" s="50" t="str">
        <f t="shared" si="119"/>
        <v/>
      </c>
      <c r="L1487" s="50" t="str">
        <f>IF(D1487="","",IF(COUNTIF(Paramètres!$A$11:$A$40,D1487)&gt;0,1,0))</f>
        <v/>
      </c>
    </row>
    <row r="1488" spans="1:12" hidden="1" x14ac:dyDescent="0.25">
      <c r="A1488" s="49"/>
      <c r="B1488" s="49"/>
      <c r="C1488" s="49"/>
      <c r="D1488" s="50" t="str">
        <f t="shared" si="115"/>
        <v/>
      </c>
      <c r="E1488" s="50" t="str">
        <f t="shared" si="116"/>
        <v/>
      </c>
      <c r="F1488" s="50" t="str">
        <f t="shared" si="117"/>
        <v/>
      </c>
      <c r="G1488" s="50" t="str">
        <f t="shared" si="118"/>
        <v/>
      </c>
      <c r="H1488" s="51" t="str">
        <f>IF($C1488="","",IFERROR(DATE(G1488,VLOOKUP(E1488,Paramètres!$K$11:$L$40,2,FALSE()),F1488),"?"))</f>
        <v/>
      </c>
      <c r="I1488" s="50" t="str">
        <f>IF(ISNUMBER(H1488),IF(COUNTIFS($D$2:D1488,D1488,$H$2:H1488,H1488)=1,1,0),"")</f>
        <v/>
      </c>
      <c r="J1488" s="50" t="str">
        <f>IF(ISNUMBER(H1488),IFERROR(INDEX(Calendrier!$C$2:$C$367,MATCH(H1488,Calendrier!$A$2:$A$367,0)),0),"")</f>
        <v/>
      </c>
      <c r="K1488" s="50" t="str">
        <f t="shared" si="119"/>
        <v/>
      </c>
      <c r="L1488" s="50" t="str">
        <f>IF(D1488="","",IF(COUNTIF(Paramètres!$A$11:$A$40,D1488)&gt;0,1,0))</f>
        <v/>
      </c>
    </row>
    <row r="1489" spans="1:12" hidden="1" x14ac:dyDescent="0.25">
      <c r="A1489" s="49"/>
      <c r="B1489" s="49"/>
      <c r="C1489" s="49"/>
      <c r="D1489" s="50" t="str">
        <f t="shared" si="115"/>
        <v/>
      </c>
      <c r="E1489" s="50" t="str">
        <f t="shared" si="116"/>
        <v/>
      </c>
      <c r="F1489" s="50" t="str">
        <f t="shared" si="117"/>
        <v/>
      </c>
      <c r="G1489" s="50" t="str">
        <f t="shared" si="118"/>
        <v/>
      </c>
      <c r="H1489" s="51" t="str">
        <f>IF($C1489="","",IFERROR(DATE(G1489,VLOOKUP(E1489,Paramètres!$K$11:$L$40,2,FALSE()),F1489),"?"))</f>
        <v/>
      </c>
      <c r="I1489" s="50" t="str">
        <f>IF(ISNUMBER(H1489),IF(COUNTIFS($D$2:D1489,D1489,$H$2:H1489,H1489)=1,1,0),"")</f>
        <v/>
      </c>
      <c r="J1489" s="50" t="str">
        <f>IF(ISNUMBER(H1489),IFERROR(INDEX(Calendrier!$C$2:$C$367,MATCH(H1489,Calendrier!$A$2:$A$367,0)),0),"")</f>
        <v/>
      </c>
      <c r="K1489" s="50" t="str">
        <f t="shared" si="119"/>
        <v/>
      </c>
      <c r="L1489" s="50" t="str">
        <f>IF(D1489="","",IF(COUNTIF(Paramètres!$A$11:$A$40,D1489)&gt;0,1,0))</f>
        <v/>
      </c>
    </row>
    <row r="1490" spans="1:12" hidden="1" x14ac:dyDescent="0.25">
      <c r="A1490" s="49"/>
      <c r="B1490" s="49"/>
      <c r="C1490" s="49"/>
      <c r="D1490" s="50" t="str">
        <f t="shared" si="115"/>
        <v/>
      </c>
      <c r="E1490" s="50" t="str">
        <f t="shared" si="116"/>
        <v/>
      </c>
      <c r="F1490" s="50" t="str">
        <f t="shared" si="117"/>
        <v/>
      </c>
      <c r="G1490" s="50" t="str">
        <f t="shared" si="118"/>
        <v/>
      </c>
      <c r="H1490" s="51" t="str">
        <f>IF($C1490="","",IFERROR(DATE(G1490,VLOOKUP(E1490,Paramètres!$K$11:$L$40,2,FALSE()),F1490),"?"))</f>
        <v/>
      </c>
      <c r="I1490" s="50" t="str">
        <f>IF(ISNUMBER(H1490),IF(COUNTIFS($D$2:D1490,D1490,$H$2:H1490,H1490)=1,1,0),"")</f>
        <v/>
      </c>
      <c r="J1490" s="50" t="str">
        <f>IF(ISNUMBER(H1490),IFERROR(INDEX(Calendrier!$C$2:$C$367,MATCH(H1490,Calendrier!$A$2:$A$367,0)),0),"")</f>
        <v/>
      </c>
      <c r="K1490" s="50" t="str">
        <f t="shared" si="119"/>
        <v/>
      </c>
      <c r="L1490" s="50" t="str">
        <f>IF(D1490="","",IF(COUNTIF(Paramètres!$A$11:$A$40,D1490)&gt;0,1,0))</f>
        <v/>
      </c>
    </row>
    <row r="1491" spans="1:12" hidden="1" x14ac:dyDescent="0.25">
      <c r="A1491" s="49"/>
      <c r="B1491" s="49"/>
      <c r="C1491" s="49"/>
      <c r="D1491" s="50" t="str">
        <f t="shared" si="115"/>
        <v/>
      </c>
      <c r="E1491" s="50" t="str">
        <f t="shared" si="116"/>
        <v/>
      </c>
      <c r="F1491" s="50" t="str">
        <f t="shared" si="117"/>
        <v/>
      </c>
      <c r="G1491" s="50" t="str">
        <f t="shared" si="118"/>
        <v/>
      </c>
      <c r="H1491" s="51" t="str">
        <f>IF($C1491="","",IFERROR(DATE(G1491,VLOOKUP(E1491,Paramètres!$K$11:$L$40,2,FALSE()),F1491),"?"))</f>
        <v/>
      </c>
      <c r="I1491" s="50" t="str">
        <f>IF(ISNUMBER(H1491),IF(COUNTIFS($D$2:D1491,D1491,$H$2:H1491,H1491)=1,1,0),"")</f>
        <v/>
      </c>
      <c r="J1491" s="50" t="str">
        <f>IF(ISNUMBER(H1491),IFERROR(INDEX(Calendrier!$C$2:$C$367,MATCH(H1491,Calendrier!$A$2:$A$367,0)),0),"")</f>
        <v/>
      </c>
      <c r="K1491" s="50" t="str">
        <f t="shared" si="119"/>
        <v/>
      </c>
      <c r="L1491" s="50" t="str">
        <f>IF(D1491="","",IF(COUNTIF(Paramètres!$A$11:$A$40,D1491)&gt;0,1,0))</f>
        <v/>
      </c>
    </row>
    <row r="1492" spans="1:12" hidden="1" x14ac:dyDescent="0.25">
      <c r="A1492" s="49"/>
      <c r="B1492" s="49"/>
      <c r="C1492" s="49"/>
      <c r="D1492" s="50" t="str">
        <f t="shared" si="115"/>
        <v/>
      </c>
      <c r="E1492" s="50" t="str">
        <f t="shared" si="116"/>
        <v/>
      </c>
      <c r="F1492" s="50" t="str">
        <f t="shared" si="117"/>
        <v/>
      </c>
      <c r="G1492" s="50" t="str">
        <f t="shared" si="118"/>
        <v/>
      </c>
      <c r="H1492" s="51" t="str">
        <f>IF($C1492="","",IFERROR(DATE(G1492,VLOOKUP(E1492,Paramètres!$K$11:$L$40,2,FALSE()),F1492),"?"))</f>
        <v/>
      </c>
      <c r="I1492" s="50" t="str">
        <f>IF(ISNUMBER(H1492),IF(COUNTIFS($D$2:D1492,D1492,$H$2:H1492,H1492)=1,1,0),"")</f>
        <v/>
      </c>
      <c r="J1492" s="50" t="str">
        <f>IF(ISNUMBER(H1492),IFERROR(INDEX(Calendrier!$C$2:$C$367,MATCH(H1492,Calendrier!$A$2:$A$367,0)),0),"")</f>
        <v/>
      </c>
      <c r="K1492" s="50" t="str">
        <f t="shared" si="119"/>
        <v/>
      </c>
      <c r="L1492" s="50" t="str">
        <f>IF(D1492="","",IF(COUNTIF(Paramètres!$A$11:$A$40,D1492)&gt;0,1,0))</f>
        <v/>
      </c>
    </row>
    <row r="1493" spans="1:12" hidden="1" x14ac:dyDescent="0.25">
      <c r="A1493" s="49"/>
      <c r="B1493" s="49"/>
      <c r="C1493" s="49"/>
      <c r="D1493" s="50" t="str">
        <f t="shared" si="115"/>
        <v/>
      </c>
      <c r="E1493" s="50" t="str">
        <f t="shared" si="116"/>
        <v/>
      </c>
      <c r="F1493" s="50" t="str">
        <f t="shared" si="117"/>
        <v/>
      </c>
      <c r="G1493" s="50" t="str">
        <f t="shared" si="118"/>
        <v/>
      </c>
      <c r="H1493" s="51" t="str">
        <f>IF($C1493="","",IFERROR(DATE(G1493,VLOOKUP(E1493,Paramètres!$K$11:$L$40,2,FALSE()),F1493),"?"))</f>
        <v/>
      </c>
      <c r="I1493" s="50" t="str">
        <f>IF(ISNUMBER(H1493),IF(COUNTIFS($D$2:D1493,D1493,$H$2:H1493,H1493)=1,1,0),"")</f>
        <v/>
      </c>
      <c r="J1493" s="50" t="str">
        <f>IF(ISNUMBER(H1493),IFERROR(INDEX(Calendrier!$C$2:$C$367,MATCH(H1493,Calendrier!$A$2:$A$367,0)),0),"")</f>
        <v/>
      </c>
      <c r="K1493" s="50" t="str">
        <f t="shared" si="119"/>
        <v/>
      </c>
      <c r="L1493" s="50" t="str">
        <f>IF(D1493="","",IF(COUNTIF(Paramètres!$A$11:$A$40,D1493)&gt;0,1,0))</f>
        <v/>
      </c>
    </row>
    <row r="1494" spans="1:12" hidden="1" x14ac:dyDescent="0.25">
      <c r="A1494" s="49"/>
      <c r="B1494" s="49"/>
      <c r="C1494" s="49"/>
      <c r="D1494" s="50" t="str">
        <f t="shared" si="115"/>
        <v/>
      </c>
      <c r="E1494" s="50" t="str">
        <f t="shared" si="116"/>
        <v/>
      </c>
      <c r="F1494" s="50" t="str">
        <f t="shared" si="117"/>
        <v/>
      </c>
      <c r="G1494" s="50" t="str">
        <f t="shared" si="118"/>
        <v/>
      </c>
      <c r="H1494" s="51" t="str">
        <f>IF($C1494="","",IFERROR(DATE(G1494,VLOOKUP(E1494,Paramètres!$K$11:$L$40,2,FALSE()),F1494),"?"))</f>
        <v/>
      </c>
      <c r="I1494" s="50" t="str">
        <f>IF(ISNUMBER(H1494),IF(COUNTIFS($D$2:D1494,D1494,$H$2:H1494,H1494)=1,1,0),"")</f>
        <v/>
      </c>
      <c r="J1494" s="50" t="str">
        <f>IF(ISNUMBER(H1494),IFERROR(INDEX(Calendrier!$C$2:$C$367,MATCH(H1494,Calendrier!$A$2:$A$367,0)),0),"")</f>
        <v/>
      </c>
      <c r="K1494" s="50" t="str">
        <f t="shared" si="119"/>
        <v/>
      </c>
      <c r="L1494" s="50" t="str">
        <f>IF(D1494="","",IF(COUNTIF(Paramètres!$A$11:$A$40,D1494)&gt;0,1,0))</f>
        <v/>
      </c>
    </row>
    <row r="1495" spans="1:12" hidden="1" x14ac:dyDescent="0.25">
      <c r="A1495" s="49"/>
      <c r="B1495" s="49"/>
      <c r="C1495" s="49"/>
      <c r="D1495" s="50" t="str">
        <f t="shared" si="115"/>
        <v/>
      </c>
      <c r="E1495" s="50" t="str">
        <f t="shared" si="116"/>
        <v/>
      </c>
      <c r="F1495" s="50" t="str">
        <f t="shared" si="117"/>
        <v/>
      </c>
      <c r="G1495" s="50" t="str">
        <f t="shared" si="118"/>
        <v/>
      </c>
      <c r="H1495" s="51" t="str">
        <f>IF($C1495="","",IFERROR(DATE(G1495,VLOOKUP(E1495,Paramètres!$K$11:$L$40,2,FALSE()),F1495),"?"))</f>
        <v/>
      </c>
      <c r="I1495" s="50" t="str">
        <f>IF(ISNUMBER(H1495),IF(COUNTIFS($D$2:D1495,D1495,$H$2:H1495,H1495)=1,1,0),"")</f>
        <v/>
      </c>
      <c r="J1495" s="50" t="str">
        <f>IF(ISNUMBER(H1495),IFERROR(INDEX(Calendrier!$C$2:$C$367,MATCH(H1495,Calendrier!$A$2:$A$367,0)),0),"")</f>
        <v/>
      </c>
      <c r="K1495" s="50" t="str">
        <f t="shared" si="119"/>
        <v/>
      </c>
      <c r="L1495" s="50" t="str">
        <f>IF(D1495="","",IF(COUNTIF(Paramètres!$A$11:$A$40,D1495)&gt;0,1,0))</f>
        <v/>
      </c>
    </row>
    <row r="1496" spans="1:12" hidden="1" x14ac:dyDescent="0.25">
      <c r="A1496" s="49"/>
      <c r="B1496" s="49"/>
      <c r="C1496" s="49"/>
      <c r="D1496" s="50" t="str">
        <f t="shared" si="115"/>
        <v/>
      </c>
      <c r="E1496" s="50" t="str">
        <f t="shared" si="116"/>
        <v/>
      </c>
      <c r="F1496" s="50" t="str">
        <f t="shared" si="117"/>
        <v/>
      </c>
      <c r="G1496" s="50" t="str">
        <f t="shared" si="118"/>
        <v/>
      </c>
      <c r="H1496" s="51" t="str">
        <f>IF($C1496="","",IFERROR(DATE(G1496,VLOOKUP(E1496,Paramètres!$K$11:$L$40,2,FALSE()),F1496),"?"))</f>
        <v/>
      </c>
      <c r="I1496" s="50" t="str">
        <f>IF(ISNUMBER(H1496),IF(COUNTIFS($D$2:D1496,D1496,$H$2:H1496,H1496)=1,1,0),"")</f>
        <v/>
      </c>
      <c r="J1496" s="50" t="str">
        <f>IF(ISNUMBER(H1496),IFERROR(INDEX(Calendrier!$C$2:$C$367,MATCH(H1496,Calendrier!$A$2:$A$367,0)),0),"")</f>
        <v/>
      </c>
      <c r="K1496" s="50" t="str">
        <f t="shared" si="119"/>
        <v/>
      </c>
      <c r="L1496" s="50" t="str">
        <f>IF(D1496="","",IF(COUNTIF(Paramètres!$A$11:$A$40,D1496)&gt;0,1,0))</f>
        <v/>
      </c>
    </row>
    <row r="1497" spans="1:12" hidden="1" x14ac:dyDescent="0.25">
      <c r="A1497" s="49"/>
      <c r="B1497" s="49"/>
      <c r="C1497" s="49"/>
      <c r="D1497" s="50" t="str">
        <f t="shared" si="115"/>
        <v/>
      </c>
      <c r="E1497" s="50" t="str">
        <f t="shared" si="116"/>
        <v/>
      </c>
      <c r="F1497" s="50" t="str">
        <f t="shared" si="117"/>
        <v/>
      </c>
      <c r="G1497" s="50" t="str">
        <f t="shared" si="118"/>
        <v/>
      </c>
      <c r="H1497" s="51" t="str">
        <f>IF($C1497="","",IFERROR(DATE(G1497,VLOOKUP(E1497,Paramètres!$K$11:$L$40,2,FALSE()),F1497),"?"))</f>
        <v/>
      </c>
      <c r="I1497" s="50" t="str">
        <f>IF(ISNUMBER(H1497),IF(COUNTIFS($D$2:D1497,D1497,$H$2:H1497,H1497)=1,1,0),"")</f>
        <v/>
      </c>
      <c r="J1497" s="50" t="str">
        <f>IF(ISNUMBER(H1497),IFERROR(INDEX(Calendrier!$C$2:$C$367,MATCH(H1497,Calendrier!$A$2:$A$367,0)),0),"")</f>
        <v/>
      </c>
      <c r="K1497" s="50" t="str">
        <f t="shared" si="119"/>
        <v/>
      </c>
      <c r="L1497" s="50" t="str">
        <f>IF(D1497="","",IF(COUNTIF(Paramètres!$A$11:$A$40,D1497)&gt;0,1,0))</f>
        <v/>
      </c>
    </row>
    <row r="1498" spans="1:12" hidden="1" x14ac:dyDescent="0.25">
      <c r="A1498" s="49"/>
      <c r="B1498" s="49"/>
      <c r="C1498" s="49"/>
      <c r="D1498" s="50" t="str">
        <f t="shared" si="115"/>
        <v/>
      </c>
      <c r="E1498" s="50" t="str">
        <f t="shared" si="116"/>
        <v/>
      </c>
      <c r="F1498" s="50" t="str">
        <f t="shared" si="117"/>
        <v/>
      </c>
      <c r="G1498" s="50" t="str">
        <f t="shared" si="118"/>
        <v/>
      </c>
      <c r="H1498" s="51" t="str">
        <f>IF($C1498="","",IFERROR(DATE(G1498,VLOOKUP(E1498,Paramètres!$K$11:$L$40,2,FALSE()),F1498),"?"))</f>
        <v/>
      </c>
      <c r="I1498" s="50" t="str">
        <f>IF(ISNUMBER(H1498),IF(COUNTIFS($D$2:D1498,D1498,$H$2:H1498,H1498)=1,1,0),"")</f>
        <v/>
      </c>
      <c r="J1498" s="50" t="str">
        <f>IF(ISNUMBER(H1498),IFERROR(INDEX(Calendrier!$C$2:$C$367,MATCH(H1498,Calendrier!$A$2:$A$367,0)),0),"")</f>
        <v/>
      </c>
      <c r="K1498" s="50" t="str">
        <f t="shared" si="119"/>
        <v/>
      </c>
      <c r="L1498" s="50" t="str">
        <f>IF(D1498="","",IF(COUNTIF(Paramètres!$A$11:$A$40,D1498)&gt;0,1,0))</f>
        <v/>
      </c>
    </row>
    <row r="1499" spans="1:12" hidden="1" x14ac:dyDescent="0.25">
      <c r="A1499" s="49"/>
      <c r="B1499" s="49"/>
      <c r="C1499" s="49"/>
      <c r="D1499" s="50" t="str">
        <f t="shared" si="115"/>
        <v/>
      </c>
      <c r="E1499" s="50" t="str">
        <f t="shared" si="116"/>
        <v/>
      </c>
      <c r="F1499" s="50" t="str">
        <f t="shared" si="117"/>
        <v/>
      </c>
      <c r="G1499" s="50" t="str">
        <f t="shared" si="118"/>
        <v/>
      </c>
      <c r="H1499" s="51" t="str">
        <f>IF($C1499="","",IFERROR(DATE(G1499,VLOOKUP(E1499,Paramètres!$K$11:$L$40,2,FALSE()),F1499),"?"))</f>
        <v/>
      </c>
      <c r="I1499" s="50" t="str">
        <f>IF(ISNUMBER(H1499),IF(COUNTIFS($D$2:D1499,D1499,$H$2:H1499,H1499)=1,1,0),"")</f>
        <v/>
      </c>
      <c r="J1499" s="50" t="str">
        <f>IF(ISNUMBER(H1499),IFERROR(INDEX(Calendrier!$C$2:$C$367,MATCH(H1499,Calendrier!$A$2:$A$367,0)),0),"")</f>
        <v/>
      </c>
      <c r="K1499" s="50" t="str">
        <f t="shared" si="119"/>
        <v/>
      </c>
      <c r="L1499" s="50" t="str">
        <f>IF(D1499="","",IF(COUNTIF(Paramètres!$A$11:$A$40,D1499)&gt;0,1,0))</f>
        <v/>
      </c>
    </row>
    <row r="1500" spans="1:12" hidden="1" x14ac:dyDescent="0.25">
      <c r="A1500" s="49"/>
      <c r="B1500" s="49"/>
      <c r="C1500" s="49"/>
      <c r="D1500" s="50" t="str">
        <f t="shared" si="115"/>
        <v/>
      </c>
      <c r="E1500" s="50" t="str">
        <f t="shared" si="116"/>
        <v/>
      </c>
      <c r="F1500" s="50" t="str">
        <f t="shared" si="117"/>
        <v/>
      </c>
      <c r="G1500" s="50" t="str">
        <f t="shared" si="118"/>
        <v/>
      </c>
      <c r="H1500" s="51" t="str">
        <f>IF($C1500="","",IFERROR(DATE(G1500,VLOOKUP(E1500,Paramètres!$K$11:$L$40,2,FALSE()),F1500),"?"))</f>
        <v/>
      </c>
      <c r="I1500" s="50" t="str">
        <f>IF(ISNUMBER(H1500),IF(COUNTIFS($D$2:D1500,D1500,$H$2:H1500,H1500)=1,1,0),"")</f>
        <v/>
      </c>
      <c r="J1500" s="50" t="str">
        <f>IF(ISNUMBER(H1500),IFERROR(INDEX(Calendrier!$C$2:$C$367,MATCH(H1500,Calendrier!$A$2:$A$367,0)),0),"")</f>
        <v/>
      </c>
      <c r="K1500" s="50" t="str">
        <f t="shared" si="119"/>
        <v/>
      </c>
      <c r="L1500" s="50" t="str">
        <f>IF(D1500="","",IF(COUNTIF(Paramètres!$A$11:$A$40,D1500)&gt;0,1,0))</f>
        <v/>
      </c>
    </row>
    <row r="1501" spans="1:12" hidden="1" x14ac:dyDescent="0.25">
      <c r="A1501" s="49"/>
      <c r="B1501" s="49"/>
      <c r="C1501" s="49"/>
      <c r="D1501" s="50" t="str">
        <f t="shared" si="115"/>
        <v/>
      </c>
      <c r="E1501" s="50" t="str">
        <f t="shared" si="116"/>
        <v/>
      </c>
      <c r="F1501" s="50" t="str">
        <f t="shared" si="117"/>
        <v/>
      </c>
      <c r="G1501" s="50" t="str">
        <f t="shared" si="118"/>
        <v/>
      </c>
      <c r="H1501" s="51" t="str">
        <f>IF($C1501="","",IFERROR(DATE(G1501,VLOOKUP(E1501,Paramètres!$K$11:$L$40,2,FALSE()),F1501),"?"))</f>
        <v/>
      </c>
      <c r="I1501" s="50" t="str">
        <f>IF(ISNUMBER(H1501),IF(COUNTIFS($D$2:D1501,D1501,$H$2:H1501,H1501)=1,1,0),"")</f>
        <v/>
      </c>
      <c r="J1501" s="50" t="str">
        <f>IF(ISNUMBER(H1501),IFERROR(INDEX(Calendrier!$C$2:$C$367,MATCH(H1501,Calendrier!$A$2:$A$367,0)),0),"")</f>
        <v/>
      </c>
      <c r="K1501" s="50" t="str">
        <f t="shared" si="119"/>
        <v/>
      </c>
      <c r="L1501" s="50" t="str">
        <f>IF(D1501="","",IF(COUNTIF(Paramètres!$A$11:$A$40,D1501)&gt;0,1,0))</f>
        <v/>
      </c>
    </row>
    <row r="1502" spans="1:12" hidden="1" x14ac:dyDescent="0.25">
      <c r="A1502" s="49"/>
      <c r="B1502" s="49"/>
      <c r="C1502" s="49"/>
      <c r="D1502" s="50" t="str">
        <f t="shared" si="115"/>
        <v/>
      </c>
      <c r="E1502" s="50" t="str">
        <f t="shared" si="116"/>
        <v/>
      </c>
      <c r="F1502" s="50" t="str">
        <f t="shared" si="117"/>
        <v/>
      </c>
      <c r="G1502" s="50" t="str">
        <f t="shared" si="118"/>
        <v/>
      </c>
      <c r="H1502" s="51" t="str">
        <f>IF($C1502="","",IFERROR(DATE(G1502,VLOOKUP(E1502,Paramètres!$K$11:$L$40,2,FALSE()),F1502),"?"))</f>
        <v/>
      </c>
      <c r="I1502" s="50" t="str">
        <f>IF(ISNUMBER(H1502),IF(COUNTIFS($D$2:D1502,D1502,$H$2:H1502,H1502)=1,1,0),"")</f>
        <v/>
      </c>
      <c r="J1502" s="50" t="str">
        <f>IF(ISNUMBER(H1502),IFERROR(INDEX(Calendrier!$C$2:$C$367,MATCH(H1502,Calendrier!$A$2:$A$367,0)),0),"")</f>
        <v/>
      </c>
      <c r="K1502" s="50" t="str">
        <f t="shared" si="119"/>
        <v/>
      </c>
      <c r="L1502" s="50" t="str">
        <f>IF(D1502="","",IF(COUNTIF(Paramètres!$A$11:$A$40,D1502)&gt;0,1,0))</f>
        <v/>
      </c>
    </row>
    <row r="1503" spans="1:12" hidden="1" x14ac:dyDescent="0.25">
      <c r="A1503" s="49"/>
      <c r="B1503" s="49"/>
      <c r="C1503" s="49"/>
      <c r="D1503" s="50" t="str">
        <f t="shared" si="115"/>
        <v/>
      </c>
      <c r="E1503" s="50" t="str">
        <f t="shared" si="116"/>
        <v/>
      </c>
      <c r="F1503" s="50" t="str">
        <f t="shared" si="117"/>
        <v/>
      </c>
      <c r="G1503" s="50" t="str">
        <f t="shared" si="118"/>
        <v/>
      </c>
      <c r="H1503" s="51" t="str">
        <f>IF($C1503="","",IFERROR(DATE(G1503,VLOOKUP(E1503,Paramètres!$K$11:$L$40,2,FALSE()),F1503),"?"))</f>
        <v/>
      </c>
      <c r="I1503" s="50" t="str">
        <f>IF(ISNUMBER(H1503),IF(COUNTIFS($D$2:D1503,D1503,$H$2:H1503,H1503)=1,1,0),"")</f>
        <v/>
      </c>
      <c r="J1503" s="50" t="str">
        <f>IF(ISNUMBER(H1503),IFERROR(INDEX(Calendrier!$C$2:$C$367,MATCH(H1503,Calendrier!$A$2:$A$367,0)),0),"")</f>
        <v/>
      </c>
      <c r="K1503" s="50" t="str">
        <f t="shared" si="119"/>
        <v/>
      </c>
      <c r="L1503" s="50" t="str">
        <f>IF(D1503="","",IF(COUNTIF(Paramètres!$A$11:$A$40,D1503)&gt;0,1,0))</f>
        <v/>
      </c>
    </row>
    <row r="1504" spans="1:12" hidden="1" x14ac:dyDescent="0.25">
      <c r="A1504" s="49"/>
      <c r="B1504" s="49"/>
      <c r="C1504" s="49"/>
      <c r="D1504" s="50" t="str">
        <f t="shared" si="115"/>
        <v/>
      </c>
      <c r="E1504" s="50" t="str">
        <f t="shared" si="116"/>
        <v/>
      </c>
      <c r="F1504" s="50" t="str">
        <f t="shared" si="117"/>
        <v/>
      </c>
      <c r="G1504" s="50" t="str">
        <f t="shared" si="118"/>
        <v/>
      </c>
      <c r="H1504" s="51" t="str">
        <f>IF($C1504="","",IFERROR(DATE(G1504,VLOOKUP(E1504,Paramètres!$K$11:$L$40,2,FALSE()),F1504),"?"))</f>
        <v/>
      </c>
      <c r="I1504" s="50" t="str">
        <f>IF(ISNUMBER(H1504),IF(COUNTIFS($D$2:D1504,D1504,$H$2:H1504,H1504)=1,1,0),"")</f>
        <v/>
      </c>
      <c r="J1504" s="50" t="str">
        <f>IF(ISNUMBER(H1504),IFERROR(INDEX(Calendrier!$C$2:$C$367,MATCH(H1504,Calendrier!$A$2:$A$367,0)),0),"")</f>
        <v/>
      </c>
      <c r="K1504" s="50" t="str">
        <f t="shared" si="119"/>
        <v/>
      </c>
      <c r="L1504" s="50" t="str">
        <f>IF(D1504="","",IF(COUNTIF(Paramètres!$A$11:$A$40,D1504)&gt;0,1,0))</f>
        <v/>
      </c>
    </row>
    <row r="1505" spans="1:12" hidden="1" x14ac:dyDescent="0.25">
      <c r="A1505" s="49"/>
      <c r="B1505" s="49"/>
      <c r="C1505" s="49"/>
      <c r="D1505" s="50" t="str">
        <f t="shared" si="115"/>
        <v/>
      </c>
      <c r="E1505" s="50" t="str">
        <f t="shared" si="116"/>
        <v/>
      </c>
      <c r="F1505" s="50" t="str">
        <f t="shared" si="117"/>
        <v/>
      </c>
      <c r="G1505" s="50" t="str">
        <f t="shared" si="118"/>
        <v/>
      </c>
      <c r="H1505" s="51" t="str">
        <f>IF($C1505="","",IFERROR(DATE(G1505,VLOOKUP(E1505,Paramètres!$K$11:$L$40,2,FALSE()),F1505),"?"))</f>
        <v/>
      </c>
      <c r="I1505" s="50" t="str">
        <f>IF(ISNUMBER(H1505),IF(COUNTIFS($D$2:D1505,D1505,$H$2:H1505,H1505)=1,1,0),"")</f>
        <v/>
      </c>
      <c r="J1505" s="50" t="str">
        <f>IF(ISNUMBER(H1505),IFERROR(INDEX(Calendrier!$C$2:$C$367,MATCH(H1505,Calendrier!$A$2:$A$367,0)),0),"")</f>
        <v/>
      </c>
      <c r="K1505" s="50" t="str">
        <f t="shared" si="119"/>
        <v/>
      </c>
      <c r="L1505" s="50" t="str">
        <f>IF(D1505="","",IF(COUNTIF(Paramètres!$A$11:$A$40,D1505)&gt;0,1,0))</f>
        <v/>
      </c>
    </row>
    <row r="1506" spans="1:12" hidden="1" x14ac:dyDescent="0.25">
      <c r="A1506" s="49"/>
      <c r="B1506" s="49"/>
      <c r="C1506" s="49"/>
      <c r="D1506" s="50" t="str">
        <f t="shared" si="115"/>
        <v/>
      </c>
      <c r="E1506" s="50" t="str">
        <f t="shared" si="116"/>
        <v/>
      </c>
      <c r="F1506" s="50" t="str">
        <f t="shared" si="117"/>
        <v/>
      </c>
      <c r="G1506" s="50" t="str">
        <f t="shared" si="118"/>
        <v/>
      </c>
      <c r="H1506" s="51" t="str">
        <f>IF($C1506="","",IFERROR(DATE(G1506,VLOOKUP(E1506,Paramètres!$K$11:$L$40,2,FALSE()),F1506),"?"))</f>
        <v/>
      </c>
      <c r="I1506" s="50" t="str">
        <f>IF(ISNUMBER(H1506),IF(COUNTIFS($D$2:D1506,D1506,$H$2:H1506,H1506)=1,1,0),"")</f>
        <v/>
      </c>
      <c r="J1506" s="50" t="str">
        <f>IF(ISNUMBER(H1506),IFERROR(INDEX(Calendrier!$C$2:$C$367,MATCH(H1506,Calendrier!$A$2:$A$367,0)),0),"")</f>
        <v/>
      </c>
      <c r="K1506" s="50" t="str">
        <f t="shared" si="119"/>
        <v/>
      </c>
      <c r="L1506" s="50" t="str">
        <f>IF(D1506="","",IF(COUNTIF(Paramètres!$A$11:$A$40,D1506)&gt;0,1,0))</f>
        <v/>
      </c>
    </row>
    <row r="1507" spans="1:12" hidden="1" x14ac:dyDescent="0.25">
      <c r="A1507" s="49"/>
      <c r="B1507" s="49"/>
      <c r="C1507" s="49"/>
      <c r="D1507" s="50" t="str">
        <f t="shared" si="115"/>
        <v/>
      </c>
      <c r="E1507" s="50" t="str">
        <f t="shared" si="116"/>
        <v/>
      </c>
      <c r="F1507" s="50" t="str">
        <f t="shared" si="117"/>
        <v/>
      </c>
      <c r="G1507" s="50" t="str">
        <f t="shared" si="118"/>
        <v/>
      </c>
      <c r="H1507" s="51" t="str">
        <f>IF($C1507="","",IFERROR(DATE(G1507,VLOOKUP(E1507,Paramètres!$K$11:$L$40,2,FALSE()),F1507),"?"))</f>
        <v/>
      </c>
      <c r="I1507" s="50" t="str">
        <f>IF(ISNUMBER(H1507),IF(COUNTIFS($D$2:D1507,D1507,$H$2:H1507,H1507)=1,1,0),"")</f>
        <v/>
      </c>
      <c r="J1507" s="50" t="str">
        <f>IF(ISNUMBER(H1507),IFERROR(INDEX(Calendrier!$C$2:$C$367,MATCH(H1507,Calendrier!$A$2:$A$367,0)),0),"")</f>
        <v/>
      </c>
      <c r="K1507" s="50" t="str">
        <f t="shared" si="119"/>
        <v/>
      </c>
      <c r="L1507" s="50" t="str">
        <f>IF(D1507="","",IF(COUNTIF(Paramètres!$A$11:$A$40,D1507)&gt;0,1,0))</f>
        <v/>
      </c>
    </row>
    <row r="1508" spans="1:12" hidden="1" x14ac:dyDescent="0.25">
      <c r="A1508" s="49"/>
      <c r="B1508" s="49"/>
      <c r="C1508" s="49"/>
      <c r="D1508" s="50" t="str">
        <f t="shared" si="115"/>
        <v/>
      </c>
      <c r="E1508" s="50" t="str">
        <f t="shared" si="116"/>
        <v/>
      </c>
      <c r="F1508" s="50" t="str">
        <f t="shared" si="117"/>
        <v/>
      </c>
      <c r="G1508" s="50" t="str">
        <f t="shared" si="118"/>
        <v/>
      </c>
      <c r="H1508" s="51" t="str">
        <f>IF($C1508="","",IFERROR(DATE(G1508,VLOOKUP(E1508,Paramètres!$K$11:$L$40,2,FALSE()),F1508),"?"))</f>
        <v/>
      </c>
      <c r="I1508" s="50" t="str">
        <f>IF(ISNUMBER(H1508),IF(COUNTIFS($D$2:D1508,D1508,$H$2:H1508,H1508)=1,1,0),"")</f>
        <v/>
      </c>
      <c r="J1508" s="50" t="str">
        <f>IF(ISNUMBER(H1508),IFERROR(INDEX(Calendrier!$C$2:$C$367,MATCH(H1508,Calendrier!$A$2:$A$367,0)),0),"")</f>
        <v/>
      </c>
      <c r="K1508" s="50" t="str">
        <f t="shared" si="119"/>
        <v/>
      </c>
      <c r="L1508" s="50" t="str">
        <f>IF(D1508="","",IF(COUNTIF(Paramètres!$A$11:$A$40,D1508)&gt;0,1,0))</f>
        <v/>
      </c>
    </row>
    <row r="1509" spans="1:12" hidden="1" x14ac:dyDescent="0.25">
      <c r="A1509" s="49"/>
      <c r="B1509" s="49"/>
      <c r="C1509" s="49"/>
      <c r="D1509" s="50" t="str">
        <f t="shared" si="115"/>
        <v/>
      </c>
      <c r="E1509" s="50" t="str">
        <f t="shared" si="116"/>
        <v/>
      </c>
      <c r="F1509" s="50" t="str">
        <f t="shared" si="117"/>
        <v/>
      </c>
      <c r="G1509" s="50" t="str">
        <f t="shared" si="118"/>
        <v/>
      </c>
      <c r="H1509" s="51" t="str">
        <f>IF($C1509="","",IFERROR(DATE(G1509,VLOOKUP(E1509,Paramètres!$K$11:$L$40,2,FALSE()),F1509),"?"))</f>
        <v/>
      </c>
      <c r="I1509" s="50" t="str">
        <f>IF(ISNUMBER(H1509),IF(COUNTIFS($D$2:D1509,D1509,$H$2:H1509,H1509)=1,1,0),"")</f>
        <v/>
      </c>
      <c r="J1509" s="50" t="str">
        <f>IF(ISNUMBER(H1509),IFERROR(INDEX(Calendrier!$C$2:$C$367,MATCH(H1509,Calendrier!$A$2:$A$367,0)),0),"")</f>
        <v/>
      </c>
      <c r="K1509" s="50" t="str">
        <f t="shared" si="119"/>
        <v/>
      </c>
      <c r="L1509" s="50" t="str">
        <f>IF(D1509="","",IF(COUNTIF(Paramètres!$A$11:$A$40,D1509)&gt;0,1,0))</f>
        <v/>
      </c>
    </row>
    <row r="1510" spans="1:12" hidden="1" x14ac:dyDescent="0.25">
      <c r="A1510" s="49"/>
      <c r="B1510" s="49"/>
      <c r="C1510" s="49"/>
      <c r="D1510" s="50" t="str">
        <f t="shared" si="115"/>
        <v/>
      </c>
      <c r="E1510" s="50" t="str">
        <f t="shared" si="116"/>
        <v/>
      </c>
      <c r="F1510" s="50" t="str">
        <f t="shared" si="117"/>
        <v/>
      </c>
      <c r="G1510" s="50" t="str">
        <f t="shared" si="118"/>
        <v/>
      </c>
      <c r="H1510" s="51" t="str">
        <f>IF($C1510="","",IFERROR(DATE(G1510,VLOOKUP(E1510,Paramètres!$K$11:$L$40,2,FALSE()),F1510),"?"))</f>
        <v/>
      </c>
      <c r="I1510" s="50" t="str">
        <f>IF(ISNUMBER(H1510),IF(COUNTIFS($D$2:D1510,D1510,$H$2:H1510,H1510)=1,1,0),"")</f>
        <v/>
      </c>
      <c r="J1510" s="50" t="str">
        <f>IF(ISNUMBER(H1510),IFERROR(INDEX(Calendrier!$C$2:$C$367,MATCH(H1510,Calendrier!$A$2:$A$367,0)),0),"")</f>
        <v/>
      </c>
      <c r="K1510" s="50" t="str">
        <f t="shared" si="119"/>
        <v/>
      </c>
      <c r="L1510" s="50" t="str">
        <f>IF(D1510="","",IF(COUNTIF(Paramètres!$A$11:$A$40,D1510)&gt;0,1,0))</f>
        <v/>
      </c>
    </row>
    <row r="1511" spans="1:12" hidden="1" x14ac:dyDescent="0.25">
      <c r="A1511" s="49"/>
      <c r="B1511" s="49"/>
      <c r="C1511" s="49"/>
      <c r="D1511" s="50" t="str">
        <f t="shared" si="115"/>
        <v/>
      </c>
      <c r="E1511" s="50" t="str">
        <f t="shared" si="116"/>
        <v/>
      </c>
      <c r="F1511" s="50" t="str">
        <f t="shared" si="117"/>
        <v/>
      </c>
      <c r="G1511" s="50" t="str">
        <f t="shared" si="118"/>
        <v/>
      </c>
      <c r="H1511" s="51" t="str">
        <f>IF($C1511="","",IFERROR(DATE(G1511,VLOOKUP(E1511,Paramètres!$K$11:$L$40,2,FALSE()),F1511),"?"))</f>
        <v/>
      </c>
      <c r="I1511" s="50" t="str">
        <f>IF(ISNUMBER(H1511),IF(COUNTIFS($D$2:D1511,D1511,$H$2:H1511,H1511)=1,1,0),"")</f>
        <v/>
      </c>
      <c r="J1511" s="50" t="str">
        <f>IF(ISNUMBER(H1511),IFERROR(INDEX(Calendrier!$C$2:$C$367,MATCH(H1511,Calendrier!$A$2:$A$367,0)),0),"")</f>
        <v/>
      </c>
      <c r="K1511" s="50" t="str">
        <f t="shared" si="119"/>
        <v/>
      </c>
      <c r="L1511" s="50" t="str">
        <f>IF(D1511="","",IF(COUNTIF(Paramètres!$A$11:$A$40,D1511)&gt;0,1,0))</f>
        <v/>
      </c>
    </row>
    <row r="1512" spans="1:12" hidden="1" x14ac:dyDescent="0.25">
      <c r="A1512" s="49"/>
      <c r="B1512" s="49"/>
      <c r="C1512" s="49"/>
      <c r="D1512" s="50" t="str">
        <f t="shared" si="115"/>
        <v/>
      </c>
      <c r="E1512" s="50" t="str">
        <f t="shared" si="116"/>
        <v/>
      </c>
      <c r="F1512" s="50" t="str">
        <f t="shared" si="117"/>
        <v/>
      </c>
      <c r="G1512" s="50" t="str">
        <f t="shared" si="118"/>
        <v/>
      </c>
      <c r="H1512" s="51" t="str">
        <f>IF($C1512="","",IFERROR(DATE(G1512,VLOOKUP(E1512,Paramètres!$K$11:$L$40,2,FALSE()),F1512),"?"))</f>
        <v/>
      </c>
      <c r="I1512" s="50" t="str">
        <f>IF(ISNUMBER(H1512),IF(COUNTIFS($D$2:D1512,D1512,$H$2:H1512,H1512)=1,1,0),"")</f>
        <v/>
      </c>
      <c r="J1512" s="50" t="str">
        <f>IF(ISNUMBER(H1512),IFERROR(INDEX(Calendrier!$C$2:$C$367,MATCH(H1512,Calendrier!$A$2:$A$367,0)),0),"")</f>
        <v/>
      </c>
      <c r="K1512" s="50" t="str">
        <f t="shared" si="119"/>
        <v/>
      </c>
      <c r="L1512" s="50" t="str">
        <f>IF(D1512="","",IF(COUNTIF(Paramètres!$A$11:$A$40,D1512)&gt;0,1,0))</f>
        <v/>
      </c>
    </row>
    <row r="1513" spans="1:12" hidden="1" x14ac:dyDescent="0.25">
      <c r="A1513" s="49"/>
      <c r="B1513" s="49"/>
      <c r="C1513" s="49"/>
      <c r="D1513" s="50" t="str">
        <f t="shared" si="115"/>
        <v/>
      </c>
      <c r="E1513" s="50" t="str">
        <f t="shared" si="116"/>
        <v/>
      </c>
      <c r="F1513" s="50" t="str">
        <f t="shared" si="117"/>
        <v/>
      </c>
      <c r="G1513" s="50" t="str">
        <f t="shared" si="118"/>
        <v/>
      </c>
      <c r="H1513" s="51" t="str">
        <f>IF($C1513="","",IFERROR(DATE(G1513,VLOOKUP(E1513,Paramètres!$K$11:$L$40,2,FALSE()),F1513),"?"))</f>
        <v/>
      </c>
      <c r="I1513" s="50" t="str">
        <f>IF(ISNUMBER(H1513),IF(COUNTIFS($D$2:D1513,D1513,$H$2:H1513,H1513)=1,1,0),"")</f>
        <v/>
      </c>
      <c r="J1513" s="50" t="str">
        <f>IF(ISNUMBER(H1513),IFERROR(INDEX(Calendrier!$C$2:$C$367,MATCH(H1513,Calendrier!$A$2:$A$367,0)),0),"")</f>
        <v/>
      </c>
      <c r="K1513" s="50" t="str">
        <f t="shared" si="119"/>
        <v/>
      </c>
      <c r="L1513" s="50" t="str">
        <f>IF(D1513="","",IF(COUNTIF(Paramètres!$A$11:$A$40,D1513)&gt;0,1,0))</f>
        <v/>
      </c>
    </row>
    <row r="1514" spans="1:12" hidden="1" x14ac:dyDescent="0.25">
      <c r="A1514" s="49"/>
      <c r="B1514" s="49"/>
      <c r="C1514" s="49"/>
      <c r="D1514" s="50" t="str">
        <f t="shared" si="115"/>
        <v/>
      </c>
      <c r="E1514" s="50" t="str">
        <f t="shared" si="116"/>
        <v/>
      </c>
      <c r="F1514" s="50" t="str">
        <f t="shared" si="117"/>
        <v/>
      </c>
      <c r="G1514" s="50" t="str">
        <f t="shared" si="118"/>
        <v/>
      </c>
      <c r="H1514" s="51" t="str">
        <f>IF($C1514="","",IFERROR(DATE(G1514,VLOOKUP(E1514,Paramètres!$K$11:$L$40,2,FALSE()),F1514),"?"))</f>
        <v/>
      </c>
      <c r="I1514" s="50" t="str">
        <f>IF(ISNUMBER(H1514),IF(COUNTIFS($D$2:D1514,D1514,$H$2:H1514,H1514)=1,1,0),"")</f>
        <v/>
      </c>
      <c r="J1514" s="50" t="str">
        <f>IF(ISNUMBER(H1514),IFERROR(INDEX(Calendrier!$C$2:$C$367,MATCH(H1514,Calendrier!$A$2:$A$367,0)),0),"")</f>
        <v/>
      </c>
      <c r="K1514" s="50" t="str">
        <f t="shared" si="119"/>
        <v/>
      </c>
      <c r="L1514" s="50" t="str">
        <f>IF(D1514="","",IF(COUNTIF(Paramètres!$A$11:$A$40,D1514)&gt;0,1,0))</f>
        <v/>
      </c>
    </row>
    <row r="1515" spans="1:12" hidden="1" x14ac:dyDescent="0.25">
      <c r="A1515" s="49"/>
      <c r="B1515" s="49"/>
      <c r="C1515" s="49"/>
      <c r="D1515" s="50" t="str">
        <f t="shared" si="115"/>
        <v/>
      </c>
      <c r="E1515" s="50" t="str">
        <f t="shared" si="116"/>
        <v/>
      </c>
      <c r="F1515" s="50" t="str">
        <f t="shared" si="117"/>
        <v/>
      </c>
      <c r="G1515" s="50" t="str">
        <f t="shared" si="118"/>
        <v/>
      </c>
      <c r="H1515" s="51" t="str">
        <f>IF($C1515="","",IFERROR(DATE(G1515,VLOOKUP(E1515,Paramètres!$K$11:$L$40,2,FALSE()),F1515),"?"))</f>
        <v/>
      </c>
      <c r="I1515" s="50" t="str">
        <f>IF(ISNUMBER(H1515),IF(COUNTIFS($D$2:D1515,D1515,$H$2:H1515,H1515)=1,1,0),"")</f>
        <v/>
      </c>
      <c r="J1515" s="50" t="str">
        <f>IF(ISNUMBER(H1515),IFERROR(INDEX(Calendrier!$C$2:$C$367,MATCH(H1515,Calendrier!$A$2:$A$367,0)),0),"")</f>
        <v/>
      </c>
      <c r="K1515" s="50" t="str">
        <f t="shared" si="119"/>
        <v/>
      </c>
      <c r="L1515" s="50" t="str">
        <f>IF(D1515="","",IF(COUNTIF(Paramètres!$A$11:$A$40,D1515)&gt;0,1,0))</f>
        <v/>
      </c>
    </row>
    <row r="1516" spans="1:12" hidden="1" x14ac:dyDescent="0.25">
      <c r="A1516" s="49"/>
      <c r="B1516" s="49"/>
      <c r="C1516" s="49"/>
      <c r="D1516" s="50" t="str">
        <f t="shared" si="115"/>
        <v/>
      </c>
      <c r="E1516" s="50" t="str">
        <f t="shared" si="116"/>
        <v/>
      </c>
      <c r="F1516" s="50" t="str">
        <f t="shared" si="117"/>
        <v/>
      </c>
      <c r="G1516" s="50" t="str">
        <f t="shared" si="118"/>
        <v/>
      </c>
      <c r="H1516" s="51" t="str">
        <f>IF($C1516="","",IFERROR(DATE(G1516,VLOOKUP(E1516,Paramètres!$K$11:$L$40,2,FALSE()),F1516),"?"))</f>
        <v/>
      </c>
      <c r="I1516" s="50" t="str">
        <f>IF(ISNUMBER(H1516),IF(COUNTIFS($D$2:D1516,D1516,$H$2:H1516,H1516)=1,1,0),"")</f>
        <v/>
      </c>
      <c r="J1516" s="50" t="str">
        <f>IF(ISNUMBER(H1516),IFERROR(INDEX(Calendrier!$C$2:$C$367,MATCH(H1516,Calendrier!$A$2:$A$367,0)),0),"")</f>
        <v/>
      </c>
      <c r="K1516" s="50" t="str">
        <f t="shared" si="119"/>
        <v/>
      </c>
      <c r="L1516" s="50" t="str">
        <f>IF(D1516="","",IF(COUNTIF(Paramètres!$A$11:$A$40,D1516)&gt;0,1,0))</f>
        <v/>
      </c>
    </row>
    <row r="1517" spans="1:12" hidden="1" x14ac:dyDescent="0.25">
      <c r="A1517" s="49"/>
      <c r="B1517" s="49"/>
      <c r="C1517" s="49"/>
      <c r="D1517" s="50" t="str">
        <f t="shared" si="115"/>
        <v/>
      </c>
      <c r="E1517" s="50" t="str">
        <f t="shared" si="116"/>
        <v/>
      </c>
      <c r="F1517" s="50" t="str">
        <f t="shared" si="117"/>
        <v/>
      </c>
      <c r="G1517" s="50" t="str">
        <f t="shared" si="118"/>
        <v/>
      </c>
      <c r="H1517" s="51" t="str">
        <f>IF($C1517="","",IFERROR(DATE(G1517,VLOOKUP(E1517,Paramètres!$K$11:$L$40,2,FALSE()),F1517),"?"))</f>
        <v/>
      </c>
      <c r="I1517" s="50" t="str">
        <f>IF(ISNUMBER(H1517),IF(COUNTIFS($D$2:D1517,D1517,$H$2:H1517,H1517)=1,1,0),"")</f>
        <v/>
      </c>
      <c r="J1517" s="50" t="str">
        <f>IF(ISNUMBER(H1517),IFERROR(INDEX(Calendrier!$C$2:$C$367,MATCH(H1517,Calendrier!$A$2:$A$367,0)),0),"")</f>
        <v/>
      </c>
      <c r="K1517" s="50" t="str">
        <f t="shared" si="119"/>
        <v/>
      </c>
      <c r="L1517" s="50" t="str">
        <f>IF(D1517="","",IF(COUNTIF(Paramètres!$A$11:$A$40,D1517)&gt;0,1,0))</f>
        <v/>
      </c>
    </row>
    <row r="1518" spans="1:12" hidden="1" x14ac:dyDescent="0.25">
      <c r="A1518" s="49"/>
      <c r="B1518" s="49"/>
      <c r="C1518" s="49"/>
      <c r="D1518" s="50" t="str">
        <f t="shared" si="115"/>
        <v/>
      </c>
      <c r="E1518" s="50" t="str">
        <f t="shared" si="116"/>
        <v/>
      </c>
      <c r="F1518" s="50" t="str">
        <f t="shared" si="117"/>
        <v/>
      </c>
      <c r="G1518" s="50" t="str">
        <f t="shared" si="118"/>
        <v/>
      </c>
      <c r="H1518" s="51" t="str">
        <f>IF($C1518="","",IFERROR(DATE(G1518,VLOOKUP(E1518,Paramètres!$K$11:$L$40,2,FALSE()),F1518),"?"))</f>
        <v/>
      </c>
      <c r="I1518" s="50" t="str">
        <f>IF(ISNUMBER(H1518),IF(COUNTIFS($D$2:D1518,D1518,$H$2:H1518,H1518)=1,1,0),"")</f>
        <v/>
      </c>
      <c r="J1518" s="50" t="str">
        <f>IF(ISNUMBER(H1518),IFERROR(INDEX(Calendrier!$C$2:$C$367,MATCH(H1518,Calendrier!$A$2:$A$367,0)),0),"")</f>
        <v/>
      </c>
      <c r="K1518" s="50" t="str">
        <f t="shared" si="119"/>
        <v/>
      </c>
      <c r="L1518" s="50" t="str">
        <f>IF(D1518="","",IF(COUNTIF(Paramètres!$A$11:$A$40,D1518)&gt;0,1,0))</f>
        <v/>
      </c>
    </row>
    <row r="1519" spans="1:12" hidden="1" x14ac:dyDescent="0.25">
      <c r="A1519" s="49"/>
      <c r="B1519" s="49"/>
      <c r="C1519" s="49"/>
      <c r="D1519" s="50" t="str">
        <f t="shared" si="115"/>
        <v/>
      </c>
      <c r="E1519" s="50" t="str">
        <f t="shared" si="116"/>
        <v/>
      </c>
      <c r="F1519" s="50" t="str">
        <f t="shared" si="117"/>
        <v/>
      </c>
      <c r="G1519" s="50" t="str">
        <f t="shared" si="118"/>
        <v/>
      </c>
      <c r="H1519" s="51" t="str">
        <f>IF($C1519="","",IFERROR(DATE(G1519,VLOOKUP(E1519,Paramètres!$K$11:$L$40,2,FALSE()),F1519),"?"))</f>
        <v/>
      </c>
      <c r="I1519" s="50" t="str">
        <f>IF(ISNUMBER(H1519),IF(COUNTIFS($D$2:D1519,D1519,$H$2:H1519,H1519)=1,1,0),"")</f>
        <v/>
      </c>
      <c r="J1519" s="50" t="str">
        <f>IF(ISNUMBER(H1519),IFERROR(INDEX(Calendrier!$C$2:$C$367,MATCH(H1519,Calendrier!$A$2:$A$367,0)),0),"")</f>
        <v/>
      </c>
      <c r="K1519" s="50" t="str">
        <f t="shared" si="119"/>
        <v/>
      </c>
      <c r="L1519" s="50" t="str">
        <f>IF(D1519="","",IF(COUNTIF(Paramètres!$A$11:$A$40,D1519)&gt;0,1,0))</f>
        <v/>
      </c>
    </row>
    <row r="1520" spans="1:12" hidden="1" x14ac:dyDescent="0.25">
      <c r="A1520" s="49"/>
      <c r="B1520" s="49"/>
      <c r="C1520" s="49"/>
      <c r="D1520" s="50" t="str">
        <f t="shared" si="115"/>
        <v/>
      </c>
      <c r="E1520" s="50" t="str">
        <f t="shared" si="116"/>
        <v/>
      </c>
      <c r="F1520" s="50" t="str">
        <f t="shared" si="117"/>
        <v/>
      </c>
      <c r="G1520" s="50" t="str">
        <f t="shared" si="118"/>
        <v/>
      </c>
      <c r="H1520" s="51" t="str">
        <f>IF($C1520="","",IFERROR(DATE(G1520,VLOOKUP(E1520,Paramètres!$K$11:$L$40,2,FALSE()),F1520),"?"))</f>
        <v/>
      </c>
      <c r="I1520" s="50" t="str">
        <f>IF(ISNUMBER(H1520),IF(COUNTIFS($D$2:D1520,D1520,$H$2:H1520,H1520)=1,1,0),"")</f>
        <v/>
      </c>
      <c r="J1520" s="50" t="str">
        <f>IF(ISNUMBER(H1520),IFERROR(INDEX(Calendrier!$C$2:$C$367,MATCH(H1520,Calendrier!$A$2:$A$367,0)),0),"")</f>
        <v/>
      </c>
      <c r="K1520" s="50" t="str">
        <f t="shared" si="119"/>
        <v/>
      </c>
      <c r="L1520" s="50" t="str">
        <f>IF(D1520="","",IF(COUNTIF(Paramètres!$A$11:$A$40,D1520)&gt;0,1,0))</f>
        <v/>
      </c>
    </row>
    <row r="1521" spans="1:12" hidden="1" x14ac:dyDescent="0.25">
      <c r="A1521" s="49"/>
      <c r="B1521" s="49"/>
      <c r="C1521" s="49"/>
      <c r="D1521" s="50" t="str">
        <f t="shared" si="115"/>
        <v/>
      </c>
      <c r="E1521" s="50" t="str">
        <f t="shared" si="116"/>
        <v/>
      </c>
      <c r="F1521" s="50" t="str">
        <f t="shared" si="117"/>
        <v/>
      </c>
      <c r="G1521" s="50" t="str">
        <f t="shared" si="118"/>
        <v/>
      </c>
      <c r="H1521" s="51" t="str">
        <f>IF($C1521="","",IFERROR(DATE(G1521,VLOOKUP(E1521,Paramètres!$K$11:$L$40,2,FALSE()),F1521),"?"))</f>
        <v/>
      </c>
      <c r="I1521" s="50" t="str">
        <f>IF(ISNUMBER(H1521),IF(COUNTIFS($D$2:D1521,D1521,$H$2:H1521,H1521)=1,1,0),"")</f>
        <v/>
      </c>
      <c r="J1521" s="50" t="str">
        <f>IF(ISNUMBER(H1521),IFERROR(INDEX(Calendrier!$C$2:$C$367,MATCH(H1521,Calendrier!$A$2:$A$367,0)),0),"")</f>
        <v/>
      </c>
      <c r="K1521" s="50" t="str">
        <f t="shared" si="119"/>
        <v/>
      </c>
      <c r="L1521" s="50" t="str">
        <f>IF(D1521="","",IF(COUNTIF(Paramètres!$A$11:$A$40,D1521)&gt;0,1,0))</f>
        <v/>
      </c>
    </row>
    <row r="1522" spans="1:12" hidden="1" x14ac:dyDescent="0.25">
      <c r="A1522" s="49"/>
      <c r="B1522" s="49"/>
      <c r="C1522" s="49"/>
      <c r="D1522" s="50" t="str">
        <f t="shared" si="115"/>
        <v/>
      </c>
      <c r="E1522" s="50" t="str">
        <f t="shared" si="116"/>
        <v/>
      </c>
      <c r="F1522" s="50" t="str">
        <f t="shared" si="117"/>
        <v/>
      </c>
      <c r="G1522" s="50" t="str">
        <f t="shared" si="118"/>
        <v/>
      </c>
      <c r="H1522" s="51" t="str">
        <f>IF($C1522="","",IFERROR(DATE(G1522,VLOOKUP(E1522,Paramètres!$K$11:$L$40,2,FALSE()),F1522),"?"))</f>
        <v/>
      </c>
      <c r="I1522" s="50" t="str">
        <f>IF(ISNUMBER(H1522),IF(COUNTIFS($D$2:D1522,D1522,$H$2:H1522,H1522)=1,1,0),"")</f>
        <v/>
      </c>
      <c r="J1522" s="50" t="str">
        <f>IF(ISNUMBER(H1522),IFERROR(INDEX(Calendrier!$C$2:$C$367,MATCH(H1522,Calendrier!$A$2:$A$367,0)),0),"")</f>
        <v/>
      </c>
      <c r="K1522" s="50" t="str">
        <f t="shared" si="119"/>
        <v/>
      </c>
      <c r="L1522" s="50" t="str">
        <f>IF(D1522="","",IF(COUNTIF(Paramètres!$A$11:$A$40,D1522)&gt;0,1,0))</f>
        <v/>
      </c>
    </row>
    <row r="1523" spans="1:12" hidden="1" x14ac:dyDescent="0.25">
      <c r="A1523" s="49"/>
      <c r="B1523" s="49"/>
      <c r="C1523" s="49"/>
      <c r="D1523" s="50" t="str">
        <f t="shared" si="115"/>
        <v/>
      </c>
      <c r="E1523" s="50" t="str">
        <f t="shared" si="116"/>
        <v/>
      </c>
      <c r="F1523" s="50" t="str">
        <f t="shared" si="117"/>
        <v/>
      </c>
      <c r="G1523" s="50" t="str">
        <f t="shared" si="118"/>
        <v/>
      </c>
      <c r="H1523" s="51" t="str">
        <f>IF($C1523="","",IFERROR(DATE(G1523,VLOOKUP(E1523,Paramètres!$K$11:$L$40,2,FALSE()),F1523),"?"))</f>
        <v/>
      </c>
      <c r="I1523" s="50" t="str">
        <f>IF(ISNUMBER(H1523),IF(COUNTIFS($D$2:D1523,D1523,$H$2:H1523,H1523)=1,1,0),"")</f>
        <v/>
      </c>
      <c r="J1523" s="50" t="str">
        <f>IF(ISNUMBER(H1523),IFERROR(INDEX(Calendrier!$C$2:$C$367,MATCH(H1523,Calendrier!$A$2:$A$367,0)),0),"")</f>
        <v/>
      </c>
      <c r="K1523" s="50" t="str">
        <f t="shared" si="119"/>
        <v/>
      </c>
      <c r="L1523" s="50" t="str">
        <f>IF(D1523="","",IF(COUNTIF(Paramètres!$A$11:$A$40,D1523)&gt;0,1,0))</f>
        <v/>
      </c>
    </row>
    <row r="1524" spans="1:12" hidden="1" x14ac:dyDescent="0.25">
      <c r="A1524" s="49"/>
      <c r="B1524" s="49"/>
      <c r="C1524" s="49"/>
      <c r="D1524" s="50" t="str">
        <f t="shared" si="115"/>
        <v/>
      </c>
      <c r="E1524" s="50" t="str">
        <f t="shared" si="116"/>
        <v/>
      </c>
      <c r="F1524" s="50" t="str">
        <f t="shared" si="117"/>
        <v/>
      </c>
      <c r="G1524" s="50" t="str">
        <f t="shared" si="118"/>
        <v/>
      </c>
      <c r="H1524" s="51" t="str">
        <f>IF($C1524="","",IFERROR(DATE(G1524,VLOOKUP(E1524,Paramètres!$K$11:$L$40,2,FALSE()),F1524),"?"))</f>
        <v/>
      </c>
      <c r="I1524" s="50" t="str">
        <f>IF(ISNUMBER(H1524),IF(COUNTIFS($D$2:D1524,D1524,$H$2:H1524,H1524)=1,1,0),"")</f>
        <v/>
      </c>
      <c r="J1524" s="50" t="str">
        <f>IF(ISNUMBER(H1524),IFERROR(INDEX(Calendrier!$C$2:$C$367,MATCH(H1524,Calendrier!$A$2:$A$367,0)),0),"")</f>
        <v/>
      </c>
      <c r="K1524" s="50" t="str">
        <f t="shared" si="119"/>
        <v/>
      </c>
      <c r="L1524" s="50" t="str">
        <f>IF(D1524="","",IF(COUNTIF(Paramètres!$A$11:$A$40,D1524)&gt;0,1,0))</f>
        <v/>
      </c>
    </row>
    <row r="1525" spans="1:12" hidden="1" x14ac:dyDescent="0.25">
      <c r="A1525" s="49"/>
      <c r="B1525" s="49"/>
      <c r="C1525" s="49"/>
      <c r="D1525" s="50" t="str">
        <f t="shared" si="115"/>
        <v/>
      </c>
      <c r="E1525" s="50" t="str">
        <f t="shared" si="116"/>
        <v/>
      </c>
      <c r="F1525" s="50" t="str">
        <f t="shared" si="117"/>
        <v/>
      </c>
      <c r="G1525" s="50" t="str">
        <f t="shared" si="118"/>
        <v/>
      </c>
      <c r="H1525" s="51" t="str">
        <f>IF($C1525="","",IFERROR(DATE(G1525,VLOOKUP(E1525,Paramètres!$K$11:$L$40,2,FALSE()),F1525),"?"))</f>
        <v/>
      </c>
      <c r="I1525" s="50" t="str">
        <f>IF(ISNUMBER(H1525),IF(COUNTIFS($D$2:D1525,D1525,$H$2:H1525,H1525)=1,1,0),"")</f>
        <v/>
      </c>
      <c r="J1525" s="50" t="str">
        <f>IF(ISNUMBER(H1525),IFERROR(INDEX(Calendrier!$C$2:$C$367,MATCH(H1525,Calendrier!$A$2:$A$367,0)),0),"")</f>
        <v/>
      </c>
      <c r="K1525" s="50" t="str">
        <f t="shared" si="119"/>
        <v/>
      </c>
      <c r="L1525" s="50" t="str">
        <f>IF(D1525="","",IF(COUNTIF(Paramètres!$A$11:$A$40,D1525)&gt;0,1,0))</f>
        <v/>
      </c>
    </row>
    <row r="1526" spans="1:12" hidden="1" x14ac:dyDescent="0.25">
      <c r="A1526" s="49"/>
      <c r="B1526" s="49"/>
      <c r="C1526" s="49"/>
      <c r="D1526" s="50" t="str">
        <f t="shared" si="115"/>
        <v/>
      </c>
      <c r="E1526" s="50" t="str">
        <f t="shared" si="116"/>
        <v/>
      </c>
      <c r="F1526" s="50" t="str">
        <f t="shared" si="117"/>
        <v/>
      </c>
      <c r="G1526" s="50" t="str">
        <f t="shared" si="118"/>
        <v/>
      </c>
      <c r="H1526" s="51" t="str">
        <f>IF($C1526="","",IFERROR(DATE(G1526,VLOOKUP(E1526,Paramètres!$K$11:$L$40,2,FALSE()),F1526),"?"))</f>
        <v/>
      </c>
      <c r="I1526" s="50" t="str">
        <f>IF(ISNUMBER(H1526),IF(COUNTIFS($D$2:D1526,D1526,$H$2:H1526,H1526)=1,1,0),"")</f>
        <v/>
      </c>
      <c r="J1526" s="50" t="str">
        <f>IF(ISNUMBER(H1526),IFERROR(INDEX(Calendrier!$C$2:$C$367,MATCH(H1526,Calendrier!$A$2:$A$367,0)),0),"")</f>
        <v/>
      </c>
      <c r="K1526" s="50" t="str">
        <f t="shared" si="119"/>
        <v/>
      </c>
      <c r="L1526" s="50" t="str">
        <f>IF(D1526="","",IF(COUNTIF(Paramètres!$A$11:$A$40,D1526)&gt;0,1,0))</f>
        <v/>
      </c>
    </row>
    <row r="1527" spans="1:12" hidden="1" x14ac:dyDescent="0.25">
      <c r="A1527" s="49"/>
      <c r="B1527" s="49"/>
      <c r="C1527" s="49"/>
      <c r="D1527" s="50" t="str">
        <f t="shared" si="115"/>
        <v/>
      </c>
      <c r="E1527" s="50" t="str">
        <f t="shared" si="116"/>
        <v/>
      </c>
      <c r="F1527" s="50" t="str">
        <f t="shared" si="117"/>
        <v/>
      </c>
      <c r="G1527" s="50" t="str">
        <f t="shared" si="118"/>
        <v/>
      </c>
      <c r="H1527" s="51" t="str">
        <f>IF($C1527="","",IFERROR(DATE(G1527,VLOOKUP(E1527,Paramètres!$K$11:$L$40,2,FALSE()),F1527),"?"))</f>
        <v/>
      </c>
      <c r="I1527" s="50" t="str">
        <f>IF(ISNUMBER(H1527),IF(COUNTIFS($D$2:D1527,D1527,$H$2:H1527,H1527)=1,1,0),"")</f>
        <v/>
      </c>
      <c r="J1527" s="50" t="str">
        <f>IF(ISNUMBER(H1527),IFERROR(INDEX(Calendrier!$C$2:$C$367,MATCH(H1527,Calendrier!$A$2:$A$367,0)),0),"")</f>
        <v/>
      </c>
      <c r="K1527" s="50" t="str">
        <f t="shared" si="119"/>
        <v/>
      </c>
      <c r="L1527" s="50" t="str">
        <f>IF(D1527="","",IF(COUNTIF(Paramètres!$A$11:$A$40,D1527)&gt;0,1,0))</f>
        <v/>
      </c>
    </row>
    <row r="1528" spans="1:12" hidden="1" x14ac:dyDescent="0.25">
      <c r="A1528" s="49"/>
      <c r="B1528" s="49"/>
      <c r="C1528" s="49"/>
      <c r="D1528" s="50" t="str">
        <f t="shared" si="115"/>
        <v/>
      </c>
      <c r="E1528" s="50" t="str">
        <f t="shared" si="116"/>
        <v/>
      </c>
      <c r="F1528" s="50" t="str">
        <f t="shared" si="117"/>
        <v/>
      </c>
      <c r="G1528" s="50" t="str">
        <f t="shared" si="118"/>
        <v/>
      </c>
      <c r="H1528" s="51" t="str">
        <f>IF($C1528="","",IFERROR(DATE(G1528,VLOOKUP(E1528,Paramètres!$K$11:$L$40,2,FALSE()),F1528),"?"))</f>
        <v/>
      </c>
      <c r="I1528" s="50" t="str">
        <f>IF(ISNUMBER(H1528),IF(COUNTIFS($D$2:D1528,D1528,$H$2:H1528,H1528)=1,1,0),"")</f>
        <v/>
      </c>
      <c r="J1528" s="50" t="str">
        <f>IF(ISNUMBER(H1528),IFERROR(INDEX(Calendrier!$C$2:$C$367,MATCH(H1528,Calendrier!$A$2:$A$367,0)),0),"")</f>
        <v/>
      </c>
      <c r="K1528" s="50" t="str">
        <f t="shared" si="119"/>
        <v/>
      </c>
      <c r="L1528" s="50" t="str">
        <f>IF(D1528="","",IF(COUNTIF(Paramètres!$A$11:$A$40,D1528)&gt;0,1,0))</f>
        <v/>
      </c>
    </row>
    <row r="1529" spans="1:12" hidden="1" x14ac:dyDescent="0.25">
      <c r="A1529" s="49"/>
      <c r="B1529" s="49"/>
      <c r="C1529" s="49"/>
      <c r="D1529" s="50" t="str">
        <f t="shared" si="115"/>
        <v/>
      </c>
      <c r="E1529" s="50" t="str">
        <f t="shared" si="116"/>
        <v/>
      </c>
      <c r="F1529" s="50" t="str">
        <f t="shared" si="117"/>
        <v/>
      </c>
      <c r="G1529" s="50" t="str">
        <f t="shared" si="118"/>
        <v/>
      </c>
      <c r="H1529" s="51" t="str">
        <f>IF($C1529="","",IFERROR(DATE(G1529,VLOOKUP(E1529,Paramètres!$K$11:$L$40,2,FALSE()),F1529),"?"))</f>
        <v/>
      </c>
      <c r="I1529" s="50" t="str">
        <f>IF(ISNUMBER(H1529),IF(COUNTIFS($D$2:D1529,D1529,$H$2:H1529,H1529)=1,1,0),"")</f>
        <v/>
      </c>
      <c r="J1529" s="50" t="str">
        <f>IF(ISNUMBER(H1529),IFERROR(INDEX(Calendrier!$C$2:$C$367,MATCH(H1529,Calendrier!$A$2:$A$367,0)),0),"")</f>
        <v/>
      </c>
      <c r="K1529" s="50" t="str">
        <f t="shared" si="119"/>
        <v/>
      </c>
      <c r="L1529" s="50" t="str">
        <f>IF(D1529="","",IF(COUNTIF(Paramètres!$A$11:$A$40,D1529)&gt;0,1,0))</f>
        <v/>
      </c>
    </row>
    <row r="1530" spans="1:12" hidden="1" x14ac:dyDescent="0.25">
      <c r="A1530" s="49"/>
      <c r="B1530" s="49"/>
      <c r="C1530" s="49"/>
      <c r="D1530" s="50" t="str">
        <f t="shared" si="115"/>
        <v/>
      </c>
      <c r="E1530" s="50" t="str">
        <f t="shared" si="116"/>
        <v/>
      </c>
      <c r="F1530" s="50" t="str">
        <f t="shared" si="117"/>
        <v/>
      </c>
      <c r="G1530" s="50" t="str">
        <f t="shared" si="118"/>
        <v/>
      </c>
      <c r="H1530" s="51" t="str">
        <f>IF($C1530="","",IFERROR(DATE(G1530,VLOOKUP(E1530,Paramètres!$K$11:$L$40,2,FALSE()),F1530),"?"))</f>
        <v/>
      </c>
      <c r="I1530" s="50" t="str">
        <f>IF(ISNUMBER(H1530),IF(COUNTIFS($D$2:D1530,D1530,$H$2:H1530,H1530)=1,1,0),"")</f>
        <v/>
      </c>
      <c r="J1530" s="50" t="str">
        <f>IF(ISNUMBER(H1530),IFERROR(INDEX(Calendrier!$C$2:$C$367,MATCH(H1530,Calendrier!$A$2:$A$367,0)),0),"")</f>
        <v/>
      </c>
      <c r="K1530" s="50" t="str">
        <f t="shared" si="119"/>
        <v/>
      </c>
      <c r="L1530" s="50" t="str">
        <f>IF(D1530="","",IF(COUNTIF(Paramètres!$A$11:$A$40,D1530)&gt;0,1,0))</f>
        <v/>
      </c>
    </row>
    <row r="1531" spans="1:12" hidden="1" x14ac:dyDescent="0.25">
      <c r="A1531" s="49"/>
      <c r="B1531" s="49"/>
      <c r="C1531" s="49"/>
      <c r="D1531" s="50" t="str">
        <f t="shared" si="115"/>
        <v/>
      </c>
      <c r="E1531" s="50" t="str">
        <f t="shared" si="116"/>
        <v/>
      </c>
      <c r="F1531" s="50" t="str">
        <f t="shared" si="117"/>
        <v/>
      </c>
      <c r="G1531" s="50" t="str">
        <f t="shared" si="118"/>
        <v/>
      </c>
      <c r="H1531" s="51" t="str">
        <f>IF($C1531="","",IFERROR(DATE(G1531,VLOOKUP(E1531,Paramètres!$K$11:$L$40,2,FALSE()),F1531),"?"))</f>
        <v/>
      </c>
      <c r="I1531" s="50" t="str">
        <f>IF(ISNUMBER(H1531),IF(COUNTIFS($D$2:D1531,D1531,$H$2:H1531,H1531)=1,1,0),"")</f>
        <v/>
      </c>
      <c r="J1531" s="50" t="str">
        <f>IF(ISNUMBER(H1531),IFERROR(INDEX(Calendrier!$C$2:$C$367,MATCH(H1531,Calendrier!$A$2:$A$367,0)),0),"")</f>
        <v/>
      </c>
      <c r="K1531" s="50" t="str">
        <f t="shared" si="119"/>
        <v/>
      </c>
      <c r="L1531" s="50" t="str">
        <f>IF(D1531="","",IF(COUNTIF(Paramètres!$A$11:$A$40,D1531)&gt;0,1,0))</f>
        <v/>
      </c>
    </row>
    <row r="1532" spans="1:12" hidden="1" x14ac:dyDescent="0.25">
      <c r="A1532" s="49"/>
      <c r="B1532" s="49"/>
      <c r="C1532" s="49"/>
      <c r="D1532" s="50" t="str">
        <f t="shared" si="115"/>
        <v/>
      </c>
      <c r="E1532" s="50" t="str">
        <f t="shared" si="116"/>
        <v/>
      </c>
      <c r="F1532" s="50" t="str">
        <f t="shared" si="117"/>
        <v/>
      </c>
      <c r="G1532" s="50" t="str">
        <f t="shared" si="118"/>
        <v/>
      </c>
      <c r="H1532" s="51" t="str">
        <f>IF($C1532="","",IFERROR(DATE(G1532,VLOOKUP(E1532,Paramètres!$K$11:$L$40,2,FALSE()),F1532),"?"))</f>
        <v/>
      </c>
      <c r="I1532" s="50" t="str">
        <f>IF(ISNUMBER(H1532),IF(COUNTIFS($D$2:D1532,D1532,$H$2:H1532,H1532)=1,1,0),"")</f>
        <v/>
      </c>
      <c r="J1532" s="50" t="str">
        <f>IF(ISNUMBER(H1532),IFERROR(INDEX(Calendrier!$C$2:$C$367,MATCH(H1532,Calendrier!$A$2:$A$367,0)),0),"")</f>
        <v/>
      </c>
      <c r="K1532" s="50" t="str">
        <f t="shared" si="119"/>
        <v/>
      </c>
      <c r="L1532" s="50" t="str">
        <f>IF(D1532="","",IF(COUNTIF(Paramètres!$A$11:$A$40,D1532)&gt;0,1,0))</f>
        <v/>
      </c>
    </row>
    <row r="1533" spans="1:12" hidden="1" x14ac:dyDescent="0.25">
      <c r="A1533" s="49"/>
      <c r="B1533" s="49"/>
      <c r="C1533" s="49"/>
      <c r="D1533" s="50" t="str">
        <f t="shared" si="115"/>
        <v/>
      </c>
      <c r="E1533" s="50" t="str">
        <f t="shared" si="116"/>
        <v/>
      </c>
      <c r="F1533" s="50" t="str">
        <f t="shared" si="117"/>
        <v/>
      </c>
      <c r="G1533" s="50" t="str">
        <f t="shared" si="118"/>
        <v/>
      </c>
      <c r="H1533" s="51" t="str">
        <f>IF($C1533="","",IFERROR(DATE(G1533,VLOOKUP(E1533,Paramètres!$K$11:$L$40,2,FALSE()),F1533),"?"))</f>
        <v/>
      </c>
      <c r="I1533" s="50" t="str">
        <f>IF(ISNUMBER(H1533),IF(COUNTIFS($D$2:D1533,D1533,$H$2:H1533,H1533)=1,1,0),"")</f>
        <v/>
      </c>
      <c r="J1533" s="50" t="str">
        <f>IF(ISNUMBER(H1533),IFERROR(INDEX(Calendrier!$C$2:$C$367,MATCH(H1533,Calendrier!$A$2:$A$367,0)),0),"")</f>
        <v/>
      </c>
      <c r="K1533" s="50" t="str">
        <f t="shared" si="119"/>
        <v/>
      </c>
      <c r="L1533" s="50" t="str">
        <f>IF(D1533="","",IF(COUNTIF(Paramètres!$A$11:$A$40,D1533)&gt;0,1,0))</f>
        <v/>
      </c>
    </row>
    <row r="1534" spans="1:12" hidden="1" x14ac:dyDescent="0.25">
      <c r="A1534" s="49"/>
      <c r="B1534" s="49"/>
      <c r="C1534" s="49"/>
      <c r="D1534" s="50" t="str">
        <f t="shared" si="115"/>
        <v/>
      </c>
      <c r="E1534" s="50" t="str">
        <f t="shared" si="116"/>
        <v/>
      </c>
      <c r="F1534" s="50" t="str">
        <f t="shared" si="117"/>
        <v/>
      </c>
      <c r="G1534" s="50" t="str">
        <f t="shared" si="118"/>
        <v/>
      </c>
      <c r="H1534" s="51" t="str">
        <f>IF($C1534="","",IFERROR(DATE(G1534,VLOOKUP(E1534,Paramètres!$K$11:$L$40,2,FALSE()),F1534),"?"))</f>
        <v/>
      </c>
      <c r="I1534" s="50" t="str">
        <f>IF(ISNUMBER(H1534),IF(COUNTIFS($D$2:D1534,D1534,$H$2:H1534,H1534)=1,1,0),"")</f>
        <v/>
      </c>
      <c r="J1534" s="50" t="str">
        <f>IF(ISNUMBER(H1534),IFERROR(INDEX(Calendrier!$C$2:$C$367,MATCH(H1534,Calendrier!$A$2:$A$367,0)),0),"")</f>
        <v/>
      </c>
      <c r="K1534" s="50" t="str">
        <f t="shared" si="119"/>
        <v/>
      </c>
      <c r="L1534" s="50" t="str">
        <f>IF(D1534="","",IF(COUNTIF(Paramètres!$A$11:$A$40,D1534)&gt;0,1,0))</f>
        <v/>
      </c>
    </row>
    <row r="1535" spans="1:12" hidden="1" x14ac:dyDescent="0.25">
      <c r="A1535" s="49"/>
      <c r="B1535" s="49"/>
      <c r="C1535" s="49"/>
      <c r="D1535" s="50" t="str">
        <f t="shared" si="115"/>
        <v/>
      </c>
      <c r="E1535" s="50" t="str">
        <f t="shared" si="116"/>
        <v/>
      </c>
      <c r="F1535" s="50" t="str">
        <f t="shared" si="117"/>
        <v/>
      </c>
      <c r="G1535" s="50" t="str">
        <f t="shared" si="118"/>
        <v/>
      </c>
      <c r="H1535" s="51" t="str">
        <f>IF($C1535="","",IFERROR(DATE(G1535,VLOOKUP(E1535,Paramètres!$K$11:$L$40,2,FALSE()),F1535),"?"))</f>
        <v/>
      </c>
      <c r="I1535" s="50" t="str">
        <f>IF(ISNUMBER(H1535),IF(COUNTIFS($D$2:D1535,D1535,$H$2:H1535,H1535)=1,1,0),"")</f>
        <v/>
      </c>
      <c r="J1535" s="50" t="str">
        <f>IF(ISNUMBER(H1535),IFERROR(INDEX(Calendrier!$C$2:$C$367,MATCH(H1535,Calendrier!$A$2:$A$367,0)),0),"")</f>
        <v/>
      </c>
      <c r="K1535" s="50" t="str">
        <f t="shared" si="119"/>
        <v/>
      </c>
      <c r="L1535" s="50" t="str">
        <f>IF(D1535="","",IF(COUNTIF(Paramètres!$A$11:$A$40,D1535)&gt;0,1,0))</f>
        <v/>
      </c>
    </row>
    <row r="1536" spans="1:12" hidden="1" x14ac:dyDescent="0.25">
      <c r="A1536" s="49"/>
      <c r="B1536" s="49"/>
      <c r="C1536" s="49"/>
      <c r="D1536" s="50" t="str">
        <f t="shared" si="115"/>
        <v/>
      </c>
      <c r="E1536" s="50" t="str">
        <f t="shared" si="116"/>
        <v/>
      </c>
      <c r="F1536" s="50" t="str">
        <f t="shared" si="117"/>
        <v/>
      </c>
      <c r="G1536" s="50" t="str">
        <f t="shared" si="118"/>
        <v/>
      </c>
      <c r="H1536" s="51" t="str">
        <f>IF($C1536="","",IFERROR(DATE(G1536,VLOOKUP(E1536,Paramètres!$K$11:$L$40,2,FALSE()),F1536),"?"))</f>
        <v/>
      </c>
      <c r="I1536" s="50" t="str">
        <f>IF(ISNUMBER(H1536),IF(COUNTIFS($D$2:D1536,D1536,$H$2:H1536,H1536)=1,1,0),"")</f>
        <v/>
      </c>
      <c r="J1536" s="50" t="str">
        <f>IF(ISNUMBER(H1536),IFERROR(INDEX(Calendrier!$C$2:$C$367,MATCH(H1536,Calendrier!$A$2:$A$367,0)),0),"")</f>
        <v/>
      </c>
      <c r="K1536" s="50" t="str">
        <f t="shared" si="119"/>
        <v/>
      </c>
      <c r="L1536" s="50" t="str">
        <f>IF(D1536="","",IF(COUNTIF(Paramètres!$A$11:$A$40,D1536)&gt;0,1,0))</f>
        <v/>
      </c>
    </row>
    <row r="1537" spans="1:12" hidden="1" x14ac:dyDescent="0.25">
      <c r="A1537" s="49"/>
      <c r="B1537" s="49"/>
      <c r="C1537" s="49"/>
      <c r="D1537" s="50" t="str">
        <f t="shared" si="115"/>
        <v/>
      </c>
      <c r="E1537" s="50" t="str">
        <f t="shared" si="116"/>
        <v/>
      </c>
      <c r="F1537" s="50" t="str">
        <f t="shared" si="117"/>
        <v/>
      </c>
      <c r="G1537" s="50" t="str">
        <f t="shared" si="118"/>
        <v/>
      </c>
      <c r="H1537" s="51" t="str">
        <f>IF($C1537="","",IFERROR(DATE(G1537,VLOOKUP(E1537,Paramètres!$K$11:$L$40,2,FALSE()),F1537),"?"))</f>
        <v/>
      </c>
      <c r="I1537" s="50" t="str">
        <f>IF(ISNUMBER(H1537),IF(COUNTIFS($D$2:D1537,D1537,$H$2:H1537,H1537)=1,1,0),"")</f>
        <v/>
      </c>
      <c r="J1537" s="50" t="str">
        <f>IF(ISNUMBER(H1537),IFERROR(INDEX(Calendrier!$C$2:$C$367,MATCH(H1537,Calendrier!$A$2:$A$367,0)),0),"")</f>
        <v/>
      </c>
      <c r="K1537" s="50" t="str">
        <f t="shared" si="119"/>
        <v/>
      </c>
      <c r="L1537" s="50" t="str">
        <f>IF(D1537="","",IF(COUNTIF(Paramètres!$A$11:$A$40,D1537)&gt;0,1,0))</f>
        <v/>
      </c>
    </row>
    <row r="1538" spans="1:12" hidden="1" x14ac:dyDescent="0.25">
      <c r="A1538" s="49"/>
      <c r="B1538" s="49"/>
      <c r="C1538" s="49"/>
      <c r="D1538" s="50" t="str">
        <f t="shared" ref="D1538:D1601" si="120">IF(B1538="","",TRIM(B1538))</f>
        <v/>
      </c>
      <c r="E1538" s="50" t="str">
        <f t="shared" ref="E1538:E1601" si="121">IF($C1538="","",LEFT($C1538,FIND(" ",$C1538)-1))</f>
        <v/>
      </c>
      <c r="F1538" s="50" t="str">
        <f t="shared" ref="F1538:F1601" si="122">IF($C1538="","",IFERROR(VALUE(LEFT(MID($C1538,FIND(" ",$C1538)+1,20),FIND(" ",MID($C1538,FIND(" ",$C1538)+1,20))-1)),"?"))</f>
        <v/>
      </c>
      <c r="G1538" s="50" t="str">
        <f t="shared" ref="G1538:G1601" si="123">IF($C1538="","",IFERROR(VALUE(MID(MID($C1538,FIND(" ",$C1538)+1,20),FIND(" ",MID($C1538,FIND(" ",$C1538)+1,20))+1,4)),"?"))</f>
        <v/>
      </c>
      <c r="H1538" s="51" t="str">
        <f>IF($C1538="","",IFERROR(DATE(G1538,VLOOKUP(E1538,Paramètres!$K$11:$L$40,2,FALSE()),F1538),"?"))</f>
        <v/>
      </c>
      <c r="I1538" s="50" t="str">
        <f>IF(ISNUMBER(H1538),IF(COUNTIFS($D$2:D1538,D1538,$H$2:H1538,H1538)=1,1,0),"")</f>
        <v/>
      </c>
      <c r="J1538" s="50" t="str">
        <f>IF(ISNUMBER(H1538),IFERROR(INDEX(Calendrier!$C$2:$C$367,MATCH(H1538,Calendrier!$A$2:$A$367,0)),0),"")</f>
        <v/>
      </c>
      <c r="K1538" s="50" t="str">
        <f t="shared" ref="K1538:K1601" si="124">IF(ISNUMBER(H1538),I1538*J1538,"")</f>
        <v/>
      </c>
      <c r="L1538" s="50" t="str">
        <f>IF(D1538="","",IF(COUNTIF(Paramètres!$A$11:$A$40,D1538)&gt;0,1,0))</f>
        <v/>
      </c>
    </row>
    <row r="1539" spans="1:12" hidden="1" x14ac:dyDescent="0.25">
      <c r="A1539" s="49"/>
      <c r="B1539" s="49"/>
      <c r="C1539" s="49"/>
      <c r="D1539" s="50" t="str">
        <f t="shared" si="120"/>
        <v/>
      </c>
      <c r="E1539" s="50" t="str">
        <f t="shared" si="121"/>
        <v/>
      </c>
      <c r="F1539" s="50" t="str">
        <f t="shared" si="122"/>
        <v/>
      </c>
      <c r="G1539" s="50" t="str">
        <f t="shared" si="123"/>
        <v/>
      </c>
      <c r="H1539" s="51" t="str">
        <f>IF($C1539="","",IFERROR(DATE(G1539,VLOOKUP(E1539,Paramètres!$K$11:$L$40,2,FALSE()),F1539),"?"))</f>
        <v/>
      </c>
      <c r="I1539" s="50" t="str">
        <f>IF(ISNUMBER(H1539),IF(COUNTIFS($D$2:D1539,D1539,$H$2:H1539,H1539)=1,1,0),"")</f>
        <v/>
      </c>
      <c r="J1539" s="50" t="str">
        <f>IF(ISNUMBER(H1539),IFERROR(INDEX(Calendrier!$C$2:$C$367,MATCH(H1539,Calendrier!$A$2:$A$367,0)),0),"")</f>
        <v/>
      </c>
      <c r="K1539" s="50" t="str">
        <f t="shared" si="124"/>
        <v/>
      </c>
      <c r="L1539" s="50" t="str">
        <f>IF(D1539="","",IF(COUNTIF(Paramètres!$A$11:$A$40,D1539)&gt;0,1,0))</f>
        <v/>
      </c>
    </row>
    <row r="1540" spans="1:12" hidden="1" x14ac:dyDescent="0.25">
      <c r="A1540" s="49"/>
      <c r="B1540" s="49"/>
      <c r="C1540" s="49"/>
      <c r="D1540" s="50" t="str">
        <f t="shared" si="120"/>
        <v/>
      </c>
      <c r="E1540" s="50" t="str">
        <f t="shared" si="121"/>
        <v/>
      </c>
      <c r="F1540" s="50" t="str">
        <f t="shared" si="122"/>
        <v/>
      </c>
      <c r="G1540" s="50" t="str">
        <f t="shared" si="123"/>
        <v/>
      </c>
      <c r="H1540" s="51" t="str">
        <f>IF($C1540="","",IFERROR(DATE(G1540,VLOOKUP(E1540,Paramètres!$K$11:$L$40,2,FALSE()),F1540),"?"))</f>
        <v/>
      </c>
      <c r="I1540" s="50" t="str">
        <f>IF(ISNUMBER(H1540),IF(COUNTIFS($D$2:D1540,D1540,$H$2:H1540,H1540)=1,1,0),"")</f>
        <v/>
      </c>
      <c r="J1540" s="50" t="str">
        <f>IF(ISNUMBER(H1540),IFERROR(INDEX(Calendrier!$C$2:$C$367,MATCH(H1540,Calendrier!$A$2:$A$367,0)),0),"")</f>
        <v/>
      </c>
      <c r="K1540" s="50" t="str">
        <f t="shared" si="124"/>
        <v/>
      </c>
      <c r="L1540" s="50" t="str">
        <f>IF(D1540="","",IF(COUNTIF(Paramètres!$A$11:$A$40,D1540)&gt;0,1,0))</f>
        <v/>
      </c>
    </row>
    <row r="1541" spans="1:12" hidden="1" x14ac:dyDescent="0.25">
      <c r="A1541" s="49"/>
      <c r="B1541" s="49"/>
      <c r="C1541" s="49"/>
      <c r="D1541" s="50" t="str">
        <f t="shared" si="120"/>
        <v/>
      </c>
      <c r="E1541" s="50" t="str">
        <f t="shared" si="121"/>
        <v/>
      </c>
      <c r="F1541" s="50" t="str">
        <f t="shared" si="122"/>
        <v/>
      </c>
      <c r="G1541" s="50" t="str">
        <f t="shared" si="123"/>
        <v/>
      </c>
      <c r="H1541" s="51" t="str">
        <f>IF($C1541="","",IFERROR(DATE(G1541,VLOOKUP(E1541,Paramètres!$K$11:$L$40,2,FALSE()),F1541),"?"))</f>
        <v/>
      </c>
      <c r="I1541" s="50" t="str">
        <f>IF(ISNUMBER(H1541),IF(COUNTIFS($D$2:D1541,D1541,$H$2:H1541,H1541)=1,1,0),"")</f>
        <v/>
      </c>
      <c r="J1541" s="50" t="str">
        <f>IF(ISNUMBER(H1541),IFERROR(INDEX(Calendrier!$C$2:$C$367,MATCH(H1541,Calendrier!$A$2:$A$367,0)),0),"")</f>
        <v/>
      </c>
      <c r="K1541" s="50" t="str">
        <f t="shared" si="124"/>
        <v/>
      </c>
      <c r="L1541" s="50" t="str">
        <f>IF(D1541="","",IF(COUNTIF(Paramètres!$A$11:$A$40,D1541)&gt;0,1,0))</f>
        <v/>
      </c>
    </row>
    <row r="1542" spans="1:12" hidden="1" x14ac:dyDescent="0.25">
      <c r="A1542" s="49"/>
      <c r="B1542" s="49"/>
      <c r="C1542" s="49"/>
      <c r="D1542" s="50" t="str">
        <f t="shared" si="120"/>
        <v/>
      </c>
      <c r="E1542" s="50" t="str">
        <f t="shared" si="121"/>
        <v/>
      </c>
      <c r="F1542" s="50" t="str">
        <f t="shared" si="122"/>
        <v/>
      </c>
      <c r="G1542" s="50" t="str">
        <f t="shared" si="123"/>
        <v/>
      </c>
      <c r="H1542" s="51" t="str">
        <f>IF($C1542="","",IFERROR(DATE(G1542,VLOOKUP(E1542,Paramètres!$K$11:$L$40,2,FALSE()),F1542),"?"))</f>
        <v/>
      </c>
      <c r="I1542" s="50" t="str">
        <f>IF(ISNUMBER(H1542),IF(COUNTIFS($D$2:D1542,D1542,$H$2:H1542,H1542)=1,1,0),"")</f>
        <v/>
      </c>
      <c r="J1542" s="50" t="str">
        <f>IF(ISNUMBER(H1542),IFERROR(INDEX(Calendrier!$C$2:$C$367,MATCH(H1542,Calendrier!$A$2:$A$367,0)),0),"")</f>
        <v/>
      </c>
      <c r="K1542" s="50" t="str">
        <f t="shared" si="124"/>
        <v/>
      </c>
      <c r="L1542" s="50" t="str">
        <f>IF(D1542="","",IF(COUNTIF(Paramètres!$A$11:$A$40,D1542)&gt;0,1,0))</f>
        <v/>
      </c>
    </row>
    <row r="1543" spans="1:12" hidden="1" x14ac:dyDescent="0.25">
      <c r="A1543" s="49"/>
      <c r="B1543" s="49"/>
      <c r="C1543" s="49"/>
      <c r="D1543" s="50" t="str">
        <f t="shared" si="120"/>
        <v/>
      </c>
      <c r="E1543" s="50" t="str">
        <f t="shared" si="121"/>
        <v/>
      </c>
      <c r="F1543" s="50" t="str">
        <f t="shared" si="122"/>
        <v/>
      </c>
      <c r="G1543" s="50" t="str">
        <f t="shared" si="123"/>
        <v/>
      </c>
      <c r="H1543" s="51" t="str">
        <f>IF($C1543="","",IFERROR(DATE(G1543,VLOOKUP(E1543,Paramètres!$K$11:$L$40,2,FALSE()),F1543),"?"))</f>
        <v/>
      </c>
      <c r="I1543" s="50" t="str">
        <f>IF(ISNUMBER(H1543),IF(COUNTIFS($D$2:D1543,D1543,$H$2:H1543,H1543)=1,1,0),"")</f>
        <v/>
      </c>
      <c r="J1543" s="50" t="str">
        <f>IF(ISNUMBER(H1543),IFERROR(INDEX(Calendrier!$C$2:$C$367,MATCH(H1543,Calendrier!$A$2:$A$367,0)),0),"")</f>
        <v/>
      </c>
      <c r="K1543" s="50" t="str">
        <f t="shared" si="124"/>
        <v/>
      </c>
      <c r="L1543" s="50" t="str">
        <f>IF(D1543="","",IF(COUNTIF(Paramètres!$A$11:$A$40,D1543)&gt;0,1,0))</f>
        <v/>
      </c>
    </row>
    <row r="1544" spans="1:12" hidden="1" x14ac:dyDescent="0.25">
      <c r="A1544" s="49"/>
      <c r="B1544" s="49"/>
      <c r="C1544" s="49"/>
      <c r="D1544" s="50" t="str">
        <f t="shared" si="120"/>
        <v/>
      </c>
      <c r="E1544" s="50" t="str">
        <f t="shared" si="121"/>
        <v/>
      </c>
      <c r="F1544" s="50" t="str">
        <f t="shared" si="122"/>
        <v/>
      </c>
      <c r="G1544" s="50" t="str">
        <f t="shared" si="123"/>
        <v/>
      </c>
      <c r="H1544" s="51" t="str">
        <f>IF($C1544="","",IFERROR(DATE(G1544,VLOOKUP(E1544,Paramètres!$K$11:$L$40,2,FALSE()),F1544),"?"))</f>
        <v/>
      </c>
      <c r="I1544" s="50" t="str">
        <f>IF(ISNUMBER(H1544),IF(COUNTIFS($D$2:D1544,D1544,$H$2:H1544,H1544)=1,1,0),"")</f>
        <v/>
      </c>
      <c r="J1544" s="50" t="str">
        <f>IF(ISNUMBER(H1544),IFERROR(INDEX(Calendrier!$C$2:$C$367,MATCH(H1544,Calendrier!$A$2:$A$367,0)),0),"")</f>
        <v/>
      </c>
      <c r="K1544" s="50" t="str">
        <f t="shared" si="124"/>
        <v/>
      </c>
      <c r="L1544" s="50" t="str">
        <f>IF(D1544="","",IF(COUNTIF(Paramètres!$A$11:$A$40,D1544)&gt;0,1,0))</f>
        <v/>
      </c>
    </row>
    <row r="1545" spans="1:12" hidden="1" x14ac:dyDescent="0.25">
      <c r="A1545" s="49"/>
      <c r="B1545" s="49"/>
      <c r="C1545" s="49"/>
      <c r="D1545" s="50" t="str">
        <f t="shared" si="120"/>
        <v/>
      </c>
      <c r="E1545" s="50" t="str">
        <f t="shared" si="121"/>
        <v/>
      </c>
      <c r="F1545" s="50" t="str">
        <f t="shared" si="122"/>
        <v/>
      </c>
      <c r="G1545" s="50" t="str">
        <f t="shared" si="123"/>
        <v/>
      </c>
      <c r="H1545" s="51" t="str">
        <f>IF($C1545="","",IFERROR(DATE(G1545,VLOOKUP(E1545,Paramètres!$K$11:$L$40,2,FALSE()),F1545),"?"))</f>
        <v/>
      </c>
      <c r="I1545" s="50" t="str">
        <f>IF(ISNUMBER(H1545),IF(COUNTIFS($D$2:D1545,D1545,$H$2:H1545,H1545)=1,1,0),"")</f>
        <v/>
      </c>
      <c r="J1545" s="50" t="str">
        <f>IF(ISNUMBER(H1545),IFERROR(INDEX(Calendrier!$C$2:$C$367,MATCH(H1545,Calendrier!$A$2:$A$367,0)),0),"")</f>
        <v/>
      </c>
      <c r="K1545" s="50" t="str">
        <f t="shared" si="124"/>
        <v/>
      </c>
      <c r="L1545" s="50" t="str">
        <f>IF(D1545="","",IF(COUNTIF(Paramètres!$A$11:$A$40,D1545)&gt;0,1,0))</f>
        <v/>
      </c>
    </row>
    <row r="1546" spans="1:12" hidden="1" x14ac:dyDescent="0.25">
      <c r="A1546" s="49"/>
      <c r="B1546" s="49"/>
      <c r="C1546" s="49"/>
      <c r="D1546" s="50" t="str">
        <f t="shared" si="120"/>
        <v/>
      </c>
      <c r="E1546" s="50" t="str">
        <f t="shared" si="121"/>
        <v/>
      </c>
      <c r="F1546" s="50" t="str">
        <f t="shared" si="122"/>
        <v/>
      </c>
      <c r="G1546" s="50" t="str">
        <f t="shared" si="123"/>
        <v/>
      </c>
      <c r="H1546" s="51" t="str">
        <f>IF($C1546="","",IFERROR(DATE(G1546,VLOOKUP(E1546,Paramètres!$K$11:$L$40,2,FALSE()),F1546),"?"))</f>
        <v/>
      </c>
      <c r="I1546" s="50" t="str">
        <f>IF(ISNUMBER(H1546),IF(COUNTIFS($D$2:D1546,D1546,$H$2:H1546,H1546)=1,1,0),"")</f>
        <v/>
      </c>
      <c r="J1546" s="50" t="str">
        <f>IF(ISNUMBER(H1546),IFERROR(INDEX(Calendrier!$C$2:$C$367,MATCH(H1546,Calendrier!$A$2:$A$367,0)),0),"")</f>
        <v/>
      </c>
      <c r="K1546" s="50" t="str">
        <f t="shared" si="124"/>
        <v/>
      </c>
      <c r="L1546" s="50" t="str">
        <f>IF(D1546="","",IF(COUNTIF(Paramètres!$A$11:$A$40,D1546)&gt;0,1,0))</f>
        <v/>
      </c>
    </row>
    <row r="1547" spans="1:12" hidden="1" x14ac:dyDescent="0.25">
      <c r="A1547" s="49"/>
      <c r="B1547" s="49"/>
      <c r="C1547" s="49"/>
      <c r="D1547" s="50" t="str">
        <f t="shared" si="120"/>
        <v/>
      </c>
      <c r="E1547" s="50" t="str">
        <f t="shared" si="121"/>
        <v/>
      </c>
      <c r="F1547" s="50" t="str">
        <f t="shared" si="122"/>
        <v/>
      </c>
      <c r="G1547" s="50" t="str">
        <f t="shared" si="123"/>
        <v/>
      </c>
      <c r="H1547" s="51" t="str">
        <f>IF($C1547="","",IFERROR(DATE(G1547,VLOOKUP(E1547,Paramètres!$K$11:$L$40,2,FALSE()),F1547),"?"))</f>
        <v/>
      </c>
      <c r="I1547" s="50" t="str">
        <f>IF(ISNUMBER(H1547),IF(COUNTIFS($D$2:D1547,D1547,$H$2:H1547,H1547)=1,1,0),"")</f>
        <v/>
      </c>
      <c r="J1547" s="50" t="str">
        <f>IF(ISNUMBER(H1547),IFERROR(INDEX(Calendrier!$C$2:$C$367,MATCH(H1547,Calendrier!$A$2:$A$367,0)),0),"")</f>
        <v/>
      </c>
      <c r="K1547" s="50" t="str">
        <f t="shared" si="124"/>
        <v/>
      </c>
      <c r="L1547" s="50" t="str">
        <f>IF(D1547="","",IF(COUNTIF(Paramètres!$A$11:$A$40,D1547)&gt;0,1,0))</f>
        <v/>
      </c>
    </row>
    <row r="1548" spans="1:12" hidden="1" x14ac:dyDescent="0.25">
      <c r="A1548" s="49"/>
      <c r="B1548" s="49"/>
      <c r="C1548" s="49"/>
      <c r="D1548" s="50" t="str">
        <f t="shared" si="120"/>
        <v/>
      </c>
      <c r="E1548" s="50" t="str">
        <f t="shared" si="121"/>
        <v/>
      </c>
      <c r="F1548" s="50" t="str">
        <f t="shared" si="122"/>
        <v/>
      </c>
      <c r="G1548" s="50" t="str">
        <f t="shared" si="123"/>
        <v/>
      </c>
      <c r="H1548" s="51" t="str">
        <f>IF($C1548="","",IFERROR(DATE(G1548,VLOOKUP(E1548,Paramètres!$K$11:$L$40,2,FALSE()),F1548),"?"))</f>
        <v/>
      </c>
      <c r="I1548" s="50" t="str">
        <f>IF(ISNUMBER(H1548),IF(COUNTIFS($D$2:D1548,D1548,$H$2:H1548,H1548)=1,1,0),"")</f>
        <v/>
      </c>
      <c r="J1548" s="50" t="str">
        <f>IF(ISNUMBER(H1548),IFERROR(INDEX(Calendrier!$C$2:$C$367,MATCH(H1548,Calendrier!$A$2:$A$367,0)),0),"")</f>
        <v/>
      </c>
      <c r="K1548" s="50" t="str">
        <f t="shared" si="124"/>
        <v/>
      </c>
      <c r="L1548" s="50" t="str">
        <f>IF(D1548="","",IF(COUNTIF(Paramètres!$A$11:$A$40,D1548)&gt;0,1,0))</f>
        <v/>
      </c>
    </row>
    <row r="1549" spans="1:12" hidden="1" x14ac:dyDescent="0.25">
      <c r="A1549" s="49"/>
      <c r="B1549" s="49"/>
      <c r="C1549" s="49"/>
      <c r="D1549" s="50" t="str">
        <f t="shared" si="120"/>
        <v/>
      </c>
      <c r="E1549" s="50" t="str">
        <f t="shared" si="121"/>
        <v/>
      </c>
      <c r="F1549" s="50" t="str">
        <f t="shared" si="122"/>
        <v/>
      </c>
      <c r="G1549" s="50" t="str">
        <f t="shared" si="123"/>
        <v/>
      </c>
      <c r="H1549" s="51" t="str">
        <f>IF($C1549="","",IFERROR(DATE(G1549,VLOOKUP(E1549,Paramètres!$K$11:$L$40,2,FALSE()),F1549),"?"))</f>
        <v/>
      </c>
      <c r="I1549" s="50" t="str">
        <f>IF(ISNUMBER(H1549),IF(COUNTIFS($D$2:D1549,D1549,$H$2:H1549,H1549)=1,1,0),"")</f>
        <v/>
      </c>
      <c r="J1549" s="50" t="str">
        <f>IF(ISNUMBER(H1549),IFERROR(INDEX(Calendrier!$C$2:$C$367,MATCH(H1549,Calendrier!$A$2:$A$367,0)),0),"")</f>
        <v/>
      </c>
      <c r="K1549" s="50" t="str">
        <f t="shared" si="124"/>
        <v/>
      </c>
      <c r="L1549" s="50" t="str">
        <f>IF(D1549="","",IF(COUNTIF(Paramètres!$A$11:$A$40,D1549)&gt;0,1,0))</f>
        <v/>
      </c>
    </row>
    <row r="1550" spans="1:12" hidden="1" x14ac:dyDescent="0.25">
      <c r="A1550" s="49"/>
      <c r="B1550" s="49"/>
      <c r="C1550" s="49"/>
      <c r="D1550" s="50" t="str">
        <f t="shared" si="120"/>
        <v/>
      </c>
      <c r="E1550" s="50" t="str">
        <f t="shared" si="121"/>
        <v/>
      </c>
      <c r="F1550" s="50" t="str">
        <f t="shared" si="122"/>
        <v/>
      </c>
      <c r="G1550" s="50" t="str">
        <f t="shared" si="123"/>
        <v/>
      </c>
      <c r="H1550" s="51" t="str">
        <f>IF($C1550="","",IFERROR(DATE(G1550,VLOOKUP(E1550,Paramètres!$K$11:$L$40,2,FALSE()),F1550),"?"))</f>
        <v/>
      </c>
      <c r="I1550" s="50" t="str">
        <f>IF(ISNUMBER(H1550),IF(COUNTIFS($D$2:D1550,D1550,$H$2:H1550,H1550)=1,1,0),"")</f>
        <v/>
      </c>
      <c r="J1550" s="50" t="str">
        <f>IF(ISNUMBER(H1550),IFERROR(INDEX(Calendrier!$C$2:$C$367,MATCH(H1550,Calendrier!$A$2:$A$367,0)),0),"")</f>
        <v/>
      </c>
      <c r="K1550" s="50" t="str">
        <f t="shared" si="124"/>
        <v/>
      </c>
      <c r="L1550" s="50" t="str">
        <f>IF(D1550="","",IF(COUNTIF(Paramètres!$A$11:$A$40,D1550)&gt;0,1,0))</f>
        <v/>
      </c>
    </row>
    <row r="1551" spans="1:12" hidden="1" x14ac:dyDescent="0.25">
      <c r="A1551" s="49"/>
      <c r="B1551" s="49"/>
      <c r="C1551" s="49"/>
      <c r="D1551" s="50" t="str">
        <f t="shared" si="120"/>
        <v/>
      </c>
      <c r="E1551" s="50" t="str">
        <f t="shared" si="121"/>
        <v/>
      </c>
      <c r="F1551" s="50" t="str">
        <f t="shared" si="122"/>
        <v/>
      </c>
      <c r="G1551" s="50" t="str">
        <f t="shared" si="123"/>
        <v/>
      </c>
      <c r="H1551" s="51" t="str">
        <f>IF($C1551="","",IFERROR(DATE(G1551,VLOOKUP(E1551,Paramètres!$K$11:$L$40,2,FALSE()),F1551),"?"))</f>
        <v/>
      </c>
      <c r="I1551" s="50" t="str">
        <f>IF(ISNUMBER(H1551),IF(COUNTIFS($D$2:D1551,D1551,$H$2:H1551,H1551)=1,1,0),"")</f>
        <v/>
      </c>
      <c r="J1551" s="50" t="str">
        <f>IF(ISNUMBER(H1551),IFERROR(INDEX(Calendrier!$C$2:$C$367,MATCH(H1551,Calendrier!$A$2:$A$367,0)),0),"")</f>
        <v/>
      </c>
      <c r="K1551" s="50" t="str">
        <f t="shared" si="124"/>
        <v/>
      </c>
      <c r="L1551" s="50" t="str">
        <f>IF(D1551="","",IF(COUNTIF(Paramètres!$A$11:$A$40,D1551)&gt;0,1,0))</f>
        <v/>
      </c>
    </row>
    <row r="1552" spans="1:12" hidden="1" x14ac:dyDescent="0.25">
      <c r="A1552" s="49"/>
      <c r="B1552" s="49"/>
      <c r="C1552" s="49"/>
      <c r="D1552" s="50" t="str">
        <f t="shared" si="120"/>
        <v/>
      </c>
      <c r="E1552" s="50" t="str">
        <f t="shared" si="121"/>
        <v/>
      </c>
      <c r="F1552" s="50" t="str">
        <f t="shared" si="122"/>
        <v/>
      </c>
      <c r="G1552" s="50" t="str">
        <f t="shared" si="123"/>
        <v/>
      </c>
      <c r="H1552" s="51" t="str">
        <f>IF($C1552="","",IFERROR(DATE(G1552,VLOOKUP(E1552,Paramètres!$K$11:$L$40,2,FALSE()),F1552),"?"))</f>
        <v/>
      </c>
      <c r="I1552" s="50" t="str">
        <f>IF(ISNUMBER(H1552),IF(COUNTIFS($D$2:D1552,D1552,$H$2:H1552,H1552)=1,1,0),"")</f>
        <v/>
      </c>
      <c r="J1552" s="50" t="str">
        <f>IF(ISNUMBER(H1552),IFERROR(INDEX(Calendrier!$C$2:$C$367,MATCH(H1552,Calendrier!$A$2:$A$367,0)),0),"")</f>
        <v/>
      </c>
      <c r="K1552" s="50" t="str">
        <f t="shared" si="124"/>
        <v/>
      </c>
      <c r="L1552" s="50" t="str">
        <f>IF(D1552="","",IF(COUNTIF(Paramètres!$A$11:$A$40,D1552)&gt;0,1,0))</f>
        <v/>
      </c>
    </row>
    <row r="1553" spans="1:12" hidden="1" x14ac:dyDescent="0.25">
      <c r="A1553" s="49"/>
      <c r="B1553" s="49"/>
      <c r="C1553" s="49"/>
      <c r="D1553" s="50" t="str">
        <f t="shared" si="120"/>
        <v/>
      </c>
      <c r="E1553" s="50" t="str">
        <f t="shared" si="121"/>
        <v/>
      </c>
      <c r="F1553" s="50" t="str">
        <f t="shared" si="122"/>
        <v/>
      </c>
      <c r="G1553" s="50" t="str">
        <f t="shared" si="123"/>
        <v/>
      </c>
      <c r="H1553" s="51" t="str">
        <f>IF($C1553="","",IFERROR(DATE(G1553,VLOOKUP(E1553,Paramètres!$K$11:$L$40,2,FALSE()),F1553),"?"))</f>
        <v/>
      </c>
      <c r="I1553" s="50" t="str">
        <f>IF(ISNUMBER(H1553),IF(COUNTIFS($D$2:D1553,D1553,$H$2:H1553,H1553)=1,1,0),"")</f>
        <v/>
      </c>
      <c r="J1553" s="50" t="str">
        <f>IF(ISNUMBER(H1553),IFERROR(INDEX(Calendrier!$C$2:$C$367,MATCH(H1553,Calendrier!$A$2:$A$367,0)),0),"")</f>
        <v/>
      </c>
      <c r="K1553" s="50" t="str">
        <f t="shared" si="124"/>
        <v/>
      </c>
      <c r="L1553" s="50" t="str">
        <f>IF(D1553="","",IF(COUNTIF(Paramètres!$A$11:$A$40,D1553)&gt;0,1,0))</f>
        <v/>
      </c>
    </row>
    <row r="1554" spans="1:12" hidden="1" x14ac:dyDescent="0.25">
      <c r="A1554" s="49"/>
      <c r="B1554" s="49"/>
      <c r="C1554" s="49"/>
      <c r="D1554" s="50" t="str">
        <f t="shared" si="120"/>
        <v/>
      </c>
      <c r="E1554" s="50" t="str">
        <f t="shared" si="121"/>
        <v/>
      </c>
      <c r="F1554" s="50" t="str">
        <f t="shared" si="122"/>
        <v/>
      </c>
      <c r="G1554" s="50" t="str">
        <f t="shared" si="123"/>
        <v/>
      </c>
      <c r="H1554" s="51" t="str">
        <f>IF($C1554="","",IFERROR(DATE(G1554,VLOOKUP(E1554,Paramètres!$K$11:$L$40,2,FALSE()),F1554),"?"))</f>
        <v/>
      </c>
      <c r="I1554" s="50" t="str">
        <f>IF(ISNUMBER(H1554),IF(COUNTIFS($D$2:D1554,D1554,$H$2:H1554,H1554)=1,1,0),"")</f>
        <v/>
      </c>
      <c r="J1554" s="50" t="str">
        <f>IF(ISNUMBER(H1554),IFERROR(INDEX(Calendrier!$C$2:$C$367,MATCH(H1554,Calendrier!$A$2:$A$367,0)),0),"")</f>
        <v/>
      </c>
      <c r="K1554" s="50" t="str">
        <f t="shared" si="124"/>
        <v/>
      </c>
      <c r="L1554" s="50" t="str">
        <f>IF(D1554="","",IF(COUNTIF(Paramètres!$A$11:$A$40,D1554)&gt;0,1,0))</f>
        <v/>
      </c>
    </row>
    <row r="1555" spans="1:12" hidden="1" x14ac:dyDescent="0.25">
      <c r="A1555" s="49"/>
      <c r="B1555" s="49"/>
      <c r="C1555" s="49"/>
      <c r="D1555" s="50" t="str">
        <f t="shared" si="120"/>
        <v/>
      </c>
      <c r="E1555" s="50" t="str">
        <f t="shared" si="121"/>
        <v/>
      </c>
      <c r="F1555" s="50" t="str">
        <f t="shared" si="122"/>
        <v/>
      </c>
      <c r="G1555" s="50" t="str">
        <f t="shared" si="123"/>
        <v/>
      </c>
      <c r="H1555" s="51" t="str">
        <f>IF($C1555="","",IFERROR(DATE(G1555,VLOOKUP(E1555,Paramètres!$K$11:$L$40,2,FALSE()),F1555),"?"))</f>
        <v/>
      </c>
      <c r="I1555" s="50" t="str">
        <f>IF(ISNUMBER(H1555),IF(COUNTIFS($D$2:D1555,D1555,$H$2:H1555,H1555)=1,1,0),"")</f>
        <v/>
      </c>
      <c r="J1555" s="50" t="str">
        <f>IF(ISNUMBER(H1555),IFERROR(INDEX(Calendrier!$C$2:$C$367,MATCH(H1555,Calendrier!$A$2:$A$367,0)),0),"")</f>
        <v/>
      </c>
      <c r="K1555" s="50" t="str">
        <f t="shared" si="124"/>
        <v/>
      </c>
      <c r="L1555" s="50" t="str">
        <f>IF(D1555="","",IF(COUNTIF(Paramètres!$A$11:$A$40,D1555)&gt;0,1,0))</f>
        <v/>
      </c>
    </row>
    <row r="1556" spans="1:12" hidden="1" x14ac:dyDescent="0.25">
      <c r="A1556" s="49"/>
      <c r="B1556" s="49"/>
      <c r="C1556" s="49"/>
      <c r="D1556" s="50" t="str">
        <f t="shared" si="120"/>
        <v/>
      </c>
      <c r="E1556" s="50" t="str">
        <f t="shared" si="121"/>
        <v/>
      </c>
      <c r="F1556" s="50" t="str">
        <f t="shared" si="122"/>
        <v/>
      </c>
      <c r="G1556" s="50" t="str">
        <f t="shared" si="123"/>
        <v/>
      </c>
      <c r="H1556" s="51" t="str">
        <f>IF($C1556="","",IFERROR(DATE(G1556,VLOOKUP(E1556,Paramètres!$K$11:$L$40,2,FALSE()),F1556),"?"))</f>
        <v/>
      </c>
      <c r="I1556" s="50" t="str">
        <f>IF(ISNUMBER(H1556),IF(COUNTIFS($D$2:D1556,D1556,$H$2:H1556,H1556)=1,1,0),"")</f>
        <v/>
      </c>
      <c r="J1556" s="50" t="str">
        <f>IF(ISNUMBER(H1556),IFERROR(INDEX(Calendrier!$C$2:$C$367,MATCH(H1556,Calendrier!$A$2:$A$367,0)),0),"")</f>
        <v/>
      </c>
      <c r="K1556" s="50" t="str">
        <f t="shared" si="124"/>
        <v/>
      </c>
      <c r="L1556" s="50" t="str">
        <f>IF(D1556="","",IF(COUNTIF(Paramètres!$A$11:$A$40,D1556)&gt;0,1,0))</f>
        <v/>
      </c>
    </row>
    <row r="1557" spans="1:12" hidden="1" x14ac:dyDescent="0.25">
      <c r="A1557" s="49"/>
      <c r="B1557" s="49"/>
      <c r="C1557" s="49"/>
      <c r="D1557" s="50" t="str">
        <f t="shared" si="120"/>
        <v/>
      </c>
      <c r="E1557" s="50" t="str">
        <f t="shared" si="121"/>
        <v/>
      </c>
      <c r="F1557" s="50" t="str">
        <f t="shared" si="122"/>
        <v/>
      </c>
      <c r="G1557" s="50" t="str">
        <f t="shared" si="123"/>
        <v/>
      </c>
      <c r="H1557" s="51" t="str">
        <f>IF($C1557="","",IFERROR(DATE(G1557,VLOOKUP(E1557,Paramètres!$K$11:$L$40,2,FALSE()),F1557),"?"))</f>
        <v/>
      </c>
      <c r="I1557" s="50" t="str">
        <f>IF(ISNUMBER(H1557),IF(COUNTIFS($D$2:D1557,D1557,$H$2:H1557,H1557)=1,1,0),"")</f>
        <v/>
      </c>
      <c r="J1557" s="50" t="str">
        <f>IF(ISNUMBER(H1557),IFERROR(INDEX(Calendrier!$C$2:$C$367,MATCH(H1557,Calendrier!$A$2:$A$367,0)),0),"")</f>
        <v/>
      </c>
      <c r="K1557" s="50" t="str">
        <f t="shared" si="124"/>
        <v/>
      </c>
      <c r="L1557" s="50" t="str">
        <f>IF(D1557="","",IF(COUNTIF(Paramètres!$A$11:$A$40,D1557)&gt;0,1,0))</f>
        <v/>
      </c>
    </row>
    <row r="1558" spans="1:12" hidden="1" x14ac:dyDescent="0.25">
      <c r="A1558" s="49"/>
      <c r="B1558" s="49"/>
      <c r="C1558" s="49"/>
      <c r="D1558" s="50" t="str">
        <f t="shared" si="120"/>
        <v/>
      </c>
      <c r="E1558" s="50" t="str">
        <f t="shared" si="121"/>
        <v/>
      </c>
      <c r="F1558" s="50" t="str">
        <f t="shared" si="122"/>
        <v/>
      </c>
      <c r="G1558" s="50" t="str">
        <f t="shared" si="123"/>
        <v/>
      </c>
      <c r="H1558" s="51" t="str">
        <f>IF($C1558="","",IFERROR(DATE(G1558,VLOOKUP(E1558,Paramètres!$K$11:$L$40,2,FALSE()),F1558),"?"))</f>
        <v/>
      </c>
      <c r="I1558" s="50" t="str">
        <f>IF(ISNUMBER(H1558),IF(COUNTIFS($D$2:D1558,D1558,$H$2:H1558,H1558)=1,1,0),"")</f>
        <v/>
      </c>
      <c r="J1558" s="50" t="str">
        <f>IF(ISNUMBER(H1558),IFERROR(INDEX(Calendrier!$C$2:$C$367,MATCH(H1558,Calendrier!$A$2:$A$367,0)),0),"")</f>
        <v/>
      </c>
      <c r="K1558" s="50" t="str">
        <f t="shared" si="124"/>
        <v/>
      </c>
      <c r="L1558" s="50" t="str">
        <f>IF(D1558="","",IF(COUNTIF(Paramètres!$A$11:$A$40,D1558)&gt;0,1,0))</f>
        <v/>
      </c>
    </row>
    <row r="1559" spans="1:12" hidden="1" x14ac:dyDescent="0.25">
      <c r="A1559" s="49"/>
      <c r="B1559" s="49"/>
      <c r="C1559" s="49"/>
      <c r="D1559" s="50" t="str">
        <f t="shared" si="120"/>
        <v/>
      </c>
      <c r="E1559" s="50" t="str">
        <f t="shared" si="121"/>
        <v/>
      </c>
      <c r="F1559" s="50" t="str">
        <f t="shared" si="122"/>
        <v/>
      </c>
      <c r="G1559" s="50" t="str">
        <f t="shared" si="123"/>
        <v/>
      </c>
      <c r="H1559" s="51" t="str">
        <f>IF($C1559="","",IFERROR(DATE(G1559,VLOOKUP(E1559,Paramètres!$K$11:$L$40,2,FALSE()),F1559),"?"))</f>
        <v/>
      </c>
      <c r="I1559" s="50" t="str">
        <f>IF(ISNUMBER(H1559),IF(COUNTIFS($D$2:D1559,D1559,$H$2:H1559,H1559)=1,1,0),"")</f>
        <v/>
      </c>
      <c r="J1559" s="50" t="str">
        <f>IF(ISNUMBER(H1559),IFERROR(INDEX(Calendrier!$C$2:$C$367,MATCH(H1559,Calendrier!$A$2:$A$367,0)),0),"")</f>
        <v/>
      </c>
      <c r="K1559" s="50" t="str">
        <f t="shared" si="124"/>
        <v/>
      </c>
      <c r="L1559" s="50" t="str">
        <f>IF(D1559="","",IF(COUNTIF(Paramètres!$A$11:$A$40,D1559)&gt;0,1,0))</f>
        <v/>
      </c>
    </row>
    <row r="1560" spans="1:12" hidden="1" x14ac:dyDescent="0.25">
      <c r="A1560" s="49"/>
      <c r="B1560" s="49"/>
      <c r="C1560" s="49"/>
      <c r="D1560" s="50" t="str">
        <f t="shared" si="120"/>
        <v/>
      </c>
      <c r="E1560" s="50" t="str">
        <f t="shared" si="121"/>
        <v/>
      </c>
      <c r="F1560" s="50" t="str">
        <f t="shared" si="122"/>
        <v/>
      </c>
      <c r="G1560" s="50" t="str">
        <f t="shared" si="123"/>
        <v/>
      </c>
      <c r="H1560" s="51" t="str">
        <f>IF($C1560="","",IFERROR(DATE(G1560,VLOOKUP(E1560,Paramètres!$K$11:$L$40,2,FALSE()),F1560),"?"))</f>
        <v/>
      </c>
      <c r="I1560" s="50" t="str">
        <f>IF(ISNUMBER(H1560),IF(COUNTIFS($D$2:D1560,D1560,$H$2:H1560,H1560)=1,1,0),"")</f>
        <v/>
      </c>
      <c r="J1560" s="50" t="str">
        <f>IF(ISNUMBER(H1560),IFERROR(INDEX(Calendrier!$C$2:$C$367,MATCH(H1560,Calendrier!$A$2:$A$367,0)),0),"")</f>
        <v/>
      </c>
      <c r="K1560" s="50" t="str">
        <f t="shared" si="124"/>
        <v/>
      </c>
      <c r="L1560" s="50" t="str">
        <f>IF(D1560="","",IF(COUNTIF(Paramètres!$A$11:$A$40,D1560)&gt;0,1,0))</f>
        <v/>
      </c>
    </row>
    <row r="1561" spans="1:12" hidden="1" x14ac:dyDescent="0.25">
      <c r="A1561" s="49"/>
      <c r="B1561" s="49"/>
      <c r="C1561" s="49"/>
      <c r="D1561" s="50" t="str">
        <f t="shared" si="120"/>
        <v/>
      </c>
      <c r="E1561" s="50" t="str">
        <f t="shared" si="121"/>
        <v/>
      </c>
      <c r="F1561" s="50" t="str">
        <f t="shared" si="122"/>
        <v/>
      </c>
      <c r="G1561" s="50" t="str">
        <f t="shared" si="123"/>
        <v/>
      </c>
      <c r="H1561" s="51" t="str">
        <f>IF($C1561="","",IFERROR(DATE(G1561,VLOOKUP(E1561,Paramètres!$K$11:$L$40,2,FALSE()),F1561),"?"))</f>
        <v/>
      </c>
      <c r="I1561" s="50" t="str">
        <f>IF(ISNUMBER(H1561),IF(COUNTIFS($D$2:D1561,D1561,$H$2:H1561,H1561)=1,1,0),"")</f>
        <v/>
      </c>
      <c r="J1561" s="50" t="str">
        <f>IF(ISNUMBER(H1561),IFERROR(INDEX(Calendrier!$C$2:$C$367,MATCH(H1561,Calendrier!$A$2:$A$367,0)),0),"")</f>
        <v/>
      </c>
      <c r="K1561" s="50" t="str">
        <f t="shared" si="124"/>
        <v/>
      </c>
      <c r="L1561" s="50" t="str">
        <f>IF(D1561="","",IF(COUNTIF(Paramètres!$A$11:$A$40,D1561)&gt;0,1,0))</f>
        <v/>
      </c>
    </row>
    <row r="1562" spans="1:12" hidden="1" x14ac:dyDescent="0.25">
      <c r="A1562" s="49"/>
      <c r="B1562" s="49"/>
      <c r="C1562" s="49"/>
      <c r="D1562" s="50" t="str">
        <f t="shared" si="120"/>
        <v/>
      </c>
      <c r="E1562" s="50" t="str">
        <f t="shared" si="121"/>
        <v/>
      </c>
      <c r="F1562" s="50" t="str">
        <f t="shared" si="122"/>
        <v/>
      </c>
      <c r="G1562" s="50" t="str">
        <f t="shared" si="123"/>
        <v/>
      </c>
      <c r="H1562" s="51" t="str">
        <f>IF($C1562="","",IFERROR(DATE(G1562,VLOOKUP(E1562,Paramètres!$K$11:$L$40,2,FALSE()),F1562),"?"))</f>
        <v/>
      </c>
      <c r="I1562" s="50" t="str">
        <f>IF(ISNUMBER(H1562),IF(COUNTIFS($D$2:D1562,D1562,$H$2:H1562,H1562)=1,1,0),"")</f>
        <v/>
      </c>
      <c r="J1562" s="50" t="str">
        <f>IF(ISNUMBER(H1562),IFERROR(INDEX(Calendrier!$C$2:$C$367,MATCH(H1562,Calendrier!$A$2:$A$367,0)),0),"")</f>
        <v/>
      </c>
      <c r="K1562" s="50" t="str">
        <f t="shared" si="124"/>
        <v/>
      </c>
      <c r="L1562" s="50" t="str">
        <f>IF(D1562="","",IF(COUNTIF(Paramètres!$A$11:$A$40,D1562)&gt;0,1,0))</f>
        <v/>
      </c>
    </row>
    <row r="1563" spans="1:12" hidden="1" x14ac:dyDescent="0.25">
      <c r="A1563" s="49"/>
      <c r="B1563" s="49"/>
      <c r="C1563" s="49"/>
      <c r="D1563" s="50" t="str">
        <f t="shared" si="120"/>
        <v/>
      </c>
      <c r="E1563" s="50" t="str">
        <f t="shared" si="121"/>
        <v/>
      </c>
      <c r="F1563" s="50" t="str">
        <f t="shared" si="122"/>
        <v/>
      </c>
      <c r="G1563" s="50" t="str">
        <f t="shared" si="123"/>
        <v/>
      </c>
      <c r="H1563" s="51" t="str">
        <f>IF($C1563="","",IFERROR(DATE(G1563,VLOOKUP(E1563,Paramètres!$K$11:$L$40,2,FALSE()),F1563),"?"))</f>
        <v/>
      </c>
      <c r="I1563" s="50" t="str">
        <f>IF(ISNUMBER(H1563),IF(COUNTIFS($D$2:D1563,D1563,$H$2:H1563,H1563)=1,1,0),"")</f>
        <v/>
      </c>
      <c r="J1563" s="50" t="str">
        <f>IF(ISNUMBER(H1563),IFERROR(INDEX(Calendrier!$C$2:$C$367,MATCH(H1563,Calendrier!$A$2:$A$367,0)),0),"")</f>
        <v/>
      </c>
      <c r="K1563" s="50" t="str">
        <f t="shared" si="124"/>
        <v/>
      </c>
      <c r="L1563" s="50" t="str">
        <f>IF(D1563="","",IF(COUNTIF(Paramètres!$A$11:$A$40,D1563)&gt;0,1,0))</f>
        <v/>
      </c>
    </row>
    <row r="1564" spans="1:12" hidden="1" x14ac:dyDescent="0.25">
      <c r="A1564" s="49"/>
      <c r="B1564" s="49"/>
      <c r="C1564" s="49"/>
      <c r="D1564" s="50" t="str">
        <f t="shared" si="120"/>
        <v/>
      </c>
      <c r="E1564" s="50" t="str">
        <f t="shared" si="121"/>
        <v/>
      </c>
      <c r="F1564" s="50" t="str">
        <f t="shared" si="122"/>
        <v/>
      </c>
      <c r="G1564" s="50" t="str">
        <f t="shared" si="123"/>
        <v/>
      </c>
      <c r="H1564" s="51" t="str">
        <f>IF($C1564="","",IFERROR(DATE(G1564,VLOOKUP(E1564,Paramètres!$K$11:$L$40,2,FALSE()),F1564),"?"))</f>
        <v/>
      </c>
      <c r="I1564" s="50" t="str">
        <f>IF(ISNUMBER(H1564),IF(COUNTIFS($D$2:D1564,D1564,$H$2:H1564,H1564)=1,1,0),"")</f>
        <v/>
      </c>
      <c r="J1564" s="50" t="str">
        <f>IF(ISNUMBER(H1564),IFERROR(INDEX(Calendrier!$C$2:$C$367,MATCH(H1564,Calendrier!$A$2:$A$367,0)),0),"")</f>
        <v/>
      </c>
      <c r="K1564" s="50" t="str">
        <f t="shared" si="124"/>
        <v/>
      </c>
      <c r="L1564" s="50" t="str">
        <f>IF(D1564="","",IF(COUNTIF(Paramètres!$A$11:$A$40,D1564)&gt;0,1,0))</f>
        <v/>
      </c>
    </row>
    <row r="1565" spans="1:12" hidden="1" x14ac:dyDescent="0.25">
      <c r="A1565" s="49"/>
      <c r="B1565" s="49"/>
      <c r="C1565" s="49"/>
      <c r="D1565" s="50" t="str">
        <f t="shared" si="120"/>
        <v/>
      </c>
      <c r="E1565" s="50" t="str">
        <f t="shared" si="121"/>
        <v/>
      </c>
      <c r="F1565" s="50" t="str">
        <f t="shared" si="122"/>
        <v/>
      </c>
      <c r="G1565" s="50" t="str">
        <f t="shared" si="123"/>
        <v/>
      </c>
      <c r="H1565" s="51" t="str">
        <f>IF($C1565="","",IFERROR(DATE(G1565,VLOOKUP(E1565,Paramètres!$K$11:$L$40,2,FALSE()),F1565),"?"))</f>
        <v/>
      </c>
      <c r="I1565" s="50" t="str">
        <f>IF(ISNUMBER(H1565),IF(COUNTIFS($D$2:D1565,D1565,$H$2:H1565,H1565)=1,1,0),"")</f>
        <v/>
      </c>
      <c r="J1565" s="50" t="str">
        <f>IF(ISNUMBER(H1565),IFERROR(INDEX(Calendrier!$C$2:$C$367,MATCH(H1565,Calendrier!$A$2:$A$367,0)),0),"")</f>
        <v/>
      </c>
      <c r="K1565" s="50" t="str">
        <f t="shared" si="124"/>
        <v/>
      </c>
      <c r="L1565" s="50" t="str">
        <f>IF(D1565="","",IF(COUNTIF(Paramètres!$A$11:$A$40,D1565)&gt;0,1,0))</f>
        <v/>
      </c>
    </row>
    <row r="1566" spans="1:12" hidden="1" x14ac:dyDescent="0.25">
      <c r="A1566" s="49"/>
      <c r="B1566" s="49"/>
      <c r="C1566" s="49"/>
      <c r="D1566" s="50" t="str">
        <f t="shared" si="120"/>
        <v/>
      </c>
      <c r="E1566" s="50" t="str">
        <f t="shared" si="121"/>
        <v/>
      </c>
      <c r="F1566" s="50" t="str">
        <f t="shared" si="122"/>
        <v/>
      </c>
      <c r="G1566" s="50" t="str">
        <f t="shared" si="123"/>
        <v/>
      </c>
      <c r="H1566" s="51" t="str">
        <f>IF($C1566="","",IFERROR(DATE(G1566,VLOOKUP(E1566,Paramètres!$K$11:$L$40,2,FALSE()),F1566),"?"))</f>
        <v/>
      </c>
      <c r="I1566" s="50" t="str">
        <f>IF(ISNUMBER(H1566),IF(COUNTIFS($D$2:D1566,D1566,$H$2:H1566,H1566)=1,1,0),"")</f>
        <v/>
      </c>
      <c r="J1566" s="50" t="str">
        <f>IF(ISNUMBER(H1566),IFERROR(INDEX(Calendrier!$C$2:$C$367,MATCH(H1566,Calendrier!$A$2:$A$367,0)),0),"")</f>
        <v/>
      </c>
      <c r="K1566" s="50" t="str">
        <f t="shared" si="124"/>
        <v/>
      </c>
      <c r="L1566" s="50" t="str">
        <f>IF(D1566="","",IF(COUNTIF(Paramètres!$A$11:$A$40,D1566)&gt;0,1,0))</f>
        <v/>
      </c>
    </row>
    <row r="1567" spans="1:12" hidden="1" x14ac:dyDescent="0.25">
      <c r="A1567" s="49"/>
      <c r="B1567" s="49"/>
      <c r="C1567" s="49"/>
      <c r="D1567" s="50" t="str">
        <f t="shared" si="120"/>
        <v/>
      </c>
      <c r="E1567" s="50" t="str">
        <f t="shared" si="121"/>
        <v/>
      </c>
      <c r="F1567" s="50" t="str">
        <f t="shared" si="122"/>
        <v/>
      </c>
      <c r="G1567" s="50" t="str">
        <f t="shared" si="123"/>
        <v/>
      </c>
      <c r="H1567" s="51" t="str">
        <f>IF($C1567="","",IFERROR(DATE(G1567,VLOOKUP(E1567,Paramètres!$K$11:$L$40,2,FALSE()),F1567),"?"))</f>
        <v/>
      </c>
      <c r="I1567" s="50" t="str">
        <f>IF(ISNUMBER(H1567),IF(COUNTIFS($D$2:D1567,D1567,$H$2:H1567,H1567)=1,1,0),"")</f>
        <v/>
      </c>
      <c r="J1567" s="50" t="str">
        <f>IF(ISNUMBER(H1567),IFERROR(INDEX(Calendrier!$C$2:$C$367,MATCH(H1567,Calendrier!$A$2:$A$367,0)),0),"")</f>
        <v/>
      </c>
      <c r="K1567" s="50" t="str">
        <f t="shared" si="124"/>
        <v/>
      </c>
      <c r="L1567" s="50" t="str">
        <f>IF(D1567="","",IF(COUNTIF(Paramètres!$A$11:$A$40,D1567)&gt;0,1,0))</f>
        <v/>
      </c>
    </row>
    <row r="1568" spans="1:12" hidden="1" x14ac:dyDescent="0.25">
      <c r="A1568" s="49"/>
      <c r="B1568" s="49"/>
      <c r="C1568" s="49"/>
      <c r="D1568" s="50" t="str">
        <f t="shared" si="120"/>
        <v/>
      </c>
      <c r="E1568" s="50" t="str">
        <f t="shared" si="121"/>
        <v/>
      </c>
      <c r="F1568" s="50" t="str">
        <f t="shared" si="122"/>
        <v/>
      </c>
      <c r="G1568" s="50" t="str">
        <f t="shared" si="123"/>
        <v/>
      </c>
      <c r="H1568" s="51" t="str">
        <f>IF($C1568="","",IFERROR(DATE(G1568,VLOOKUP(E1568,Paramètres!$K$11:$L$40,2,FALSE()),F1568),"?"))</f>
        <v/>
      </c>
      <c r="I1568" s="50" t="str">
        <f>IF(ISNUMBER(H1568),IF(COUNTIFS($D$2:D1568,D1568,$H$2:H1568,H1568)=1,1,0),"")</f>
        <v/>
      </c>
      <c r="J1568" s="50" t="str">
        <f>IF(ISNUMBER(H1568),IFERROR(INDEX(Calendrier!$C$2:$C$367,MATCH(H1568,Calendrier!$A$2:$A$367,0)),0),"")</f>
        <v/>
      </c>
      <c r="K1568" s="50" t="str">
        <f t="shared" si="124"/>
        <v/>
      </c>
      <c r="L1568" s="50" t="str">
        <f>IF(D1568="","",IF(COUNTIF(Paramètres!$A$11:$A$40,D1568)&gt;0,1,0))</f>
        <v/>
      </c>
    </row>
    <row r="1569" spans="1:12" hidden="1" x14ac:dyDescent="0.25">
      <c r="A1569" s="49"/>
      <c r="B1569" s="49"/>
      <c r="C1569" s="49"/>
      <c r="D1569" s="50" t="str">
        <f t="shared" si="120"/>
        <v/>
      </c>
      <c r="E1569" s="50" t="str">
        <f t="shared" si="121"/>
        <v/>
      </c>
      <c r="F1569" s="50" t="str">
        <f t="shared" si="122"/>
        <v/>
      </c>
      <c r="G1569" s="50" t="str">
        <f t="shared" si="123"/>
        <v/>
      </c>
      <c r="H1569" s="51" t="str">
        <f>IF($C1569="","",IFERROR(DATE(G1569,VLOOKUP(E1569,Paramètres!$K$11:$L$40,2,FALSE()),F1569),"?"))</f>
        <v/>
      </c>
      <c r="I1569" s="50" t="str">
        <f>IF(ISNUMBER(H1569),IF(COUNTIFS($D$2:D1569,D1569,$H$2:H1569,H1569)=1,1,0),"")</f>
        <v/>
      </c>
      <c r="J1569" s="50" t="str">
        <f>IF(ISNUMBER(H1569),IFERROR(INDEX(Calendrier!$C$2:$C$367,MATCH(H1569,Calendrier!$A$2:$A$367,0)),0),"")</f>
        <v/>
      </c>
      <c r="K1569" s="50" t="str">
        <f t="shared" si="124"/>
        <v/>
      </c>
      <c r="L1569" s="50" t="str">
        <f>IF(D1569="","",IF(COUNTIF(Paramètres!$A$11:$A$40,D1569)&gt;0,1,0))</f>
        <v/>
      </c>
    </row>
    <row r="1570" spans="1:12" hidden="1" x14ac:dyDescent="0.25">
      <c r="A1570" s="49"/>
      <c r="B1570" s="49"/>
      <c r="C1570" s="49"/>
      <c r="D1570" s="50" t="str">
        <f t="shared" si="120"/>
        <v/>
      </c>
      <c r="E1570" s="50" t="str">
        <f t="shared" si="121"/>
        <v/>
      </c>
      <c r="F1570" s="50" t="str">
        <f t="shared" si="122"/>
        <v/>
      </c>
      <c r="G1570" s="50" t="str">
        <f t="shared" si="123"/>
        <v/>
      </c>
      <c r="H1570" s="51" t="str">
        <f>IF($C1570="","",IFERROR(DATE(G1570,VLOOKUP(E1570,Paramètres!$K$11:$L$40,2,FALSE()),F1570),"?"))</f>
        <v/>
      </c>
      <c r="I1570" s="50" t="str">
        <f>IF(ISNUMBER(H1570),IF(COUNTIFS($D$2:D1570,D1570,$H$2:H1570,H1570)=1,1,0),"")</f>
        <v/>
      </c>
      <c r="J1570" s="50" t="str">
        <f>IF(ISNUMBER(H1570),IFERROR(INDEX(Calendrier!$C$2:$C$367,MATCH(H1570,Calendrier!$A$2:$A$367,0)),0),"")</f>
        <v/>
      </c>
      <c r="K1570" s="50" t="str">
        <f t="shared" si="124"/>
        <v/>
      </c>
      <c r="L1570" s="50" t="str">
        <f>IF(D1570="","",IF(COUNTIF(Paramètres!$A$11:$A$40,D1570)&gt;0,1,0))</f>
        <v/>
      </c>
    </row>
    <row r="1571" spans="1:12" hidden="1" x14ac:dyDescent="0.25">
      <c r="A1571" s="49"/>
      <c r="B1571" s="49"/>
      <c r="C1571" s="49"/>
      <c r="D1571" s="50" t="str">
        <f t="shared" si="120"/>
        <v/>
      </c>
      <c r="E1571" s="50" t="str">
        <f t="shared" si="121"/>
        <v/>
      </c>
      <c r="F1571" s="50" t="str">
        <f t="shared" si="122"/>
        <v/>
      </c>
      <c r="G1571" s="50" t="str">
        <f t="shared" si="123"/>
        <v/>
      </c>
      <c r="H1571" s="51" t="str">
        <f>IF($C1571="","",IFERROR(DATE(G1571,VLOOKUP(E1571,Paramètres!$K$11:$L$40,2,FALSE()),F1571),"?"))</f>
        <v/>
      </c>
      <c r="I1571" s="50" t="str">
        <f>IF(ISNUMBER(H1571),IF(COUNTIFS($D$2:D1571,D1571,$H$2:H1571,H1571)=1,1,0),"")</f>
        <v/>
      </c>
      <c r="J1571" s="50" t="str">
        <f>IF(ISNUMBER(H1571),IFERROR(INDEX(Calendrier!$C$2:$C$367,MATCH(H1571,Calendrier!$A$2:$A$367,0)),0),"")</f>
        <v/>
      </c>
      <c r="K1571" s="50" t="str">
        <f t="shared" si="124"/>
        <v/>
      </c>
      <c r="L1571" s="50" t="str">
        <f>IF(D1571="","",IF(COUNTIF(Paramètres!$A$11:$A$40,D1571)&gt;0,1,0))</f>
        <v/>
      </c>
    </row>
    <row r="1572" spans="1:12" hidden="1" x14ac:dyDescent="0.25">
      <c r="A1572" s="49"/>
      <c r="B1572" s="49"/>
      <c r="C1572" s="49"/>
      <c r="D1572" s="50" t="str">
        <f t="shared" si="120"/>
        <v/>
      </c>
      <c r="E1572" s="50" t="str">
        <f t="shared" si="121"/>
        <v/>
      </c>
      <c r="F1572" s="50" t="str">
        <f t="shared" si="122"/>
        <v/>
      </c>
      <c r="G1572" s="50" t="str">
        <f t="shared" si="123"/>
        <v/>
      </c>
      <c r="H1572" s="51" t="str">
        <f>IF($C1572="","",IFERROR(DATE(G1572,VLOOKUP(E1572,Paramètres!$K$11:$L$40,2,FALSE()),F1572),"?"))</f>
        <v/>
      </c>
      <c r="I1572" s="50" t="str">
        <f>IF(ISNUMBER(H1572),IF(COUNTIFS($D$2:D1572,D1572,$H$2:H1572,H1572)=1,1,0),"")</f>
        <v/>
      </c>
      <c r="J1572" s="50" t="str">
        <f>IF(ISNUMBER(H1572),IFERROR(INDEX(Calendrier!$C$2:$C$367,MATCH(H1572,Calendrier!$A$2:$A$367,0)),0),"")</f>
        <v/>
      </c>
      <c r="K1572" s="50" t="str">
        <f t="shared" si="124"/>
        <v/>
      </c>
      <c r="L1572" s="50" t="str">
        <f>IF(D1572="","",IF(COUNTIF(Paramètres!$A$11:$A$40,D1572)&gt;0,1,0))</f>
        <v/>
      </c>
    </row>
    <row r="1573" spans="1:12" hidden="1" x14ac:dyDescent="0.25">
      <c r="A1573" s="49"/>
      <c r="B1573" s="49"/>
      <c r="C1573" s="49"/>
      <c r="D1573" s="50" t="str">
        <f t="shared" si="120"/>
        <v/>
      </c>
      <c r="E1573" s="50" t="str">
        <f t="shared" si="121"/>
        <v/>
      </c>
      <c r="F1573" s="50" t="str">
        <f t="shared" si="122"/>
        <v/>
      </c>
      <c r="G1573" s="50" t="str">
        <f t="shared" si="123"/>
        <v/>
      </c>
      <c r="H1573" s="51" t="str">
        <f>IF($C1573="","",IFERROR(DATE(G1573,VLOOKUP(E1573,Paramètres!$K$11:$L$40,2,FALSE()),F1573),"?"))</f>
        <v/>
      </c>
      <c r="I1573" s="50" t="str">
        <f>IF(ISNUMBER(H1573),IF(COUNTIFS($D$2:D1573,D1573,$H$2:H1573,H1573)=1,1,0),"")</f>
        <v/>
      </c>
      <c r="J1573" s="50" t="str">
        <f>IF(ISNUMBER(H1573),IFERROR(INDEX(Calendrier!$C$2:$C$367,MATCH(H1573,Calendrier!$A$2:$A$367,0)),0),"")</f>
        <v/>
      </c>
      <c r="K1573" s="50" t="str">
        <f t="shared" si="124"/>
        <v/>
      </c>
      <c r="L1573" s="50" t="str">
        <f>IF(D1573="","",IF(COUNTIF(Paramètres!$A$11:$A$40,D1573)&gt;0,1,0))</f>
        <v/>
      </c>
    </row>
    <row r="1574" spans="1:12" hidden="1" x14ac:dyDescent="0.25">
      <c r="A1574" s="49"/>
      <c r="B1574" s="49"/>
      <c r="C1574" s="49"/>
      <c r="D1574" s="50" t="str">
        <f t="shared" si="120"/>
        <v/>
      </c>
      <c r="E1574" s="50" t="str">
        <f t="shared" si="121"/>
        <v/>
      </c>
      <c r="F1574" s="50" t="str">
        <f t="shared" si="122"/>
        <v/>
      </c>
      <c r="G1574" s="50" t="str">
        <f t="shared" si="123"/>
        <v/>
      </c>
      <c r="H1574" s="51" t="str">
        <f>IF($C1574="","",IFERROR(DATE(G1574,VLOOKUP(E1574,Paramètres!$K$11:$L$40,2,FALSE()),F1574),"?"))</f>
        <v/>
      </c>
      <c r="I1574" s="50" t="str">
        <f>IF(ISNUMBER(H1574),IF(COUNTIFS($D$2:D1574,D1574,$H$2:H1574,H1574)=1,1,0),"")</f>
        <v/>
      </c>
      <c r="J1574" s="50" t="str">
        <f>IF(ISNUMBER(H1574),IFERROR(INDEX(Calendrier!$C$2:$C$367,MATCH(H1574,Calendrier!$A$2:$A$367,0)),0),"")</f>
        <v/>
      </c>
      <c r="K1574" s="50" t="str">
        <f t="shared" si="124"/>
        <v/>
      </c>
      <c r="L1574" s="50" t="str">
        <f>IF(D1574="","",IF(COUNTIF(Paramètres!$A$11:$A$40,D1574)&gt;0,1,0))</f>
        <v/>
      </c>
    </row>
    <row r="1575" spans="1:12" hidden="1" x14ac:dyDescent="0.25">
      <c r="A1575" s="49"/>
      <c r="B1575" s="49"/>
      <c r="C1575" s="49"/>
      <c r="D1575" s="50" t="str">
        <f t="shared" si="120"/>
        <v/>
      </c>
      <c r="E1575" s="50" t="str">
        <f t="shared" si="121"/>
        <v/>
      </c>
      <c r="F1575" s="50" t="str">
        <f t="shared" si="122"/>
        <v/>
      </c>
      <c r="G1575" s="50" t="str">
        <f t="shared" si="123"/>
        <v/>
      </c>
      <c r="H1575" s="51" t="str">
        <f>IF($C1575="","",IFERROR(DATE(G1575,VLOOKUP(E1575,Paramètres!$K$11:$L$40,2,FALSE()),F1575),"?"))</f>
        <v/>
      </c>
      <c r="I1575" s="50" t="str">
        <f>IF(ISNUMBER(H1575),IF(COUNTIFS($D$2:D1575,D1575,$H$2:H1575,H1575)=1,1,0),"")</f>
        <v/>
      </c>
      <c r="J1575" s="50" t="str">
        <f>IF(ISNUMBER(H1575),IFERROR(INDEX(Calendrier!$C$2:$C$367,MATCH(H1575,Calendrier!$A$2:$A$367,0)),0),"")</f>
        <v/>
      </c>
      <c r="K1575" s="50" t="str">
        <f t="shared" si="124"/>
        <v/>
      </c>
      <c r="L1575" s="50" t="str">
        <f>IF(D1575="","",IF(COUNTIF(Paramètres!$A$11:$A$40,D1575)&gt;0,1,0))</f>
        <v/>
      </c>
    </row>
    <row r="1576" spans="1:12" hidden="1" x14ac:dyDescent="0.25">
      <c r="A1576" s="49"/>
      <c r="B1576" s="49"/>
      <c r="C1576" s="49"/>
      <c r="D1576" s="50" t="str">
        <f t="shared" si="120"/>
        <v/>
      </c>
      <c r="E1576" s="50" t="str">
        <f t="shared" si="121"/>
        <v/>
      </c>
      <c r="F1576" s="50" t="str">
        <f t="shared" si="122"/>
        <v/>
      </c>
      <c r="G1576" s="50" t="str">
        <f t="shared" si="123"/>
        <v/>
      </c>
      <c r="H1576" s="51" t="str">
        <f>IF($C1576="","",IFERROR(DATE(G1576,VLOOKUP(E1576,Paramètres!$K$11:$L$40,2,FALSE()),F1576),"?"))</f>
        <v/>
      </c>
      <c r="I1576" s="50" t="str">
        <f>IF(ISNUMBER(H1576),IF(COUNTIFS($D$2:D1576,D1576,$H$2:H1576,H1576)=1,1,0),"")</f>
        <v/>
      </c>
      <c r="J1576" s="50" t="str">
        <f>IF(ISNUMBER(H1576),IFERROR(INDEX(Calendrier!$C$2:$C$367,MATCH(H1576,Calendrier!$A$2:$A$367,0)),0),"")</f>
        <v/>
      </c>
      <c r="K1576" s="50" t="str">
        <f t="shared" si="124"/>
        <v/>
      </c>
      <c r="L1576" s="50" t="str">
        <f>IF(D1576="","",IF(COUNTIF(Paramètres!$A$11:$A$40,D1576)&gt;0,1,0))</f>
        <v/>
      </c>
    </row>
    <row r="1577" spans="1:12" hidden="1" x14ac:dyDescent="0.25">
      <c r="A1577" s="49"/>
      <c r="B1577" s="49"/>
      <c r="C1577" s="49"/>
      <c r="D1577" s="50" t="str">
        <f t="shared" si="120"/>
        <v/>
      </c>
      <c r="E1577" s="50" t="str">
        <f t="shared" si="121"/>
        <v/>
      </c>
      <c r="F1577" s="50" t="str">
        <f t="shared" si="122"/>
        <v/>
      </c>
      <c r="G1577" s="50" t="str">
        <f t="shared" si="123"/>
        <v/>
      </c>
      <c r="H1577" s="51" t="str">
        <f>IF($C1577="","",IFERROR(DATE(G1577,VLOOKUP(E1577,Paramètres!$K$11:$L$40,2,FALSE()),F1577),"?"))</f>
        <v/>
      </c>
      <c r="I1577" s="50" t="str">
        <f>IF(ISNUMBER(H1577),IF(COUNTIFS($D$2:D1577,D1577,$H$2:H1577,H1577)=1,1,0),"")</f>
        <v/>
      </c>
      <c r="J1577" s="50" t="str">
        <f>IF(ISNUMBER(H1577),IFERROR(INDEX(Calendrier!$C$2:$C$367,MATCH(H1577,Calendrier!$A$2:$A$367,0)),0),"")</f>
        <v/>
      </c>
      <c r="K1577" s="50" t="str">
        <f t="shared" si="124"/>
        <v/>
      </c>
      <c r="L1577" s="50" t="str">
        <f>IF(D1577="","",IF(COUNTIF(Paramètres!$A$11:$A$40,D1577)&gt;0,1,0))</f>
        <v/>
      </c>
    </row>
    <row r="1578" spans="1:12" hidden="1" x14ac:dyDescent="0.25">
      <c r="A1578" s="49"/>
      <c r="B1578" s="49"/>
      <c r="C1578" s="49"/>
      <c r="D1578" s="50" t="str">
        <f t="shared" si="120"/>
        <v/>
      </c>
      <c r="E1578" s="50" t="str">
        <f t="shared" si="121"/>
        <v/>
      </c>
      <c r="F1578" s="50" t="str">
        <f t="shared" si="122"/>
        <v/>
      </c>
      <c r="G1578" s="50" t="str">
        <f t="shared" si="123"/>
        <v/>
      </c>
      <c r="H1578" s="51" t="str">
        <f>IF($C1578="","",IFERROR(DATE(G1578,VLOOKUP(E1578,Paramètres!$K$11:$L$40,2,FALSE()),F1578),"?"))</f>
        <v/>
      </c>
      <c r="I1578" s="50" t="str">
        <f>IF(ISNUMBER(H1578),IF(COUNTIFS($D$2:D1578,D1578,$H$2:H1578,H1578)=1,1,0),"")</f>
        <v/>
      </c>
      <c r="J1578" s="50" t="str">
        <f>IF(ISNUMBER(H1578),IFERROR(INDEX(Calendrier!$C$2:$C$367,MATCH(H1578,Calendrier!$A$2:$A$367,0)),0),"")</f>
        <v/>
      </c>
      <c r="K1578" s="50" t="str">
        <f t="shared" si="124"/>
        <v/>
      </c>
      <c r="L1578" s="50" t="str">
        <f>IF(D1578="","",IF(COUNTIF(Paramètres!$A$11:$A$40,D1578)&gt;0,1,0))</f>
        <v/>
      </c>
    </row>
    <row r="1579" spans="1:12" hidden="1" x14ac:dyDescent="0.25">
      <c r="A1579" s="49"/>
      <c r="B1579" s="49"/>
      <c r="C1579" s="49"/>
      <c r="D1579" s="50" t="str">
        <f t="shared" si="120"/>
        <v/>
      </c>
      <c r="E1579" s="50" t="str">
        <f t="shared" si="121"/>
        <v/>
      </c>
      <c r="F1579" s="50" t="str">
        <f t="shared" si="122"/>
        <v/>
      </c>
      <c r="G1579" s="50" t="str">
        <f t="shared" si="123"/>
        <v/>
      </c>
      <c r="H1579" s="51" t="str">
        <f>IF($C1579="","",IFERROR(DATE(G1579,VLOOKUP(E1579,Paramètres!$K$11:$L$40,2,FALSE()),F1579),"?"))</f>
        <v/>
      </c>
      <c r="I1579" s="50" t="str">
        <f>IF(ISNUMBER(H1579),IF(COUNTIFS($D$2:D1579,D1579,$H$2:H1579,H1579)=1,1,0),"")</f>
        <v/>
      </c>
      <c r="J1579" s="50" t="str">
        <f>IF(ISNUMBER(H1579),IFERROR(INDEX(Calendrier!$C$2:$C$367,MATCH(H1579,Calendrier!$A$2:$A$367,0)),0),"")</f>
        <v/>
      </c>
      <c r="K1579" s="50" t="str">
        <f t="shared" si="124"/>
        <v/>
      </c>
      <c r="L1579" s="50" t="str">
        <f>IF(D1579="","",IF(COUNTIF(Paramètres!$A$11:$A$40,D1579)&gt;0,1,0))</f>
        <v/>
      </c>
    </row>
    <row r="1580" spans="1:12" hidden="1" x14ac:dyDescent="0.25">
      <c r="A1580" s="49"/>
      <c r="B1580" s="49"/>
      <c r="C1580" s="49"/>
      <c r="D1580" s="50" t="str">
        <f t="shared" si="120"/>
        <v/>
      </c>
      <c r="E1580" s="50" t="str">
        <f t="shared" si="121"/>
        <v/>
      </c>
      <c r="F1580" s="50" t="str">
        <f t="shared" si="122"/>
        <v/>
      </c>
      <c r="G1580" s="50" t="str">
        <f t="shared" si="123"/>
        <v/>
      </c>
      <c r="H1580" s="51" t="str">
        <f>IF($C1580="","",IFERROR(DATE(G1580,VLOOKUP(E1580,Paramètres!$K$11:$L$40,2,FALSE()),F1580),"?"))</f>
        <v/>
      </c>
      <c r="I1580" s="50" t="str">
        <f>IF(ISNUMBER(H1580),IF(COUNTIFS($D$2:D1580,D1580,$H$2:H1580,H1580)=1,1,0),"")</f>
        <v/>
      </c>
      <c r="J1580" s="50" t="str">
        <f>IF(ISNUMBER(H1580),IFERROR(INDEX(Calendrier!$C$2:$C$367,MATCH(H1580,Calendrier!$A$2:$A$367,0)),0),"")</f>
        <v/>
      </c>
      <c r="K1580" s="50" t="str">
        <f t="shared" si="124"/>
        <v/>
      </c>
      <c r="L1580" s="50" t="str">
        <f>IF(D1580="","",IF(COUNTIF(Paramètres!$A$11:$A$40,D1580)&gt;0,1,0))</f>
        <v/>
      </c>
    </row>
    <row r="1581" spans="1:12" hidden="1" x14ac:dyDescent="0.25">
      <c r="A1581" s="49"/>
      <c r="B1581" s="49"/>
      <c r="C1581" s="49"/>
      <c r="D1581" s="50" t="str">
        <f t="shared" si="120"/>
        <v/>
      </c>
      <c r="E1581" s="50" t="str">
        <f t="shared" si="121"/>
        <v/>
      </c>
      <c r="F1581" s="50" t="str">
        <f t="shared" si="122"/>
        <v/>
      </c>
      <c r="G1581" s="50" t="str">
        <f t="shared" si="123"/>
        <v/>
      </c>
      <c r="H1581" s="51" t="str">
        <f>IF($C1581="","",IFERROR(DATE(G1581,VLOOKUP(E1581,Paramètres!$K$11:$L$40,2,FALSE()),F1581),"?"))</f>
        <v/>
      </c>
      <c r="I1581" s="50" t="str">
        <f>IF(ISNUMBER(H1581),IF(COUNTIFS($D$2:D1581,D1581,$H$2:H1581,H1581)=1,1,0),"")</f>
        <v/>
      </c>
      <c r="J1581" s="50" t="str">
        <f>IF(ISNUMBER(H1581),IFERROR(INDEX(Calendrier!$C$2:$C$367,MATCH(H1581,Calendrier!$A$2:$A$367,0)),0),"")</f>
        <v/>
      </c>
      <c r="K1581" s="50" t="str">
        <f t="shared" si="124"/>
        <v/>
      </c>
      <c r="L1581" s="50" t="str">
        <f>IF(D1581="","",IF(COUNTIF(Paramètres!$A$11:$A$40,D1581)&gt;0,1,0))</f>
        <v/>
      </c>
    </row>
    <row r="1582" spans="1:12" hidden="1" x14ac:dyDescent="0.25">
      <c r="A1582" s="49"/>
      <c r="B1582" s="49"/>
      <c r="C1582" s="49"/>
      <c r="D1582" s="50" t="str">
        <f t="shared" si="120"/>
        <v/>
      </c>
      <c r="E1582" s="50" t="str">
        <f t="shared" si="121"/>
        <v/>
      </c>
      <c r="F1582" s="50" t="str">
        <f t="shared" si="122"/>
        <v/>
      </c>
      <c r="G1582" s="50" t="str">
        <f t="shared" si="123"/>
        <v/>
      </c>
      <c r="H1582" s="51" t="str">
        <f>IF($C1582="","",IFERROR(DATE(G1582,VLOOKUP(E1582,Paramètres!$K$11:$L$40,2,FALSE()),F1582),"?"))</f>
        <v/>
      </c>
      <c r="I1582" s="50" t="str">
        <f>IF(ISNUMBER(H1582),IF(COUNTIFS($D$2:D1582,D1582,$H$2:H1582,H1582)=1,1,0),"")</f>
        <v/>
      </c>
      <c r="J1582" s="50" t="str">
        <f>IF(ISNUMBER(H1582),IFERROR(INDEX(Calendrier!$C$2:$C$367,MATCH(H1582,Calendrier!$A$2:$A$367,0)),0),"")</f>
        <v/>
      </c>
      <c r="K1582" s="50" t="str">
        <f t="shared" si="124"/>
        <v/>
      </c>
      <c r="L1582" s="50" t="str">
        <f>IF(D1582="","",IF(COUNTIF(Paramètres!$A$11:$A$40,D1582)&gt;0,1,0))</f>
        <v/>
      </c>
    </row>
    <row r="1583" spans="1:12" hidden="1" x14ac:dyDescent="0.25">
      <c r="A1583" s="49"/>
      <c r="B1583" s="49"/>
      <c r="C1583" s="49"/>
      <c r="D1583" s="50" t="str">
        <f t="shared" si="120"/>
        <v/>
      </c>
      <c r="E1583" s="50" t="str">
        <f t="shared" si="121"/>
        <v/>
      </c>
      <c r="F1583" s="50" t="str">
        <f t="shared" si="122"/>
        <v/>
      </c>
      <c r="G1583" s="50" t="str">
        <f t="shared" si="123"/>
        <v/>
      </c>
      <c r="H1583" s="51" t="str">
        <f>IF($C1583="","",IFERROR(DATE(G1583,VLOOKUP(E1583,Paramètres!$K$11:$L$40,2,FALSE()),F1583),"?"))</f>
        <v/>
      </c>
      <c r="I1583" s="50" t="str">
        <f>IF(ISNUMBER(H1583),IF(COUNTIFS($D$2:D1583,D1583,$H$2:H1583,H1583)=1,1,0),"")</f>
        <v/>
      </c>
      <c r="J1583" s="50" t="str">
        <f>IF(ISNUMBER(H1583),IFERROR(INDEX(Calendrier!$C$2:$C$367,MATCH(H1583,Calendrier!$A$2:$A$367,0)),0),"")</f>
        <v/>
      </c>
      <c r="K1583" s="50" t="str">
        <f t="shared" si="124"/>
        <v/>
      </c>
      <c r="L1583" s="50" t="str">
        <f>IF(D1583="","",IF(COUNTIF(Paramètres!$A$11:$A$40,D1583)&gt;0,1,0))</f>
        <v/>
      </c>
    </row>
    <row r="1584" spans="1:12" hidden="1" x14ac:dyDescent="0.25">
      <c r="A1584" s="49"/>
      <c r="B1584" s="49"/>
      <c r="C1584" s="49"/>
      <c r="D1584" s="50" t="str">
        <f t="shared" si="120"/>
        <v/>
      </c>
      <c r="E1584" s="50" t="str">
        <f t="shared" si="121"/>
        <v/>
      </c>
      <c r="F1584" s="50" t="str">
        <f t="shared" si="122"/>
        <v/>
      </c>
      <c r="G1584" s="50" t="str">
        <f t="shared" si="123"/>
        <v/>
      </c>
      <c r="H1584" s="51" t="str">
        <f>IF($C1584="","",IFERROR(DATE(G1584,VLOOKUP(E1584,Paramètres!$K$11:$L$40,2,FALSE()),F1584),"?"))</f>
        <v/>
      </c>
      <c r="I1584" s="50" t="str">
        <f>IF(ISNUMBER(H1584),IF(COUNTIFS($D$2:D1584,D1584,$H$2:H1584,H1584)=1,1,0),"")</f>
        <v/>
      </c>
      <c r="J1584" s="50" t="str">
        <f>IF(ISNUMBER(H1584),IFERROR(INDEX(Calendrier!$C$2:$C$367,MATCH(H1584,Calendrier!$A$2:$A$367,0)),0),"")</f>
        <v/>
      </c>
      <c r="K1584" s="50" t="str">
        <f t="shared" si="124"/>
        <v/>
      </c>
      <c r="L1584" s="50" t="str">
        <f>IF(D1584="","",IF(COUNTIF(Paramètres!$A$11:$A$40,D1584)&gt;0,1,0))</f>
        <v/>
      </c>
    </row>
    <row r="1585" spans="1:12" hidden="1" x14ac:dyDescent="0.25">
      <c r="A1585" s="49"/>
      <c r="B1585" s="49"/>
      <c r="C1585" s="49"/>
      <c r="D1585" s="50" t="str">
        <f t="shared" si="120"/>
        <v/>
      </c>
      <c r="E1585" s="50" t="str">
        <f t="shared" si="121"/>
        <v/>
      </c>
      <c r="F1585" s="50" t="str">
        <f t="shared" si="122"/>
        <v/>
      </c>
      <c r="G1585" s="50" t="str">
        <f t="shared" si="123"/>
        <v/>
      </c>
      <c r="H1585" s="51" t="str">
        <f>IF($C1585="","",IFERROR(DATE(G1585,VLOOKUP(E1585,Paramètres!$K$11:$L$40,2,FALSE()),F1585),"?"))</f>
        <v/>
      </c>
      <c r="I1585" s="50" t="str">
        <f>IF(ISNUMBER(H1585),IF(COUNTIFS($D$2:D1585,D1585,$H$2:H1585,H1585)=1,1,0),"")</f>
        <v/>
      </c>
      <c r="J1585" s="50" t="str">
        <f>IF(ISNUMBER(H1585),IFERROR(INDEX(Calendrier!$C$2:$C$367,MATCH(H1585,Calendrier!$A$2:$A$367,0)),0),"")</f>
        <v/>
      </c>
      <c r="K1585" s="50" t="str">
        <f t="shared" si="124"/>
        <v/>
      </c>
      <c r="L1585" s="50" t="str">
        <f>IF(D1585="","",IF(COUNTIF(Paramètres!$A$11:$A$40,D1585)&gt;0,1,0))</f>
        <v/>
      </c>
    </row>
    <row r="1586" spans="1:12" hidden="1" x14ac:dyDescent="0.25">
      <c r="A1586" s="49"/>
      <c r="B1586" s="49"/>
      <c r="C1586" s="49"/>
      <c r="D1586" s="50" t="str">
        <f t="shared" si="120"/>
        <v/>
      </c>
      <c r="E1586" s="50" t="str">
        <f t="shared" si="121"/>
        <v/>
      </c>
      <c r="F1586" s="50" t="str">
        <f t="shared" si="122"/>
        <v/>
      </c>
      <c r="G1586" s="50" t="str">
        <f t="shared" si="123"/>
        <v/>
      </c>
      <c r="H1586" s="51" t="str">
        <f>IF($C1586="","",IFERROR(DATE(G1586,VLOOKUP(E1586,Paramètres!$K$11:$L$40,2,FALSE()),F1586),"?"))</f>
        <v/>
      </c>
      <c r="I1586" s="50" t="str">
        <f>IF(ISNUMBER(H1586),IF(COUNTIFS($D$2:D1586,D1586,$H$2:H1586,H1586)=1,1,0),"")</f>
        <v/>
      </c>
      <c r="J1586" s="50" t="str">
        <f>IF(ISNUMBER(H1586),IFERROR(INDEX(Calendrier!$C$2:$C$367,MATCH(H1586,Calendrier!$A$2:$A$367,0)),0),"")</f>
        <v/>
      </c>
      <c r="K1586" s="50" t="str">
        <f t="shared" si="124"/>
        <v/>
      </c>
      <c r="L1586" s="50" t="str">
        <f>IF(D1586="","",IF(COUNTIF(Paramètres!$A$11:$A$40,D1586)&gt;0,1,0))</f>
        <v/>
      </c>
    </row>
    <row r="1587" spans="1:12" hidden="1" x14ac:dyDescent="0.25">
      <c r="A1587" s="49"/>
      <c r="B1587" s="49"/>
      <c r="C1587" s="49"/>
      <c r="D1587" s="50" t="str">
        <f t="shared" si="120"/>
        <v/>
      </c>
      <c r="E1587" s="50" t="str">
        <f t="shared" si="121"/>
        <v/>
      </c>
      <c r="F1587" s="50" t="str">
        <f t="shared" si="122"/>
        <v/>
      </c>
      <c r="G1587" s="50" t="str">
        <f t="shared" si="123"/>
        <v/>
      </c>
      <c r="H1587" s="51" t="str">
        <f>IF($C1587="","",IFERROR(DATE(G1587,VLOOKUP(E1587,Paramètres!$K$11:$L$40,2,FALSE()),F1587),"?"))</f>
        <v/>
      </c>
      <c r="I1587" s="50" t="str">
        <f>IF(ISNUMBER(H1587),IF(COUNTIFS($D$2:D1587,D1587,$H$2:H1587,H1587)=1,1,0),"")</f>
        <v/>
      </c>
      <c r="J1587" s="50" t="str">
        <f>IF(ISNUMBER(H1587),IFERROR(INDEX(Calendrier!$C$2:$C$367,MATCH(H1587,Calendrier!$A$2:$A$367,0)),0),"")</f>
        <v/>
      </c>
      <c r="K1587" s="50" t="str">
        <f t="shared" si="124"/>
        <v/>
      </c>
      <c r="L1587" s="50" t="str">
        <f>IF(D1587="","",IF(COUNTIF(Paramètres!$A$11:$A$40,D1587)&gt;0,1,0))</f>
        <v/>
      </c>
    </row>
    <row r="1588" spans="1:12" hidden="1" x14ac:dyDescent="0.25">
      <c r="A1588" s="49"/>
      <c r="B1588" s="49"/>
      <c r="C1588" s="49"/>
      <c r="D1588" s="50" t="str">
        <f t="shared" si="120"/>
        <v/>
      </c>
      <c r="E1588" s="50" t="str">
        <f t="shared" si="121"/>
        <v/>
      </c>
      <c r="F1588" s="50" t="str">
        <f t="shared" si="122"/>
        <v/>
      </c>
      <c r="G1588" s="50" t="str">
        <f t="shared" si="123"/>
        <v/>
      </c>
      <c r="H1588" s="51" t="str">
        <f>IF($C1588="","",IFERROR(DATE(G1588,VLOOKUP(E1588,Paramètres!$K$11:$L$40,2,FALSE()),F1588),"?"))</f>
        <v/>
      </c>
      <c r="I1588" s="50" t="str">
        <f>IF(ISNUMBER(H1588),IF(COUNTIFS($D$2:D1588,D1588,$H$2:H1588,H1588)=1,1,0),"")</f>
        <v/>
      </c>
      <c r="J1588" s="50" t="str">
        <f>IF(ISNUMBER(H1588),IFERROR(INDEX(Calendrier!$C$2:$C$367,MATCH(H1588,Calendrier!$A$2:$A$367,0)),0),"")</f>
        <v/>
      </c>
      <c r="K1588" s="50" t="str">
        <f t="shared" si="124"/>
        <v/>
      </c>
      <c r="L1588" s="50" t="str">
        <f>IF(D1588="","",IF(COUNTIF(Paramètres!$A$11:$A$40,D1588)&gt;0,1,0))</f>
        <v/>
      </c>
    </row>
    <row r="1589" spans="1:12" hidden="1" x14ac:dyDescent="0.25">
      <c r="A1589" s="49"/>
      <c r="B1589" s="49"/>
      <c r="C1589" s="49"/>
      <c r="D1589" s="50" t="str">
        <f t="shared" si="120"/>
        <v/>
      </c>
      <c r="E1589" s="50" t="str">
        <f t="shared" si="121"/>
        <v/>
      </c>
      <c r="F1589" s="50" t="str">
        <f t="shared" si="122"/>
        <v/>
      </c>
      <c r="G1589" s="50" t="str">
        <f t="shared" si="123"/>
        <v/>
      </c>
      <c r="H1589" s="51" t="str">
        <f>IF($C1589="","",IFERROR(DATE(G1589,VLOOKUP(E1589,Paramètres!$K$11:$L$40,2,FALSE()),F1589),"?"))</f>
        <v/>
      </c>
      <c r="I1589" s="50" t="str">
        <f>IF(ISNUMBER(H1589),IF(COUNTIFS($D$2:D1589,D1589,$H$2:H1589,H1589)=1,1,0),"")</f>
        <v/>
      </c>
      <c r="J1589" s="50" t="str">
        <f>IF(ISNUMBER(H1589),IFERROR(INDEX(Calendrier!$C$2:$C$367,MATCH(H1589,Calendrier!$A$2:$A$367,0)),0),"")</f>
        <v/>
      </c>
      <c r="K1589" s="50" t="str">
        <f t="shared" si="124"/>
        <v/>
      </c>
      <c r="L1589" s="50" t="str">
        <f>IF(D1589="","",IF(COUNTIF(Paramètres!$A$11:$A$40,D1589)&gt;0,1,0))</f>
        <v/>
      </c>
    </row>
    <row r="1590" spans="1:12" hidden="1" x14ac:dyDescent="0.25">
      <c r="A1590" s="49"/>
      <c r="B1590" s="49"/>
      <c r="C1590" s="49"/>
      <c r="D1590" s="50" t="str">
        <f t="shared" si="120"/>
        <v/>
      </c>
      <c r="E1590" s="50" t="str">
        <f t="shared" si="121"/>
        <v/>
      </c>
      <c r="F1590" s="50" t="str">
        <f t="shared" si="122"/>
        <v/>
      </c>
      <c r="G1590" s="50" t="str">
        <f t="shared" si="123"/>
        <v/>
      </c>
      <c r="H1590" s="51" t="str">
        <f>IF($C1590="","",IFERROR(DATE(G1590,VLOOKUP(E1590,Paramètres!$K$11:$L$40,2,FALSE()),F1590),"?"))</f>
        <v/>
      </c>
      <c r="I1590" s="50" t="str">
        <f>IF(ISNUMBER(H1590),IF(COUNTIFS($D$2:D1590,D1590,$H$2:H1590,H1590)=1,1,0),"")</f>
        <v/>
      </c>
      <c r="J1590" s="50" t="str">
        <f>IF(ISNUMBER(H1590),IFERROR(INDEX(Calendrier!$C$2:$C$367,MATCH(H1590,Calendrier!$A$2:$A$367,0)),0),"")</f>
        <v/>
      </c>
      <c r="K1590" s="50" t="str">
        <f t="shared" si="124"/>
        <v/>
      </c>
      <c r="L1590" s="50" t="str">
        <f>IF(D1590="","",IF(COUNTIF(Paramètres!$A$11:$A$40,D1590)&gt;0,1,0))</f>
        <v/>
      </c>
    </row>
    <row r="1591" spans="1:12" hidden="1" x14ac:dyDescent="0.25">
      <c r="A1591" s="49"/>
      <c r="B1591" s="49"/>
      <c r="C1591" s="49"/>
      <c r="D1591" s="50" t="str">
        <f t="shared" si="120"/>
        <v/>
      </c>
      <c r="E1591" s="50" t="str">
        <f t="shared" si="121"/>
        <v/>
      </c>
      <c r="F1591" s="50" t="str">
        <f t="shared" si="122"/>
        <v/>
      </c>
      <c r="G1591" s="50" t="str">
        <f t="shared" si="123"/>
        <v/>
      </c>
      <c r="H1591" s="51" t="str">
        <f>IF($C1591="","",IFERROR(DATE(G1591,VLOOKUP(E1591,Paramètres!$K$11:$L$40,2,FALSE()),F1591),"?"))</f>
        <v/>
      </c>
      <c r="I1591" s="50" t="str">
        <f>IF(ISNUMBER(H1591),IF(COUNTIFS($D$2:D1591,D1591,$H$2:H1591,H1591)=1,1,0),"")</f>
        <v/>
      </c>
      <c r="J1591" s="50" t="str">
        <f>IF(ISNUMBER(H1591),IFERROR(INDEX(Calendrier!$C$2:$C$367,MATCH(H1591,Calendrier!$A$2:$A$367,0)),0),"")</f>
        <v/>
      </c>
      <c r="K1591" s="50" t="str">
        <f t="shared" si="124"/>
        <v/>
      </c>
      <c r="L1591" s="50" t="str">
        <f>IF(D1591="","",IF(COUNTIF(Paramètres!$A$11:$A$40,D1591)&gt;0,1,0))</f>
        <v/>
      </c>
    </row>
    <row r="1592" spans="1:12" hidden="1" x14ac:dyDescent="0.25">
      <c r="A1592" s="49"/>
      <c r="B1592" s="49"/>
      <c r="C1592" s="49"/>
      <c r="D1592" s="50" t="str">
        <f t="shared" si="120"/>
        <v/>
      </c>
      <c r="E1592" s="50" t="str">
        <f t="shared" si="121"/>
        <v/>
      </c>
      <c r="F1592" s="50" t="str">
        <f t="shared" si="122"/>
        <v/>
      </c>
      <c r="G1592" s="50" t="str">
        <f t="shared" si="123"/>
        <v/>
      </c>
      <c r="H1592" s="51" t="str">
        <f>IF($C1592="","",IFERROR(DATE(G1592,VLOOKUP(E1592,Paramètres!$K$11:$L$40,2,FALSE()),F1592),"?"))</f>
        <v/>
      </c>
      <c r="I1592" s="50" t="str">
        <f>IF(ISNUMBER(H1592),IF(COUNTIFS($D$2:D1592,D1592,$H$2:H1592,H1592)=1,1,0),"")</f>
        <v/>
      </c>
      <c r="J1592" s="50" t="str">
        <f>IF(ISNUMBER(H1592),IFERROR(INDEX(Calendrier!$C$2:$C$367,MATCH(H1592,Calendrier!$A$2:$A$367,0)),0),"")</f>
        <v/>
      </c>
      <c r="K1592" s="50" t="str">
        <f t="shared" si="124"/>
        <v/>
      </c>
      <c r="L1592" s="50" t="str">
        <f>IF(D1592="","",IF(COUNTIF(Paramètres!$A$11:$A$40,D1592)&gt;0,1,0))</f>
        <v/>
      </c>
    </row>
    <row r="1593" spans="1:12" hidden="1" x14ac:dyDescent="0.25">
      <c r="A1593" s="49"/>
      <c r="B1593" s="49"/>
      <c r="C1593" s="49"/>
      <c r="D1593" s="50" t="str">
        <f t="shared" si="120"/>
        <v/>
      </c>
      <c r="E1593" s="50" t="str">
        <f t="shared" si="121"/>
        <v/>
      </c>
      <c r="F1593" s="50" t="str">
        <f t="shared" si="122"/>
        <v/>
      </c>
      <c r="G1593" s="50" t="str">
        <f t="shared" si="123"/>
        <v/>
      </c>
      <c r="H1593" s="51" t="str">
        <f>IF($C1593="","",IFERROR(DATE(G1593,VLOOKUP(E1593,Paramètres!$K$11:$L$40,2,FALSE()),F1593),"?"))</f>
        <v/>
      </c>
      <c r="I1593" s="50" t="str">
        <f>IF(ISNUMBER(H1593),IF(COUNTIFS($D$2:D1593,D1593,$H$2:H1593,H1593)=1,1,0),"")</f>
        <v/>
      </c>
      <c r="J1593" s="50" t="str">
        <f>IF(ISNUMBER(H1593),IFERROR(INDEX(Calendrier!$C$2:$C$367,MATCH(H1593,Calendrier!$A$2:$A$367,0)),0),"")</f>
        <v/>
      </c>
      <c r="K1593" s="50" t="str">
        <f t="shared" si="124"/>
        <v/>
      </c>
      <c r="L1593" s="50" t="str">
        <f>IF(D1593="","",IF(COUNTIF(Paramètres!$A$11:$A$40,D1593)&gt;0,1,0))</f>
        <v/>
      </c>
    </row>
    <row r="1594" spans="1:12" hidden="1" x14ac:dyDescent="0.25">
      <c r="A1594" s="49"/>
      <c r="B1594" s="49"/>
      <c r="C1594" s="49"/>
      <c r="D1594" s="50" t="str">
        <f t="shared" si="120"/>
        <v/>
      </c>
      <c r="E1594" s="50" t="str">
        <f t="shared" si="121"/>
        <v/>
      </c>
      <c r="F1594" s="50" t="str">
        <f t="shared" si="122"/>
        <v/>
      </c>
      <c r="G1594" s="50" t="str">
        <f t="shared" si="123"/>
        <v/>
      </c>
      <c r="H1594" s="51" t="str">
        <f>IF($C1594="","",IFERROR(DATE(G1594,VLOOKUP(E1594,Paramètres!$K$11:$L$40,2,FALSE()),F1594),"?"))</f>
        <v/>
      </c>
      <c r="I1594" s="50" t="str">
        <f>IF(ISNUMBER(H1594),IF(COUNTIFS($D$2:D1594,D1594,$H$2:H1594,H1594)=1,1,0),"")</f>
        <v/>
      </c>
      <c r="J1594" s="50" t="str">
        <f>IF(ISNUMBER(H1594),IFERROR(INDEX(Calendrier!$C$2:$C$367,MATCH(H1594,Calendrier!$A$2:$A$367,0)),0),"")</f>
        <v/>
      </c>
      <c r="K1594" s="50" t="str">
        <f t="shared" si="124"/>
        <v/>
      </c>
      <c r="L1594" s="50" t="str">
        <f>IF(D1594="","",IF(COUNTIF(Paramètres!$A$11:$A$40,D1594)&gt;0,1,0))</f>
        <v/>
      </c>
    </row>
    <row r="1595" spans="1:12" hidden="1" x14ac:dyDescent="0.25">
      <c r="A1595" s="49"/>
      <c r="B1595" s="49"/>
      <c r="C1595" s="49"/>
      <c r="D1595" s="50" t="str">
        <f t="shared" si="120"/>
        <v/>
      </c>
      <c r="E1595" s="50" t="str">
        <f t="shared" si="121"/>
        <v/>
      </c>
      <c r="F1595" s="50" t="str">
        <f t="shared" si="122"/>
        <v/>
      </c>
      <c r="G1595" s="50" t="str">
        <f t="shared" si="123"/>
        <v/>
      </c>
      <c r="H1595" s="51" t="str">
        <f>IF($C1595="","",IFERROR(DATE(G1595,VLOOKUP(E1595,Paramètres!$K$11:$L$40,2,FALSE()),F1595),"?"))</f>
        <v/>
      </c>
      <c r="I1595" s="50" t="str">
        <f>IF(ISNUMBER(H1595),IF(COUNTIFS($D$2:D1595,D1595,$H$2:H1595,H1595)=1,1,0),"")</f>
        <v/>
      </c>
      <c r="J1595" s="50" t="str">
        <f>IF(ISNUMBER(H1595),IFERROR(INDEX(Calendrier!$C$2:$C$367,MATCH(H1595,Calendrier!$A$2:$A$367,0)),0),"")</f>
        <v/>
      </c>
      <c r="K1595" s="50" t="str">
        <f t="shared" si="124"/>
        <v/>
      </c>
      <c r="L1595" s="50" t="str">
        <f>IF(D1595="","",IF(COUNTIF(Paramètres!$A$11:$A$40,D1595)&gt;0,1,0))</f>
        <v/>
      </c>
    </row>
    <row r="1596" spans="1:12" hidden="1" x14ac:dyDescent="0.25">
      <c r="A1596" s="49"/>
      <c r="B1596" s="49"/>
      <c r="C1596" s="49"/>
      <c r="D1596" s="50" t="str">
        <f t="shared" si="120"/>
        <v/>
      </c>
      <c r="E1596" s="50" t="str">
        <f t="shared" si="121"/>
        <v/>
      </c>
      <c r="F1596" s="50" t="str">
        <f t="shared" si="122"/>
        <v/>
      </c>
      <c r="G1596" s="50" t="str">
        <f t="shared" si="123"/>
        <v/>
      </c>
      <c r="H1596" s="51" t="str">
        <f>IF($C1596="","",IFERROR(DATE(G1596,VLOOKUP(E1596,Paramètres!$K$11:$L$40,2,FALSE()),F1596),"?"))</f>
        <v/>
      </c>
      <c r="I1596" s="50" t="str">
        <f>IF(ISNUMBER(H1596),IF(COUNTIFS($D$2:D1596,D1596,$H$2:H1596,H1596)=1,1,0),"")</f>
        <v/>
      </c>
      <c r="J1596" s="50" t="str">
        <f>IF(ISNUMBER(H1596),IFERROR(INDEX(Calendrier!$C$2:$C$367,MATCH(H1596,Calendrier!$A$2:$A$367,0)),0),"")</f>
        <v/>
      </c>
      <c r="K1596" s="50" t="str">
        <f t="shared" si="124"/>
        <v/>
      </c>
      <c r="L1596" s="50" t="str">
        <f>IF(D1596="","",IF(COUNTIF(Paramètres!$A$11:$A$40,D1596)&gt;0,1,0))</f>
        <v/>
      </c>
    </row>
    <row r="1597" spans="1:12" hidden="1" x14ac:dyDescent="0.25">
      <c r="A1597" s="49"/>
      <c r="B1597" s="49"/>
      <c r="C1597" s="49"/>
      <c r="D1597" s="50" t="str">
        <f t="shared" si="120"/>
        <v/>
      </c>
      <c r="E1597" s="50" t="str">
        <f t="shared" si="121"/>
        <v/>
      </c>
      <c r="F1597" s="50" t="str">
        <f t="shared" si="122"/>
        <v/>
      </c>
      <c r="G1597" s="50" t="str">
        <f t="shared" si="123"/>
        <v/>
      </c>
      <c r="H1597" s="51" t="str">
        <f>IF($C1597="","",IFERROR(DATE(G1597,VLOOKUP(E1597,Paramètres!$K$11:$L$40,2,FALSE()),F1597),"?"))</f>
        <v/>
      </c>
      <c r="I1597" s="50" t="str">
        <f>IF(ISNUMBER(H1597),IF(COUNTIFS($D$2:D1597,D1597,$H$2:H1597,H1597)=1,1,0),"")</f>
        <v/>
      </c>
      <c r="J1597" s="50" t="str">
        <f>IF(ISNUMBER(H1597),IFERROR(INDEX(Calendrier!$C$2:$C$367,MATCH(H1597,Calendrier!$A$2:$A$367,0)),0),"")</f>
        <v/>
      </c>
      <c r="K1597" s="50" t="str">
        <f t="shared" si="124"/>
        <v/>
      </c>
      <c r="L1597" s="50" t="str">
        <f>IF(D1597="","",IF(COUNTIF(Paramètres!$A$11:$A$40,D1597)&gt;0,1,0))</f>
        <v/>
      </c>
    </row>
    <row r="1598" spans="1:12" hidden="1" x14ac:dyDescent="0.25">
      <c r="A1598" s="49"/>
      <c r="B1598" s="49"/>
      <c r="C1598" s="49"/>
      <c r="D1598" s="50" t="str">
        <f t="shared" si="120"/>
        <v/>
      </c>
      <c r="E1598" s="50" t="str">
        <f t="shared" si="121"/>
        <v/>
      </c>
      <c r="F1598" s="50" t="str">
        <f t="shared" si="122"/>
        <v/>
      </c>
      <c r="G1598" s="50" t="str">
        <f t="shared" si="123"/>
        <v/>
      </c>
      <c r="H1598" s="51" t="str">
        <f>IF($C1598="","",IFERROR(DATE(G1598,VLOOKUP(E1598,Paramètres!$K$11:$L$40,2,FALSE()),F1598),"?"))</f>
        <v/>
      </c>
      <c r="I1598" s="50" t="str">
        <f>IF(ISNUMBER(H1598),IF(COUNTIFS($D$2:D1598,D1598,$H$2:H1598,H1598)=1,1,0),"")</f>
        <v/>
      </c>
      <c r="J1598" s="50" t="str">
        <f>IF(ISNUMBER(H1598),IFERROR(INDEX(Calendrier!$C$2:$C$367,MATCH(H1598,Calendrier!$A$2:$A$367,0)),0),"")</f>
        <v/>
      </c>
      <c r="K1598" s="50" t="str">
        <f t="shared" si="124"/>
        <v/>
      </c>
      <c r="L1598" s="50" t="str">
        <f>IF(D1598="","",IF(COUNTIF(Paramètres!$A$11:$A$40,D1598)&gt;0,1,0))</f>
        <v/>
      </c>
    </row>
    <row r="1599" spans="1:12" hidden="1" x14ac:dyDescent="0.25">
      <c r="A1599" s="49"/>
      <c r="B1599" s="49"/>
      <c r="C1599" s="49"/>
      <c r="D1599" s="50" t="str">
        <f t="shared" si="120"/>
        <v/>
      </c>
      <c r="E1599" s="50" t="str">
        <f t="shared" si="121"/>
        <v/>
      </c>
      <c r="F1599" s="50" t="str">
        <f t="shared" si="122"/>
        <v/>
      </c>
      <c r="G1599" s="50" t="str">
        <f t="shared" si="123"/>
        <v/>
      </c>
      <c r="H1599" s="51" t="str">
        <f>IF($C1599="","",IFERROR(DATE(G1599,VLOOKUP(E1599,Paramètres!$K$11:$L$40,2,FALSE()),F1599),"?"))</f>
        <v/>
      </c>
      <c r="I1599" s="50" t="str">
        <f>IF(ISNUMBER(H1599),IF(COUNTIFS($D$2:D1599,D1599,$H$2:H1599,H1599)=1,1,0),"")</f>
        <v/>
      </c>
      <c r="J1599" s="50" t="str">
        <f>IF(ISNUMBER(H1599),IFERROR(INDEX(Calendrier!$C$2:$C$367,MATCH(H1599,Calendrier!$A$2:$A$367,0)),0),"")</f>
        <v/>
      </c>
      <c r="K1599" s="50" t="str">
        <f t="shared" si="124"/>
        <v/>
      </c>
      <c r="L1599" s="50" t="str">
        <f>IF(D1599="","",IF(COUNTIF(Paramètres!$A$11:$A$40,D1599)&gt;0,1,0))</f>
        <v/>
      </c>
    </row>
    <row r="1600" spans="1:12" hidden="1" x14ac:dyDescent="0.25">
      <c r="A1600" s="49"/>
      <c r="B1600" s="49"/>
      <c r="C1600" s="49"/>
      <c r="D1600" s="50" t="str">
        <f t="shared" si="120"/>
        <v/>
      </c>
      <c r="E1600" s="50" t="str">
        <f t="shared" si="121"/>
        <v/>
      </c>
      <c r="F1600" s="50" t="str">
        <f t="shared" si="122"/>
        <v/>
      </c>
      <c r="G1600" s="50" t="str">
        <f t="shared" si="123"/>
        <v/>
      </c>
      <c r="H1600" s="51" t="str">
        <f>IF($C1600="","",IFERROR(DATE(G1600,VLOOKUP(E1600,Paramètres!$K$11:$L$40,2,FALSE()),F1600),"?"))</f>
        <v/>
      </c>
      <c r="I1600" s="50" t="str">
        <f>IF(ISNUMBER(H1600),IF(COUNTIFS($D$2:D1600,D1600,$H$2:H1600,H1600)=1,1,0),"")</f>
        <v/>
      </c>
      <c r="J1600" s="50" t="str">
        <f>IF(ISNUMBER(H1600),IFERROR(INDEX(Calendrier!$C$2:$C$367,MATCH(H1600,Calendrier!$A$2:$A$367,0)),0),"")</f>
        <v/>
      </c>
      <c r="K1600" s="50" t="str">
        <f t="shared" si="124"/>
        <v/>
      </c>
      <c r="L1600" s="50" t="str">
        <f>IF(D1600="","",IF(COUNTIF(Paramètres!$A$11:$A$40,D1600)&gt;0,1,0))</f>
        <v/>
      </c>
    </row>
    <row r="1601" spans="1:12" hidden="1" x14ac:dyDescent="0.25">
      <c r="A1601" s="49"/>
      <c r="B1601" s="49"/>
      <c r="C1601" s="49"/>
      <c r="D1601" s="50" t="str">
        <f t="shared" si="120"/>
        <v/>
      </c>
      <c r="E1601" s="50" t="str">
        <f t="shared" si="121"/>
        <v/>
      </c>
      <c r="F1601" s="50" t="str">
        <f t="shared" si="122"/>
        <v/>
      </c>
      <c r="G1601" s="50" t="str">
        <f t="shared" si="123"/>
        <v/>
      </c>
      <c r="H1601" s="51" t="str">
        <f>IF($C1601="","",IFERROR(DATE(G1601,VLOOKUP(E1601,Paramètres!$K$11:$L$40,2,FALSE()),F1601),"?"))</f>
        <v/>
      </c>
      <c r="I1601" s="50" t="str">
        <f>IF(ISNUMBER(H1601),IF(COUNTIFS($D$2:D1601,D1601,$H$2:H1601,H1601)=1,1,0),"")</f>
        <v/>
      </c>
      <c r="J1601" s="50" t="str">
        <f>IF(ISNUMBER(H1601),IFERROR(INDEX(Calendrier!$C$2:$C$367,MATCH(H1601,Calendrier!$A$2:$A$367,0)),0),"")</f>
        <v/>
      </c>
      <c r="K1601" s="50" t="str">
        <f t="shared" si="124"/>
        <v/>
      </c>
      <c r="L1601" s="50" t="str">
        <f>IF(D1601="","",IF(COUNTIF(Paramètres!$A$11:$A$40,D1601)&gt;0,1,0))</f>
        <v/>
      </c>
    </row>
    <row r="1602" spans="1:12" hidden="1" x14ac:dyDescent="0.25">
      <c r="A1602" s="49"/>
      <c r="B1602" s="49"/>
      <c r="C1602" s="49"/>
      <c r="D1602" s="50" t="str">
        <f t="shared" ref="D1602:D1665" si="125">IF(B1602="","",TRIM(B1602))</f>
        <v/>
      </c>
      <c r="E1602" s="50" t="str">
        <f t="shared" ref="E1602:E1665" si="126">IF($C1602="","",LEFT($C1602,FIND(" ",$C1602)-1))</f>
        <v/>
      </c>
      <c r="F1602" s="50" t="str">
        <f t="shared" ref="F1602:F1665" si="127">IF($C1602="","",IFERROR(VALUE(LEFT(MID($C1602,FIND(" ",$C1602)+1,20),FIND(" ",MID($C1602,FIND(" ",$C1602)+1,20))-1)),"?"))</f>
        <v/>
      </c>
      <c r="G1602" s="50" t="str">
        <f t="shared" ref="G1602:G1665" si="128">IF($C1602="","",IFERROR(VALUE(MID(MID($C1602,FIND(" ",$C1602)+1,20),FIND(" ",MID($C1602,FIND(" ",$C1602)+1,20))+1,4)),"?"))</f>
        <v/>
      </c>
      <c r="H1602" s="51" t="str">
        <f>IF($C1602="","",IFERROR(DATE(G1602,VLOOKUP(E1602,Paramètres!$K$11:$L$40,2,FALSE()),F1602),"?"))</f>
        <v/>
      </c>
      <c r="I1602" s="50" t="str">
        <f>IF(ISNUMBER(H1602),IF(COUNTIFS($D$2:D1602,D1602,$H$2:H1602,H1602)=1,1,0),"")</f>
        <v/>
      </c>
      <c r="J1602" s="50" t="str">
        <f>IF(ISNUMBER(H1602),IFERROR(INDEX(Calendrier!$C$2:$C$367,MATCH(H1602,Calendrier!$A$2:$A$367,0)),0),"")</f>
        <v/>
      </c>
      <c r="K1602" s="50" t="str">
        <f t="shared" ref="K1602:K1665" si="129">IF(ISNUMBER(H1602),I1602*J1602,"")</f>
        <v/>
      </c>
      <c r="L1602" s="50" t="str">
        <f>IF(D1602="","",IF(COUNTIF(Paramètres!$A$11:$A$40,D1602)&gt;0,1,0))</f>
        <v/>
      </c>
    </row>
    <row r="1603" spans="1:12" hidden="1" x14ac:dyDescent="0.25">
      <c r="A1603" s="49"/>
      <c r="B1603" s="49"/>
      <c r="C1603" s="49"/>
      <c r="D1603" s="50" t="str">
        <f t="shared" si="125"/>
        <v/>
      </c>
      <c r="E1603" s="50" t="str">
        <f t="shared" si="126"/>
        <v/>
      </c>
      <c r="F1603" s="50" t="str">
        <f t="shared" si="127"/>
        <v/>
      </c>
      <c r="G1603" s="50" t="str">
        <f t="shared" si="128"/>
        <v/>
      </c>
      <c r="H1603" s="51" t="str">
        <f>IF($C1603="","",IFERROR(DATE(G1603,VLOOKUP(E1603,Paramètres!$K$11:$L$40,2,FALSE()),F1603),"?"))</f>
        <v/>
      </c>
      <c r="I1603" s="50" t="str">
        <f>IF(ISNUMBER(H1603),IF(COUNTIFS($D$2:D1603,D1603,$H$2:H1603,H1603)=1,1,0),"")</f>
        <v/>
      </c>
      <c r="J1603" s="50" t="str">
        <f>IF(ISNUMBER(H1603),IFERROR(INDEX(Calendrier!$C$2:$C$367,MATCH(H1603,Calendrier!$A$2:$A$367,0)),0),"")</f>
        <v/>
      </c>
      <c r="K1603" s="50" t="str">
        <f t="shared" si="129"/>
        <v/>
      </c>
      <c r="L1603" s="50" t="str">
        <f>IF(D1603="","",IF(COUNTIF(Paramètres!$A$11:$A$40,D1603)&gt;0,1,0))</f>
        <v/>
      </c>
    </row>
    <row r="1604" spans="1:12" hidden="1" x14ac:dyDescent="0.25">
      <c r="A1604" s="49"/>
      <c r="B1604" s="49"/>
      <c r="C1604" s="49"/>
      <c r="D1604" s="50" t="str">
        <f t="shared" si="125"/>
        <v/>
      </c>
      <c r="E1604" s="50" t="str">
        <f t="shared" si="126"/>
        <v/>
      </c>
      <c r="F1604" s="50" t="str">
        <f t="shared" si="127"/>
        <v/>
      </c>
      <c r="G1604" s="50" t="str">
        <f t="shared" si="128"/>
        <v/>
      </c>
      <c r="H1604" s="51" t="str">
        <f>IF($C1604="","",IFERROR(DATE(G1604,VLOOKUP(E1604,Paramètres!$K$11:$L$40,2,FALSE()),F1604),"?"))</f>
        <v/>
      </c>
      <c r="I1604" s="50" t="str">
        <f>IF(ISNUMBER(H1604),IF(COUNTIFS($D$2:D1604,D1604,$H$2:H1604,H1604)=1,1,0),"")</f>
        <v/>
      </c>
      <c r="J1604" s="50" t="str">
        <f>IF(ISNUMBER(H1604),IFERROR(INDEX(Calendrier!$C$2:$C$367,MATCH(H1604,Calendrier!$A$2:$A$367,0)),0),"")</f>
        <v/>
      </c>
      <c r="K1604" s="50" t="str">
        <f t="shared" si="129"/>
        <v/>
      </c>
      <c r="L1604" s="50" t="str">
        <f>IF(D1604="","",IF(COUNTIF(Paramètres!$A$11:$A$40,D1604)&gt;0,1,0))</f>
        <v/>
      </c>
    </row>
    <row r="1605" spans="1:12" hidden="1" x14ac:dyDescent="0.25">
      <c r="A1605" s="49"/>
      <c r="B1605" s="49"/>
      <c r="C1605" s="49"/>
      <c r="D1605" s="50" t="str">
        <f t="shared" si="125"/>
        <v/>
      </c>
      <c r="E1605" s="50" t="str">
        <f t="shared" si="126"/>
        <v/>
      </c>
      <c r="F1605" s="50" t="str">
        <f t="shared" si="127"/>
        <v/>
      </c>
      <c r="G1605" s="50" t="str">
        <f t="shared" si="128"/>
        <v/>
      </c>
      <c r="H1605" s="51" t="str">
        <f>IF($C1605="","",IFERROR(DATE(G1605,VLOOKUP(E1605,Paramètres!$K$11:$L$40,2,FALSE()),F1605),"?"))</f>
        <v/>
      </c>
      <c r="I1605" s="50" t="str">
        <f>IF(ISNUMBER(H1605),IF(COUNTIFS($D$2:D1605,D1605,$H$2:H1605,H1605)=1,1,0),"")</f>
        <v/>
      </c>
      <c r="J1605" s="50" t="str">
        <f>IF(ISNUMBER(H1605),IFERROR(INDEX(Calendrier!$C$2:$C$367,MATCH(H1605,Calendrier!$A$2:$A$367,0)),0),"")</f>
        <v/>
      </c>
      <c r="K1605" s="50" t="str">
        <f t="shared" si="129"/>
        <v/>
      </c>
      <c r="L1605" s="50" t="str">
        <f>IF(D1605="","",IF(COUNTIF(Paramètres!$A$11:$A$40,D1605)&gt;0,1,0))</f>
        <v/>
      </c>
    </row>
    <row r="1606" spans="1:12" hidden="1" x14ac:dyDescent="0.25">
      <c r="A1606" s="49"/>
      <c r="B1606" s="49"/>
      <c r="C1606" s="49"/>
      <c r="D1606" s="50" t="str">
        <f t="shared" si="125"/>
        <v/>
      </c>
      <c r="E1606" s="50" t="str">
        <f t="shared" si="126"/>
        <v/>
      </c>
      <c r="F1606" s="50" t="str">
        <f t="shared" si="127"/>
        <v/>
      </c>
      <c r="G1606" s="50" t="str">
        <f t="shared" si="128"/>
        <v/>
      </c>
      <c r="H1606" s="51" t="str">
        <f>IF($C1606="","",IFERROR(DATE(G1606,VLOOKUP(E1606,Paramètres!$K$11:$L$40,2,FALSE()),F1606),"?"))</f>
        <v/>
      </c>
      <c r="I1606" s="50" t="str">
        <f>IF(ISNUMBER(H1606),IF(COUNTIFS($D$2:D1606,D1606,$H$2:H1606,H1606)=1,1,0),"")</f>
        <v/>
      </c>
      <c r="J1606" s="50" t="str">
        <f>IF(ISNUMBER(H1606),IFERROR(INDEX(Calendrier!$C$2:$C$367,MATCH(H1606,Calendrier!$A$2:$A$367,0)),0),"")</f>
        <v/>
      </c>
      <c r="K1606" s="50" t="str">
        <f t="shared" si="129"/>
        <v/>
      </c>
      <c r="L1606" s="50" t="str">
        <f>IF(D1606="","",IF(COUNTIF(Paramètres!$A$11:$A$40,D1606)&gt;0,1,0))</f>
        <v/>
      </c>
    </row>
    <row r="1607" spans="1:12" hidden="1" x14ac:dyDescent="0.25">
      <c r="A1607" s="49"/>
      <c r="B1607" s="49"/>
      <c r="C1607" s="49"/>
      <c r="D1607" s="50" t="str">
        <f t="shared" si="125"/>
        <v/>
      </c>
      <c r="E1607" s="50" t="str">
        <f t="shared" si="126"/>
        <v/>
      </c>
      <c r="F1607" s="50" t="str">
        <f t="shared" si="127"/>
        <v/>
      </c>
      <c r="G1607" s="50" t="str">
        <f t="shared" si="128"/>
        <v/>
      </c>
      <c r="H1607" s="51" t="str">
        <f>IF($C1607="","",IFERROR(DATE(G1607,VLOOKUP(E1607,Paramètres!$K$11:$L$40,2,FALSE()),F1607),"?"))</f>
        <v/>
      </c>
      <c r="I1607" s="50" t="str">
        <f>IF(ISNUMBER(H1607),IF(COUNTIFS($D$2:D1607,D1607,$H$2:H1607,H1607)=1,1,0),"")</f>
        <v/>
      </c>
      <c r="J1607" s="50" t="str">
        <f>IF(ISNUMBER(H1607),IFERROR(INDEX(Calendrier!$C$2:$C$367,MATCH(H1607,Calendrier!$A$2:$A$367,0)),0),"")</f>
        <v/>
      </c>
      <c r="K1607" s="50" t="str">
        <f t="shared" si="129"/>
        <v/>
      </c>
      <c r="L1607" s="50" t="str">
        <f>IF(D1607="","",IF(COUNTIF(Paramètres!$A$11:$A$40,D1607)&gt;0,1,0))</f>
        <v/>
      </c>
    </row>
    <row r="1608" spans="1:12" hidden="1" x14ac:dyDescent="0.25">
      <c r="A1608" s="49"/>
      <c r="B1608" s="49"/>
      <c r="C1608" s="49"/>
      <c r="D1608" s="50" t="str">
        <f t="shared" si="125"/>
        <v/>
      </c>
      <c r="E1608" s="50" t="str">
        <f t="shared" si="126"/>
        <v/>
      </c>
      <c r="F1608" s="50" t="str">
        <f t="shared" si="127"/>
        <v/>
      </c>
      <c r="G1608" s="50" t="str">
        <f t="shared" si="128"/>
        <v/>
      </c>
      <c r="H1608" s="51" t="str">
        <f>IF($C1608="","",IFERROR(DATE(G1608,VLOOKUP(E1608,Paramètres!$K$11:$L$40,2,FALSE()),F1608),"?"))</f>
        <v/>
      </c>
      <c r="I1608" s="50" t="str">
        <f>IF(ISNUMBER(H1608),IF(COUNTIFS($D$2:D1608,D1608,$H$2:H1608,H1608)=1,1,0),"")</f>
        <v/>
      </c>
      <c r="J1608" s="50" t="str">
        <f>IF(ISNUMBER(H1608),IFERROR(INDEX(Calendrier!$C$2:$C$367,MATCH(H1608,Calendrier!$A$2:$A$367,0)),0),"")</f>
        <v/>
      </c>
      <c r="K1608" s="50" t="str">
        <f t="shared" si="129"/>
        <v/>
      </c>
      <c r="L1608" s="50" t="str">
        <f>IF(D1608="","",IF(COUNTIF(Paramètres!$A$11:$A$40,D1608)&gt;0,1,0))</f>
        <v/>
      </c>
    </row>
    <row r="1609" spans="1:12" hidden="1" x14ac:dyDescent="0.25">
      <c r="A1609" s="49"/>
      <c r="B1609" s="49"/>
      <c r="C1609" s="49"/>
      <c r="D1609" s="50" t="str">
        <f t="shared" si="125"/>
        <v/>
      </c>
      <c r="E1609" s="50" t="str">
        <f t="shared" si="126"/>
        <v/>
      </c>
      <c r="F1609" s="50" t="str">
        <f t="shared" si="127"/>
        <v/>
      </c>
      <c r="G1609" s="50" t="str">
        <f t="shared" si="128"/>
        <v/>
      </c>
      <c r="H1609" s="51" t="str">
        <f>IF($C1609="","",IFERROR(DATE(G1609,VLOOKUP(E1609,Paramètres!$K$11:$L$40,2,FALSE()),F1609),"?"))</f>
        <v/>
      </c>
      <c r="I1609" s="50" t="str">
        <f>IF(ISNUMBER(H1609),IF(COUNTIFS($D$2:D1609,D1609,$H$2:H1609,H1609)=1,1,0),"")</f>
        <v/>
      </c>
      <c r="J1609" s="50" t="str">
        <f>IF(ISNUMBER(H1609),IFERROR(INDEX(Calendrier!$C$2:$C$367,MATCH(H1609,Calendrier!$A$2:$A$367,0)),0),"")</f>
        <v/>
      </c>
      <c r="K1609" s="50" t="str">
        <f t="shared" si="129"/>
        <v/>
      </c>
      <c r="L1609" s="50" t="str">
        <f>IF(D1609="","",IF(COUNTIF(Paramètres!$A$11:$A$40,D1609)&gt;0,1,0))</f>
        <v/>
      </c>
    </row>
    <row r="1610" spans="1:12" hidden="1" x14ac:dyDescent="0.25">
      <c r="A1610" s="49"/>
      <c r="B1610" s="49"/>
      <c r="C1610" s="49"/>
      <c r="D1610" s="50" t="str">
        <f t="shared" si="125"/>
        <v/>
      </c>
      <c r="E1610" s="50" t="str">
        <f t="shared" si="126"/>
        <v/>
      </c>
      <c r="F1610" s="50" t="str">
        <f t="shared" si="127"/>
        <v/>
      </c>
      <c r="G1610" s="50" t="str">
        <f t="shared" si="128"/>
        <v/>
      </c>
      <c r="H1610" s="51" t="str">
        <f>IF($C1610="","",IFERROR(DATE(G1610,VLOOKUP(E1610,Paramètres!$K$11:$L$40,2,FALSE()),F1610),"?"))</f>
        <v/>
      </c>
      <c r="I1610" s="50" t="str">
        <f>IF(ISNUMBER(H1610),IF(COUNTIFS($D$2:D1610,D1610,$H$2:H1610,H1610)=1,1,0),"")</f>
        <v/>
      </c>
      <c r="J1610" s="50" t="str">
        <f>IF(ISNUMBER(H1610),IFERROR(INDEX(Calendrier!$C$2:$C$367,MATCH(H1610,Calendrier!$A$2:$A$367,0)),0),"")</f>
        <v/>
      </c>
      <c r="K1610" s="50" t="str">
        <f t="shared" si="129"/>
        <v/>
      </c>
      <c r="L1610" s="50" t="str">
        <f>IF(D1610="","",IF(COUNTIF(Paramètres!$A$11:$A$40,D1610)&gt;0,1,0))</f>
        <v/>
      </c>
    </row>
    <row r="1611" spans="1:12" hidden="1" x14ac:dyDescent="0.25">
      <c r="A1611" s="49"/>
      <c r="B1611" s="49"/>
      <c r="C1611" s="49"/>
      <c r="D1611" s="50" t="str">
        <f t="shared" si="125"/>
        <v/>
      </c>
      <c r="E1611" s="50" t="str">
        <f t="shared" si="126"/>
        <v/>
      </c>
      <c r="F1611" s="50" t="str">
        <f t="shared" si="127"/>
        <v/>
      </c>
      <c r="G1611" s="50" t="str">
        <f t="shared" si="128"/>
        <v/>
      </c>
      <c r="H1611" s="51" t="str">
        <f>IF($C1611="","",IFERROR(DATE(G1611,VLOOKUP(E1611,Paramètres!$K$11:$L$40,2,FALSE()),F1611),"?"))</f>
        <v/>
      </c>
      <c r="I1611" s="50" t="str">
        <f>IF(ISNUMBER(H1611),IF(COUNTIFS($D$2:D1611,D1611,$H$2:H1611,H1611)=1,1,0),"")</f>
        <v/>
      </c>
      <c r="J1611" s="50" t="str">
        <f>IF(ISNUMBER(H1611),IFERROR(INDEX(Calendrier!$C$2:$C$367,MATCH(H1611,Calendrier!$A$2:$A$367,0)),0),"")</f>
        <v/>
      </c>
      <c r="K1611" s="50" t="str">
        <f t="shared" si="129"/>
        <v/>
      </c>
      <c r="L1611" s="50" t="str">
        <f>IF(D1611="","",IF(COUNTIF(Paramètres!$A$11:$A$40,D1611)&gt;0,1,0))</f>
        <v/>
      </c>
    </row>
    <row r="1612" spans="1:12" hidden="1" x14ac:dyDescent="0.25">
      <c r="A1612" s="49"/>
      <c r="B1612" s="49"/>
      <c r="C1612" s="49"/>
      <c r="D1612" s="50" t="str">
        <f t="shared" si="125"/>
        <v/>
      </c>
      <c r="E1612" s="50" t="str">
        <f t="shared" si="126"/>
        <v/>
      </c>
      <c r="F1612" s="50" t="str">
        <f t="shared" si="127"/>
        <v/>
      </c>
      <c r="G1612" s="50" t="str">
        <f t="shared" si="128"/>
        <v/>
      </c>
      <c r="H1612" s="51" t="str">
        <f>IF($C1612="","",IFERROR(DATE(G1612,VLOOKUP(E1612,Paramètres!$K$11:$L$40,2,FALSE()),F1612),"?"))</f>
        <v/>
      </c>
      <c r="I1612" s="50" t="str">
        <f>IF(ISNUMBER(H1612),IF(COUNTIFS($D$2:D1612,D1612,$H$2:H1612,H1612)=1,1,0),"")</f>
        <v/>
      </c>
      <c r="J1612" s="50" t="str">
        <f>IF(ISNUMBER(H1612),IFERROR(INDEX(Calendrier!$C$2:$C$367,MATCH(H1612,Calendrier!$A$2:$A$367,0)),0),"")</f>
        <v/>
      </c>
      <c r="K1612" s="50" t="str">
        <f t="shared" si="129"/>
        <v/>
      </c>
      <c r="L1612" s="50" t="str">
        <f>IF(D1612="","",IF(COUNTIF(Paramètres!$A$11:$A$40,D1612)&gt;0,1,0))</f>
        <v/>
      </c>
    </row>
    <row r="1613" spans="1:12" hidden="1" x14ac:dyDescent="0.25">
      <c r="A1613" s="49"/>
      <c r="B1613" s="49"/>
      <c r="C1613" s="49"/>
      <c r="D1613" s="50" t="str">
        <f t="shared" si="125"/>
        <v/>
      </c>
      <c r="E1613" s="50" t="str">
        <f t="shared" si="126"/>
        <v/>
      </c>
      <c r="F1613" s="50" t="str">
        <f t="shared" si="127"/>
        <v/>
      </c>
      <c r="G1613" s="50" t="str">
        <f t="shared" si="128"/>
        <v/>
      </c>
      <c r="H1613" s="51" t="str">
        <f>IF($C1613="","",IFERROR(DATE(G1613,VLOOKUP(E1613,Paramètres!$K$11:$L$40,2,FALSE()),F1613),"?"))</f>
        <v/>
      </c>
      <c r="I1613" s="50" t="str">
        <f>IF(ISNUMBER(H1613),IF(COUNTIFS($D$2:D1613,D1613,$H$2:H1613,H1613)=1,1,0),"")</f>
        <v/>
      </c>
      <c r="J1613" s="50" t="str">
        <f>IF(ISNUMBER(H1613),IFERROR(INDEX(Calendrier!$C$2:$C$367,MATCH(H1613,Calendrier!$A$2:$A$367,0)),0),"")</f>
        <v/>
      </c>
      <c r="K1613" s="50" t="str">
        <f t="shared" si="129"/>
        <v/>
      </c>
      <c r="L1613" s="50" t="str">
        <f>IF(D1613="","",IF(COUNTIF(Paramètres!$A$11:$A$40,D1613)&gt;0,1,0))</f>
        <v/>
      </c>
    </row>
    <row r="1614" spans="1:12" hidden="1" x14ac:dyDescent="0.25">
      <c r="A1614" s="49"/>
      <c r="B1614" s="49"/>
      <c r="C1614" s="49"/>
      <c r="D1614" s="50" t="str">
        <f t="shared" si="125"/>
        <v/>
      </c>
      <c r="E1614" s="50" t="str">
        <f t="shared" si="126"/>
        <v/>
      </c>
      <c r="F1614" s="50" t="str">
        <f t="shared" si="127"/>
        <v/>
      </c>
      <c r="G1614" s="50" t="str">
        <f t="shared" si="128"/>
        <v/>
      </c>
      <c r="H1614" s="51" t="str">
        <f>IF($C1614="","",IFERROR(DATE(G1614,VLOOKUP(E1614,Paramètres!$K$11:$L$40,2,FALSE()),F1614),"?"))</f>
        <v/>
      </c>
      <c r="I1614" s="50" t="str">
        <f>IF(ISNUMBER(H1614),IF(COUNTIFS($D$2:D1614,D1614,$H$2:H1614,H1614)=1,1,0),"")</f>
        <v/>
      </c>
      <c r="J1614" s="50" t="str">
        <f>IF(ISNUMBER(H1614),IFERROR(INDEX(Calendrier!$C$2:$C$367,MATCH(H1614,Calendrier!$A$2:$A$367,0)),0),"")</f>
        <v/>
      </c>
      <c r="K1614" s="50" t="str">
        <f t="shared" si="129"/>
        <v/>
      </c>
      <c r="L1614" s="50" t="str">
        <f>IF(D1614="","",IF(COUNTIF(Paramètres!$A$11:$A$40,D1614)&gt;0,1,0))</f>
        <v/>
      </c>
    </row>
    <row r="1615" spans="1:12" hidden="1" x14ac:dyDescent="0.25">
      <c r="A1615" s="49"/>
      <c r="B1615" s="49"/>
      <c r="C1615" s="49"/>
      <c r="D1615" s="50" t="str">
        <f t="shared" si="125"/>
        <v/>
      </c>
      <c r="E1615" s="50" t="str">
        <f t="shared" si="126"/>
        <v/>
      </c>
      <c r="F1615" s="50" t="str">
        <f t="shared" si="127"/>
        <v/>
      </c>
      <c r="G1615" s="50" t="str">
        <f t="shared" si="128"/>
        <v/>
      </c>
      <c r="H1615" s="51" t="str">
        <f>IF($C1615="","",IFERROR(DATE(G1615,VLOOKUP(E1615,Paramètres!$K$11:$L$40,2,FALSE()),F1615),"?"))</f>
        <v/>
      </c>
      <c r="I1615" s="50" t="str">
        <f>IF(ISNUMBER(H1615),IF(COUNTIFS($D$2:D1615,D1615,$H$2:H1615,H1615)=1,1,0),"")</f>
        <v/>
      </c>
      <c r="J1615" s="50" t="str">
        <f>IF(ISNUMBER(H1615),IFERROR(INDEX(Calendrier!$C$2:$C$367,MATCH(H1615,Calendrier!$A$2:$A$367,0)),0),"")</f>
        <v/>
      </c>
      <c r="K1615" s="50" t="str">
        <f t="shared" si="129"/>
        <v/>
      </c>
      <c r="L1615" s="50" t="str">
        <f>IF(D1615="","",IF(COUNTIF(Paramètres!$A$11:$A$40,D1615)&gt;0,1,0))</f>
        <v/>
      </c>
    </row>
    <row r="1616" spans="1:12" hidden="1" x14ac:dyDescent="0.25">
      <c r="A1616" s="49"/>
      <c r="B1616" s="49"/>
      <c r="C1616" s="49"/>
      <c r="D1616" s="50" t="str">
        <f t="shared" si="125"/>
        <v/>
      </c>
      <c r="E1616" s="50" t="str">
        <f t="shared" si="126"/>
        <v/>
      </c>
      <c r="F1616" s="50" t="str">
        <f t="shared" si="127"/>
        <v/>
      </c>
      <c r="G1616" s="50" t="str">
        <f t="shared" si="128"/>
        <v/>
      </c>
      <c r="H1616" s="51" t="str">
        <f>IF($C1616="","",IFERROR(DATE(G1616,VLOOKUP(E1616,Paramètres!$K$11:$L$40,2,FALSE()),F1616),"?"))</f>
        <v/>
      </c>
      <c r="I1616" s="50" t="str">
        <f>IF(ISNUMBER(H1616),IF(COUNTIFS($D$2:D1616,D1616,$H$2:H1616,H1616)=1,1,0),"")</f>
        <v/>
      </c>
      <c r="J1616" s="50" t="str">
        <f>IF(ISNUMBER(H1616),IFERROR(INDEX(Calendrier!$C$2:$C$367,MATCH(H1616,Calendrier!$A$2:$A$367,0)),0),"")</f>
        <v/>
      </c>
      <c r="K1616" s="50" t="str">
        <f t="shared" si="129"/>
        <v/>
      </c>
      <c r="L1616" s="50" t="str">
        <f>IF(D1616="","",IF(COUNTIF(Paramètres!$A$11:$A$40,D1616)&gt;0,1,0))</f>
        <v/>
      </c>
    </row>
    <row r="1617" spans="1:12" hidden="1" x14ac:dyDescent="0.25">
      <c r="A1617" s="49"/>
      <c r="B1617" s="49"/>
      <c r="C1617" s="49"/>
      <c r="D1617" s="50" t="str">
        <f t="shared" si="125"/>
        <v/>
      </c>
      <c r="E1617" s="50" t="str">
        <f t="shared" si="126"/>
        <v/>
      </c>
      <c r="F1617" s="50" t="str">
        <f t="shared" si="127"/>
        <v/>
      </c>
      <c r="G1617" s="50" t="str">
        <f t="shared" si="128"/>
        <v/>
      </c>
      <c r="H1617" s="51" t="str">
        <f>IF($C1617="","",IFERROR(DATE(G1617,VLOOKUP(E1617,Paramètres!$K$11:$L$40,2,FALSE()),F1617),"?"))</f>
        <v/>
      </c>
      <c r="I1617" s="50" t="str">
        <f>IF(ISNUMBER(H1617),IF(COUNTIFS($D$2:D1617,D1617,$H$2:H1617,H1617)=1,1,0),"")</f>
        <v/>
      </c>
      <c r="J1617" s="50" t="str">
        <f>IF(ISNUMBER(H1617),IFERROR(INDEX(Calendrier!$C$2:$C$367,MATCH(H1617,Calendrier!$A$2:$A$367,0)),0),"")</f>
        <v/>
      </c>
      <c r="K1617" s="50" t="str">
        <f t="shared" si="129"/>
        <v/>
      </c>
      <c r="L1617" s="50" t="str">
        <f>IF(D1617="","",IF(COUNTIF(Paramètres!$A$11:$A$40,D1617)&gt;0,1,0))</f>
        <v/>
      </c>
    </row>
    <row r="1618" spans="1:12" hidden="1" x14ac:dyDescent="0.25">
      <c r="A1618" s="49"/>
      <c r="B1618" s="49"/>
      <c r="C1618" s="49"/>
      <c r="D1618" s="50" t="str">
        <f t="shared" si="125"/>
        <v/>
      </c>
      <c r="E1618" s="50" t="str">
        <f t="shared" si="126"/>
        <v/>
      </c>
      <c r="F1618" s="50" t="str">
        <f t="shared" si="127"/>
        <v/>
      </c>
      <c r="G1618" s="50" t="str">
        <f t="shared" si="128"/>
        <v/>
      </c>
      <c r="H1618" s="51" t="str">
        <f>IF($C1618="","",IFERROR(DATE(G1618,VLOOKUP(E1618,Paramètres!$K$11:$L$40,2,FALSE()),F1618),"?"))</f>
        <v/>
      </c>
      <c r="I1618" s="50" t="str">
        <f>IF(ISNUMBER(H1618),IF(COUNTIFS($D$2:D1618,D1618,$H$2:H1618,H1618)=1,1,0),"")</f>
        <v/>
      </c>
      <c r="J1618" s="50" t="str">
        <f>IF(ISNUMBER(H1618),IFERROR(INDEX(Calendrier!$C$2:$C$367,MATCH(H1618,Calendrier!$A$2:$A$367,0)),0),"")</f>
        <v/>
      </c>
      <c r="K1618" s="50" t="str">
        <f t="shared" si="129"/>
        <v/>
      </c>
      <c r="L1618" s="50" t="str">
        <f>IF(D1618="","",IF(COUNTIF(Paramètres!$A$11:$A$40,D1618)&gt;0,1,0))</f>
        <v/>
      </c>
    </row>
    <row r="1619" spans="1:12" hidden="1" x14ac:dyDescent="0.25">
      <c r="A1619" s="49"/>
      <c r="B1619" s="49"/>
      <c r="C1619" s="49"/>
      <c r="D1619" s="50" t="str">
        <f t="shared" si="125"/>
        <v/>
      </c>
      <c r="E1619" s="50" t="str">
        <f t="shared" si="126"/>
        <v/>
      </c>
      <c r="F1619" s="50" t="str">
        <f t="shared" si="127"/>
        <v/>
      </c>
      <c r="G1619" s="50" t="str">
        <f t="shared" si="128"/>
        <v/>
      </c>
      <c r="H1619" s="51" t="str">
        <f>IF($C1619="","",IFERROR(DATE(G1619,VLOOKUP(E1619,Paramètres!$K$11:$L$40,2,FALSE()),F1619),"?"))</f>
        <v/>
      </c>
      <c r="I1619" s="50" t="str">
        <f>IF(ISNUMBER(H1619),IF(COUNTIFS($D$2:D1619,D1619,$H$2:H1619,H1619)=1,1,0),"")</f>
        <v/>
      </c>
      <c r="J1619" s="50" t="str">
        <f>IF(ISNUMBER(H1619),IFERROR(INDEX(Calendrier!$C$2:$C$367,MATCH(H1619,Calendrier!$A$2:$A$367,0)),0),"")</f>
        <v/>
      </c>
      <c r="K1619" s="50" t="str">
        <f t="shared" si="129"/>
        <v/>
      </c>
      <c r="L1619" s="50" t="str">
        <f>IF(D1619="","",IF(COUNTIF(Paramètres!$A$11:$A$40,D1619)&gt;0,1,0))</f>
        <v/>
      </c>
    </row>
    <row r="1620" spans="1:12" hidden="1" x14ac:dyDescent="0.25">
      <c r="A1620" s="49"/>
      <c r="B1620" s="49"/>
      <c r="C1620" s="49"/>
      <c r="D1620" s="50" t="str">
        <f t="shared" si="125"/>
        <v/>
      </c>
      <c r="E1620" s="50" t="str">
        <f t="shared" si="126"/>
        <v/>
      </c>
      <c r="F1620" s="50" t="str">
        <f t="shared" si="127"/>
        <v/>
      </c>
      <c r="G1620" s="50" t="str">
        <f t="shared" si="128"/>
        <v/>
      </c>
      <c r="H1620" s="51" t="str">
        <f>IF($C1620="","",IFERROR(DATE(G1620,VLOOKUP(E1620,Paramètres!$K$11:$L$40,2,FALSE()),F1620),"?"))</f>
        <v/>
      </c>
      <c r="I1620" s="50" t="str">
        <f>IF(ISNUMBER(H1620),IF(COUNTIFS($D$2:D1620,D1620,$H$2:H1620,H1620)=1,1,0),"")</f>
        <v/>
      </c>
      <c r="J1620" s="50" t="str">
        <f>IF(ISNUMBER(H1620),IFERROR(INDEX(Calendrier!$C$2:$C$367,MATCH(H1620,Calendrier!$A$2:$A$367,0)),0),"")</f>
        <v/>
      </c>
      <c r="K1620" s="50" t="str">
        <f t="shared" si="129"/>
        <v/>
      </c>
      <c r="L1620" s="50" t="str">
        <f>IF(D1620="","",IF(COUNTIF(Paramètres!$A$11:$A$40,D1620)&gt;0,1,0))</f>
        <v/>
      </c>
    </row>
    <row r="1621" spans="1:12" hidden="1" x14ac:dyDescent="0.25">
      <c r="A1621" s="49"/>
      <c r="B1621" s="49"/>
      <c r="C1621" s="49"/>
      <c r="D1621" s="50" t="str">
        <f t="shared" si="125"/>
        <v/>
      </c>
      <c r="E1621" s="50" t="str">
        <f t="shared" si="126"/>
        <v/>
      </c>
      <c r="F1621" s="50" t="str">
        <f t="shared" si="127"/>
        <v/>
      </c>
      <c r="G1621" s="50" t="str">
        <f t="shared" si="128"/>
        <v/>
      </c>
      <c r="H1621" s="51" t="str">
        <f>IF($C1621="","",IFERROR(DATE(G1621,VLOOKUP(E1621,Paramètres!$K$11:$L$40,2,FALSE()),F1621),"?"))</f>
        <v/>
      </c>
      <c r="I1621" s="50" t="str">
        <f>IF(ISNUMBER(H1621),IF(COUNTIFS($D$2:D1621,D1621,$H$2:H1621,H1621)=1,1,0),"")</f>
        <v/>
      </c>
      <c r="J1621" s="50" t="str">
        <f>IF(ISNUMBER(H1621),IFERROR(INDEX(Calendrier!$C$2:$C$367,MATCH(H1621,Calendrier!$A$2:$A$367,0)),0),"")</f>
        <v/>
      </c>
      <c r="K1621" s="50" t="str">
        <f t="shared" si="129"/>
        <v/>
      </c>
      <c r="L1621" s="50" t="str">
        <f>IF(D1621="","",IF(COUNTIF(Paramètres!$A$11:$A$40,D1621)&gt;0,1,0))</f>
        <v/>
      </c>
    </row>
    <row r="1622" spans="1:12" hidden="1" x14ac:dyDescent="0.25">
      <c r="A1622" s="49"/>
      <c r="B1622" s="49"/>
      <c r="C1622" s="49"/>
      <c r="D1622" s="50" t="str">
        <f t="shared" si="125"/>
        <v/>
      </c>
      <c r="E1622" s="50" t="str">
        <f t="shared" si="126"/>
        <v/>
      </c>
      <c r="F1622" s="50" t="str">
        <f t="shared" si="127"/>
        <v/>
      </c>
      <c r="G1622" s="50" t="str">
        <f t="shared" si="128"/>
        <v/>
      </c>
      <c r="H1622" s="51" t="str">
        <f>IF($C1622="","",IFERROR(DATE(G1622,VLOOKUP(E1622,Paramètres!$K$11:$L$40,2,FALSE()),F1622),"?"))</f>
        <v/>
      </c>
      <c r="I1622" s="50" t="str">
        <f>IF(ISNUMBER(H1622),IF(COUNTIFS($D$2:D1622,D1622,$H$2:H1622,H1622)=1,1,0),"")</f>
        <v/>
      </c>
      <c r="J1622" s="50" t="str">
        <f>IF(ISNUMBER(H1622),IFERROR(INDEX(Calendrier!$C$2:$C$367,MATCH(H1622,Calendrier!$A$2:$A$367,0)),0),"")</f>
        <v/>
      </c>
      <c r="K1622" s="50" t="str">
        <f t="shared" si="129"/>
        <v/>
      </c>
      <c r="L1622" s="50" t="str">
        <f>IF(D1622="","",IF(COUNTIF(Paramètres!$A$11:$A$40,D1622)&gt;0,1,0))</f>
        <v/>
      </c>
    </row>
    <row r="1623" spans="1:12" hidden="1" x14ac:dyDescent="0.25">
      <c r="A1623" s="49"/>
      <c r="B1623" s="49"/>
      <c r="C1623" s="49"/>
      <c r="D1623" s="50" t="str">
        <f t="shared" si="125"/>
        <v/>
      </c>
      <c r="E1623" s="50" t="str">
        <f t="shared" si="126"/>
        <v/>
      </c>
      <c r="F1623" s="50" t="str">
        <f t="shared" si="127"/>
        <v/>
      </c>
      <c r="G1623" s="50" t="str">
        <f t="shared" si="128"/>
        <v/>
      </c>
      <c r="H1623" s="51" t="str">
        <f>IF($C1623="","",IFERROR(DATE(G1623,VLOOKUP(E1623,Paramètres!$K$11:$L$40,2,FALSE()),F1623),"?"))</f>
        <v/>
      </c>
      <c r="I1623" s="50" t="str">
        <f>IF(ISNUMBER(H1623),IF(COUNTIFS($D$2:D1623,D1623,$H$2:H1623,H1623)=1,1,0),"")</f>
        <v/>
      </c>
      <c r="J1623" s="50" t="str">
        <f>IF(ISNUMBER(H1623),IFERROR(INDEX(Calendrier!$C$2:$C$367,MATCH(H1623,Calendrier!$A$2:$A$367,0)),0),"")</f>
        <v/>
      </c>
      <c r="K1623" s="50" t="str">
        <f t="shared" si="129"/>
        <v/>
      </c>
      <c r="L1623" s="50" t="str">
        <f>IF(D1623="","",IF(COUNTIF(Paramètres!$A$11:$A$40,D1623)&gt;0,1,0))</f>
        <v/>
      </c>
    </row>
    <row r="1624" spans="1:12" hidden="1" x14ac:dyDescent="0.25">
      <c r="A1624" s="49"/>
      <c r="B1624" s="49"/>
      <c r="C1624" s="49"/>
      <c r="D1624" s="50" t="str">
        <f t="shared" si="125"/>
        <v/>
      </c>
      <c r="E1624" s="50" t="str">
        <f t="shared" si="126"/>
        <v/>
      </c>
      <c r="F1624" s="50" t="str">
        <f t="shared" si="127"/>
        <v/>
      </c>
      <c r="G1624" s="50" t="str">
        <f t="shared" si="128"/>
        <v/>
      </c>
      <c r="H1624" s="51" t="str">
        <f>IF($C1624="","",IFERROR(DATE(G1624,VLOOKUP(E1624,Paramètres!$K$11:$L$40,2,FALSE()),F1624),"?"))</f>
        <v/>
      </c>
      <c r="I1624" s="50" t="str">
        <f>IF(ISNUMBER(H1624),IF(COUNTIFS($D$2:D1624,D1624,$H$2:H1624,H1624)=1,1,0),"")</f>
        <v/>
      </c>
      <c r="J1624" s="50" t="str">
        <f>IF(ISNUMBER(H1624),IFERROR(INDEX(Calendrier!$C$2:$C$367,MATCH(H1624,Calendrier!$A$2:$A$367,0)),0),"")</f>
        <v/>
      </c>
      <c r="K1624" s="50" t="str">
        <f t="shared" si="129"/>
        <v/>
      </c>
      <c r="L1624" s="50" t="str">
        <f>IF(D1624="","",IF(COUNTIF(Paramètres!$A$11:$A$40,D1624)&gt;0,1,0))</f>
        <v/>
      </c>
    </row>
    <row r="1625" spans="1:12" hidden="1" x14ac:dyDescent="0.25">
      <c r="A1625" s="49"/>
      <c r="B1625" s="49"/>
      <c r="C1625" s="49"/>
      <c r="D1625" s="50" t="str">
        <f t="shared" si="125"/>
        <v/>
      </c>
      <c r="E1625" s="50" t="str">
        <f t="shared" si="126"/>
        <v/>
      </c>
      <c r="F1625" s="50" t="str">
        <f t="shared" si="127"/>
        <v/>
      </c>
      <c r="G1625" s="50" t="str">
        <f t="shared" si="128"/>
        <v/>
      </c>
      <c r="H1625" s="51" t="str">
        <f>IF($C1625="","",IFERROR(DATE(G1625,VLOOKUP(E1625,Paramètres!$K$11:$L$40,2,FALSE()),F1625),"?"))</f>
        <v/>
      </c>
      <c r="I1625" s="50" t="str">
        <f>IF(ISNUMBER(H1625),IF(COUNTIFS($D$2:D1625,D1625,$H$2:H1625,H1625)=1,1,0),"")</f>
        <v/>
      </c>
      <c r="J1625" s="50" t="str">
        <f>IF(ISNUMBER(H1625),IFERROR(INDEX(Calendrier!$C$2:$C$367,MATCH(H1625,Calendrier!$A$2:$A$367,0)),0),"")</f>
        <v/>
      </c>
      <c r="K1625" s="50" t="str">
        <f t="shared" si="129"/>
        <v/>
      </c>
      <c r="L1625" s="50" t="str">
        <f>IF(D1625="","",IF(COUNTIF(Paramètres!$A$11:$A$40,D1625)&gt;0,1,0))</f>
        <v/>
      </c>
    </row>
    <row r="1626" spans="1:12" hidden="1" x14ac:dyDescent="0.25">
      <c r="A1626" s="49"/>
      <c r="B1626" s="49"/>
      <c r="C1626" s="49"/>
      <c r="D1626" s="50" t="str">
        <f t="shared" si="125"/>
        <v/>
      </c>
      <c r="E1626" s="50" t="str">
        <f t="shared" si="126"/>
        <v/>
      </c>
      <c r="F1626" s="50" t="str">
        <f t="shared" si="127"/>
        <v/>
      </c>
      <c r="G1626" s="50" t="str">
        <f t="shared" si="128"/>
        <v/>
      </c>
      <c r="H1626" s="51" t="str">
        <f>IF($C1626="","",IFERROR(DATE(G1626,VLOOKUP(E1626,Paramètres!$K$11:$L$40,2,FALSE()),F1626),"?"))</f>
        <v/>
      </c>
      <c r="I1626" s="50" t="str">
        <f>IF(ISNUMBER(H1626),IF(COUNTIFS($D$2:D1626,D1626,$H$2:H1626,H1626)=1,1,0),"")</f>
        <v/>
      </c>
      <c r="J1626" s="50" t="str">
        <f>IF(ISNUMBER(H1626),IFERROR(INDEX(Calendrier!$C$2:$C$367,MATCH(H1626,Calendrier!$A$2:$A$367,0)),0),"")</f>
        <v/>
      </c>
      <c r="K1626" s="50" t="str">
        <f t="shared" si="129"/>
        <v/>
      </c>
      <c r="L1626" s="50" t="str">
        <f>IF(D1626="","",IF(COUNTIF(Paramètres!$A$11:$A$40,D1626)&gt;0,1,0))</f>
        <v/>
      </c>
    </row>
    <row r="1627" spans="1:12" hidden="1" x14ac:dyDescent="0.25">
      <c r="A1627" s="49"/>
      <c r="B1627" s="49"/>
      <c r="C1627" s="49"/>
      <c r="D1627" s="50" t="str">
        <f t="shared" si="125"/>
        <v/>
      </c>
      <c r="E1627" s="50" t="str">
        <f t="shared" si="126"/>
        <v/>
      </c>
      <c r="F1627" s="50" t="str">
        <f t="shared" si="127"/>
        <v/>
      </c>
      <c r="G1627" s="50" t="str">
        <f t="shared" si="128"/>
        <v/>
      </c>
      <c r="H1627" s="51" t="str">
        <f>IF($C1627="","",IFERROR(DATE(G1627,VLOOKUP(E1627,Paramètres!$K$11:$L$40,2,FALSE()),F1627),"?"))</f>
        <v/>
      </c>
      <c r="I1627" s="50" t="str">
        <f>IF(ISNUMBER(H1627),IF(COUNTIFS($D$2:D1627,D1627,$H$2:H1627,H1627)=1,1,0),"")</f>
        <v/>
      </c>
      <c r="J1627" s="50" t="str">
        <f>IF(ISNUMBER(H1627),IFERROR(INDEX(Calendrier!$C$2:$C$367,MATCH(H1627,Calendrier!$A$2:$A$367,0)),0),"")</f>
        <v/>
      </c>
      <c r="K1627" s="50" t="str">
        <f t="shared" si="129"/>
        <v/>
      </c>
      <c r="L1627" s="50" t="str">
        <f>IF(D1627="","",IF(COUNTIF(Paramètres!$A$11:$A$40,D1627)&gt;0,1,0))</f>
        <v/>
      </c>
    </row>
    <row r="1628" spans="1:12" hidden="1" x14ac:dyDescent="0.25">
      <c r="A1628" s="49"/>
      <c r="B1628" s="49"/>
      <c r="C1628" s="49"/>
      <c r="D1628" s="50" t="str">
        <f t="shared" si="125"/>
        <v/>
      </c>
      <c r="E1628" s="50" t="str">
        <f t="shared" si="126"/>
        <v/>
      </c>
      <c r="F1628" s="50" t="str">
        <f t="shared" si="127"/>
        <v/>
      </c>
      <c r="G1628" s="50" t="str">
        <f t="shared" si="128"/>
        <v/>
      </c>
      <c r="H1628" s="51" t="str">
        <f>IF($C1628="","",IFERROR(DATE(G1628,VLOOKUP(E1628,Paramètres!$K$11:$L$40,2,FALSE()),F1628),"?"))</f>
        <v/>
      </c>
      <c r="I1628" s="50" t="str">
        <f>IF(ISNUMBER(H1628),IF(COUNTIFS($D$2:D1628,D1628,$H$2:H1628,H1628)=1,1,0),"")</f>
        <v/>
      </c>
      <c r="J1628" s="50" t="str">
        <f>IF(ISNUMBER(H1628),IFERROR(INDEX(Calendrier!$C$2:$C$367,MATCH(H1628,Calendrier!$A$2:$A$367,0)),0),"")</f>
        <v/>
      </c>
      <c r="K1628" s="50" t="str">
        <f t="shared" si="129"/>
        <v/>
      </c>
      <c r="L1628" s="50" t="str">
        <f>IF(D1628="","",IF(COUNTIF(Paramètres!$A$11:$A$40,D1628)&gt;0,1,0))</f>
        <v/>
      </c>
    </row>
    <row r="1629" spans="1:12" hidden="1" x14ac:dyDescent="0.25">
      <c r="A1629" s="49"/>
      <c r="B1629" s="49"/>
      <c r="C1629" s="49"/>
      <c r="D1629" s="50" t="str">
        <f t="shared" si="125"/>
        <v/>
      </c>
      <c r="E1629" s="50" t="str">
        <f t="shared" si="126"/>
        <v/>
      </c>
      <c r="F1629" s="50" t="str">
        <f t="shared" si="127"/>
        <v/>
      </c>
      <c r="G1629" s="50" t="str">
        <f t="shared" si="128"/>
        <v/>
      </c>
      <c r="H1629" s="51" t="str">
        <f>IF($C1629="","",IFERROR(DATE(G1629,VLOOKUP(E1629,Paramètres!$K$11:$L$40,2,FALSE()),F1629),"?"))</f>
        <v/>
      </c>
      <c r="I1629" s="50" t="str">
        <f>IF(ISNUMBER(H1629),IF(COUNTIFS($D$2:D1629,D1629,$H$2:H1629,H1629)=1,1,0),"")</f>
        <v/>
      </c>
      <c r="J1629" s="50" t="str">
        <f>IF(ISNUMBER(H1629),IFERROR(INDEX(Calendrier!$C$2:$C$367,MATCH(H1629,Calendrier!$A$2:$A$367,0)),0),"")</f>
        <v/>
      </c>
      <c r="K1629" s="50" t="str">
        <f t="shared" si="129"/>
        <v/>
      </c>
      <c r="L1629" s="50" t="str">
        <f>IF(D1629="","",IF(COUNTIF(Paramètres!$A$11:$A$40,D1629)&gt;0,1,0))</f>
        <v/>
      </c>
    </row>
    <row r="1630" spans="1:12" hidden="1" x14ac:dyDescent="0.25">
      <c r="A1630" s="49"/>
      <c r="B1630" s="49"/>
      <c r="C1630" s="49"/>
      <c r="D1630" s="50" t="str">
        <f t="shared" si="125"/>
        <v/>
      </c>
      <c r="E1630" s="50" t="str">
        <f t="shared" si="126"/>
        <v/>
      </c>
      <c r="F1630" s="50" t="str">
        <f t="shared" si="127"/>
        <v/>
      </c>
      <c r="G1630" s="50" t="str">
        <f t="shared" si="128"/>
        <v/>
      </c>
      <c r="H1630" s="51" t="str">
        <f>IF($C1630="","",IFERROR(DATE(G1630,VLOOKUP(E1630,Paramètres!$K$11:$L$40,2,FALSE()),F1630),"?"))</f>
        <v/>
      </c>
      <c r="I1630" s="50" t="str">
        <f>IF(ISNUMBER(H1630),IF(COUNTIFS($D$2:D1630,D1630,$H$2:H1630,H1630)=1,1,0),"")</f>
        <v/>
      </c>
      <c r="J1630" s="50" t="str">
        <f>IF(ISNUMBER(H1630),IFERROR(INDEX(Calendrier!$C$2:$C$367,MATCH(H1630,Calendrier!$A$2:$A$367,0)),0),"")</f>
        <v/>
      </c>
      <c r="K1630" s="50" t="str">
        <f t="shared" si="129"/>
        <v/>
      </c>
      <c r="L1630" s="50" t="str">
        <f>IF(D1630="","",IF(COUNTIF(Paramètres!$A$11:$A$40,D1630)&gt;0,1,0))</f>
        <v/>
      </c>
    </row>
    <row r="1631" spans="1:12" hidden="1" x14ac:dyDescent="0.25">
      <c r="A1631" s="49"/>
      <c r="B1631" s="49"/>
      <c r="C1631" s="49"/>
      <c r="D1631" s="50" t="str">
        <f t="shared" si="125"/>
        <v/>
      </c>
      <c r="E1631" s="50" t="str">
        <f t="shared" si="126"/>
        <v/>
      </c>
      <c r="F1631" s="50" t="str">
        <f t="shared" si="127"/>
        <v/>
      </c>
      <c r="G1631" s="50" t="str">
        <f t="shared" si="128"/>
        <v/>
      </c>
      <c r="H1631" s="51" t="str">
        <f>IF($C1631="","",IFERROR(DATE(G1631,VLOOKUP(E1631,Paramètres!$K$11:$L$40,2,FALSE()),F1631),"?"))</f>
        <v/>
      </c>
      <c r="I1631" s="50" t="str">
        <f>IF(ISNUMBER(H1631),IF(COUNTIFS($D$2:D1631,D1631,$H$2:H1631,H1631)=1,1,0),"")</f>
        <v/>
      </c>
      <c r="J1631" s="50" t="str">
        <f>IF(ISNUMBER(H1631),IFERROR(INDEX(Calendrier!$C$2:$C$367,MATCH(H1631,Calendrier!$A$2:$A$367,0)),0),"")</f>
        <v/>
      </c>
      <c r="K1631" s="50" t="str">
        <f t="shared" si="129"/>
        <v/>
      </c>
      <c r="L1631" s="50" t="str">
        <f>IF(D1631="","",IF(COUNTIF(Paramètres!$A$11:$A$40,D1631)&gt;0,1,0))</f>
        <v/>
      </c>
    </row>
    <row r="1632" spans="1:12" hidden="1" x14ac:dyDescent="0.25">
      <c r="A1632" s="49"/>
      <c r="B1632" s="49"/>
      <c r="C1632" s="49"/>
      <c r="D1632" s="50" t="str">
        <f t="shared" si="125"/>
        <v/>
      </c>
      <c r="E1632" s="50" t="str">
        <f t="shared" si="126"/>
        <v/>
      </c>
      <c r="F1632" s="50" t="str">
        <f t="shared" si="127"/>
        <v/>
      </c>
      <c r="G1632" s="50" t="str">
        <f t="shared" si="128"/>
        <v/>
      </c>
      <c r="H1632" s="51" t="str">
        <f>IF($C1632="","",IFERROR(DATE(G1632,VLOOKUP(E1632,Paramètres!$K$11:$L$40,2,FALSE()),F1632),"?"))</f>
        <v/>
      </c>
      <c r="I1632" s="50" t="str">
        <f>IF(ISNUMBER(H1632),IF(COUNTIFS($D$2:D1632,D1632,$H$2:H1632,H1632)=1,1,0),"")</f>
        <v/>
      </c>
      <c r="J1632" s="50" t="str">
        <f>IF(ISNUMBER(H1632),IFERROR(INDEX(Calendrier!$C$2:$C$367,MATCH(H1632,Calendrier!$A$2:$A$367,0)),0),"")</f>
        <v/>
      </c>
      <c r="K1632" s="50" t="str">
        <f t="shared" si="129"/>
        <v/>
      </c>
      <c r="L1632" s="50" t="str">
        <f>IF(D1632="","",IF(COUNTIF(Paramètres!$A$11:$A$40,D1632)&gt;0,1,0))</f>
        <v/>
      </c>
    </row>
    <row r="1633" spans="1:12" hidden="1" x14ac:dyDescent="0.25">
      <c r="A1633" s="49"/>
      <c r="B1633" s="49"/>
      <c r="C1633" s="49"/>
      <c r="D1633" s="50" t="str">
        <f t="shared" si="125"/>
        <v/>
      </c>
      <c r="E1633" s="50" t="str">
        <f t="shared" si="126"/>
        <v/>
      </c>
      <c r="F1633" s="50" t="str">
        <f t="shared" si="127"/>
        <v/>
      </c>
      <c r="G1633" s="50" t="str">
        <f t="shared" si="128"/>
        <v/>
      </c>
      <c r="H1633" s="51" t="str">
        <f>IF($C1633="","",IFERROR(DATE(G1633,VLOOKUP(E1633,Paramètres!$K$11:$L$40,2,FALSE()),F1633),"?"))</f>
        <v/>
      </c>
      <c r="I1633" s="50" t="str">
        <f>IF(ISNUMBER(H1633),IF(COUNTIFS($D$2:D1633,D1633,$H$2:H1633,H1633)=1,1,0),"")</f>
        <v/>
      </c>
      <c r="J1633" s="50" t="str">
        <f>IF(ISNUMBER(H1633),IFERROR(INDEX(Calendrier!$C$2:$C$367,MATCH(H1633,Calendrier!$A$2:$A$367,0)),0),"")</f>
        <v/>
      </c>
      <c r="K1633" s="50" t="str">
        <f t="shared" si="129"/>
        <v/>
      </c>
      <c r="L1633" s="50" t="str">
        <f>IF(D1633="","",IF(COUNTIF(Paramètres!$A$11:$A$40,D1633)&gt;0,1,0))</f>
        <v/>
      </c>
    </row>
    <row r="1634" spans="1:12" hidden="1" x14ac:dyDescent="0.25">
      <c r="A1634" s="49"/>
      <c r="B1634" s="49"/>
      <c r="C1634" s="49"/>
      <c r="D1634" s="50" t="str">
        <f t="shared" si="125"/>
        <v/>
      </c>
      <c r="E1634" s="50" t="str">
        <f t="shared" si="126"/>
        <v/>
      </c>
      <c r="F1634" s="50" t="str">
        <f t="shared" si="127"/>
        <v/>
      </c>
      <c r="G1634" s="50" t="str">
        <f t="shared" si="128"/>
        <v/>
      </c>
      <c r="H1634" s="51" t="str">
        <f>IF($C1634="","",IFERROR(DATE(G1634,VLOOKUP(E1634,Paramètres!$K$11:$L$40,2,FALSE()),F1634),"?"))</f>
        <v/>
      </c>
      <c r="I1634" s="50" t="str">
        <f>IF(ISNUMBER(H1634),IF(COUNTIFS($D$2:D1634,D1634,$H$2:H1634,H1634)=1,1,0),"")</f>
        <v/>
      </c>
      <c r="J1634" s="50" t="str">
        <f>IF(ISNUMBER(H1634),IFERROR(INDEX(Calendrier!$C$2:$C$367,MATCH(H1634,Calendrier!$A$2:$A$367,0)),0),"")</f>
        <v/>
      </c>
      <c r="K1634" s="50" t="str">
        <f t="shared" si="129"/>
        <v/>
      </c>
      <c r="L1634" s="50" t="str">
        <f>IF(D1634="","",IF(COUNTIF(Paramètres!$A$11:$A$40,D1634)&gt;0,1,0))</f>
        <v/>
      </c>
    </row>
    <row r="1635" spans="1:12" hidden="1" x14ac:dyDescent="0.25">
      <c r="A1635" s="49"/>
      <c r="B1635" s="49"/>
      <c r="C1635" s="49"/>
      <c r="D1635" s="50" t="str">
        <f t="shared" si="125"/>
        <v/>
      </c>
      <c r="E1635" s="50" t="str">
        <f t="shared" si="126"/>
        <v/>
      </c>
      <c r="F1635" s="50" t="str">
        <f t="shared" si="127"/>
        <v/>
      </c>
      <c r="G1635" s="50" t="str">
        <f t="shared" si="128"/>
        <v/>
      </c>
      <c r="H1635" s="51" t="str">
        <f>IF($C1635="","",IFERROR(DATE(G1635,VLOOKUP(E1635,Paramètres!$K$11:$L$40,2,FALSE()),F1635),"?"))</f>
        <v/>
      </c>
      <c r="I1635" s="50" t="str">
        <f>IF(ISNUMBER(H1635),IF(COUNTIFS($D$2:D1635,D1635,$H$2:H1635,H1635)=1,1,0),"")</f>
        <v/>
      </c>
      <c r="J1635" s="50" t="str">
        <f>IF(ISNUMBER(H1635),IFERROR(INDEX(Calendrier!$C$2:$C$367,MATCH(H1635,Calendrier!$A$2:$A$367,0)),0),"")</f>
        <v/>
      </c>
      <c r="K1635" s="50" t="str">
        <f t="shared" si="129"/>
        <v/>
      </c>
      <c r="L1635" s="50" t="str">
        <f>IF(D1635="","",IF(COUNTIF(Paramètres!$A$11:$A$40,D1635)&gt;0,1,0))</f>
        <v/>
      </c>
    </row>
    <row r="1636" spans="1:12" hidden="1" x14ac:dyDescent="0.25">
      <c r="A1636" s="49"/>
      <c r="B1636" s="49"/>
      <c r="C1636" s="49"/>
      <c r="D1636" s="50" t="str">
        <f t="shared" si="125"/>
        <v/>
      </c>
      <c r="E1636" s="50" t="str">
        <f t="shared" si="126"/>
        <v/>
      </c>
      <c r="F1636" s="50" t="str">
        <f t="shared" si="127"/>
        <v/>
      </c>
      <c r="G1636" s="50" t="str">
        <f t="shared" si="128"/>
        <v/>
      </c>
      <c r="H1636" s="51" t="str">
        <f>IF($C1636="","",IFERROR(DATE(G1636,VLOOKUP(E1636,Paramètres!$K$11:$L$40,2,FALSE()),F1636),"?"))</f>
        <v/>
      </c>
      <c r="I1636" s="50" t="str">
        <f>IF(ISNUMBER(H1636),IF(COUNTIFS($D$2:D1636,D1636,$H$2:H1636,H1636)=1,1,0),"")</f>
        <v/>
      </c>
      <c r="J1636" s="50" t="str">
        <f>IF(ISNUMBER(H1636),IFERROR(INDEX(Calendrier!$C$2:$C$367,MATCH(H1636,Calendrier!$A$2:$A$367,0)),0),"")</f>
        <v/>
      </c>
      <c r="K1636" s="50" t="str">
        <f t="shared" si="129"/>
        <v/>
      </c>
      <c r="L1636" s="50" t="str">
        <f>IF(D1636="","",IF(COUNTIF(Paramètres!$A$11:$A$40,D1636)&gt;0,1,0))</f>
        <v/>
      </c>
    </row>
    <row r="1637" spans="1:12" hidden="1" x14ac:dyDescent="0.25">
      <c r="A1637" s="49"/>
      <c r="B1637" s="49"/>
      <c r="C1637" s="49"/>
      <c r="D1637" s="50" t="str">
        <f t="shared" si="125"/>
        <v/>
      </c>
      <c r="E1637" s="50" t="str">
        <f t="shared" si="126"/>
        <v/>
      </c>
      <c r="F1637" s="50" t="str">
        <f t="shared" si="127"/>
        <v/>
      </c>
      <c r="G1637" s="50" t="str">
        <f t="shared" si="128"/>
        <v/>
      </c>
      <c r="H1637" s="51" t="str">
        <f>IF($C1637="","",IFERROR(DATE(G1637,VLOOKUP(E1637,Paramètres!$K$11:$L$40,2,FALSE()),F1637),"?"))</f>
        <v/>
      </c>
      <c r="I1637" s="50" t="str">
        <f>IF(ISNUMBER(H1637),IF(COUNTIFS($D$2:D1637,D1637,$H$2:H1637,H1637)=1,1,0),"")</f>
        <v/>
      </c>
      <c r="J1637" s="50" t="str">
        <f>IF(ISNUMBER(H1637),IFERROR(INDEX(Calendrier!$C$2:$C$367,MATCH(H1637,Calendrier!$A$2:$A$367,0)),0),"")</f>
        <v/>
      </c>
      <c r="K1637" s="50" t="str">
        <f t="shared" si="129"/>
        <v/>
      </c>
      <c r="L1637" s="50" t="str">
        <f>IF(D1637="","",IF(COUNTIF(Paramètres!$A$11:$A$40,D1637)&gt;0,1,0))</f>
        <v/>
      </c>
    </row>
    <row r="1638" spans="1:12" hidden="1" x14ac:dyDescent="0.25">
      <c r="A1638" s="49"/>
      <c r="B1638" s="49"/>
      <c r="C1638" s="49"/>
      <c r="D1638" s="50" t="str">
        <f t="shared" si="125"/>
        <v/>
      </c>
      <c r="E1638" s="50" t="str">
        <f t="shared" si="126"/>
        <v/>
      </c>
      <c r="F1638" s="50" t="str">
        <f t="shared" si="127"/>
        <v/>
      </c>
      <c r="G1638" s="50" t="str">
        <f t="shared" si="128"/>
        <v/>
      </c>
      <c r="H1638" s="51" t="str">
        <f>IF($C1638="","",IFERROR(DATE(G1638,VLOOKUP(E1638,Paramètres!$K$11:$L$40,2,FALSE()),F1638),"?"))</f>
        <v/>
      </c>
      <c r="I1638" s="50" t="str">
        <f>IF(ISNUMBER(H1638),IF(COUNTIFS($D$2:D1638,D1638,$H$2:H1638,H1638)=1,1,0),"")</f>
        <v/>
      </c>
      <c r="J1638" s="50" t="str">
        <f>IF(ISNUMBER(H1638),IFERROR(INDEX(Calendrier!$C$2:$C$367,MATCH(H1638,Calendrier!$A$2:$A$367,0)),0),"")</f>
        <v/>
      </c>
      <c r="K1638" s="50" t="str">
        <f t="shared" si="129"/>
        <v/>
      </c>
      <c r="L1638" s="50" t="str">
        <f>IF(D1638="","",IF(COUNTIF(Paramètres!$A$11:$A$40,D1638)&gt;0,1,0))</f>
        <v/>
      </c>
    </row>
    <row r="1639" spans="1:12" hidden="1" x14ac:dyDescent="0.25">
      <c r="A1639" s="49"/>
      <c r="B1639" s="49"/>
      <c r="C1639" s="49"/>
      <c r="D1639" s="50" t="str">
        <f t="shared" si="125"/>
        <v/>
      </c>
      <c r="E1639" s="50" t="str">
        <f t="shared" si="126"/>
        <v/>
      </c>
      <c r="F1639" s="50" t="str">
        <f t="shared" si="127"/>
        <v/>
      </c>
      <c r="G1639" s="50" t="str">
        <f t="shared" si="128"/>
        <v/>
      </c>
      <c r="H1639" s="51" t="str">
        <f>IF($C1639="","",IFERROR(DATE(G1639,VLOOKUP(E1639,Paramètres!$K$11:$L$40,2,FALSE()),F1639),"?"))</f>
        <v/>
      </c>
      <c r="I1639" s="50" t="str">
        <f>IF(ISNUMBER(H1639),IF(COUNTIFS($D$2:D1639,D1639,$H$2:H1639,H1639)=1,1,0),"")</f>
        <v/>
      </c>
      <c r="J1639" s="50" t="str">
        <f>IF(ISNUMBER(H1639),IFERROR(INDEX(Calendrier!$C$2:$C$367,MATCH(H1639,Calendrier!$A$2:$A$367,0)),0),"")</f>
        <v/>
      </c>
      <c r="K1639" s="50" t="str">
        <f t="shared" si="129"/>
        <v/>
      </c>
      <c r="L1639" s="50" t="str">
        <f>IF(D1639="","",IF(COUNTIF(Paramètres!$A$11:$A$40,D1639)&gt;0,1,0))</f>
        <v/>
      </c>
    </row>
    <row r="1640" spans="1:12" hidden="1" x14ac:dyDescent="0.25">
      <c r="A1640" s="49"/>
      <c r="B1640" s="49"/>
      <c r="C1640" s="49"/>
      <c r="D1640" s="50" t="str">
        <f t="shared" si="125"/>
        <v/>
      </c>
      <c r="E1640" s="50" t="str">
        <f t="shared" si="126"/>
        <v/>
      </c>
      <c r="F1640" s="50" t="str">
        <f t="shared" si="127"/>
        <v/>
      </c>
      <c r="G1640" s="50" t="str">
        <f t="shared" si="128"/>
        <v/>
      </c>
      <c r="H1640" s="51" t="str">
        <f>IF($C1640="","",IFERROR(DATE(G1640,VLOOKUP(E1640,Paramètres!$K$11:$L$40,2,FALSE()),F1640),"?"))</f>
        <v/>
      </c>
      <c r="I1640" s="50" t="str">
        <f>IF(ISNUMBER(H1640),IF(COUNTIFS($D$2:D1640,D1640,$H$2:H1640,H1640)=1,1,0),"")</f>
        <v/>
      </c>
      <c r="J1640" s="50" t="str">
        <f>IF(ISNUMBER(H1640),IFERROR(INDEX(Calendrier!$C$2:$C$367,MATCH(H1640,Calendrier!$A$2:$A$367,0)),0),"")</f>
        <v/>
      </c>
      <c r="K1640" s="50" t="str">
        <f t="shared" si="129"/>
        <v/>
      </c>
      <c r="L1640" s="50" t="str">
        <f>IF(D1640="","",IF(COUNTIF(Paramètres!$A$11:$A$40,D1640)&gt;0,1,0))</f>
        <v/>
      </c>
    </row>
    <row r="1641" spans="1:12" hidden="1" x14ac:dyDescent="0.25">
      <c r="A1641" s="49"/>
      <c r="B1641" s="49"/>
      <c r="C1641" s="49"/>
      <c r="D1641" s="50" t="str">
        <f t="shared" si="125"/>
        <v/>
      </c>
      <c r="E1641" s="50" t="str">
        <f t="shared" si="126"/>
        <v/>
      </c>
      <c r="F1641" s="50" t="str">
        <f t="shared" si="127"/>
        <v/>
      </c>
      <c r="G1641" s="50" t="str">
        <f t="shared" si="128"/>
        <v/>
      </c>
      <c r="H1641" s="51" t="str">
        <f>IF($C1641="","",IFERROR(DATE(G1641,VLOOKUP(E1641,Paramètres!$K$11:$L$40,2,FALSE()),F1641),"?"))</f>
        <v/>
      </c>
      <c r="I1641" s="50" t="str">
        <f>IF(ISNUMBER(H1641),IF(COUNTIFS($D$2:D1641,D1641,$H$2:H1641,H1641)=1,1,0),"")</f>
        <v/>
      </c>
      <c r="J1641" s="50" t="str">
        <f>IF(ISNUMBER(H1641),IFERROR(INDEX(Calendrier!$C$2:$C$367,MATCH(H1641,Calendrier!$A$2:$A$367,0)),0),"")</f>
        <v/>
      </c>
      <c r="K1641" s="50" t="str">
        <f t="shared" si="129"/>
        <v/>
      </c>
      <c r="L1641" s="50" t="str">
        <f>IF(D1641="","",IF(COUNTIF(Paramètres!$A$11:$A$40,D1641)&gt;0,1,0))</f>
        <v/>
      </c>
    </row>
    <row r="1642" spans="1:12" hidden="1" x14ac:dyDescent="0.25">
      <c r="A1642" s="49"/>
      <c r="B1642" s="49"/>
      <c r="C1642" s="49"/>
      <c r="D1642" s="50" t="str">
        <f t="shared" si="125"/>
        <v/>
      </c>
      <c r="E1642" s="50" t="str">
        <f t="shared" si="126"/>
        <v/>
      </c>
      <c r="F1642" s="50" t="str">
        <f t="shared" si="127"/>
        <v/>
      </c>
      <c r="G1642" s="50" t="str">
        <f t="shared" si="128"/>
        <v/>
      </c>
      <c r="H1642" s="51" t="str">
        <f>IF($C1642="","",IFERROR(DATE(G1642,VLOOKUP(E1642,Paramètres!$K$11:$L$40,2,FALSE()),F1642),"?"))</f>
        <v/>
      </c>
      <c r="I1642" s="50" t="str">
        <f>IF(ISNUMBER(H1642),IF(COUNTIFS($D$2:D1642,D1642,$H$2:H1642,H1642)=1,1,0),"")</f>
        <v/>
      </c>
      <c r="J1642" s="50" t="str">
        <f>IF(ISNUMBER(H1642),IFERROR(INDEX(Calendrier!$C$2:$C$367,MATCH(H1642,Calendrier!$A$2:$A$367,0)),0),"")</f>
        <v/>
      </c>
      <c r="K1642" s="50" t="str">
        <f t="shared" si="129"/>
        <v/>
      </c>
      <c r="L1642" s="50" t="str">
        <f>IF(D1642="","",IF(COUNTIF(Paramètres!$A$11:$A$40,D1642)&gt;0,1,0))</f>
        <v/>
      </c>
    </row>
    <row r="1643" spans="1:12" hidden="1" x14ac:dyDescent="0.25">
      <c r="A1643" s="49"/>
      <c r="B1643" s="49"/>
      <c r="C1643" s="49"/>
      <c r="D1643" s="50" t="str">
        <f t="shared" si="125"/>
        <v/>
      </c>
      <c r="E1643" s="50" t="str">
        <f t="shared" si="126"/>
        <v/>
      </c>
      <c r="F1643" s="50" t="str">
        <f t="shared" si="127"/>
        <v/>
      </c>
      <c r="G1643" s="50" t="str">
        <f t="shared" si="128"/>
        <v/>
      </c>
      <c r="H1643" s="51" t="str">
        <f>IF($C1643="","",IFERROR(DATE(G1643,VLOOKUP(E1643,Paramètres!$K$11:$L$40,2,FALSE()),F1643),"?"))</f>
        <v/>
      </c>
      <c r="I1643" s="50" t="str">
        <f>IF(ISNUMBER(H1643),IF(COUNTIFS($D$2:D1643,D1643,$H$2:H1643,H1643)=1,1,0),"")</f>
        <v/>
      </c>
      <c r="J1643" s="50" t="str">
        <f>IF(ISNUMBER(H1643),IFERROR(INDEX(Calendrier!$C$2:$C$367,MATCH(H1643,Calendrier!$A$2:$A$367,0)),0),"")</f>
        <v/>
      </c>
      <c r="K1643" s="50" t="str">
        <f t="shared" si="129"/>
        <v/>
      </c>
      <c r="L1643" s="50" t="str">
        <f>IF(D1643="","",IF(COUNTIF(Paramètres!$A$11:$A$40,D1643)&gt;0,1,0))</f>
        <v/>
      </c>
    </row>
    <row r="1644" spans="1:12" hidden="1" x14ac:dyDescent="0.25">
      <c r="A1644" s="49"/>
      <c r="B1644" s="49"/>
      <c r="C1644" s="49"/>
      <c r="D1644" s="50" t="str">
        <f t="shared" si="125"/>
        <v/>
      </c>
      <c r="E1644" s="50" t="str">
        <f t="shared" si="126"/>
        <v/>
      </c>
      <c r="F1644" s="50" t="str">
        <f t="shared" si="127"/>
        <v/>
      </c>
      <c r="G1644" s="50" t="str">
        <f t="shared" si="128"/>
        <v/>
      </c>
      <c r="H1644" s="51" t="str">
        <f>IF($C1644="","",IFERROR(DATE(G1644,VLOOKUP(E1644,Paramètres!$K$11:$L$40,2,FALSE()),F1644),"?"))</f>
        <v/>
      </c>
      <c r="I1644" s="50" t="str">
        <f>IF(ISNUMBER(H1644),IF(COUNTIFS($D$2:D1644,D1644,$H$2:H1644,H1644)=1,1,0),"")</f>
        <v/>
      </c>
      <c r="J1644" s="50" t="str">
        <f>IF(ISNUMBER(H1644),IFERROR(INDEX(Calendrier!$C$2:$C$367,MATCH(H1644,Calendrier!$A$2:$A$367,0)),0),"")</f>
        <v/>
      </c>
      <c r="K1644" s="50" t="str">
        <f t="shared" si="129"/>
        <v/>
      </c>
      <c r="L1644" s="50" t="str">
        <f>IF(D1644="","",IF(COUNTIF(Paramètres!$A$11:$A$40,D1644)&gt;0,1,0))</f>
        <v/>
      </c>
    </row>
    <row r="1645" spans="1:12" hidden="1" x14ac:dyDescent="0.25">
      <c r="A1645" s="49"/>
      <c r="B1645" s="49"/>
      <c r="C1645" s="49"/>
      <c r="D1645" s="50" t="str">
        <f t="shared" si="125"/>
        <v/>
      </c>
      <c r="E1645" s="50" t="str">
        <f t="shared" si="126"/>
        <v/>
      </c>
      <c r="F1645" s="50" t="str">
        <f t="shared" si="127"/>
        <v/>
      </c>
      <c r="G1645" s="50" t="str">
        <f t="shared" si="128"/>
        <v/>
      </c>
      <c r="H1645" s="51" t="str">
        <f>IF($C1645="","",IFERROR(DATE(G1645,VLOOKUP(E1645,Paramètres!$K$11:$L$40,2,FALSE()),F1645),"?"))</f>
        <v/>
      </c>
      <c r="I1645" s="50" t="str">
        <f>IF(ISNUMBER(H1645),IF(COUNTIFS($D$2:D1645,D1645,$H$2:H1645,H1645)=1,1,0),"")</f>
        <v/>
      </c>
      <c r="J1645" s="50" t="str">
        <f>IF(ISNUMBER(H1645),IFERROR(INDEX(Calendrier!$C$2:$C$367,MATCH(H1645,Calendrier!$A$2:$A$367,0)),0),"")</f>
        <v/>
      </c>
      <c r="K1645" s="50" t="str">
        <f t="shared" si="129"/>
        <v/>
      </c>
      <c r="L1645" s="50" t="str">
        <f>IF(D1645="","",IF(COUNTIF(Paramètres!$A$11:$A$40,D1645)&gt;0,1,0))</f>
        <v/>
      </c>
    </row>
    <row r="1646" spans="1:12" hidden="1" x14ac:dyDescent="0.25">
      <c r="A1646" s="49"/>
      <c r="B1646" s="49"/>
      <c r="C1646" s="49"/>
      <c r="D1646" s="50" t="str">
        <f t="shared" si="125"/>
        <v/>
      </c>
      <c r="E1646" s="50" t="str">
        <f t="shared" si="126"/>
        <v/>
      </c>
      <c r="F1646" s="50" t="str">
        <f t="shared" si="127"/>
        <v/>
      </c>
      <c r="G1646" s="50" t="str">
        <f t="shared" si="128"/>
        <v/>
      </c>
      <c r="H1646" s="51" t="str">
        <f>IF($C1646="","",IFERROR(DATE(G1646,VLOOKUP(E1646,Paramètres!$K$11:$L$40,2,FALSE()),F1646),"?"))</f>
        <v/>
      </c>
      <c r="I1646" s="50" t="str">
        <f>IF(ISNUMBER(H1646),IF(COUNTIFS($D$2:D1646,D1646,$H$2:H1646,H1646)=1,1,0),"")</f>
        <v/>
      </c>
      <c r="J1646" s="50" t="str">
        <f>IF(ISNUMBER(H1646),IFERROR(INDEX(Calendrier!$C$2:$C$367,MATCH(H1646,Calendrier!$A$2:$A$367,0)),0),"")</f>
        <v/>
      </c>
      <c r="K1646" s="50" t="str">
        <f t="shared" si="129"/>
        <v/>
      </c>
      <c r="L1646" s="50" t="str">
        <f>IF(D1646="","",IF(COUNTIF(Paramètres!$A$11:$A$40,D1646)&gt;0,1,0))</f>
        <v/>
      </c>
    </row>
    <row r="1647" spans="1:12" hidden="1" x14ac:dyDescent="0.25">
      <c r="A1647" s="49"/>
      <c r="B1647" s="49"/>
      <c r="C1647" s="49"/>
      <c r="D1647" s="50" t="str">
        <f t="shared" si="125"/>
        <v/>
      </c>
      <c r="E1647" s="50" t="str">
        <f t="shared" si="126"/>
        <v/>
      </c>
      <c r="F1647" s="50" t="str">
        <f t="shared" si="127"/>
        <v/>
      </c>
      <c r="G1647" s="50" t="str">
        <f t="shared" si="128"/>
        <v/>
      </c>
      <c r="H1647" s="51" t="str">
        <f>IF($C1647="","",IFERROR(DATE(G1647,VLOOKUP(E1647,Paramètres!$K$11:$L$40,2,FALSE()),F1647),"?"))</f>
        <v/>
      </c>
      <c r="I1647" s="50" t="str">
        <f>IF(ISNUMBER(H1647),IF(COUNTIFS($D$2:D1647,D1647,$H$2:H1647,H1647)=1,1,0),"")</f>
        <v/>
      </c>
      <c r="J1647" s="50" t="str">
        <f>IF(ISNUMBER(H1647),IFERROR(INDEX(Calendrier!$C$2:$C$367,MATCH(H1647,Calendrier!$A$2:$A$367,0)),0),"")</f>
        <v/>
      </c>
      <c r="K1647" s="50" t="str">
        <f t="shared" si="129"/>
        <v/>
      </c>
      <c r="L1647" s="50" t="str">
        <f>IF(D1647="","",IF(COUNTIF(Paramètres!$A$11:$A$40,D1647)&gt;0,1,0))</f>
        <v/>
      </c>
    </row>
    <row r="1648" spans="1:12" hidden="1" x14ac:dyDescent="0.25">
      <c r="A1648" s="49"/>
      <c r="B1648" s="49"/>
      <c r="C1648" s="49"/>
      <c r="D1648" s="50" t="str">
        <f t="shared" si="125"/>
        <v/>
      </c>
      <c r="E1648" s="50" t="str">
        <f t="shared" si="126"/>
        <v/>
      </c>
      <c r="F1648" s="50" t="str">
        <f t="shared" si="127"/>
        <v/>
      </c>
      <c r="G1648" s="50" t="str">
        <f t="shared" si="128"/>
        <v/>
      </c>
      <c r="H1648" s="51" t="str">
        <f>IF($C1648="","",IFERROR(DATE(G1648,VLOOKUP(E1648,Paramètres!$K$11:$L$40,2,FALSE()),F1648),"?"))</f>
        <v/>
      </c>
      <c r="I1648" s="50" t="str">
        <f>IF(ISNUMBER(H1648),IF(COUNTIFS($D$2:D1648,D1648,$H$2:H1648,H1648)=1,1,0),"")</f>
        <v/>
      </c>
      <c r="J1648" s="50" t="str">
        <f>IF(ISNUMBER(H1648),IFERROR(INDEX(Calendrier!$C$2:$C$367,MATCH(H1648,Calendrier!$A$2:$A$367,0)),0),"")</f>
        <v/>
      </c>
      <c r="K1648" s="50" t="str">
        <f t="shared" si="129"/>
        <v/>
      </c>
      <c r="L1648" s="50" t="str">
        <f>IF(D1648="","",IF(COUNTIF(Paramètres!$A$11:$A$40,D1648)&gt;0,1,0))</f>
        <v/>
      </c>
    </row>
    <row r="1649" spans="1:12" hidden="1" x14ac:dyDescent="0.25">
      <c r="A1649" s="49"/>
      <c r="B1649" s="49"/>
      <c r="C1649" s="49"/>
      <c r="D1649" s="50" t="str">
        <f t="shared" si="125"/>
        <v/>
      </c>
      <c r="E1649" s="50" t="str">
        <f t="shared" si="126"/>
        <v/>
      </c>
      <c r="F1649" s="50" t="str">
        <f t="shared" si="127"/>
        <v/>
      </c>
      <c r="G1649" s="50" t="str">
        <f t="shared" si="128"/>
        <v/>
      </c>
      <c r="H1649" s="51" t="str">
        <f>IF($C1649="","",IFERROR(DATE(G1649,VLOOKUP(E1649,Paramètres!$K$11:$L$40,2,FALSE()),F1649),"?"))</f>
        <v/>
      </c>
      <c r="I1649" s="50" t="str">
        <f>IF(ISNUMBER(H1649),IF(COUNTIFS($D$2:D1649,D1649,$H$2:H1649,H1649)=1,1,0),"")</f>
        <v/>
      </c>
      <c r="J1649" s="50" t="str">
        <f>IF(ISNUMBER(H1649),IFERROR(INDEX(Calendrier!$C$2:$C$367,MATCH(H1649,Calendrier!$A$2:$A$367,0)),0),"")</f>
        <v/>
      </c>
      <c r="K1649" s="50" t="str">
        <f t="shared" si="129"/>
        <v/>
      </c>
      <c r="L1649" s="50" t="str">
        <f>IF(D1649="","",IF(COUNTIF(Paramètres!$A$11:$A$40,D1649)&gt;0,1,0))</f>
        <v/>
      </c>
    </row>
    <row r="1650" spans="1:12" hidden="1" x14ac:dyDescent="0.25">
      <c r="A1650" s="49"/>
      <c r="B1650" s="49"/>
      <c r="C1650" s="49"/>
      <c r="D1650" s="50" t="str">
        <f t="shared" si="125"/>
        <v/>
      </c>
      <c r="E1650" s="50" t="str">
        <f t="shared" si="126"/>
        <v/>
      </c>
      <c r="F1650" s="50" t="str">
        <f t="shared" si="127"/>
        <v/>
      </c>
      <c r="G1650" s="50" t="str">
        <f t="shared" si="128"/>
        <v/>
      </c>
      <c r="H1650" s="51" t="str">
        <f>IF($C1650="","",IFERROR(DATE(G1650,VLOOKUP(E1650,Paramètres!$K$11:$L$40,2,FALSE()),F1650),"?"))</f>
        <v/>
      </c>
      <c r="I1650" s="50" t="str">
        <f>IF(ISNUMBER(H1650),IF(COUNTIFS($D$2:D1650,D1650,$H$2:H1650,H1650)=1,1,0),"")</f>
        <v/>
      </c>
      <c r="J1650" s="50" t="str">
        <f>IF(ISNUMBER(H1650),IFERROR(INDEX(Calendrier!$C$2:$C$367,MATCH(H1650,Calendrier!$A$2:$A$367,0)),0),"")</f>
        <v/>
      </c>
      <c r="K1650" s="50" t="str">
        <f t="shared" si="129"/>
        <v/>
      </c>
      <c r="L1650" s="50" t="str">
        <f>IF(D1650="","",IF(COUNTIF(Paramètres!$A$11:$A$40,D1650)&gt;0,1,0))</f>
        <v/>
      </c>
    </row>
    <row r="1651" spans="1:12" hidden="1" x14ac:dyDescent="0.25">
      <c r="A1651" s="49"/>
      <c r="B1651" s="49"/>
      <c r="C1651" s="49"/>
      <c r="D1651" s="50" t="str">
        <f t="shared" si="125"/>
        <v/>
      </c>
      <c r="E1651" s="50" t="str">
        <f t="shared" si="126"/>
        <v/>
      </c>
      <c r="F1651" s="50" t="str">
        <f t="shared" si="127"/>
        <v/>
      </c>
      <c r="G1651" s="50" t="str">
        <f t="shared" si="128"/>
        <v/>
      </c>
      <c r="H1651" s="51" t="str">
        <f>IF($C1651="","",IFERROR(DATE(G1651,VLOOKUP(E1651,Paramètres!$K$11:$L$40,2,FALSE()),F1651),"?"))</f>
        <v/>
      </c>
      <c r="I1651" s="50" t="str">
        <f>IF(ISNUMBER(H1651),IF(COUNTIFS($D$2:D1651,D1651,$H$2:H1651,H1651)=1,1,0),"")</f>
        <v/>
      </c>
      <c r="J1651" s="50" t="str">
        <f>IF(ISNUMBER(H1651),IFERROR(INDEX(Calendrier!$C$2:$C$367,MATCH(H1651,Calendrier!$A$2:$A$367,0)),0),"")</f>
        <v/>
      </c>
      <c r="K1651" s="50" t="str">
        <f t="shared" si="129"/>
        <v/>
      </c>
      <c r="L1651" s="50" t="str">
        <f>IF(D1651="","",IF(COUNTIF(Paramètres!$A$11:$A$40,D1651)&gt;0,1,0))</f>
        <v/>
      </c>
    </row>
    <row r="1652" spans="1:12" hidden="1" x14ac:dyDescent="0.25">
      <c r="A1652" s="49"/>
      <c r="B1652" s="49"/>
      <c r="C1652" s="49"/>
      <c r="D1652" s="50" t="str">
        <f t="shared" si="125"/>
        <v/>
      </c>
      <c r="E1652" s="50" t="str">
        <f t="shared" si="126"/>
        <v/>
      </c>
      <c r="F1652" s="50" t="str">
        <f t="shared" si="127"/>
        <v/>
      </c>
      <c r="G1652" s="50" t="str">
        <f t="shared" si="128"/>
        <v/>
      </c>
      <c r="H1652" s="51" t="str">
        <f>IF($C1652="","",IFERROR(DATE(G1652,VLOOKUP(E1652,Paramètres!$K$11:$L$40,2,FALSE()),F1652),"?"))</f>
        <v/>
      </c>
      <c r="I1652" s="50" t="str">
        <f>IF(ISNUMBER(H1652),IF(COUNTIFS($D$2:D1652,D1652,$H$2:H1652,H1652)=1,1,0),"")</f>
        <v/>
      </c>
      <c r="J1652" s="50" t="str">
        <f>IF(ISNUMBER(H1652),IFERROR(INDEX(Calendrier!$C$2:$C$367,MATCH(H1652,Calendrier!$A$2:$A$367,0)),0),"")</f>
        <v/>
      </c>
      <c r="K1652" s="50" t="str">
        <f t="shared" si="129"/>
        <v/>
      </c>
      <c r="L1652" s="50" t="str">
        <f>IF(D1652="","",IF(COUNTIF(Paramètres!$A$11:$A$40,D1652)&gt;0,1,0))</f>
        <v/>
      </c>
    </row>
    <row r="1653" spans="1:12" hidden="1" x14ac:dyDescent="0.25">
      <c r="A1653" s="49"/>
      <c r="B1653" s="49"/>
      <c r="C1653" s="49"/>
      <c r="D1653" s="50" t="str">
        <f t="shared" si="125"/>
        <v/>
      </c>
      <c r="E1653" s="50" t="str">
        <f t="shared" si="126"/>
        <v/>
      </c>
      <c r="F1653" s="50" t="str">
        <f t="shared" si="127"/>
        <v/>
      </c>
      <c r="G1653" s="50" t="str">
        <f t="shared" si="128"/>
        <v/>
      </c>
      <c r="H1653" s="51" t="str">
        <f>IF($C1653="","",IFERROR(DATE(G1653,VLOOKUP(E1653,Paramètres!$K$11:$L$40,2,FALSE()),F1653),"?"))</f>
        <v/>
      </c>
      <c r="I1653" s="50" t="str">
        <f>IF(ISNUMBER(H1653),IF(COUNTIFS($D$2:D1653,D1653,$H$2:H1653,H1653)=1,1,0),"")</f>
        <v/>
      </c>
      <c r="J1653" s="50" t="str">
        <f>IF(ISNUMBER(H1653),IFERROR(INDEX(Calendrier!$C$2:$C$367,MATCH(H1653,Calendrier!$A$2:$A$367,0)),0),"")</f>
        <v/>
      </c>
      <c r="K1653" s="50" t="str">
        <f t="shared" si="129"/>
        <v/>
      </c>
      <c r="L1653" s="50" t="str">
        <f>IF(D1653="","",IF(COUNTIF(Paramètres!$A$11:$A$40,D1653)&gt;0,1,0))</f>
        <v/>
      </c>
    </row>
    <row r="1654" spans="1:12" hidden="1" x14ac:dyDescent="0.25">
      <c r="A1654" s="49"/>
      <c r="B1654" s="49"/>
      <c r="C1654" s="49"/>
      <c r="D1654" s="50" t="str">
        <f t="shared" si="125"/>
        <v/>
      </c>
      <c r="E1654" s="50" t="str">
        <f t="shared" si="126"/>
        <v/>
      </c>
      <c r="F1654" s="50" t="str">
        <f t="shared" si="127"/>
        <v/>
      </c>
      <c r="G1654" s="50" t="str">
        <f t="shared" si="128"/>
        <v/>
      </c>
      <c r="H1654" s="51" t="str">
        <f>IF($C1654="","",IFERROR(DATE(G1654,VLOOKUP(E1654,Paramètres!$K$11:$L$40,2,FALSE()),F1654),"?"))</f>
        <v/>
      </c>
      <c r="I1654" s="50" t="str">
        <f>IF(ISNUMBER(H1654),IF(COUNTIFS($D$2:D1654,D1654,$H$2:H1654,H1654)=1,1,0),"")</f>
        <v/>
      </c>
      <c r="J1654" s="50" t="str">
        <f>IF(ISNUMBER(H1654),IFERROR(INDEX(Calendrier!$C$2:$C$367,MATCH(H1654,Calendrier!$A$2:$A$367,0)),0),"")</f>
        <v/>
      </c>
      <c r="K1654" s="50" t="str">
        <f t="shared" si="129"/>
        <v/>
      </c>
      <c r="L1654" s="50" t="str">
        <f>IF(D1654="","",IF(COUNTIF(Paramètres!$A$11:$A$40,D1654)&gt;0,1,0))</f>
        <v/>
      </c>
    </row>
    <row r="1655" spans="1:12" hidden="1" x14ac:dyDescent="0.25">
      <c r="A1655" s="49"/>
      <c r="B1655" s="49"/>
      <c r="C1655" s="49"/>
      <c r="D1655" s="50" t="str">
        <f t="shared" si="125"/>
        <v/>
      </c>
      <c r="E1655" s="50" t="str">
        <f t="shared" si="126"/>
        <v/>
      </c>
      <c r="F1655" s="50" t="str">
        <f t="shared" si="127"/>
        <v/>
      </c>
      <c r="G1655" s="50" t="str">
        <f t="shared" si="128"/>
        <v/>
      </c>
      <c r="H1655" s="51" t="str">
        <f>IF($C1655="","",IFERROR(DATE(G1655,VLOOKUP(E1655,Paramètres!$K$11:$L$40,2,FALSE()),F1655),"?"))</f>
        <v/>
      </c>
      <c r="I1655" s="50" t="str">
        <f>IF(ISNUMBER(H1655),IF(COUNTIFS($D$2:D1655,D1655,$H$2:H1655,H1655)=1,1,0),"")</f>
        <v/>
      </c>
      <c r="J1655" s="50" t="str">
        <f>IF(ISNUMBER(H1655),IFERROR(INDEX(Calendrier!$C$2:$C$367,MATCH(H1655,Calendrier!$A$2:$A$367,0)),0),"")</f>
        <v/>
      </c>
      <c r="K1655" s="50" t="str">
        <f t="shared" si="129"/>
        <v/>
      </c>
      <c r="L1655" s="50" t="str">
        <f>IF(D1655="","",IF(COUNTIF(Paramètres!$A$11:$A$40,D1655)&gt;0,1,0))</f>
        <v/>
      </c>
    </row>
    <row r="1656" spans="1:12" hidden="1" x14ac:dyDescent="0.25">
      <c r="A1656" s="49"/>
      <c r="B1656" s="49"/>
      <c r="C1656" s="49"/>
      <c r="D1656" s="50" t="str">
        <f t="shared" si="125"/>
        <v/>
      </c>
      <c r="E1656" s="50" t="str">
        <f t="shared" si="126"/>
        <v/>
      </c>
      <c r="F1656" s="50" t="str">
        <f t="shared" si="127"/>
        <v/>
      </c>
      <c r="G1656" s="50" t="str">
        <f t="shared" si="128"/>
        <v/>
      </c>
      <c r="H1656" s="51" t="str">
        <f>IF($C1656="","",IFERROR(DATE(G1656,VLOOKUP(E1656,Paramètres!$K$11:$L$40,2,FALSE()),F1656),"?"))</f>
        <v/>
      </c>
      <c r="I1656" s="50" t="str">
        <f>IF(ISNUMBER(H1656),IF(COUNTIFS($D$2:D1656,D1656,$H$2:H1656,H1656)=1,1,0),"")</f>
        <v/>
      </c>
      <c r="J1656" s="50" t="str">
        <f>IF(ISNUMBER(H1656),IFERROR(INDEX(Calendrier!$C$2:$C$367,MATCH(H1656,Calendrier!$A$2:$A$367,0)),0),"")</f>
        <v/>
      </c>
      <c r="K1656" s="50" t="str">
        <f t="shared" si="129"/>
        <v/>
      </c>
      <c r="L1656" s="50" t="str">
        <f>IF(D1656="","",IF(COUNTIF(Paramètres!$A$11:$A$40,D1656)&gt;0,1,0))</f>
        <v/>
      </c>
    </row>
    <row r="1657" spans="1:12" hidden="1" x14ac:dyDescent="0.25">
      <c r="A1657" s="49"/>
      <c r="B1657" s="49"/>
      <c r="C1657" s="49"/>
      <c r="D1657" s="50" t="str">
        <f t="shared" si="125"/>
        <v/>
      </c>
      <c r="E1657" s="50" t="str">
        <f t="shared" si="126"/>
        <v/>
      </c>
      <c r="F1657" s="50" t="str">
        <f t="shared" si="127"/>
        <v/>
      </c>
      <c r="G1657" s="50" t="str">
        <f t="shared" si="128"/>
        <v/>
      </c>
      <c r="H1657" s="51" t="str">
        <f>IF($C1657="","",IFERROR(DATE(G1657,VLOOKUP(E1657,Paramètres!$K$11:$L$40,2,FALSE()),F1657),"?"))</f>
        <v/>
      </c>
      <c r="I1657" s="50" t="str">
        <f>IF(ISNUMBER(H1657),IF(COUNTIFS($D$2:D1657,D1657,$H$2:H1657,H1657)=1,1,0),"")</f>
        <v/>
      </c>
      <c r="J1657" s="50" t="str">
        <f>IF(ISNUMBER(H1657),IFERROR(INDEX(Calendrier!$C$2:$C$367,MATCH(H1657,Calendrier!$A$2:$A$367,0)),0),"")</f>
        <v/>
      </c>
      <c r="K1657" s="50" t="str">
        <f t="shared" si="129"/>
        <v/>
      </c>
      <c r="L1657" s="50" t="str">
        <f>IF(D1657="","",IF(COUNTIF(Paramètres!$A$11:$A$40,D1657)&gt;0,1,0))</f>
        <v/>
      </c>
    </row>
    <row r="1658" spans="1:12" hidden="1" x14ac:dyDescent="0.25">
      <c r="A1658" s="49"/>
      <c r="B1658" s="49"/>
      <c r="C1658" s="49"/>
      <c r="D1658" s="50" t="str">
        <f t="shared" si="125"/>
        <v/>
      </c>
      <c r="E1658" s="50" t="str">
        <f t="shared" si="126"/>
        <v/>
      </c>
      <c r="F1658" s="50" t="str">
        <f t="shared" si="127"/>
        <v/>
      </c>
      <c r="G1658" s="50" t="str">
        <f t="shared" si="128"/>
        <v/>
      </c>
      <c r="H1658" s="51" t="str">
        <f>IF($C1658="","",IFERROR(DATE(G1658,VLOOKUP(E1658,Paramètres!$K$11:$L$40,2,FALSE()),F1658),"?"))</f>
        <v/>
      </c>
      <c r="I1658" s="50" t="str">
        <f>IF(ISNUMBER(H1658),IF(COUNTIFS($D$2:D1658,D1658,$H$2:H1658,H1658)=1,1,0),"")</f>
        <v/>
      </c>
      <c r="J1658" s="50" t="str">
        <f>IF(ISNUMBER(H1658),IFERROR(INDEX(Calendrier!$C$2:$C$367,MATCH(H1658,Calendrier!$A$2:$A$367,0)),0),"")</f>
        <v/>
      </c>
      <c r="K1658" s="50" t="str">
        <f t="shared" si="129"/>
        <v/>
      </c>
      <c r="L1658" s="50" t="str">
        <f>IF(D1658="","",IF(COUNTIF(Paramètres!$A$11:$A$40,D1658)&gt;0,1,0))</f>
        <v/>
      </c>
    </row>
    <row r="1659" spans="1:12" hidden="1" x14ac:dyDescent="0.25">
      <c r="A1659" s="49"/>
      <c r="B1659" s="49"/>
      <c r="C1659" s="49"/>
      <c r="D1659" s="50" t="str">
        <f t="shared" si="125"/>
        <v/>
      </c>
      <c r="E1659" s="50" t="str">
        <f t="shared" si="126"/>
        <v/>
      </c>
      <c r="F1659" s="50" t="str">
        <f t="shared" si="127"/>
        <v/>
      </c>
      <c r="G1659" s="50" t="str">
        <f t="shared" si="128"/>
        <v/>
      </c>
      <c r="H1659" s="51" t="str">
        <f>IF($C1659="","",IFERROR(DATE(G1659,VLOOKUP(E1659,Paramètres!$K$11:$L$40,2,FALSE()),F1659),"?"))</f>
        <v/>
      </c>
      <c r="I1659" s="50" t="str">
        <f>IF(ISNUMBER(H1659),IF(COUNTIFS($D$2:D1659,D1659,$H$2:H1659,H1659)=1,1,0),"")</f>
        <v/>
      </c>
      <c r="J1659" s="50" t="str">
        <f>IF(ISNUMBER(H1659),IFERROR(INDEX(Calendrier!$C$2:$C$367,MATCH(H1659,Calendrier!$A$2:$A$367,0)),0),"")</f>
        <v/>
      </c>
      <c r="K1659" s="50" t="str">
        <f t="shared" si="129"/>
        <v/>
      </c>
      <c r="L1659" s="50" t="str">
        <f>IF(D1659="","",IF(COUNTIF(Paramètres!$A$11:$A$40,D1659)&gt;0,1,0))</f>
        <v/>
      </c>
    </row>
    <row r="1660" spans="1:12" hidden="1" x14ac:dyDescent="0.25">
      <c r="A1660" s="49"/>
      <c r="B1660" s="49"/>
      <c r="C1660" s="49"/>
      <c r="D1660" s="50" t="str">
        <f t="shared" si="125"/>
        <v/>
      </c>
      <c r="E1660" s="50" t="str">
        <f t="shared" si="126"/>
        <v/>
      </c>
      <c r="F1660" s="50" t="str">
        <f t="shared" si="127"/>
        <v/>
      </c>
      <c r="G1660" s="50" t="str">
        <f t="shared" si="128"/>
        <v/>
      </c>
      <c r="H1660" s="51" t="str">
        <f>IF($C1660="","",IFERROR(DATE(G1660,VLOOKUP(E1660,Paramètres!$K$11:$L$40,2,FALSE()),F1660),"?"))</f>
        <v/>
      </c>
      <c r="I1660" s="50" t="str">
        <f>IF(ISNUMBER(H1660),IF(COUNTIFS($D$2:D1660,D1660,$H$2:H1660,H1660)=1,1,0),"")</f>
        <v/>
      </c>
      <c r="J1660" s="50" t="str">
        <f>IF(ISNUMBER(H1660),IFERROR(INDEX(Calendrier!$C$2:$C$367,MATCH(H1660,Calendrier!$A$2:$A$367,0)),0),"")</f>
        <v/>
      </c>
      <c r="K1660" s="50" t="str">
        <f t="shared" si="129"/>
        <v/>
      </c>
      <c r="L1660" s="50" t="str">
        <f>IF(D1660="","",IF(COUNTIF(Paramètres!$A$11:$A$40,D1660)&gt;0,1,0))</f>
        <v/>
      </c>
    </row>
    <row r="1661" spans="1:12" hidden="1" x14ac:dyDescent="0.25">
      <c r="A1661" s="49"/>
      <c r="B1661" s="49"/>
      <c r="C1661" s="49"/>
      <c r="D1661" s="50" t="str">
        <f t="shared" si="125"/>
        <v/>
      </c>
      <c r="E1661" s="50" t="str">
        <f t="shared" si="126"/>
        <v/>
      </c>
      <c r="F1661" s="50" t="str">
        <f t="shared" si="127"/>
        <v/>
      </c>
      <c r="G1661" s="50" t="str">
        <f t="shared" si="128"/>
        <v/>
      </c>
      <c r="H1661" s="51" t="str">
        <f>IF($C1661="","",IFERROR(DATE(G1661,VLOOKUP(E1661,Paramètres!$K$11:$L$40,2,FALSE()),F1661),"?"))</f>
        <v/>
      </c>
      <c r="I1661" s="50" t="str">
        <f>IF(ISNUMBER(H1661),IF(COUNTIFS($D$2:D1661,D1661,$H$2:H1661,H1661)=1,1,0),"")</f>
        <v/>
      </c>
      <c r="J1661" s="50" t="str">
        <f>IF(ISNUMBER(H1661),IFERROR(INDEX(Calendrier!$C$2:$C$367,MATCH(H1661,Calendrier!$A$2:$A$367,0)),0),"")</f>
        <v/>
      </c>
      <c r="K1661" s="50" t="str">
        <f t="shared" si="129"/>
        <v/>
      </c>
      <c r="L1661" s="50" t="str">
        <f>IF(D1661="","",IF(COUNTIF(Paramètres!$A$11:$A$40,D1661)&gt;0,1,0))</f>
        <v/>
      </c>
    </row>
    <row r="1662" spans="1:12" hidden="1" x14ac:dyDescent="0.25">
      <c r="A1662" s="49"/>
      <c r="B1662" s="49"/>
      <c r="C1662" s="49"/>
      <c r="D1662" s="50" t="str">
        <f t="shared" si="125"/>
        <v/>
      </c>
      <c r="E1662" s="50" t="str">
        <f t="shared" si="126"/>
        <v/>
      </c>
      <c r="F1662" s="50" t="str">
        <f t="shared" si="127"/>
        <v/>
      </c>
      <c r="G1662" s="50" t="str">
        <f t="shared" si="128"/>
        <v/>
      </c>
      <c r="H1662" s="51" t="str">
        <f>IF($C1662="","",IFERROR(DATE(G1662,VLOOKUP(E1662,Paramètres!$K$11:$L$40,2,FALSE()),F1662),"?"))</f>
        <v/>
      </c>
      <c r="I1662" s="50" t="str">
        <f>IF(ISNUMBER(H1662),IF(COUNTIFS($D$2:D1662,D1662,$H$2:H1662,H1662)=1,1,0),"")</f>
        <v/>
      </c>
      <c r="J1662" s="50" t="str">
        <f>IF(ISNUMBER(H1662),IFERROR(INDEX(Calendrier!$C$2:$C$367,MATCH(H1662,Calendrier!$A$2:$A$367,0)),0),"")</f>
        <v/>
      </c>
      <c r="K1662" s="50" t="str">
        <f t="shared" si="129"/>
        <v/>
      </c>
      <c r="L1662" s="50" t="str">
        <f>IF(D1662="","",IF(COUNTIF(Paramètres!$A$11:$A$40,D1662)&gt;0,1,0))</f>
        <v/>
      </c>
    </row>
    <row r="1663" spans="1:12" hidden="1" x14ac:dyDescent="0.25">
      <c r="A1663" s="49"/>
      <c r="B1663" s="49"/>
      <c r="C1663" s="49"/>
      <c r="D1663" s="50" t="str">
        <f t="shared" si="125"/>
        <v/>
      </c>
      <c r="E1663" s="50" t="str">
        <f t="shared" si="126"/>
        <v/>
      </c>
      <c r="F1663" s="50" t="str">
        <f t="shared" si="127"/>
        <v/>
      </c>
      <c r="G1663" s="50" t="str">
        <f t="shared" si="128"/>
        <v/>
      </c>
      <c r="H1663" s="51" t="str">
        <f>IF($C1663="","",IFERROR(DATE(G1663,VLOOKUP(E1663,Paramètres!$K$11:$L$40,2,FALSE()),F1663),"?"))</f>
        <v/>
      </c>
      <c r="I1663" s="50" t="str">
        <f>IF(ISNUMBER(H1663),IF(COUNTIFS($D$2:D1663,D1663,$H$2:H1663,H1663)=1,1,0),"")</f>
        <v/>
      </c>
      <c r="J1663" s="50" t="str">
        <f>IF(ISNUMBER(H1663),IFERROR(INDEX(Calendrier!$C$2:$C$367,MATCH(H1663,Calendrier!$A$2:$A$367,0)),0),"")</f>
        <v/>
      </c>
      <c r="K1663" s="50" t="str">
        <f t="shared" si="129"/>
        <v/>
      </c>
      <c r="L1663" s="50" t="str">
        <f>IF(D1663="","",IF(COUNTIF(Paramètres!$A$11:$A$40,D1663)&gt;0,1,0))</f>
        <v/>
      </c>
    </row>
    <row r="1664" spans="1:12" hidden="1" x14ac:dyDescent="0.25">
      <c r="A1664" s="49"/>
      <c r="B1664" s="49"/>
      <c r="C1664" s="49"/>
      <c r="D1664" s="50" t="str">
        <f t="shared" si="125"/>
        <v/>
      </c>
      <c r="E1664" s="50" t="str">
        <f t="shared" si="126"/>
        <v/>
      </c>
      <c r="F1664" s="50" t="str">
        <f t="shared" si="127"/>
        <v/>
      </c>
      <c r="G1664" s="50" t="str">
        <f t="shared" si="128"/>
        <v/>
      </c>
      <c r="H1664" s="51" t="str">
        <f>IF($C1664="","",IFERROR(DATE(G1664,VLOOKUP(E1664,Paramètres!$K$11:$L$40,2,FALSE()),F1664),"?"))</f>
        <v/>
      </c>
      <c r="I1664" s="50" t="str">
        <f>IF(ISNUMBER(H1664),IF(COUNTIFS($D$2:D1664,D1664,$H$2:H1664,H1664)=1,1,0),"")</f>
        <v/>
      </c>
      <c r="J1664" s="50" t="str">
        <f>IF(ISNUMBER(H1664),IFERROR(INDEX(Calendrier!$C$2:$C$367,MATCH(H1664,Calendrier!$A$2:$A$367,0)),0),"")</f>
        <v/>
      </c>
      <c r="K1664" s="50" t="str">
        <f t="shared" si="129"/>
        <v/>
      </c>
      <c r="L1664" s="50" t="str">
        <f>IF(D1664="","",IF(COUNTIF(Paramètres!$A$11:$A$40,D1664)&gt;0,1,0))</f>
        <v/>
      </c>
    </row>
    <row r="1665" spans="1:12" hidden="1" x14ac:dyDescent="0.25">
      <c r="A1665" s="49"/>
      <c r="B1665" s="49"/>
      <c r="C1665" s="49"/>
      <c r="D1665" s="50" t="str">
        <f t="shared" si="125"/>
        <v/>
      </c>
      <c r="E1665" s="50" t="str">
        <f t="shared" si="126"/>
        <v/>
      </c>
      <c r="F1665" s="50" t="str">
        <f t="shared" si="127"/>
        <v/>
      </c>
      <c r="G1665" s="50" t="str">
        <f t="shared" si="128"/>
        <v/>
      </c>
      <c r="H1665" s="51" t="str">
        <f>IF($C1665="","",IFERROR(DATE(G1665,VLOOKUP(E1665,Paramètres!$K$11:$L$40,2,FALSE()),F1665),"?"))</f>
        <v/>
      </c>
      <c r="I1665" s="50" t="str">
        <f>IF(ISNUMBER(H1665),IF(COUNTIFS($D$2:D1665,D1665,$H$2:H1665,H1665)=1,1,0),"")</f>
        <v/>
      </c>
      <c r="J1665" s="50" t="str">
        <f>IF(ISNUMBER(H1665),IFERROR(INDEX(Calendrier!$C$2:$C$367,MATCH(H1665,Calendrier!$A$2:$A$367,0)),0),"")</f>
        <v/>
      </c>
      <c r="K1665" s="50" t="str">
        <f t="shared" si="129"/>
        <v/>
      </c>
      <c r="L1665" s="50" t="str">
        <f>IF(D1665="","",IF(COUNTIF(Paramètres!$A$11:$A$40,D1665)&gt;0,1,0))</f>
        <v/>
      </c>
    </row>
    <row r="1666" spans="1:12" hidden="1" x14ac:dyDescent="0.25">
      <c r="A1666" s="49"/>
      <c r="B1666" s="49"/>
      <c r="C1666" s="49"/>
      <c r="D1666" s="50" t="str">
        <f t="shared" ref="D1666:D1729" si="130">IF(B1666="","",TRIM(B1666))</f>
        <v/>
      </c>
      <c r="E1666" s="50" t="str">
        <f t="shared" ref="E1666:E1729" si="131">IF($C1666="","",LEFT($C1666,FIND(" ",$C1666)-1))</f>
        <v/>
      </c>
      <c r="F1666" s="50" t="str">
        <f t="shared" ref="F1666:F1729" si="132">IF($C1666="","",IFERROR(VALUE(LEFT(MID($C1666,FIND(" ",$C1666)+1,20),FIND(" ",MID($C1666,FIND(" ",$C1666)+1,20))-1)),"?"))</f>
        <v/>
      </c>
      <c r="G1666" s="50" t="str">
        <f t="shared" ref="G1666:G1729" si="133">IF($C1666="","",IFERROR(VALUE(MID(MID($C1666,FIND(" ",$C1666)+1,20),FIND(" ",MID($C1666,FIND(" ",$C1666)+1,20))+1,4)),"?"))</f>
        <v/>
      </c>
      <c r="H1666" s="51" t="str">
        <f>IF($C1666="","",IFERROR(DATE(G1666,VLOOKUP(E1666,Paramètres!$K$11:$L$40,2,FALSE()),F1666),"?"))</f>
        <v/>
      </c>
      <c r="I1666" s="50" t="str">
        <f>IF(ISNUMBER(H1666),IF(COUNTIFS($D$2:D1666,D1666,$H$2:H1666,H1666)=1,1,0),"")</f>
        <v/>
      </c>
      <c r="J1666" s="50" t="str">
        <f>IF(ISNUMBER(H1666),IFERROR(INDEX(Calendrier!$C$2:$C$367,MATCH(H1666,Calendrier!$A$2:$A$367,0)),0),"")</f>
        <v/>
      </c>
      <c r="K1666" s="50" t="str">
        <f t="shared" ref="K1666:K1729" si="134">IF(ISNUMBER(H1666),I1666*J1666,"")</f>
        <v/>
      </c>
      <c r="L1666" s="50" t="str">
        <f>IF(D1666="","",IF(COUNTIF(Paramètres!$A$11:$A$40,D1666)&gt;0,1,0))</f>
        <v/>
      </c>
    </row>
    <row r="1667" spans="1:12" hidden="1" x14ac:dyDescent="0.25">
      <c r="A1667" s="49"/>
      <c r="B1667" s="49"/>
      <c r="C1667" s="49"/>
      <c r="D1667" s="50" t="str">
        <f t="shared" si="130"/>
        <v/>
      </c>
      <c r="E1667" s="50" t="str">
        <f t="shared" si="131"/>
        <v/>
      </c>
      <c r="F1667" s="50" t="str">
        <f t="shared" si="132"/>
        <v/>
      </c>
      <c r="G1667" s="50" t="str">
        <f t="shared" si="133"/>
        <v/>
      </c>
      <c r="H1667" s="51" t="str">
        <f>IF($C1667="","",IFERROR(DATE(G1667,VLOOKUP(E1667,Paramètres!$K$11:$L$40,2,FALSE()),F1667),"?"))</f>
        <v/>
      </c>
      <c r="I1667" s="50" t="str">
        <f>IF(ISNUMBER(H1667),IF(COUNTIFS($D$2:D1667,D1667,$H$2:H1667,H1667)=1,1,0),"")</f>
        <v/>
      </c>
      <c r="J1667" s="50" t="str">
        <f>IF(ISNUMBER(H1667),IFERROR(INDEX(Calendrier!$C$2:$C$367,MATCH(H1667,Calendrier!$A$2:$A$367,0)),0),"")</f>
        <v/>
      </c>
      <c r="K1667" s="50" t="str">
        <f t="shared" si="134"/>
        <v/>
      </c>
      <c r="L1667" s="50" t="str">
        <f>IF(D1667="","",IF(COUNTIF(Paramètres!$A$11:$A$40,D1667)&gt;0,1,0))</f>
        <v/>
      </c>
    </row>
    <row r="1668" spans="1:12" hidden="1" x14ac:dyDescent="0.25">
      <c r="A1668" s="49"/>
      <c r="B1668" s="49"/>
      <c r="C1668" s="49"/>
      <c r="D1668" s="50" t="str">
        <f t="shared" si="130"/>
        <v/>
      </c>
      <c r="E1668" s="50" t="str">
        <f t="shared" si="131"/>
        <v/>
      </c>
      <c r="F1668" s="50" t="str">
        <f t="shared" si="132"/>
        <v/>
      </c>
      <c r="G1668" s="50" t="str">
        <f t="shared" si="133"/>
        <v/>
      </c>
      <c r="H1668" s="51" t="str">
        <f>IF($C1668="","",IFERROR(DATE(G1668,VLOOKUP(E1668,Paramètres!$K$11:$L$40,2,FALSE()),F1668),"?"))</f>
        <v/>
      </c>
      <c r="I1668" s="50" t="str">
        <f>IF(ISNUMBER(H1668),IF(COUNTIFS($D$2:D1668,D1668,$H$2:H1668,H1668)=1,1,0),"")</f>
        <v/>
      </c>
      <c r="J1668" s="50" t="str">
        <f>IF(ISNUMBER(H1668),IFERROR(INDEX(Calendrier!$C$2:$C$367,MATCH(H1668,Calendrier!$A$2:$A$367,0)),0),"")</f>
        <v/>
      </c>
      <c r="K1668" s="50" t="str">
        <f t="shared" si="134"/>
        <v/>
      </c>
      <c r="L1668" s="50" t="str">
        <f>IF(D1668="","",IF(COUNTIF(Paramètres!$A$11:$A$40,D1668)&gt;0,1,0))</f>
        <v/>
      </c>
    </row>
    <row r="1669" spans="1:12" hidden="1" x14ac:dyDescent="0.25">
      <c r="A1669" s="49"/>
      <c r="B1669" s="49"/>
      <c r="C1669" s="49"/>
      <c r="D1669" s="50" t="str">
        <f t="shared" si="130"/>
        <v/>
      </c>
      <c r="E1669" s="50" t="str">
        <f t="shared" si="131"/>
        <v/>
      </c>
      <c r="F1669" s="50" t="str">
        <f t="shared" si="132"/>
        <v/>
      </c>
      <c r="G1669" s="50" t="str">
        <f t="shared" si="133"/>
        <v/>
      </c>
      <c r="H1669" s="51" t="str">
        <f>IF($C1669="","",IFERROR(DATE(G1669,VLOOKUP(E1669,Paramètres!$K$11:$L$40,2,FALSE()),F1669),"?"))</f>
        <v/>
      </c>
      <c r="I1669" s="50" t="str">
        <f>IF(ISNUMBER(H1669),IF(COUNTIFS($D$2:D1669,D1669,$H$2:H1669,H1669)=1,1,0),"")</f>
        <v/>
      </c>
      <c r="J1669" s="50" t="str">
        <f>IF(ISNUMBER(H1669),IFERROR(INDEX(Calendrier!$C$2:$C$367,MATCH(H1669,Calendrier!$A$2:$A$367,0)),0),"")</f>
        <v/>
      </c>
      <c r="K1669" s="50" t="str">
        <f t="shared" si="134"/>
        <v/>
      </c>
      <c r="L1669" s="50" t="str">
        <f>IF(D1669="","",IF(COUNTIF(Paramètres!$A$11:$A$40,D1669)&gt;0,1,0))</f>
        <v/>
      </c>
    </row>
    <row r="1670" spans="1:12" hidden="1" x14ac:dyDescent="0.25">
      <c r="A1670" s="49"/>
      <c r="B1670" s="49"/>
      <c r="C1670" s="49"/>
      <c r="D1670" s="50" t="str">
        <f t="shared" si="130"/>
        <v/>
      </c>
      <c r="E1670" s="50" t="str">
        <f t="shared" si="131"/>
        <v/>
      </c>
      <c r="F1670" s="50" t="str">
        <f t="shared" si="132"/>
        <v/>
      </c>
      <c r="G1670" s="50" t="str">
        <f t="shared" si="133"/>
        <v/>
      </c>
      <c r="H1670" s="51" t="str">
        <f>IF($C1670="","",IFERROR(DATE(G1670,VLOOKUP(E1670,Paramètres!$K$11:$L$40,2,FALSE()),F1670),"?"))</f>
        <v/>
      </c>
      <c r="I1670" s="50" t="str">
        <f>IF(ISNUMBER(H1670),IF(COUNTIFS($D$2:D1670,D1670,$H$2:H1670,H1670)=1,1,0),"")</f>
        <v/>
      </c>
      <c r="J1670" s="50" t="str">
        <f>IF(ISNUMBER(H1670),IFERROR(INDEX(Calendrier!$C$2:$C$367,MATCH(H1670,Calendrier!$A$2:$A$367,0)),0),"")</f>
        <v/>
      </c>
      <c r="K1670" s="50" t="str">
        <f t="shared" si="134"/>
        <v/>
      </c>
      <c r="L1670" s="50" t="str">
        <f>IF(D1670="","",IF(COUNTIF(Paramètres!$A$11:$A$40,D1670)&gt;0,1,0))</f>
        <v/>
      </c>
    </row>
    <row r="1671" spans="1:12" hidden="1" x14ac:dyDescent="0.25">
      <c r="A1671" s="49"/>
      <c r="B1671" s="49"/>
      <c r="C1671" s="49"/>
      <c r="D1671" s="50" t="str">
        <f t="shared" si="130"/>
        <v/>
      </c>
      <c r="E1671" s="50" t="str">
        <f t="shared" si="131"/>
        <v/>
      </c>
      <c r="F1671" s="50" t="str">
        <f t="shared" si="132"/>
        <v/>
      </c>
      <c r="G1671" s="50" t="str">
        <f t="shared" si="133"/>
        <v/>
      </c>
      <c r="H1671" s="51" t="str">
        <f>IF($C1671="","",IFERROR(DATE(G1671,VLOOKUP(E1671,Paramètres!$K$11:$L$40,2,FALSE()),F1671),"?"))</f>
        <v/>
      </c>
      <c r="I1671" s="50" t="str">
        <f>IF(ISNUMBER(H1671),IF(COUNTIFS($D$2:D1671,D1671,$H$2:H1671,H1671)=1,1,0),"")</f>
        <v/>
      </c>
      <c r="J1671" s="50" t="str">
        <f>IF(ISNUMBER(H1671),IFERROR(INDEX(Calendrier!$C$2:$C$367,MATCH(H1671,Calendrier!$A$2:$A$367,0)),0),"")</f>
        <v/>
      </c>
      <c r="K1671" s="50" t="str">
        <f t="shared" si="134"/>
        <v/>
      </c>
      <c r="L1671" s="50" t="str">
        <f>IF(D1671="","",IF(COUNTIF(Paramètres!$A$11:$A$40,D1671)&gt;0,1,0))</f>
        <v/>
      </c>
    </row>
    <row r="1672" spans="1:12" hidden="1" x14ac:dyDescent="0.25">
      <c r="A1672" s="49"/>
      <c r="B1672" s="49"/>
      <c r="C1672" s="49"/>
      <c r="D1672" s="50" t="str">
        <f t="shared" si="130"/>
        <v/>
      </c>
      <c r="E1672" s="50" t="str">
        <f t="shared" si="131"/>
        <v/>
      </c>
      <c r="F1672" s="50" t="str">
        <f t="shared" si="132"/>
        <v/>
      </c>
      <c r="G1672" s="50" t="str">
        <f t="shared" si="133"/>
        <v/>
      </c>
      <c r="H1672" s="51" t="str">
        <f>IF($C1672="","",IFERROR(DATE(G1672,VLOOKUP(E1672,Paramètres!$K$11:$L$40,2,FALSE()),F1672),"?"))</f>
        <v/>
      </c>
      <c r="I1672" s="50" t="str">
        <f>IF(ISNUMBER(H1672),IF(COUNTIFS($D$2:D1672,D1672,$H$2:H1672,H1672)=1,1,0),"")</f>
        <v/>
      </c>
      <c r="J1672" s="50" t="str">
        <f>IF(ISNUMBER(H1672),IFERROR(INDEX(Calendrier!$C$2:$C$367,MATCH(H1672,Calendrier!$A$2:$A$367,0)),0),"")</f>
        <v/>
      </c>
      <c r="K1672" s="50" t="str">
        <f t="shared" si="134"/>
        <v/>
      </c>
      <c r="L1672" s="50" t="str">
        <f>IF(D1672="","",IF(COUNTIF(Paramètres!$A$11:$A$40,D1672)&gt;0,1,0))</f>
        <v/>
      </c>
    </row>
    <row r="1673" spans="1:12" hidden="1" x14ac:dyDescent="0.25">
      <c r="A1673" s="49"/>
      <c r="B1673" s="49"/>
      <c r="C1673" s="49"/>
      <c r="D1673" s="50" t="str">
        <f t="shared" si="130"/>
        <v/>
      </c>
      <c r="E1673" s="50" t="str">
        <f t="shared" si="131"/>
        <v/>
      </c>
      <c r="F1673" s="50" t="str">
        <f t="shared" si="132"/>
        <v/>
      </c>
      <c r="G1673" s="50" t="str">
        <f t="shared" si="133"/>
        <v/>
      </c>
      <c r="H1673" s="51" t="str">
        <f>IF($C1673="","",IFERROR(DATE(G1673,VLOOKUP(E1673,Paramètres!$K$11:$L$40,2,FALSE()),F1673),"?"))</f>
        <v/>
      </c>
      <c r="I1673" s="50" t="str">
        <f>IF(ISNUMBER(H1673),IF(COUNTIFS($D$2:D1673,D1673,$H$2:H1673,H1673)=1,1,0),"")</f>
        <v/>
      </c>
      <c r="J1673" s="50" t="str">
        <f>IF(ISNUMBER(H1673),IFERROR(INDEX(Calendrier!$C$2:$C$367,MATCH(H1673,Calendrier!$A$2:$A$367,0)),0),"")</f>
        <v/>
      </c>
      <c r="K1673" s="50" t="str">
        <f t="shared" si="134"/>
        <v/>
      </c>
      <c r="L1673" s="50" t="str">
        <f>IF(D1673="","",IF(COUNTIF(Paramètres!$A$11:$A$40,D1673)&gt;0,1,0))</f>
        <v/>
      </c>
    </row>
    <row r="1674" spans="1:12" hidden="1" x14ac:dyDescent="0.25">
      <c r="A1674" s="49"/>
      <c r="B1674" s="49"/>
      <c r="C1674" s="49"/>
      <c r="D1674" s="50" t="str">
        <f t="shared" si="130"/>
        <v/>
      </c>
      <c r="E1674" s="50" t="str">
        <f t="shared" si="131"/>
        <v/>
      </c>
      <c r="F1674" s="50" t="str">
        <f t="shared" si="132"/>
        <v/>
      </c>
      <c r="G1674" s="50" t="str">
        <f t="shared" si="133"/>
        <v/>
      </c>
      <c r="H1674" s="51" t="str">
        <f>IF($C1674="","",IFERROR(DATE(G1674,VLOOKUP(E1674,Paramètres!$K$11:$L$40,2,FALSE()),F1674),"?"))</f>
        <v/>
      </c>
      <c r="I1674" s="50" t="str">
        <f>IF(ISNUMBER(H1674),IF(COUNTIFS($D$2:D1674,D1674,$H$2:H1674,H1674)=1,1,0),"")</f>
        <v/>
      </c>
      <c r="J1674" s="50" t="str">
        <f>IF(ISNUMBER(H1674),IFERROR(INDEX(Calendrier!$C$2:$C$367,MATCH(H1674,Calendrier!$A$2:$A$367,0)),0),"")</f>
        <v/>
      </c>
      <c r="K1674" s="50" t="str">
        <f t="shared" si="134"/>
        <v/>
      </c>
      <c r="L1674" s="50" t="str">
        <f>IF(D1674="","",IF(COUNTIF(Paramètres!$A$11:$A$40,D1674)&gt;0,1,0))</f>
        <v/>
      </c>
    </row>
    <row r="1675" spans="1:12" hidden="1" x14ac:dyDescent="0.25">
      <c r="A1675" s="49"/>
      <c r="B1675" s="49"/>
      <c r="C1675" s="49"/>
      <c r="D1675" s="50" t="str">
        <f t="shared" si="130"/>
        <v/>
      </c>
      <c r="E1675" s="50" t="str">
        <f t="shared" si="131"/>
        <v/>
      </c>
      <c r="F1675" s="50" t="str">
        <f t="shared" si="132"/>
        <v/>
      </c>
      <c r="G1675" s="50" t="str">
        <f t="shared" si="133"/>
        <v/>
      </c>
      <c r="H1675" s="51" t="str">
        <f>IF($C1675="","",IFERROR(DATE(G1675,VLOOKUP(E1675,Paramètres!$K$11:$L$40,2,FALSE()),F1675),"?"))</f>
        <v/>
      </c>
      <c r="I1675" s="50" t="str">
        <f>IF(ISNUMBER(H1675),IF(COUNTIFS($D$2:D1675,D1675,$H$2:H1675,H1675)=1,1,0),"")</f>
        <v/>
      </c>
      <c r="J1675" s="50" t="str">
        <f>IF(ISNUMBER(H1675),IFERROR(INDEX(Calendrier!$C$2:$C$367,MATCH(H1675,Calendrier!$A$2:$A$367,0)),0),"")</f>
        <v/>
      </c>
      <c r="K1675" s="50" t="str">
        <f t="shared" si="134"/>
        <v/>
      </c>
      <c r="L1675" s="50" t="str">
        <f>IF(D1675="","",IF(COUNTIF(Paramètres!$A$11:$A$40,D1675)&gt;0,1,0))</f>
        <v/>
      </c>
    </row>
    <row r="1676" spans="1:12" hidden="1" x14ac:dyDescent="0.25">
      <c r="A1676" s="49"/>
      <c r="B1676" s="49"/>
      <c r="C1676" s="49"/>
      <c r="D1676" s="50" t="str">
        <f t="shared" si="130"/>
        <v/>
      </c>
      <c r="E1676" s="50" t="str">
        <f t="shared" si="131"/>
        <v/>
      </c>
      <c r="F1676" s="50" t="str">
        <f t="shared" si="132"/>
        <v/>
      </c>
      <c r="G1676" s="50" t="str">
        <f t="shared" si="133"/>
        <v/>
      </c>
      <c r="H1676" s="51" t="str">
        <f>IF($C1676="","",IFERROR(DATE(G1676,VLOOKUP(E1676,Paramètres!$K$11:$L$40,2,FALSE()),F1676),"?"))</f>
        <v/>
      </c>
      <c r="I1676" s="50" t="str">
        <f>IF(ISNUMBER(H1676),IF(COUNTIFS($D$2:D1676,D1676,$H$2:H1676,H1676)=1,1,0),"")</f>
        <v/>
      </c>
      <c r="J1676" s="50" t="str">
        <f>IF(ISNUMBER(H1676),IFERROR(INDEX(Calendrier!$C$2:$C$367,MATCH(H1676,Calendrier!$A$2:$A$367,0)),0),"")</f>
        <v/>
      </c>
      <c r="K1676" s="50" t="str">
        <f t="shared" si="134"/>
        <v/>
      </c>
      <c r="L1676" s="50" t="str">
        <f>IF(D1676="","",IF(COUNTIF(Paramètres!$A$11:$A$40,D1676)&gt;0,1,0))</f>
        <v/>
      </c>
    </row>
    <row r="1677" spans="1:12" hidden="1" x14ac:dyDescent="0.25">
      <c r="A1677" s="49"/>
      <c r="B1677" s="49"/>
      <c r="C1677" s="49"/>
      <c r="D1677" s="50" t="str">
        <f t="shared" si="130"/>
        <v/>
      </c>
      <c r="E1677" s="50" t="str">
        <f t="shared" si="131"/>
        <v/>
      </c>
      <c r="F1677" s="50" t="str">
        <f t="shared" si="132"/>
        <v/>
      </c>
      <c r="G1677" s="50" t="str">
        <f t="shared" si="133"/>
        <v/>
      </c>
      <c r="H1677" s="51" t="str">
        <f>IF($C1677="","",IFERROR(DATE(G1677,VLOOKUP(E1677,Paramètres!$K$11:$L$40,2,FALSE()),F1677),"?"))</f>
        <v/>
      </c>
      <c r="I1677" s="50" t="str">
        <f>IF(ISNUMBER(H1677),IF(COUNTIFS($D$2:D1677,D1677,$H$2:H1677,H1677)=1,1,0),"")</f>
        <v/>
      </c>
      <c r="J1677" s="50" t="str">
        <f>IF(ISNUMBER(H1677),IFERROR(INDEX(Calendrier!$C$2:$C$367,MATCH(H1677,Calendrier!$A$2:$A$367,0)),0),"")</f>
        <v/>
      </c>
      <c r="K1677" s="50" t="str">
        <f t="shared" si="134"/>
        <v/>
      </c>
      <c r="L1677" s="50" t="str">
        <f>IF(D1677="","",IF(COUNTIF(Paramètres!$A$11:$A$40,D1677)&gt;0,1,0))</f>
        <v/>
      </c>
    </row>
    <row r="1678" spans="1:12" hidden="1" x14ac:dyDescent="0.25">
      <c r="A1678" s="49"/>
      <c r="B1678" s="49"/>
      <c r="C1678" s="49"/>
      <c r="D1678" s="50" t="str">
        <f t="shared" si="130"/>
        <v/>
      </c>
      <c r="E1678" s="50" t="str">
        <f t="shared" si="131"/>
        <v/>
      </c>
      <c r="F1678" s="50" t="str">
        <f t="shared" si="132"/>
        <v/>
      </c>
      <c r="G1678" s="50" t="str">
        <f t="shared" si="133"/>
        <v/>
      </c>
      <c r="H1678" s="51" t="str">
        <f>IF($C1678="","",IFERROR(DATE(G1678,VLOOKUP(E1678,Paramètres!$K$11:$L$40,2,FALSE()),F1678),"?"))</f>
        <v/>
      </c>
      <c r="I1678" s="50" t="str">
        <f>IF(ISNUMBER(H1678),IF(COUNTIFS($D$2:D1678,D1678,$H$2:H1678,H1678)=1,1,0),"")</f>
        <v/>
      </c>
      <c r="J1678" s="50" t="str">
        <f>IF(ISNUMBER(H1678),IFERROR(INDEX(Calendrier!$C$2:$C$367,MATCH(H1678,Calendrier!$A$2:$A$367,0)),0),"")</f>
        <v/>
      </c>
      <c r="K1678" s="50" t="str">
        <f t="shared" si="134"/>
        <v/>
      </c>
      <c r="L1678" s="50" t="str">
        <f>IF(D1678="","",IF(COUNTIF(Paramètres!$A$11:$A$40,D1678)&gt;0,1,0))</f>
        <v/>
      </c>
    </row>
    <row r="1679" spans="1:12" hidden="1" x14ac:dyDescent="0.25">
      <c r="A1679" s="49"/>
      <c r="B1679" s="49"/>
      <c r="C1679" s="49"/>
      <c r="D1679" s="50" t="str">
        <f t="shared" si="130"/>
        <v/>
      </c>
      <c r="E1679" s="50" t="str">
        <f t="shared" si="131"/>
        <v/>
      </c>
      <c r="F1679" s="50" t="str">
        <f t="shared" si="132"/>
        <v/>
      </c>
      <c r="G1679" s="50" t="str">
        <f t="shared" si="133"/>
        <v/>
      </c>
      <c r="H1679" s="51" t="str">
        <f>IF($C1679="","",IFERROR(DATE(G1679,VLOOKUP(E1679,Paramètres!$K$11:$L$40,2,FALSE()),F1679),"?"))</f>
        <v/>
      </c>
      <c r="I1679" s="50" t="str">
        <f>IF(ISNUMBER(H1679),IF(COUNTIFS($D$2:D1679,D1679,$H$2:H1679,H1679)=1,1,0),"")</f>
        <v/>
      </c>
      <c r="J1679" s="50" t="str">
        <f>IF(ISNUMBER(H1679),IFERROR(INDEX(Calendrier!$C$2:$C$367,MATCH(H1679,Calendrier!$A$2:$A$367,0)),0),"")</f>
        <v/>
      </c>
      <c r="K1679" s="50" t="str">
        <f t="shared" si="134"/>
        <v/>
      </c>
      <c r="L1679" s="50" t="str">
        <f>IF(D1679="","",IF(COUNTIF(Paramètres!$A$11:$A$40,D1679)&gt;0,1,0))</f>
        <v/>
      </c>
    </row>
    <row r="1680" spans="1:12" hidden="1" x14ac:dyDescent="0.25">
      <c r="A1680" s="49"/>
      <c r="B1680" s="49"/>
      <c r="C1680" s="49"/>
      <c r="D1680" s="50" t="str">
        <f t="shared" si="130"/>
        <v/>
      </c>
      <c r="E1680" s="50" t="str">
        <f t="shared" si="131"/>
        <v/>
      </c>
      <c r="F1680" s="50" t="str">
        <f t="shared" si="132"/>
        <v/>
      </c>
      <c r="G1680" s="50" t="str">
        <f t="shared" si="133"/>
        <v/>
      </c>
      <c r="H1680" s="51" t="str">
        <f>IF($C1680="","",IFERROR(DATE(G1680,VLOOKUP(E1680,Paramètres!$K$11:$L$40,2,FALSE()),F1680),"?"))</f>
        <v/>
      </c>
      <c r="I1680" s="50" t="str">
        <f>IF(ISNUMBER(H1680),IF(COUNTIFS($D$2:D1680,D1680,$H$2:H1680,H1680)=1,1,0),"")</f>
        <v/>
      </c>
      <c r="J1680" s="50" t="str">
        <f>IF(ISNUMBER(H1680),IFERROR(INDEX(Calendrier!$C$2:$C$367,MATCH(H1680,Calendrier!$A$2:$A$367,0)),0),"")</f>
        <v/>
      </c>
      <c r="K1680" s="50" t="str">
        <f t="shared" si="134"/>
        <v/>
      </c>
      <c r="L1680" s="50" t="str">
        <f>IF(D1680="","",IF(COUNTIF(Paramètres!$A$11:$A$40,D1680)&gt;0,1,0))</f>
        <v/>
      </c>
    </row>
    <row r="1681" spans="1:12" hidden="1" x14ac:dyDescent="0.25">
      <c r="A1681" s="49"/>
      <c r="B1681" s="49"/>
      <c r="C1681" s="49"/>
      <c r="D1681" s="50" t="str">
        <f t="shared" si="130"/>
        <v/>
      </c>
      <c r="E1681" s="50" t="str">
        <f t="shared" si="131"/>
        <v/>
      </c>
      <c r="F1681" s="50" t="str">
        <f t="shared" si="132"/>
        <v/>
      </c>
      <c r="G1681" s="50" t="str">
        <f t="shared" si="133"/>
        <v/>
      </c>
      <c r="H1681" s="51" t="str">
        <f>IF($C1681="","",IFERROR(DATE(G1681,VLOOKUP(E1681,Paramètres!$K$11:$L$40,2,FALSE()),F1681),"?"))</f>
        <v/>
      </c>
      <c r="I1681" s="50" t="str">
        <f>IF(ISNUMBER(H1681),IF(COUNTIFS($D$2:D1681,D1681,$H$2:H1681,H1681)=1,1,0),"")</f>
        <v/>
      </c>
      <c r="J1681" s="50" t="str">
        <f>IF(ISNUMBER(H1681),IFERROR(INDEX(Calendrier!$C$2:$C$367,MATCH(H1681,Calendrier!$A$2:$A$367,0)),0),"")</f>
        <v/>
      </c>
      <c r="K1681" s="50" t="str">
        <f t="shared" si="134"/>
        <v/>
      </c>
      <c r="L1681" s="50" t="str">
        <f>IF(D1681="","",IF(COUNTIF(Paramètres!$A$11:$A$40,D1681)&gt;0,1,0))</f>
        <v/>
      </c>
    </row>
    <row r="1682" spans="1:12" hidden="1" x14ac:dyDescent="0.25">
      <c r="A1682" s="49"/>
      <c r="B1682" s="49"/>
      <c r="C1682" s="49"/>
      <c r="D1682" s="50" t="str">
        <f t="shared" si="130"/>
        <v/>
      </c>
      <c r="E1682" s="50" t="str">
        <f t="shared" si="131"/>
        <v/>
      </c>
      <c r="F1682" s="50" t="str">
        <f t="shared" si="132"/>
        <v/>
      </c>
      <c r="G1682" s="50" t="str">
        <f t="shared" si="133"/>
        <v/>
      </c>
      <c r="H1682" s="51" t="str">
        <f>IF($C1682="","",IFERROR(DATE(G1682,VLOOKUP(E1682,Paramètres!$K$11:$L$40,2,FALSE()),F1682),"?"))</f>
        <v/>
      </c>
      <c r="I1682" s="50" t="str">
        <f>IF(ISNUMBER(H1682),IF(COUNTIFS($D$2:D1682,D1682,$H$2:H1682,H1682)=1,1,0),"")</f>
        <v/>
      </c>
      <c r="J1682" s="50" t="str">
        <f>IF(ISNUMBER(H1682),IFERROR(INDEX(Calendrier!$C$2:$C$367,MATCH(H1682,Calendrier!$A$2:$A$367,0)),0),"")</f>
        <v/>
      </c>
      <c r="K1682" s="50" t="str">
        <f t="shared" si="134"/>
        <v/>
      </c>
      <c r="L1682" s="50" t="str">
        <f>IF(D1682="","",IF(COUNTIF(Paramètres!$A$11:$A$40,D1682)&gt;0,1,0))</f>
        <v/>
      </c>
    </row>
    <row r="1683" spans="1:12" hidden="1" x14ac:dyDescent="0.25">
      <c r="A1683" s="49"/>
      <c r="B1683" s="49"/>
      <c r="C1683" s="49"/>
      <c r="D1683" s="50" t="str">
        <f t="shared" si="130"/>
        <v/>
      </c>
      <c r="E1683" s="50" t="str">
        <f t="shared" si="131"/>
        <v/>
      </c>
      <c r="F1683" s="50" t="str">
        <f t="shared" si="132"/>
        <v/>
      </c>
      <c r="G1683" s="50" t="str">
        <f t="shared" si="133"/>
        <v/>
      </c>
      <c r="H1683" s="51" t="str">
        <f>IF($C1683="","",IFERROR(DATE(G1683,VLOOKUP(E1683,Paramètres!$K$11:$L$40,2,FALSE()),F1683),"?"))</f>
        <v/>
      </c>
      <c r="I1683" s="50" t="str">
        <f>IF(ISNUMBER(H1683),IF(COUNTIFS($D$2:D1683,D1683,$H$2:H1683,H1683)=1,1,0),"")</f>
        <v/>
      </c>
      <c r="J1683" s="50" t="str">
        <f>IF(ISNUMBER(H1683),IFERROR(INDEX(Calendrier!$C$2:$C$367,MATCH(H1683,Calendrier!$A$2:$A$367,0)),0),"")</f>
        <v/>
      </c>
      <c r="K1683" s="50" t="str">
        <f t="shared" si="134"/>
        <v/>
      </c>
      <c r="L1683" s="50" t="str">
        <f>IF(D1683="","",IF(COUNTIF(Paramètres!$A$11:$A$40,D1683)&gt;0,1,0))</f>
        <v/>
      </c>
    </row>
    <row r="1684" spans="1:12" hidden="1" x14ac:dyDescent="0.25">
      <c r="A1684" s="49"/>
      <c r="B1684" s="49"/>
      <c r="C1684" s="49"/>
      <c r="D1684" s="50" t="str">
        <f t="shared" si="130"/>
        <v/>
      </c>
      <c r="E1684" s="50" t="str">
        <f t="shared" si="131"/>
        <v/>
      </c>
      <c r="F1684" s="50" t="str">
        <f t="shared" si="132"/>
        <v/>
      </c>
      <c r="G1684" s="50" t="str">
        <f t="shared" si="133"/>
        <v/>
      </c>
      <c r="H1684" s="51" t="str">
        <f>IF($C1684="","",IFERROR(DATE(G1684,VLOOKUP(E1684,Paramètres!$K$11:$L$40,2,FALSE()),F1684),"?"))</f>
        <v/>
      </c>
      <c r="I1684" s="50" t="str">
        <f>IF(ISNUMBER(H1684),IF(COUNTIFS($D$2:D1684,D1684,$H$2:H1684,H1684)=1,1,0),"")</f>
        <v/>
      </c>
      <c r="J1684" s="50" t="str">
        <f>IF(ISNUMBER(H1684),IFERROR(INDEX(Calendrier!$C$2:$C$367,MATCH(H1684,Calendrier!$A$2:$A$367,0)),0),"")</f>
        <v/>
      </c>
      <c r="K1684" s="50" t="str">
        <f t="shared" si="134"/>
        <v/>
      </c>
      <c r="L1684" s="50" t="str">
        <f>IF(D1684="","",IF(COUNTIF(Paramètres!$A$11:$A$40,D1684)&gt;0,1,0))</f>
        <v/>
      </c>
    </row>
    <row r="1685" spans="1:12" hidden="1" x14ac:dyDescent="0.25">
      <c r="A1685" s="49"/>
      <c r="B1685" s="49"/>
      <c r="C1685" s="49"/>
      <c r="D1685" s="50" t="str">
        <f t="shared" si="130"/>
        <v/>
      </c>
      <c r="E1685" s="50" t="str">
        <f t="shared" si="131"/>
        <v/>
      </c>
      <c r="F1685" s="50" t="str">
        <f t="shared" si="132"/>
        <v/>
      </c>
      <c r="G1685" s="50" t="str">
        <f t="shared" si="133"/>
        <v/>
      </c>
      <c r="H1685" s="51" t="str">
        <f>IF($C1685="","",IFERROR(DATE(G1685,VLOOKUP(E1685,Paramètres!$K$11:$L$40,2,FALSE()),F1685),"?"))</f>
        <v/>
      </c>
      <c r="I1685" s="50" t="str">
        <f>IF(ISNUMBER(H1685),IF(COUNTIFS($D$2:D1685,D1685,$H$2:H1685,H1685)=1,1,0),"")</f>
        <v/>
      </c>
      <c r="J1685" s="50" t="str">
        <f>IF(ISNUMBER(H1685),IFERROR(INDEX(Calendrier!$C$2:$C$367,MATCH(H1685,Calendrier!$A$2:$A$367,0)),0),"")</f>
        <v/>
      </c>
      <c r="K1685" s="50" t="str">
        <f t="shared" si="134"/>
        <v/>
      </c>
      <c r="L1685" s="50" t="str">
        <f>IF(D1685="","",IF(COUNTIF(Paramètres!$A$11:$A$40,D1685)&gt;0,1,0))</f>
        <v/>
      </c>
    </row>
    <row r="1686" spans="1:12" hidden="1" x14ac:dyDescent="0.25">
      <c r="A1686" s="49"/>
      <c r="B1686" s="49"/>
      <c r="C1686" s="49"/>
      <c r="D1686" s="50" t="str">
        <f t="shared" si="130"/>
        <v/>
      </c>
      <c r="E1686" s="50" t="str">
        <f t="shared" si="131"/>
        <v/>
      </c>
      <c r="F1686" s="50" t="str">
        <f t="shared" si="132"/>
        <v/>
      </c>
      <c r="G1686" s="50" t="str">
        <f t="shared" si="133"/>
        <v/>
      </c>
      <c r="H1686" s="51" t="str">
        <f>IF($C1686="","",IFERROR(DATE(G1686,VLOOKUP(E1686,Paramètres!$K$11:$L$40,2,FALSE()),F1686),"?"))</f>
        <v/>
      </c>
      <c r="I1686" s="50" t="str">
        <f>IF(ISNUMBER(H1686),IF(COUNTIFS($D$2:D1686,D1686,$H$2:H1686,H1686)=1,1,0),"")</f>
        <v/>
      </c>
      <c r="J1686" s="50" t="str">
        <f>IF(ISNUMBER(H1686),IFERROR(INDEX(Calendrier!$C$2:$C$367,MATCH(H1686,Calendrier!$A$2:$A$367,0)),0),"")</f>
        <v/>
      </c>
      <c r="K1686" s="50" t="str">
        <f t="shared" si="134"/>
        <v/>
      </c>
      <c r="L1686" s="50" t="str">
        <f>IF(D1686="","",IF(COUNTIF(Paramètres!$A$11:$A$40,D1686)&gt;0,1,0))</f>
        <v/>
      </c>
    </row>
    <row r="1687" spans="1:12" hidden="1" x14ac:dyDescent="0.25">
      <c r="A1687" s="49"/>
      <c r="B1687" s="49"/>
      <c r="C1687" s="49"/>
      <c r="D1687" s="50" t="str">
        <f t="shared" si="130"/>
        <v/>
      </c>
      <c r="E1687" s="50" t="str">
        <f t="shared" si="131"/>
        <v/>
      </c>
      <c r="F1687" s="50" t="str">
        <f t="shared" si="132"/>
        <v/>
      </c>
      <c r="G1687" s="50" t="str">
        <f t="shared" si="133"/>
        <v/>
      </c>
      <c r="H1687" s="51" t="str">
        <f>IF($C1687="","",IFERROR(DATE(G1687,VLOOKUP(E1687,Paramètres!$K$11:$L$40,2,FALSE()),F1687),"?"))</f>
        <v/>
      </c>
      <c r="I1687" s="50" t="str">
        <f>IF(ISNUMBER(H1687),IF(COUNTIFS($D$2:D1687,D1687,$H$2:H1687,H1687)=1,1,0),"")</f>
        <v/>
      </c>
      <c r="J1687" s="50" t="str">
        <f>IF(ISNUMBER(H1687),IFERROR(INDEX(Calendrier!$C$2:$C$367,MATCH(H1687,Calendrier!$A$2:$A$367,0)),0),"")</f>
        <v/>
      </c>
      <c r="K1687" s="50" t="str">
        <f t="shared" si="134"/>
        <v/>
      </c>
      <c r="L1687" s="50" t="str">
        <f>IF(D1687="","",IF(COUNTIF(Paramètres!$A$11:$A$40,D1687)&gt;0,1,0))</f>
        <v/>
      </c>
    </row>
    <row r="1688" spans="1:12" hidden="1" x14ac:dyDescent="0.25">
      <c r="A1688" s="49"/>
      <c r="B1688" s="49"/>
      <c r="C1688" s="49"/>
      <c r="D1688" s="50" t="str">
        <f t="shared" si="130"/>
        <v/>
      </c>
      <c r="E1688" s="50" t="str">
        <f t="shared" si="131"/>
        <v/>
      </c>
      <c r="F1688" s="50" t="str">
        <f t="shared" si="132"/>
        <v/>
      </c>
      <c r="G1688" s="50" t="str">
        <f t="shared" si="133"/>
        <v/>
      </c>
      <c r="H1688" s="51" t="str">
        <f>IF($C1688="","",IFERROR(DATE(G1688,VLOOKUP(E1688,Paramètres!$K$11:$L$40,2,FALSE()),F1688),"?"))</f>
        <v/>
      </c>
      <c r="I1688" s="50" t="str">
        <f>IF(ISNUMBER(H1688),IF(COUNTIFS($D$2:D1688,D1688,$H$2:H1688,H1688)=1,1,0),"")</f>
        <v/>
      </c>
      <c r="J1688" s="50" t="str">
        <f>IF(ISNUMBER(H1688),IFERROR(INDEX(Calendrier!$C$2:$C$367,MATCH(H1688,Calendrier!$A$2:$A$367,0)),0),"")</f>
        <v/>
      </c>
      <c r="K1688" s="50" t="str">
        <f t="shared" si="134"/>
        <v/>
      </c>
      <c r="L1688" s="50" t="str">
        <f>IF(D1688="","",IF(COUNTIF(Paramètres!$A$11:$A$40,D1688)&gt;0,1,0))</f>
        <v/>
      </c>
    </row>
    <row r="1689" spans="1:12" hidden="1" x14ac:dyDescent="0.25">
      <c r="A1689" s="49"/>
      <c r="B1689" s="49"/>
      <c r="C1689" s="49"/>
      <c r="D1689" s="50" t="str">
        <f t="shared" si="130"/>
        <v/>
      </c>
      <c r="E1689" s="50" t="str">
        <f t="shared" si="131"/>
        <v/>
      </c>
      <c r="F1689" s="50" t="str">
        <f t="shared" si="132"/>
        <v/>
      </c>
      <c r="G1689" s="50" t="str">
        <f t="shared" si="133"/>
        <v/>
      </c>
      <c r="H1689" s="51" t="str">
        <f>IF($C1689="","",IFERROR(DATE(G1689,VLOOKUP(E1689,Paramètres!$K$11:$L$40,2,FALSE()),F1689),"?"))</f>
        <v/>
      </c>
      <c r="I1689" s="50" t="str">
        <f>IF(ISNUMBER(H1689),IF(COUNTIFS($D$2:D1689,D1689,$H$2:H1689,H1689)=1,1,0),"")</f>
        <v/>
      </c>
      <c r="J1689" s="50" t="str">
        <f>IF(ISNUMBER(H1689),IFERROR(INDEX(Calendrier!$C$2:$C$367,MATCH(H1689,Calendrier!$A$2:$A$367,0)),0),"")</f>
        <v/>
      </c>
      <c r="K1689" s="50" t="str">
        <f t="shared" si="134"/>
        <v/>
      </c>
      <c r="L1689" s="50" t="str">
        <f>IF(D1689="","",IF(COUNTIF(Paramètres!$A$11:$A$40,D1689)&gt;0,1,0))</f>
        <v/>
      </c>
    </row>
    <row r="1690" spans="1:12" hidden="1" x14ac:dyDescent="0.25">
      <c r="A1690" s="49"/>
      <c r="B1690" s="49"/>
      <c r="C1690" s="49"/>
      <c r="D1690" s="50" t="str">
        <f t="shared" si="130"/>
        <v/>
      </c>
      <c r="E1690" s="50" t="str">
        <f t="shared" si="131"/>
        <v/>
      </c>
      <c r="F1690" s="50" t="str">
        <f t="shared" si="132"/>
        <v/>
      </c>
      <c r="G1690" s="50" t="str">
        <f t="shared" si="133"/>
        <v/>
      </c>
      <c r="H1690" s="51" t="str">
        <f>IF($C1690="","",IFERROR(DATE(G1690,VLOOKUP(E1690,Paramètres!$K$11:$L$40,2,FALSE()),F1690),"?"))</f>
        <v/>
      </c>
      <c r="I1690" s="50" t="str">
        <f>IF(ISNUMBER(H1690),IF(COUNTIFS($D$2:D1690,D1690,$H$2:H1690,H1690)=1,1,0),"")</f>
        <v/>
      </c>
      <c r="J1690" s="50" t="str">
        <f>IF(ISNUMBER(H1690),IFERROR(INDEX(Calendrier!$C$2:$C$367,MATCH(H1690,Calendrier!$A$2:$A$367,0)),0),"")</f>
        <v/>
      </c>
      <c r="K1690" s="50" t="str">
        <f t="shared" si="134"/>
        <v/>
      </c>
      <c r="L1690" s="50" t="str">
        <f>IF(D1690="","",IF(COUNTIF(Paramètres!$A$11:$A$40,D1690)&gt;0,1,0))</f>
        <v/>
      </c>
    </row>
    <row r="1691" spans="1:12" hidden="1" x14ac:dyDescent="0.25">
      <c r="A1691" s="49"/>
      <c r="B1691" s="49"/>
      <c r="C1691" s="49"/>
      <c r="D1691" s="50" t="str">
        <f t="shared" si="130"/>
        <v/>
      </c>
      <c r="E1691" s="50" t="str">
        <f t="shared" si="131"/>
        <v/>
      </c>
      <c r="F1691" s="50" t="str">
        <f t="shared" si="132"/>
        <v/>
      </c>
      <c r="G1691" s="50" t="str">
        <f t="shared" si="133"/>
        <v/>
      </c>
      <c r="H1691" s="51" t="str">
        <f>IF($C1691="","",IFERROR(DATE(G1691,VLOOKUP(E1691,Paramètres!$K$11:$L$40,2,FALSE()),F1691),"?"))</f>
        <v/>
      </c>
      <c r="I1691" s="50" t="str">
        <f>IF(ISNUMBER(H1691),IF(COUNTIFS($D$2:D1691,D1691,$H$2:H1691,H1691)=1,1,0),"")</f>
        <v/>
      </c>
      <c r="J1691" s="50" t="str">
        <f>IF(ISNUMBER(H1691),IFERROR(INDEX(Calendrier!$C$2:$C$367,MATCH(H1691,Calendrier!$A$2:$A$367,0)),0),"")</f>
        <v/>
      </c>
      <c r="K1691" s="50" t="str">
        <f t="shared" si="134"/>
        <v/>
      </c>
      <c r="L1691" s="50" t="str">
        <f>IF(D1691="","",IF(COUNTIF(Paramètres!$A$11:$A$40,D1691)&gt;0,1,0))</f>
        <v/>
      </c>
    </row>
    <row r="1692" spans="1:12" hidden="1" x14ac:dyDescent="0.25">
      <c r="A1692" s="49"/>
      <c r="B1692" s="49"/>
      <c r="C1692" s="49"/>
      <c r="D1692" s="50" t="str">
        <f t="shared" si="130"/>
        <v/>
      </c>
      <c r="E1692" s="50" t="str">
        <f t="shared" si="131"/>
        <v/>
      </c>
      <c r="F1692" s="50" t="str">
        <f t="shared" si="132"/>
        <v/>
      </c>
      <c r="G1692" s="50" t="str">
        <f t="shared" si="133"/>
        <v/>
      </c>
      <c r="H1692" s="51" t="str">
        <f>IF($C1692="","",IFERROR(DATE(G1692,VLOOKUP(E1692,Paramètres!$K$11:$L$40,2,FALSE()),F1692),"?"))</f>
        <v/>
      </c>
      <c r="I1692" s="50" t="str">
        <f>IF(ISNUMBER(H1692),IF(COUNTIFS($D$2:D1692,D1692,$H$2:H1692,H1692)=1,1,0),"")</f>
        <v/>
      </c>
      <c r="J1692" s="50" t="str">
        <f>IF(ISNUMBER(H1692),IFERROR(INDEX(Calendrier!$C$2:$C$367,MATCH(H1692,Calendrier!$A$2:$A$367,0)),0),"")</f>
        <v/>
      </c>
      <c r="K1692" s="50" t="str">
        <f t="shared" si="134"/>
        <v/>
      </c>
      <c r="L1692" s="50" t="str">
        <f>IF(D1692="","",IF(COUNTIF(Paramètres!$A$11:$A$40,D1692)&gt;0,1,0))</f>
        <v/>
      </c>
    </row>
    <row r="1693" spans="1:12" hidden="1" x14ac:dyDescent="0.25">
      <c r="A1693" s="49"/>
      <c r="B1693" s="49"/>
      <c r="C1693" s="49"/>
      <c r="D1693" s="50" t="str">
        <f t="shared" si="130"/>
        <v/>
      </c>
      <c r="E1693" s="50" t="str">
        <f t="shared" si="131"/>
        <v/>
      </c>
      <c r="F1693" s="50" t="str">
        <f t="shared" si="132"/>
        <v/>
      </c>
      <c r="G1693" s="50" t="str">
        <f t="shared" si="133"/>
        <v/>
      </c>
      <c r="H1693" s="51" t="str">
        <f>IF($C1693="","",IFERROR(DATE(G1693,VLOOKUP(E1693,Paramètres!$K$11:$L$40,2,FALSE()),F1693),"?"))</f>
        <v/>
      </c>
      <c r="I1693" s="50" t="str">
        <f>IF(ISNUMBER(H1693),IF(COUNTIFS($D$2:D1693,D1693,$H$2:H1693,H1693)=1,1,0),"")</f>
        <v/>
      </c>
      <c r="J1693" s="50" t="str">
        <f>IF(ISNUMBER(H1693),IFERROR(INDEX(Calendrier!$C$2:$C$367,MATCH(H1693,Calendrier!$A$2:$A$367,0)),0),"")</f>
        <v/>
      </c>
      <c r="K1693" s="50" t="str">
        <f t="shared" si="134"/>
        <v/>
      </c>
      <c r="L1693" s="50" t="str">
        <f>IF(D1693="","",IF(COUNTIF(Paramètres!$A$11:$A$40,D1693)&gt;0,1,0))</f>
        <v/>
      </c>
    </row>
    <row r="1694" spans="1:12" hidden="1" x14ac:dyDescent="0.25">
      <c r="A1694" s="49"/>
      <c r="B1694" s="49"/>
      <c r="C1694" s="49"/>
      <c r="D1694" s="50" t="str">
        <f t="shared" si="130"/>
        <v/>
      </c>
      <c r="E1694" s="50" t="str">
        <f t="shared" si="131"/>
        <v/>
      </c>
      <c r="F1694" s="50" t="str">
        <f t="shared" si="132"/>
        <v/>
      </c>
      <c r="G1694" s="50" t="str">
        <f t="shared" si="133"/>
        <v/>
      </c>
      <c r="H1694" s="51" t="str">
        <f>IF($C1694="","",IFERROR(DATE(G1694,VLOOKUP(E1694,Paramètres!$K$11:$L$40,2,FALSE()),F1694),"?"))</f>
        <v/>
      </c>
      <c r="I1694" s="50" t="str">
        <f>IF(ISNUMBER(H1694),IF(COUNTIFS($D$2:D1694,D1694,$H$2:H1694,H1694)=1,1,0),"")</f>
        <v/>
      </c>
      <c r="J1694" s="50" t="str">
        <f>IF(ISNUMBER(H1694),IFERROR(INDEX(Calendrier!$C$2:$C$367,MATCH(H1694,Calendrier!$A$2:$A$367,0)),0),"")</f>
        <v/>
      </c>
      <c r="K1694" s="50" t="str">
        <f t="shared" si="134"/>
        <v/>
      </c>
      <c r="L1694" s="50" t="str">
        <f>IF(D1694="","",IF(COUNTIF(Paramètres!$A$11:$A$40,D1694)&gt;0,1,0))</f>
        <v/>
      </c>
    </row>
    <row r="1695" spans="1:12" hidden="1" x14ac:dyDescent="0.25">
      <c r="A1695" s="49"/>
      <c r="B1695" s="49"/>
      <c r="C1695" s="49"/>
      <c r="D1695" s="50" t="str">
        <f t="shared" si="130"/>
        <v/>
      </c>
      <c r="E1695" s="50" t="str">
        <f t="shared" si="131"/>
        <v/>
      </c>
      <c r="F1695" s="50" t="str">
        <f t="shared" si="132"/>
        <v/>
      </c>
      <c r="G1695" s="50" t="str">
        <f t="shared" si="133"/>
        <v/>
      </c>
      <c r="H1695" s="51" t="str">
        <f>IF($C1695="","",IFERROR(DATE(G1695,VLOOKUP(E1695,Paramètres!$K$11:$L$40,2,FALSE()),F1695),"?"))</f>
        <v/>
      </c>
      <c r="I1695" s="50" t="str">
        <f>IF(ISNUMBER(H1695),IF(COUNTIFS($D$2:D1695,D1695,$H$2:H1695,H1695)=1,1,0),"")</f>
        <v/>
      </c>
      <c r="J1695" s="50" t="str">
        <f>IF(ISNUMBER(H1695),IFERROR(INDEX(Calendrier!$C$2:$C$367,MATCH(H1695,Calendrier!$A$2:$A$367,0)),0),"")</f>
        <v/>
      </c>
      <c r="K1695" s="50" t="str">
        <f t="shared" si="134"/>
        <v/>
      </c>
      <c r="L1695" s="50" t="str">
        <f>IF(D1695="","",IF(COUNTIF(Paramètres!$A$11:$A$40,D1695)&gt;0,1,0))</f>
        <v/>
      </c>
    </row>
    <row r="1696" spans="1:12" hidden="1" x14ac:dyDescent="0.25">
      <c r="A1696" s="49"/>
      <c r="B1696" s="49"/>
      <c r="C1696" s="49"/>
      <c r="D1696" s="50" t="str">
        <f t="shared" si="130"/>
        <v/>
      </c>
      <c r="E1696" s="50" t="str">
        <f t="shared" si="131"/>
        <v/>
      </c>
      <c r="F1696" s="50" t="str">
        <f t="shared" si="132"/>
        <v/>
      </c>
      <c r="G1696" s="50" t="str">
        <f t="shared" si="133"/>
        <v/>
      </c>
      <c r="H1696" s="51" t="str">
        <f>IF($C1696="","",IFERROR(DATE(G1696,VLOOKUP(E1696,Paramètres!$K$11:$L$40,2,FALSE()),F1696),"?"))</f>
        <v/>
      </c>
      <c r="I1696" s="50" t="str">
        <f>IF(ISNUMBER(H1696),IF(COUNTIFS($D$2:D1696,D1696,$H$2:H1696,H1696)=1,1,0),"")</f>
        <v/>
      </c>
      <c r="J1696" s="50" t="str">
        <f>IF(ISNUMBER(H1696),IFERROR(INDEX(Calendrier!$C$2:$C$367,MATCH(H1696,Calendrier!$A$2:$A$367,0)),0),"")</f>
        <v/>
      </c>
      <c r="K1696" s="50" t="str">
        <f t="shared" si="134"/>
        <v/>
      </c>
      <c r="L1696" s="50" t="str">
        <f>IF(D1696="","",IF(COUNTIF(Paramètres!$A$11:$A$40,D1696)&gt;0,1,0))</f>
        <v/>
      </c>
    </row>
    <row r="1697" spans="1:12" hidden="1" x14ac:dyDescent="0.25">
      <c r="A1697" s="49"/>
      <c r="B1697" s="49"/>
      <c r="C1697" s="49"/>
      <c r="D1697" s="50" t="str">
        <f t="shared" si="130"/>
        <v/>
      </c>
      <c r="E1697" s="50" t="str">
        <f t="shared" si="131"/>
        <v/>
      </c>
      <c r="F1697" s="50" t="str">
        <f t="shared" si="132"/>
        <v/>
      </c>
      <c r="G1697" s="50" t="str">
        <f t="shared" si="133"/>
        <v/>
      </c>
      <c r="H1697" s="51" t="str">
        <f>IF($C1697="","",IFERROR(DATE(G1697,VLOOKUP(E1697,Paramètres!$K$11:$L$40,2,FALSE()),F1697),"?"))</f>
        <v/>
      </c>
      <c r="I1697" s="50" t="str">
        <f>IF(ISNUMBER(H1697),IF(COUNTIFS($D$2:D1697,D1697,$H$2:H1697,H1697)=1,1,0),"")</f>
        <v/>
      </c>
      <c r="J1697" s="50" t="str">
        <f>IF(ISNUMBER(H1697),IFERROR(INDEX(Calendrier!$C$2:$C$367,MATCH(H1697,Calendrier!$A$2:$A$367,0)),0),"")</f>
        <v/>
      </c>
      <c r="K1697" s="50" t="str">
        <f t="shared" si="134"/>
        <v/>
      </c>
      <c r="L1697" s="50" t="str">
        <f>IF(D1697="","",IF(COUNTIF(Paramètres!$A$11:$A$40,D1697)&gt;0,1,0))</f>
        <v/>
      </c>
    </row>
    <row r="1698" spans="1:12" hidden="1" x14ac:dyDescent="0.25">
      <c r="A1698" s="49"/>
      <c r="B1698" s="49"/>
      <c r="C1698" s="49"/>
      <c r="D1698" s="50" t="str">
        <f t="shared" si="130"/>
        <v/>
      </c>
      <c r="E1698" s="50" t="str">
        <f t="shared" si="131"/>
        <v/>
      </c>
      <c r="F1698" s="50" t="str">
        <f t="shared" si="132"/>
        <v/>
      </c>
      <c r="G1698" s="50" t="str">
        <f t="shared" si="133"/>
        <v/>
      </c>
      <c r="H1698" s="51" t="str">
        <f>IF($C1698="","",IFERROR(DATE(G1698,VLOOKUP(E1698,Paramètres!$K$11:$L$40,2,FALSE()),F1698),"?"))</f>
        <v/>
      </c>
      <c r="I1698" s="50" t="str">
        <f>IF(ISNUMBER(H1698),IF(COUNTIFS($D$2:D1698,D1698,$H$2:H1698,H1698)=1,1,0),"")</f>
        <v/>
      </c>
      <c r="J1698" s="50" t="str">
        <f>IF(ISNUMBER(H1698),IFERROR(INDEX(Calendrier!$C$2:$C$367,MATCH(H1698,Calendrier!$A$2:$A$367,0)),0),"")</f>
        <v/>
      </c>
      <c r="K1698" s="50" t="str">
        <f t="shared" si="134"/>
        <v/>
      </c>
      <c r="L1698" s="50" t="str">
        <f>IF(D1698="","",IF(COUNTIF(Paramètres!$A$11:$A$40,D1698)&gt;0,1,0))</f>
        <v/>
      </c>
    </row>
    <row r="1699" spans="1:12" hidden="1" x14ac:dyDescent="0.25">
      <c r="A1699" s="49"/>
      <c r="B1699" s="49"/>
      <c r="C1699" s="49"/>
      <c r="D1699" s="50" t="str">
        <f t="shared" si="130"/>
        <v/>
      </c>
      <c r="E1699" s="50" t="str">
        <f t="shared" si="131"/>
        <v/>
      </c>
      <c r="F1699" s="50" t="str">
        <f t="shared" si="132"/>
        <v/>
      </c>
      <c r="G1699" s="50" t="str">
        <f t="shared" si="133"/>
        <v/>
      </c>
      <c r="H1699" s="51" t="str">
        <f>IF($C1699="","",IFERROR(DATE(G1699,VLOOKUP(E1699,Paramètres!$K$11:$L$40,2,FALSE()),F1699),"?"))</f>
        <v/>
      </c>
      <c r="I1699" s="50" t="str">
        <f>IF(ISNUMBER(H1699),IF(COUNTIFS($D$2:D1699,D1699,$H$2:H1699,H1699)=1,1,0),"")</f>
        <v/>
      </c>
      <c r="J1699" s="50" t="str">
        <f>IF(ISNUMBER(H1699),IFERROR(INDEX(Calendrier!$C$2:$C$367,MATCH(H1699,Calendrier!$A$2:$A$367,0)),0),"")</f>
        <v/>
      </c>
      <c r="K1699" s="50" t="str">
        <f t="shared" si="134"/>
        <v/>
      </c>
      <c r="L1699" s="50" t="str">
        <f>IF(D1699="","",IF(COUNTIF(Paramètres!$A$11:$A$40,D1699)&gt;0,1,0))</f>
        <v/>
      </c>
    </row>
    <row r="1700" spans="1:12" hidden="1" x14ac:dyDescent="0.25">
      <c r="A1700" s="49"/>
      <c r="B1700" s="49"/>
      <c r="C1700" s="49"/>
      <c r="D1700" s="50" t="str">
        <f t="shared" si="130"/>
        <v/>
      </c>
      <c r="E1700" s="50" t="str">
        <f t="shared" si="131"/>
        <v/>
      </c>
      <c r="F1700" s="50" t="str">
        <f t="shared" si="132"/>
        <v/>
      </c>
      <c r="G1700" s="50" t="str">
        <f t="shared" si="133"/>
        <v/>
      </c>
      <c r="H1700" s="51" t="str">
        <f>IF($C1700="","",IFERROR(DATE(G1700,VLOOKUP(E1700,Paramètres!$K$11:$L$40,2,FALSE()),F1700),"?"))</f>
        <v/>
      </c>
      <c r="I1700" s="50" t="str">
        <f>IF(ISNUMBER(H1700),IF(COUNTIFS($D$2:D1700,D1700,$H$2:H1700,H1700)=1,1,0),"")</f>
        <v/>
      </c>
      <c r="J1700" s="50" t="str">
        <f>IF(ISNUMBER(H1700),IFERROR(INDEX(Calendrier!$C$2:$C$367,MATCH(H1700,Calendrier!$A$2:$A$367,0)),0),"")</f>
        <v/>
      </c>
      <c r="K1700" s="50" t="str">
        <f t="shared" si="134"/>
        <v/>
      </c>
      <c r="L1700" s="50" t="str">
        <f>IF(D1700="","",IF(COUNTIF(Paramètres!$A$11:$A$40,D1700)&gt;0,1,0))</f>
        <v/>
      </c>
    </row>
    <row r="1701" spans="1:12" hidden="1" x14ac:dyDescent="0.25">
      <c r="A1701" s="49"/>
      <c r="B1701" s="49"/>
      <c r="C1701" s="49"/>
      <c r="D1701" s="50" t="str">
        <f t="shared" si="130"/>
        <v/>
      </c>
      <c r="E1701" s="50" t="str">
        <f t="shared" si="131"/>
        <v/>
      </c>
      <c r="F1701" s="50" t="str">
        <f t="shared" si="132"/>
        <v/>
      </c>
      <c r="G1701" s="50" t="str">
        <f t="shared" si="133"/>
        <v/>
      </c>
      <c r="H1701" s="51" t="str">
        <f>IF($C1701="","",IFERROR(DATE(G1701,VLOOKUP(E1701,Paramètres!$K$11:$L$40,2,FALSE()),F1701),"?"))</f>
        <v/>
      </c>
      <c r="I1701" s="50" t="str">
        <f>IF(ISNUMBER(H1701),IF(COUNTIFS($D$2:D1701,D1701,$H$2:H1701,H1701)=1,1,0),"")</f>
        <v/>
      </c>
      <c r="J1701" s="50" t="str">
        <f>IF(ISNUMBER(H1701),IFERROR(INDEX(Calendrier!$C$2:$C$367,MATCH(H1701,Calendrier!$A$2:$A$367,0)),0),"")</f>
        <v/>
      </c>
      <c r="K1701" s="50" t="str">
        <f t="shared" si="134"/>
        <v/>
      </c>
      <c r="L1701" s="50" t="str">
        <f>IF(D1701="","",IF(COUNTIF(Paramètres!$A$11:$A$40,D1701)&gt;0,1,0))</f>
        <v/>
      </c>
    </row>
    <row r="1702" spans="1:12" hidden="1" x14ac:dyDescent="0.25">
      <c r="A1702" s="49"/>
      <c r="B1702" s="49"/>
      <c r="C1702" s="49"/>
      <c r="D1702" s="50" t="str">
        <f t="shared" si="130"/>
        <v/>
      </c>
      <c r="E1702" s="50" t="str">
        <f t="shared" si="131"/>
        <v/>
      </c>
      <c r="F1702" s="50" t="str">
        <f t="shared" si="132"/>
        <v/>
      </c>
      <c r="G1702" s="50" t="str">
        <f t="shared" si="133"/>
        <v/>
      </c>
      <c r="H1702" s="51" t="str">
        <f>IF($C1702="","",IFERROR(DATE(G1702,VLOOKUP(E1702,Paramètres!$K$11:$L$40,2,FALSE()),F1702),"?"))</f>
        <v/>
      </c>
      <c r="I1702" s="50" t="str">
        <f>IF(ISNUMBER(H1702),IF(COUNTIFS($D$2:D1702,D1702,$H$2:H1702,H1702)=1,1,0),"")</f>
        <v/>
      </c>
      <c r="J1702" s="50" t="str">
        <f>IF(ISNUMBER(H1702),IFERROR(INDEX(Calendrier!$C$2:$C$367,MATCH(H1702,Calendrier!$A$2:$A$367,0)),0),"")</f>
        <v/>
      </c>
      <c r="K1702" s="50" t="str">
        <f t="shared" si="134"/>
        <v/>
      </c>
      <c r="L1702" s="50" t="str">
        <f>IF(D1702="","",IF(COUNTIF(Paramètres!$A$11:$A$40,D1702)&gt;0,1,0))</f>
        <v/>
      </c>
    </row>
    <row r="1703" spans="1:12" hidden="1" x14ac:dyDescent="0.25">
      <c r="A1703" s="49"/>
      <c r="B1703" s="49"/>
      <c r="C1703" s="49"/>
      <c r="D1703" s="50" t="str">
        <f t="shared" si="130"/>
        <v/>
      </c>
      <c r="E1703" s="50" t="str">
        <f t="shared" si="131"/>
        <v/>
      </c>
      <c r="F1703" s="50" t="str">
        <f t="shared" si="132"/>
        <v/>
      </c>
      <c r="G1703" s="50" t="str">
        <f t="shared" si="133"/>
        <v/>
      </c>
      <c r="H1703" s="51" t="str">
        <f>IF($C1703="","",IFERROR(DATE(G1703,VLOOKUP(E1703,Paramètres!$K$11:$L$40,2,FALSE()),F1703),"?"))</f>
        <v/>
      </c>
      <c r="I1703" s="50" t="str">
        <f>IF(ISNUMBER(H1703),IF(COUNTIFS($D$2:D1703,D1703,$H$2:H1703,H1703)=1,1,0),"")</f>
        <v/>
      </c>
      <c r="J1703" s="50" t="str">
        <f>IF(ISNUMBER(H1703),IFERROR(INDEX(Calendrier!$C$2:$C$367,MATCH(H1703,Calendrier!$A$2:$A$367,0)),0),"")</f>
        <v/>
      </c>
      <c r="K1703" s="50" t="str">
        <f t="shared" si="134"/>
        <v/>
      </c>
      <c r="L1703" s="50" t="str">
        <f>IF(D1703="","",IF(COUNTIF(Paramètres!$A$11:$A$40,D1703)&gt;0,1,0))</f>
        <v/>
      </c>
    </row>
    <row r="1704" spans="1:12" hidden="1" x14ac:dyDescent="0.25">
      <c r="A1704" s="49"/>
      <c r="B1704" s="49"/>
      <c r="C1704" s="49"/>
      <c r="D1704" s="50" t="str">
        <f t="shared" si="130"/>
        <v/>
      </c>
      <c r="E1704" s="50" t="str">
        <f t="shared" si="131"/>
        <v/>
      </c>
      <c r="F1704" s="50" t="str">
        <f t="shared" si="132"/>
        <v/>
      </c>
      <c r="G1704" s="50" t="str">
        <f t="shared" si="133"/>
        <v/>
      </c>
      <c r="H1704" s="51" t="str">
        <f>IF($C1704="","",IFERROR(DATE(G1704,VLOOKUP(E1704,Paramètres!$K$11:$L$40,2,FALSE()),F1704),"?"))</f>
        <v/>
      </c>
      <c r="I1704" s="50" t="str">
        <f>IF(ISNUMBER(H1704),IF(COUNTIFS($D$2:D1704,D1704,$H$2:H1704,H1704)=1,1,0),"")</f>
        <v/>
      </c>
      <c r="J1704" s="50" t="str">
        <f>IF(ISNUMBER(H1704),IFERROR(INDEX(Calendrier!$C$2:$C$367,MATCH(H1704,Calendrier!$A$2:$A$367,0)),0),"")</f>
        <v/>
      </c>
      <c r="K1704" s="50" t="str">
        <f t="shared" si="134"/>
        <v/>
      </c>
      <c r="L1704" s="50" t="str">
        <f>IF(D1704="","",IF(COUNTIF(Paramètres!$A$11:$A$40,D1704)&gt;0,1,0))</f>
        <v/>
      </c>
    </row>
    <row r="1705" spans="1:12" hidden="1" x14ac:dyDescent="0.25">
      <c r="A1705" s="49"/>
      <c r="B1705" s="49"/>
      <c r="C1705" s="49"/>
      <c r="D1705" s="50" t="str">
        <f t="shared" si="130"/>
        <v/>
      </c>
      <c r="E1705" s="50" t="str">
        <f t="shared" si="131"/>
        <v/>
      </c>
      <c r="F1705" s="50" t="str">
        <f t="shared" si="132"/>
        <v/>
      </c>
      <c r="G1705" s="50" t="str">
        <f t="shared" si="133"/>
        <v/>
      </c>
      <c r="H1705" s="51" t="str">
        <f>IF($C1705="","",IFERROR(DATE(G1705,VLOOKUP(E1705,Paramètres!$K$11:$L$40,2,FALSE()),F1705),"?"))</f>
        <v/>
      </c>
      <c r="I1705" s="50" t="str">
        <f>IF(ISNUMBER(H1705),IF(COUNTIFS($D$2:D1705,D1705,$H$2:H1705,H1705)=1,1,0),"")</f>
        <v/>
      </c>
      <c r="J1705" s="50" t="str">
        <f>IF(ISNUMBER(H1705),IFERROR(INDEX(Calendrier!$C$2:$C$367,MATCH(H1705,Calendrier!$A$2:$A$367,0)),0),"")</f>
        <v/>
      </c>
      <c r="K1705" s="50" t="str">
        <f t="shared" si="134"/>
        <v/>
      </c>
      <c r="L1705" s="50" t="str">
        <f>IF(D1705="","",IF(COUNTIF(Paramètres!$A$11:$A$40,D1705)&gt;0,1,0))</f>
        <v/>
      </c>
    </row>
    <row r="1706" spans="1:12" hidden="1" x14ac:dyDescent="0.25">
      <c r="A1706" s="49"/>
      <c r="B1706" s="49"/>
      <c r="C1706" s="49"/>
      <c r="D1706" s="50" t="str">
        <f t="shared" si="130"/>
        <v/>
      </c>
      <c r="E1706" s="50" t="str">
        <f t="shared" si="131"/>
        <v/>
      </c>
      <c r="F1706" s="50" t="str">
        <f t="shared" si="132"/>
        <v/>
      </c>
      <c r="G1706" s="50" t="str">
        <f t="shared" si="133"/>
        <v/>
      </c>
      <c r="H1706" s="51" t="str">
        <f>IF($C1706="","",IFERROR(DATE(G1706,VLOOKUP(E1706,Paramètres!$K$11:$L$40,2,FALSE()),F1706),"?"))</f>
        <v/>
      </c>
      <c r="I1706" s="50" t="str">
        <f>IF(ISNUMBER(H1706),IF(COUNTIFS($D$2:D1706,D1706,$H$2:H1706,H1706)=1,1,0),"")</f>
        <v/>
      </c>
      <c r="J1706" s="50" t="str">
        <f>IF(ISNUMBER(H1706),IFERROR(INDEX(Calendrier!$C$2:$C$367,MATCH(H1706,Calendrier!$A$2:$A$367,0)),0),"")</f>
        <v/>
      </c>
      <c r="K1706" s="50" t="str">
        <f t="shared" si="134"/>
        <v/>
      </c>
      <c r="L1706" s="50" t="str">
        <f>IF(D1706="","",IF(COUNTIF(Paramètres!$A$11:$A$40,D1706)&gt;0,1,0))</f>
        <v/>
      </c>
    </row>
    <row r="1707" spans="1:12" hidden="1" x14ac:dyDescent="0.25">
      <c r="A1707" s="49"/>
      <c r="B1707" s="49"/>
      <c r="C1707" s="49"/>
      <c r="D1707" s="50" t="str">
        <f t="shared" si="130"/>
        <v/>
      </c>
      <c r="E1707" s="50" t="str">
        <f t="shared" si="131"/>
        <v/>
      </c>
      <c r="F1707" s="50" t="str">
        <f t="shared" si="132"/>
        <v/>
      </c>
      <c r="G1707" s="50" t="str">
        <f t="shared" si="133"/>
        <v/>
      </c>
      <c r="H1707" s="51" t="str">
        <f>IF($C1707="","",IFERROR(DATE(G1707,VLOOKUP(E1707,Paramètres!$K$11:$L$40,2,FALSE()),F1707),"?"))</f>
        <v/>
      </c>
      <c r="I1707" s="50" t="str">
        <f>IF(ISNUMBER(H1707),IF(COUNTIFS($D$2:D1707,D1707,$H$2:H1707,H1707)=1,1,0),"")</f>
        <v/>
      </c>
      <c r="J1707" s="50" t="str">
        <f>IF(ISNUMBER(H1707),IFERROR(INDEX(Calendrier!$C$2:$C$367,MATCH(H1707,Calendrier!$A$2:$A$367,0)),0),"")</f>
        <v/>
      </c>
      <c r="K1707" s="50" t="str">
        <f t="shared" si="134"/>
        <v/>
      </c>
      <c r="L1707" s="50" t="str">
        <f>IF(D1707="","",IF(COUNTIF(Paramètres!$A$11:$A$40,D1707)&gt;0,1,0))</f>
        <v/>
      </c>
    </row>
    <row r="1708" spans="1:12" hidden="1" x14ac:dyDescent="0.25">
      <c r="A1708" s="49"/>
      <c r="B1708" s="49"/>
      <c r="C1708" s="49"/>
      <c r="D1708" s="50" t="str">
        <f t="shared" si="130"/>
        <v/>
      </c>
      <c r="E1708" s="50" t="str">
        <f t="shared" si="131"/>
        <v/>
      </c>
      <c r="F1708" s="50" t="str">
        <f t="shared" si="132"/>
        <v/>
      </c>
      <c r="G1708" s="50" t="str">
        <f t="shared" si="133"/>
        <v/>
      </c>
      <c r="H1708" s="51" t="str">
        <f>IF($C1708="","",IFERROR(DATE(G1708,VLOOKUP(E1708,Paramètres!$K$11:$L$40,2,FALSE()),F1708),"?"))</f>
        <v/>
      </c>
      <c r="I1708" s="50" t="str">
        <f>IF(ISNUMBER(H1708),IF(COUNTIFS($D$2:D1708,D1708,$H$2:H1708,H1708)=1,1,0),"")</f>
        <v/>
      </c>
      <c r="J1708" s="50" t="str">
        <f>IF(ISNUMBER(H1708),IFERROR(INDEX(Calendrier!$C$2:$C$367,MATCH(H1708,Calendrier!$A$2:$A$367,0)),0),"")</f>
        <v/>
      </c>
      <c r="K1708" s="50" t="str">
        <f t="shared" si="134"/>
        <v/>
      </c>
      <c r="L1708" s="50" t="str">
        <f>IF(D1708="","",IF(COUNTIF(Paramètres!$A$11:$A$40,D1708)&gt;0,1,0))</f>
        <v/>
      </c>
    </row>
    <row r="1709" spans="1:12" hidden="1" x14ac:dyDescent="0.25">
      <c r="A1709" s="49"/>
      <c r="B1709" s="49"/>
      <c r="C1709" s="49"/>
      <c r="D1709" s="50" t="str">
        <f t="shared" si="130"/>
        <v/>
      </c>
      <c r="E1709" s="50" t="str">
        <f t="shared" si="131"/>
        <v/>
      </c>
      <c r="F1709" s="50" t="str">
        <f t="shared" si="132"/>
        <v/>
      </c>
      <c r="G1709" s="50" t="str">
        <f t="shared" si="133"/>
        <v/>
      </c>
      <c r="H1709" s="51" t="str">
        <f>IF($C1709="","",IFERROR(DATE(G1709,VLOOKUP(E1709,Paramètres!$K$11:$L$40,2,FALSE()),F1709),"?"))</f>
        <v/>
      </c>
      <c r="I1709" s="50" t="str">
        <f>IF(ISNUMBER(H1709),IF(COUNTIFS($D$2:D1709,D1709,$H$2:H1709,H1709)=1,1,0),"")</f>
        <v/>
      </c>
      <c r="J1709" s="50" t="str">
        <f>IF(ISNUMBER(H1709),IFERROR(INDEX(Calendrier!$C$2:$C$367,MATCH(H1709,Calendrier!$A$2:$A$367,0)),0),"")</f>
        <v/>
      </c>
      <c r="K1709" s="50" t="str">
        <f t="shared" si="134"/>
        <v/>
      </c>
      <c r="L1709" s="50" t="str">
        <f>IF(D1709="","",IF(COUNTIF(Paramètres!$A$11:$A$40,D1709)&gt;0,1,0))</f>
        <v/>
      </c>
    </row>
    <row r="1710" spans="1:12" hidden="1" x14ac:dyDescent="0.25">
      <c r="A1710" s="49"/>
      <c r="B1710" s="49"/>
      <c r="C1710" s="49"/>
      <c r="D1710" s="50" t="str">
        <f t="shared" si="130"/>
        <v/>
      </c>
      <c r="E1710" s="50" t="str">
        <f t="shared" si="131"/>
        <v/>
      </c>
      <c r="F1710" s="50" t="str">
        <f t="shared" si="132"/>
        <v/>
      </c>
      <c r="G1710" s="50" t="str">
        <f t="shared" si="133"/>
        <v/>
      </c>
      <c r="H1710" s="51" t="str">
        <f>IF($C1710="","",IFERROR(DATE(G1710,VLOOKUP(E1710,Paramètres!$K$11:$L$40,2,FALSE()),F1710),"?"))</f>
        <v/>
      </c>
      <c r="I1710" s="50" t="str">
        <f>IF(ISNUMBER(H1710),IF(COUNTIFS($D$2:D1710,D1710,$H$2:H1710,H1710)=1,1,0),"")</f>
        <v/>
      </c>
      <c r="J1710" s="50" t="str">
        <f>IF(ISNUMBER(H1710),IFERROR(INDEX(Calendrier!$C$2:$C$367,MATCH(H1710,Calendrier!$A$2:$A$367,0)),0),"")</f>
        <v/>
      </c>
      <c r="K1710" s="50" t="str">
        <f t="shared" si="134"/>
        <v/>
      </c>
      <c r="L1710" s="50" t="str">
        <f>IF(D1710="","",IF(COUNTIF(Paramètres!$A$11:$A$40,D1710)&gt;0,1,0))</f>
        <v/>
      </c>
    </row>
    <row r="1711" spans="1:12" hidden="1" x14ac:dyDescent="0.25">
      <c r="A1711" s="49"/>
      <c r="B1711" s="49"/>
      <c r="C1711" s="49"/>
      <c r="D1711" s="50" t="str">
        <f t="shared" si="130"/>
        <v/>
      </c>
      <c r="E1711" s="50" t="str">
        <f t="shared" si="131"/>
        <v/>
      </c>
      <c r="F1711" s="50" t="str">
        <f t="shared" si="132"/>
        <v/>
      </c>
      <c r="G1711" s="50" t="str">
        <f t="shared" si="133"/>
        <v/>
      </c>
      <c r="H1711" s="51" t="str">
        <f>IF($C1711="","",IFERROR(DATE(G1711,VLOOKUP(E1711,Paramètres!$K$11:$L$40,2,FALSE()),F1711),"?"))</f>
        <v/>
      </c>
      <c r="I1711" s="50" t="str">
        <f>IF(ISNUMBER(H1711),IF(COUNTIFS($D$2:D1711,D1711,$H$2:H1711,H1711)=1,1,0),"")</f>
        <v/>
      </c>
      <c r="J1711" s="50" t="str">
        <f>IF(ISNUMBER(H1711),IFERROR(INDEX(Calendrier!$C$2:$C$367,MATCH(H1711,Calendrier!$A$2:$A$367,0)),0),"")</f>
        <v/>
      </c>
      <c r="K1711" s="50" t="str">
        <f t="shared" si="134"/>
        <v/>
      </c>
      <c r="L1711" s="50" t="str">
        <f>IF(D1711="","",IF(COUNTIF(Paramètres!$A$11:$A$40,D1711)&gt;0,1,0))</f>
        <v/>
      </c>
    </row>
    <row r="1712" spans="1:12" hidden="1" x14ac:dyDescent="0.25">
      <c r="A1712" s="49"/>
      <c r="B1712" s="49"/>
      <c r="C1712" s="49"/>
      <c r="D1712" s="50" t="str">
        <f t="shared" si="130"/>
        <v/>
      </c>
      <c r="E1712" s="50" t="str">
        <f t="shared" si="131"/>
        <v/>
      </c>
      <c r="F1712" s="50" t="str">
        <f t="shared" si="132"/>
        <v/>
      </c>
      <c r="G1712" s="50" t="str">
        <f t="shared" si="133"/>
        <v/>
      </c>
      <c r="H1712" s="51" t="str">
        <f>IF($C1712="","",IFERROR(DATE(G1712,VLOOKUP(E1712,Paramètres!$K$11:$L$40,2,FALSE()),F1712),"?"))</f>
        <v/>
      </c>
      <c r="I1712" s="50" t="str">
        <f>IF(ISNUMBER(H1712),IF(COUNTIFS($D$2:D1712,D1712,$H$2:H1712,H1712)=1,1,0),"")</f>
        <v/>
      </c>
      <c r="J1712" s="50" t="str">
        <f>IF(ISNUMBER(H1712),IFERROR(INDEX(Calendrier!$C$2:$C$367,MATCH(H1712,Calendrier!$A$2:$A$367,0)),0),"")</f>
        <v/>
      </c>
      <c r="K1712" s="50" t="str">
        <f t="shared" si="134"/>
        <v/>
      </c>
      <c r="L1712" s="50" t="str">
        <f>IF(D1712="","",IF(COUNTIF(Paramètres!$A$11:$A$40,D1712)&gt;0,1,0))</f>
        <v/>
      </c>
    </row>
    <row r="1713" spans="1:12" hidden="1" x14ac:dyDescent="0.25">
      <c r="A1713" s="49"/>
      <c r="B1713" s="49"/>
      <c r="C1713" s="49"/>
      <c r="D1713" s="50" t="str">
        <f t="shared" si="130"/>
        <v/>
      </c>
      <c r="E1713" s="50" t="str">
        <f t="shared" si="131"/>
        <v/>
      </c>
      <c r="F1713" s="50" t="str">
        <f t="shared" si="132"/>
        <v/>
      </c>
      <c r="G1713" s="50" t="str">
        <f t="shared" si="133"/>
        <v/>
      </c>
      <c r="H1713" s="51" t="str">
        <f>IF($C1713="","",IFERROR(DATE(G1713,VLOOKUP(E1713,Paramètres!$K$11:$L$40,2,FALSE()),F1713),"?"))</f>
        <v/>
      </c>
      <c r="I1713" s="50" t="str">
        <f>IF(ISNUMBER(H1713),IF(COUNTIFS($D$2:D1713,D1713,$H$2:H1713,H1713)=1,1,0),"")</f>
        <v/>
      </c>
      <c r="J1713" s="50" t="str">
        <f>IF(ISNUMBER(H1713),IFERROR(INDEX(Calendrier!$C$2:$C$367,MATCH(H1713,Calendrier!$A$2:$A$367,0)),0),"")</f>
        <v/>
      </c>
      <c r="K1713" s="50" t="str">
        <f t="shared" si="134"/>
        <v/>
      </c>
      <c r="L1713" s="50" t="str">
        <f>IF(D1713="","",IF(COUNTIF(Paramètres!$A$11:$A$40,D1713)&gt;0,1,0))</f>
        <v/>
      </c>
    </row>
    <row r="1714" spans="1:12" hidden="1" x14ac:dyDescent="0.25">
      <c r="A1714" s="49"/>
      <c r="B1714" s="49"/>
      <c r="C1714" s="49"/>
      <c r="D1714" s="50" t="str">
        <f t="shared" si="130"/>
        <v/>
      </c>
      <c r="E1714" s="50" t="str">
        <f t="shared" si="131"/>
        <v/>
      </c>
      <c r="F1714" s="50" t="str">
        <f t="shared" si="132"/>
        <v/>
      </c>
      <c r="G1714" s="50" t="str">
        <f t="shared" si="133"/>
        <v/>
      </c>
      <c r="H1714" s="51" t="str">
        <f>IF($C1714="","",IFERROR(DATE(G1714,VLOOKUP(E1714,Paramètres!$K$11:$L$40,2,FALSE()),F1714),"?"))</f>
        <v/>
      </c>
      <c r="I1714" s="50" t="str">
        <f>IF(ISNUMBER(H1714),IF(COUNTIFS($D$2:D1714,D1714,$H$2:H1714,H1714)=1,1,0),"")</f>
        <v/>
      </c>
      <c r="J1714" s="50" t="str">
        <f>IF(ISNUMBER(H1714),IFERROR(INDEX(Calendrier!$C$2:$C$367,MATCH(H1714,Calendrier!$A$2:$A$367,0)),0),"")</f>
        <v/>
      </c>
      <c r="K1714" s="50" t="str">
        <f t="shared" si="134"/>
        <v/>
      </c>
      <c r="L1714" s="50" t="str">
        <f>IF(D1714="","",IF(COUNTIF(Paramètres!$A$11:$A$40,D1714)&gt;0,1,0))</f>
        <v/>
      </c>
    </row>
    <row r="1715" spans="1:12" hidden="1" x14ac:dyDescent="0.25">
      <c r="A1715" s="49"/>
      <c r="B1715" s="49"/>
      <c r="C1715" s="49"/>
      <c r="D1715" s="50" t="str">
        <f t="shared" si="130"/>
        <v/>
      </c>
      <c r="E1715" s="50" t="str">
        <f t="shared" si="131"/>
        <v/>
      </c>
      <c r="F1715" s="50" t="str">
        <f t="shared" si="132"/>
        <v/>
      </c>
      <c r="G1715" s="50" t="str">
        <f t="shared" si="133"/>
        <v/>
      </c>
      <c r="H1715" s="51" t="str">
        <f>IF($C1715="","",IFERROR(DATE(G1715,VLOOKUP(E1715,Paramètres!$K$11:$L$40,2,FALSE()),F1715),"?"))</f>
        <v/>
      </c>
      <c r="I1715" s="50" t="str">
        <f>IF(ISNUMBER(H1715),IF(COUNTIFS($D$2:D1715,D1715,$H$2:H1715,H1715)=1,1,0),"")</f>
        <v/>
      </c>
      <c r="J1715" s="50" t="str">
        <f>IF(ISNUMBER(H1715),IFERROR(INDEX(Calendrier!$C$2:$C$367,MATCH(H1715,Calendrier!$A$2:$A$367,0)),0),"")</f>
        <v/>
      </c>
      <c r="K1715" s="50" t="str">
        <f t="shared" si="134"/>
        <v/>
      </c>
      <c r="L1715" s="50" t="str">
        <f>IF(D1715="","",IF(COUNTIF(Paramètres!$A$11:$A$40,D1715)&gt;0,1,0))</f>
        <v/>
      </c>
    </row>
    <row r="1716" spans="1:12" hidden="1" x14ac:dyDescent="0.25">
      <c r="A1716" s="49"/>
      <c r="B1716" s="49"/>
      <c r="C1716" s="49"/>
      <c r="D1716" s="50" t="str">
        <f t="shared" si="130"/>
        <v/>
      </c>
      <c r="E1716" s="50" t="str">
        <f t="shared" si="131"/>
        <v/>
      </c>
      <c r="F1716" s="50" t="str">
        <f t="shared" si="132"/>
        <v/>
      </c>
      <c r="G1716" s="50" t="str">
        <f t="shared" si="133"/>
        <v/>
      </c>
      <c r="H1716" s="51" t="str">
        <f>IF($C1716="","",IFERROR(DATE(G1716,VLOOKUP(E1716,Paramètres!$K$11:$L$40,2,FALSE()),F1716),"?"))</f>
        <v/>
      </c>
      <c r="I1716" s="50" t="str">
        <f>IF(ISNUMBER(H1716),IF(COUNTIFS($D$2:D1716,D1716,$H$2:H1716,H1716)=1,1,0),"")</f>
        <v/>
      </c>
      <c r="J1716" s="50" t="str">
        <f>IF(ISNUMBER(H1716),IFERROR(INDEX(Calendrier!$C$2:$C$367,MATCH(H1716,Calendrier!$A$2:$A$367,0)),0),"")</f>
        <v/>
      </c>
      <c r="K1716" s="50" t="str">
        <f t="shared" si="134"/>
        <v/>
      </c>
      <c r="L1716" s="50" t="str">
        <f>IF(D1716="","",IF(COUNTIF(Paramètres!$A$11:$A$40,D1716)&gt;0,1,0))</f>
        <v/>
      </c>
    </row>
    <row r="1717" spans="1:12" hidden="1" x14ac:dyDescent="0.25">
      <c r="A1717" s="49"/>
      <c r="B1717" s="49"/>
      <c r="C1717" s="49"/>
      <c r="D1717" s="50" t="str">
        <f t="shared" si="130"/>
        <v/>
      </c>
      <c r="E1717" s="50" t="str">
        <f t="shared" si="131"/>
        <v/>
      </c>
      <c r="F1717" s="50" t="str">
        <f t="shared" si="132"/>
        <v/>
      </c>
      <c r="G1717" s="50" t="str">
        <f t="shared" si="133"/>
        <v/>
      </c>
      <c r="H1717" s="51" t="str">
        <f>IF($C1717="","",IFERROR(DATE(G1717,VLOOKUP(E1717,Paramètres!$K$11:$L$40,2,FALSE()),F1717),"?"))</f>
        <v/>
      </c>
      <c r="I1717" s="50" t="str">
        <f>IF(ISNUMBER(H1717),IF(COUNTIFS($D$2:D1717,D1717,$H$2:H1717,H1717)=1,1,0),"")</f>
        <v/>
      </c>
      <c r="J1717" s="50" t="str">
        <f>IF(ISNUMBER(H1717),IFERROR(INDEX(Calendrier!$C$2:$C$367,MATCH(H1717,Calendrier!$A$2:$A$367,0)),0),"")</f>
        <v/>
      </c>
      <c r="K1717" s="50" t="str">
        <f t="shared" si="134"/>
        <v/>
      </c>
      <c r="L1717" s="50" t="str">
        <f>IF(D1717="","",IF(COUNTIF(Paramètres!$A$11:$A$40,D1717)&gt;0,1,0))</f>
        <v/>
      </c>
    </row>
    <row r="1718" spans="1:12" hidden="1" x14ac:dyDescent="0.25">
      <c r="A1718" s="49"/>
      <c r="B1718" s="49"/>
      <c r="C1718" s="49"/>
      <c r="D1718" s="50" t="str">
        <f t="shared" si="130"/>
        <v/>
      </c>
      <c r="E1718" s="50" t="str">
        <f t="shared" si="131"/>
        <v/>
      </c>
      <c r="F1718" s="50" t="str">
        <f t="shared" si="132"/>
        <v/>
      </c>
      <c r="G1718" s="50" t="str">
        <f t="shared" si="133"/>
        <v/>
      </c>
      <c r="H1718" s="51" t="str">
        <f>IF($C1718="","",IFERROR(DATE(G1718,VLOOKUP(E1718,Paramètres!$K$11:$L$40,2,FALSE()),F1718),"?"))</f>
        <v/>
      </c>
      <c r="I1718" s="50" t="str">
        <f>IF(ISNUMBER(H1718),IF(COUNTIFS($D$2:D1718,D1718,$H$2:H1718,H1718)=1,1,0),"")</f>
        <v/>
      </c>
      <c r="J1718" s="50" t="str">
        <f>IF(ISNUMBER(H1718),IFERROR(INDEX(Calendrier!$C$2:$C$367,MATCH(H1718,Calendrier!$A$2:$A$367,0)),0),"")</f>
        <v/>
      </c>
      <c r="K1718" s="50" t="str">
        <f t="shared" si="134"/>
        <v/>
      </c>
      <c r="L1718" s="50" t="str">
        <f>IF(D1718="","",IF(COUNTIF(Paramètres!$A$11:$A$40,D1718)&gt;0,1,0))</f>
        <v/>
      </c>
    </row>
    <row r="1719" spans="1:12" hidden="1" x14ac:dyDescent="0.25">
      <c r="A1719" s="49"/>
      <c r="B1719" s="49"/>
      <c r="C1719" s="49"/>
      <c r="D1719" s="50" t="str">
        <f t="shared" si="130"/>
        <v/>
      </c>
      <c r="E1719" s="50" t="str">
        <f t="shared" si="131"/>
        <v/>
      </c>
      <c r="F1719" s="50" t="str">
        <f t="shared" si="132"/>
        <v/>
      </c>
      <c r="G1719" s="50" t="str">
        <f t="shared" si="133"/>
        <v/>
      </c>
      <c r="H1719" s="51" t="str">
        <f>IF($C1719="","",IFERROR(DATE(G1719,VLOOKUP(E1719,Paramètres!$K$11:$L$40,2,FALSE()),F1719),"?"))</f>
        <v/>
      </c>
      <c r="I1719" s="50" t="str">
        <f>IF(ISNUMBER(H1719),IF(COUNTIFS($D$2:D1719,D1719,$H$2:H1719,H1719)=1,1,0),"")</f>
        <v/>
      </c>
      <c r="J1719" s="50" t="str">
        <f>IF(ISNUMBER(H1719),IFERROR(INDEX(Calendrier!$C$2:$C$367,MATCH(H1719,Calendrier!$A$2:$A$367,0)),0),"")</f>
        <v/>
      </c>
      <c r="K1719" s="50" t="str">
        <f t="shared" si="134"/>
        <v/>
      </c>
      <c r="L1719" s="50" t="str">
        <f>IF(D1719="","",IF(COUNTIF(Paramètres!$A$11:$A$40,D1719)&gt;0,1,0))</f>
        <v/>
      </c>
    </row>
    <row r="1720" spans="1:12" hidden="1" x14ac:dyDescent="0.25">
      <c r="A1720" s="49"/>
      <c r="B1720" s="49"/>
      <c r="C1720" s="49"/>
      <c r="D1720" s="50" t="str">
        <f t="shared" si="130"/>
        <v/>
      </c>
      <c r="E1720" s="50" t="str">
        <f t="shared" si="131"/>
        <v/>
      </c>
      <c r="F1720" s="50" t="str">
        <f t="shared" si="132"/>
        <v/>
      </c>
      <c r="G1720" s="50" t="str">
        <f t="shared" si="133"/>
        <v/>
      </c>
      <c r="H1720" s="51" t="str">
        <f>IF($C1720="","",IFERROR(DATE(G1720,VLOOKUP(E1720,Paramètres!$K$11:$L$40,2,FALSE()),F1720),"?"))</f>
        <v/>
      </c>
      <c r="I1720" s="50" t="str">
        <f>IF(ISNUMBER(H1720),IF(COUNTIFS($D$2:D1720,D1720,$H$2:H1720,H1720)=1,1,0),"")</f>
        <v/>
      </c>
      <c r="J1720" s="50" t="str">
        <f>IF(ISNUMBER(H1720),IFERROR(INDEX(Calendrier!$C$2:$C$367,MATCH(H1720,Calendrier!$A$2:$A$367,0)),0),"")</f>
        <v/>
      </c>
      <c r="K1720" s="50" t="str">
        <f t="shared" si="134"/>
        <v/>
      </c>
      <c r="L1720" s="50" t="str">
        <f>IF(D1720="","",IF(COUNTIF(Paramètres!$A$11:$A$40,D1720)&gt;0,1,0))</f>
        <v/>
      </c>
    </row>
    <row r="1721" spans="1:12" hidden="1" x14ac:dyDescent="0.25">
      <c r="A1721" s="49"/>
      <c r="B1721" s="49"/>
      <c r="C1721" s="49"/>
      <c r="D1721" s="50" t="str">
        <f t="shared" si="130"/>
        <v/>
      </c>
      <c r="E1721" s="50" t="str">
        <f t="shared" si="131"/>
        <v/>
      </c>
      <c r="F1721" s="50" t="str">
        <f t="shared" si="132"/>
        <v/>
      </c>
      <c r="G1721" s="50" t="str">
        <f t="shared" si="133"/>
        <v/>
      </c>
      <c r="H1721" s="51" t="str">
        <f>IF($C1721="","",IFERROR(DATE(G1721,VLOOKUP(E1721,Paramètres!$K$11:$L$40,2,FALSE()),F1721),"?"))</f>
        <v/>
      </c>
      <c r="I1721" s="50" t="str">
        <f>IF(ISNUMBER(H1721),IF(COUNTIFS($D$2:D1721,D1721,$H$2:H1721,H1721)=1,1,0),"")</f>
        <v/>
      </c>
      <c r="J1721" s="50" t="str">
        <f>IF(ISNUMBER(H1721),IFERROR(INDEX(Calendrier!$C$2:$C$367,MATCH(H1721,Calendrier!$A$2:$A$367,0)),0),"")</f>
        <v/>
      </c>
      <c r="K1721" s="50" t="str">
        <f t="shared" si="134"/>
        <v/>
      </c>
      <c r="L1721" s="50" t="str">
        <f>IF(D1721="","",IF(COUNTIF(Paramètres!$A$11:$A$40,D1721)&gt;0,1,0))</f>
        <v/>
      </c>
    </row>
    <row r="1722" spans="1:12" hidden="1" x14ac:dyDescent="0.25">
      <c r="A1722" s="49"/>
      <c r="B1722" s="49"/>
      <c r="C1722" s="49"/>
      <c r="D1722" s="50" t="str">
        <f t="shared" si="130"/>
        <v/>
      </c>
      <c r="E1722" s="50" t="str">
        <f t="shared" si="131"/>
        <v/>
      </c>
      <c r="F1722" s="50" t="str">
        <f t="shared" si="132"/>
        <v/>
      </c>
      <c r="G1722" s="50" t="str">
        <f t="shared" si="133"/>
        <v/>
      </c>
      <c r="H1722" s="51" t="str">
        <f>IF($C1722="","",IFERROR(DATE(G1722,VLOOKUP(E1722,Paramètres!$K$11:$L$40,2,FALSE()),F1722),"?"))</f>
        <v/>
      </c>
      <c r="I1722" s="50" t="str">
        <f>IF(ISNUMBER(H1722),IF(COUNTIFS($D$2:D1722,D1722,$H$2:H1722,H1722)=1,1,0),"")</f>
        <v/>
      </c>
      <c r="J1722" s="50" t="str">
        <f>IF(ISNUMBER(H1722),IFERROR(INDEX(Calendrier!$C$2:$C$367,MATCH(H1722,Calendrier!$A$2:$A$367,0)),0),"")</f>
        <v/>
      </c>
      <c r="K1722" s="50" t="str">
        <f t="shared" si="134"/>
        <v/>
      </c>
      <c r="L1722" s="50" t="str">
        <f>IF(D1722="","",IF(COUNTIF(Paramètres!$A$11:$A$40,D1722)&gt;0,1,0))</f>
        <v/>
      </c>
    </row>
    <row r="1723" spans="1:12" hidden="1" x14ac:dyDescent="0.25">
      <c r="A1723" s="49"/>
      <c r="B1723" s="49"/>
      <c r="C1723" s="49"/>
      <c r="D1723" s="50" t="str">
        <f t="shared" si="130"/>
        <v/>
      </c>
      <c r="E1723" s="50" t="str">
        <f t="shared" si="131"/>
        <v/>
      </c>
      <c r="F1723" s="50" t="str">
        <f t="shared" si="132"/>
        <v/>
      </c>
      <c r="G1723" s="50" t="str">
        <f t="shared" si="133"/>
        <v/>
      </c>
      <c r="H1723" s="51" t="str">
        <f>IF($C1723="","",IFERROR(DATE(G1723,VLOOKUP(E1723,Paramètres!$K$11:$L$40,2,FALSE()),F1723),"?"))</f>
        <v/>
      </c>
      <c r="I1723" s="50" t="str">
        <f>IF(ISNUMBER(H1723),IF(COUNTIFS($D$2:D1723,D1723,$H$2:H1723,H1723)=1,1,0),"")</f>
        <v/>
      </c>
      <c r="J1723" s="50" t="str">
        <f>IF(ISNUMBER(H1723),IFERROR(INDEX(Calendrier!$C$2:$C$367,MATCH(H1723,Calendrier!$A$2:$A$367,0)),0),"")</f>
        <v/>
      </c>
      <c r="K1723" s="50" t="str">
        <f t="shared" si="134"/>
        <v/>
      </c>
      <c r="L1723" s="50" t="str">
        <f>IF(D1723="","",IF(COUNTIF(Paramètres!$A$11:$A$40,D1723)&gt;0,1,0))</f>
        <v/>
      </c>
    </row>
    <row r="1724" spans="1:12" hidden="1" x14ac:dyDescent="0.25">
      <c r="A1724" s="49"/>
      <c r="B1724" s="49"/>
      <c r="C1724" s="49"/>
      <c r="D1724" s="50" t="str">
        <f t="shared" si="130"/>
        <v/>
      </c>
      <c r="E1724" s="50" t="str">
        <f t="shared" si="131"/>
        <v/>
      </c>
      <c r="F1724" s="50" t="str">
        <f t="shared" si="132"/>
        <v/>
      </c>
      <c r="G1724" s="50" t="str">
        <f t="shared" si="133"/>
        <v/>
      </c>
      <c r="H1724" s="51" t="str">
        <f>IF($C1724="","",IFERROR(DATE(G1724,VLOOKUP(E1724,Paramètres!$K$11:$L$40,2,FALSE()),F1724),"?"))</f>
        <v/>
      </c>
      <c r="I1724" s="50" t="str">
        <f>IF(ISNUMBER(H1724),IF(COUNTIFS($D$2:D1724,D1724,$H$2:H1724,H1724)=1,1,0),"")</f>
        <v/>
      </c>
      <c r="J1724" s="50" t="str">
        <f>IF(ISNUMBER(H1724),IFERROR(INDEX(Calendrier!$C$2:$C$367,MATCH(H1724,Calendrier!$A$2:$A$367,0)),0),"")</f>
        <v/>
      </c>
      <c r="K1724" s="50" t="str">
        <f t="shared" si="134"/>
        <v/>
      </c>
      <c r="L1724" s="50" t="str">
        <f>IF(D1724="","",IF(COUNTIF(Paramètres!$A$11:$A$40,D1724)&gt;0,1,0))</f>
        <v/>
      </c>
    </row>
    <row r="1725" spans="1:12" hidden="1" x14ac:dyDescent="0.25">
      <c r="A1725" s="49"/>
      <c r="B1725" s="49"/>
      <c r="C1725" s="49"/>
      <c r="D1725" s="50" t="str">
        <f t="shared" si="130"/>
        <v/>
      </c>
      <c r="E1725" s="50" t="str">
        <f t="shared" si="131"/>
        <v/>
      </c>
      <c r="F1725" s="50" t="str">
        <f t="shared" si="132"/>
        <v/>
      </c>
      <c r="G1725" s="50" t="str">
        <f t="shared" si="133"/>
        <v/>
      </c>
      <c r="H1725" s="51" t="str">
        <f>IF($C1725="","",IFERROR(DATE(G1725,VLOOKUP(E1725,Paramètres!$K$11:$L$40,2,FALSE()),F1725),"?"))</f>
        <v/>
      </c>
      <c r="I1725" s="50" t="str">
        <f>IF(ISNUMBER(H1725),IF(COUNTIFS($D$2:D1725,D1725,$H$2:H1725,H1725)=1,1,0),"")</f>
        <v/>
      </c>
      <c r="J1725" s="50" t="str">
        <f>IF(ISNUMBER(H1725),IFERROR(INDEX(Calendrier!$C$2:$C$367,MATCH(H1725,Calendrier!$A$2:$A$367,0)),0),"")</f>
        <v/>
      </c>
      <c r="K1725" s="50" t="str">
        <f t="shared" si="134"/>
        <v/>
      </c>
      <c r="L1725" s="50" t="str">
        <f>IF(D1725="","",IF(COUNTIF(Paramètres!$A$11:$A$40,D1725)&gt;0,1,0))</f>
        <v/>
      </c>
    </row>
    <row r="1726" spans="1:12" hidden="1" x14ac:dyDescent="0.25">
      <c r="A1726" s="49"/>
      <c r="B1726" s="49"/>
      <c r="C1726" s="49"/>
      <c r="D1726" s="50" t="str">
        <f t="shared" si="130"/>
        <v/>
      </c>
      <c r="E1726" s="50" t="str">
        <f t="shared" si="131"/>
        <v/>
      </c>
      <c r="F1726" s="50" t="str">
        <f t="shared" si="132"/>
        <v/>
      </c>
      <c r="G1726" s="50" t="str">
        <f t="shared" si="133"/>
        <v/>
      </c>
      <c r="H1726" s="51" t="str">
        <f>IF($C1726="","",IFERROR(DATE(G1726,VLOOKUP(E1726,Paramètres!$K$11:$L$40,2,FALSE()),F1726),"?"))</f>
        <v/>
      </c>
      <c r="I1726" s="50" t="str">
        <f>IF(ISNUMBER(H1726),IF(COUNTIFS($D$2:D1726,D1726,$H$2:H1726,H1726)=1,1,0),"")</f>
        <v/>
      </c>
      <c r="J1726" s="50" t="str">
        <f>IF(ISNUMBER(H1726),IFERROR(INDEX(Calendrier!$C$2:$C$367,MATCH(H1726,Calendrier!$A$2:$A$367,0)),0),"")</f>
        <v/>
      </c>
      <c r="K1726" s="50" t="str">
        <f t="shared" si="134"/>
        <v/>
      </c>
      <c r="L1726" s="50" t="str">
        <f>IF(D1726="","",IF(COUNTIF(Paramètres!$A$11:$A$40,D1726)&gt;0,1,0))</f>
        <v/>
      </c>
    </row>
    <row r="1727" spans="1:12" hidden="1" x14ac:dyDescent="0.25">
      <c r="A1727" s="49"/>
      <c r="B1727" s="49"/>
      <c r="C1727" s="49"/>
      <c r="D1727" s="50" t="str">
        <f t="shared" si="130"/>
        <v/>
      </c>
      <c r="E1727" s="50" t="str">
        <f t="shared" si="131"/>
        <v/>
      </c>
      <c r="F1727" s="50" t="str">
        <f t="shared" si="132"/>
        <v/>
      </c>
      <c r="G1727" s="50" t="str">
        <f t="shared" si="133"/>
        <v/>
      </c>
      <c r="H1727" s="51" t="str">
        <f>IF($C1727="","",IFERROR(DATE(G1727,VLOOKUP(E1727,Paramètres!$K$11:$L$40,2,FALSE()),F1727),"?"))</f>
        <v/>
      </c>
      <c r="I1727" s="50" t="str">
        <f>IF(ISNUMBER(H1727),IF(COUNTIFS($D$2:D1727,D1727,$H$2:H1727,H1727)=1,1,0),"")</f>
        <v/>
      </c>
      <c r="J1727" s="50" t="str">
        <f>IF(ISNUMBER(H1727),IFERROR(INDEX(Calendrier!$C$2:$C$367,MATCH(H1727,Calendrier!$A$2:$A$367,0)),0),"")</f>
        <v/>
      </c>
      <c r="K1727" s="50" t="str">
        <f t="shared" si="134"/>
        <v/>
      </c>
      <c r="L1727" s="50" t="str">
        <f>IF(D1727="","",IF(COUNTIF(Paramètres!$A$11:$A$40,D1727)&gt;0,1,0))</f>
        <v/>
      </c>
    </row>
    <row r="1728" spans="1:12" hidden="1" x14ac:dyDescent="0.25">
      <c r="A1728" s="49"/>
      <c r="B1728" s="49"/>
      <c r="C1728" s="49"/>
      <c r="D1728" s="50" t="str">
        <f t="shared" si="130"/>
        <v/>
      </c>
      <c r="E1728" s="50" t="str">
        <f t="shared" si="131"/>
        <v/>
      </c>
      <c r="F1728" s="50" t="str">
        <f t="shared" si="132"/>
        <v/>
      </c>
      <c r="G1728" s="50" t="str">
        <f t="shared" si="133"/>
        <v/>
      </c>
      <c r="H1728" s="51" t="str">
        <f>IF($C1728="","",IFERROR(DATE(G1728,VLOOKUP(E1728,Paramètres!$K$11:$L$40,2,FALSE()),F1728),"?"))</f>
        <v/>
      </c>
      <c r="I1728" s="50" t="str">
        <f>IF(ISNUMBER(H1728),IF(COUNTIFS($D$2:D1728,D1728,$H$2:H1728,H1728)=1,1,0),"")</f>
        <v/>
      </c>
      <c r="J1728" s="50" t="str">
        <f>IF(ISNUMBER(H1728),IFERROR(INDEX(Calendrier!$C$2:$C$367,MATCH(H1728,Calendrier!$A$2:$A$367,0)),0),"")</f>
        <v/>
      </c>
      <c r="K1728" s="50" t="str">
        <f t="shared" si="134"/>
        <v/>
      </c>
      <c r="L1728" s="50" t="str">
        <f>IF(D1728="","",IF(COUNTIF(Paramètres!$A$11:$A$40,D1728)&gt;0,1,0))</f>
        <v/>
      </c>
    </row>
    <row r="1729" spans="1:12" hidden="1" x14ac:dyDescent="0.25">
      <c r="A1729" s="49"/>
      <c r="B1729" s="49"/>
      <c r="C1729" s="49"/>
      <c r="D1729" s="50" t="str">
        <f t="shared" si="130"/>
        <v/>
      </c>
      <c r="E1729" s="50" t="str">
        <f t="shared" si="131"/>
        <v/>
      </c>
      <c r="F1729" s="50" t="str">
        <f t="shared" si="132"/>
        <v/>
      </c>
      <c r="G1729" s="50" t="str">
        <f t="shared" si="133"/>
        <v/>
      </c>
      <c r="H1729" s="51" t="str">
        <f>IF($C1729="","",IFERROR(DATE(G1729,VLOOKUP(E1729,Paramètres!$K$11:$L$40,2,FALSE()),F1729),"?"))</f>
        <v/>
      </c>
      <c r="I1729" s="50" t="str">
        <f>IF(ISNUMBER(H1729),IF(COUNTIFS($D$2:D1729,D1729,$H$2:H1729,H1729)=1,1,0),"")</f>
        <v/>
      </c>
      <c r="J1729" s="50" t="str">
        <f>IF(ISNUMBER(H1729),IFERROR(INDEX(Calendrier!$C$2:$C$367,MATCH(H1729,Calendrier!$A$2:$A$367,0)),0),"")</f>
        <v/>
      </c>
      <c r="K1729" s="50" t="str">
        <f t="shared" si="134"/>
        <v/>
      </c>
      <c r="L1729" s="50" t="str">
        <f>IF(D1729="","",IF(COUNTIF(Paramètres!$A$11:$A$40,D1729)&gt;0,1,0))</f>
        <v/>
      </c>
    </row>
    <row r="1730" spans="1:12" hidden="1" x14ac:dyDescent="0.25">
      <c r="A1730" s="49"/>
      <c r="B1730" s="49"/>
      <c r="C1730" s="49"/>
      <c r="D1730" s="50" t="str">
        <f t="shared" ref="D1730:D1793" si="135">IF(B1730="","",TRIM(B1730))</f>
        <v/>
      </c>
      <c r="E1730" s="50" t="str">
        <f t="shared" ref="E1730:E1793" si="136">IF($C1730="","",LEFT($C1730,FIND(" ",$C1730)-1))</f>
        <v/>
      </c>
      <c r="F1730" s="50" t="str">
        <f t="shared" ref="F1730:F1793" si="137">IF($C1730="","",IFERROR(VALUE(LEFT(MID($C1730,FIND(" ",$C1730)+1,20),FIND(" ",MID($C1730,FIND(" ",$C1730)+1,20))-1)),"?"))</f>
        <v/>
      </c>
      <c r="G1730" s="50" t="str">
        <f t="shared" ref="G1730:G1793" si="138">IF($C1730="","",IFERROR(VALUE(MID(MID($C1730,FIND(" ",$C1730)+1,20),FIND(" ",MID($C1730,FIND(" ",$C1730)+1,20))+1,4)),"?"))</f>
        <v/>
      </c>
      <c r="H1730" s="51" t="str">
        <f>IF($C1730="","",IFERROR(DATE(G1730,VLOOKUP(E1730,Paramètres!$K$11:$L$40,2,FALSE()),F1730),"?"))</f>
        <v/>
      </c>
      <c r="I1730" s="50" t="str">
        <f>IF(ISNUMBER(H1730),IF(COUNTIFS($D$2:D1730,D1730,$H$2:H1730,H1730)=1,1,0),"")</f>
        <v/>
      </c>
      <c r="J1730" s="50" t="str">
        <f>IF(ISNUMBER(H1730),IFERROR(INDEX(Calendrier!$C$2:$C$367,MATCH(H1730,Calendrier!$A$2:$A$367,0)),0),"")</f>
        <v/>
      </c>
      <c r="K1730" s="50" t="str">
        <f t="shared" ref="K1730:K1793" si="139">IF(ISNUMBER(H1730),I1730*J1730,"")</f>
        <v/>
      </c>
      <c r="L1730" s="50" t="str">
        <f>IF(D1730="","",IF(COUNTIF(Paramètres!$A$11:$A$40,D1730)&gt;0,1,0))</f>
        <v/>
      </c>
    </row>
    <row r="1731" spans="1:12" hidden="1" x14ac:dyDescent="0.25">
      <c r="A1731" s="49"/>
      <c r="B1731" s="49"/>
      <c r="C1731" s="49"/>
      <c r="D1731" s="50" t="str">
        <f t="shared" si="135"/>
        <v/>
      </c>
      <c r="E1731" s="50" t="str">
        <f t="shared" si="136"/>
        <v/>
      </c>
      <c r="F1731" s="50" t="str">
        <f t="shared" si="137"/>
        <v/>
      </c>
      <c r="G1731" s="50" t="str">
        <f t="shared" si="138"/>
        <v/>
      </c>
      <c r="H1731" s="51" t="str">
        <f>IF($C1731="","",IFERROR(DATE(G1731,VLOOKUP(E1731,Paramètres!$K$11:$L$40,2,FALSE()),F1731),"?"))</f>
        <v/>
      </c>
      <c r="I1731" s="50" t="str">
        <f>IF(ISNUMBER(H1731),IF(COUNTIFS($D$2:D1731,D1731,$H$2:H1731,H1731)=1,1,0),"")</f>
        <v/>
      </c>
      <c r="J1731" s="50" t="str">
        <f>IF(ISNUMBER(H1731),IFERROR(INDEX(Calendrier!$C$2:$C$367,MATCH(H1731,Calendrier!$A$2:$A$367,0)),0),"")</f>
        <v/>
      </c>
      <c r="K1731" s="50" t="str">
        <f t="shared" si="139"/>
        <v/>
      </c>
      <c r="L1731" s="50" t="str">
        <f>IF(D1731="","",IF(COUNTIF(Paramètres!$A$11:$A$40,D1731)&gt;0,1,0))</f>
        <v/>
      </c>
    </row>
    <row r="1732" spans="1:12" hidden="1" x14ac:dyDescent="0.25">
      <c r="A1732" s="49"/>
      <c r="B1732" s="49"/>
      <c r="C1732" s="49"/>
      <c r="D1732" s="50" t="str">
        <f t="shared" si="135"/>
        <v/>
      </c>
      <c r="E1732" s="50" t="str">
        <f t="shared" si="136"/>
        <v/>
      </c>
      <c r="F1732" s="50" t="str">
        <f t="shared" si="137"/>
        <v/>
      </c>
      <c r="G1732" s="50" t="str">
        <f t="shared" si="138"/>
        <v/>
      </c>
      <c r="H1732" s="51" t="str">
        <f>IF($C1732="","",IFERROR(DATE(G1732,VLOOKUP(E1732,Paramètres!$K$11:$L$40,2,FALSE()),F1732),"?"))</f>
        <v/>
      </c>
      <c r="I1732" s="50" t="str">
        <f>IF(ISNUMBER(H1732),IF(COUNTIFS($D$2:D1732,D1732,$H$2:H1732,H1732)=1,1,0),"")</f>
        <v/>
      </c>
      <c r="J1732" s="50" t="str">
        <f>IF(ISNUMBER(H1732),IFERROR(INDEX(Calendrier!$C$2:$C$367,MATCH(H1732,Calendrier!$A$2:$A$367,0)),0),"")</f>
        <v/>
      </c>
      <c r="K1732" s="50" t="str">
        <f t="shared" si="139"/>
        <v/>
      </c>
      <c r="L1732" s="50" t="str">
        <f>IF(D1732="","",IF(COUNTIF(Paramètres!$A$11:$A$40,D1732)&gt;0,1,0))</f>
        <v/>
      </c>
    </row>
    <row r="1733" spans="1:12" hidden="1" x14ac:dyDescent="0.25">
      <c r="A1733" s="49"/>
      <c r="B1733" s="49"/>
      <c r="C1733" s="49"/>
      <c r="D1733" s="50" t="str">
        <f t="shared" si="135"/>
        <v/>
      </c>
      <c r="E1733" s="50" t="str">
        <f t="shared" si="136"/>
        <v/>
      </c>
      <c r="F1733" s="50" t="str">
        <f t="shared" si="137"/>
        <v/>
      </c>
      <c r="G1733" s="50" t="str">
        <f t="shared" si="138"/>
        <v/>
      </c>
      <c r="H1733" s="51" t="str">
        <f>IF($C1733="","",IFERROR(DATE(G1733,VLOOKUP(E1733,Paramètres!$K$11:$L$40,2,FALSE()),F1733),"?"))</f>
        <v/>
      </c>
      <c r="I1733" s="50" t="str">
        <f>IF(ISNUMBER(H1733),IF(COUNTIFS($D$2:D1733,D1733,$H$2:H1733,H1733)=1,1,0),"")</f>
        <v/>
      </c>
      <c r="J1733" s="50" t="str">
        <f>IF(ISNUMBER(H1733),IFERROR(INDEX(Calendrier!$C$2:$C$367,MATCH(H1733,Calendrier!$A$2:$A$367,0)),0),"")</f>
        <v/>
      </c>
      <c r="K1733" s="50" t="str">
        <f t="shared" si="139"/>
        <v/>
      </c>
      <c r="L1733" s="50" t="str">
        <f>IF(D1733="","",IF(COUNTIF(Paramètres!$A$11:$A$40,D1733)&gt;0,1,0))</f>
        <v/>
      </c>
    </row>
    <row r="1734" spans="1:12" hidden="1" x14ac:dyDescent="0.25">
      <c r="A1734" s="49"/>
      <c r="B1734" s="49"/>
      <c r="C1734" s="49"/>
      <c r="D1734" s="50" t="str">
        <f t="shared" si="135"/>
        <v/>
      </c>
      <c r="E1734" s="50" t="str">
        <f t="shared" si="136"/>
        <v/>
      </c>
      <c r="F1734" s="50" t="str">
        <f t="shared" si="137"/>
        <v/>
      </c>
      <c r="G1734" s="50" t="str">
        <f t="shared" si="138"/>
        <v/>
      </c>
      <c r="H1734" s="51" t="str">
        <f>IF($C1734="","",IFERROR(DATE(G1734,VLOOKUP(E1734,Paramètres!$K$11:$L$40,2,FALSE()),F1734),"?"))</f>
        <v/>
      </c>
      <c r="I1734" s="50" t="str">
        <f>IF(ISNUMBER(H1734),IF(COUNTIFS($D$2:D1734,D1734,$H$2:H1734,H1734)=1,1,0),"")</f>
        <v/>
      </c>
      <c r="J1734" s="50" t="str">
        <f>IF(ISNUMBER(H1734),IFERROR(INDEX(Calendrier!$C$2:$C$367,MATCH(H1734,Calendrier!$A$2:$A$367,0)),0),"")</f>
        <v/>
      </c>
      <c r="K1734" s="50" t="str">
        <f t="shared" si="139"/>
        <v/>
      </c>
      <c r="L1734" s="50" t="str">
        <f>IF(D1734="","",IF(COUNTIF(Paramètres!$A$11:$A$40,D1734)&gt;0,1,0))</f>
        <v/>
      </c>
    </row>
    <row r="1735" spans="1:12" hidden="1" x14ac:dyDescent="0.25">
      <c r="A1735" s="49"/>
      <c r="B1735" s="49"/>
      <c r="C1735" s="49"/>
      <c r="D1735" s="50" t="str">
        <f t="shared" si="135"/>
        <v/>
      </c>
      <c r="E1735" s="50" t="str">
        <f t="shared" si="136"/>
        <v/>
      </c>
      <c r="F1735" s="50" t="str">
        <f t="shared" si="137"/>
        <v/>
      </c>
      <c r="G1735" s="50" t="str">
        <f t="shared" si="138"/>
        <v/>
      </c>
      <c r="H1735" s="51" t="str">
        <f>IF($C1735="","",IFERROR(DATE(G1735,VLOOKUP(E1735,Paramètres!$K$11:$L$40,2,FALSE()),F1735),"?"))</f>
        <v/>
      </c>
      <c r="I1735" s="50" t="str">
        <f>IF(ISNUMBER(H1735),IF(COUNTIFS($D$2:D1735,D1735,$H$2:H1735,H1735)=1,1,0),"")</f>
        <v/>
      </c>
      <c r="J1735" s="50" t="str">
        <f>IF(ISNUMBER(H1735),IFERROR(INDEX(Calendrier!$C$2:$C$367,MATCH(H1735,Calendrier!$A$2:$A$367,0)),0),"")</f>
        <v/>
      </c>
      <c r="K1735" s="50" t="str">
        <f t="shared" si="139"/>
        <v/>
      </c>
      <c r="L1735" s="50" t="str">
        <f>IF(D1735="","",IF(COUNTIF(Paramètres!$A$11:$A$40,D1735)&gt;0,1,0))</f>
        <v/>
      </c>
    </row>
    <row r="1736" spans="1:12" hidden="1" x14ac:dyDescent="0.25">
      <c r="A1736" s="49"/>
      <c r="B1736" s="49"/>
      <c r="C1736" s="49"/>
      <c r="D1736" s="50" t="str">
        <f t="shared" si="135"/>
        <v/>
      </c>
      <c r="E1736" s="50" t="str">
        <f t="shared" si="136"/>
        <v/>
      </c>
      <c r="F1736" s="50" t="str">
        <f t="shared" si="137"/>
        <v/>
      </c>
      <c r="G1736" s="50" t="str">
        <f t="shared" si="138"/>
        <v/>
      </c>
      <c r="H1736" s="51" t="str">
        <f>IF($C1736="","",IFERROR(DATE(G1736,VLOOKUP(E1736,Paramètres!$K$11:$L$40,2,FALSE()),F1736),"?"))</f>
        <v/>
      </c>
      <c r="I1736" s="50" t="str">
        <f>IF(ISNUMBER(H1736),IF(COUNTIFS($D$2:D1736,D1736,$H$2:H1736,H1736)=1,1,0),"")</f>
        <v/>
      </c>
      <c r="J1736" s="50" t="str">
        <f>IF(ISNUMBER(H1736),IFERROR(INDEX(Calendrier!$C$2:$C$367,MATCH(H1736,Calendrier!$A$2:$A$367,0)),0),"")</f>
        <v/>
      </c>
      <c r="K1736" s="50" t="str">
        <f t="shared" si="139"/>
        <v/>
      </c>
      <c r="L1736" s="50" t="str">
        <f>IF(D1736="","",IF(COUNTIF(Paramètres!$A$11:$A$40,D1736)&gt;0,1,0))</f>
        <v/>
      </c>
    </row>
    <row r="1737" spans="1:12" hidden="1" x14ac:dyDescent="0.25">
      <c r="A1737" s="49"/>
      <c r="B1737" s="49"/>
      <c r="C1737" s="49"/>
      <c r="D1737" s="50" t="str">
        <f t="shared" si="135"/>
        <v/>
      </c>
      <c r="E1737" s="50" t="str">
        <f t="shared" si="136"/>
        <v/>
      </c>
      <c r="F1737" s="50" t="str">
        <f t="shared" si="137"/>
        <v/>
      </c>
      <c r="G1737" s="50" t="str">
        <f t="shared" si="138"/>
        <v/>
      </c>
      <c r="H1737" s="51" t="str">
        <f>IF($C1737="","",IFERROR(DATE(G1737,VLOOKUP(E1737,Paramètres!$K$11:$L$40,2,FALSE()),F1737),"?"))</f>
        <v/>
      </c>
      <c r="I1737" s="50" t="str">
        <f>IF(ISNUMBER(H1737),IF(COUNTIFS($D$2:D1737,D1737,$H$2:H1737,H1737)=1,1,0),"")</f>
        <v/>
      </c>
      <c r="J1737" s="50" t="str">
        <f>IF(ISNUMBER(H1737),IFERROR(INDEX(Calendrier!$C$2:$C$367,MATCH(H1737,Calendrier!$A$2:$A$367,0)),0),"")</f>
        <v/>
      </c>
      <c r="K1737" s="50" t="str">
        <f t="shared" si="139"/>
        <v/>
      </c>
      <c r="L1737" s="50" t="str">
        <f>IF(D1737="","",IF(COUNTIF(Paramètres!$A$11:$A$40,D1737)&gt;0,1,0))</f>
        <v/>
      </c>
    </row>
    <row r="1738" spans="1:12" hidden="1" x14ac:dyDescent="0.25">
      <c r="A1738" s="49"/>
      <c r="B1738" s="49"/>
      <c r="C1738" s="49"/>
      <c r="D1738" s="50" t="str">
        <f t="shared" si="135"/>
        <v/>
      </c>
      <c r="E1738" s="50" t="str">
        <f t="shared" si="136"/>
        <v/>
      </c>
      <c r="F1738" s="50" t="str">
        <f t="shared" si="137"/>
        <v/>
      </c>
      <c r="G1738" s="50" t="str">
        <f t="shared" si="138"/>
        <v/>
      </c>
      <c r="H1738" s="51" t="str">
        <f>IF($C1738="","",IFERROR(DATE(G1738,VLOOKUP(E1738,Paramètres!$K$11:$L$40,2,FALSE()),F1738),"?"))</f>
        <v/>
      </c>
      <c r="I1738" s="50" t="str">
        <f>IF(ISNUMBER(H1738),IF(COUNTIFS($D$2:D1738,D1738,$H$2:H1738,H1738)=1,1,0),"")</f>
        <v/>
      </c>
      <c r="J1738" s="50" t="str">
        <f>IF(ISNUMBER(H1738),IFERROR(INDEX(Calendrier!$C$2:$C$367,MATCH(H1738,Calendrier!$A$2:$A$367,0)),0),"")</f>
        <v/>
      </c>
      <c r="K1738" s="50" t="str">
        <f t="shared" si="139"/>
        <v/>
      </c>
      <c r="L1738" s="50" t="str">
        <f>IF(D1738="","",IF(COUNTIF(Paramètres!$A$11:$A$40,D1738)&gt;0,1,0))</f>
        <v/>
      </c>
    </row>
    <row r="1739" spans="1:12" hidden="1" x14ac:dyDescent="0.25">
      <c r="A1739" s="49"/>
      <c r="B1739" s="49"/>
      <c r="C1739" s="49"/>
      <c r="D1739" s="50" t="str">
        <f t="shared" si="135"/>
        <v/>
      </c>
      <c r="E1739" s="50" t="str">
        <f t="shared" si="136"/>
        <v/>
      </c>
      <c r="F1739" s="50" t="str">
        <f t="shared" si="137"/>
        <v/>
      </c>
      <c r="G1739" s="50" t="str">
        <f t="shared" si="138"/>
        <v/>
      </c>
      <c r="H1739" s="51" t="str">
        <f>IF($C1739="","",IFERROR(DATE(G1739,VLOOKUP(E1739,Paramètres!$K$11:$L$40,2,FALSE()),F1739),"?"))</f>
        <v/>
      </c>
      <c r="I1739" s="50" t="str">
        <f>IF(ISNUMBER(H1739),IF(COUNTIFS($D$2:D1739,D1739,$H$2:H1739,H1739)=1,1,0),"")</f>
        <v/>
      </c>
      <c r="J1739" s="50" t="str">
        <f>IF(ISNUMBER(H1739),IFERROR(INDEX(Calendrier!$C$2:$C$367,MATCH(H1739,Calendrier!$A$2:$A$367,0)),0),"")</f>
        <v/>
      </c>
      <c r="K1739" s="50" t="str">
        <f t="shared" si="139"/>
        <v/>
      </c>
      <c r="L1739" s="50" t="str">
        <f>IF(D1739="","",IF(COUNTIF(Paramètres!$A$11:$A$40,D1739)&gt;0,1,0))</f>
        <v/>
      </c>
    </row>
    <row r="1740" spans="1:12" hidden="1" x14ac:dyDescent="0.25">
      <c r="A1740" s="49"/>
      <c r="B1740" s="49"/>
      <c r="C1740" s="49"/>
      <c r="D1740" s="50" t="str">
        <f t="shared" si="135"/>
        <v/>
      </c>
      <c r="E1740" s="50" t="str">
        <f t="shared" si="136"/>
        <v/>
      </c>
      <c r="F1740" s="50" t="str">
        <f t="shared" si="137"/>
        <v/>
      </c>
      <c r="G1740" s="50" t="str">
        <f t="shared" si="138"/>
        <v/>
      </c>
      <c r="H1740" s="51" t="str">
        <f>IF($C1740="","",IFERROR(DATE(G1740,VLOOKUP(E1740,Paramètres!$K$11:$L$40,2,FALSE()),F1740),"?"))</f>
        <v/>
      </c>
      <c r="I1740" s="50" t="str">
        <f>IF(ISNUMBER(H1740),IF(COUNTIFS($D$2:D1740,D1740,$H$2:H1740,H1740)=1,1,0),"")</f>
        <v/>
      </c>
      <c r="J1740" s="50" t="str">
        <f>IF(ISNUMBER(H1740),IFERROR(INDEX(Calendrier!$C$2:$C$367,MATCH(H1740,Calendrier!$A$2:$A$367,0)),0),"")</f>
        <v/>
      </c>
      <c r="K1740" s="50" t="str">
        <f t="shared" si="139"/>
        <v/>
      </c>
      <c r="L1740" s="50" t="str">
        <f>IF(D1740="","",IF(COUNTIF(Paramètres!$A$11:$A$40,D1740)&gt;0,1,0))</f>
        <v/>
      </c>
    </row>
    <row r="1741" spans="1:12" hidden="1" x14ac:dyDescent="0.25">
      <c r="A1741" s="49"/>
      <c r="B1741" s="49"/>
      <c r="C1741" s="49"/>
      <c r="D1741" s="50" t="str">
        <f t="shared" si="135"/>
        <v/>
      </c>
      <c r="E1741" s="50" t="str">
        <f t="shared" si="136"/>
        <v/>
      </c>
      <c r="F1741" s="50" t="str">
        <f t="shared" si="137"/>
        <v/>
      </c>
      <c r="G1741" s="50" t="str">
        <f t="shared" si="138"/>
        <v/>
      </c>
      <c r="H1741" s="51" t="str">
        <f>IF($C1741="","",IFERROR(DATE(G1741,VLOOKUP(E1741,Paramètres!$K$11:$L$40,2,FALSE()),F1741),"?"))</f>
        <v/>
      </c>
      <c r="I1741" s="50" t="str">
        <f>IF(ISNUMBER(H1741),IF(COUNTIFS($D$2:D1741,D1741,$H$2:H1741,H1741)=1,1,0),"")</f>
        <v/>
      </c>
      <c r="J1741" s="50" t="str">
        <f>IF(ISNUMBER(H1741),IFERROR(INDEX(Calendrier!$C$2:$C$367,MATCH(H1741,Calendrier!$A$2:$A$367,0)),0),"")</f>
        <v/>
      </c>
      <c r="K1741" s="50" t="str">
        <f t="shared" si="139"/>
        <v/>
      </c>
      <c r="L1741" s="50" t="str">
        <f>IF(D1741="","",IF(COUNTIF(Paramètres!$A$11:$A$40,D1741)&gt;0,1,0))</f>
        <v/>
      </c>
    </row>
    <row r="1742" spans="1:12" hidden="1" x14ac:dyDescent="0.25">
      <c r="A1742" s="49"/>
      <c r="B1742" s="49"/>
      <c r="C1742" s="49"/>
      <c r="D1742" s="50" t="str">
        <f t="shared" si="135"/>
        <v/>
      </c>
      <c r="E1742" s="50" t="str">
        <f t="shared" si="136"/>
        <v/>
      </c>
      <c r="F1742" s="50" t="str">
        <f t="shared" si="137"/>
        <v/>
      </c>
      <c r="G1742" s="50" t="str">
        <f t="shared" si="138"/>
        <v/>
      </c>
      <c r="H1742" s="51" t="str">
        <f>IF($C1742="","",IFERROR(DATE(G1742,VLOOKUP(E1742,Paramètres!$K$11:$L$40,2,FALSE()),F1742),"?"))</f>
        <v/>
      </c>
      <c r="I1742" s="50" t="str">
        <f>IF(ISNUMBER(H1742),IF(COUNTIFS($D$2:D1742,D1742,$H$2:H1742,H1742)=1,1,0),"")</f>
        <v/>
      </c>
      <c r="J1742" s="50" t="str">
        <f>IF(ISNUMBER(H1742),IFERROR(INDEX(Calendrier!$C$2:$C$367,MATCH(H1742,Calendrier!$A$2:$A$367,0)),0),"")</f>
        <v/>
      </c>
      <c r="K1742" s="50" t="str">
        <f t="shared" si="139"/>
        <v/>
      </c>
      <c r="L1742" s="50" t="str">
        <f>IF(D1742="","",IF(COUNTIF(Paramètres!$A$11:$A$40,D1742)&gt;0,1,0))</f>
        <v/>
      </c>
    </row>
    <row r="1743" spans="1:12" hidden="1" x14ac:dyDescent="0.25">
      <c r="A1743" s="49"/>
      <c r="B1743" s="49"/>
      <c r="C1743" s="49"/>
      <c r="D1743" s="50" t="str">
        <f t="shared" si="135"/>
        <v/>
      </c>
      <c r="E1743" s="50" t="str">
        <f t="shared" si="136"/>
        <v/>
      </c>
      <c r="F1743" s="50" t="str">
        <f t="shared" si="137"/>
        <v/>
      </c>
      <c r="G1743" s="50" t="str">
        <f t="shared" si="138"/>
        <v/>
      </c>
      <c r="H1743" s="51" t="str">
        <f>IF($C1743="","",IFERROR(DATE(G1743,VLOOKUP(E1743,Paramètres!$K$11:$L$40,2,FALSE()),F1743),"?"))</f>
        <v/>
      </c>
      <c r="I1743" s="50" t="str">
        <f>IF(ISNUMBER(H1743),IF(COUNTIFS($D$2:D1743,D1743,$H$2:H1743,H1743)=1,1,0),"")</f>
        <v/>
      </c>
      <c r="J1743" s="50" t="str">
        <f>IF(ISNUMBER(H1743),IFERROR(INDEX(Calendrier!$C$2:$C$367,MATCH(H1743,Calendrier!$A$2:$A$367,0)),0),"")</f>
        <v/>
      </c>
      <c r="K1743" s="50" t="str">
        <f t="shared" si="139"/>
        <v/>
      </c>
      <c r="L1743" s="50" t="str">
        <f>IF(D1743="","",IF(COUNTIF(Paramètres!$A$11:$A$40,D1743)&gt;0,1,0))</f>
        <v/>
      </c>
    </row>
    <row r="1744" spans="1:12" hidden="1" x14ac:dyDescent="0.25">
      <c r="A1744" s="49"/>
      <c r="B1744" s="49"/>
      <c r="C1744" s="49"/>
      <c r="D1744" s="50" t="str">
        <f t="shared" si="135"/>
        <v/>
      </c>
      <c r="E1744" s="50" t="str">
        <f t="shared" si="136"/>
        <v/>
      </c>
      <c r="F1744" s="50" t="str">
        <f t="shared" si="137"/>
        <v/>
      </c>
      <c r="G1744" s="50" t="str">
        <f t="shared" si="138"/>
        <v/>
      </c>
      <c r="H1744" s="51" t="str">
        <f>IF($C1744="","",IFERROR(DATE(G1744,VLOOKUP(E1744,Paramètres!$K$11:$L$40,2,FALSE()),F1744),"?"))</f>
        <v/>
      </c>
      <c r="I1744" s="50" t="str">
        <f>IF(ISNUMBER(H1744),IF(COUNTIFS($D$2:D1744,D1744,$H$2:H1744,H1744)=1,1,0),"")</f>
        <v/>
      </c>
      <c r="J1744" s="50" t="str">
        <f>IF(ISNUMBER(H1744),IFERROR(INDEX(Calendrier!$C$2:$C$367,MATCH(H1744,Calendrier!$A$2:$A$367,0)),0),"")</f>
        <v/>
      </c>
      <c r="K1744" s="50" t="str">
        <f t="shared" si="139"/>
        <v/>
      </c>
      <c r="L1744" s="50" t="str">
        <f>IF(D1744="","",IF(COUNTIF(Paramètres!$A$11:$A$40,D1744)&gt;0,1,0))</f>
        <v/>
      </c>
    </row>
    <row r="1745" spans="1:12" hidden="1" x14ac:dyDescent="0.25">
      <c r="A1745" s="49"/>
      <c r="B1745" s="49"/>
      <c r="C1745" s="49"/>
      <c r="D1745" s="50" t="str">
        <f t="shared" si="135"/>
        <v/>
      </c>
      <c r="E1745" s="50" t="str">
        <f t="shared" si="136"/>
        <v/>
      </c>
      <c r="F1745" s="50" t="str">
        <f t="shared" si="137"/>
        <v/>
      </c>
      <c r="G1745" s="50" t="str">
        <f t="shared" si="138"/>
        <v/>
      </c>
      <c r="H1745" s="51" t="str">
        <f>IF($C1745="","",IFERROR(DATE(G1745,VLOOKUP(E1745,Paramètres!$K$11:$L$40,2,FALSE()),F1745),"?"))</f>
        <v/>
      </c>
      <c r="I1745" s="50" t="str">
        <f>IF(ISNUMBER(H1745),IF(COUNTIFS($D$2:D1745,D1745,$H$2:H1745,H1745)=1,1,0),"")</f>
        <v/>
      </c>
      <c r="J1745" s="50" t="str">
        <f>IF(ISNUMBER(H1745),IFERROR(INDEX(Calendrier!$C$2:$C$367,MATCH(H1745,Calendrier!$A$2:$A$367,0)),0),"")</f>
        <v/>
      </c>
      <c r="K1745" s="50" t="str">
        <f t="shared" si="139"/>
        <v/>
      </c>
      <c r="L1745" s="50" t="str">
        <f>IF(D1745="","",IF(COUNTIF(Paramètres!$A$11:$A$40,D1745)&gt;0,1,0))</f>
        <v/>
      </c>
    </row>
    <row r="1746" spans="1:12" hidden="1" x14ac:dyDescent="0.25">
      <c r="A1746" s="49"/>
      <c r="B1746" s="49"/>
      <c r="C1746" s="49"/>
      <c r="D1746" s="50" t="str">
        <f t="shared" si="135"/>
        <v/>
      </c>
      <c r="E1746" s="50" t="str">
        <f t="shared" si="136"/>
        <v/>
      </c>
      <c r="F1746" s="50" t="str">
        <f t="shared" si="137"/>
        <v/>
      </c>
      <c r="G1746" s="50" t="str">
        <f t="shared" si="138"/>
        <v/>
      </c>
      <c r="H1746" s="51" t="str">
        <f>IF($C1746="","",IFERROR(DATE(G1746,VLOOKUP(E1746,Paramètres!$K$11:$L$40,2,FALSE()),F1746),"?"))</f>
        <v/>
      </c>
      <c r="I1746" s="50" t="str">
        <f>IF(ISNUMBER(H1746),IF(COUNTIFS($D$2:D1746,D1746,$H$2:H1746,H1746)=1,1,0),"")</f>
        <v/>
      </c>
      <c r="J1746" s="50" t="str">
        <f>IF(ISNUMBER(H1746),IFERROR(INDEX(Calendrier!$C$2:$C$367,MATCH(H1746,Calendrier!$A$2:$A$367,0)),0),"")</f>
        <v/>
      </c>
      <c r="K1746" s="50" t="str">
        <f t="shared" si="139"/>
        <v/>
      </c>
      <c r="L1746" s="50" t="str">
        <f>IF(D1746="","",IF(COUNTIF(Paramètres!$A$11:$A$40,D1746)&gt;0,1,0))</f>
        <v/>
      </c>
    </row>
    <row r="1747" spans="1:12" hidden="1" x14ac:dyDescent="0.25">
      <c r="A1747" s="49"/>
      <c r="B1747" s="49"/>
      <c r="C1747" s="49"/>
      <c r="D1747" s="50" t="str">
        <f t="shared" si="135"/>
        <v/>
      </c>
      <c r="E1747" s="50" t="str">
        <f t="shared" si="136"/>
        <v/>
      </c>
      <c r="F1747" s="50" t="str">
        <f t="shared" si="137"/>
        <v/>
      </c>
      <c r="G1747" s="50" t="str">
        <f t="shared" si="138"/>
        <v/>
      </c>
      <c r="H1747" s="51" t="str">
        <f>IF($C1747="","",IFERROR(DATE(G1747,VLOOKUP(E1747,Paramètres!$K$11:$L$40,2,FALSE()),F1747),"?"))</f>
        <v/>
      </c>
      <c r="I1747" s="50" t="str">
        <f>IF(ISNUMBER(H1747),IF(COUNTIFS($D$2:D1747,D1747,$H$2:H1747,H1747)=1,1,0),"")</f>
        <v/>
      </c>
      <c r="J1747" s="50" t="str">
        <f>IF(ISNUMBER(H1747),IFERROR(INDEX(Calendrier!$C$2:$C$367,MATCH(H1747,Calendrier!$A$2:$A$367,0)),0),"")</f>
        <v/>
      </c>
      <c r="K1747" s="50" t="str">
        <f t="shared" si="139"/>
        <v/>
      </c>
      <c r="L1747" s="50" t="str">
        <f>IF(D1747="","",IF(COUNTIF(Paramètres!$A$11:$A$40,D1747)&gt;0,1,0))</f>
        <v/>
      </c>
    </row>
    <row r="1748" spans="1:12" hidden="1" x14ac:dyDescent="0.25">
      <c r="A1748" s="49"/>
      <c r="B1748" s="49"/>
      <c r="C1748" s="49"/>
      <c r="D1748" s="50" t="str">
        <f t="shared" si="135"/>
        <v/>
      </c>
      <c r="E1748" s="50" t="str">
        <f t="shared" si="136"/>
        <v/>
      </c>
      <c r="F1748" s="50" t="str">
        <f t="shared" si="137"/>
        <v/>
      </c>
      <c r="G1748" s="50" t="str">
        <f t="shared" si="138"/>
        <v/>
      </c>
      <c r="H1748" s="51" t="str">
        <f>IF($C1748="","",IFERROR(DATE(G1748,VLOOKUP(E1748,Paramètres!$K$11:$L$40,2,FALSE()),F1748),"?"))</f>
        <v/>
      </c>
      <c r="I1748" s="50" t="str">
        <f>IF(ISNUMBER(H1748),IF(COUNTIFS($D$2:D1748,D1748,$H$2:H1748,H1748)=1,1,0),"")</f>
        <v/>
      </c>
      <c r="J1748" s="50" t="str">
        <f>IF(ISNUMBER(H1748),IFERROR(INDEX(Calendrier!$C$2:$C$367,MATCH(H1748,Calendrier!$A$2:$A$367,0)),0),"")</f>
        <v/>
      </c>
      <c r="K1748" s="50" t="str">
        <f t="shared" si="139"/>
        <v/>
      </c>
      <c r="L1748" s="50" t="str">
        <f>IF(D1748="","",IF(COUNTIF(Paramètres!$A$11:$A$40,D1748)&gt;0,1,0))</f>
        <v/>
      </c>
    </row>
    <row r="1749" spans="1:12" hidden="1" x14ac:dyDescent="0.25">
      <c r="A1749" s="49"/>
      <c r="B1749" s="49"/>
      <c r="C1749" s="49"/>
      <c r="D1749" s="50" t="str">
        <f t="shared" si="135"/>
        <v/>
      </c>
      <c r="E1749" s="50" t="str">
        <f t="shared" si="136"/>
        <v/>
      </c>
      <c r="F1749" s="50" t="str">
        <f t="shared" si="137"/>
        <v/>
      </c>
      <c r="G1749" s="50" t="str">
        <f t="shared" si="138"/>
        <v/>
      </c>
      <c r="H1749" s="51" t="str">
        <f>IF($C1749="","",IFERROR(DATE(G1749,VLOOKUP(E1749,Paramètres!$K$11:$L$40,2,FALSE()),F1749),"?"))</f>
        <v/>
      </c>
      <c r="I1749" s="50" t="str">
        <f>IF(ISNUMBER(H1749),IF(COUNTIFS($D$2:D1749,D1749,$H$2:H1749,H1749)=1,1,0),"")</f>
        <v/>
      </c>
      <c r="J1749" s="50" t="str">
        <f>IF(ISNUMBER(H1749),IFERROR(INDEX(Calendrier!$C$2:$C$367,MATCH(H1749,Calendrier!$A$2:$A$367,0)),0),"")</f>
        <v/>
      </c>
      <c r="K1749" s="50" t="str">
        <f t="shared" si="139"/>
        <v/>
      </c>
      <c r="L1749" s="50" t="str">
        <f>IF(D1749="","",IF(COUNTIF(Paramètres!$A$11:$A$40,D1749)&gt;0,1,0))</f>
        <v/>
      </c>
    </row>
    <row r="1750" spans="1:12" hidden="1" x14ac:dyDescent="0.25">
      <c r="A1750" s="49"/>
      <c r="B1750" s="49"/>
      <c r="C1750" s="49"/>
      <c r="D1750" s="50" t="str">
        <f t="shared" si="135"/>
        <v/>
      </c>
      <c r="E1750" s="50" t="str">
        <f t="shared" si="136"/>
        <v/>
      </c>
      <c r="F1750" s="50" t="str">
        <f t="shared" si="137"/>
        <v/>
      </c>
      <c r="G1750" s="50" t="str">
        <f t="shared" si="138"/>
        <v/>
      </c>
      <c r="H1750" s="51" t="str">
        <f>IF($C1750="","",IFERROR(DATE(G1750,VLOOKUP(E1750,Paramètres!$K$11:$L$40,2,FALSE()),F1750),"?"))</f>
        <v/>
      </c>
      <c r="I1750" s="50" t="str">
        <f>IF(ISNUMBER(H1750),IF(COUNTIFS($D$2:D1750,D1750,$H$2:H1750,H1750)=1,1,0),"")</f>
        <v/>
      </c>
      <c r="J1750" s="50" t="str">
        <f>IF(ISNUMBER(H1750),IFERROR(INDEX(Calendrier!$C$2:$C$367,MATCH(H1750,Calendrier!$A$2:$A$367,0)),0),"")</f>
        <v/>
      </c>
      <c r="K1750" s="50" t="str">
        <f t="shared" si="139"/>
        <v/>
      </c>
      <c r="L1750" s="50" t="str">
        <f>IF(D1750="","",IF(COUNTIF(Paramètres!$A$11:$A$40,D1750)&gt;0,1,0))</f>
        <v/>
      </c>
    </row>
    <row r="1751" spans="1:12" hidden="1" x14ac:dyDescent="0.25">
      <c r="A1751" s="49"/>
      <c r="B1751" s="49"/>
      <c r="C1751" s="49"/>
      <c r="D1751" s="50" t="str">
        <f t="shared" si="135"/>
        <v/>
      </c>
      <c r="E1751" s="50" t="str">
        <f t="shared" si="136"/>
        <v/>
      </c>
      <c r="F1751" s="50" t="str">
        <f t="shared" si="137"/>
        <v/>
      </c>
      <c r="G1751" s="50" t="str">
        <f t="shared" si="138"/>
        <v/>
      </c>
      <c r="H1751" s="51" t="str">
        <f>IF($C1751="","",IFERROR(DATE(G1751,VLOOKUP(E1751,Paramètres!$K$11:$L$40,2,FALSE()),F1751),"?"))</f>
        <v/>
      </c>
      <c r="I1751" s="50" t="str">
        <f>IF(ISNUMBER(H1751),IF(COUNTIFS($D$2:D1751,D1751,$H$2:H1751,H1751)=1,1,0),"")</f>
        <v/>
      </c>
      <c r="J1751" s="50" t="str">
        <f>IF(ISNUMBER(H1751),IFERROR(INDEX(Calendrier!$C$2:$C$367,MATCH(H1751,Calendrier!$A$2:$A$367,0)),0),"")</f>
        <v/>
      </c>
      <c r="K1751" s="50" t="str">
        <f t="shared" si="139"/>
        <v/>
      </c>
      <c r="L1751" s="50" t="str">
        <f>IF(D1751="","",IF(COUNTIF(Paramètres!$A$11:$A$40,D1751)&gt;0,1,0))</f>
        <v/>
      </c>
    </row>
    <row r="1752" spans="1:12" hidden="1" x14ac:dyDescent="0.25">
      <c r="A1752" s="49"/>
      <c r="B1752" s="49"/>
      <c r="C1752" s="49"/>
      <c r="D1752" s="50" t="str">
        <f t="shared" si="135"/>
        <v/>
      </c>
      <c r="E1752" s="50" t="str">
        <f t="shared" si="136"/>
        <v/>
      </c>
      <c r="F1752" s="50" t="str">
        <f t="shared" si="137"/>
        <v/>
      </c>
      <c r="G1752" s="50" t="str">
        <f t="shared" si="138"/>
        <v/>
      </c>
      <c r="H1752" s="51" t="str">
        <f>IF($C1752="","",IFERROR(DATE(G1752,VLOOKUP(E1752,Paramètres!$K$11:$L$40,2,FALSE()),F1752),"?"))</f>
        <v/>
      </c>
      <c r="I1752" s="50" t="str">
        <f>IF(ISNUMBER(H1752),IF(COUNTIFS($D$2:D1752,D1752,$H$2:H1752,H1752)=1,1,0),"")</f>
        <v/>
      </c>
      <c r="J1752" s="50" t="str">
        <f>IF(ISNUMBER(H1752),IFERROR(INDEX(Calendrier!$C$2:$C$367,MATCH(H1752,Calendrier!$A$2:$A$367,0)),0),"")</f>
        <v/>
      </c>
      <c r="K1752" s="50" t="str">
        <f t="shared" si="139"/>
        <v/>
      </c>
      <c r="L1752" s="50" t="str">
        <f>IF(D1752="","",IF(COUNTIF(Paramètres!$A$11:$A$40,D1752)&gt;0,1,0))</f>
        <v/>
      </c>
    </row>
    <row r="1753" spans="1:12" hidden="1" x14ac:dyDescent="0.25">
      <c r="A1753" s="49"/>
      <c r="B1753" s="49"/>
      <c r="C1753" s="49"/>
      <c r="D1753" s="50" t="str">
        <f t="shared" si="135"/>
        <v/>
      </c>
      <c r="E1753" s="50" t="str">
        <f t="shared" si="136"/>
        <v/>
      </c>
      <c r="F1753" s="50" t="str">
        <f t="shared" si="137"/>
        <v/>
      </c>
      <c r="G1753" s="50" t="str">
        <f t="shared" si="138"/>
        <v/>
      </c>
      <c r="H1753" s="51" t="str">
        <f>IF($C1753="","",IFERROR(DATE(G1753,VLOOKUP(E1753,Paramètres!$K$11:$L$40,2,FALSE()),F1753),"?"))</f>
        <v/>
      </c>
      <c r="I1753" s="50" t="str">
        <f>IF(ISNUMBER(H1753),IF(COUNTIFS($D$2:D1753,D1753,$H$2:H1753,H1753)=1,1,0),"")</f>
        <v/>
      </c>
      <c r="J1753" s="50" t="str">
        <f>IF(ISNUMBER(H1753),IFERROR(INDEX(Calendrier!$C$2:$C$367,MATCH(H1753,Calendrier!$A$2:$A$367,0)),0),"")</f>
        <v/>
      </c>
      <c r="K1753" s="50" t="str">
        <f t="shared" si="139"/>
        <v/>
      </c>
      <c r="L1753" s="50" t="str">
        <f>IF(D1753="","",IF(COUNTIF(Paramètres!$A$11:$A$40,D1753)&gt;0,1,0))</f>
        <v/>
      </c>
    </row>
    <row r="1754" spans="1:12" hidden="1" x14ac:dyDescent="0.25">
      <c r="A1754" s="49"/>
      <c r="B1754" s="49"/>
      <c r="C1754" s="49"/>
      <c r="D1754" s="50" t="str">
        <f t="shared" si="135"/>
        <v/>
      </c>
      <c r="E1754" s="50" t="str">
        <f t="shared" si="136"/>
        <v/>
      </c>
      <c r="F1754" s="50" t="str">
        <f t="shared" si="137"/>
        <v/>
      </c>
      <c r="G1754" s="50" t="str">
        <f t="shared" si="138"/>
        <v/>
      </c>
      <c r="H1754" s="51" t="str">
        <f>IF($C1754="","",IFERROR(DATE(G1754,VLOOKUP(E1754,Paramètres!$K$11:$L$40,2,FALSE()),F1754),"?"))</f>
        <v/>
      </c>
      <c r="I1754" s="50" t="str">
        <f>IF(ISNUMBER(H1754),IF(COUNTIFS($D$2:D1754,D1754,$H$2:H1754,H1754)=1,1,0),"")</f>
        <v/>
      </c>
      <c r="J1754" s="50" t="str">
        <f>IF(ISNUMBER(H1754),IFERROR(INDEX(Calendrier!$C$2:$C$367,MATCH(H1754,Calendrier!$A$2:$A$367,0)),0),"")</f>
        <v/>
      </c>
      <c r="K1754" s="50" t="str">
        <f t="shared" si="139"/>
        <v/>
      </c>
      <c r="L1754" s="50" t="str">
        <f>IF(D1754="","",IF(COUNTIF(Paramètres!$A$11:$A$40,D1754)&gt;0,1,0))</f>
        <v/>
      </c>
    </row>
    <row r="1755" spans="1:12" hidden="1" x14ac:dyDescent="0.25">
      <c r="A1755" s="49"/>
      <c r="B1755" s="49"/>
      <c r="C1755" s="49"/>
      <c r="D1755" s="50" t="str">
        <f t="shared" si="135"/>
        <v/>
      </c>
      <c r="E1755" s="50" t="str">
        <f t="shared" si="136"/>
        <v/>
      </c>
      <c r="F1755" s="50" t="str">
        <f t="shared" si="137"/>
        <v/>
      </c>
      <c r="G1755" s="50" t="str">
        <f t="shared" si="138"/>
        <v/>
      </c>
      <c r="H1755" s="51" t="str">
        <f>IF($C1755="","",IFERROR(DATE(G1755,VLOOKUP(E1755,Paramètres!$K$11:$L$40,2,FALSE()),F1755),"?"))</f>
        <v/>
      </c>
      <c r="I1755" s="50" t="str">
        <f>IF(ISNUMBER(H1755),IF(COUNTIFS($D$2:D1755,D1755,$H$2:H1755,H1755)=1,1,0),"")</f>
        <v/>
      </c>
      <c r="J1755" s="50" t="str">
        <f>IF(ISNUMBER(H1755),IFERROR(INDEX(Calendrier!$C$2:$C$367,MATCH(H1755,Calendrier!$A$2:$A$367,0)),0),"")</f>
        <v/>
      </c>
      <c r="K1755" s="50" t="str">
        <f t="shared" si="139"/>
        <v/>
      </c>
      <c r="L1755" s="50" t="str">
        <f>IF(D1755="","",IF(COUNTIF(Paramètres!$A$11:$A$40,D1755)&gt;0,1,0))</f>
        <v/>
      </c>
    </row>
    <row r="1756" spans="1:12" hidden="1" x14ac:dyDescent="0.25">
      <c r="A1756" s="49"/>
      <c r="B1756" s="49"/>
      <c r="C1756" s="49"/>
      <c r="D1756" s="50" t="str">
        <f t="shared" si="135"/>
        <v/>
      </c>
      <c r="E1756" s="50" t="str">
        <f t="shared" si="136"/>
        <v/>
      </c>
      <c r="F1756" s="50" t="str">
        <f t="shared" si="137"/>
        <v/>
      </c>
      <c r="G1756" s="50" t="str">
        <f t="shared" si="138"/>
        <v/>
      </c>
      <c r="H1756" s="51" t="str">
        <f>IF($C1756="","",IFERROR(DATE(G1756,VLOOKUP(E1756,Paramètres!$K$11:$L$40,2,FALSE()),F1756),"?"))</f>
        <v/>
      </c>
      <c r="I1756" s="50" t="str">
        <f>IF(ISNUMBER(H1756),IF(COUNTIFS($D$2:D1756,D1756,$H$2:H1756,H1756)=1,1,0),"")</f>
        <v/>
      </c>
      <c r="J1756" s="50" t="str">
        <f>IF(ISNUMBER(H1756),IFERROR(INDEX(Calendrier!$C$2:$C$367,MATCH(H1756,Calendrier!$A$2:$A$367,0)),0),"")</f>
        <v/>
      </c>
      <c r="K1756" s="50" t="str">
        <f t="shared" si="139"/>
        <v/>
      </c>
      <c r="L1756" s="50" t="str">
        <f>IF(D1756="","",IF(COUNTIF(Paramètres!$A$11:$A$40,D1756)&gt;0,1,0))</f>
        <v/>
      </c>
    </row>
    <row r="1757" spans="1:12" hidden="1" x14ac:dyDescent="0.25">
      <c r="A1757" s="49"/>
      <c r="B1757" s="49"/>
      <c r="C1757" s="49"/>
      <c r="D1757" s="50" t="str">
        <f t="shared" si="135"/>
        <v/>
      </c>
      <c r="E1757" s="50" t="str">
        <f t="shared" si="136"/>
        <v/>
      </c>
      <c r="F1757" s="50" t="str">
        <f t="shared" si="137"/>
        <v/>
      </c>
      <c r="G1757" s="50" t="str">
        <f t="shared" si="138"/>
        <v/>
      </c>
      <c r="H1757" s="51" t="str">
        <f>IF($C1757="","",IFERROR(DATE(G1757,VLOOKUP(E1757,Paramètres!$K$11:$L$40,2,FALSE()),F1757),"?"))</f>
        <v/>
      </c>
      <c r="I1757" s="50" t="str">
        <f>IF(ISNUMBER(H1757),IF(COUNTIFS($D$2:D1757,D1757,$H$2:H1757,H1757)=1,1,0),"")</f>
        <v/>
      </c>
      <c r="J1757" s="50" t="str">
        <f>IF(ISNUMBER(H1757),IFERROR(INDEX(Calendrier!$C$2:$C$367,MATCH(H1757,Calendrier!$A$2:$A$367,0)),0),"")</f>
        <v/>
      </c>
      <c r="K1757" s="50" t="str">
        <f t="shared" si="139"/>
        <v/>
      </c>
      <c r="L1757" s="50" t="str">
        <f>IF(D1757="","",IF(COUNTIF(Paramètres!$A$11:$A$40,D1757)&gt;0,1,0))</f>
        <v/>
      </c>
    </row>
    <row r="1758" spans="1:12" hidden="1" x14ac:dyDescent="0.25">
      <c r="A1758" s="49"/>
      <c r="B1758" s="49"/>
      <c r="C1758" s="49"/>
      <c r="D1758" s="50" t="str">
        <f t="shared" si="135"/>
        <v/>
      </c>
      <c r="E1758" s="50" t="str">
        <f t="shared" si="136"/>
        <v/>
      </c>
      <c r="F1758" s="50" t="str">
        <f t="shared" si="137"/>
        <v/>
      </c>
      <c r="G1758" s="50" t="str">
        <f t="shared" si="138"/>
        <v/>
      </c>
      <c r="H1758" s="51" t="str">
        <f>IF($C1758="","",IFERROR(DATE(G1758,VLOOKUP(E1758,Paramètres!$K$11:$L$40,2,FALSE()),F1758),"?"))</f>
        <v/>
      </c>
      <c r="I1758" s="50" t="str">
        <f>IF(ISNUMBER(H1758),IF(COUNTIFS($D$2:D1758,D1758,$H$2:H1758,H1758)=1,1,0),"")</f>
        <v/>
      </c>
      <c r="J1758" s="50" t="str">
        <f>IF(ISNUMBER(H1758),IFERROR(INDEX(Calendrier!$C$2:$C$367,MATCH(H1758,Calendrier!$A$2:$A$367,0)),0),"")</f>
        <v/>
      </c>
      <c r="K1758" s="50" t="str">
        <f t="shared" si="139"/>
        <v/>
      </c>
      <c r="L1758" s="50" t="str">
        <f>IF(D1758="","",IF(COUNTIF(Paramètres!$A$11:$A$40,D1758)&gt;0,1,0))</f>
        <v/>
      </c>
    </row>
    <row r="1759" spans="1:12" hidden="1" x14ac:dyDescent="0.25">
      <c r="A1759" s="49"/>
      <c r="B1759" s="49"/>
      <c r="C1759" s="49"/>
      <c r="D1759" s="50" t="str">
        <f t="shared" si="135"/>
        <v/>
      </c>
      <c r="E1759" s="50" t="str">
        <f t="shared" si="136"/>
        <v/>
      </c>
      <c r="F1759" s="50" t="str">
        <f t="shared" si="137"/>
        <v/>
      </c>
      <c r="G1759" s="50" t="str">
        <f t="shared" si="138"/>
        <v/>
      </c>
      <c r="H1759" s="51" t="str">
        <f>IF($C1759="","",IFERROR(DATE(G1759,VLOOKUP(E1759,Paramètres!$K$11:$L$40,2,FALSE()),F1759),"?"))</f>
        <v/>
      </c>
      <c r="I1759" s="50" t="str">
        <f>IF(ISNUMBER(H1759),IF(COUNTIFS($D$2:D1759,D1759,$H$2:H1759,H1759)=1,1,0),"")</f>
        <v/>
      </c>
      <c r="J1759" s="50" t="str">
        <f>IF(ISNUMBER(H1759),IFERROR(INDEX(Calendrier!$C$2:$C$367,MATCH(H1759,Calendrier!$A$2:$A$367,0)),0),"")</f>
        <v/>
      </c>
      <c r="K1759" s="50" t="str">
        <f t="shared" si="139"/>
        <v/>
      </c>
      <c r="L1759" s="50" t="str">
        <f>IF(D1759="","",IF(COUNTIF(Paramètres!$A$11:$A$40,D1759)&gt;0,1,0))</f>
        <v/>
      </c>
    </row>
    <row r="1760" spans="1:12" hidden="1" x14ac:dyDescent="0.25">
      <c r="A1760" s="49"/>
      <c r="B1760" s="49"/>
      <c r="C1760" s="49"/>
      <c r="D1760" s="50" t="str">
        <f t="shared" si="135"/>
        <v/>
      </c>
      <c r="E1760" s="50" t="str">
        <f t="shared" si="136"/>
        <v/>
      </c>
      <c r="F1760" s="50" t="str">
        <f t="shared" si="137"/>
        <v/>
      </c>
      <c r="G1760" s="50" t="str">
        <f t="shared" si="138"/>
        <v/>
      </c>
      <c r="H1760" s="51" t="str">
        <f>IF($C1760="","",IFERROR(DATE(G1760,VLOOKUP(E1760,Paramètres!$K$11:$L$40,2,FALSE()),F1760),"?"))</f>
        <v/>
      </c>
      <c r="I1760" s="50" t="str">
        <f>IF(ISNUMBER(H1760),IF(COUNTIFS($D$2:D1760,D1760,$H$2:H1760,H1760)=1,1,0),"")</f>
        <v/>
      </c>
      <c r="J1760" s="50" t="str">
        <f>IF(ISNUMBER(H1760),IFERROR(INDEX(Calendrier!$C$2:$C$367,MATCH(H1760,Calendrier!$A$2:$A$367,0)),0),"")</f>
        <v/>
      </c>
      <c r="K1760" s="50" t="str">
        <f t="shared" si="139"/>
        <v/>
      </c>
      <c r="L1760" s="50" t="str">
        <f>IF(D1760="","",IF(COUNTIF(Paramètres!$A$11:$A$40,D1760)&gt;0,1,0))</f>
        <v/>
      </c>
    </row>
    <row r="1761" spans="1:12" hidden="1" x14ac:dyDescent="0.25">
      <c r="A1761" s="49"/>
      <c r="B1761" s="49"/>
      <c r="C1761" s="49"/>
      <c r="D1761" s="50" t="str">
        <f t="shared" si="135"/>
        <v/>
      </c>
      <c r="E1761" s="50" t="str">
        <f t="shared" si="136"/>
        <v/>
      </c>
      <c r="F1761" s="50" t="str">
        <f t="shared" si="137"/>
        <v/>
      </c>
      <c r="G1761" s="50" t="str">
        <f t="shared" si="138"/>
        <v/>
      </c>
      <c r="H1761" s="51" t="str">
        <f>IF($C1761="","",IFERROR(DATE(G1761,VLOOKUP(E1761,Paramètres!$K$11:$L$40,2,FALSE()),F1761),"?"))</f>
        <v/>
      </c>
      <c r="I1761" s="50" t="str">
        <f>IF(ISNUMBER(H1761),IF(COUNTIFS($D$2:D1761,D1761,$H$2:H1761,H1761)=1,1,0),"")</f>
        <v/>
      </c>
      <c r="J1761" s="50" t="str">
        <f>IF(ISNUMBER(H1761),IFERROR(INDEX(Calendrier!$C$2:$C$367,MATCH(H1761,Calendrier!$A$2:$A$367,0)),0),"")</f>
        <v/>
      </c>
      <c r="K1761" s="50" t="str">
        <f t="shared" si="139"/>
        <v/>
      </c>
      <c r="L1761" s="50" t="str">
        <f>IF(D1761="","",IF(COUNTIF(Paramètres!$A$11:$A$40,D1761)&gt;0,1,0))</f>
        <v/>
      </c>
    </row>
    <row r="1762" spans="1:12" hidden="1" x14ac:dyDescent="0.25">
      <c r="A1762" s="49"/>
      <c r="B1762" s="49"/>
      <c r="C1762" s="49"/>
      <c r="D1762" s="50" t="str">
        <f t="shared" si="135"/>
        <v/>
      </c>
      <c r="E1762" s="50" t="str">
        <f t="shared" si="136"/>
        <v/>
      </c>
      <c r="F1762" s="50" t="str">
        <f t="shared" si="137"/>
        <v/>
      </c>
      <c r="G1762" s="50" t="str">
        <f t="shared" si="138"/>
        <v/>
      </c>
      <c r="H1762" s="51" t="str">
        <f>IF($C1762="","",IFERROR(DATE(G1762,VLOOKUP(E1762,Paramètres!$K$11:$L$40,2,FALSE()),F1762),"?"))</f>
        <v/>
      </c>
      <c r="I1762" s="50" t="str">
        <f>IF(ISNUMBER(H1762),IF(COUNTIFS($D$2:D1762,D1762,$H$2:H1762,H1762)=1,1,0),"")</f>
        <v/>
      </c>
      <c r="J1762" s="50" t="str">
        <f>IF(ISNUMBER(H1762),IFERROR(INDEX(Calendrier!$C$2:$C$367,MATCH(H1762,Calendrier!$A$2:$A$367,0)),0),"")</f>
        <v/>
      </c>
      <c r="K1762" s="50" t="str">
        <f t="shared" si="139"/>
        <v/>
      </c>
      <c r="L1762" s="50" t="str">
        <f>IF(D1762="","",IF(COUNTIF(Paramètres!$A$11:$A$40,D1762)&gt;0,1,0))</f>
        <v/>
      </c>
    </row>
    <row r="1763" spans="1:12" hidden="1" x14ac:dyDescent="0.25">
      <c r="A1763" s="49"/>
      <c r="B1763" s="49"/>
      <c r="C1763" s="49"/>
      <c r="D1763" s="50" t="str">
        <f t="shared" si="135"/>
        <v/>
      </c>
      <c r="E1763" s="50" t="str">
        <f t="shared" si="136"/>
        <v/>
      </c>
      <c r="F1763" s="50" t="str">
        <f t="shared" si="137"/>
        <v/>
      </c>
      <c r="G1763" s="50" t="str">
        <f t="shared" si="138"/>
        <v/>
      </c>
      <c r="H1763" s="51" t="str">
        <f>IF($C1763="","",IFERROR(DATE(G1763,VLOOKUP(E1763,Paramètres!$K$11:$L$40,2,FALSE()),F1763),"?"))</f>
        <v/>
      </c>
      <c r="I1763" s="50" t="str">
        <f>IF(ISNUMBER(H1763),IF(COUNTIFS($D$2:D1763,D1763,$H$2:H1763,H1763)=1,1,0),"")</f>
        <v/>
      </c>
      <c r="J1763" s="50" t="str">
        <f>IF(ISNUMBER(H1763),IFERROR(INDEX(Calendrier!$C$2:$C$367,MATCH(H1763,Calendrier!$A$2:$A$367,0)),0),"")</f>
        <v/>
      </c>
      <c r="K1763" s="50" t="str">
        <f t="shared" si="139"/>
        <v/>
      </c>
      <c r="L1763" s="50" t="str">
        <f>IF(D1763="","",IF(COUNTIF(Paramètres!$A$11:$A$40,D1763)&gt;0,1,0))</f>
        <v/>
      </c>
    </row>
    <row r="1764" spans="1:12" hidden="1" x14ac:dyDescent="0.25">
      <c r="A1764" s="49"/>
      <c r="B1764" s="49"/>
      <c r="C1764" s="49"/>
      <c r="D1764" s="50" t="str">
        <f t="shared" si="135"/>
        <v/>
      </c>
      <c r="E1764" s="50" t="str">
        <f t="shared" si="136"/>
        <v/>
      </c>
      <c r="F1764" s="50" t="str">
        <f t="shared" si="137"/>
        <v/>
      </c>
      <c r="G1764" s="50" t="str">
        <f t="shared" si="138"/>
        <v/>
      </c>
      <c r="H1764" s="51" t="str">
        <f>IF($C1764="","",IFERROR(DATE(G1764,VLOOKUP(E1764,Paramètres!$K$11:$L$40,2,FALSE()),F1764),"?"))</f>
        <v/>
      </c>
      <c r="I1764" s="50" t="str">
        <f>IF(ISNUMBER(H1764),IF(COUNTIFS($D$2:D1764,D1764,$H$2:H1764,H1764)=1,1,0),"")</f>
        <v/>
      </c>
      <c r="J1764" s="50" t="str">
        <f>IF(ISNUMBER(H1764),IFERROR(INDEX(Calendrier!$C$2:$C$367,MATCH(H1764,Calendrier!$A$2:$A$367,0)),0),"")</f>
        <v/>
      </c>
      <c r="K1764" s="50" t="str">
        <f t="shared" si="139"/>
        <v/>
      </c>
      <c r="L1764" s="50" t="str">
        <f>IF(D1764="","",IF(COUNTIF(Paramètres!$A$11:$A$40,D1764)&gt;0,1,0))</f>
        <v/>
      </c>
    </row>
    <row r="1765" spans="1:12" hidden="1" x14ac:dyDescent="0.25">
      <c r="A1765" s="49"/>
      <c r="B1765" s="49"/>
      <c r="C1765" s="49"/>
      <c r="D1765" s="50" t="str">
        <f t="shared" si="135"/>
        <v/>
      </c>
      <c r="E1765" s="50" t="str">
        <f t="shared" si="136"/>
        <v/>
      </c>
      <c r="F1765" s="50" t="str">
        <f t="shared" si="137"/>
        <v/>
      </c>
      <c r="G1765" s="50" t="str">
        <f t="shared" si="138"/>
        <v/>
      </c>
      <c r="H1765" s="51" t="str">
        <f>IF($C1765="","",IFERROR(DATE(G1765,VLOOKUP(E1765,Paramètres!$K$11:$L$40,2,FALSE()),F1765),"?"))</f>
        <v/>
      </c>
      <c r="I1765" s="50" t="str">
        <f>IF(ISNUMBER(H1765),IF(COUNTIFS($D$2:D1765,D1765,$H$2:H1765,H1765)=1,1,0),"")</f>
        <v/>
      </c>
      <c r="J1765" s="50" t="str">
        <f>IF(ISNUMBER(H1765),IFERROR(INDEX(Calendrier!$C$2:$C$367,MATCH(H1765,Calendrier!$A$2:$A$367,0)),0),"")</f>
        <v/>
      </c>
      <c r="K1765" s="50" t="str">
        <f t="shared" si="139"/>
        <v/>
      </c>
      <c r="L1765" s="50" t="str">
        <f>IF(D1765="","",IF(COUNTIF(Paramètres!$A$11:$A$40,D1765)&gt;0,1,0))</f>
        <v/>
      </c>
    </row>
    <row r="1766" spans="1:12" hidden="1" x14ac:dyDescent="0.25">
      <c r="A1766" s="49"/>
      <c r="B1766" s="49"/>
      <c r="C1766" s="49"/>
      <c r="D1766" s="50" t="str">
        <f t="shared" si="135"/>
        <v/>
      </c>
      <c r="E1766" s="50" t="str">
        <f t="shared" si="136"/>
        <v/>
      </c>
      <c r="F1766" s="50" t="str">
        <f t="shared" si="137"/>
        <v/>
      </c>
      <c r="G1766" s="50" t="str">
        <f t="shared" si="138"/>
        <v/>
      </c>
      <c r="H1766" s="51" t="str">
        <f>IF($C1766="","",IFERROR(DATE(G1766,VLOOKUP(E1766,Paramètres!$K$11:$L$40,2,FALSE()),F1766),"?"))</f>
        <v/>
      </c>
      <c r="I1766" s="50" t="str">
        <f>IF(ISNUMBER(H1766),IF(COUNTIFS($D$2:D1766,D1766,$H$2:H1766,H1766)=1,1,0),"")</f>
        <v/>
      </c>
      <c r="J1766" s="50" t="str">
        <f>IF(ISNUMBER(H1766),IFERROR(INDEX(Calendrier!$C$2:$C$367,MATCH(H1766,Calendrier!$A$2:$A$367,0)),0),"")</f>
        <v/>
      </c>
      <c r="K1766" s="50" t="str">
        <f t="shared" si="139"/>
        <v/>
      </c>
      <c r="L1766" s="50" t="str">
        <f>IF(D1766="","",IF(COUNTIF(Paramètres!$A$11:$A$40,D1766)&gt;0,1,0))</f>
        <v/>
      </c>
    </row>
    <row r="1767" spans="1:12" hidden="1" x14ac:dyDescent="0.25">
      <c r="A1767" s="49"/>
      <c r="B1767" s="49"/>
      <c r="C1767" s="49"/>
      <c r="D1767" s="50" t="str">
        <f t="shared" si="135"/>
        <v/>
      </c>
      <c r="E1767" s="50" t="str">
        <f t="shared" si="136"/>
        <v/>
      </c>
      <c r="F1767" s="50" t="str">
        <f t="shared" si="137"/>
        <v/>
      </c>
      <c r="G1767" s="50" t="str">
        <f t="shared" si="138"/>
        <v/>
      </c>
      <c r="H1767" s="51" t="str">
        <f>IF($C1767="","",IFERROR(DATE(G1767,VLOOKUP(E1767,Paramètres!$K$11:$L$40,2,FALSE()),F1767),"?"))</f>
        <v/>
      </c>
      <c r="I1767" s="50" t="str">
        <f>IF(ISNUMBER(H1767),IF(COUNTIFS($D$2:D1767,D1767,$H$2:H1767,H1767)=1,1,0),"")</f>
        <v/>
      </c>
      <c r="J1767" s="50" t="str">
        <f>IF(ISNUMBER(H1767),IFERROR(INDEX(Calendrier!$C$2:$C$367,MATCH(H1767,Calendrier!$A$2:$A$367,0)),0),"")</f>
        <v/>
      </c>
      <c r="K1767" s="50" t="str">
        <f t="shared" si="139"/>
        <v/>
      </c>
      <c r="L1767" s="50" t="str">
        <f>IF(D1767="","",IF(COUNTIF(Paramètres!$A$11:$A$40,D1767)&gt;0,1,0))</f>
        <v/>
      </c>
    </row>
    <row r="1768" spans="1:12" hidden="1" x14ac:dyDescent="0.25">
      <c r="A1768" s="49"/>
      <c r="B1768" s="49"/>
      <c r="C1768" s="49"/>
      <c r="D1768" s="50" t="str">
        <f t="shared" si="135"/>
        <v/>
      </c>
      <c r="E1768" s="50" t="str">
        <f t="shared" si="136"/>
        <v/>
      </c>
      <c r="F1768" s="50" t="str">
        <f t="shared" si="137"/>
        <v/>
      </c>
      <c r="G1768" s="50" t="str">
        <f t="shared" si="138"/>
        <v/>
      </c>
      <c r="H1768" s="51" t="str">
        <f>IF($C1768="","",IFERROR(DATE(G1768,VLOOKUP(E1768,Paramètres!$K$11:$L$40,2,FALSE()),F1768),"?"))</f>
        <v/>
      </c>
      <c r="I1768" s="50" t="str">
        <f>IF(ISNUMBER(H1768),IF(COUNTIFS($D$2:D1768,D1768,$H$2:H1768,H1768)=1,1,0),"")</f>
        <v/>
      </c>
      <c r="J1768" s="50" t="str">
        <f>IF(ISNUMBER(H1768),IFERROR(INDEX(Calendrier!$C$2:$C$367,MATCH(H1768,Calendrier!$A$2:$A$367,0)),0),"")</f>
        <v/>
      </c>
      <c r="K1768" s="50" t="str">
        <f t="shared" si="139"/>
        <v/>
      </c>
      <c r="L1768" s="50" t="str">
        <f>IF(D1768="","",IF(COUNTIF(Paramètres!$A$11:$A$40,D1768)&gt;0,1,0))</f>
        <v/>
      </c>
    </row>
    <row r="1769" spans="1:12" hidden="1" x14ac:dyDescent="0.25">
      <c r="A1769" s="49"/>
      <c r="B1769" s="49"/>
      <c r="C1769" s="49"/>
      <c r="D1769" s="50" t="str">
        <f t="shared" si="135"/>
        <v/>
      </c>
      <c r="E1769" s="50" t="str">
        <f t="shared" si="136"/>
        <v/>
      </c>
      <c r="F1769" s="50" t="str">
        <f t="shared" si="137"/>
        <v/>
      </c>
      <c r="G1769" s="50" t="str">
        <f t="shared" si="138"/>
        <v/>
      </c>
      <c r="H1769" s="51" t="str">
        <f>IF($C1769="","",IFERROR(DATE(G1769,VLOOKUP(E1769,Paramètres!$K$11:$L$40,2,FALSE()),F1769),"?"))</f>
        <v/>
      </c>
      <c r="I1769" s="50" t="str">
        <f>IF(ISNUMBER(H1769),IF(COUNTIFS($D$2:D1769,D1769,$H$2:H1769,H1769)=1,1,0),"")</f>
        <v/>
      </c>
      <c r="J1769" s="50" t="str">
        <f>IF(ISNUMBER(H1769),IFERROR(INDEX(Calendrier!$C$2:$C$367,MATCH(H1769,Calendrier!$A$2:$A$367,0)),0),"")</f>
        <v/>
      </c>
      <c r="K1769" s="50" t="str">
        <f t="shared" si="139"/>
        <v/>
      </c>
      <c r="L1769" s="50" t="str">
        <f>IF(D1769="","",IF(COUNTIF(Paramètres!$A$11:$A$40,D1769)&gt;0,1,0))</f>
        <v/>
      </c>
    </row>
    <row r="1770" spans="1:12" hidden="1" x14ac:dyDescent="0.25">
      <c r="A1770" s="49"/>
      <c r="B1770" s="49"/>
      <c r="C1770" s="49"/>
      <c r="D1770" s="50" t="str">
        <f t="shared" si="135"/>
        <v/>
      </c>
      <c r="E1770" s="50" t="str">
        <f t="shared" si="136"/>
        <v/>
      </c>
      <c r="F1770" s="50" t="str">
        <f t="shared" si="137"/>
        <v/>
      </c>
      <c r="G1770" s="50" t="str">
        <f t="shared" si="138"/>
        <v/>
      </c>
      <c r="H1770" s="51" t="str">
        <f>IF($C1770="","",IFERROR(DATE(G1770,VLOOKUP(E1770,Paramètres!$K$11:$L$40,2,FALSE()),F1770),"?"))</f>
        <v/>
      </c>
      <c r="I1770" s="50" t="str">
        <f>IF(ISNUMBER(H1770),IF(COUNTIFS($D$2:D1770,D1770,$H$2:H1770,H1770)=1,1,0),"")</f>
        <v/>
      </c>
      <c r="J1770" s="50" t="str">
        <f>IF(ISNUMBER(H1770),IFERROR(INDEX(Calendrier!$C$2:$C$367,MATCH(H1770,Calendrier!$A$2:$A$367,0)),0),"")</f>
        <v/>
      </c>
      <c r="K1770" s="50" t="str">
        <f t="shared" si="139"/>
        <v/>
      </c>
      <c r="L1770" s="50" t="str">
        <f>IF(D1770="","",IF(COUNTIF(Paramètres!$A$11:$A$40,D1770)&gt;0,1,0))</f>
        <v/>
      </c>
    </row>
    <row r="1771" spans="1:12" hidden="1" x14ac:dyDescent="0.25">
      <c r="A1771" s="49"/>
      <c r="B1771" s="49"/>
      <c r="C1771" s="49"/>
      <c r="D1771" s="50" t="str">
        <f t="shared" si="135"/>
        <v/>
      </c>
      <c r="E1771" s="50" t="str">
        <f t="shared" si="136"/>
        <v/>
      </c>
      <c r="F1771" s="50" t="str">
        <f t="shared" si="137"/>
        <v/>
      </c>
      <c r="G1771" s="50" t="str">
        <f t="shared" si="138"/>
        <v/>
      </c>
      <c r="H1771" s="51" t="str">
        <f>IF($C1771="","",IFERROR(DATE(G1771,VLOOKUP(E1771,Paramètres!$K$11:$L$40,2,FALSE()),F1771),"?"))</f>
        <v/>
      </c>
      <c r="I1771" s="50" t="str">
        <f>IF(ISNUMBER(H1771),IF(COUNTIFS($D$2:D1771,D1771,$H$2:H1771,H1771)=1,1,0),"")</f>
        <v/>
      </c>
      <c r="J1771" s="50" t="str">
        <f>IF(ISNUMBER(H1771),IFERROR(INDEX(Calendrier!$C$2:$C$367,MATCH(H1771,Calendrier!$A$2:$A$367,0)),0),"")</f>
        <v/>
      </c>
      <c r="K1771" s="50" t="str">
        <f t="shared" si="139"/>
        <v/>
      </c>
      <c r="L1771" s="50" t="str">
        <f>IF(D1771="","",IF(COUNTIF(Paramètres!$A$11:$A$40,D1771)&gt;0,1,0))</f>
        <v/>
      </c>
    </row>
    <row r="1772" spans="1:12" hidden="1" x14ac:dyDescent="0.25">
      <c r="A1772" s="49"/>
      <c r="B1772" s="49"/>
      <c r="C1772" s="49"/>
      <c r="D1772" s="50" t="str">
        <f t="shared" si="135"/>
        <v/>
      </c>
      <c r="E1772" s="50" t="str">
        <f t="shared" si="136"/>
        <v/>
      </c>
      <c r="F1772" s="50" t="str">
        <f t="shared" si="137"/>
        <v/>
      </c>
      <c r="G1772" s="50" t="str">
        <f t="shared" si="138"/>
        <v/>
      </c>
      <c r="H1772" s="51" t="str">
        <f>IF($C1772="","",IFERROR(DATE(G1772,VLOOKUP(E1772,Paramètres!$K$11:$L$40,2,FALSE()),F1772),"?"))</f>
        <v/>
      </c>
      <c r="I1772" s="50" t="str">
        <f>IF(ISNUMBER(H1772),IF(COUNTIFS($D$2:D1772,D1772,$H$2:H1772,H1772)=1,1,0),"")</f>
        <v/>
      </c>
      <c r="J1772" s="50" t="str">
        <f>IF(ISNUMBER(H1772),IFERROR(INDEX(Calendrier!$C$2:$C$367,MATCH(H1772,Calendrier!$A$2:$A$367,0)),0),"")</f>
        <v/>
      </c>
      <c r="K1772" s="50" t="str">
        <f t="shared" si="139"/>
        <v/>
      </c>
      <c r="L1772" s="50" t="str">
        <f>IF(D1772="","",IF(COUNTIF(Paramètres!$A$11:$A$40,D1772)&gt;0,1,0))</f>
        <v/>
      </c>
    </row>
    <row r="1773" spans="1:12" hidden="1" x14ac:dyDescent="0.25">
      <c r="A1773" s="49"/>
      <c r="B1773" s="49"/>
      <c r="C1773" s="49"/>
      <c r="D1773" s="50" t="str">
        <f t="shared" si="135"/>
        <v/>
      </c>
      <c r="E1773" s="50" t="str">
        <f t="shared" si="136"/>
        <v/>
      </c>
      <c r="F1773" s="50" t="str">
        <f t="shared" si="137"/>
        <v/>
      </c>
      <c r="G1773" s="50" t="str">
        <f t="shared" si="138"/>
        <v/>
      </c>
      <c r="H1773" s="51" t="str">
        <f>IF($C1773="","",IFERROR(DATE(G1773,VLOOKUP(E1773,Paramètres!$K$11:$L$40,2,FALSE()),F1773),"?"))</f>
        <v/>
      </c>
      <c r="I1773" s="50" t="str">
        <f>IF(ISNUMBER(H1773),IF(COUNTIFS($D$2:D1773,D1773,$H$2:H1773,H1773)=1,1,0),"")</f>
        <v/>
      </c>
      <c r="J1773" s="50" t="str">
        <f>IF(ISNUMBER(H1773),IFERROR(INDEX(Calendrier!$C$2:$C$367,MATCH(H1773,Calendrier!$A$2:$A$367,0)),0),"")</f>
        <v/>
      </c>
      <c r="K1773" s="50" t="str">
        <f t="shared" si="139"/>
        <v/>
      </c>
      <c r="L1773" s="50" t="str">
        <f>IF(D1773="","",IF(COUNTIF(Paramètres!$A$11:$A$40,D1773)&gt;0,1,0))</f>
        <v/>
      </c>
    </row>
    <row r="1774" spans="1:12" hidden="1" x14ac:dyDescent="0.25">
      <c r="A1774" s="49"/>
      <c r="B1774" s="49"/>
      <c r="C1774" s="49"/>
      <c r="D1774" s="50" t="str">
        <f t="shared" si="135"/>
        <v/>
      </c>
      <c r="E1774" s="50" t="str">
        <f t="shared" si="136"/>
        <v/>
      </c>
      <c r="F1774" s="50" t="str">
        <f t="shared" si="137"/>
        <v/>
      </c>
      <c r="G1774" s="50" t="str">
        <f t="shared" si="138"/>
        <v/>
      </c>
      <c r="H1774" s="51" t="str">
        <f>IF($C1774="","",IFERROR(DATE(G1774,VLOOKUP(E1774,Paramètres!$K$11:$L$40,2,FALSE()),F1774),"?"))</f>
        <v/>
      </c>
      <c r="I1774" s="50" t="str">
        <f>IF(ISNUMBER(H1774),IF(COUNTIFS($D$2:D1774,D1774,$H$2:H1774,H1774)=1,1,0),"")</f>
        <v/>
      </c>
      <c r="J1774" s="50" t="str">
        <f>IF(ISNUMBER(H1774),IFERROR(INDEX(Calendrier!$C$2:$C$367,MATCH(H1774,Calendrier!$A$2:$A$367,0)),0),"")</f>
        <v/>
      </c>
      <c r="K1774" s="50" t="str">
        <f t="shared" si="139"/>
        <v/>
      </c>
      <c r="L1774" s="50" t="str">
        <f>IF(D1774="","",IF(COUNTIF(Paramètres!$A$11:$A$40,D1774)&gt;0,1,0))</f>
        <v/>
      </c>
    </row>
    <row r="1775" spans="1:12" hidden="1" x14ac:dyDescent="0.25">
      <c r="A1775" s="49"/>
      <c r="B1775" s="49"/>
      <c r="C1775" s="49"/>
      <c r="D1775" s="50" t="str">
        <f t="shared" si="135"/>
        <v/>
      </c>
      <c r="E1775" s="50" t="str">
        <f t="shared" si="136"/>
        <v/>
      </c>
      <c r="F1775" s="50" t="str">
        <f t="shared" si="137"/>
        <v/>
      </c>
      <c r="G1775" s="50" t="str">
        <f t="shared" si="138"/>
        <v/>
      </c>
      <c r="H1775" s="51" t="str">
        <f>IF($C1775="","",IFERROR(DATE(G1775,VLOOKUP(E1775,Paramètres!$K$11:$L$40,2,FALSE()),F1775),"?"))</f>
        <v/>
      </c>
      <c r="I1775" s="50" t="str">
        <f>IF(ISNUMBER(H1775),IF(COUNTIFS($D$2:D1775,D1775,$H$2:H1775,H1775)=1,1,0),"")</f>
        <v/>
      </c>
      <c r="J1775" s="50" t="str">
        <f>IF(ISNUMBER(H1775),IFERROR(INDEX(Calendrier!$C$2:$C$367,MATCH(H1775,Calendrier!$A$2:$A$367,0)),0),"")</f>
        <v/>
      </c>
      <c r="K1775" s="50" t="str">
        <f t="shared" si="139"/>
        <v/>
      </c>
      <c r="L1775" s="50" t="str">
        <f>IF(D1775="","",IF(COUNTIF(Paramètres!$A$11:$A$40,D1775)&gt;0,1,0))</f>
        <v/>
      </c>
    </row>
    <row r="1776" spans="1:12" hidden="1" x14ac:dyDescent="0.25">
      <c r="A1776" s="49"/>
      <c r="B1776" s="49"/>
      <c r="C1776" s="49"/>
      <c r="D1776" s="50" t="str">
        <f t="shared" si="135"/>
        <v/>
      </c>
      <c r="E1776" s="50" t="str">
        <f t="shared" si="136"/>
        <v/>
      </c>
      <c r="F1776" s="50" t="str">
        <f t="shared" si="137"/>
        <v/>
      </c>
      <c r="G1776" s="50" t="str">
        <f t="shared" si="138"/>
        <v/>
      </c>
      <c r="H1776" s="51" t="str">
        <f>IF($C1776="","",IFERROR(DATE(G1776,VLOOKUP(E1776,Paramètres!$K$11:$L$40,2,FALSE()),F1776),"?"))</f>
        <v/>
      </c>
      <c r="I1776" s="50" t="str">
        <f>IF(ISNUMBER(H1776),IF(COUNTIFS($D$2:D1776,D1776,$H$2:H1776,H1776)=1,1,0),"")</f>
        <v/>
      </c>
      <c r="J1776" s="50" t="str">
        <f>IF(ISNUMBER(H1776),IFERROR(INDEX(Calendrier!$C$2:$C$367,MATCH(H1776,Calendrier!$A$2:$A$367,0)),0),"")</f>
        <v/>
      </c>
      <c r="K1776" s="50" t="str">
        <f t="shared" si="139"/>
        <v/>
      </c>
      <c r="L1776" s="50" t="str">
        <f>IF(D1776="","",IF(COUNTIF(Paramètres!$A$11:$A$40,D1776)&gt;0,1,0))</f>
        <v/>
      </c>
    </row>
    <row r="1777" spans="1:12" hidden="1" x14ac:dyDescent="0.25">
      <c r="A1777" s="49"/>
      <c r="B1777" s="49"/>
      <c r="C1777" s="49"/>
      <c r="D1777" s="50" t="str">
        <f t="shared" si="135"/>
        <v/>
      </c>
      <c r="E1777" s="50" t="str">
        <f t="shared" si="136"/>
        <v/>
      </c>
      <c r="F1777" s="50" t="str">
        <f t="shared" si="137"/>
        <v/>
      </c>
      <c r="G1777" s="50" t="str">
        <f t="shared" si="138"/>
        <v/>
      </c>
      <c r="H1777" s="51" t="str">
        <f>IF($C1777="","",IFERROR(DATE(G1777,VLOOKUP(E1777,Paramètres!$K$11:$L$40,2,FALSE()),F1777),"?"))</f>
        <v/>
      </c>
      <c r="I1777" s="50" t="str">
        <f>IF(ISNUMBER(H1777),IF(COUNTIFS($D$2:D1777,D1777,$H$2:H1777,H1777)=1,1,0),"")</f>
        <v/>
      </c>
      <c r="J1777" s="50" t="str">
        <f>IF(ISNUMBER(H1777),IFERROR(INDEX(Calendrier!$C$2:$C$367,MATCH(H1777,Calendrier!$A$2:$A$367,0)),0),"")</f>
        <v/>
      </c>
      <c r="K1777" s="50" t="str">
        <f t="shared" si="139"/>
        <v/>
      </c>
      <c r="L1777" s="50" t="str">
        <f>IF(D1777="","",IF(COUNTIF(Paramètres!$A$11:$A$40,D1777)&gt;0,1,0))</f>
        <v/>
      </c>
    </row>
    <row r="1778" spans="1:12" hidden="1" x14ac:dyDescent="0.25">
      <c r="A1778" s="49"/>
      <c r="B1778" s="49"/>
      <c r="C1778" s="49"/>
      <c r="D1778" s="50" t="str">
        <f t="shared" si="135"/>
        <v/>
      </c>
      <c r="E1778" s="50" t="str">
        <f t="shared" si="136"/>
        <v/>
      </c>
      <c r="F1778" s="50" t="str">
        <f t="shared" si="137"/>
        <v/>
      </c>
      <c r="G1778" s="50" t="str">
        <f t="shared" si="138"/>
        <v/>
      </c>
      <c r="H1778" s="51" t="str">
        <f>IF($C1778="","",IFERROR(DATE(G1778,VLOOKUP(E1778,Paramètres!$K$11:$L$40,2,FALSE()),F1778),"?"))</f>
        <v/>
      </c>
      <c r="I1778" s="50" t="str">
        <f>IF(ISNUMBER(H1778),IF(COUNTIFS($D$2:D1778,D1778,$H$2:H1778,H1778)=1,1,0),"")</f>
        <v/>
      </c>
      <c r="J1778" s="50" t="str">
        <f>IF(ISNUMBER(H1778),IFERROR(INDEX(Calendrier!$C$2:$C$367,MATCH(H1778,Calendrier!$A$2:$A$367,0)),0),"")</f>
        <v/>
      </c>
      <c r="K1778" s="50" t="str">
        <f t="shared" si="139"/>
        <v/>
      </c>
      <c r="L1778" s="50" t="str">
        <f>IF(D1778="","",IF(COUNTIF(Paramètres!$A$11:$A$40,D1778)&gt;0,1,0))</f>
        <v/>
      </c>
    </row>
    <row r="1779" spans="1:12" hidden="1" x14ac:dyDescent="0.25">
      <c r="A1779" s="49"/>
      <c r="B1779" s="49"/>
      <c r="C1779" s="49"/>
      <c r="D1779" s="50" t="str">
        <f t="shared" si="135"/>
        <v/>
      </c>
      <c r="E1779" s="50" t="str">
        <f t="shared" si="136"/>
        <v/>
      </c>
      <c r="F1779" s="50" t="str">
        <f t="shared" si="137"/>
        <v/>
      </c>
      <c r="G1779" s="50" t="str">
        <f t="shared" si="138"/>
        <v/>
      </c>
      <c r="H1779" s="51" t="str">
        <f>IF($C1779="","",IFERROR(DATE(G1779,VLOOKUP(E1779,Paramètres!$K$11:$L$40,2,FALSE()),F1779),"?"))</f>
        <v/>
      </c>
      <c r="I1779" s="50" t="str">
        <f>IF(ISNUMBER(H1779),IF(COUNTIFS($D$2:D1779,D1779,$H$2:H1779,H1779)=1,1,0),"")</f>
        <v/>
      </c>
      <c r="J1779" s="50" t="str">
        <f>IF(ISNUMBER(H1779),IFERROR(INDEX(Calendrier!$C$2:$C$367,MATCH(H1779,Calendrier!$A$2:$A$367,0)),0),"")</f>
        <v/>
      </c>
      <c r="K1779" s="50" t="str">
        <f t="shared" si="139"/>
        <v/>
      </c>
      <c r="L1779" s="50" t="str">
        <f>IF(D1779="","",IF(COUNTIF(Paramètres!$A$11:$A$40,D1779)&gt;0,1,0))</f>
        <v/>
      </c>
    </row>
    <row r="1780" spans="1:12" hidden="1" x14ac:dyDescent="0.25">
      <c r="A1780" s="49"/>
      <c r="B1780" s="49"/>
      <c r="C1780" s="49"/>
      <c r="D1780" s="50" t="str">
        <f t="shared" si="135"/>
        <v/>
      </c>
      <c r="E1780" s="50" t="str">
        <f t="shared" si="136"/>
        <v/>
      </c>
      <c r="F1780" s="50" t="str">
        <f t="shared" si="137"/>
        <v/>
      </c>
      <c r="G1780" s="50" t="str">
        <f t="shared" si="138"/>
        <v/>
      </c>
      <c r="H1780" s="51" t="str">
        <f>IF($C1780="","",IFERROR(DATE(G1780,VLOOKUP(E1780,Paramètres!$K$11:$L$40,2,FALSE()),F1780),"?"))</f>
        <v/>
      </c>
      <c r="I1780" s="50" t="str">
        <f>IF(ISNUMBER(H1780),IF(COUNTIFS($D$2:D1780,D1780,$H$2:H1780,H1780)=1,1,0),"")</f>
        <v/>
      </c>
      <c r="J1780" s="50" t="str">
        <f>IF(ISNUMBER(H1780),IFERROR(INDEX(Calendrier!$C$2:$C$367,MATCH(H1780,Calendrier!$A$2:$A$367,0)),0),"")</f>
        <v/>
      </c>
      <c r="K1780" s="50" t="str">
        <f t="shared" si="139"/>
        <v/>
      </c>
      <c r="L1780" s="50" t="str">
        <f>IF(D1780="","",IF(COUNTIF(Paramètres!$A$11:$A$40,D1780)&gt;0,1,0))</f>
        <v/>
      </c>
    </row>
    <row r="1781" spans="1:12" hidden="1" x14ac:dyDescent="0.25">
      <c r="A1781" s="49"/>
      <c r="B1781" s="49"/>
      <c r="C1781" s="49"/>
      <c r="D1781" s="50" t="str">
        <f t="shared" si="135"/>
        <v/>
      </c>
      <c r="E1781" s="50" t="str">
        <f t="shared" si="136"/>
        <v/>
      </c>
      <c r="F1781" s="50" t="str">
        <f t="shared" si="137"/>
        <v/>
      </c>
      <c r="G1781" s="50" t="str">
        <f t="shared" si="138"/>
        <v/>
      </c>
      <c r="H1781" s="51" t="str">
        <f>IF($C1781="","",IFERROR(DATE(G1781,VLOOKUP(E1781,Paramètres!$K$11:$L$40,2,FALSE()),F1781),"?"))</f>
        <v/>
      </c>
      <c r="I1781" s="50" t="str">
        <f>IF(ISNUMBER(H1781),IF(COUNTIFS($D$2:D1781,D1781,$H$2:H1781,H1781)=1,1,0),"")</f>
        <v/>
      </c>
      <c r="J1781" s="50" t="str">
        <f>IF(ISNUMBER(H1781),IFERROR(INDEX(Calendrier!$C$2:$C$367,MATCH(H1781,Calendrier!$A$2:$A$367,0)),0),"")</f>
        <v/>
      </c>
      <c r="K1781" s="50" t="str">
        <f t="shared" si="139"/>
        <v/>
      </c>
      <c r="L1781" s="50" t="str">
        <f>IF(D1781="","",IF(COUNTIF(Paramètres!$A$11:$A$40,D1781)&gt;0,1,0))</f>
        <v/>
      </c>
    </row>
    <row r="1782" spans="1:12" hidden="1" x14ac:dyDescent="0.25">
      <c r="A1782" s="49"/>
      <c r="B1782" s="49"/>
      <c r="C1782" s="49"/>
      <c r="D1782" s="50" t="str">
        <f t="shared" si="135"/>
        <v/>
      </c>
      <c r="E1782" s="50" t="str">
        <f t="shared" si="136"/>
        <v/>
      </c>
      <c r="F1782" s="50" t="str">
        <f t="shared" si="137"/>
        <v/>
      </c>
      <c r="G1782" s="50" t="str">
        <f t="shared" si="138"/>
        <v/>
      </c>
      <c r="H1782" s="51" t="str">
        <f>IF($C1782="","",IFERROR(DATE(G1782,VLOOKUP(E1782,Paramètres!$K$11:$L$40,2,FALSE()),F1782),"?"))</f>
        <v/>
      </c>
      <c r="I1782" s="50" t="str">
        <f>IF(ISNUMBER(H1782),IF(COUNTIFS($D$2:D1782,D1782,$H$2:H1782,H1782)=1,1,0),"")</f>
        <v/>
      </c>
      <c r="J1782" s="50" t="str">
        <f>IF(ISNUMBER(H1782),IFERROR(INDEX(Calendrier!$C$2:$C$367,MATCH(H1782,Calendrier!$A$2:$A$367,0)),0),"")</f>
        <v/>
      </c>
      <c r="K1782" s="50" t="str">
        <f t="shared" si="139"/>
        <v/>
      </c>
      <c r="L1782" s="50" t="str">
        <f>IF(D1782="","",IF(COUNTIF(Paramètres!$A$11:$A$40,D1782)&gt;0,1,0))</f>
        <v/>
      </c>
    </row>
    <row r="1783" spans="1:12" hidden="1" x14ac:dyDescent="0.25">
      <c r="A1783" s="49"/>
      <c r="B1783" s="49"/>
      <c r="C1783" s="49"/>
      <c r="D1783" s="50" t="str">
        <f t="shared" si="135"/>
        <v/>
      </c>
      <c r="E1783" s="50" t="str">
        <f t="shared" si="136"/>
        <v/>
      </c>
      <c r="F1783" s="50" t="str">
        <f t="shared" si="137"/>
        <v/>
      </c>
      <c r="G1783" s="50" t="str">
        <f t="shared" si="138"/>
        <v/>
      </c>
      <c r="H1783" s="51" t="str">
        <f>IF($C1783="","",IFERROR(DATE(G1783,VLOOKUP(E1783,Paramètres!$K$11:$L$40,2,FALSE()),F1783),"?"))</f>
        <v/>
      </c>
      <c r="I1783" s="50" t="str">
        <f>IF(ISNUMBER(H1783),IF(COUNTIFS($D$2:D1783,D1783,$H$2:H1783,H1783)=1,1,0),"")</f>
        <v/>
      </c>
      <c r="J1783" s="50" t="str">
        <f>IF(ISNUMBER(H1783),IFERROR(INDEX(Calendrier!$C$2:$C$367,MATCH(H1783,Calendrier!$A$2:$A$367,0)),0),"")</f>
        <v/>
      </c>
      <c r="K1783" s="50" t="str">
        <f t="shared" si="139"/>
        <v/>
      </c>
      <c r="L1783" s="50" t="str">
        <f>IF(D1783="","",IF(COUNTIF(Paramètres!$A$11:$A$40,D1783)&gt;0,1,0))</f>
        <v/>
      </c>
    </row>
    <row r="1784" spans="1:12" hidden="1" x14ac:dyDescent="0.25">
      <c r="A1784" s="49"/>
      <c r="B1784" s="49"/>
      <c r="C1784" s="49"/>
      <c r="D1784" s="50" t="str">
        <f t="shared" si="135"/>
        <v/>
      </c>
      <c r="E1784" s="50" t="str">
        <f t="shared" si="136"/>
        <v/>
      </c>
      <c r="F1784" s="50" t="str">
        <f t="shared" si="137"/>
        <v/>
      </c>
      <c r="G1784" s="50" t="str">
        <f t="shared" si="138"/>
        <v/>
      </c>
      <c r="H1784" s="51" t="str">
        <f>IF($C1784="","",IFERROR(DATE(G1784,VLOOKUP(E1784,Paramètres!$K$11:$L$40,2,FALSE()),F1784),"?"))</f>
        <v/>
      </c>
      <c r="I1784" s="50" t="str">
        <f>IF(ISNUMBER(H1784),IF(COUNTIFS($D$2:D1784,D1784,$H$2:H1784,H1784)=1,1,0),"")</f>
        <v/>
      </c>
      <c r="J1784" s="50" t="str">
        <f>IF(ISNUMBER(H1784),IFERROR(INDEX(Calendrier!$C$2:$C$367,MATCH(H1784,Calendrier!$A$2:$A$367,0)),0),"")</f>
        <v/>
      </c>
      <c r="K1784" s="50" t="str">
        <f t="shared" si="139"/>
        <v/>
      </c>
      <c r="L1784" s="50" t="str">
        <f>IF(D1784="","",IF(COUNTIF(Paramètres!$A$11:$A$40,D1784)&gt;0,1,0))</f>
        <v/>
      </c>
    </row>
    <row r="1785" spans="1:12" hidden="1" x14ac:dyDescent="0.25">
      <c r="A1785" s="49"/>
      <c r="B1785" s="49"/>
      <c r="C1785" s="49"/>
      <c r="D1785" s="50" t="str">
        <f t="shared" si="135"/>
        <v/>
      </c>
      <c r="E1785" s="50" t="str">
        <f t="shared" si="136"/>
        <v/>
      </c>
      <c r="F1785" s="50" t="str">
        <f t="shared" si="137"/>
        <v/>
      </c>
      <c r="G1785" s="50" t="str">
        <f t="shared" si="138"/>
        <v/>
      </c>
      <c r="H1785" s="51" t="str">
        <f>IF($C1785="","",IFERROR(DATE(G1785,VLOOKUP(E1785,Paramètres!$K$11:$L$40,2,FALSE()),F1785),"?"))</f>
        <v/>
      </c>
      <c r="I1785" s="50" t="str">
        <f>IF(ISNUMBER(H1785),IF(COUNTIFS($D$2:D1785,D1785,$H$2:H1785,H1785)=1,1,0),"")</f>
        <v/>
      </c>
      <c r="J1785" s="50" t="str">
        <f>IF(ISNUMBER(H1785),IFERROR(INDEX(Calendrier!$C$2:$C$367,MATCH(H1785,Calendrier!$A$2:$A$367,0)),0),"")</f>
        <v/>
      </c>
      <c r="K1785" s="50" t="str">
        <f t="shared" si="139"/>
        <v/>
      </c>
      <c r="L1785" s="50" t="str">
        <f>IF(D1785="","",IF(COUNTIF(Paramètres!$A$11:$A$40,D1785)&gt;0,1,0))</f>
        <v/>
      </c>
    </row>
    <row r="1786" spans="1:12" hidden="1" x14ac:dyDescent="0.25">
      <c r="A1786" s="49"/>
      <c r="B1786" s="49"/>
      <c r="C1786" s="49"/>
      <c r="D1786" s="50" t="str">
        <f t="shared" si="135"/>
        <v/>
      </c>
      <c r="E1786" s="50" t="str">
        <f t="shared" si="136"/>
        <v/>
      </c>
      <c r="F1786" s="50" t="str">
        <f t="shared" si="137"/>
        <v/>
      </c>
      <c r="G1786" s="50" t="str">
        <f t="shared" si="138"/>
        <v/>
      </c>
      <c r="H1786" s="51" t="str">
        <f>IF($C1786="","",IFERROR(DATE(G1786,VLOOKUP(E1786,Paramètres!$K$11:$L$40,2,FALSE()),F1786),"?"))</f>
        <v/>
      </c>
      <c r="I1786" s="50" t="str">
        <f>IF(ISNUMBER(H1786),IF(COUNTIFS($D$2:D1786,D1786,$H$2:H1786,H1786)=1,1,0),"")</f>
        <v/>
      </c>
      <c r="J1786" s="50" t="str">
        <f>IF(ISNUMBER(H1786),IFERROR(INDEX(Calendrier!$C$2:$C$367,MATCH(H1786,Calendrier!$A$2:$A$367,0)),0),"")</f>
        <v/>
      </c>
      <c r="K1786" s="50" t="str">
        <f t="shared" si="139"/>
        <v/>
      </c>
      <c r="L1786" s="50" t="str">
        <f>IF(D1786="","",IF(COUNTIF(Paramètres!$A$11:$A$40,D1786)&gt;0,1,0))</f>
        <v/>
      </c>
    </row>
    <row r="1787" spans="1:12" hidden="1" x14ac:dyDescent="0.25">
      <c r="A1787" s="49"/>
      <c r="B1787" s="49"/>
      <c r="C1787" s="49"/>
      <c r="D1787" s="50" t="str">
        <f t="shared" si="135"/>
        <v/>
      </c>
      <c r="E1787" s="50" t="str">
        <f t="shared" si="136"/>
        <v/>
      </c>
      <c r="F1787" s="50" t="str">
        <f t="shared" si="137"/>
        <v/>
      </c>
      <c r="G1787" s="50" t="str">
        <f t="shared" si="138"/>
        <v/>
      </c>
      <c r="H1787" s="51" t="str">
        <f>IF($C1787="","",IFERROR(DATE(G1787,VLOOKUP(E1787,Paramètres!$K$11:$L$40,2,FALSE()),F1787),"?"))</f>
        <v/>
      </c>
      <c r="I1787" s="50" t="str">
        <f>IF(ISNUMBER(H1787),IF(COUNTIFS($D$2:D1787,D1787,$H$2:H1787,H1787)=1,1,0),"")</f>
        <v/>
      </c>
      <c r="J1787" s="50" t="str">
        <f>IF(ISNUMBER(H1787),IFERROR(INDEX(Calendrier!$C$2:$C$367,MATCH(H1787,Calendrier!$A$2:$A$367,0)),0),"")</f>
        <v/>
      </c>
      <c r="K1787" s="50" t="str">
        <f t="shared" si="139"/>
        <v/>
      </c>
      <c r="L1787" s="50" t="str">
        <f>IF(D1787="","",IF(COUNTIF(Paramètres!$A$11:$A$40,D1787)&gt;0,1,0))</f>
        <v/>
      </c>
    </row>
    <row r="1788" spans="1:12" hidden="1" x14ac:dyDescent="0.25">
      <c r="A1788" s="49"/>
      <c r="B1788" s="49"/>
      <c r="C1788" s="49"/>
      <c r="D1788" s="50" t="str">
        <f t="shared" si="135"/>
        <v/>
      </c>
      <c r="E1788" s="50" t="str">
        <f t="shared" si="136"/>
        <v/>
      </c>
      <c r="F1788" s="50" t="str">
        <f t="shared" si="137"/>
        <v/>
      </c>
      <c r="G1788" s="50" t="str">
        <f t="shared" si="138"/>
        <v/>
      </c>
      <c r="H1788" s="51" t="str">
        <f>IF($C1788="","",IFERROR(DATE(G1788,VLOOKUP(E1788,Paramètres!$K$11:$L$40,2,FALSE()),F1788),"?"))</f>
        <v/>
      </c>
      <c r="I1788" s="50" t="str">
        <f>IF(ISNUMBER(H1788),IF(COUNTIFS($D$2:D1788,D1788,$H$2:H1788,H1788)=1,1,0),"")</f>
        <v/>
      </c>
      <c r="J1788" s="50" t="str">
        <f>IF(ISNUMBER(H1788),IFERROR(INDEX(Calendrier!$C$2:$C$367,MATCH(H1788,Calendrier!$A$2:$A$367,0)),0),"")</f>
        <v/>
      </c>
      <c r="K1788" s="50" t="str">
        <f t="shared" si="139"/>
        <v/>
      </c>
      <c r="L1788" s="50" t="str">
        <f>IF(D1788="","",IF(COUNTIF(Paramètres!$A$11:$A$40,D1788)&gt;0,1,0))</f>
        <v/>
      </c>
    </row>
    <row r="1789" spans="1:12" hidden="1" x14ac:dyDescent="0.25">
      <c r="A1789" s="49"/>
      <c r="B1789" s="49"/>
      <c r="C1789" s="49"/>
      <c r="D1789" s="50" t="str">
        <f t="shared" si="135"/>
        <v/>
      </c>
      <c r="E1789" s="50" t="str">
        <f t="shared" si="136"/>
        <v/>
      </c>
      <c r="F1789" s="50" t="str">
        <f t="shared" si="137"/>
        <v/>
      </c>
      <c r="G1789" s="50" t="str">
        <f t="shared" si="138"/>
        <v/>
      </c>
      <c r="H1789" s="51" t="str">
        <f>IF($C1789="","",IFERROR(DATE(G1789,VLOOKUP(E1789,Paramètres!$K$11:$L$40,2,FALSE()),F1789),"?"))</f>
        <v/>
      </c>
      <c r="I1789" s="50" t="str">
        <f>IF(ISNUMBER(H1789),IF(COUNTIFS($D$2:D1789,D1789,$H$2:H1789,H1789)=1,1,0),"")</f>
        <v/>
      </c>
      <c r="J1789" s="50" t="str">
        <f>IF(ISNUMBER(H1789),IFERROR(INDEX(Calendrier!$C$2:$C$367,MATCH(H1789,Calendrier!$A$2:$A$367,0)),0),"")</f>
        <v/>
      </c>
      <c r="K1789" s="50" t="str">
        <f t="shared" si="139"/>
        <v/>
      </c>
      <c r="L1789" s="50" t="str">
        <f>IF(D1789="","",IF(COUNTIF(Paramètres!$A$11:$A$40,D1789)&gt;0,1,0))</f>
        <v/>
      </c>
    </row>
    <row r="1790" spans="1:12" hidden="1" x14ac:dyDescent="0.25">
      <c r="A1790" s="49"/>
      <c r="B1790" s="49"/>
      <c r="C1790" s="49"/>
      <c r="D1790" s="50" t="str">
        <f t="shared" si="135"/>
        <v/>
      </c>
      <c r="E1790" s="50" t="str">
        <f t="shared" si="136"/>
        <v/>
      </c>
      <c r="F1790" s="50" t="str">
        <f t="shared" si="137"/>
        <v/>
      </c>
      <c r="G1790" s="50" t="str">
        <f t="shared" si="138"/>
        <v/>
      </c>
      <c r="H1790" s="51" t="str">
        <f>IF($C1790="","",IFERROR(DATE(G1790,VLOOKUP(E1790,Paramètres!$K$11:$L$40,2,FALSE()),F1790),"?"))</f>
        <v/>
      </c>
      <c r="I1790" s="50" t="str">
        <f>IF(ISNUMBER(H1790),IF(COUNTIFS($D$2:D1790,D1790,$H$2:H1790,H1790)=1,1,0),"")</f>
        <v/>
      </c>
      <c r="J1790" s="50" t="str">
        <f>IF(ISNUMBER(H1790),IFERROR(INDEX(Calendrier!$C$2:$C$367,MATCH(H1790,Calendrier!$A$2:$A$367,0)),0),"")</f>
        <v/>
      </c>
      <c r="K1790" s="50" t="str">
        <f t="shared" si="139"/>
        <v/>
      </c>
      <c r="L1790" s="50" t="str">
        <f>IF(D1790="","",IF(COUNTIF(Paramètres!$A$11:$A$40,D1790)&gt;0,1,0))</f>
        <v/>
      </c>
    </row>
    <row r="1791" spans="1:12" hidden="1" x14ac:dyDescent="0.25">
      <c r="A1791" s="49"/>
      <c r="B1791" s="49"/>
      <c r="C1791" s="49"/>
      <c r="D1791" s="50" t="str">
        <f t="shared" si="135"/>
        <v/>
      </c>
      <c r="E1791" s="50" t="str">
        <f t="shared" si="136"/>
        <v/>
      </c>
      <c r="F1791" s="50" t="str">
        <f t="shared" si="137"/>
        <v/>
      </c>
      <c r="G1791" s="50" t="str">
        <f t="shared" si="138"/>
        <v/>
      </c>
      <c r="H1791" s="51" t="str">
        <f>IF($C1791="","",IFERROR(DATE(G1791,VLOOKUP(E1791,Paramètres!$K$11:$L$40,2,FALSE()),F1791),"?"))</f>
        <v/>
      </c>
      <c r="I1791" s="50" t="str">
        <f>IF(ISNUMBER(H1791),IF(COUNTIFS($D$2:D1791,D1791,$H$2:H1791,H1791)=1,1,0),"")</f>
        <v/>
      </c>
      <c r="J1791" s="50" t="str">
        <f>IF(ISNUMBER(H1791),IFERROR(INDEX(Calendrier!$C$2:$C$367,MATCH(H1791,Calendrier!$A$2:$A$367,0)),0),"")</f>
        <v/>
      </c>
      <c r="K1791" s="50" t="str">
        <f t="shared" si="139"/>
        <v/>
      </c>
      <c r="L1791" s="50" t="str">
        <f>IF(D1791="","",IF(COUNTIF(Paramètres!$A$11:$A$40,D1791)&gt;0,1,0))</f>
        <v/>
      </c>
    </row>
    <row r="1792" spans="1:12" hidden="1" x14ac:dyDescent="0.25">
      <c r="A1792" s="49"/>
      <c r="B1792" s="49"/>
      <c r="C1792" s="49"/>
      <c r="D1792" s="50" t="str">
        <f t="shared" si="135"/>
        <v/>
      </c>
      <c r="E1792" s="50" t="str">
        <f t="shared" si="136"/>
        <v/>
      </c>
      <c r="F1792" s="50" t="str">
        <f t="shared" si="137"/>
        <v/>
      </c>
      <c r="G1792" s="50" t="str">
        <f t="shared" si="138"/>
        <v/>
      </c>
      <c r="H1792" s="51" t="str">
        <f>IF($C1792="","",IFERROR(DATE(G1792,VLOOKUP(E1792,Paramètres!$K$11:$L$40,2,FALSE()),F1792),"?"))</f>
        <v/>
      </c>
      <c r="I1792" s="50" t="str">
        <f>IF(ISNUMBER(H1792),IF(COUNTIFS($D$2:D1792,D1792,$H$2:H1792,H1792)=1,1,0),"")</f>
        <v/>
      </c>
      <c r="J1792" s="50" t="str">
        <f>IF(ISNUMBER(H1792),IFERROR(INDEX(Calendrier!$C$2:$C$367,MATCH(H1792,Calendrier!$A$2:$A$367,0)),0),"")</f>
        <v/>
      </c>
      <c r="K1792" s="50" t="str">
        <f t="shared" si="139"/>
        <v/>
      </c>
      <c r="L1792" s="50" t="str">
        <f>IF(D1792="","",IF(COUNTIF(Paramètres!$A$11:$A$40,D1792)&gt;0,1,0))</f>
        <v/>
      </c>
    </row>
    <row r="1793" spans="1:12" hidden="1" x14ac:dyDescent="0.25">
      <c r="A1793" s="49"/>
      <c r="B1793" s="49"/>
      <c r="C1793" s="49"/>
      <c r="D1793" s="50" t="str">
        <f t="shared" si="135"/>
        <v/>
      </c>
      <c r="E1793" s="50" t="str">
        <f t="shared" si="136"/>
        <v/>
      </c>
      <c r="F1793" s="50" t="str">
        <f t="shared" si="137"/>
        <v/>
      </c>
      <c r="G1793" s="50" t="str">
        <f t="shared" si="138"/>
        <v/>
      </c>
      <c r="H1793" s="51" t="str">
        <f>IF($C1793="","",IFERROR(DATE(G1793,VLOOKUP(E1793,Paramètres!$K$11:$L$40,2,FALSE()),F1793),"?"))</f>
        <v/>
      </c>
      <c r="I1793" s="50" t="str">
        <f>IF(ISNUMBER(H1793),IF(COUNTIFS($D$2:D1793,D1793,$H$2:H1793,H1793)=1,1,0),"")</f>
        <v/>
      </c>
      <c r="J1793" s="50" t="str">
        <f>IF(ISNUMBER(H1793),IFERROR(INDEX(Calendrier!$C$2:$C$367,MATCH(H1793,Calendrier!$A$2:$A$367,0)),0),"")</f>
        <v/>
      </c>
      <c r="K1793" s="50" t="str">
        <f t="shared" si="139"/>
        <v/>
      </c>
      <c r="L1793" s="50" t="str">
        <f>IF(D1793="","",IF(COUNTIF(Paramètres!$A$11:$A$40,D1793)&gt;0,1,0))</f>
        <v/>
      </c>
    </row>
    <row r="1794" spans="1:12" hidden="1" x14ac:dyDescent="0.25">
      <c r="A1794" s="49"/>
      <c r="B1794" s="49"/>
      <c r="C1794" s="49"/>
      <c r="D1794" s="50" t="str">
        <f t="shared" ref="D1794:D1857" si="140">IF(B1794="","",TRIM(B1794))</f>
        <v/>
      </c>
      <c r="E1794" s="50" t="str">
        <f t="shared" ref="E1794:E1857" si="141">IF($C1794="","",LEFT($C1794,FIND(" ",$C1794)-1))</f>
        <v/>
      </c>
      <c r="F1794" s="50" t="str">
        <f t="shared" ref="F1794:F1857" si="142">IF($C1794="","",IFERROR(VALUE(LEFT(MID($C1794,FIND(" ",$C1794)+1,20),FIND(" ",MID($C1794,FIND(" ",$C1794)+1,20))-1)),"?"))</f>
        <v/>
      </c>
      <c r="G1794" s="50" t="str">
        <f t="shared" ref="G1794:G1857" si="143">IF($C1794="","",IFERROR(VALUE(MID(MID($C1794,FIND(" ",$C1794)+1,20),FIND(" ",MID($C1794,FIND(" ",$C1794)+1,20))+1,4)),"?"))</f>
        <v/>
      </c>
      <c r="H1794" s="51" t="str">
        <f>IF($C1794="","",IFERROR(DATE(G1794,VLOOKUP(E1794,Paramètres!$K$11:$L$40,2,FALSE()),F1794),"?"))</f>
        <v/>
      </c>
      <c r="I1794" s="50" t="str">
        <f>IF(ISNUMBER(H1794),IF(COUNTIFS($D$2:D1794,D1794,$H$2:H1794,H1794)=1,1,0),"")</f>
        <v/>
      </c>
      <c r="J1794" s="50" t="str">
        <f>IF(ISNUMBER(H1794),IFERROR(INDEX(Calendrier!$C$2:$C$367,MATCH(H1794,Calendrier!$A$2:$A$367,0)),0),"")</f>
        <v/>
      </c>
      <c r="K1794" s="50" t="str">
        <f t="shared" ref="K1794:K1857" si="144">IF(ISNUMBER(H1794),I1794*J1794,"")</f>
        <v/>
      </c>
      <c r="L1794" s="50" t="str">
        <f>IF(D1794="","",IF(COUNTIF(Paramètres!$A$11:$A$40,D1794)&gt;0,1,0))</f>
        <v/>
      </c>
    </row>
    <row r="1795" spans="1:12" hidden="1" x14ac:dyDescent="0.25">
      <c r="A1795" s="49"/>
      <c r="B1795" s="49"/>
      <c r="C1795" s="49"/>
      <c r="D1795" s="50" t="str">
        <f t="shared" si="140"/>
        <v/>
      </c>
      <c r="E1795" s="50" t="str">
        <f t="shared" si="141"/>
        <v/>
      </c>
      <c r="F1795" s="50" t="str">
        <f t="shared" si="142"/>
        <v/>
      </c>
      <c r="G1795" s="50" t="str">
        <f t="shared" si="143"/>
        <v/>
      </c>
      <c r="H1795" s="51" t="str">
        <f>IF($C1795="","",IFERROR(DATE(G1795,VLOOKUP(E1795,Paramètres!$K$11:$L$40,2,FALSE()),F1795),"?"))</f>
        <v/>
      </c>
      <c r="I1795" s="50" t="str">
        <f>IF(ISNUMBER(H1795),IF(COUNTIFS($D$2:D1795,D1795,$H$2:H1795,H1795)=1,1,0),"")</f>
        <v/>
      </c>
      <c r="J1795" s="50" t="str">
        <f>IF(ISNUMBER(H1795),IFERROR(INDEX(Calendrier!$C$2:$C$367,MATCH(H1795,Calendrier!$A$2:$A$367,0)),0),"")</f>
        <v/>
      </c>
      <c r="K1795" s="50" t="str">
        <f t="shared" si="144"/>
        <v/>
      </c>
      <c r="L1795" s="50" t="str">
        <f>IF(D1795="","",IF(COUNTIF(Paramètres!$A$11:$A$40,D1795)&gt;0,1,0))</f>
        <v/>
      </c>
    </row>
    <row r="1796" spans="1:12" hidden="1" x14ac:dyDescent="0.25">
      <c r="A1796" s="49"/>
      <c r="B1796" s="49"/>
      <c r="C1796" s="49"/>
      <c r="D1796" s="50" t="str">
        <f t="shared" si="140"/>
        <v/>
      </c>
      <c r="E1796" s="50" t="str">
        <f t="shared" si="141"/>
        <v/>
      </c>
      <c r="F1796" s="50" t="str">
        <f t="shared" si="142"/>
        <v/>
      </c>
      <c r="G1796" s="50" t="str">
        <f t="shared" si="143"/>
        <v/>
      </c>
      <c r="H1796" s="51" t="str">
        <f>IF($C1796="","",IFERROR(DATE(G1796,VLOOKUP(E1796,Paramètres!$K$11:$L$40,2,FALSE()),F1796),"?"))</f>
        <v/>
      </c>
      <c r="I1796" s="50" t="str">
        <f>IF(ISNUMBER(H1796),IF(COUNTIFS($D$2:D1796,D1796,$H$2:H1796,H1796)=1,1,0),"")</f>
        <v/>
      </c>
      <c r="J1796" s="50" t="str">
        <f>IF(ISNUMBER(H1796),IFERROR(INDEX(Calendrier!$C$2:$C$367,MATCH(H1796,Calendrier!$A$2:$A$367,0)),0),"")</f>
        <v/>
      </c>
      <c r="K1796" s="50" t="str">
        <f t="shared" si="144"/>
        <v/>
      </c>
      <c r="L1796" s="50" t="str">
        <f>IF(D1796="","",IF(COUNTIF(Paramètres!$A$11:$A$40,D1796)&gt;0,1,0))</f>
        <v/>
      </c>
    </row>
    <row r="1797" spans="1:12" hidden="1" x14ac:dyDescent="0.25">
      <c r="A1797" s="49"/>
      <c r="B1797" s="49"/>
      <c r="C1797" s="49"/>
      <c r="D1797" s="50" t="str">
        <f t="shared" si="140"/>
        <v/>
      </c>
      <c r="E1797" s="50" t="str">
        <f t="shared" si="141"/>
        <v/>
      </c>
      <c r="F1797" s="50" t="str">
        <f t="shared" si="142"/>
        <v/>
      </c>
      <c r="G1797" s="50" t="str">
        <f t="shared" si="143"/>
        <v/>
      </c>
      <c r="H1797" s="51" t="str">
        <f>IF($C1797="","",IFERROR(DATE(G1797,VLOOKUP(E1797,Paramètres!$K$11:$L$40,2,FALSE()),F1797),"?"))</f>
        <v/>
      </c>
      <c r="I1797" s="50" t="str">
        <f>IF(ISNUMBER(H1797),IF(COUNTIFS($D$2:D1797,D1797,$H$2:H1797,H1797)=1,1,0),"")</f>
        <v/>
      </c>
      <c r="J1797" s="50" t="str">
        <f>IF(ISNUMBER(H1797),IFERROR(INDEX(Calendrier!$C$2:$C$367,MATCH(H1797,Calendrier!$A$2:$A$367,0)),0),"")</f>
        <v/>
      </c>
      <c r="K1797" s="50" t="str">
        <f t="shared" si="144"/>
        <v/>
      </c>
      <c r="L1797" s="50" t="str">
        <f>IF(D1797="","",IF(COUNTIF(Paramètres!$A$11:$A$40,D1797)&gt;0,1,0))</f>
        <v/>
      </c>
    </row>
    <row r="1798" spans="1:12" hidden="1" x14ac:dyDescent="0.25">
      <c r="A1798" s="49"/>
      <c r="B1798" s="49"/>
      <c r="C1798" s="49"/>
      <c r="D1798" s="50" t="str">
        <f t="shared" si="140"/>
        <v/>
      </c>
      <c r="E1798" s="50" t="str">
        <f t="shared" si="141"/>
        <v/>
      </c>
      <c r="F1798" s="50" t="str">
        <f t="shared" si="142"/>
        <v/>
      </c>
      <c r="G1798" s="50" t="str">
        <f t="shared" si="143"/>
        <v/>
      </c>
      <c r="H1798" s="51" t="str">
        <f>IF($C1798="","",IFERROR(DATE(G1798,VLOOKUP(E1798,Paramètres!$K$11:$L$40,2,FALSE()),F1798),"?"))</f>
        <v/>
      </c>
      <c r="I1798" s="50" t="str">
        <f>IF(ISNUMBER(H1798),IF(COUNTIFS($D$2:D1798,D1798,$H$2:H1798,H1798)=1,1,0),"")</f>
        <v/>
      </c>
      <c r="J1798" s="50" t="str">
        <f>IF(ISNUMBER(H1798),IFERROR(INDEX(Calendrier!$C$2:$C$367,MATCH(H1798,Calendrier!$A$2:$A$367,0)),0),"")</f>
        <v/>
      </c>
      <c r="K1798" s="50" t="str">
        <f t="shared" si="144"/>
        <v/>
      </c>
      <c r="L1798" s="50" t="str">
        <f>IF(D1798="","",IF(COUNTIF(Paramètres!$A$11:$A$40,D1798)&gt;0,1,0))</f>
        <v/>
      </c>
    </row>
    <row r="1799" spans="1:12" hidden="1" x14ac:dyDescent="0.25">
      <c r="A1799" s="49"/>
      <c r="B1799" s="49"/>
      <c r="C1799" s="49"/>
      <c r="D1799" s="50" t="str">
        <f t="shared" si="140"/>
        <v/>
      </c>
      <c r="E1799" s="50" t="str">
        <f t="shared" si="141"/>
        <v/>
      </c>
      <c r="F1799" s="50" t="str">
        <f t="shared" si="142"/>
        <v/>
      </c>
      <c r="G1799" s="50" t="str">
        <f t="shared" si="143"/>
        <v/>
      </c>
      <c r="H1799" s="51" t="str">
        <f>IF($C1799="","",IFERROR(DATE(G1799,VLOOKUP(E1799,Paramètres!$K$11:$L$40,2,FALSE()),F1799),"?"))</f>
        <v/>
      </c>
      <c r="I1799" s="50" t="str">
        <f>IF(ISNUMBER(H1799),IF(COUNTIFS($D$2:D1799,D1799,$H$2:H1799,H1799)=1,1,0),"")</f>
        <v/>
      </c>
      <c r="J1799" s="50" t="str">
        <f>IF(ISNUMBER(H1799),IFERROR(INDEX(Calendrier!$C$2:$C$367,MATCH(H1799,Calendrier!$A$2:$A$367,0)),0),"")</f>
        <v/>
      </c>
      <c r="K1799" s="50" t="str">
        <f t="shared" si="144"/>
        <v/>
      </c>
      <c r="L1799" s="50" t="str">
        <f>IF(D1799="","",IF(COUNTIF(Paramètres!$A$11:$A$40,D1799)&gt;0,1,0))</f>
        <v/>
      </c>
    </row>
    <row r="1800" spans="1:12" hidden="1" x14ac:dyDescent="0.25">
      <c r="A1800" s="49"/>
      <c r="B1800" s="49"/>
      <c r="C1800" s="49"/>
      <c r="D1800" s="50" t="str">
        <f t="shared" si="140"/>
        <v/>
      </c>
      <c r="E1800" s="50" t="str">
        <f t="shared" si="141"/>
        <v/>
      </c>
      <c r="F1800" s="50" t="str">
        <f t="shared" si="142"/>
        <v/>
      </c>
      <c r="G1800" s="50" t="str">
        <f t="shared" si="143"/>
        <v/>
      </c>
      <c r="H1800" s="51" t="str">
        <f>IF($C1800="","",IFERROR(DATE(G1800,VLOOKUP(E1800,Paramètres!$K$11:$L$40,2,FALSE()),F1800),"?"))</f>
        <v/>
      </c>
      <c r="I1800" s="50" t="str">
        <f>IF(ISNUMBER(H1800),IF(COUNTIFS($D$2:D1800,D1800,$H$2:H1800,H1800)=1,1,0),"")</f>
        <v/>
      </c>
      <c r="J1800" s="50" t="str">
        <f>IF(ISNUMBER(H1800),IFERROR(INDEX(Calendrier!$C$2:$C$367,MATCH(H1800,Calendrier!$A$2:$A$367,0)),0),"")</f>
        <v/>
      </c>
      <c r="K1800" s="50" t="str">
        <f t="shared" si="144"/>
        <v/>
      </c>
      <c r="L1800" s="50" t="str">
        <f>IF(D1800="","",IF(COUNTIF(Paramètres!$A$11:$A$40,D1800)&gt;0,1,0))</f>
        <v/>
      </c>
    </row>
    <row r="1801" spans="1:12" hidden="1" x14ac:dyDescent="0.25">
      <c r="A1801" s="49"/>
      <c r="B1801" s="49"/>
      <c r="C1801" s="49"/>
      <c r="D1801" s="50" t="str">
        <f t="shared" si="140"/>
        <v/>
      </c>
      <c r="E1801" s="50" t="str">
        <f t="shared" si="141"/>
        <v/>
      </c>
      <c r="F1801" s="50" t="str">
        <f t="shared" si="142"/>
        <v/>
      </c>
      <c r="G1801" s="50" t="str">
        <f t="shared" si="143"/>
        <v/>
      </c>
      <c r="H1801" s="51" t="str">
        <f>IF($C1801="","",IFERROR(DATE(G1801,VLOOKUP(E1801,Paramètres!$K$11:$L$40,2,FALSE()),F1801),"?"))</f>
        <v/>
      </c>
      <c r="I1801" s="50" t="str">
        <f>IF(ISNUMBER(H1801),IF(COUNTIFS($D$2:D1801,D1801,$H$2:H1801,H1801)=1,1,0),"")</f>
        <v/>
      </c>
      <c r="J1801" s="50" t="str">
        <f>IF(ISNUMBER(H1801),IFERROR(INDEX(Calendrier!$C$2:$C$367,MATCH(H1801,Calendrier!$A$2:$A$367,0)),0),"")</f>
        <v/>
      </c>
      <c r="K1801" s="50" t="str">
        <f t="shared" si="144"/>
        <v/>
      </c>
      <c r="L1801" s="50" t="str">
        <f>IF(D1801="","",IF(COUNTIF(Paramètres!$A$11:$A$40,D1801)&gt;0,1,0))</f>
        <v/>
      </c>
    </row>
    <row r="1802" spans="1:12" hidden="1" x14ac:dyDescent="0.25">
      <c r="A1802" s="49"/>
      <c r="B1802" s="49"/>
      <c r="C1802" s="49"/>
      <c r="D1802" s="50" t="str">
        <f t="shared" si="140"/>
        <v/>
      </c>
      <c r="E1802" s="50" t="str">
        <f t="shared" si="141"/>
        <v/>
      </c>
      <c r="F1802" s="50" t="str">
        <f t="shared" si="142"/>
        <v/>
      </c>
      <c r="G1802" s="50" t="str">
        <f t="shared" si="143"/>
        <v/>
      </c>
      <c r="H1802" s="51" t="str">
        <f>IF($C1802="","",IFERROR(DATE(G1802,VLOOKUP(E1802,Paramètres!$K$11:$L$40,2,FALSE()),F1802),"?"))</f>
        <v/>
      </c>
      <c r="I1802" s="50" t="str">
        <f>IF(ISNUMBER(H1802),IF(COUNTIFS($D$2:D1802,D1802,$H$2:H1802,H1802)=1,1,0),"")</f>
        <v/>
      </c>
      <c r="J1802" s="50" t="str">
        <f>IF(ISNUMBER(H1802),IFERROR(INDEX(Calendrier!$C$2:$C$367,MATCH(H1802,Calendrier!$A$2:$A$367,0)),0),"")</f>
        <v/>
      </c>
      <c r="K1802" s="50" t="str">
        <f t="shared" si="144"/>
        <v/>
      </c>
      <c r="L1802" s="50" t="str">
        <f>IF(D1802="","",IF(COUNTIF(Paramètres!$A$11:$A$40,D1802)&gt;0,1,0))</f>
        <v/>
      </c>
    </row>
    <row r="1803" spans="1:12" hidden="1" x14ac:dyDescent="0.25">
      <c r="A1803" s="49"/>
      <c r="B1803" s="49"/>
      <c r="C1803" s="49"/>
      <c r="D1803" s="50" t="str">
        <f t="shared" si="140"/>
        <v/>
      </c>
      <c r="E1803" s="50" t="str">
        <f t="shared" si="141"/>
        <v/>
      </c>
      <c r="F1803" s="50" t="str">
        <f t="shared" si="142"/>
        <v/>
      </c>
      <c r="G1803" s="50" t="str">
        <f t="shared" si="143"/>
        <v/>
      </c>
      <c r="H1803" s="51" t="str">
        <f>IF($C1803="","",IFERROR(DATE(G1803,VLOOKUP(E1803,Paramètres!$K$11:$L$40,2,FALSE()),F1803),"?"))</f>
        <v/>
      </c>
      <c r="I1803" s="50" t="str">
        <f>IF(ISNUMBER(H1803),IF(COUNTIFS($D$2:D1803,D1803,$H$2:H1803,H1803)=1,1,0),"")</f>
        <v/>
      </c>
      <c r="J1803" s="50" t="str">
        <f>IF(ISNUMBER(H1803),IFERROR(INDEX(Calendrier!$C$2:$C$367,MATCH(H1803,Calendrier!$A$2:$A$367,0)),0),"")</f>
        <v/>
      </c>
      <c r="K1803" s="50" t="str">
        <f t="shared" si="144"/>
        <v/>
      </c>
      <c r="L1803" s="50" t="str">
        <f>IF(D1803="","",IF(COUNTIF(Paramètres!$A$11:$A$40,D1803)&gt;0,1,0))</f>
        <v/>
      </c>
    </row>
    <row r="1804" spans="1:12" hidden="1" x14ac:dyDescent="0.25">
      <c r="A1804" s="49"/>
      <c r="B1804" s="49"/>
      <c r="C1804" s="49"/>
      <c r="D1804" s="50" t="str">
        <f t="shared" si="140"/>
        <v/>
      </c>
      <c r="E1804" s="50" t="str">
        <f t="shared" si="141"/>
        <v/>
      </c>
      <c r="F1804" s="50" t="str">
        <f t="shared" si="142"/>
        <v/>
      </c>
      <c r="G1804" s="50" t="str">
        <f t="shared" si="143"/>
        <v/>
      </c>
      <c r="H1804" s="51" t="str">
        <f>IF($C1804="","",IFERROR(DATE(G1804,VLOOKUP(E1804,Paramètres!$K$11:$L$40,2,FALSE()),F1804),"?"))</f>
        <v/>
      </c>
      <c r="I1804" s="50" t="str">
        <f>IF(ISNUMBER(H1804),IF(COUNTIFS($D$2:D1804,D1804,$H$2:H1804,H1804)=1,1,0),"")</f>
        <v/>
      </c>
      <c r="J1804" s="50" t="str">
        <f>IF(ISNUMBER(H1804),IFERROR(INDEX(Calendrier!$C$2:$C$367,MATCH(H1804,Calendrier!$A$2:$A$367,0)),0),"")</f>
        <v/>
      </c>
      <c r="K1804" s="50" t="str">
        <f t="shared" si="144"/>
        <v/>
      </c>
      <c r="L1804" s="50" t="str">
        <f>IF(D1804="","",IF(COUNTIF(Paramètres!$A$11:$A$40,D1804)&gt;0,1,0))</f>
        <v/>
      </c>
    </row>
    <row r="1805" spans="1:12" hidden="1" x14ac:dyDescent="0.25">
      <c r="A1805" s="49"/>
      <c r="B1805" s="49"/>
      <c r="C1805" s="49"/>
      <c r="D1805" s="50" t="str">
        <f t="shared" si="140"/>
        <v/>
      </c>
      <c r="E1805" s="50" t="str">
        <f t="shared" si="141"/>
        <v/>
      </c>
      <c r="F1805" s="50" t="str">
        <f t="shared" si="142"/>
        <v/>
      </c>
      <c r="G1805" s="50" t="str">
        <f t="shared" si="143"/>
        <v/>
      </c>
      <c r="H1805" s="51" t="str">
        <f>IF($C1805="","",IFERROR(DATE(G1805,VLOOKUP(E1805,Paramètres!$K$11:$L$40,2,FALSE()),F1805),"?"))</f>
        <v/>
      </c>
      <c r="I1805" s="50" t="str">
        <f>IF(ISNUMBER(H1805),IF(COUNTIFS($D$2:D1805,D1805,$H$2:H1805,H1805)=1,1,0),"")</f>
        <v/>
      </c>
      <c r="J1805" s="50" t="str">
        <f>IF(ISNUMBER(H1805),IFERROR(INDEX(Calendrier!$C$2:$C$367,MATCH(H1805,Calendrier!$A$2:$A$367,0)),0),"")</f>
        <v/>
      </c>
      <c r="K1805" s="50" t="str">
        <f t="shared" si="144"/>
        <v/>
      </c>
      <c r="L1805" s="50" t="str">
        <f>IF(D1805="","",IF(COUNTIF(Paramètres!$A$11:$A$40,D1805)&gt;0,1,0))</f>
        <v/>
      </c>
    </row>
    <row r="1806" spans="1:12" hidden="1" x14ac:dyDescent="0.25">
      <c r="A1806" s="49"/>
      <c r="B1806" s="49"/>
      <c r="C1806" s="49"/>
      <c r="D1806" s="50" t="str">
        <f t="shared" si="140"/>
        <v/>
      </c>
      <c r="E1806" s="50" t="str">
        <f t="shared" si="141"/>
        <v/>
      </c>
      <c r="F1806" s="50" t="str">
        <f t="shared" si="142"/>
        <v/>
      </c>
      <c r="G1806" s="50" t="str">
        <f t="shared" si="143"/>
        <v/>
      </c>
      <c r="H1806" s="51" t="str">
        <f>IF($C1806="","",IFERROR(DATE(G1806,VLOOKUP(E1806,Paramètres!$K$11:$L$40,2,FALSE()),F1806),"?"))</f>
        <v/>
      </c>
      <c r="I1806" s="50" t="str">
        <f>IF(ISNUMBER(H1806),IF(COUNTIFS($D$2:D1806,D1806,$H$2:H1806,H1806)=1,1,0),"")</f>
        <v/>
      </c>
      <c r="J1806" s="50" t="str">
        <f>IF(ISNUMBER(H1806),IFERROR(INDEX(Calendrier!$C$2:$C$367,MATCH(H1806,Calendrier!$A$2:$A$367,0)),0),"")</f>
        <v/>
      </c>
      <c r="K1806" s="50" t="str">
        <f t="shared" si="144"/>
        <v/>
      </c>
      <c r="L1806" s="50" t="str">
        <f>IF(D1806="","",IF(COUNTIF(Paramètres!$A$11:$A$40,D1806)&gt;0,1,0))</f>
        <v/>
      </c>
    </row>
    <row r="1807" spans="1:12" hidden="1" x14ac:dyDescent="0.25">
      <c r="A1807" s="49"/>
      <c r="B1807" s="49"/>
      <c r="C1807" s="49"/>
      <c r="D1807" s="50" t="str">
        <f t="shared" si="140"/>
        <v/>
      </c>
      <c r="E1807" s="50" t="str">
        <f t="shared" si="141"/>
        <v/>
      </c>
      <c r="F1807" s="50" t="str">
        <f t="shared" si="142"/>
        <v/>
      </c>
      <c r="G1807" s="50" t="str">
        <f t="shared" si="143"/>
        <v/>
      </c>
      <c r="H1807" s="51" t="str">
        <f>IF($C1807="","",IFERROR(DATE(G1807,VLOOKUP(E1807,Paramètres!$K$11:$L$40,2,FALSE()),F1807),"?"))</f>
        <v/>
      </c>
      <c r="I1807" s="50" t="str">
        <f>IF(ISNUMBER(H1807),IF(COUNTIFS($D$2:D1807,D1807,$H$2:H1807,H1807)=1,1,0),"")</f>
        <v/>
      </c>
      <c r="J1807" s="50" t="str">
        <f>IF(ISNUMBER(H1807),IFERROR(INDEX(Calendrier!$C$2:$C$367,MATCH(H1807,Calendrier!$A$2:$A$367,0)),0),"")</f>
        <v/>
      </c>
      <c r="K1807" s="50" t="str">
        <f t="shared" si="144"/>
        <v/>
      </c>
      <c r="L1807" s="50" t="str">
        <f>IF(D1807="","",IF(COUNTIF(Paramètres!$A$11:$A$40,D1807)&gt;0,1,0))</f>
        <v/>
      </c>
    </row>
    <row r="1808" spans="1:12" hidden="1" x14ac:dyDescent="0.25">
      <c r="A1808" s="49"/>
      <c r="B1808" s="49"/>
      <c r="C1808" s="49"/>
      <c r="D1808" s="50" t="str">
        <f t="shared" si="140"/>
        <v/>
      </c>
      <c r="E1808" s="50" t="str">
        <f t="shared" si="141"/>
        <v/>
      </c>
      <c r="F1808" s="50" t="str">
        <f t="shared" si="142"/>
        <v/>
      </c>
      <c r="G1808" s="50" t="str">
        <f t="shared" si="143"/>
        <v/>
      </c>
      <c r="H1808" s="51" t="str">
        <f>IF($C1808="","",IFERROR(DATE(G1808,VLOOKUP(E1808,Paramètres!$K$11:$L$40,2,FALSE()),F1808),"?"))</f>
        <v/>
      </c>
      <c r="I1808" s="50" t="str">
        <f>IF(ISNUMBER(H1808),IF(COUNTIFS($D$2:D1808,D1808,$H$2:H1808,H1808)=1,1,0),"")</f>
        <v/>
      </c>
      <c r="J1808" s="50" t="str">
        <f>IF(ISNUMBER(H1808),IFERROR(INDEX(Calendrier!$C$2:$C$367,MATCH(H1808,Calendrier!$A$2:$A$367,0)),0),"")</f>
        <v/>
      </c>
      <c r="K1808" s="50" t="str">
        <f t="shared" si="144"/>
        <v/>
      </c>
      <c r="L1808" s="50" t="str">
        <f>IF(D1808="","",IF(COUNTIF(Paramètres!$A$11:$A$40,D1808)&gt;0,1,0))</f>
        <v/>
      </c>
    </row>
    <row r="1809" spans="1:12" hidden="1" x14ac:dyDescent="0.25">
      <c r="A1809" s="49"/>
      <c r="B1809" s="49"/>
      <c r="C1809" s="49"/>
      <c r="D1809" s="50" t="str">
        <f t="shared" si="140"/>
        <v/>
      </c>
      <c r="E1809" s="50" t="str">
        <f t="shared" si="141"/>
        <v/>
      </c>
      <c r="F1809" s="50" t="str">
        <f t="shared" si="142"/>
        <v/>
      </c>
      <c r="G1809" s="50" t="str">
        <f t="shared" si="143"/>
        <v/>
      </c>
      <c r="H1809" s="51" t="str">
        <f>IF($C1809="","",IFERROR(DATE(G1809,VLOOKUP(E1809,Paramètres!$K$11:$L$40,2,FALSE()),F1809),"?"))</f>
        <v/>
      </c>
      <c r="I1809" s="50" t="str">
        <f>IF(ISNUMBER(H1809),IF(COUNTIFS($D$2:D1809,D1809,$H$2:H1809,H1809)=1,1,0),"")</f>
        <v/>
      </c>
      <c r="J1809" s="50" t="str">
        <f>IF(ISNUMBER(H1809),IFERROR(INDEX(Calendrier!$C$2:$C$367,MATCH(H1809,Calendrier!$A$2:$A$367,0)),0),"")</f>
        <v/>
      </c>
      <c r="K1809" s="50" t="str">
        <f t="shared" si="144"/>
        <v/>
      </c>
      <c r="L1809" s="50" t="str">
        <f>IF(D1809="","",IF(COUNTIF(Paramètres!$A$11:$A$40,D1809)&gt;0,1,0))</f>
        <v/>
      </c>
    </row>
    <row r="1810" spans="1:12" hidden="1" x14ac:dyDescent="0.25">
      <c r="A1810" s="49"/>
      <c r="B1810" s="49"/>
      <c r="C1810" s="49"/>
      <c r="D1810" s="50" t="str">
        <f t="shared" si="140"/>
        <v/>
      </c>
      <c r="E1810" s="50" t="str">
        <f t="shared" si="141"/>
        <v/>
      </c>
      <c r="F1810" s="50" t="str">
        <f t="shared" si="142"/>
        <v/>
      </c>
      <c r="G1810" s="50" t="str">
        <f t="shared" si="143"/>
        <v/>
      </c>
      <c r="H1810" s="51" t="str">
        <f>IF($C1810="","",IFERROR(DATE(G1810,VLOOKUP(E1810,Paramètres!$K$11:$L$40,2,FALSE()),F1810),"?"))</f>
        <v/>
      </c>
      <c r="I1810" s="50" t="str">
        <f>IF(ISNUMBER(H1810),IF(COUNTIFS($D$2:D1810,D1810,$H$2:H1810,H1810)=1,1,0),"")</f>
        <v/>
      </c>
      <c r="J1810" s="50" t="str">
        <f>IF(ISNUMBER(H1810),IFERROR(INDEX(Calendrier!$C$2:$C$367,MATCH(H1810,Calendrier!$A$2:$A$367,0)),0),"")</f>
        <v/>
      </c>
      <c r="K1810" s="50" t="str">
        <f t="shared" si="144"/>
        <v/>
      </c>
      <c r="L1810" s="50" t="str">
        <f>IF(D1810="","",IF(COUNTIF(Paramètres!$A$11:$A$40,D1810)&gt;0,1,0))</f>
        <v/>
      </c>
    </row>
    <row r="1811" spans="1:12" hidden="1" x14ac:dyDescent="0.25">
      <c r="A1811" s="49"/>
      <c r="B1811" s="49"/>
      <c r="C1811" s="49"/>
      <c r="D1811" s="50" t="str">
        <f t="shared" si="140"/>
        <v/>
      </c>
      <c r="E1811" s="50" t="str">
        <f t="shared" si="141"/>
        <v/>
      </c>
      <c r="F1811" s="50" t="str">
        <f t="shared" si="142"/>
        <v/>
      </c>
      <c r="G1811" s="50" t="str">
        <f t="shared" si="143"/>
        <v/>
      </c>
      <c r="H1811" s="51" t="str">
        <f>IF($C1811="","",IFERROR(DATE(G1811,VLOOKUP(E1811,Paramètres!$K$11:$L$40,2,FALSE()),F1811),"?"))</f>
        <v/>
      </c>
      <c r="I1811" s="50" t="str">
        <f>IF(ISNUMBER(H1811),IF(COUNTIFS($D$2:D1811,D1811,$H$2:H1811,H1811)=1,1,0),"")</f>
        <v/>
      </c>
      <c r="J1811" s="50" t="str">
        <f>IF(ISNUMBER(H1811),IFERROR(INDEX(Calendrier!$C$2:$C$367,MATCH(H1811,Calendrier!$A$2:$A$367,0)),0),"")</f>
        <v/>
      </c>
      <c r="K1811" s="50" t="str">
        <f t="shared" si="144"/>
        <v/>
      </c>
      <c r="L1811" s="50" t="str">
        <f>IF(D1811="","",IF(COUNTIF(Paramètres!$A$11:$A$40,D1811)&gt;0,1,0))</f>
        <v/>
      </c>
    </row>
    <row r="1812" spans="1:12" hidden="1" x14ac:dyDescent="0.25">
      <c r="A1812" s="49"/>
      <c r="B1812" s="49"/>
      <c r="C1812" s="49"/>
      <c r="D1812" s="50" t="str">
        <f t="shared" si="140"/>
        <v/>
      </c>
      <c r="E1812" s="50" t="str">
        <f t="shared" si="141"/>
        <v/>
      </c>
      <c r="F1812" s="50" t="str">
        <f t="shared" si="142"/>
        <v/>
      </c>
      <c r="G1812" s="50" t="str">
        <f t="shared" si="143"/>
        <v/>
      </c>
      <c r="H1812" s="51" t="str">
        <f>IF($C1812="","",IFERROR(DATE(G1812,VLOOKUP(E1812,Paramètres!$K$11:$L$40,2,FALSE()),F1812),"?"))</f>
        <v/>
      </c>
      <c r="I1812" s="50" t="str">
        <f>IF(ISNUMBER(H1812),IF(COUNTIFS($D$2:D1812,D1812,$H$2:H1812,H1812)=1,1,0),"")</f>
        <v/>
      </c>
      <c r="J1812" s="50" t="str">
        <f>IF(ISNUMBER(H1812),IFERROR(INDEX(Calendrier!$C$2:$C$367,MATCH(H1812,Calendrier!$A$2:$A$367,0)),0),"")</f>
        <v/>
      </c>
      <c r="K1812" s="50" t="str">
        <f t="shared" si="144"/>
        <v/>
      </c>
      <c r="L1812" s="50" t="str">
        <f>IF(D1812="","",IF(COUNTIF(Paramètres!$A$11:$A$40,D1812)&gt;0,1,0))</f>
        <v/>
      </c>
    </row>
    <row r="1813" spans="1:12" hidden="1" x14ac:dyDescent="0.25">
      <c r="A1813" s="49"/>
      <c r="B1813" s="49"/>
      <c r="C1813" s="49"/>
      <c r="D1813" s="50" t="str">
        <f t="shared" si="140"/>
        <v/>
      </c>
      <c r="E1813" s="50" t="str">
        <f t="shared" si="141"/>
        <v/>
      </c>
      <c r="F1813" s="50" t="str">
        <f t="shared" si="142"/>
        <v/>
      </c>
      <c r="G1813" s="50" t="str">
        <f t="shared" si="143"/>
        <v/>
      </c>
      <c r="H1813" s="51" t="str">
        <f>IF($C1813="","",IFERROR(DATE(G1813,VLOOKUP(E1813,Paramètres!$K$11:$L$40,2,FALSE()),F1813),"?"))</f>
        <v/>
      </c>
      <c r="I1813" s="50" t="str">
        <f>IF(ISNUMBER(H1813),IF(COUNTIFS($D$2:D1813,D1813,$H$2:H1813,H1813)=1,1,0),"")</f>
        <v/>
      </c>
      <c r="J1813" s="50" t="str">
        <f>IF(ISNUMBER(H1813),IFERROR(INDEX(Calendrier!$C$2:$C$367,MATCH(H1813,Calendrier!$A$2:$A$367,0)),0),"")</f>
        <v/>
      </c>
      <c r="K1813" s="50" t="str">
        <f t="shared" si="144"/>
        <v/>
      </c>
      <c r="L1813" s="50" t="str">
        <f>IF(D1813="","",IF(COUNTIF(Paramètres!$A$11:$A$40,D1813)&gt;0,1,0))</f>
        <v/>
      </c>
    </row>
    <row r="1814" spans="1:12" hidden="1" x14ac:dyDescent="0.25">
      <c r="A1814" s="49"/>
      <c r="B1814" s="49"/>
      <c r="C1814" s="49"/>
      <c r="D1814" s="50" t="str">
        <f t="shared" si="140"/>
        <v/>
      </c>
      <c r="E1814" s="50" t="str">
        <f t="shared" si="141"/>
        <v/>
      </c>
      <c r="F1814" s="50" t="str">
        <f t="shared" si="142"/>
        <v/>
      </c>
      <c r="G1814" s="50" t="str">
        <f t="shared" si="143"/>
        <v/>
      </c>
      <c r="H1814" s="51" t="str">
        <f>IF($C1814="","",IFERROR(DATE(G1814,VLOOKUP(E1814,Paramètres!$K$11:$L$40,2,FALSE()),F1814),"?"))</f>
        <v/>
      </c>
      <c r="I1814" s="50" t="str">
        <f>IF(ISNUMBER(H1814),IF(COUNTIFS($D$2:D1814,D1814,$H$2:H1814,H1814)=1,1,0),"")</f>
        <v/>
      </c>
      <c r="J1814" s="50" t="str">
        <f>IF(ISNUMBER(H1814),IFERROR(INDEX(Calendrier!$C$2:$C$367,MATCH(H1814,Calendrier!$A$2:$A$367,0)),0),"")</f>
        <v/>
      </c>
      <c r="K1814" s="50" t="str">
        <f t="shared" si="144"/>
        <v/>
      </c>
      <c r="L1814" s="50" t="str">
        <f>IF(D1814="","",IF(COUNTIF(Paramètres!$A$11:$A$40,D1814)&gt;0,1,0))</f>
        <v/>
      </c>
    </row>
    <row r="1815" spans="1:12" hidden="1" x14ac:dyDescent="0.25">
      <c r="A1815" s="49"/>
      <c r="B1815" s="49"/>
      <c r="C1815" s="49"/>
      <c r="D1815" s="50" t="str">
        <f t="shared" si="140"/>
        <v/>
      </c>
      <c r="E1815" s="50" t="str">
        <f t="shared" si="141"/>
        <v/>
      </c>
      <c r="F1815" s="50" t="str">
        <f t="shared" si="142"/>
        <v/>
      </c>
      <c r="G1815" s="50" t="str">
        <f t="shared" si="143"/>
        <v/>
      </c>
      <c r="H1815" s="51" t="str">
        <f>IF($C1815="","",IFERROR(DATE(G1815,VLOOKUP(E1815,Paramètres!$K$11:$L$40,2,FALSE()),F1815),"?"))</f>
        <v/>
      </c>
      <c r="I1815" s="50" t="str">
        <f>IF(ISNUMBER(H1815),IF(COUNTIFS($D$2:D1815,D1815,$H$2:H1815,H1815)=1,1,0),"")</f>
        <v/>
      </c>
      <c r="J1815" s="50" t="str">
        <f>IF(ISNUMBER(H1815),IFERROR(INDEX(Calendrier!$C$2:$C$367,MATCH(H1815,Calendrier!$A$2:$A$367,0)),0),"")</f>
        <v/>
      </c>
      <c r="K1815" s="50" t="str">
        <f t="shared" si="144"/>
        <v/>
      </c>
      <c r="L1815" s="50" t="str">
        <f>IF(D1815="","",IF(COUNTIF(Paramètres!$A$11:$A$40,D1815)&gt;0,1,0))</f>
        <v/>
      </c>
    </row>
    <row r="1816" spans="1:12" hidden="1" x14ac:dyDescent="0.25">
      <c r="A1816" s="49"/>
      <c r="B1816" s="49"/>
      <c r="C1816" s="49"/>
      <c r="D1816" s="50" t="str">
        <f t="shared" si="140"/>
        <v/>
      </c>
      <c r="E1816" s="50" t="str">
        <f t="shared" si="141"/>
        <v/>
      </c>
      <c r="F1816" s="50" t="str">
        <f t="shared" si="142"/>
        <v/>
      </c>
      <c r="G1816" s="50" t="str">
        <f t="shared" si="143"/>
        <v/>
      </c>
      <c r="H1816" s="51" t="str">
        <f>IF($C1816="","",IFERROR(DATE(G1816,VLOOKUP(E1816,Paramètres!$K$11:$L$40,2,FALSE()),F1816),"?"))</f>
        <v/>
      </c>
      <c r="I1816" s="50" t="str">
        <f>IF(ISNUMBER(H1816),IF(COUNTIFS($D$2:D1816,D1816,$H$2:H1816,H1816)=1,1,0),"")</f>
        <v/>
      </c>
      <c r="J1816" s="50" t="str">
        <f>IF(ISNUMBER(H1816),IFERROR(INDEX(Calendrier!$C$2:$C$367,MATCH(H1816,Calendrier!$A$2:$A$367,0)),0),"")</f>
        <v/>
      </c>
      <c r="K1816" s="50" t="str">
        <f t="shared" si="144"/>
        <v/>
      </c>
      <c r="L1816" s="50" t="str">
        <f>IF(D1816="","",IF(COUNTIF(Paramètres!$A$11:$A$40,D1816)&gt;0,1,0))</f>
        <v/>
      </c>
    </row>
    <row r="1817" spans="1:12" hidden="1" x14ac:dyDescent="0.25">
      <c r="A1817" s="49"/>
      <c r="B1817" s="49"/>
      <c r="C1817" s="49"/>
      <c r="D1817" s="50" t="str">
        <f t="shared" si="140"/>
        <v/>
      </c>
      <c r="E1817" s="50" t="str">
        <f t="shared" si="141"/>
        <v/>
      </c>
      <c r="F1817" s="50" t="str">
        <f t="shared" si="142"/>
        <v/>
      </c>
      <c r="G1817" s="50" t="str">
        <f t="shared" si="143"/>
        <v/>
      </c>
      <c r="H1817" s="51" t="str">
        <f>IF($C1817="","",IFERROR(DATE(G1817,VLOOKUP(E1817,Paramètres!$K$11:$L$40,2,FALSE()),F1817),"?"))</f>
        <v/>
      </c>
      <c r="I1817" s="50" t="str">
        <f>IF(ISNUMBER(H1817),IF(COUNTIFS($D$2:D1817,D1817,$H$2:H1817,H1817)=1,1,0),"")</f>
        <v/>
      </c>
      <c r="J1817" s="50" t="str">
        <f>IF(ISNUMBER(H1817),IFERROR(INDEX(Calendrier!$C$2:$C$367,MATCH(H1817,Calendrier!$A$2:$A$367,0)),0),"")</f>
        <v/>
      </c>
      <c r="K1817" s="50" t="str">
        <f t="shared" si="144"/>
        <v/>
      </c>
      <c r="L1817" s="50" t="str">
        <f>IF(D1817="","",IF(COUNTIF(Paramètres!$A$11:$A$40,D1817)&gt;0,1,0))</f>
        <v/>
      </c>
    </row>
    <row r="1818" spans="1:12" hidden="1" x14ac:dyDescent="0.25">
      <c r="A1818" s="49"/>
      <c r="B1818" s="49"/>
      <c r="C1818" s="49"/>
      <c r="D1818" s="50" t="str">
        <f t="shared" si="140"/>
        <v/>
      </c>
      <c r="E1818" s="50" t="str">
        <f t="shared" si="141"/>
        <v/>
      </c>
      <c r="F1818" s="50" t="str">
        <f t="shared" si="142"/>
        <v/>
      </c>
      <c r="G1818" s="50" t="str">
        <f t="shared" si="143"/>
        <v/>
      </c>
      <c r="H1818" s="51" t="str">
        <f>IF($C1818="","",IFERROR(DATE(G1818,VLOOKUP(E1818,Paramètres!$K$11:$L$40,2,FALSE()),F1818),"?"))</f>
        <v/>
      </c>
      <c r="I1818" s="50" t="str">
        <f>IF(ISNUMBER(H1818),IF(COUNTIFS($D$2:D1818,D1818,$H$2:H1818,H1818)=1,1,0),"")</f>
        <v/>
      </c>
      <c r="J1818" s="50" t="str">
        <f>IF(ISNUMBER(H1818),IFERROR(INDEX(Calendrier!$C$2:$C$367,MATCH(H1818,Calendrier!$A$2:$A$367,0)),0),"")</f>
        <v/>
      </c>
      <c r="K1818" s="50" t="str">
        <f t="shared" si="144"/>
        <v/>
      </c>
      <c r="L1818" s="50" t="str">
        <f>IF(D1818="","",IF(COUNTIF(Paramètres!$A$11:$A$40,D1818)&gt;0,1,0))</f>
        <v/>
      </c>
    </row>
    <row r="1819" spans="1:12" hidden="1" x14ac:dyDescent="0.25">
      <c r="A1819" s="49"/>
      <c r="B1819" s="49"/>
      <c r="C1819" s="49"/>
      <c r="D1819" s="50" t="str">
        <f t="shared" si="140"/>
        <v/>
      </c>
      <c r="E1819" s="50" t="str">
        <f t="shared" si="141"/>
        <v/>
      </c>
      <c r="F1819" s="50" t="str">
        <f t="shared" si="142"/>
        <v/>
      </c>
      <c r="G1819" s="50" t="str">
        <f t="shared" si="143"/>
        <v/>
      </c>
      <c r="H1819" s="51" t="str">
        <f>IF($C1819="","",IFERROR(DATE(G1819,VLOOKUP(E1819,Paramètres!$K$11:$L$40,2,FALSE()),F1819),"?"))</f>
        <v/>
      </c>
      <c r="I1819" s="50" t="str">
        <f>IF(ISNUMBER(H1819),IF(COUNTIFS($D$2:D1819,D1819,$H$2:H1819,H1819)=1,1,0),"")</f>
        <v/>
      </c>
      <c r="J1819" s="50" t="str">
        <f>IF(ISNUMBER(H1819),IFERROR(INDEX(Calendrier!$C$2:$C$367,MATCH(H1819,Calendrier!$A$2:$A$367,0)),0),"")</f>
        <v/>
      </c>
      <c r="K1819" s="50" t="str">
        <f t="shared" si="144"/>
        <v/>
      </c>
      <c r="L1819" s="50" t="str">
        <f>IF(D1819="","",IF(COUNTIF(Paramètres!$A$11:$A$40,D1819)&gt;0,1,0))</f>
        <v/>
      </c>
    </row>
    <row r="1820" spans="1:12" hidden="1" x14ac:dyDescent="0.25">
      <c r="A1820" s="49"/>
      <c r="B1820" s="49"/>
      <c r="C1820" s="49"/>
      <c r="D1820" s="50" t="str">
        <f t="shared" si="140"/>
        <v/>
      </c>
      <c r="E1820" s="50" t="str">
        <f t="shared" si="141"/>
        <v/>
      </c>
      <c r="F1820" s="50" t="str">
        <f t="shared" si="142"/>
        <v/>
      </c>
      <c r="G1820" s="50" t="str">
        <f t="shared" si="143"/>
        <v/>
      </c>
      <c r="H1820" s="51" t="str">
        <f>IF($C1820="","",IFERROR(DATE(G1820,VLOOKUP(E1820,Paramètres!$K$11:$L$40,2,FALSE()),F1820),"?"))</f>
        <v/>
      </c>
      <c r="I1820" s="50" t="str">
        <f>IF(ISNUMBER(H1820),IF(COUNTIFS($D$2:D1820,D1820,$H$2:H1820,H1820)=1,1,0),"")</f>
        <v/>
      </c>
      <c r="J1820" s="50" t="str">
        <f>IF(ISNUMBER(H1820),IFERROR(INDEX(Calendrier!$C$2:$C$367,MATCH(H1820,Calendrier!$A$2:$A$367,0)),0),"")</f>
        <v/>
      </c>
      <c r="K1820" s="50" t="str">
        <f t="shared" si="144"/>
        <v/>
      </c>
      <c r="L1820" s="50" t="str">
        <f>IF(D1820="","",IF(COUNTIF(Paramètres!$A$11:$A$40,D1820)&gt;0,1,0))</f>
        <v/>
      </c>
    </row>
    <row r="1821" spans="1:12" hidden="1" x14ac:dyDescent="0.25">
      <c r="A1821" s="49"/>
      <c r="B1821" s="49"/>
      <c r="C1821" s="49"/>
      <c r="D1821" s="50" t="str">
        <f t="shared" si="140"/>
        <v/>
      </c>
      <c r="E1821" s="50" t="str">
        <f t="shared" si="141"/>
        <v/>
      </c>
      <c r="F1821" s="50" t="str">
        <f t="shared" si="142"/>
        <v/>
      </c>
      <c r="G1821" s="50" t="str">
        <f t="shared" si="143"/>
        <v/>
      </c>
      <c r="H1821" s="51" t="str">
        <f>IF($C1821="","",IFERROR(DATE(G1821,VLOOKUP(E1821,Paramètres!$K$11:$L$40,2,FALSE()),F1821),"?"))</f>
        <v/>
      </c>
      <c r="I1821" s="50" t="str">
        <f>IF(ISNUMBER(H1821),IF(COUNTIFS($D$2:D1821,D1821,$H$2:H1821,H1821)=1,1,0),"")</f>
        <v/>
      </c>
      <c r="J1821" s="50" t="str">
        <f>IF(ISNUMBER(H1821),IFERROR(INDEX(Calendrier!$C$2:$C$367,MATCH(H1821,Calendrier!$A$2:$A$367,0)),0),"")</f>
        <v/>
      </c>
      <c r="K1821" s="50" t="str">
        <f t="shared" si="144"/>
        <v/>
      </c>
      <c r="L1821" s="50" t="str">
        <f>IF(D1821="","",IF(COUNTIF(Paramètres!$A$11:$A$40,D1821)&gt;0,1,0))</f>
        <v/>
      </c>
    </row>
    <row r="1822" spans="1:12" hidden="1" x14ac:dyDescent="0.25">
      <c r="A1822" s="49"/>
      <c r="B1822" s="49"/>
      <c r="C1822" s="49"/>
      <c r="D1822" s="50" t="str">
        <f t="shared" si="140"/>
        <v/>
      </c>
      <c r="E1822" s="50" t="str">
        <f t="shared" si="141"/>
        <v/>
      </c>
      <c r="F1822" s="50" t="str">
        <f t="shared" si="142"/>
        <v/>
      </c>
      <c r="G1822" s="50" t="str">
        <f t="shared" si="143"/>
        <v/>
      </c>
      <c r="H1822" s="51" t="str">
        <f>IF($C1822="","",IFERROR(DATE(G1822,VLOOKUP(E1822,Paramètres!$K$11:$L$40,2,FALSE()),F1822),"?"))</f>
        <v/>
      </c>
      <c r="I1822" s="50" t="str">
        <f>IF(ISNUMBER(H1822),IF(COUNTIFS($D$2:D1822,D1822,$H$2:H1822,H1822)=1,1,0),"")</f>
        <v/>
      </c>
      <c r="J1822" s="50" t="str">
        <f>IF(ISNUMBER(H1822),IFERROR(INDEX(Calendrier!$C$2:$C$367,MATCH(H1822,Calendrier!$A$2:$A$367,0)),0),"")</f>
        <v/>
      </c>
      <c r="K1822" s="50" t="str">
        <f t="shared" si="144"/>
        <v/>
      </c>
      <c r="L1822" s="50" t="str">
        <f>IF(D1822="","",IF(COUNTIF(Paramètres!$A$11:$A$40,D1822)&gt;0,1,0))</f>
        <v/>
      </c>
    </row>
    <row r="1823" spans="1:12" hidden="1" x14ac:dyDescent="0.25">
      <c r="A1823" s="49"/>
      <c r="B1823" s="49"/>
      <c r="C1823" s="49"/>
      <c r="D1823" s="50" t="str">
        <f t="shared" si="140"/>
        <v/>
      </c>
      <c r="E1823" s="50" t="str">
        <f t="shared" si="141"/>
        <v/>
      </c>
      <c r="F1823" s="50" t="str">
        <f t="shared" si="142"/>
        <v/>
      </c>
      <c r="G1823" s="50" t="str">
        <f t="shared" si="143"/>
        <v/>
      </c>
      <c r="H1823" s="51" t="str">
        <f>IF($C1823="","",IFERROR(DATE(G1823,VLOOKUP(E1823,Paramètres!$K$11:$L$40,2,FALSE()),F1823),"?"))</f>
        <v/>
      </c>
      <c r="I1823" s="50" t="str">
        <f>IF(ISNUMBER(H1823),IF(COUNTIFS($D$2:D1823,D1823,$H$2:H1823,H1823)=1,1,0),"")</f>
        <v/>
      </c>
      <c r="J1823" s="50" t="str">
        <f>IF(ISNUMBER(H1823),IFERROR(INDEX(Calendrier!$C$2:$C$367,MATCH(H1823,Calendrier!$A$2:$A$367,0)),0),"")</f>
        <v/>
      </c>
      <c r="K1823" s="50" t="str">
        <f t="shared" si="144"/>
        <v/>
      </c>
      <c r="L1823" s="50" t="str">
        <f>IF(D1823="","",IF(COUNTIF(Paramètres!$A$11:$A$40,D1823)&gt;0,1,0))</f>
        <v/>
      </c>
    </row>
    <row r="1824" spans="1:12" hidden="1" x14ac:dyDescent="0.25">
      <c r="A1824" s="49"/>
      <c r="B1824" s="49"/>
      <c r="C1824" s="49"/>
      <c r="D1824" s="50" t="str">
        <f t="shared" si="140"/>
        <v/>
      </c>
      <c r="E1824" s="50" t="str">
        <f t="shared" si="141"/>
        <v/>
      </c>
      <c r="F1824" s="50" t="str">
        <f t="shared" si="142"/>
        <v/>
      </c>
      <c r="G1824" s="50" t="str">
        <f t="shared" si="143"/>
        <v/>
      </c>
      <c r="H1824" s="51" t="str">
        <f>IF($C1824="","",IFERROR(DATE(G1824,VLOOKUP(E1824,Paramètres!$K$11:$L$40,2,FALSE()),F1824),"?"))</f>
        <v/>
      </c>
      <c r="I1824" s="50" t="str">
        <f>IF(ISNUMBER(H1824),IF(COUNTIFS($D$2:D1824,D1824,$H$2:H1824,H1824)=1,1,0),"")</f>
        <v/>
      </c>
      <c r="J1824" s="50" t="str">
        <f>IF(ISNUMBER(H1824),IFERROR(INDEX(Calendrier!$C$2:$C$367,MATCH(H1824,Calendrier!$A$2:$A$367,0)),0),"")</f>
        <v/>
      </c>
      <c r="K1824" s="50" t="str">
        <f t="shared" si="144"/>
        <v/>
      </c>
      <c r="L1824" s="50" t="str">
        <f>IF(D1824="","",IF(COUNTIF(Paramètres!$A$11:$A$40,D1824)&gt;0,1,0))</f>
        <v/>
      </c>
    </row>
    <row r="1825" spans="1:12" hidden="1" x14ac:dyDescent="0.25">
      <c r="A1825" s="49"/>
      <c r="B1825" s="49"/>
      <c r="C1825" s="49"/>
      <c r="D1825" s="50" t="str">
        <f t="shared" si="140"/>
        <v/>
      </c>
      <c r="E1825" s="50" t="str">
        <f t="shared" si="141"/>
        <v/>
      </c>
      <c r="F1825" s="50" t="str">
        <f t="shared" si="142"/>
        <v/>
      </c>
      <c r="G1825" s="50" t="str">
        <f t="shared" si="143"/>
        <v/>
      </c>
      <c r="H1825" s="51" t="str">
        <f>IF($C1825="","",IFERROR(DATE(G1825,VLOOKUP(E1825,Paramètres!$K$11:$L$40,2,FALSE()),F1825),"?"))</f>
        <v/>
      </c>
      <c r="I1825" s="50" t="str">
        <f>IF(ISNUMBER(H1825),IF(COUNTIFS($D$2:D1825,D1825,$H$2:H1825,H1825)=1,1,0),"")</f>
        <v/>
      </c>
      <c r="J1825" s="50" t="str">
        <f>IF(ISNUMBER(H1825),IFERROR(INDEX(Calendrier!$C$2:$C$367,MATCH(H1825,Calendrier!$A$2:$A$367,0)),0),"")</f>
        <v/>
      </c>
      <c r="K1825" s="50" t="str">
        <f t="shared" si="144"/>
        <v/>
      </c>
      <c r="L1825" s="50" t="str">
        <f>IF(D1825="","",IF(COUNTIF(Paramètres!$A$11:$A$40,D1825)&gt;0,1,0))</f>
        <v/>
      </c>
    </row>
    <row r="1826" spans="1:12" hidden="1" x14ac:dyDescent="0.25">
      <c r="A1826" s="49"/>
      <c r="B1826" s="49"/>
      <c r="C1826" s="49"/>
      <c r="D1826" s="50" t="str">
        <f t="shared" si="140"/>
        <v/>
      </c>
      <c r="E1826" s="50" t="str">
        <f t="shared" si="141"/>
        <v/>
      </c>
      <c r="F1826" s="50" t="str">
        <f t="shared" si="142"/>
        <v/>
      </c>
      <c r="G1826" s="50" t="str">
        <f t="shared" si="143"/>
        <v/>
      </c>
      <c r="H1826" s="51" t="str">
        <f>IF($C1826="","",IFERROR(DATE(G1826,VLOOKUP(E1826,Paramètres!$K$11:$L$40,2,FALSE()),F1826),"?"))</f>
        <v/>
      </c>
      <c r="I1826" s="50" t="str">
        <f>IF(ISNUMBER(H1826),IF(COUNTIFS($D$2:D1826,D1826,$H$2:H1826,H1826)=1,1,0),"")</f>
        <v/>
      </c>
      <c r="J1826" s="50" t="str">
        <f>IF(ISNUMBER(H1826),IFERROR(INDEX(Calendrier!$C$2:$C$367,MATCH(H1826,Calendrier!$A$2:$A$367,0)),0),"")</f>
        <v/>
      </c>
      <c r="K1826" s="50" t="str">
        <f t="shared" si="144"/>
        <v/>
      </c>
      <c r="L1826" s="50" t="str">
        <f>IF(D1826="","",IF(COUNTIF(Paramètres!$A$11:$A$40,D1826)&gt;0,1,0))</f>
        <v/>
      </c>
    </row>
    <row r="1827" spans="1:12" hidden="1" x14ac:dyDescent="0.25">
      <c r="A1827" s="49"/>
      <c r="B1827" s="49"/>
      <c r="C1827" s="49"/>
      <c r="D1827" s="50" t="str">
        <f t="shared" si="140"/>
        <v/>
      </c>
      <c r="E1827" s="50" t="str">
        <f t="shared" si="141"/>
        <v/>
      </c>
      <c r="F1827" s="50" t="str">
        <f t="shared" si="142"/>
        <v/>
      </c>
      <c r="G1827" s="50" t="str">
        <f t="shared" si="143"/>
        <v/>
      </c>
      <c r="H1827" s="51" t="str">
        <f>IF($C1827="","",IFERROR(DATE(G1827,VLOOKUP(E1827,Paramètres!$K$11:$L$40,2,FALSE()),F1827),"?"))</f>
        <v/>
      </c>
      <c r="I1827" s="50" t="str">
        <f>IF(ISNUMBER(H1827),IF(COUNTIFS($D$2:D1827,D1827,$H$2:H1827,H1827)=1,1,0),"")</f>
        <v/>
      </c>
      <c r="J1827" s="50" t="str">
        <f>IF(ISNUMBER(H1827),IFERROR(INDEX(Calendrier!$C$2:$C$367,MATCH(H1827,Calendrier!$A$2:$A$367,0)),0),"")</f>
        <v/>
      </c>
      <c r="K1827" s="50" t="str">
        <f t="shared" si="144"/>
        <v/>
      </c>
      <c r="L1827" s="50" t="str">
        <f>IF(D1827="","",IF(COUNTIF(Paramètres!$A$11:$A$40,D1827)&gt;0,1,0))</f>
        <v/>
      </c>
    </row>
    <row r="1828" spans="1:12" hidden="1" x14ac:dyDescent="0.25">
      <c r="A1828" s="49"/>
      <c r="B1828" s="49"/>
      <c r="C1828" s="49"/>
      <c r="D1828" s="50" t="str">
        <f t="shared" si="140"/>
        <v/>
      </c>
      <c r="E1828" s="50" t="str">
        <f t="shared" si="141"/>
        <v/>
      </c>
      <c r="F1828" s="50" t="str">
        <f t="shared" si="142"/>
        <v/>
      </c>
      <c r="G1828" s="50" t="str">
        <f t="shared" si="143"/>
        <v/>
      </c>
      <c r="H1828" s="51" t="str">
        <f>IF($C1828="","",IFERROR(DATE(G1828,VLOOKUP(E1828,Paramètres!$K$11:$L$40,2,FALSE()),F1828),"?"))</f>
        <v/>
      </c>
      <c r="I1828" s="50" t="str">
        <f>IF(ISNUMBER(H1828),IF(COUNTIFS($D$2:D1828,D1828,$H$2:H1828,H1828)=1,1,0),"")</f>
        <v/>
      </c>
      <c r="J1828" s="50" t="str">
        <f>IF(ISNUMBER(H1828),IFERROR(INDEX(Calendrier!$C$2:$C$367,MATCH(H1828,Calendrier!$A$2:$A$367,0)),0),"")</f>
        <v/>
      </c>
      <c r="K1828" s="50" t="str">
        <f t="shared" si="144"/>
        <v/>
      </c>
      <c r="L1828" s="50" t="str">
        <f>IF(D1828="","",IF(COUNTIF(Paramètres!$A$11:$A$40,D1828)&gt;0,1,0))</f>
        <v/>
      </c>
    </row>
    <row r="1829" spans="1:12" hidden="1" x14ac:dyDescent="0.25">
      <c r="A1829" s="49"/>
      <c r="B1829" s="49"/>
      <c r="C1829" s="49"/>
      <c r="D1829" s="50" t="str">
        <f t="shared" si="140"/>
        <v/>
      </c>
      <c r="E1829" s="50" t="str">
        <f t="shared" si="141"/>
        <v/>
      </c>
      <c r="F1829" s="50" t="str">
        <f t="shared" si="142"/>
        <v/>
      </c>
      <c r="G1829" s="50" t="str">
        <f t="shared" si="143"/>
        <v/>
      </c>
      <c r="H1829" s="51" t="str">
        <f>IF($C1829="","",IFERROR(DATE(G1829,VLOOKUP(E1829,Paramètres!$K$11:$L$40,2,FALSE()),F1829),"?"))</f>
        <v/>
      </c>
      <c r="I1829" s="50" t="str">
        <f>IF(ISNUMBER(H1829),IF(COUNTIFS($D$2:D1829,D1829,$H$2:H1829,H1829)=1,1,0),"")</f>
        <v/>
      </c>
      <c r="J1829" s="50" t="str">
        <f>IF(ISNUMBER(H1829),IFERROR(INDEX(Calendrier!$C$2:$C$367,MATCH(H1829,Calendrier!$A$2:$A$367,0)),0),"")</f>
        <v/>
      </c>
      <c r="K1829" s="50" t="str">
        <f t="shared" si="144"/>
        <v/>
      </c>
      <c r="L1829" s="50" t="str">
        <f>IF(D1829="","",IF(COUNTIF(Paramètres!$A$11:$A$40,D1829)&gt;0,1,0))</f>
        <v/>
      </c>
    </row>
    <row r="1830" spans="1:12" hidden="1" x14ac:dyDescent="0.25">
      <c r="A1830" s="49"/>
      <c r="B1830" s="49"/>
      <c r="C1830" s="49"/>
      <c r="D1830" s="50" t="str">
        <f t="shared" si="140"/>
        <v/>
      </c>
      <c r="E1830" s="50" t="str">
        <f t="shared" si="141"/>
        <v/>
      </c>
      <c r="F1830" s="50" t="str">
        <f t="shared" si="142"/>
        <v/>
      </c>
      <c r="G1830" s="50" t="str">
        <f t="shared" si="143"/>
        <v/>
      </c>
      <c r="H1830" s="51" t="str">
        <f>IF($C1830="","",IFERROR(DATE(G1830,VLOOKUP(E1830,Paramètres!$K$11:$L$40,2,FALSE()),F1830),"?"))</f>
        <v/>
      </c>
      <c r="I1830" s="50" t="str">
        <f>IF(ISNUMBER(H1830),IF(COUNTIFS($D$2:D1830,D1830,$H$2:H1830,H1830)=1,1,0),"")</f>
        <v/>
      </c>
      <c r="J1830" s="50" t="str">
        <f>IF(ISNUMBER(H1830),IFERROR(INDEX(Calendrier!$C$2:$C$367,MATCH(H1830,Calendrier!$A$2:$A$367,0)),0),"")</f>
        <v/>
      </c>
      <c r="K1830" s="50" t="str">
        <f t="shared" si="144"/>
        <v/>
      </c>
      <c r="L1830" s="50" t="str">
        <f>IF(D1830="","",IF(COUNTIF(Paramètres!$A$11:$A$40,D1830)&gt;0,1,0))</f>
        <v/>
      </c>
    </row>
    <row r="1831" spans="1:12" hidden="1" x14ac:dyDescent="0.25">
      <c r="A1831" s="49"/>
      <c r="B1831" s="49"/>
      <c r="C1831" s="49"/>
      <c r="D1831" s="50" t="str">
        <f t="shared" si="140"/>
        <v/>
      </c>
      <c r="E1831" s="50" t="str">
        <f t="shared" si="141"/>
        <v/>
      </c>
      <c r="F1831" s="50" t="str">
        <f t="shared" si="142"/>
        <v/>
      </c>
      <c r="G1831" s="50" t="str">
        <f t="shared" si="143"/>
        <v/>
      </c>
      <c r="H1831" s="51" t="str">
        <f>IF($C1831="","",IFERROR(DATE(G1831,VLOOKUP(E1831,Paramètres!$K$11:$L$40,2,FALSE()),F1831),"?"))</f>
        <v/>
      </c>
      <c r="I1831" s="50" t="str">
        <f>IF(ISNUMBER(H1831),IF(COUNTIFS($D$2:D1831,D1831,$H$2:H1831,H1831)=1,1,0),"")</f>
        <v/>
      </c>
      <c r="J1831" s="50" t="str">
        <f>IF(ISNUMBER(H1831),IFERROR(INDEX(Calendrier!$C$2:$C$367,MATCH(H1831,Calendrier!$A$2:$A$367,0)),0),"")</f>
        <v/>
      </c>
      <c r="K1831" s="50" t="str">
        <f t="shared" si="144"/>
        <v/>
      </c>
      <c r="L1831" s="50" t="str">
        <f>IF(D1831="","",IF(COUNTIF(Paramètres!$A$11:$A$40,D1831)&gt;0,1,0))</f>
        <v/>
      </c>
    </row>
    <row r="1832" spans="1:12" hidden="1" x14ac:dyDescent="0.25">
      <c r="A1832" s="49"/>
      <c r="B1832" s="49"/>
      <c r="C1832" s="49"/>
      <c r="D1832" s="50" t="str">
        <f t="shared" si="140"/>
        <v/>
      </c>
      <c r="E1832" s="50" t="str">
        <f t="shared" si="141"/>
        <v/>
      </c>
      <c r="F1832" s="50" t="str">
        <f t="shared" si="142"/>
        <v/>
      </c>
      <c r="G1832" s="50" t="str">
        <f t="shared" si="143"/>
        <v/>
      </c>
      <c r="H1832" s="51" t="str">
        <f>IF($C1832="","",IFERROR(DATE(G1832,VLOOKUP(E1832,Paramètres!$K$11:$L$40,2,FALSE()),F1832),"?"))</f>
        <v/>
      </c>
      <c r="I1832" s="50" t="str">
        <f>IF(ISNUMBER(H1832),IF(COUNTIFS($D$2:D1832,D1832,$H$2:H1832,H1832)=1,1,0),"")</f>
        <v/>
      </c>
      <c r="J1832" s="50" t="str">
        <f>IF(ISNUMBER(H1832),IFERROR(INDEX(Calendrier!$C$2:$C$367,MATCH(H1832,Calendrier!$A$2:$A$367,0)),0),"")</f>
        <v/>
      </c>
      <c r="K1832" s="50" t="str">
        <f t="shared" si="144"/>
        <v/>
      </c>
      <c r="L1832" s="50" t="str">
        <f>IF(D1832="","",IF(COUNTIF(Paramètres!$A$11:$A$40,D1832)&gt;0,1,0))</f>
        <v/>
      </c>
    </row>
    <row r="1833" spans="1:12" hidden="1" x14ac:dyDescent="0.25">
      <c r="A1833" s="49"/>
      <c r="B1833" s="49"/>
      <c r="C1833" s="49"/>
      <c r="D1833" s="50" t="str">
        <f t="shared" si="140"/>
        <v/>
      </c>
      <c r="E1833" s="50" t="str">
        <f t="shared" si="141"/>
        <v/>
      </c>
      <c r="F1833" s="50" t="str">
        <f t="shared" si="142"/>
        <v/>
      </c>
      <c r="G1833" s="50" t="str">
        <f t="shared" si="143"/>
        <v/>
      </c>
      <c r="H1833" s="51" t="str">
        <f>IF($C1833="","",IFERROR(DATE(G1833,VLOOKUP(E1833,Paramètres!$K$11:$L$40,2,FALSE()),F1833),"?"))</f>
        <v/>
      </c>
      <c r="I1833" s="50" t="str">
        <f>IF(ISNUMBER(H1833),IF(COUNTIFS($D$2:D1833,D1833,$H$2:H1833,H1833)=1,1,0),"")</f>
        <v/>
      </c>
      <c r="J1833" s="50" t="str">
        <f>IF(ISNUMBER(H1833),IFERROR(INDEX(Calendrier!$C$2:$C$367,MATCH(H1833,Calendrier!$A$2:$A$367,0)),0),"")</f>
        <v/>
      </c>
      <c r="K1833" s="50" t="str">
        <f t="shared" si="144"/>
        <v/>
      </c>
      <c r="L1833" s="50" t="str">
        <f>IF(D1833="","",IF(COUNTIF(Paramètres!$A$11:$A$40,D1833)&gt;0,1,0))</f>
        <v/>
      </c>
    </row>
    <row r="1834" spans="1:12" hidden="1" x14ac:dyDescent="0.25">
      <c r="A1834" s="49"/>
      <c r="B1834" s="49"/>
      <c r="C1834" s="49"/>
      <c r="D1834" s="50" t="str">
        <f t="shared" si="140"/>
        <v/>
      </c>
      <c r="E1834" s="50" t="str">
        <f t="shared" si="141"/>
        <v/>
      </c>
      <c r="F1834" s="50" t="str">
        <f t="shared" si="142"/>
        <v/>
      </c>
      <c r="G1834" s="50" t="str">
        <f t="shared" si="143"/>
        <v/>
      </c>
      <c r="H1834" s="51" t="str">
        <f>IF($C1834="","",IFERROR(DATE(G1834,VLOOKUP(E1834,Paramètres!$K$11:$L$40,2,FALSE()),F1834),"?"))</f>
        <v/>
      </c>
      <c r="I1834" s="50" t="str">
        <f>IF(ISNUMBER(H1834),IF(COUNTIFS($D$2:D1834,D1834,$H$2:H1834,H1834)=1,1,0),"")</f>
        <v/>
      </c>
      <c r="J1834" s="50" t="str">
        <f>IF(ISNUMBER(H1834),IFERROR(INDEX(Calendrier!$C$2:$C$367,MATCH(H1834,Calendrier!$A$2:$A$367,0)),0),"")</f>
        <v/>
      </c>
      <c r="K1834" s="50" t="str">
        <f t="shared" si="144"/>
        <v/>
      </c>
      <c r="L1834" s="50" t="str">
        <f>IF(D1834="","",IF(COUNTIF(Paramètres!$A$11:$A$40,D1834)&gt;0,1,0))</f>
        <v/>
      </c>
    </row>
    <row r="1835" spans="1:12" hidden="1" x14ac:dyDescent="0.25">
      <c r="A1835" s="49"/>
      <c r="B1835" s="49"/>
      <c r="C1835" s="49"/>
      <c r="D1835" s="50" t="str">
        <f t="shared" si="140"/>
        <v/>
      </c>
      <c r="E1835" s="50" t="str">
        <f t="shared" si="141"/>
        <v/>
      </c>
      <c r="F1835" s="50" t="str">
        <f t="shared" si="142"/>
        <v/>
      </c>
      <c r="G1835" s="50" t="str">
        <f t="shared" si="143"/>
        <v/>
      </c>
      <c r="H1835" s="51" t="str">
        <f>IF($C1835="","",IFERROR(DATE(G1835,VLOOKUP(E1835,Paramètres!$K$11:$L$40,2,FALSE()),F1835),"?"))</f>
        <v/>
      </c>
      <c r="I1835" s="50" t="str">
        <f>IF(ISNUMBER(H1835),IF(COUNTIFS($D$2:D1835,D1835,$H$2:H1835,H1835)=1,1,0),"")</f>
        <v/>
      </c>
      <c r="J1835" s="50" t="str">
        <f>IF(ISNUMBER(H1835),IFERROR(INDEX(Calendrier!$C$2:$C$367,MATCH(H1835,Calendrier!$A$2:$A$367,0)),0),"")</f>
        <v/>
      </c>
      <c r="K1835" s="50" t="str">
        <f t="shared" si="144"/>
        <v/>
      </c>
      <c r="L1835" s="50" t="str">
        <f>IF(D1835="","",IF(COUNTIF(Paramètres!$A$11:$A$40,D1835)&gt;0,1,0))</f>
        <v/>
      </c>
    </row>
    <row r="1836" spans="1:12" hidden="1" x14ac:dyDescent="0.25">
      <c r="A1836" s="49"/>
      <c r="B1836" s="49"/>
      <c r="C1836" s="49"/>
      <c r="D1836" s="50" t="str">
        <f t="shared" si="140"/>
        <v/>
      </c>
      <c r="E1836" s="50" t="str">
        <f t="shared" si="141"/>
        <v/>
      </c>
      <c r="F1836" s="50" t="str">
        <f t="shared" si="142"/>
        <v/>
      </c>
      <c r="G1836" s="50" t="str">
        <f t="shared" si="143"/>
        <v/>
      </c>
      <c r="H1836" s="51" t="str">
        <f>IF($C1836="","",IFERROR(DATE(G1836,VLOOKUP(E1836,Paramètres!$K$11:$L$40,2,FALSE()),F1836),"?"))</f>
        <v/>
      </c>
      <c r="I1836" s="50" t="str">
        <f>IF(ISNUMBER(H1836),IF(COUNTIFS($D$2:D1836,D1836,$H$2:H1836,H1836)=1,1,0),"")</f>
        <v/>
      </c>
      <c r="J1836" s="50" t="str">
        <f>IF(ISNUMBER(H1836),IFERROR(INDEX(Calendrier!$C$2:$C$367,MATCH(H1836,Calendrier!$A$2:$A$367,0)),0),"")</f>
        <v/>
      </c>
      <c r="K1836" s="50" t="str">
        <f t="shared" si="144"/>
        <v/>
      </c>
      <c r="L1836" s="50" t="str">
        <f>IF(D1836="","",IF(COUNTIF(Paramètres!$A$11:$A$40,D1836)&gt;0,1,0))</f>
        <v/>
      </c>
    </row>
    <row r="1837" spans="1:12" hidden="1" x14ac:dyDescent="0.25">
      <c r="A1837" s="49"/>
      <c r="B1837" s="49"/>
      <c r="C1837" s="49"/>
      <c r="D1837" s="50" t="str">
        <f t="shared" si="140"/>
        <v/>
      </c>
      <c r="E1837" s="50" t="str">
        <f t="shared" si="141"/>
        <v/>
      </c>
      <c r="F1837" s="50" t="str">
        <f t="shared" si="142"/>
        <v/>
      </c>
      <c r="G1837" s="50" t="str">
        <f t="shared" si="143"/>
        <v/>
      </c>
      <c r="H1837" s="51" t="str">
        <f>IF($C1837="","",IFERROR(DATE(G1837,VLOOKUP(E1837,Paramètres!$K$11:$L$40,2,FALSE()),F1837),"?"))</f>
        <v/>
      </c>
      <c r="I1837" s="50" t="str">
        <f>IF(ISNUMBER(H1837),IF(COUNTIFS($D$2:D1837,D1837,$H$2:H1837,H1837)=1,1,0),"")</f>
        <v/>
      </c>
      <c r="J1837" s="50" t="str">
        <f>IF(ISNUMBER(H1837),IFERROR(INDEX(Calendrier!$C$2:$C$367,MATCH(H1837,Calendrier!$A$2:$A$367,0)),0),"")</f>
        <v/>
      </c>
      <c r="K1837" s="50" t="str">
        <f t="shared" si="144"/>
        <v/>
      </c>
      <c r="L1837" s="50" t="str">
        <f>IF(D1837="","",IF(COUNTIF(Paramètres!$A$11:$A$40,D1837)&gt;0,1,0))</f>
        <v/>
      </c>
    </row>
    <row r="1838" spans="1:12" hidden="1" x14ac:dyDescent="0.25">
      <c r="A1838" s="49"/>
      <c r="B1838" s="49"/>
      <c r="C1838" s="49"/>
      <c r="D1838" s="50" t="str">
        <f t="shared" si="140"/>
        <v/>
      </c>
      <c r="E1838" s="50" t="str">
        <f t="shared" si="141"/>
        <v/>
      </c>
      <c r="F1838" s="50" t="str">
        <f t="shared" si="142"/>
        <v/>
      </c>
      <c r="G1838" s="50" t="str">
        <f t="shared" si="143"/>
        <v/>
      </c>
      <c r="H1838" s="51" t="str">
        <f>IF($C1838="","",IFERROR(DATE(G1838,VLOOKUP(E1838,Paramètres!$K$11:$L$40,2,FALSE()),F1838),"?"))</f>
        <v/>
      </c>
      <c r="I1838" s="50" t="str">
        <f>IF(ISNUMBER(H1838),IF(COUNTIFS($D$2:D1838,D1838,$H$2:H1838,H1838)=1,1,0),"")</f>
        <v/>
      </c>
      <c r="J1838" s="50" t="str">
        <f>IF(ISNUMBER(H1838),IFERROR(INDEX(Calendrier!$C$2:$C$367,MATCH(H1838,Calendrier!$A$2:$A$367,0)),0),"")</f>
        <v/>
      </c>
      <c r="K1838" s="50" t="str">
        <f t="shared" si="144"/>
        <v/>
      </c>
      <c r="L1838" s="50" t="str">
        <f>IF(D1838="","",IF(COUNTIF(Paramètres!$A$11:$A$40,D1838)&gt;0,1,0))</f>
        <v/>
      </c>
    </row>
    <row r="1839" spans="1:12" hidden="1" x14ac:dyDescent="0.25">
      <c r="A1839" s="49"/>
      <c r="B1839" s="49"/>
      <c r="C1839" s="49"/>
      <c r="D1839" s="50" t="str">
        <f t="shared" si="140"/>
        <v/>
      </c>
      <c r="E1839" s="50" t="str">
        <f t="shared" si="141"/>
        <v/>
      </c>
      <c r="F1839" s="50" t="str">
        <f t="shared" si="142"/>
        <v/>
      </c>
      <c r="G1839" s="50" t="str">
        <f t="shared" si="143"/>
        <v/>
      </c>
      <c r="H1839" s="51" t="str">
        <f>IF($C1839="","",IFERROR(DATE(G1839,VLOOKUP(E1839,Paramètres!$K$11:$L$40,2,FALSE()),F1839),"?"))</f>
        <v/>
      </c>
      <c r="I1839" s="50" t="str">
        <f>IF(ISNUMBER(H1839),IF(COUNTIFS($D$2:D1839,D1839,$H$2:H1839,H1839)=1,1,0),"")</f>
        <v/>
      </c>
      <c r="J1839" s="50" t="str">
        <f>IF(ISNUMBER(H1839),IFERROR(INDEX(Calendrier!$C$2:$C$367,MATCH(H1839,Calendrier!$A$2:$A$367,0)),0),"")</f>
        <v/>
      </c>
      <c r="K1839" s="50" t="str">
        <f t="shared" si="144"/>
        <v/>
      </c>
      <c r="L1839" s="50" t="str">
        <f>IF(D1839="","",IF(COUNTIF(Paramètres!$A$11:$A$40,D1839)&gt;0,1,0))</f>
        <v/>
      </c>
    </row>
    <row r="1840" spans="1:12" hidden="1" x14ac:dyDescent="0.25">
      <c r="A1840" s="49"/>
      <c r="B1840" s="49"/>
      <c r="C1840" s="49"/>
      <c r="D1840" s="50" t="str">
        <f t="shared" si="140"/>
        <v/>
      </c>
      <c r="E1840" s="50" t="str">
        <f t="shared" si="141"/>
        <v/>
      </c>
      <c r="F1840" s="50" t="str">
        <f t="shared" si="142"/>
        <v/>
      </c>
      <c r="G1840" s="50" t="str">
        <f t="shared" si="143"/>
        <v/>
      </c>
      <c r="H1840" s="51" t="str">
        <f>IF($C1840="","",IFERROR(DATE(G1840,VLOOKUP(E1840,Paramètres!$K$11:$L$40,2,FALSE()),F1840),"?"))</f>
        <v/>
      </c>
      <c r="I1840" s="50" t="str">
        <f>IF(ISNUMBER(H1840),IF(COUNTIFS($D$2:D1840,D1840,$H$2:H1840,H1840)=1,1,0),"")</f>
        <v/>
      </c>
      <c r="J1840" s="50" t="str">
        <f>IF(ISNUMBER(H1840),IFERROR(INDEX(Calendrier!$C$2:$C$367,MATCH(H1840,Calendrier!$A$2:$A$367,0)),0),"")</f>
        <v/>
      </c>
      <c r="K1840" s="50" t="str">
        <f t="shared" si="144"/>
        <v/>
      </c>
      <c r="L1840" s="50" t="str">
        <f>IF(D1840="","",IF(COUNTIF(Paramètres!$A$11:$A$40,D1840)&gt;0,1,0))</f>
        <v/>
      </c>
    </row>
    <row r="1841" spans="1:12" hidden="1" x14ac:dyDescent="0.25">
      <c r="A1841" s="49"/>
      <c r="B1841" s="49"/>
      <c r="C1841" s="49"/>
      <c r="D1841" s="50" t="str">
        <f t="shared" si="140"/>
        <v/>
      </c>
      <c r="E1841" s="50" t="str">
        <f t="shared" si="141"/>
        <v/>
      </c>
      <c r="F1841" s="50" t="str">
        <f t="shared" si="142"/>
        <v/>
      </c>
      <c r="G1841" s="50" t="str">
        <f t="shared" si="143"/>
        <v/>
      </c>
      <c r="H1841" s="51" t="str">
        <f>IF($C1841="","",IFERROR(DATE(G1841,VLOOKUP(E1841,Paramètres!$K$11:$L$40,2,FALSE()),F1841),"?"))</f>
        <v/>
      </c>
      <c r="I1841" s="50" t="str">
        <f>IF(ISNUMBER(H1841),IF(COUNTIFS($D$2:D1841,D1841,$H$2:H1841,H1841)=1,1,0),"")</f>
        <v/>
      </c>
      <c r="J1841" s="50" t="str">
        <f>IF(ISNUMBER(H1841),IFERROR(INDEX(Calendrier!$C$2:$C$367,MATCH(H1841,Calendrier!$A$2:$A$367,0)),0),"")</f>
        <v/>
      </c>
      <c r="K1841" s="50" t="str">
        <f t="shared" si="144"/>
        <v/>
      </c>
      <c r="L1841" s="50" t="str">
        <f>IF(D1841="","",IF(COUNTIF(Paramètres!$A$11:$A$40,D1841)&gt;0,1,0))</f>
        <v/>
      </c>
    </row>
    <row r="1842" spans="1:12" hidden="1" x14ac:dyDescent="0.25">
      <c r="A1842" s="49"/>
      <c r="B1842" s="49"/>
      <c r="C1842" s="49"/>
      <c r="D1842" s="50" t="str">
        <f t="shared" si="140"/>
        <v/>
      </c>
      <c r="E1842" s="50" t="str">
        <f t="shared" si="141"/>
        <v/>
      </c>
      <c r="F1842" s="50" t="str">
        <f t="shared" si="142"/>
        <v/>
      </c>
      <c r="G1842" s="50" t="str">
        <f t="shared" si="143"/>
        <v/>
      </c>
      <c r="H1842" s="51" t="str">
        <f>IF($C1842="","",IFERROR(DATE(G1842,VLOOKUP(E1842,Paramètres!$K$11:$L$40,2,FALSE()),F1842),"?"))</f>
        <v/>
      </c>
      <c r="I1842" s="50" t="str">
        <f>IF(ISNUMBER(H1842),IF(COUNTIFS($D$2:D1842,D1842,$H$2:H1842,H1842)=1,1,0),"")</f>
        <v/>
      </c>
      <c r="J1842" s="50" t="str">
        <f>IF(ISNUMBER(H1842),IFERROR(INDEX(Calendrier!$C$2:$C$367,MATCH(H1842,Calendrier!$A$2:$A$367,0)),0),"")</f>
        <v/>
      </c>
      <c r="K1842" s="50" t="str">
        <f t="shared" si="144"/>
        <v/>
      </c>
      <c r="L1842" s="50" t="str">
        <f>IF(D1842="","",IF(COUNTIF(Paramètres!$A$11:$A$40,D1842)&gt;0,1,0))</f>
        <v/>
      </c>
    </row>
    <row r="1843" spans="1:12" hidden="1" x14ac:dyDescent="0.25">
      <c r="A1843" s="49"/>
      <c r="B1843" s="49"/>
      <c r="C1843" s="49"/>
      <c r="D1843" s="50" t="str">
        <f t="shared" si="140"/>
        <v/>
      </c>
      <c r="E1843" s="50" t="str">
        <f t="shared" si="141"/>
        <v/>
      </c>
      <c r="F1843" s="50" t="str">
        <f t="shared" si="142"/>
        <v/>
      </c>
      <c r="G1843" s="50" t="str">
        <f t="shared" si="143"/>
        <v/>
      </c>
      <c r="H1843" s="51" t="str">
        <f>IF($C1843="","",IFERROR(DATE(G1843,VLOOKUP(E1843,Paramètres!$K$11:$L$40,2,FALSE()),F1843),"?"))</f>
        <v/>
      </c>
      <c r="I1843" s="50" t="str">
        <f>IF(ISNUMBER(H1843),IF(COUNTIFS($D$2:D1843,D1843,$H$2:H1843,H1843)=1,1,0),"")</f>
        <v/>
      </c>
      <c r="J1843" s="50" t="str">
        <f>IF(ISNUMBER(H1843),IFERROR(INDEX(Calendrier!$C$2:$C$367,MATCH(H1843,Calendrier!$A$2:$A$367,0)),0),"")</f>
        <v/>
      </c>
      <c r="K1843" s="50" t="str">
        <f t="shared" si="144"/>
        <v/>
      </c>
      <c r="L1843" s="50" t="str">
        <f>IF(D1843="","",IF(COUNTIF(Paramètres!$A$11:$A$40,D1843)&gt;0,1,0))</f>
        <v/>
      </c>
    </row>
    <row r="1844" spans="1:12" hidden="1" x14ac:dyDescent="0.25">
      <c r="A1844" s="49"/>
      <c r="B1844" s="49"/>
      <c r="C1844" s="49"/>
      <c r="D1844" s="50" t="str">
        <f t="shared" si="140"/>
        <v/>
      </c>
      <c r="E1844" s="50" t="str">
        <f t="shared" si="141"/>
        <v/>
      </c>
      <c r="F1844" s="50" t="str">
        <f t="shared" si="142"/>
        <v/>
      </c>
      <c r="G1844" s="50" t="str">
        <f t="shared" si="143"/>
        <v/>
      </c>
      <c r="H1844" s="51" t="str">
        <f>IF($C1844="","",IFERROR(DATE(G1844,VLOOKUP(E1844,Paramètres!$K$11:$L$40,2,FALSE()),F1844),"?"))</f>
        <v/>
      </c>
      <c r="I1844" s="50" t="str">
        <f>IF(ISNUMBER(H1844),IF(COUNTIFS($D$2:D1844,D1844,$H$2:H1844,H1844)=1,1,0),"")</f>
        <v/>
      </c>
      <c r="J1844" s="50" t="str">
        <f>IF(ISNUMBER(H1844),IFERROR(INDEX(Calendrier!$C$2:$C$367,MATCH(H1844,Calendrier!$A$2:$A$367,0)),0),"")</f>
        <v/>
      </c>
      <c r="K1844" s="50" t="str">
        <f t="shared" si="144"/>
        <v/>
      </c>
      <c r="L1844" s="50" t="str">
        <f>IF(D1844="","",IF(COUNTIF(Paramètres!$A$11:$A$40,D1844)&gt;0,1,0))</f>
        <v/>
      </c>
    </row>
    <row r="1845" spans="1:12" hidden="1" x14ac:dyDescent="0.25">
      <c r="A1845" s="49"/>
      <c r="B1845" s="49"/>
      <c r="C1845" s="49"/>
      <c r="D1845" s="50" t="str">
        <f t="shared" si="140"/>
        <v/>
      </c>
      <c r="E1845" s="50" t="str">
        <f t="shared" si="141"/>
        <v/>
      </c>
      <c r="F1845" s="50" t="str">
        <f t="shared" si="142"/>
        <v/>
      </c>
      <c r="G1845" s="50" t="str">
        <f t="shared" si="143"/>
        <v/>
      </c>
      <c r="H1845" s="51" t="str">
        <f>IF($C1845="","",IFERROR(DATE(G1845,VLOOKUP(E1845,Paramètres!$K$11:$L$40,2,FALSE()),F1845),"?"))</f>
        <v/>
      </c>
      <c r="I1845" s="50" t="str">
        <f>IF(ISNUMBER(H1845),IF(COUNTIFS($D$2:D1845,D1845,$H$2:H1845,H1845)=1,1,0),"")</f>
        <v/>
      </c>
      <c r="J1845" s="50" t="str">
        <f>IF(ISNUMBER(H1845),IFERROR(INDEX(Calendrier!$C$2:$C$367,MATCH(H1845,Calendrier!$A$2:$A$367,0)),0),"")</f>
        <v/>
      </c>
      <c r="K1845" s="50" t="str">
        <f t="shared" si="144"/>
        <v/>
      </c>
      <c r="L1845" s="50" t="str">
        <f>IF(D1845="","",IF(COUNTIF(Paramètres!$A$11:$A$40,D1845)&gt;0,1,0))</f>
        <v/>
      </c>
    </row>
    <row r="1846" spans="1:12" hidden="1" x14ac:dyDescent="0.25">
      <c r="A1846" s="49"/>
      <c r="B1846" s="49"/>
      <c r="C1846" s="49"/>
      <c r="D1846" s="50" t="str">
        <f t="shared" si="140"/>
        <v/>
      </c>
      <c r="E1846" s="50" t="str">
        <f t="shared" si="141"/>
        <v/>
      </c>
      <c r="F1846" s="50" t="str">
        <f t="shared" si="142"/>
        <v/>
      </c>
      <c r="G1846" s="50" t="str">
        <f t="shared" si="143"/>
        <v/>
      </c>
      <c r="H1846" s="51" t="str">
        <f>IF($C1846="","",IFERROR(DATE(G1846,VLOOKUP(E1846,Paramètres!$K$11:$L$40,2,FALSE()),F1846),"?"))</f>
        <v/>
      </c>
      <c r="I1846" s="50" t="str">
        <f>IF(ISNUMBER(H1846),IF(COUNTIFS($D$2:D1846,D1846,$H$2:H1846,H1846)=1,1,0),"")</f>
        <v/>
      </c>
      <c r="J1846" s="50" t="str">
        <f>IF(ISNUMBER(H1846),IFERROR(INDEX(Calendrier!$C$2:$C$367,MATCH(H1846,Calendrier!$A$2:$A$367,0)),0),"")</f>
        <v/>
      </c>
      <c r="K1846" s="50" t="str">
        <f t="shared" si="144"/>
        <v/>
      </c>
      <c r="L1846" s="50" t="str">
        <f>IF(D1846="","",IF(COUNTIF(Paramètres!$A$11:$A$40,D1846)&gt;0,1,0))</f>
        <v/>
      </c>
    </row>
    <row r="1847" spans="1:12" hidden="1" x14ac:dyDescent="0.25">
      <c r="A1847" s="49"/>
      <c r="B1847" s="49"/>
      <c r="C1847" s="49"/>
      <c r="D1847" s="50" t="str">
        <f t="shared" si="140"/>
        <v/>
      </c>
      <c r="E1847" s="50" t="str">
        <f t="shared" si="141"/>
        <v/>
      </c>
      <c r="F1847" s="50" t="str">
        <f t="shared" si="142"/>
        <v/>
      </c>
      <c r="G1847" s="50" t="str">
        <f t="shared" si="143"/>
        <v/>
      </c>
      <c r="H1847" s="51" t="str">
        <f>IF($C1847="","",IFERROR(DATE(G1847,VLOOKUP(E1847,Paramètres!$K$11:$L$40,2,FALSE()),F1847),"?"))</f>
        <v/>
      </c>
      <c r="I1847" s="50" t="str">
        <f>IF(ISNUMBER(H1847),IF(COUNTIFS($D$2:D1847,D1847,$H$2:H1847,H1847)=1,1,0),"")</f>
        <v/>
      </c>
      <c r="J1847" s="50" t="str">
        <f>IF(ISNUMBER(H1847),IFERROR(INDEX(Calendrier!$C$2:$C$367,MATCH(H1847,Calendrier!$A$2:$A$367,0)),0),"")</f>
        <v/>
      </c>
      <c r="K1847" s="50" t="str">
        <f t="shared" si="144"/>
        <v/>
      </c>
      <c r="L1847" s="50" t="str">
        <f>IF(D1847="","",IF(COUNTIF(Paramètres!$A$11:$A$40,D1847)&gt;0,1,0))</f>
        <v/>
      </c>
    </row>
    <row r="1848" spans="1:12" hidden="1" x14ac:dyDescent="0.25">
      <c r="A1848" s="49"/>
      <c r="B1848" s="49"/>
      <c r="C1848" s="49"/>
      <c r="D1848" s="50" t="str">
        <f t="shared" si="140"/>
        <v/>
      </c>
      <c r="E1848" s="50" t="str">
        <f t="shared" si="141"/>
        <v/>
      </c>
      <c r="F1848" s="50" t="str">
        <f t="shared" si="142"/>
        <v/>
      </c>
      <c r="G1848" s="50" t="str">
        <f t="shared" si="143"/>
        <v/>
      </c>
      <c r="H1848" s="51" t="str">
        <f>IF($C1848="","",IFERROR(DATE(G1848,VLOOKUP(E1848,Paramètres!$K$11:$L$40,2,FALSE()),F1848),"?"))</f>
        <v/>
      </c>
      <c r="I1848" s="50" t="str">
        <f>IF(ISNUMBER(H1848),IF(COUNTIFS($D$2:D1848,D1848,$H$2:H1848,H1848)=1,1,0),"")</f>
        <v/>
      </c>
      <c r="J1848" s="50" t="str">
        <f>IF(ISNUMBER(H1848),IFERROR(INDEX(Calendrier!$C$2:$C$367,MATCH(H1848,Calendrier!$A$2:$A$367,0)),0),"")</f>
        <v/>
      </c>
      <c r="K1848" s="50" t="str">
        <f t="shared" si="144"/>
        <v/>
      </c>
      <c r="L1848" s="50" t="str">
        <f>IF(D1848="","",IF(COUNTIF(Paramètres!$A$11:$A$40,D1848)&gt;0,1,0))</f>
        <v/>
      </c>
    </row>
    <row r="1849" spans="1:12" hidden="1" x14ac:dyDescent="0.25">
      <c r="A1849" s="49"/>
      <c r="B1849" s="49"/>
      <c r="C1849" s="49"/>
      <c r="D1849" s="50" t="str">
        <f t="shared" si="140"/>
        <v/>
      </c>
      <c r="E1849" s="50" t="str">
        <f t="shared" si="141"/>
        <v/>
      </c>
      <c r="F1849" s="50" t="str">
        <f t="shared" si="142"/>
        <v/>
      </c>
      <c r="G1849" s="50" t="str">
        <f t="shared" si="143"/>
        <v/>
      </c>
      <c r="H1849" s="51" t="str">
        <f>IF($C1849="","",IFERROR(DATE(G1849,VLOOKUP(E1849,Paramètres!$K$11:$L$40,2,FALSE()),F1849),"?"))</f>
        <v/>
      </c>
      <c r="I1849" s="50" t="str">
        <f>IF(ISNUMBER(H1849),IF(COUNTIFS($D$2:D1849,D1849,$H$2:H1849,H1849)=1,1,0),"")</f>
        <v/>
      </c>
      <c r="J1849" s="50" t="str">
        <f>IF(ISNUMBER(H1849),IFERROR(INDEX(Calendrier!$C$2:$C$367,MATCH(H1849,Calendrier!$A$2:$A$367,0)),0),"")</f>
        <v/>
      </c>
      <c r="K1849" s="50" t="str">
        <f t="shared" si="144"/>
        <v/>
      </c>
      <c r="L1849" s="50" t="str">
        <f>IF(D1849="","",IF(COUNTIF(Paramètres!$A$11:$A$40,D1849)&gt;0,1,0))</f>
        <v/>
      </c>
    </row>
    <row r="1850" spans="1:12" hidden="1" x14ac:dyDescent="0.25">
      <c r="A1850" s="49"/>
      <c r="B1850" s="49"/>
      <c r="C1850" s="49"/>
      <c r="D1850" s="50" t="str">
        <f t="shared" si="140"/>
        <v/>
      </c>
      <c r="E1850" s="50" t="str">
        <f t="shared" si="141"/>
        <v/>
      </c>
      <c r="F1850" s="50" t="str">
        <f t="shared" si="142"/>
        <v/>
      </c>
      <c r="G1850" s="50" t="str">
        <f t="shared" si="143"/>
        <v/>
      </c>
      <c r="H1850" s="51" t="str">
        <f>IF($C1850="","",IFERROR(DATE(G1850,VLOOKUP(E1850,Paramètres!$K$11:$L$40,2,FALSE()),F1850),"?"))</f>
        <v/>
      </c>
      <c r="I1850" s="50" t="str">
        <f>IF(ISNUMBER(H1850),IF(COUNTIFS($D$2:D1850,D1850,$H$2:H1850,H1850)=1,1,0),"")</f>
        <v/>
      </c>
      <c r="J1850" s="50" t="str">
        <f>IF(ISNUMBER(H1850),IFERROR(INDEX(Calendrier!$C$2:$C$367,MATCH(H1850,Calendrier!$A$2:$A$367,0)),0),"")</f>
        <v/>
      </c>
      <c r="K1850" s="50" t="str">
        <f t="shared" si="144"/>
        <v/>
      </c>
      <c r="L1850" s="50" t="str">
        <f>IF(D1850="","",IF(COUNTIF(Paramètres!$A$11:$A$40,D1850)&gt;0,1,0))</f>
        <v/>
      </c>
    </row>
    <row r="1851" spans="1:12" hidden="1" x14ac:dyDescent="0.25">
      <c r="A1851" s="49"/>
      <c r="B1851" s="49"/>
      <c r="C1851" s="49"/>
      <c r="D1851" s="50" t="str">
        <f t="shared" si="140"/>
        <v/>
      </c>
      <c r="E1851" s="50" t="str">
        <f t="shared" si="141"/>
        <v/>
      </c>
      <c r="F1851" s="50" t="str">
        <f t="shared" si="142"/>
        <v/>
      </c>
      <c r="G1851" s="50" t="str">
        <f t="shared" si="143"/>
        <v/>
      </c>
      <c r="H1851" s="51" t="str">
        <f>IF($C1851="","",IFERROR(DATE(G1851,VLOOKUP(E1851,Paramètres!$K$11:$L$40,2,FALSE()),F1851),"?"))</f>
        <v/>
      </c>
      <c r="I1851" s="50" t="str">
        <f>IF(ISNUMBER(H1851),IF(COUNTIFS($D$2:D1851,D1851,$H$2:H1851,H1851)=1,1,0),"")</f>
        <v/>
      </c>
      <c r="J1851" s="50" t="str">
        <f>IF(ISNUMBER(H1851),IFERROR(INDEX(Calendrier!$C$2:$C$367,MATCH(H1851,Calendrier!$A$2:$A$367,0)),0),"")</f>
        <v/>
      </c>
      <c r="K1851" s="50" t="str">
        <f t="shared" si="144"/>
        <v/>
      </c>
      <c r="L1851" s="50" t="str">
        <f>IF(D1851="","",IF(COUNTIF(Paramètres!$A$11:$A$40,D1851)&gt;0,1,0))</f>
        <v/>
      </c>
    </row>
    <row r="1852" spans="1:12" hidden="1" x14ac:dyDescent="0.25">
      <c r="A1852" s="49"/>
      <c r="B1852" s="49"/>
      <c r="C1852" s="49"/>
      <c r="D1852" s="50" t="str">
        <f t="shared" si="140"/>
        <v/>
      </c>
      <c r="E1852" s="50" t="str">
        <f t="shared" si="141"/>
        <v/>
      </c>
      <c r="F1852" s="50" t="str">
        <f t="shared" si="142"/>
        <v/>
      </c>
      <c r="G1852" s="50" t="str">
        <f t="shared" si="143"/>
        <v/>
      </c>
      <c r="H1852" s="51" t="str">
        <f>IF($C1852="","",IFERROR(DATE(G1852,VLOOKUP(E1852,Paramètres!$K$11:$L$40,2,FALSE()),F1852),"?"))</f>
        <v/>
      </c>
      <c r="I1852" s="50" t="str">
        <f>IF(ISNUMBER(H1852),IF(COUNTIFS($D$2:D1852,D1852,$H$2:H1852,H1852)=1,1,0),"")</f>
        <v/>
      </c>
      <c r="J1852" s="50" t="str">
        <f>IF(ISNUMBER(H1852),IFERROR(INDEX(Calendrier!$C$2:$C$367,MATCH(H1852,Calendrier!$A$2:$A$367,0)),0),"")</f>
        <v/>
      </c>
      <c r="K1852" s="50" t="str">
        <f t="shared" si="144"/>
        <v/>
      </c>
      <c r="L1852" s="50" t="str">
        <f>IF(D1852="","",IF(COUNTIF(Paramètres!$A$11:$A$40,D1852)&gt;0,1,0))</f>
        <v/>
      </c>
    </row>
    <row r="1853" spans="1:12" hidden="1" x14ac:dyDescent="0.25">
      <c r="A1853" s="49"/>
      <c r="B1853" s="49"/>
      <c r="C1853" s="49"/>
      <c r="D1853" s="50" t="str">
        <f t="shared" si="140"/>
        <v/>
      </c>
      <c r="E1853" s="50" t="str">
        <f t="shared" si="141"/>
        <v/>
      </c>
      <c r="F1853" s="50" t="str">
        <f t="shared" si="142"/>
        <v/>
      </c>
      <c r="G1853" s="50" t="str">
        <f t="shared" si="143"/>
        <v/>
      </c>
      <c r="H1853" s="51" t="str">
        <f>IF($C1853="","",IFERROR(DATE(G1853,VLOOKUP(E1853,Paramètres!$K$11:$L$40,2,FALSE()),F1853),"?"))</f>
        <v/>
      </c>
      <c r="I1853" s="50" t="str">
        <f>IF(ISNUMBER(H1853),IF(COUNTIFS($D$2:D1853,D1853,$H$2:H1853,H1853)=1,1,0),"")</f>
        <v/>
      </c>
      <c r="J1853" s="50" t="str">
        <f>IF(ISNUMBER(H1853),IFERROR(INDEX(Calendrier!$C$2:$C$367,MATCH(H1853,Calendrier!$A$2:$A$367,0)),0),"")</f>
        <v/>
      </c>
      <c r="K1853" s="50" t="str">
        <f t="shared" si="144"/>
        <v/>
      </c>
      <c r="L1853" s="50" t="str">
        <f>IF(D1853="","",IF(COUNTIF(Paramètres!$A$11:$A$40,D1853)&gt;0,1,0))</f>
        <v/>
      </c>
    </row>
    <row r="1854" spans="1:12" hidden="1" x14ac:dyDescent="0.25">
      <c r="A1854" s="49"/>
      <c r="B1854" s="49"/>
      <c r="C1854" s="49"/>
      <c r="D1854" s="50" t="str">
        <f t="shared" si="140"/>
        <v/>
      </c>
      <c r="E1854" s="50" t="str">
        <f t="shared" si="141"/>
        <v/>
      </c>
      <c r="F1854" s="50" t="str">
        <f t="shared" si="142"/>
        <v/>
      </c>
      <c r="G1854" s="50" t="str">
        <f t="shared" si="143"/>
        <v/>
      </c>
      <c r="H1854" s="51" t="str">
        <f>IF($C1854="","",IFERROR(DATE(G1854,VLOOKUP(E1854,Paramètres!$K$11:$L$40,2,FALSE()),F1854),"?"))</f>
        <v/>
      </c>
      <c r="I1854" s="50" t="str">
        <f>IF(ISNUMBER(H1854),IF(COUNTIFS($D$2:D1854,D1854,$H$2:H1854,H1854)=1,1,0),"")</f>
        <v/>
      </c>
      <c r="J1854" s="50" t="str">
        <f>IF(ISNUMBER(H1854),IFERROR(INDEX(Calendrier!$C$2:$C$367,MATCH(H1854,Calendrier!$A$2:$A$367,0)),0),"")</f>
        <v/>
      </c>
      <c r="K1854" s="50" t="str">
        <f t="shared" si="144"/>
        <v/>
      </c>
      <c r="L1854" s="50" t="str">
        <f>IF(D1854="","",IF(COUNTIF(Paramètres!$A$11:$A$40,D1854)&gt;0,1,0))</f>
        <v/>
      </c>
    </row>
    <row r="1855" spans="1:12" hidden="1" x14ac:dyDescent="0.25">
      <c r="A1855" s="49"/>
      <c r="B1855" s="49"/>
      <c r="C1855" s="49"/>
      <c r="D1855" s="50" t="str">
        <f t="shared" si="140"/>
        <v/>
      </c>
      <c r="E1855" s="50" t="str">
        <f t="shared" si="141"/>
        <v/>
      </c>
      <c r="F1855" s="50" t="str">
        <f t="shared" si="142"/>
        <v/>
      </c>
      <c r="G1855" s="50" t="str">
        <f t="shared" si="143"/>
        <v/>
      </c>
      <c r="H1855" s="51" t="str">
        <f>IF($C1855="","",IFERROR(DATE(G1855,VLOOKUP(E1855,Paramètres!$K$11:$L$40,2,FALSE()),F1855),"?"))</f>
        <v/>
      </c>
      <c r="I1855" s="50" t="str">
        <f>IF(ISNUMBER(H1855),IF(COUNTIFS($D$2:D1855,D1855,$H$2:H1855,H1855)=1,1,0),"")</f>
        <v/>
      </c>
      <c r="J1855" s="50" t="str">
        <f>IF(ISNUMBER(H1855),IFERROR(INDEX(Calendrier!$C$2:$C$367,MATCH(H1855,Calendrier!$A$2:$A$367,0)),0),"")</f>
        <v/>
      </c>
      <c r="K1855" s="50" t="str">
        <f t="shared" si="144"/>
        <v/>
      </c>
      <c r="L1855" s="50" t="str">
        <f>IF(D1855="","",IF(COUNTIF(Paramètres!$A$11:$A$40,D1855)&gt;0,1,0))</f>
        <v/>
      </c>
    </row>
    <row r="1856" spans="1:12" hidden="1" x14ac:dyDescent="0.25">
      <c r="A1856" s="49"/>
      <c r="B1856" s="49"/>
      <c r="C1856" s="49"/>
      <c r="D1856" s="50" t="str">
        <f t="shared" si="140"/>
        <v/>
      </c>
      <c r="E1856" s="50" t="str">
        <f t="shared" si="141"/>
        <v/>
      </c>
      <c r="F1856" s="50" t="str">
        <f t="shared" si="142"/>
        <v/>
      </c>
      <c r="G1856" s="50" t="str">
        <f t="shared" si="143"/>
        <v/>
      </c>
      <c r="H1856" s="51" t="str">
        <f>IF($C1856="","",IFERROR(DATE(G1856,VLOOKUP(E1856,Paramètres!$K$11:$L$40,2,FALSE()),F1856),"?"))</f>
        <v/>
      </c>
      <c r="I1856" s="50" t="str">
        <f>IF(ISNUMBER(H1856),IF(COUNTIFS($D$2:D1856,D1856,$H$2:H1856,H1856)=1,1,0),"")</f>
        <v/>
      </c>
      <c r="J1856" s="50" t="str">
        <f>IF(ISNUMBER(H1856),IFERROR(INDEX(Calendrier!$C$2:$C$367,MATCH(H1856,Calendrier!$A$2:$A$367,0)),0),"")</f>
        <v/>
      </c>
      <c r="K1856" s="50" t="str">
        <f t="shared" si="144"/>
        <v/>
      </c>
      <c r="L1856" s="50" t="str">
        <f>IF(D1856="","",IF(COUNTIF(Paramètres!$A$11:$A$40,D1856)&gt;0,1,0))</f>
        <v/>
      </c>
    </row>
    <row r="1857" spans="1:12" hidden="1" x14ac:dyDescent="0.25">
      <c r="A1857" s="49"/>
      <c r="B1857" s="49"/>
      <c r="C1857" s="49"/>
      <c r="D1857" s="50" t="str">
        <f t="shared" si="140"/>
        <v/>
      </c>
      <c r="E1857" s="50" t="str">
        <f t="shared" si="141"/>
        <v/>
      </c>
      <c r="F1857" s="50" t="str">
        <f t="shared" si="142"/>
        <v/>
      </c>
      <c r="G1857" s="50" t="str">
        <f t="shared" si="143"/>
        <v/>
      </c>
      <c r="H1857" s="51" t="str">
        <f>IF($C1857="","",IFERROR(DATE(G1857,VLOOKUP(E1857,Paramètres!$K$11:$L$40,2,FALSE()),F1857),"?"))</f>
        <v/>
      </c>
      <c r="I1857" s="50" t="str">
        <f>IF(ISNUMBER(H1857),IF(COUNTIFS($D$2:D1857,D1857,$H$2:H1857,H1857)=1,1,0),"")</f>
        <v/>
      </c>
      <c r="J1857" s="50" t="str">
        <f>IF(ISNUMBER(H1857),IFERROR(INDEX(Calendrier!$C$2:$C$367,MATCH(H1857,Calendrier!$A$2:$A$367,0)),0),"")</f>
        <v/>
      </c>
      <c r="K1857" s="50" t="str">
        <f t="shared" si="144"/>
        <v/>
      </c>
      <c r="L1857" s="50" t="str">
        <f>IF(D1857="","",IF(COUNTIF(Paramètres!$A$11:$A$40,D1857)&gt;0,1,0))</f>
        <v/>
      </c>
    </row>
    <row r="1858" spans="1:12" hidden="1" x14ac:dyDescent="0.25">
      <c r="A1858" s="49"/>
      <c r="B1858" s="49"/>
      <c r="C1858" s="49"/>
      <c r="D1858" s="50" t="str">
        <f t="shared" ref="D1858:D1921" si="145">IF(B1858="","",TRIM(B1858))</f>
        <v/>
      </c>
      <c r="E1858" s="50" t="str">
        <f t="shared" ref="E1858:E1921" si="146">IF($C1858="","",LEFT($C1858,FIND(" ",$C1858)-1))</f>
        <v/>
      </c>
      <c r="F1858" s="50" t="str">
        <f t="shared" ref="F1858:F1921" si="147">IF($C1858="","",IFERROR(VALUE(LEFT(MID($C1858,FIND(" ",$C1858)+1,20),FIND(" ",MID($C1858,FIND(" ",$C1858)+1,20))-1)),"?"))</f>
        <v/>
      </c>
      <c r="G1858" s="50" t="str">
        <f t="shared" ref="G1858:G1921" si="148">IF($C1858="","",IFERROR(VALUE(MID(MID($C1858,FIND(" ",$C1858)+1,20),FIND(" ",MID($C1858,FIND(" ",$C1858)+1,20))+1,4)),"?"))</f>
        <v/>
      </c>
      <c r="H1858" s="51" t="str">
        <f>IF($C1858="","",IFERROR(DATE(G1858,VLOOKUP(E1858,Paramètres!$K$11:$L$40,2,FALSE()),F1858),"?"))</f>
        <v/>
      </c>
      <c r="I1858" s="50" t="str">
        <f>IF(ISNUMBER(H1858),IF(COUNTIFS($D$2:D1858,D1858,$H$2:H1858,H1858)=1,1,0),"")</f>
        <v/>
      </c>
      <c r="J1858" s="50" t="str">
        <f>IF(ISNUMBER(H1858),IFERROR(INDEX(Calendrier!$C$2:$C$367,MATCH(H1858,Calendrier!$A$2:$A$367,0)),0),"")</f>
        <v/>
      </c>
      <c r="K1858" s="50" t="str">
        <f t="shared" ref="K1858:K1921" si="149">IF(ISNUMBER(H1858),I1858*J1858,"")</f>
        <v/>
      </c>
      <c r="L1858" s="50" t="str">
        <f>IF(D1858="","",IF(COUNTIF(Paramètres!$A$11:$A$40,D1858)&gt;0,1,0))</f>
        <v/>
      </c>
    </row>
    <row r="1859" spans="1:12" hidden="1" x14ac:dyDescent="0.25">
      <c r="A1859" s="49"/>
      <c r="B1859" s="49"/>
      <c r="C1859" s="49"/>
      <c r="D1859" s="50" t="str">
        <f t="shared" si="145"/>
        <v/>
      </c>
      <c r="E1859" s="50" t="str">
        <f t="shared" si="146"/>
        <v/>
      </c>
      <c r="F1859" s="50" t="str">
        <f t="shared" si="147"/>
        <v/>
      </c>
      <c r="G1859" s="50" t="str">
        <f t="shared" si="148"/>
        <v/>
      </c>
      <c r="H1859" s="51" t="str">
        <f>IF($C1859="","",IFERROR(DATE(G1859,VLOOKUP(E1859,Paramètres!$K$11:$L$40,2,FALSE()),F1859),"?"))</f>
        <v/>
      </c>
      <c r="I1859" s="50" t="str">
        <f>IF(ISNUMBER(H1859),IF(COUNTIFS($D$2:D1859,D1859,$H$2:H1859,H1859)=1,1,0),"")</f>
        <v/>
      </c>
      <c r="J1859" s="50" t="str">
        <f>IF(ISNUMBER(H1859),IFERROR(INDEX(Calendrier!$C$2:$C$367,MATCH(H1859,Calendrier!$A$2:$A$367,0)),0),"")</f>
        <v/>
      </c>
      <c r="K1859" s="50" t="str">
        <f t="shared" si="149"/>
        <v/>
      </c>
      <c r="L1859" s="50" t="str">
        <f>IF(D1859="","",IF(COUNTIF(Paramètres!$A$11:$A$40,D1859)&gt;0,1,0))</f>
        <v/>
      </c>
    </row>
    <row r="1860" spans="1:12" hidden="1" x14ac:dyDescent="0.25">
      <c r="A1860" s="49"/>
      <c r="B1860" s="49"/>
      <c r="C1860" s="49"/>
      <c r="D1860" s="50" t="str">
        <f t="shared" si="145"/>
        <v/>
      </c>
      <c r="E1860" s="50" t="str">
        <f t="shared" si="146"/>
        <v/>
      </c>
      <c r="F1860" s="50" t="str">
        <f t="shared" si="147"/>
        <v/>
      </c>
      <c r="G1860" s="50" t="str">
        <f t="shared" si="148"/>
        <v/>
      </c>
      <c r="H1860" s="51" t="str">
        <f>IF($C1860="","",IFERROR(DATE(G1860,VLOOKUP(E1860,Paramètres!$K$11:$L$40,2,FALSE()),F1860),"?"))</f>
        <v/>
      </c>
      <c r="I1860" s="50" t="str">
        <f>IF(ISNUMBER(H1860),IF(COUNTIFS($D$2:D1860,D1860,$H$2:H1860,H1860)=1,1,0),"")</f>
        <v/>
      </c>
      <c r="J1860" s="50" t="str">
        <f>IF(ISNUMBER(H1860),IFERROR(INDEX(Calendrier!$C$2:$C$367,MATCH(H1860,Calendrier!$A$2:$A$367,0)),0),"")</f>
        <v/>
      </c>
      <c r="K1860" s="50" t="str">
        <f t="shared" si="149"/>
        <v/>
      </c>
      <c r="L1860" s="50" t="str">
        <f>IF(D1860="","",IF(COUNTIF(Paramètres!$A$11:$A$40,D1860)&gt;0,1,0))</f>
        <v/>
      </c>
    </row>
    <row r="1861" spans="1:12" hidden="1" x14ac:dyDescent="0.25">
      <c r="A1861" s="49"/>
      <c r="B1861" s="49"/>
      <c r="C1861" s="49"/>
      <c r="D1861" s="50" t="str">
        <f t="shared" si="145"/>
        <v/>
      </c>
      <c r="E1861" s="50" t="str">
        <f t="shared" si="146"/>
        <v/>
      </c>
      <c r="F1861" s="50" t="str">
        <f t="shared" si="147"/>
        <v/>
      </c>
      <c r="G1861" s="50" t="str">
        <f t="shared" si="148"/>
        <v/>
      </c>
      <c r="H1861" s="51" t="str">
        <f>IF($C1861="","",IFERROR(DATE(G1861,VLOOKUP(E1861,Paramètres!$K$11:$L$40,2,FALSE()),F1861),"?"))</f>
        <v/>
      </c>
      <c r="I1861" s="50" t="str">
        <f>IF(ISNUMBER(H1861),IF(COUNTIFS($D$2:D1861,D1861,$H$2:H1861,H1861)=1,1,0),"")</f>
        <v/>
      </c>
      <c r="J1861" s="50" t="str">
        <f>IF(ISNUMBER(H1861),IFERROR(INDEX(Calendrier!$C$2:$C$367,MATCH(H1861,Calendrier!$A$2:$A$367,0)),0),"")</f>
        <v/>
      </c>
      <c r="K1861" s="50" t="str">
        <f t="shared" si="149"/>
        <v/>
      </c>
      <c r="L1861" s="50" t="str">
        <f>IF(D1861="","",IF(COUNTIF(Paramètres!$A$11:$A$40,D1861)&gt;0,1,0))</f>
        <v/>
      </c>
    </row>
    <row r="1862" spans="1:12" hidden="1" x14ac:dyDescent="0.25">
      <c r="A1862" s="49"/>
      <c r="B1862" s="49"/>
      <c r="C1862" s="49"/>
      <c r="D1862" s="50" t="str">
        <f t="shared" si="145"/>
        <v/>
      </c>
      <c r="E1862" s="50" t="str">
        <f t="shared" si="146"/>
        <v/>
      </c>
      <c r="F1862" s="50" t="str">
        <f t="shared" si="147"/>
        <v/>
      </c>
      <c r="G1862" s="50" t="str">
        <f t="shared" si="148"/>
        <v/>
      </c>
      <c r="H1862" s="51" t="str">
        <f>IF($C1862="","",IFERROR(DATE(G1862,VLOOKUP(E1862,Paramètres!$K$11:$L$40,2,FALSE()),F1862),"?"))</f>
        <v/>
      </c>
      <c r="I1862" s="50" t="str">
        <f>IF(ISNUMBER(H1862),IF(COUNTIFS($D$2:D1862,D1862,$H$2:H1862,H1862)=1,1,0),"")</f>
        <v/>
      </c>
      <c r="J1862" s="50" t="str">
        <f>IF(ISNUMBER(H1862),IFERROR(INDEX(Calendrier!$C$2:$C$367,MATCH(H1862,Calendrier!$A$2:$A$367,0)),0),"")</f>
        <v/>
      </c>
      <c r="K1862" s="50" t="str">
        <f t="shared" si="149"/>
        <v/>
      </c>
      <c r="L1862" s="50" t="str">
        <f>IF(D1862="","",IF(COUNTIF(Paramètres!$A$11:$A$40,D1862)&gt;0,1,0))</f>
        <v/>
      </c>
    </row>
    <row r="1863" spans="1:12" hidden="1" x14ac:dyDescent="0.25">
      <c r="A1863" s="49"/>
      <c r="B1863" s="49"/>
      <c r="C1863" s="49"/>
      <c r="D1863" s="50" t="str">
        <f t="shared" si="145"/>
        <v/>
      </c>
      <c r="E1863" s="50" t="str">
        <f t="shared" si="146"/>
        <v/>
      </c>
      <c r="F1863" s="50" t="str">
        <f t="shared" si="147"/>
        <v/>
      </c>
      <c r="G1863" s="50" t="str">
        <f t="shared" si="148"/>
        <v/>
      </c>
      <c r="H1863" s="51" t="str">
        <f>IF($C1863="","",IFERROR(DATE(G1863,VLOOKUP(E1863,Paramètres!$K$11:$L$40,2,FALSE()),F1863),"?"))</f>
        <v/>
      </c>
      <c r="I1863" s="50" t="str">
        <f>IF(ISNUMBER(H1863),IF(COUNTIFS($D$2:D1863,D1863,$H$2:H1863,H1863)=1,1,0),"")</f>
        <v/>
      </c>
      <c r="J1863" s="50" t="str">
        <f>IF(ISNUMBER(H1863),IFERROR(INDEX(Calendrier!$C$2:$C$367,MATCH(H1863,Calendrier!$A$2:$A$367,0)),0),"")</f>
        <v/>
      </c>
      <c r="K1863" s="50" t="str">
        <f t="shared" si="149"/>
        <v/>
      </c>
      <c r="L1863" s="50" t="str">
        <f>IF(D1863="","",IF(COUNTIF(Paramètres!$A$11:$A$40,D1863)&gt;0,1,0))</f>
        <v/>
      </c>
    </row>
    <row r="1864" spans="1:12" hidden="1" x14ac:dyDescent="0.25">
      <c r="A1864" s="49"/>
      <c r="B1864" s="49"/>
      <c r="C1864" s="49"/>
      <c r="D1864" s="50" t="str">
        <f t="shared" si="145"/>
        <v/>
      </c>
      <c r="E1864" s="50" t="str">
        <f t="shared" si="146"/>
        <v/>
      </c>
      <c r="F1864" s="50" t="str">
        <f t="shared" si="147"/>
        <v/>
      </c>
      <c r="G1864" s="50" t="str">
        <f t="shared" si="148"/>
        <v/>
      </c>
      <c r="H1864" s="51" t="str">
        <f>IF($C1864="","",IFERROR(DATE(G1864,VLOOKUP(E1864,Paramètres!$K$11:$L$40,2,FALSE()),F1864),"?"))</f>
        <v/>
      </c>
      <c r="I1864" s="50" t="str">
        <f>IF(ISNUMBER(H1864),IF(COUNTIFS($D$2:D1864,D1864,$H$2:H1864,H1864)=1,1,0),"")</f>
        <v/>
      </c>
      <c r="J1864" s="50" t="str">
        <f>IF(ISNUMBER(H1864),IFERROR(INDEX(Calendrier!$C$2:$C$367,MATCH(H1864,Calendrier!$A$2:$A$367,0)),0),"")</f>
        <v/>
      </c>
      <c r="K1864" s="50" t="str">
        <f t="shared" si="149"/>
        <v/>
      </c>
      <c r="L1864" s="50" t="str">
        <f>IF(D1864="","",IF(COUNTIF(Paramètres!$A$11:$A$40,D1864)&gt;0,1,0))</f>
        <v/>
      </c>
    </row>
    <row r="1865" spans="1:12" hidden="1" x14ac:dyDescent="0.25">
      <c r="A1865" s="49"/>
      <c r="B1865" s="49"/>
      <c r="C1865" s="49"/>
      <c r="D1865" s="50" t="str">
        <f t="shared" si="145"/>
        <v/>
      </c>
      <c r="E1865" s="50" t="str">
        <f t="shared" si="146"/>
        <v/>
      </c>
      <c r="F1865" s="50" t="str">
        <f t="shared" si="147"/>
        <v/>
      </c>
      <c r="G1865" s="50" t="str">
        <f t="shared" si="148"/>
        <v/>
      </c>
      <c r="H1865" s="51" t="str">
        <f>IF($C1865="","",IFERROR(DATE(G1865,VLOOKUP(E1865,Paramètres!$K$11:$L$40,2,FALSE()),F1865),"?"))</f>
        <v/>
      </c>
      <c r="I1865" s="50" t="str">
        <f>IF(ISNUMBER(H1865),IF(COUNTIFS($D$2:D1865,D1865,$H$2:H1865,H1865)=1,1,0),"")</f>
        <v/>
      </c>
      <c r="J1865" s="50" t="str">
        <f>IF(ISNUMBER(H1865),IFERROR(INDEX(Calendrier!$C$2:$C$367,MATCH(H1865,Calendrier!$A$2:$A$367,0)),0),"")</f>
        <v/>
      </c>
      <c r="K1865" s="50" t="str">
        <f t="shared" si="149"/>
        <v/>
      </c>
      <c r="L1865" s="50" t="str">
        <f>IF(D1865="","",IF(COUNTIF(Paramètres!$A$11:$A$40,D1865)&gt;0,1,0))</f>
        <v/>
      </c>
    </row>
    <row r="1866" spans="1:12" hidden="1" x14ac:dyDescent="0.25">
      <c r="A1866" s="49"/>
      <c r="B1866" s="49"/>
      <c r="C1866" s="49"/>
      <c r="D1866" s="50" t="str">
        <f t="shared" si="145"/>
        <v/>
      </c>
      <c r="E1866" s="50" t="str">
        <f t="shared" si="146"/>
        <v/>
      </c>
      <c r="F1866" s="50" t="str">
        <f t="shared" si="147"/>
        <v/>
      </c>
      <c r="G1866" s="50" t="str">
        <f t="shared" si="148"/>
        <v/>
      </c>
      <c r="H1866" s="51" t="str">
        <f>IF($C1866="","",IFERROR(DATE(G1866,VLOOKUP(E1866,Paramètres!$K$11:$L$40,2,FALSE()),F1866),"?"))</f>
        <v/>
      </c>
      <c r="I1866" s="50" t="str">
        <f>IF(ISNUMBER(H1866),IF(COUNTIFS($D$2:D1866,D1866,$H$2:H1866,H1866)=1,1,0),"")</f>
        <v/>
      </c>
      <c r="J1866" s="50" t="str">
        <f>IF(ISNUMBER(H1866),IFERROR(INDEX(Calendrier!$C$2:$C$367,MATCH(H1866,Calendrier!$A$2:$A$367,0)),0),"")</f>
        <v/>
      </c>
      <c r="K1866" s="50" t="str">
        <f t="shared" si="149"/>
        <v/>
      </c>
      <c r="L1866" s="50" t="str">
        <f>IF(D1866="","",IF(COUNTIF(Paramètres!$A$11:$A$40,D1866)&gt;0,1,0))</f>
        <v/>
      </c>
    </row>
    <row r="1867" spans="1:12" hidden="1" x14ac:dyDescent="0.25">
      <c r="A1867" s="49"/>
      <c r="B1867" s="49"/>
      <c r="C1867" s="49"/>
      <c r="D1867" s="50" t="str">
        <f t="shared" si="145"/>
        <v/>
      </c>
      <c r="E1867" s="50" t="str">
        <f t="shared" si="146"/>
        <v/>
      </c>
      <c r="F1867" s="50" t="str">
        <f t="shared" si="147"/>
        <v/>
      </c>
      <c r="G1867" s="50" t="str">
        <f t="shared" si="148"/>
        <v/>
      </c>
      <c r="H1867" s="51" t="str">
        <f>IF($C1867="","",IFERROR(DATE(G1867,VLOOKUP(E1867,Paramètres!$K$11:$L$40,2,FALSE()),F1867),"?"))</f>
        <v/>
      </c>
      <c r="I1867" s="50" t="str">
        <f>IF(ISNUMBER(H1867),IF(COUNTIFS($D$2:D1867,D1867,$H$2:H1867,H1867)=1,1,0),"")</f>
        <v/>
      </c>
      <c r="J1867" s="50" t="str">
        <f>IF(ISNUMBER(H1867),IFERROR(INDEX(Calendrier!$C$2:$C$367,MATCH(H1867,Calendrier!$A$2:$A$367,0)),0),"")</f>
        <v/>
      </c>
      <c r="K1867" s="50" t="str">
        <f t="shared" si="149"/>
        <v/>
      </c>
      <c r="L1867" s="50" t="str">
        <f>IF(D1867="","",IF(COUNTIF(Paramètres!$A$11:$A$40,D1867)&gt;0,1,0))</f>
        <v/>
      </c>
    </row>
    <row r="1868" spans="1:12" hidden="1" x14ac:dyDescent="0.25">
      <c r="A1868" s="49"/>
      <c r="B1868" s="49"/>
      <c r="C1868" s="49"/>
      <c r="D1868" s="50" t="str">
        <f t="shared" si="145"/>
        <v/>
      </c>
      <c r="E1868" s="50" t="str">
        <f t="shared" si="146"/>
        <v/>
      </c>
      <c r="F1868" s="50" t="str">
        <f t="shared" si="147"/>
        <v/>
      </c>
      <c r="G1868" s="50" t="str">
        <f t="shared" si="148"/>
        <v/>
      </c>
      <c r="H1868" s="51" t="str">
        <f>IF($C1868="","",IFERROR(DATE(G1868,VLOOKUP(E1868,Paramètres!$K$11:$L$40,2,FALSE()),F1868),"?"))</f>
        <v/>
      </c>
      <c r="I1868" s="50" t="str">
        <f>IF(ISNUMBER(H1868),IF(COUNTIFS($D$2:D1868,D1868,$H$2:H1868,H1868)=1,1,0),"")</f>
        <v/>
      </c>
      <c r="J1868" s="50" t="str">
        <f>IF(ISNUMBER(H1868),IFERROR(INDEX(Calendrier!$C$2:$C$367,MATCH(H1868,Calendrier!$A$2:$A$367,0)),0),"")</f>
        <v/>
      </c>
      <c r="K1868" s="50" t="str">
        <f t="shared" si="149"/>
        <v/>
      </c>
      <c r="L1868" s="50" t="str">
        <f>IF(D1868="","",IF(COUNTIF(Paramètres!$A$11:$A$40,D1868)&gt;0,1,0))</f>
        <v/>
      </c>
    </row>
    <row r="1869" spans="1:12" hidden="1" x14ac:dyDescent="0.25">
      <c r="A1869" s="49"/>
      <c r="B1869" s="49"/>
      <c r="C1869" s="49"/>
      <c r="D1869" s="50" t="str">
        <f t="shared" si="145"/>
        <v/>
      </c>
      <c r="E1869" s="50" t="str">
        <f t="shared" si="146"/>
        <v/>
      </c>
      <c r="F1869" s="50" t="str">
        <f t="shared" si="147"/>
        <v/>
      </c>
      <c r="G1869" s="50" t="str">
        <f t="shared" si="148"/>
        <v/>
      </c>
      <c r="H1869" s="51" t="str">
        <f>IF($C1869="","",IFERROR(DATE(G1869,VLOOKUP(E1869,Paramètres!$K$11:$L$40,2,FALSE()),F1869),"?"))</f>
        <v/>
      </c>
      <c r="I1869" s="50" t="str">
        <f>IF(ISNUMBER(H1869),IF(COUNTIFS($D$2:D1869,D1869,$H$2:H1869,H1869)=1,1,0),"")</f>
        <v/>
      </c>
      <c r="J1869" s="50" t="str">
        <f>IF(ISNUMBER(H1869),IFERROR(INDEX(Calendrier!$C$2:$C$367,MATCH(H1869,Calendrier!$A$2:$A$367,0)),0),"")</f>
        <v/>
      </c>
      <c r="K1869" s="50" t="str">
        <f t="shared" si="149"/>
        <v/>
      </c>
      <c r="L1869" s="50" t="str">
        <f>IF(D1869="","",IF(COUNTIF(Paramètres!$A$11:$A$40,D1869)&gt;0,1,0))</f>
        <v/>
      </c>
    </row>
    <row r="1870" spans="1:12" hidden="1" x14ac:dyDescent="0.25">
      <c r="A1870" s="49"/>
      <c r="B1870" s="49"/>
      <c r="C1870" s="49"/>
      <c r="D1870" s="50" t="str">
        <f t="shared" si="145"/>
        <v/>
      </c>
      <c r="E1870" s="50" t="str">
        <f t="shared" si="146"/>
        <v/>
      </c>
      <c r="F1870" s="50" t="str">
        <f t="shared" si="147"/>
        <v/>
      </c>
      <c r="G1870" s="50" t="str">
        <f t="shared" si="148"/>
        <v/>
      </c>
      <c r="H1870" s="51" t="str">
        <f>IF($C1870="","",IFERROR(DATE(G1870,VLOOKUP(E1870,Paramètres!$K$11:$L$40,2,FALSE()),F1870),"?"))</f>
        <v/>
      </c>
      <c r="I1870" s="50" t="str">
        <f>IF(ISNUMBER(H1870),IF(COUNTIFS($D$2:D1870,D1870,$H$2:H1870,H1870)=1,1,0),"")</f>
        <v/>
      </c>
      <c r="J1870" s="50" t="str">
        <f>IF(ISNUMBER(H1870),IFERROR(INDEX(Calendrier!$C$2:$C$367,MATCH(H1870,Calendrier!$A$2:$A$367,0)),0),"")</f>
        <v/>
      </c>
      <c r="K1870" s="50" t="str">
        <f t="shared" si="149"/>
        <v/>
      </c>
      <c r="L1870" s="50" t="str">
        <f>IF(D1870="","",IF(COUNTIF(Paramètres!$A$11:$A$40,D1870)&gt;0,1,0))</f>
        <v/>
      </c>
    </row>
    <row r="1871" spans="1:12" hidden="1" x14ac:dyDescent="0.25">
      <c r="A1871" s="49"/>
      <c r="B1871" s="49"/>
      <c r="C1871" s="49"/>
      <c r="D1871" s="50" t="str">
        <f t="shared" si="145"/>
        <v/>
      </c>
      <c r="E1871" s="50" t="str">
        <f t="shared" si="146"/>
        <v/>
      </c>
      <c r="F1871" s="50" t="str">
        <f t="shared" si="147"/>
        <v/>
      </c>
      <c r="G1871" s="50" t="str">
        <f t="shared" si="148"/>
        <v/>
      </c>
      <c r="H1871" s="51" t="str">
        <f>IF($C1871="","",IFERROR(DATE(G1871,VLOOKUP(E1871,Paramètres!$K$11:$L$40,2,FALSE()),F1871),"?"))</f>
        <v/>
      </c>
      <c r="I1871" s="50" t="str">
        <f>IF(ISNUMBER(H1871),IF(COUNTIFS($D$2:D1871,D1871,$H$2:H1871,H1871)=1,1,0),"")</f>
        <v/>
      </c>
      <c r="J1871" s="50" t="str">
        <f>IF(ISNUMBER(H1871),IFERROR(INDEX(Calendrier!$C$2:$C$367,MATCH(H1871,Calendrier!$A$2:$A$367,0)),0),"")</f>
        <v/>
      </c>
      <c r="K1871" s="50" t="str">
        <f t="shared" si="149"/>
        <v/>
      </c>
      <c r="L1871" s="50" t="str">
        <f>IF(D1871="","",IF(COUNTIF(Paramètres!$A$11:$A$40,D1871)&gt;0,1,0))</f>
        <v/>
      </c>
    </row>
    <row r="1872" spans="1:12" hidden="1" x14ac:dyDescent="0.25">
      <c r="A1872" s="49"/>
      <c r="B1872" s="49"/>
      <c r="C1872" s="49"/>
      <c r="D1872" s="50" t="str">
        <f t="shared" si="145"/>
        <v/>
      </c>
      <c r="E1872" s="50" t="str">
        <f t="shared" si="146"/>
        <v/>
      </c>
      <c r="F1872" s="50" t="str">
        <f t="shared" si="147"/>
        <v/>
      </c>
      <c r="G1872" s="50" t="str">
        <f t="shared" si="148"/>
        <v/>
      </c>
      <c r="H1872" s="51" t="str">
        <f>IF($C1872="","",IFERROR(DATE(G1872,VLOOKUP(E1872,Paramètres!$K$11:$L$40,2,FALSE()),F1872),"?"))</f>
        <v/>
      </c>
      <c r="I1872" s="50" t="str">
        <f>IF(ISNUMBER(H1872),IF(COUNTIFS($D$2:D1872,D1872,$H$2:H1872,H1872)=1,1,0),"")</f>
        <v/>
      </c>
      <c r="J1872" s="50" t="str">
        <f>IF(ISNUMBER(H1872),IFERROR(INDEX(Calendrier!$C$2:$C$367,MATCH(H1872,Calendrier!$A$2:$A$367,0)),0),"")</f>
        <v/>
      </c>
      <c r="K1872" s="50" t="str">
        <f t="shared" si="149"/>
        <v/>
      </c>
      <c r="L1872" s="50" t="str">
        <f>IF(D1872="","",IF(COUNTIF(Paramètres!$A$11:$A$40,D1872)&gt;0,1,0))</f>
        <v/>
      </c>
    </row>
    <row r="1873" spans="1:12" hidden="1" x14ac:dyDescent="0.25">
      <c r="A1873" s="49"/>
      <c r="B1873" s="49"/>
      <c r="C1873" s="49"/>
      <c r="D1873" s="50" t="str">
        <f t="shared" si="145"/>
        <v/>
      </c>
      <c r="E1873" s="50" t="str">
        <f t="shared" si="146"/>
        <v/>
      </c>
      <c r="F1873" s="50" t="str">
        <f t="shared" si="147"/>
        <v/>
      </c>
      <c r="G1873" s="50" t="str">
        <f t="shared" si="148"/>
        <v/>
      </c>
      <c r="H1873" s="51" t="str">
        <f>IF($C1873="","",IFERROR(DATE(G1873,VLOOKUP(E1873,Paramètres!$K$11:$L$40,2,FALSE()),F1873),"?"))</f>
        <v/>
      </c>
      <c r="I1873" s="50" t="str">
        <f>IF(ISNUMBER(H1873),IF(COUNTIFS($D$2:D1873,D1873,$H$2:H1873,H1873)=1,1,0),"")</f>
        <v/>
      </c>
      <c r="J1873" s="50" t="str">
        <f>IF(ISNUMBER(H1873),IFERROR(INDEX(Calendrier!$C$2:$C$367,MATCH(H1873,Calendrier!$A$2:$A$367,0)),0),"")</f>
        <v/>
      </c>
      <c r="K1873" s="50" t="str">
        <f t="shared" si="149"/>
        <v/>
      </c>
      <c r="L1873" s="50" t="str">
        <f>IF(D1873="","",IF(COUNTIF(Paramètres!$A$11:$A$40,D1873)&gt;0,1,0))</f>
        <v/>
      </c>
    </row>
    <row r="1874" spans="1:12" hidden="1" x14ac:dyDescent="0.25">
      <c r="A1874" s="49"/>
      <c r="B1874" s="49"/>
      <c r="C1874" s="49"/>
      <c r="D1874" s="50" t="str">
        <f t="shared" si="145"/>
        <v/>
      </c>
      <c r="E1874" s="50" t="str">
        <f t="shared" si="146"/>
        <v/>
      </c>
      <c r="F1874" s="50" t="str">
        <f t="shared" si="147"/>
        <v/>
      </c>
      <c r="G1874" s="50" t="str">
        <f t="shared" si="148"/>
        <v/>
      </c>
      <c r="H1874" s="51" t="str">
        <f>IF($C1874="","",IFERROR(DATE(G1874,VLOOKUP(E1874,Paramètres!$K$11:$L$40,2,FALSE()),F1874),"?"))</f>
        <v/>
      </c>
      <c r="I1874" s="50" t="str">
        <f>IF(ISNUMBER(H1874),IF(COUNTIFS($D$2:D1874,D1874,$H$2:H1874,H1874)=1,1,0),"")</f>
        <v/>
      </c>
      <c r="J1874" s="50" t="str">
        <f>IF(ISNUMBER(H1874),IFERROR(INDEX(Calendrier!$C$2:$C$367,MATCH(H1874,Calendrier!$A$2:$A$367,0)),0),"")</f>
        <v/>
      </c>
      <c r="K1874" s="50" t="str">
        <f t="shared" si="149"/>
        <v/>
      </c>
      <c r="L1874" s="50" t="str">
        <f>IF(D1874="","",IF(COUNTIF(Paramètres!$A$11:$A$40,D1874)&gt;0,1,0))</f>
        <v/>
      </c>
    </row>
    <row r="1875" spans="1:12" hidden="1" x14ac:dyDescent="0.25">
      <c r="A1875" s="49"/>
      <c r="B1875" s="49"/>
      <c r="C1875" s="49"/>
      <c r="D1875" s="50" t="str">
        <f t="shared" si="145"/>
        <v/>
      </c>
      <c r="E1875" s="50" t="str">
        <f t="shared" si="146"/>
        <v/>
      </c>
      <c r="F1875" s="50" t="str">
        <f t="shared" si="147"/>
        <v/>
      </c>
      <c r="G1875" s="50" t="str">
        <f t="shared" si="148"/>
        <v/>
      </c>
      <c r="H1875" s="51" t="str">
        <f>IF($C1875="","",IFERROR(DATE(G1875,VLOOKUP(E1875,Paramètres!$K$11:$L$40,2,FALSE()),F1875),"?"))</f>
        <v/>
      </c>
      <c r="I1875" s="50" t="str">
        <f>IF(ISNUMBER(H1875),IF(COUNTIFS($D$2:D1875,D1875,$H$2:H1875,H1875)=1,1,0),"")</f>
        <v/>
      </c>
      <c r="J1875" s="50" t="str">
        <f>IF(ISNUMBER(H1875),IFERROR(INDEX(Calendrier!$C$2:$C$367,MATCH(H1875,Calendrier!$A$2:$A$367,0)),0),"")</f>
        <v/>
      </c>
      <c r="K1875" s="50" t="str">
        <f t="shared" si="149"/>
        <v/>
      </c>
      <c r="L1875" s="50" t="str">
        <f>IF(D1875="","",IF(COUNTIF(Paramètres!$A$11:$A$40,D1875)&gt;0,1,0))</f>
        <v/>
      </c>
    </row>
    <row r="1876" spans="1:12" hidden="1" x14ac:dyDescent="0.25">
      <c r="A1876" s="49"/>
      <c r="B1876" s="49"/>
      <c r="C1876" s="49"/>
      <c r="D1876" s="50" t="str">
        <f t="shared" si="145"/>
        <v/>
      </c>
      <c r="E1876" s="50" t="str">
        <f t="shared" si="146"/>
        <v/>
      </c>
      <c r="F1876" s="50" t="str">
        <f t="shared" si="147"/>
        <v/>
      </c>
      <c r="G1876" s="50" t="str">
        <f t="shared" si="148"/>
        <v/>
      </c>
      <c r="H1876" s="51" t="str">
        <f>IF($C1876="","",IFERROR(DATE(G1876,VLOOKUP(E1876,Paramètres!$K$11:$L$40,2,FALSE()),F1876),"?"))</f>
        <v/>
      </c>
      <c r="I1876" s="50" t="str">
        <f>IF(ISNUMBER(H1876),IF(COUNTIFS($D$2:D1876,D1876,$H$2:H1876,H1876)=1,1,0),"")</f>
        <v/>
      </c>
      <c r="J1876" s="50" t="str">
        <f>IF(ISNUMBER(H1876),IFERROR(INDEX(Calendrier!$C$2:$C$367,MATCH(H1876,Calendrier!$A$2:$A$367,0)),0),"")</f>
        <v/>
      </c>
      <c r="K1876" s="50" t="str">
        <f t="shared" si="149"/>
        <v/>
      </c>
      <c r="L1876" s="50" t="str">
        <f>IF(D1876="","",IF(COUNTIF(Paramètres!$A$11:$A$40,D1876)&gt;0,1,0))</f>
        <v/>
      </c>
    </row>
    <row r="1877" spans="1:12" hidden="1" x14ac:dyDescent="0.25">
      <c r="A1877" s="49"/>
      <c r="B1877" s="49"/>
      <c r="C1877" s="49"/>
      <c r="D1877" s="50" t="str">
        <f t="shared" si="145"/>
        <v/>
      </c>
      <c r="E1877" s="50" t="str">
        <f t="shared" si="146"/>
        <v/>
      </c>
      <c r="F1877" s="50" t="str">
        <f t="shared" si="147"/>
        <v/>
      </c>
      <c r="G1877" s="50" t="str">
        <f t="shared" si="148"/>
        <v/>
      </c>
      <c r="H1877" s="51" t="str">
        <f>IF($C1877="","",IFERROR(DATE(G1877,VLOOKUP(E1877,Paramètres!$K$11:$L$40,2,FALSE()),F1877),"?"))</f>
        <v/>
      </c>
      <c r="I1877" s="50" t="str">
        <f>IF(ISNUMBER(H1877),IF(COUNTIFS($D$2:D1877,D1877,$H$2:H1877,H1877)=1,1,0),"")</f>
        <v/>
      </c>
      <c r="J1877" s="50" t="str">
        <f>IF(ISNUMBER(H1877),IFERROR(INDEX(Calendrier!$C$2:$C$367,MATCH(H1877,Calendrier!$A$2:$A$367,0)),0),"")</f>
        <v/>
      </c>
      <c r="K1877" s="50" t="str">
        <f t="shared" si="149"/>
        <v/>
      </c>
      <c r="L1877" s="50" t="str">
        <f>IF(D1877="","",IF(COUNTIF(Paramètres!$A$11:$A$40,D1877)&gt;0,1,0))</f>
        <v/>
      </c>
    </row>
    <row r="1878" spans="1:12" hidden="1" x14ac:dyDescent="0.25">
      <c r="A1878" s="49"/>
      <c r="B1878" s="49"/>
      <c r="C1878" s="49"/>
      <c r="D1878" s="50" t="str">
        <f t="shared" si="145"/>
        <v/>
      </c>
      <c r="E1878" s="50" t="str">
        <f t="shared" si="146"/>
        <v/>
      </c>
      <c r="F1878" s="50" t="str">
        <f t="shared" si="147"/>
        <v/>
      </c>
      <c r="G1878" s="50" t="str">
        <f t="shared" si="148"/>
        <v/>
      </c>
      <c r="H1878" s="51" t="str">
        <f>IF($C1878="","",IFERROR(DATE(G1878,VLOOKUP(E1878,Paramètres!$K$11:$L$40,2,FALSE()),F1878),"?"))</f>
        <v/>
      </c>
      <c r="I1878" s="50" t="str">
        <f>IF(ISNUMBER(H1878),IF(COUNTIFS($D$2:D1878,D1878,$H$2:H1878,H1878)=1,1,0),"")</f>
        <v/>
      </c>
      <c r="J1878" s="50" t="str">
        <f>IF(ISNUMBER(H1878),IFERROR(INDEX(Calendrier!$C$2:$C$367,MATCH(H1878,Calendrier!$A$2:$A$367,0)),0),"")</f>
        <v/>
      </c>
      <c r="K1878" s="50" t="str">
        <f t="shared" si="149"/>
        <v/>
      </c>
      <c r="L1878" s="50" t="str">
        <f>IF(D1878="","",IF(COUNTIF(Paramètres!$A$11:$A$40,D1878)&gt;0,1,0))</f>
        <v/>
      </c>
    </row>
    <row r="1879" spans="1:12" hidden="1" x14ac:dyDescent="0.25">
      <c r="A1879" s="49"/>
      <c r="B1879" s="49"/>
      <c r="C1879" s="49"/>
      <c r="D1879" s="50" t="str">
        <f t="shared" si="145"/>
        <v/>
      </c>
      <c r="E1879" s="50" t="str">
        <f t="shared" si="146"/>
        <v/>
      </c>
      <c r="F1879" s="50" t="str">
        <f t="shared" si="147"/>
        <v/>
      </c>
      <c r="G1879" s="50" t="str">
        <f t="shared" si="148"/>
        <v/>
      </c>
      <c r="H1879" s="51" t="str">
        <f>IF($C1879="","",IFERROR(DATE(G1879,VLOOKUP(E1879,Paramètres!$K$11:$L$40,2,FALSE()),F1879),"?"))</f>
        <v/>
      </c>
      <c r="I1879" s="50" t="str">
        <f>IF(ISNUMBER(H1879),IF(COUNTIFS($D$2:D1879,D1879,$H$2:H1879,H1879)=1,1,0),"")</f>
        <v/>
      </c>
      <c r="J1879" s="50" t="str">
        <f>IF(ISNUMBER(H1879),IFERROR(INDEX(Calendrier!$C$2:$C$367,MATCH(H1879,Calendrier!$A$2:$A$367,0)),0),"")</f>
        <v/>
      </c>
      <c r="K1879" s="50" t="str">
        <f t="shared" si="149"/>
        <v/>
      </c>
      <c r="L1879" s="50" t="str">
        <f>IF(D1879="","",IF(COUNTIF(Paramètres!$A$11:$A$40,D1879)&gt;0,1,0))</f>
        <v/>
      </c>
    </row>
    <row r="1880" spans="1:12" hidden="1" x14ac:dyDescent="0.25">
      <c r="A1880" s="49"/>
      <c r="B1880" s="49"/>
      <c r="C1880" s="49"/>
      <c r="D1880" s="50" t="str">
        <f t="shared" si="145"/>
        <v/>
      </c>
      <c r="E1880" s="50" t="str">
        <f t="shared" si="146"/>
        <v/>
      </c>
      <c r="F1880" s="50" t="str">
        <f t="shared" si="147"/>
        <v/>
      </c>
      <c r="G1880" s="50" t="str">
        <f t="shared" si="148"/>
        <v/>
      </c>
      <c r="H1880" s="51" t="str">
        <f>IF($C1880="","",IFERROR(DATE(G1880,VLOOKUP(E1880,Paramètres!$K$11:$L$40,2,FALSE()),F1880),"?"))</f>
        <v/>
      </c>
      <c r="I1880" s="50" t="str">
        <f>IF(ISNUMBER(H1880),IF(COUNTIFS($D$2:D1880,D1880,$H$2:H1880,H1880)=1,1,0),"")</f>
        <v/>
      </c>
      <c r="J1880" s="50" t="str">
        <f>IF(ISNUMBER(H1880),IFERROR(INDEX(Calendrier!$C$2:$C$367,MATCH(H1880,Calendrier!$A$2:$A$367,0)),0),"")</f>
        <v/>
      </c>
      <c r="K1880" s="50" t="str">
        <f t="shared" si="149"/>
        <v/>
      </c>
      <c r="L1880" s="50" t="str">
        <f>IF(D1880="","",IF(COUNTIF(Paramètres!$A$11:$A$40,D1880)&gt;0,1,0))</f>
        <v/>
      </c>
    </row>
    <row r="1881" spans="1:12" hidden="1" x14ac:dyDescent="0.25">
      <c r="A1881" s="49"/>
      <c r="B1881" s="49"/>
      <c r="C1881" s="49"/>
      <c r="D1881" s="50" t="str">
        <f t="shared" si="145"/>
        <v/>
      </c>
      <c r="E1881" s="50" t="str">
        <f t="shared" si="146"/>
        <v/>
      </c>
      <c r="F1881" s="50" t="str">
        <f t="shared" si="147"/>
        <v/>
      </c>
      <c r="G1881" s="50" t="str">
        <f t="shared" si="148"/>
        <v/>
      </c>
      <c r="H1881" s="51" t="str">
        <f>IF($C1881="","",IFERROR(DATE(G1881,VLOOKUP(E1881,Paramètres!$K$11:$L$40,2,FALSE()),F1881),"?"))</f>
        <v/>
      </c>
      <c r="I1881" s="50" t="str">
        <f>IF(ISNUMBER(H1881),IF(COUNTIFS($D$2:D1881,D1881,$H$2:H1881,H1881)=1,1,0),"")</f>
        <v/>
      </c>
      <c r="J1881" s="50" t="str">
        <f>IF(ISNUMBER(H1881),IFERROR(INDEX(Calendrier!$C$2:$C$367,MATCH(H1881,Calendrier!$A$2:$A$367,0)),0),"")</f>
        <v/>
      </c>
      <c r="K1881" s="50" t="str">
        <f t="shared" si="149"/>
        <v/>
      </c>
      <c r="L1881" s="50" t="str">
        <f>IF(D1881="","",IF(COUNTIF(Paramètres!$A$11:$A$40,D1881)&gt;0,1,0))</f>
        <v/>
      </c>
    </row>
    <row r="1882" spans="1:12" hidden="1" x14ac:dyDescent="0.25">
      <c r="A1882" s="49"/>
      <c r="B1882" s="49"/>
      <c r="C1882" s="49"/>
      <c r="D1882" s="50" t="str">
        <f t="shared" si="145"/>
        <v/>
      </c>
      <c r="E1882" s="50" t="str">
        <f t="shared" si="146"/>
        <v/>
      </c>
      <c r="F1882" s="50" t="str">
        <f t="shared" si="147"/>
        <v/>
      </c>
      <c r="G1882" s="50" t="str">
        <f t="shared" si="148"/>
        <v/>
      </c>
      <c r="H1882" s="51" t="str">
        <f>IF($C1882="","",IFERROR(DATE(G1882,VLOOKUP(E1882,Paramètres!$K$11:$L$40,2,FALSE()),F1882),"?"))</f>
        <v/>
      </c>
      <c r="I1882" s="50" t="str">
        <f>IF(ISNUMBER(H1882),IF(COUNTIFS($D$2:D1882,D1882,$H$2:H1882,H1882)=1,1,0),"")</f>
        <v/>
      </c>
      <c r="J1882" s="50" t="str">
        <f>IF(ISNUMBER(H1882),IFERROR(INDEX(Calendrier!$C$2:$C$367,MATCH(H1882,Calendrier!$A$2:$A$367,0)),0),"")</f>
        <v/>
      </c>
      <c r="K1882" s="50" t="str">
        <f t="shared" si="149"/>
        <v/>
      </c>
      <c r="L1882" s="50" t="str">
        <f>IF(D1882="","",IF(COUNTIF(Paramètres!$A$11:$A$40,D1882)&gt;0,1,0))</f>
        <v/>
      </c>
    </row>
    <row r="1883" spans="1:12" hidden="1" x14ac:dyDescent="0.25">
      <c r="A1883" s="49"/>
      <c r="B1883" s="49"/>
      <c r="C1883" s="49"/>
      <c r="D1883" s="50" t="str">
        <f t="shared" si="145"/>
        <v/>
      </c>
      <c r="E1883" s="50" t="str">
        <f t="shared" si="146"/>
        <v/>
      </c>
      <c r="F1883" s="50" t="str">
        <f t="shared" si="147"/>
        <v/>
      </c>
      <c r="G1883" s="50" t="str">
        <f t="shared" si="148"/>
        <v/>
      </c>
      <c r="H1883" s="51" t="str">
        <f>IF($C1883="","",IFERROR(DATE(G1883,VLOOKUP(E1883,Paramètres!$K$11:$L$40,2,FALSE()),F1883),"?"))</f>
        <v/>
      </c>
      <c r="I1883" s="50" t="str">
        <f>IF(ISNUMBER(H1883),IF(COUNTIFS($D$2:D1883,D1883,$H$2:H1883,H1883)=1,1,0),"")</f>
        <v/>
      </c>
      <c r="J1883" s="50" t="str">
        <f>IF(ISNUMBER(H1883),IFERROR(INDEX(Calendrier!$C$2:$C$367,MATCH(H1883,Calendrier!$A$2:$A$367,0)),0),"")</f>
        <v/>
      </c>
      <c r="K1883" s="50" t="str">
        <f t="shared" si="149"/>
        <v/>
      </c>
      <c r="L1883" s="50" t="str">
        <f>IF(D1883="","",IF(COUNTIF(Paramètres!$A$11:$A$40,D1883)&gt;0,1,0))</f>
        <v/>
      </c>
    </row>
    <row r="1884" spans="1:12" hidden="1" x14ac:dyDescent="0.25">
      <c r="A1884" s="49"/>
      <c r="B1884" s="49"/>
      <c r="C1884" s="49"/>
      <c r="D1884" s="50" t="str">
        <f t="shared" si="145"/>
        <v/>
      </c>
      <c r="E1884" s="50" t="str">
        <f t="shared" si="146"/>
        <v/>
      </c>
      <c r="F1884" s="50" t="str">
        <f t="shared" si="147"/>
        <v/>
      </c>
      <c r="G1884" s="50" t="str">
        <f t="shared" si="148"/>
        <v/>
      </c>
      <c r="H1884" s="51" t="str">
        <f>IF($C1884="","",IFERROR(DATE(G1884,VLOOKUP(E1884,Paramètres!$K$11:$L$40,2,FALSE()),F1884),"?"))</f>
        <v/>
      </c>
      <c r="I1884" s="50" t="str">
        <f>IF(ISNUMBER(H1884),IF(COUNTIFS($D$2:D1884,D1884,$H$2:H1884,H1884)=1,1,0),"")</f>
        <v/>
      </c>
      <c r="J1884" s="50" t="str">
        <f>IF(ISNUMBER(H1884),IFERROR(INDEX(Calendrier!$C$2:$C$367,MATCH(H1884,Calendrier!$A$2:$A$367,0)),0),"")</f>
        <v/>
      </c>
      <c r="K1884" s="50" t="str">
        <f t="shared" si="149"/>
        <v/>
      </c>
      <c r="L1884" s="50" t="str">
        <f>IF(D1884="","",IF(COUNTIF(Paramètres!$A$11:$A$40,D1884)&gt;0,1,0))</f>
        <v/>
      </c>
    </row>
    <row r="1885" spans="1:12" hidden="1" x14ac:dyDescent="0.25">
      <c r="A1885" s="49"/>
      <c r="B1885" s="49"/>
      <c r="C1885" s="49"/>
      <c r="D1885" s="50" t="str">
        <f t="shared" si="145"/>
        <v/>
      </c>
      <c r="E1885" s="50" t="str">
        <f t="shared" si="146"/>
        <v/>
      </c>
      <c r="F1885" s="50" t="str">
        <f t="shared" si="147"/>
        <v/>
      </c>
      <c r="G1885" s="50" t="str">
        <f t="shared" si="148"/>
        <v/>
      </c>
      <c r="H1885" s="51" t="str">
        <f>IF($C1885="","",IFERROR(DATE(G1885,VLOOKUP(E1885,Paramètres!$K$11:$L$40,2,FALSE()),F1885),"?"))</f>
        <v/>
      </c>
      <c r="I1885" s="50" t="str">
        <f>IF(ISNUMBER(H1885),IF(COUNTIFS($D$2:D1885,D1885,$H$2:H1885,H1885)=1,1,0),"")</f>
        <v/>
      </c>
      <c r="J1885" s="50" t="str">
        <f>IF(ISNUMBER(H1885),IFERROR(INDEX(Calendrier!$C$2:$C$367,MATCH(H1885,Calendrier!$A$2:$A$367,0)),0),"")</f>
        <v/>
      </c>
      <c r="K1885" s="50" t="str">
        <f t="shared" si="149"/>
        <v/>
      </c>
      <c r="L1885" s="50" t="str">
        <f>IF(D1885="","",IF(COUNTIF(Paramètres!$A$11:$A$40,D1885)&gt;0,1,0))</f>
        <v/>
      </c>
    </row>
    <row r="1886" spans="1:12" hidden="1" x14ac:dyDescent="0.25">
      <c r="A1886" s="49"/>
      <c r="B1886" s="49"/>
      <c r="C1886" s="49"/>
      <c r="D1886" s="50" t="str">
        <f t="shared" si="145"/>
        <v/>
      </c>
      <c r="E1886" s="50" t="str">
        <f t="shared" si="146"/>
        <v/>
      </c>
      <c r="F1886" s="50" t="str">
        <f t="shared" si="147"/>
        <v/>
      </c>
      <c r="G1886" s="50" t="str">
        <f t="shared" si="148"/>
        <v/>
      </c>
      <c r="H1886" s="51" t="str">
        <f>IF($C1886="","",IFERROR(DATE(G1886,VLOOKUP(E1886,Paramètres!$K$11:$L$40,2,FALSE()),F1886),"?"))</f>
        <v/>
      </c>
      <c r="I1886" s="50" t="str">
        <f>IF(ISNUMBER(H1886),IF(COUNTIFS($D$2:D1886,D1886,$H$2:H1886,H1886)=1,1,0),"")</f>
        <v/>
      </c>
      <c r="J1886" s="50" t="str">
        <f>IF(ISNUMBER(H1886),IFERROR(INDEX(Calendrier!$C$2:$C$367,MATCH(H1886,Calendrier!$A$2:$A$367,0)),0),"")</f>
        <v/>
      </c>
      <c r="K1886" s="50" t="str">
        <f t="shared" si="149"/>
        <v/>
      </c>
      <c r="L1886" s="50" t="str">
        <f>IF(D1886="","",IF(COUNTIF(Paramètres!$A$11:$A$40,D1886)&gt;0,1,0))</f>
        <v/>
      </c>
    </row>
    <row r="1887" spans="1:12" hidden="1" x14ac:dyDescent="0.25">
      <c r="A1887" s="49"/>
      <c r="B1887" s="49"/>
      <c r="C1887" s="49"/>
      <c r="D1887" s="50" t="str">
        <f t="shared" si="145"/>
        <v/>
      </c>
      <c r="E1887" s="50" t="str">
        <f t="shared" si="146"/>
        <v/>
      </c>
      <c r="F1887" s="50" t="str">
        <f t="shared" si="147"/>
        <v/>
      </c>
      <c r="G1887" s="50" t="str">
        <f t="shared" si="148"/>
        <v/>
      </c>
      <c r="H1887" s="51" t="str">
        <f>IF($C1887="","",IFERROR(DATE(G1887,VLOOKUP(E1887,Paramètres!$K$11:$L$40,2,FALSE()),F1887),"?"))</f>
        <v/>
      </c>
      <c r="I1887" s="50" t="str">
        <f>IF(ISNUMBER(H1887),IF(COUNTIFS($D$2:D1887,D1887,$H$2:H1887,H1887)=1,1,0),"")</f>
        <v/>
      </c>
      <c r="J1887" s="50" t="str">
        <f>IF(ISNUMBER(H1887),IFERROR(INDEX(Calendrier!$C$2:$C$367,MATCH(H1887,Calendrier!$A$2:$A$367,0)),0),"")</f>
        <v/>
      </c>
      <c r="K1887" s="50" t="str">
        <f t="shared" si="149"/>
        <v/>
      </c>
      <c r="L1887" s="50" t="str">
        <f>IF(D1887="","",IF(COUNTIF(Paramètres!$A$11:$A$40,D1887)&gt;0,1,0))</f>
        <v/>
      </c>
    </row>
    <row r="1888" spans="1:12" hidden="1" x14ac:dyDescent="0.25">
      <c r="A1888" s="49"/>
      <c r="B1888" s="49"/>
      <c r="C1888" s="49"/>
      <c r="D1888" s="50" t="str">
        <f t="shared" si="145"/>
        <v/>
      </c>
      <c r="E1888" s="50" t="str">
        <f t="shared" si="146"/>
        <v/>
      </c>
      <c r="F1888" s="50" t="str">
        <f t="shared" si="147"/>
        <v/>
      </c>
      <c r="G1888" s="50" t="str">
        <f t="shared" si="148"/>
        <v/>
      </c>
      <c r="H1888" s="51" t="str">
        <f>IF($C1888="","",IFERROR(DATE(G1888,VLOOKUP(E1888,Paramètres!$K$11:$L$40,2,FALSE()),F1888),"?"))</f>
        <v/>
      </c>
      <c r="I1888" s="50" t="str">
        <f>IF(ISNUMBER(H1888),IF(COUNTIFS($D$2:D1888,D1888,$H$2:H1888,H1888)=1,1,0),"")</f>
        <v/>
      </c>
      <c r="J1888" s="50" t="str">
        <f>IF(ISNUMBER(H1888),IFERROR(INDEX(Calendrier!$C$2:$C$367,MATCH(H1888,Calendrier!$A$2:$A$367,0)),0),"")</f>
        <v/>
      </c>
      <c r="K1888" s="50" t="str">
        <f t="shared" si="149"/>
        <v/>
      </c>
      <c r="L1888" s="50" t="str">
        <f>IF(D1888="","",IF(COUNTIF(Paramètres!$A$11:$A$40,D1888)&gt;0,1,0))</f>
        <v/>
      </c>
    </row>
    <row r="1889" spans="1:12" hidden="1" x14ac:dyDescent="0.25">
      <c r="A1889" s="49"/>
      <c r="B1889" s="49"/>
      <c r="C1889" s="49"/>
      <c r="D1889" s="50" t="str">
        <f t="shared" si="145"/>
        <v/>
      </c>
      <c r="E1889" s="50" t="str">
        <f t="shared" si="146"/>
        <v/>
      </c>
      <c r="F1889" s="50" t="str">
        <f t="shared" si="147"/>
        <v/>
      </c>
      <c r="G1889" s="50" t="str">
        <f t="shared" si="148"/>
        <v/>
      </c>
      <c r="H1889" s="51" t="str">
        <f>IF($C1889="","",IFERROR(DATE(G1889,VLOOKUP(E1889,Paramètres!$K$11:$L$40,2,FALSE()),F1889),"?"))</f>
        <v/>
      </c>
      <c r="I1889" s="50" t="str">
        <f>IF(ISNUMBER(H1889),IF(COUNTIFS($D$2:D1889,D1889,$H$2:H1889,H1889)=1,1,0),"")</f>
        <v/>
      </c>
      <c r="J1889" s="50" t="str">
        <f>IF(ISNUMBER(H1889),IFERROR(INDEX(Calendrier!$C$2:$C$367,MATCH(H1889,Calendrier!$A$2:$A$367,0)),0),"")</f>
        <v/>
      </c>
      <c r="K1889" s="50" t="str">
        <f t="shared" si="149"/>
        <v/>
      </c>
      <c r="L1889" s="50" t="str">
        <f>IF(D1889="","",IF(COUNTIF(Paramètres!$A$11:$A$40,D1889)&gt;0,1,0))</f>
        <v/>
      </c>
    </row>
    <row r="1890" spans="1:12" hidden="1" x14ac:dyDescent="0.25">
      <c r="A1890" s="49"/>
      <c r="B1890" s="49"/>
      <c r="C1890" s="49"/>
      <c r="D1890" s="50" t="str">
        <f t="shared" si="145"/>
        <v/>
      </c>
      <c r="E1890" s="50" t="str">
        <f t="shared" si="146"/>
        <v/>
      </c>
      <c r="F1890" s="50" t="str">
        <f t="shared" si="147"/>
        <v/>
      </c>
      <c r="G1890" s="50" t="str">
        <f t="shared" si="148"/>
        <v/>
      </c>
      <c r="H1890" s="51" t="str">
        <f>IF($C1890="","",IFERROR(DATE(G1890,VLOOKUP(E1890,Paramètres!$K$11:$L$40,2,FALSE()),F1890),"?"))</f>
        <v/>
      </c>
      <c r="I1890" s="50" t="str">
        <f>IF(ISNUMBER(H1890),IF(COUNTIFS($D$2:D1890,D1890,$H$2:H1890,H1890)=1,1,0),"")</f>
        <v/>
      </c>
      <c r="J1890" s="50" t="str">
        <f>IF(ISNUMBER(H1890),IFERROR(INDEX(Calendrier!$C$2:$C$367,MATCH(H1890,Calendrier!$A$2:$A$367,0)),0),"")</f>
        <v/>
      </c>
      <c r="K1890" s="50" t="str">
        <f t="shared" si="149"/>
        <v/>
      </c>
      <c r="L1890" s="50" t="str">
        <f>IF(D1890="","",IF(COUNTIF(Paramètres!$A$11:$A$40,D1890)&gt;0,1,0))</f>
        <v/>
      </c>
    </row>
    <row r="1891" spans="1:12" hidden="1" x14ac:dyDescent="0.25">
      <c r="A1891" s="49"/>
      <c r="B1891" s="49"/>
      <c r="C1891" s="49"/>
      <c r="D1891" s="50" t="str">
        <f t="shared" si="145"/>
        <v/>
      </c>
      <c r="E1891" s="50" t="str">
        <f t="shared" si="146"/>
        <v/>
      </c>
      <c r="F1891" s="50" t="str">
        <f t="shared" si="147"/>
        <v/>
      </c>
      <c r="G1891" s="50" t="str">
        <f t="shared" si="148"/>
        <v/>
      </c>
      <c r="H1891" s="51" t="str">
        <f>IF($C1891="","",IFERROR(DATE(G1891,VLOOKUP(E1891,Paramètres!$K$11:$L$40,2,FALSE()),F1891),"?"))</f>
        <v/>
      </c>
      <c r="I1891" s="50" t="str">
        <f>IF(ISNUMBER(H1891),IF(COUNTIFS($D$2:D1891,D1891,$H$2:H1891,H1891)=1,1,0),"")</f>
        <v/>
      </c>
      <c r="J1891" s="50" t="str">
        <f>IF(ISNUMBER(H1891),IFERROR(INDEX(Calendrier!$C$2:$C$367,MATCH(H1891,Calendrier!$A$2:$A$367,0)),0),"")</f>
        <v/>
      </c>
      <c r="K1891" s="50" t="str">
        <f t="shared" si="149"/>
        <v/>
      </c>
      <c r="L1891" s="50" t="str">
        <f>IF(D1891="","",IF(COUNTIF(Paramètres!$A$11:$A$40,D1891)&gt;0,1,0))</f>
        <v/>
      </c>
    </row>
    <row r="1892" spans="1:12" hidden="1" x14ac:dyDescent="0.25">
      <c r="A1892" s="49"/>
      <c r="B1892" s="49"/>
      <c r="C1892" s="49"/>
      <c r="D1892" s="50" t="str">
        <f t="shared" si="145"/>
        <v/>
      </c>
      <c r="E1892" s="50" t="str">
        <f t="shared" si="146"/>
        <v/>
      </c>
      <c r="F1892" s="50" t="str">
        <f t="shared" si="147"/>
        <v/>
      </c>
      <c r="G1892" s="50" t="str">
        <f t="shared" si="148"/>
        <v/>
      </c>
      <c r="H1892" s="51" t="str">
        <f>IF($C1892="","",IFERROR(DATE(G1892,VLOOKUP(E1892,Paramètres!$K$11:$L$40,2,FALSE()),F1892),"?"))</f>
        <v/>
      </c>
      <c r="I1892" s="50" t="str">
        <f>IF(ISNUMBER(H1892),IF(COUNTIFS($D$2:D1892,D1892,$H$2:H1892,H1892)=1,1,0),"")</f>
        <v/>
      </c>
      <c r="J1892" s="50" t="str">
        <f>IF(ISNUMBER(H1892),IFERROR(INDEX(Calendrier!$C$2:$C$367,MATCH(H1892,Calendrier!$A$2:$A$367,0)),0),"")</f>
        <v/>
      </c>
      <c r="K1892" s="50" t="str">
        <f t="shared" si="149"/>
        <v/>
      </c>
      <c r="L1892" s="50" t="str">
        <f>IF(D1892="","",IF(COUNTIF(Paramètres!$A$11:$A$40,D1892)&gt;0,1,0))</f>
        <v/>
      </c>
    </row>
    <row r="1893" spans="1:12" hidden="1" x14ac:dyDescent="0.25">
      <c r="A1893" s="49"/>
      <c r="B1893" s="49"/>
      <c r="C1893" s="49"/>
      <c r="D1893" s="50" t="str">
        <f t="shared" si="145"/>
        <v/>
      </c>
      <c r="E1893" s="50" t="str">
        <f t="shared" si="146"/>
        <v/>
      </c>
      <c r="F1893" s="50" t="str">
        <f t="shared" si="147"/>
        <v/>
      </c>
      <c r="G1893" s="50" t="str">
        <f t="shared" si="148"/>
        <v/>
      </c>
      <c r="H1893" s="51" t="str">
        <f>IF($C1893="","",IFERROR(DATE(G1893,VLOOKUP(E1893,Paramètres!$K$11:$L$40,2,FALSE()),F1893),"?"))</f>
        <v/>
      </c>
      <c r="I1893" s="50" t="str">
        <f>IF(ISNUMBER(H1893),IF(COUNTIFS($D$2:D1893,D1893,$H$2:H1893,H1893)=1,1,0),"")</f>
        <v/>
      </c>
      <c r="J1893" s="50" t="str">
        <f>IF(ISNUMBER(H1893),IFERROR(INDEX(Calendrier!$C$2:$C$367,MATCH(H1893,Calendrier!$A$2:$A$367,0)),0),"")</f>
        <v/>
      </c>
      <c r="K1893" s="50" t="str">
        <f t="shared" si="149"/>
        <v/>
      </c>
      <c r="L1893" s="50" t="str">
        <f>IF(D1893="","",IF(COUNTIF(Paramètres!$A$11:$A$40,D1893)&gt;0,1,0))</f>
        <v/>
      </c>
    </row>
    <row r="1894" spans="1:12" hidden="1" x14ac:dyDescent="0.25">
      <c r="A1894" s="49"/>
      <c r="B1894" s="49"/>
      <c r="C1894" s="49"/>
      <c r="D1894" s="50" t="str">
        <f t="shared" si="145"/>
        <v/>
      </c>
      <c r="E1894" s="50" t="str">
        <f t="shared" si="146"/>
        <v/>
      </c>
      <c r="F1894" s="50" t="str">
        <f t="shared" si="147"/>
        <v/>
      </c>
      <c r="G1894" s="50" t="str">
        <f t="shared" si="148"/>
        <v/>
      </c>
      <c r="H1894" s="51" t="str">
        <f>IF($C1894="","",IFERROR(DATE(G1894,VLOOKUP(E1894,Paramètres!$K$11:$L$40,2,FALSE()),F1894),"?"))</f>
        <v/>
      </c>
      <c r="I1894" s="50" t="str">
        <f>IF(ISNUMBER(H1894),IF(COUNTIFS($D$2:D1894,D1894,$H$2:H1894,H1894)=1,1,0),"")</f>
        <v/>
      </c>
      <c r="J1894" s="50" t="str">
        <f>IF(ISNUMBER(H1894),IFERROR(INDEX(Calendrier!$C$2:$C$367,MATCH(H1894,Calendrier!$A$2:$A$367,0)),0),"")</f>
        <v/>
      </c>
      <c r="K1894" s="50" t="str">
        <f t="shared" si="149"/>
        <v/>
      </c>
      <c r="L1894" s="50" t="str">
        <f>IF(D1894="","",IF(COUNTIF(Paramètres!$A$11:$A$40,D1894)&gt;0,1,0))</f>
        <v/>
      </c>
    </row>
    <row r="1895" spans="1:12" hidden="1" x14ac:dyDescent="0.25">
      <c r="A1895" s="49"/>
      <c r="B1895" s="49"/>
      <c r="C1895" s="49"/>
      <c r="D1895" s="50" t="str">
        <f t="shared" si="145"/>
        <v/>
      </c>
      <c r="E1895" s="50" t="str">
        <f t="shared" si="146"/>
        <v/>
      </c>
      <c r="F1895" s="50" t="str">
        <f t="shared" si="147"/>
        <v/>
      </c>
      <c r="G1895" s="50" t="str">
        <f t="shared" si="148"/>
        <v/>
      </c>
      <c r="H1895" s="51" t="str">
        <f>IF($C1895="","",IFERROR(DATE(G1895,VLOOKUP(E1895,Paramètres!$K$11:$L$40,2,FALSE()),F1895),"?"))</f>
        <v/>
      </c>
      <c r="I1895" s="50" t="str">
        <f>IF(ISNUMBER(H1895),IF(COUNTIFS($D$2:D1895,D1895,$H$2:H1895,H1895)=1,1,0),"")</f>
        <v/>
      </c>
      <c r="J1895" s="50" t="str">
        <f>IF(ISNUMBER(H1895),IFERROR(INDEX(Calendrier!$C$2:$C$367,MATCH(H1895,Calendrier!$A$2:$A$367,0)),0),"")</f>
        <v/>
      </c>
      <c r="K1895" s="50" t="str">
        <f t="shared" si="149"/>
        <v/>
      </c>
      <c r="L1895" s="50" t="str">
        <f>IF(D1895="","",IF(COUNTIF(Paramètres!$A$11:$A$40,D1895)&gt;0,1,0))</f>
        <v/>
      </c>
    </row>
    <row r="1896" spans="1:12" hidden="1" x14ac:dyDescent="0.25">
      <c r="A1896" s="49"/>
      <c r="B1896" s="49"/>
      <c r="C1896" s="49"/>
      <c r="D1896" s="50" t="str">
        <f t="shared" si="145"/>
        <v/>
      </c>
      <c r="E1896" s="50" t="str">
        <f t="shared" si="146"/>
        <v/>
      </c>
      <c r="F1896" s="50" t="str">
        <f t="shared" si="147"/>
        <v/>
      </c>
      <c r="G1896" s="50" t="str">
        <f t="shared" si="148"/>
        <v/>
      </c>
      <c r="H1896" s="51" t="str">
        <f>IF($C1896="","",IFERROR(DATE(G1896,VLOOKUP(E1896,Paramètres!$K$11:$L$40,2,FALSE()),F1896),"?"))</f>
        <v/>
      </c>
      <c r="I1896" s="50" t="str">
        <f>IF(ISNUMBER(H1896),IF(COUNTIFS($D$2:D1896,D1896,$H$2:H1896,H1896)=1,1,0),"")</f>
        <v/>
      </c>
      <c r="J1896" s="50" t="str">
        <f>IF(ISNUMBER(H1896),IFERROR(INDEX(Calendrier!$C$2:$C$367,MATCH(H1896,Calendrier!$A$2:$A$367,0)),0),"")</f>
        <v/>
      </c>
      <c r="K1896" s="50" t="str">
        <f t="shared" si="149"/>
        <v/>
      </c>
      <c r="L1896" s="50" t="str">
        <f>IF(D1896="","",IF(COUNTIF(Paramètres!$A$11:$A$40,D1896)&gt;0,1,0))</f>
        <v/>
      </c>
    </row>
    <row r="1897" spans="1:12" hidden="1" x14ac:dyDescent="0.25">
      <c r="A1897" s="49"/>
      <c r="B1897" s="49"/>
      <c r="C1897" s="49"/>
      <c r="D1897" s="50" t="str">
        <f t="shared" si="145"/>
        <v/>
      </c>
      <c r="E1897" s="50" t="str">
        <f t="shared" si="146"/>
        <v/>
      </c>
      <c r="F1897" s="50" t="str">
        <f t="shared" si="147"/>
        <v/>
      </c>
      <c r="G1897" s="50" t="str">
        <f t="shared" si="148"/>
        <v/>
      </c>
      <c r="H1897" s="51" t="str">
        <f>IF($C1897="","",IFERROR(DATE(G1897,VLOOKUP(E1897,Paramètres!$K$11:$L$40,2,FALSE()),F1897),"?"))</f>
        <v/>
      </c>
      <c r="I1897" s="50" t="str">
        <f>IF(ISNUMBER(H1897),IF(COUNTIFS($D$2:D1897,D1897,$H$2:H1897,H1897)=1,1,0),"")</f>
        <v/>
      </c>
      <c r="J1897" s="50" t="str">
        <f>IF(ISNUMBER(H1897),IFERROR(INDEX(Calendrier!$C$2:$C$367,MATCH(H1897,Calendrier!$A$2:$A$367,0)),0),"")</f>
        <v/>
      </c>
      <c r="K1897" s="50" t="str">
        <f t="shared" si="149"/>
        <v/>
      </c>
      <c r="L1897" s="50" t="str">
        <f>IF(D1897="","",IF(COUNTIF(Paramètres!$A$11:$A$40,D1897)&gt;0,1,0))</f>
        <v/>
      </c>
    </row>
    <row r="1898" spans="1:12" hidden="1" x14ac:dyDescent="0.25">
      <c r="A1898" s="49"/>
      <c r="B1898" s="49"/>
      <c r="C1898" s="49"/>
      <c r="D1898" s="50" t="str">
        <f t="shared" si="145"/>
        <v/>
      </c>
      <c r="E1898" s="50" t="str">
        <f t="shared" si="146"/>
        <v/>
      </c>
      <c r="F1898" s="50" t="str">
        <f t="shared" si="147"/>
        <v/>
      </c>
      <c r="G1898" s="50" t="str">
        <f t="shared" si="148"/>
        <v/>
      </c>
      <c r="H1898" s="51" t="str">
        <f>IF($C1898="","",IFERROR(DATE(G1898,VLOOKUP(E1898,Paramètres!$K$11:$L$40,2,FALSE()),F1898),"?"))</f>
        <v/>
      </c>
      <c r="I1898" s="50" t="str">
        <f>IF(ISNUMBER(H1898),IF(COUNTIFS($D$2:D1898,D1898,$H$2:H1898,H1898)=1,1,0),"")</f>
        <v/>
      </c>
      <c r="J1898" s="50" t="str">
        <f>IF(ISNUMBER(H1898),IFERROR(INDEX(Calendrier!$C$2:$C$367,MATCH(H1898,Calendrier!$A$2:$A$367,0)),0),"")</f>
        <v/>
      </c>
      <c r="K1898" s="50" t="str">
        <f t="shared" si="149"/>
        <v/>
      </c>
      <c r="L1898" s="50" t="str">
        <f>IF(D1898="","",IF(COUNTIF(Paramètres!$A$11:$A$40,D1898)&gt;0,1,0))</f>
        <v/>
      </c>
    </row>
    <row r="1899" spans="1:12" hidden="1" x14ac:dyDescent="0.25">
      <c r="A1899" s="49"/>
      <c r="B1899" s="49"/>
      <c r="C1899" s="49"/>
      <c r="D1899" s="50" t="str">
        <f t="shared" si="145"/>
        <v/>
      </c>
      <c r="E1899" s="50" t="str">
        <f t="shared" si="146"/>
        <v/>
      </c>
      <c r="F1899" s="50" t="str">
        <f t="shared" si="147"/>
        <v/>
      </c>
      <c r="G1899" s="50" t="str">
        <f t="shared" si="148"/>
        <v/>
      </c>
      <c r="H1899" s="51" t="str">
        <f>IF($C1899="","",IFERROR(DATE(G1899,VLOOKUP(E1899,Paramètres!$K$11:$L$40,2,FALSE()),F1899),"?"))</f>
        <v/>
      </c>
      <c r="I1899" s="50" t="str">
        <f>IF(ISNUMBER(H1899),IF(COUNTIFS($D$2:D1899,D1899,$H$2:H1899,H1899)=1,1,0),"")</f>
        <v/>
      </c>
      <c r="J1899" s="50" t="str">
        <f>IF(ISNUMBER(H1899),IFERROR(INDEX(Calendrier!$C$2:$C$367,MATCH(H1899,Calendrier!$A$2:$A$367,0)),0),"")</f>
        <v/>
      </c>
      <c r="K1899" s="50" t="str">
        <f t="shared" si="149"/>
        <v/>
      </c>
      <c r="L1899" s="50" t="str">
        <f>IF(D1899="","",IF(COUNTIF(Paramètres!$A$11:$A$40,D1899)&gt;0,1,0))</f>
        <v/>
      </c>
    </row>
    <row r="1900" spans="1:12" hidden="1" x14ac:dyDescent="0.25">
      <c r="A1900" s="49"/>
      <c r="B1900" s="49"/>
      <c r="C1900" s="49"/>
      <c r="D1900" s="50" t="str">
        <f t="shared" si="145"/>
        <v/>
      </c>
      <c r="E1900" s="50" t="str">
        <f t="shared" si="146"/>
        <v/>
      </c>
      <c r="F1900" s="50" t="str">
        <f t="shared" si="147"/>
        <v/>
      </c>
      <c r="G1900" s="50" t="str">
        <f t="shared" si="148"/>
        <v/>
      </c>
      <c r="H1900" s="51" t="str">
        <f>IF($C1900="","",IFERROR(DATE(G1900,VLOOKUP(E1900,Paramètres!$K$11:$L$40,2,FALSE()),F1900),"?"))</f>
        <v/>
      </c>
      <c r="I1900" s="50" t="str">
        <f>IF(ISNUMBER(H1900),IF(COUNTIFS($D$2:D1900,D1900,$H$2:H1900,H1900)=1,1,0),"")</f>
        <v/>
      </c>
      <c r="J1900" s="50" t="str">
        <f>IF(ISNUMBER(H1900),IFERROR(INDEX(Calendrier!$C$2:$C$367,MATCH(H1900,Calendrier!$A$2:$A$367,0)),0),"")</f>
        <v/>
      </c>
      <c r="K1900" s="50" t="str">
        <f t="shared" si="149"/>
        <v/>
      </c>
      <c r="L1900" s="50" t="str">
        <f>IF(D1900="","",IF(COUNTIF(Paramètres!$A$11:$A$40,D1900)&gt;0,1,0))</f>
        <v/>
      </c>
    </row>
    <row r="1901" spans="1:12" hidden="1" x14ac:dyDescent="0.25">
      <c r="A1901" s="49"/>
      <c r="B1901" s="49"/>
      <c r="C1901" s="49"/>
      <c r="D1901" s="50" t="str">
        <f t="shared" si="145"/>
        <v/>
      </c>
      <c r="E1901" s="50" t="str">
        <f t="shared" si="146"/>
        <v/>
      </c>
      <c r="F1901" s="50" t="str">
        <f t="shared" si="147"/>
        <v/>
      </c>
      <c r="G1901" s="50" t="str">
        <f t="shared" si="148"/>
        <v/>
      </c>
      <c r="H1901" s="51" t="str">
        <f>IF($C1901="","",IFERROR(DATE(G1901,VLOOKUP(E1901,Paramètres!$K$11:$L$40,2,FALSE()),F1901),"?"))</f>
        <v/>
      </c>
      <c r="I1901" s="50" t="str">
        <f>IF(ISNUMBER(H1901),IF(COUNTIFS($D$2:D1901,D1901,$H$2:H1901,H1901)=1,1,0),"")</f>
        <v/>
      </c>
      <c r="J1901" s="50" t="str">
        <f>IF(ISNUMBER(H1901),IFERROR(INDEX(Calendrier!$C$2:$C$367,MATCH(H1901,Calendrier!$A$2:$A$367,0)),0),"")</f>
        <v/>
      </c>
      <c r="K1901" s="50" t="str">
        <f t="shared" si="149"/>
        <v/>
      </c>
      <c r="L1901" s="50" t="str">
        <f>IF(D1901="","",IF(COUNTIF(Paramètres!$A$11:$A$40,D1901)&gt;0,1,0))</f>
        <v/>
      </c>
    </row>
    <row r="1902" spans="1:12" hidden="1" x14ac:dyDescent="0.25">
      <c r="A1902" s="49"/>
      <c r="B1902" s="49"/>
      <c r="C1902" s="49"/>
      <c r="D1902" s="50" t="str">
        <f t="shared" si="145"/>
        <v/>
      </c>
      <c r="E1902" s="50" t="str">
        <f t="shared" si="146"/>
        <v/>
      </c>
      <c r="F1902" s="50" t="str">
        <f t="shared" si="147"/>
        <v/>
      </c>
      <c r="G1902" s="50" t="str">
        <f t="shared" si="148"/>
        <v/>
      </c>
      <c r="H1902" s="51" t="str">
        <f>IF($C1902="","",IFERROR(DATE(G1902,VLOOKUP(E1902,Paramètres!$K$11:$L$40,2,FALSE()),F1902),"?"))</f>
        <v/>
      </c>
      <c r="I1902" s="50" t="str">
        <f>IF(ISNUMBER(H1902),IF(COUNTIFS($D$2:D1902,D1902,$H$2:H1902,H1902)=1,1,0),"")</f>
        <v/>
      </c>
      <c r="J1902" s="50" t="str">
        <f>IF(ISNUMBER(H1902),IFERROR(INDEX(Calendrier!$C$2:$C$367,MATCH(H1902,Calendrier!$A$2:$A$367,0)),0),"")</f>
        <v/>
      </c>
      <c r="K1902" s="50" t="str">
        <f t="shared" si="149"/>
        <v/>
      </c>
      <c r="L1902" s="50" t="str">
        <f>IF(D1902="","",IF(COUNTIF(Paramètres!$A$11:$A$40,D1902)&gt;0,1,0))</f>
        <v/>
      </c>
    </row>
    <row r="1903" spans="1:12" hidden="1" x14ac:dyDescent="0.25">
      <c r="A1903" s="49"/>
      <c r="B1903" s="49"/>
      <c r="C1903" s="49"/>
      <c r="D1903" s="50" t="str">
        <f t="shared" si="145"/>
        <v/>
      </c>
      <c r="E1903" s="50" t="str">
        <f t="shared" si="146"/>
        <v/>
      </c>
      <c r="F1903" s="50" t="str">
        <f t="shared" si="147"/>
        <v/>
      </c>
      <c r="G1903" s="50" t="str">
        <f t="shared" si="148"/>
        <v/>
      </c>
      <c r="H1903" s="51" t="str">
        <f>IF($C1903="","",IFERROR(DATE(G1903,VLOOKUP(E1903,Paramètres!$K$11:$L$40,2,FALSE()),F1903),"?"))</f>
        <v/>
      </c>
      <c r="I1903" s="50" t="str">
        <f>IF(ISNUMBER(H1903),IF(COUNTIFS($D$2:D1903,D1903,$H$2:H1903,H1903)=1,1,0),"")</f>
        <v/>
      </c>
      <c r="J1903" s="50" t="str">
        <f>IF(ISNUMBER(H1903),IFERROR(INDEX(Calendrier!$C$2:$C$367,MATCH(H1903,Calendrier!$A$2:$A$367,0)),0),"")</f>
        <v/>
      </c>
      <c r="K1903" s="50" t="str">
        <f t="shared" si="149"/>
        <v/>
      </c>
      <c r="L1903" s="50" t="str">
        <f>IF(D1903="","",IF(COUNTIF(Paramètres!$A$11:$A$40,D1903)&gt;0,1,0))</f>
        <v/>
      </c>
    </row>
    <row r="1904" spans="1:12" hidden="1" x14ac:dyDescent="0.25">
      <c r="A1904" s="49"/>
      <c r="B1904" s="49"/>
      <c r="C1904" s="49"/>
      <c r="D1904" s="50" t="str">
        <f t="shared" si="145"/>
        <v/>
      </c>
      <c r="E1904" s="50" t="str">
        <f t="shared" si="146"/>
        <v/>
      </c>
      <c r="F1904" s="50" t="str">
        <f t="shared" si="147"/>
        <v/>
      </c>
      <c r="G1904" s="50" t="str">
        <f t="shared" si="148"/>
        <v/>
      </c>
      <c r="H1904" s="51" t="str">
        <f>IF($C1904="","",IFERROR(DATE(G1904,VLOOKUP(E1904,Paramètres!$K$11:$L$40,2,FALSE()),F1904),"?"))</f>
        <v/>
      </c>
      <c r="I1904" s="50" t="str">
        <f>IF(ISNUMBER(H1904),IF(COUNTIFS($D$2:D1904,D1904,$H$2:H1904,H1904)=1,1,0),"")</f>
        <v/>
      </c>
      <c r="J1904" s="50" t="str">
        <f>IF(ISNUMBER(H1904),IFERROR(INDEX(Calendrier!$C$2:$C$367,MATCH(H1904,Calendrier!$A$2:$A$367,0)),0),"")</f>
        <v/>
      </c>
      <c r="K1904" s="50" t="str">
        <f t="shared" si="149"/>
        <v/>
      </c>
      <c r="L1904" s="50" t="str">
        <f>IF(D1904="","",IF(COUNTIF(Paramètres!$A$11:$A$40,D1904)&gt;0,1,0))</f>
        <v/>
      </c>
    </row>
    <row r="1905" spans="1:12" hidden="1" x14ac:dyDescent="0.25">
      <c r="A1905" s="49"/>
      <c r="B1905" s="49"/>
      <c r="C1905" s="49"/>
      <c r="D1905" s="50" t="str">
        <f t="shared" si="145"/>
        <v/>
      </c>
      <c r="E1905" s="50" t="str">
        <f t="shared" si="146"/>
        <v/>
      </c>
      <c r="F1905" s="50" t="str">
        <f t="shared" si="147"/>
        <v/>
      </c>
      <c r="G1905" s="50" t="str">
        <f t="shared" si="148"/>
        <v/>
      </c>
      <c r="H1905" s="51" t="str">
        <f>IF($C1905="","",IFERROR(DATE(G1905,VLOOKUP(E1905,Paramètres!$K$11:$L$40,2,FALSE()),F1905),"?"))</f>
        <v/>
      </c>
      <c r="I1905" s="50" t="str">
        <f>IF(ISNUMBER(H1905),IF(COUNTIFS($D$2:D1905,D1905,$H$2:H1905,H1905)=1,1,0),"")</f>
        <v/>
      </c>
      <c r="J1905" s="50" t="str">
        <f>IF(ISNUMBER(H1905),IFERROR(INDEX(Calendrier!$C$2:$C$367,MATCH(H1905,Calendrier!$A$2:$A$367,0)),0),"")</f>
        <v/>
      </c>
      <c r="K1905" s="50" t="str">
        <f t="shared" si="149"/>
        <v/>
      </c>
      <c r="L1905" s="50" t="str">
        <f>IF(D1905="","",IF(COUNTIF(Paramètres!$A$11:$A$40,D1905)&gt;0,1,0))</f>
        <v/>
      </c>
    </row>
    <row r="1906" spans="1:12" hidden="1" x14ac:dyDescent="0.25">
      <c r="A1906" s="49"/>
      <c r="B1906" s="49"/>
      <c r="C1906" s="49"/>
      <c r="D1906" s="50" t="str">
        <f t="shared" si="145"/>
        <v/>
      </c>
      <c r="E1906" s="50" t="str">
        <f t="shared" si="146"/>
        <v/>
      </c>
      <c r="F1906" s="50" t="str">
        <f t="shared" si="147"/>
        <v/>
      </c>
      <c r="G1906" s="50" t="str">
        <f t="shared" si="148"/>
        <v/>
      </c>
      <c r="H1906" s="51" t="str">
        <f>IF($C1906="","",IFERROR(DATE(G1906,VLOOKUP(E1906,Paramètres!$K$11:$L$40,2,FALSE()),F1906),"?"))</f>
        <v/>
      </c>
      <c r="I1906" s="50" t="str">
        <f>IF(ISNUMBER(H1906),IF(COUNTIFS($D$2:D1906,D1906,$H$2:H1906,H1906)=1,1,0),"")</f>
        <v/>
      </c>
      <c r="J1906" s="50" t="str">
        <f>IF(ISNUMBER(H1906),IFERROR(INDEX(Calendrier!$C$2:$C$367,MATCH(H1906,Calendrier!$A$2:$A$367,0)),0),"")</f>
        <v/>
      </c>
      <c r="K1906" s="50" t="str">
        <f t="shared" si="149"/>
        <v/>
      </c>
      <c r="L1906" s="50" t="str">
        <f>IF(D1906="","",IF(COUNTIF(Paramètres!$A$11:$A$40,D1906)&gt;0,1,0))</f>
        <v/>
      </c>
    </row>
    <row r="1907" spans="1:12" hidden="1" x14ac:dyDescent="0.25">
      <c r="A1907" s="49"/>
      <c r="B1907" s="49"/>
      <c r="C1907" s="49"/>
      <c r="D1907" s="50" t="str">
        <f t="shared" si="145"/>
        <v/>
      </c>
      <c r="E1907" s="50" t="str">
        <f t="shared" si="146"/>
        <v/>
      </c>
      <c r="F1907" s="50" t="str">
        <f t="shared" si="147"/>
        <v/>
      </c>
      <c r="G1907" s="50" t="str">
        <f t="shared" si="148"/>
        <v/>
      </c>
      <c r="H1907" s="51" t="str">
        <f>IF($C1907="","",IFERROR(DATE(G1907,VLOOKUP(E1907,Paramètres!$K$11:$L$40,2,FALSE()),F1907),"?"))</f>
        <v/>
      </c>
      <c r="I1907" s="50" t="str">
        <f>IF(ISNUMBER(H1907),IF(COUNTIFS($D$2:D1907,D1907,$H$2:H1907,H1907)=1,1,0),"")</f>
        <v/>
      </c>
      <c r="J1907" s="50" t="str">
        <f>IF(ISNUMBER(H1907),IFERROR(INDEX(Calendrier!$C$2:$C$367,MATCH(H1907,Calendrier!$A$2:$A$367,0)),0),"")</f>
        <v/>
      </c>
      <c r="K1907" s="50" t="str">
        <f t="shared" si="149"/>
        <v/>
      </c>
      <c r="L1907" s="50" t="str">
        <f>IF(D1907="","",IF(COUNTIF(Paramètres!$A$11:$A$40,D1907)&gt;0,1,0))</f>
        <v/>
      </c>
    </row>
    <row r="1908" spans="1:12" hidden="1" x14ac:dyDescent="0.25">
      <c r="A1908" s="49"/>
      <c r="B1908" s="49"/>
      <c r="C1908" s="49"/>
      <c r="D1908" s="50" t="str">
        <f t="shared" si="145"/>
        <v/>
      </c>
      <c r="E1908" s="50" t="str">
        <f t="shared" si="146"/>
        <v/>
      </c>
      <c r="F1908" s="50" t="str">
        <f t="shared" si="147"/>
        <v/>
      </c>
      <c r="G1908" s="50" t="str">
        <f t="shared" si="148"/>
        <v/>
      </c>
      <c r="H1908" s="51" t="str">
        <f>IF($C1908="","",IFERROR(DATE(G1908,VLOOKUP(E1908,Paramètres!$K$11:$L$40,2,FALSE()),F1908),"?"))</f>
        <v/>
      </c>
      <c r="I1908" s="50" t="str">
        <f>IF(ISNUMBER(H1908),IF(COUNTIFS($D$2:D1908,D1908,$H$2:H1908,H1908)=1,1,0),"")</f>
        <v/>
      </c>
      <c r="J1908" s="50" t="str">
        <f>IF(ISNUMBER(H1908),IFERROR(INDEX(Calendrier!$C$2:$C$367,MATCH(H1908,Calendrier!$A$2:$A$367,0)),0),"")</f>
        <v/>
      </c>
      <c r="K1908" s="50" t="str">
        <f t="shared" si="149"/>
        <v/>
      </c>
      <c r="L1908" s="50" t="str">
        <f>IF(D1908="","",IF(COUNTIF(Paramètres!$A$11:$A$40,D1908)&gt;0,1,0))</f>
        <v/>
      </c>
    </row>
    <row r="1909" spans="1:12" hidden="1" x14ac:dyDescent="0.25">
      <c r="A1909" s="49"/>
      <c r="B1909" s="49"/>
      <c r="C1909" s="49"/>
      <c r="D1909" s="50" t="str">
        <f t="shared" si="145"/>
        <v/>
      </c>
      <c r="E1909" s="50" t="str">
        <f t="shared" si="146"/>
        <v/>
      </c>
      <c r="F1909" s="50" t="str">
        <f t="shared" si="147"/>
        <v/>
      </c>
      <c r="G1909" s="50" t="str">
        <f t="shared" si="148"/>
        <v/>
      </c>
      <c r="H1909" s="51" t="str">
        <f>IF($C1909="","",IFERROR(DATE(G1909,VLOOKUP(E1909,Paramètres!$K$11:$L$40,2,FALSE()),F1909),"?"))</f>
        <v/>
      </c>
      <c r="I1909" s="50" t="str">
        <f>IF(ISNUMBER(H1909),IF(COUNTIFS($D$2:D1909,D1909,$H$2:H1909,H1909)=1,1,0),"")</f>
        <v/>
      </c>
      <c r="J1909" s="50" t="str">
        <f>IF(ISNUMBER(H1909),IFERROR(INDEX(Calendrier!$C$2:$C$367,MATCH(H1909,Calendrier!$A$2:$A$367,0)),0),"")</f>
        <v/>
      </c>
      <c r="K1909" s="50" t="str">
        <f t="shared" si="149"/>
        <v/>
      </c>
      <c r="L1909" s="50" t="str">
        <f>IF(D1909="","",IF(COUNTIF(Paramètres!$A$11:$A$40,D1909)&gt;0,1,0))</f>
        <v/>
      </c>
    </row>
    <row r="1910" spans="1:12" hidden="1" x14ac:dyDescent="0.25">
      <c r="A1910" s="49"/>
      <c r="B1910" s="49"/>
      <c r="C1910" s="49"/>
      <c r="D1910" s="50" t="str">
        <f t="shared" si="145"/>
        <v/>
      </c>
      <c r="E1910" s="50" t="str">
        <f t="shared" si="146"/>
        <v/>
      </c>
      <c r="F1910" s="50" t="str">
        <f t="shared" si="147"/>
        <v/>
      </c>
      <c r="G1910" s="50" t="str">
        <f t="shared" si="148"/>
        <v/>
      </c>
      <c r="H1910" s="51" t="str">
        <f>IF($C1910="","",IFERROR(DATE(G1910,VLOOKUP(E1910,Paramètres!$K$11:$L$40,2,FALSE()),F1910),"?"))</f>
        <v/>
      </c>
      <c r="I1910" s="50" t="str">
        <f>IF(ISNUMBER(H1910),IF(COUNTIFS($D$2:D1910,D1910,$H$2:H1910,H1910)=1,1,0),"")</f>
        <v/>
      </c>
      <c r="J1910" s="50" t="str">
        <f>IF(ISNUMBER(H1910),IFERROR(INDEX(Calendrier!$C$2:$C$367,MATCH(H1910,Calendrier!$A$2:$A$367,0)),0),"")</f>
        <v/>
      </c>
      <c r="K1910" s="50" t="str">
        <f t="shared" si="149"/>
        <v/>
      </c>
      <c r="L1910" s="50" t="str">
        <f>IF(D1910="","",IF(COUNTIF(Paramètres!$A$11:$A$40,D1910)&gt;0,1,0))</f>
        <v/>
      </c>
    </row>
    <row r="1911" spans="1:12" hidden="1" x14ac:dyDescent="0.25">
      <c r="A1911" s="49"/>
      <c r="B1911" s="49"/>
      <c r="C1911" s="49"/>
      <c r="D1911" s="50" t="str">
        <f t="shared" si="145"/>
        <v/>
      </c>
      <c r="E1911" s="50" t="str">
        <f t="shared" si="146"/>
        <v/>
      </c>
      <c r="F1911" s="50" t="str">
        <f t="shared" si="147"/>
        <v/>
      </c>
      <c r="G1911" s="50" t="str">
        <f t="shared" si="148"/>
        <v/>
      </c>
      <c r="H1911" s="51" t="str">
        <f>IF($C1911="","",IFERROR(DATE(G1911,VLOOKUP(E1911,Paramètres!$K$11:$L$40,2,FALSE()),F1911),"?"))</f>
        <v/>
      </c>
      <c r="I1911" s="50" t="str">
        <f>IF(ISNUMBER(H1911),IF(COUNTIFS($D$2:D1911,D1911,$H$2:H1911,H1911)=1,1,0),"")</f>
        <v/>
      </c>
      <c r="J1911" s="50" t="str">
        <f>IF(ISNUMBER(H1911),IFERROR(INDEX(Calendrier!$C$2:$C$367,MATCH(H1911,Calendrier!$A$2:$A$367,0)),0),"")</f>
        <v/>
      </c>
      <c r="K1911" s="50" t="str">
        <f t="shared" si="149"/>
        <v/>
      </c>
      <c r="L1911" s="50" t="str">
        <f>IF(D1911="","",IF(COUNTIF(Paramètres!$A$11:$A$40,D1911)&gt;0,1,0))</f>
        <v/>
      </c>
    </row>
    <row r="1912" spans="1:12" hidden="1" x14ac:dyDescent="0.25">
      <c r="A1912" s="49"/>
      <c r="B1912" s="49"/>
      <c r="C1912" s="49"/>
      <c r="D1912" s="50" t="str">
        <f t="shared" si="145"/>
        <v/>
      </c>
      <c r="E1912" s="50" t="str">
        <f t="shared" si="146"/>
        <v/>
      </c>
      <c r="F1912" s="50" t="str">
        <f t="shared" si="147"/>
        <v/>
      </c>
      <c r="G1912" s="50" t="str">
        <f t="shared" si="148"/>
        <v/>
      </c>
      <c r="H1912" s="51" t="str">
        <f>IF($C1912="","",IFERROR(DATE(G1912,VLOOKUP(E1912,Paramètres!$K$11:$L$40,2,FALSE()),F1912),"?"))</f>
        <v/>
      </c>
      <c r="I1912" s="50" t="str">
        <f>IF(ISNUMBER(H1912),IF(COUNTIFS($D$2:D1912,D1912,$H$2:H1912,H1912)=1,1,0),"")</f>
        <v/>
      </c>
      <c r="J1912" s="50" t="str">
        <f>IF(ISNUMBER(H1912),IFERROR(INDEX(Calendrier!$C$2:$C$367,MATCH(H1912,Calendrier!$A$2:$A$367,0)),0),"")</f>
        <v/>
      </c>
      <c r="K1912" s="50" t="str">
        <f t="shared" si="149"/>
        <v/>
      </c>
      <c r="L1912" s="50" t="str">
        <f>IF(D1912="","",IF(COUNTIF(Paramètres!$A$11:$A$40,D1912)&gt;0,1,0))</f>
        <v/>
      </c>
    </row>
    <row r="1913" spans="1:12" hidden="1" x14ac:dyDescent="0.25">
      <c r="A1913" s="49"/>
      <c r="B1913" s="49"/>
      <c r="C1913" s="49"/>
      <c r="D1913" s="50" t="str">
        <f t="shared" si="145"/>
        <v/>
      </c>
      <c r="E1913" s="50" t="str">
        <f t="shared" si="146"/>
        <v/>
      </c>
      <c r="F1913" s="50" t="str">
        <f t="shared" si="147"/>
        <v/>
      </c>
      <c r="G1913" s="50" t="str">
        <f t="shared" si="148"/>
        <v/>
      </c>
      <c r="H1913" s="51" t="str">
        <f>IF($C1913="","",IFERROR(DATE(G1913,VLOOKUP(E1913,Paramètres!$K$11:$L$40,2,FALSE()),F1913),"?"))</f>
        <v/>
      </c>
      <c r="I1913" s="50" t="str">
        <f>IF(ISNUMBER(H1913),IF(COUNTIFS($D$2:D1913,D1913,$H$2:H1913,H1913)=1,1,0),"")</f>
        <v/>
      </c>
      <c r="J1913" s="50" t="str">
        <f>IF(ISNUMBER(H1913),IFERROR(INDEX(Calendrier!$C$2:$C$367,MATCH(H1913,Calendrier!$A$2:$A$367,0)),0),"")</f>
        <v/>
      </c>
      <c r="K1913" s="50" t="str">
        <f t="shared" si="149"/>
        <v/>
      </c>
      <c r="L1913" s="50" t="str">
        <f>IF(D1913="","",IF(COUNTIF(Paramètres!$A$11:$A$40,D1913)&gt;0,1,0))</f>
        <v/>
      </c>
    </row>
    <row r="1914" spans="1:12" hidden="1" x14ac:dyDescent="0.25">
      <c r="A1914" s="49"/>
      <c r="B1914" s="49"/>
      <c r="C1914" s="49"/>
      <c r="D1914" s="50" t="str">
        <f t="shared" si="145"/>
        <v/>
      </c>
      <c r="E1914" s="50" t="str">
        <f t="shared" si="146"/>
        <v/>
      </c>
      <c r="F1914" s="50" t="str">
        <f t="shared" si="147"/>
        <v/>
      </c>
      <c r="G1914" s="50" t="str">
        <f t="shared" si="148"/>
        <v/>
      </c>
      <c r="H1914" s="51" t="str">
        <f>IF($C1914="","",IFERROR(DATE(G1914,VLOOKUP(E1914,Paramètres!$K$11:$L$40,2,FALSE()),F1914),"?"))</f>
        <v/>
      </c>
      <c r="I1914" s="50" t="str">
        <f>IF(ISNUMBER(H1914),IF(COUNTIFS($D$2:D1914,D1914,$H$2:H1914,H1914)=1,1,0),"")</f>
        <v/>
      </c>
      <c r="J1914" s="50" t="str">
        <f>IF(ISNUMBER(H1914),IFERROR(INDEX(Calendrier!$C$2:$C$367,MATCH(H1914,Calendrier!$A$2:$A$367,0)),0),"")</f>
        <v/>
      </c>
      <c r="K1914" s="50" t="str">
        <f t="shared" si="149"/>
        <v/>
      </c>
      <c r="L1914" s="50" t="str">
        <f>IF(D1914="","",IF(COUNTIF(Paramètres!$A$11:$A$40,D1914)&gt;0,1,0))</f>
        <v/>
      </c>
    </row>
    <row r="1915" spans="1:12" hidden="1" x14ac:dyDescent="0.25">
      <c r="A1915" s="49"/>
      <c r="B1915" s="49"/>
      <c r="C1915" s="49"/>
      <c r="D1915" s="50" t="str">
        <f t="shared" si="145"/>
        <v/>
      </c>
      <c r="E1915" s="50" t="str">
        <f t="shared" si="146"/>
        <v/>
      </c>
      <c r="F1915" s="50" t="str">
        <f t="shared" si="147"/>
        <v/>
      </c>
      <c r="G1915" s="50" t="str">
        <f t="shared" si="148"/>
        <v/>
      </c>
      <c r="H1915" s="51" t="str">
        <f>IF($C1915="","",IFERROR(DATE(G1915,VLOOKUP(E1915,Paramètres!$K$11:$L$40,2,FALSE()),F1915),"?"))</f>
        <v/>
      </c>
      <c r="I1915" s="50" t="str">
        <f>IF(ISNUMBER(H1915),IF(COUNTIFS($D$2:D1915,D1915,$H$2:H1915,H1915)=1,1,0),"")</f>
        <v/>
      </c>
      <c r="J1915" s="50" t="str">
        <f>IF(ISNUMBER(H1915),IFERROR(INDEX(Calendrier!$C$2:$C$367,MATCH(H1915,Calendrier!$A$2:$A$367,0)),0),"")</f>
        <v/>
      </c>
      <c r="K1915" s="50" t="str">
        <f t="shared" si="149"/>
        <v/>
      </c>
      <c r="L1915" s="50" t="str">
        <f>IF(D1915="","",IF(COUNTIF(Paramètres!$A$11:$A$40,D1915)&gt;0,1,0))</f>
        <v/>
      </c>
    </row>
    <row r="1916" spans="1:12" hidden="1" x14ac:dyDescent="0.25">
      <c r="A1916" s="49"/>
      <c r="B1916" s="49"/>
      <c r="C1916" s="49"/>
      <c r="D1916" s="50" t="str">
        <f t="shared" si="145"/>
        <v/>
      </c>
      <c r="E1916" s="50" t="str">
        <f t="shared" si="146"/>
        <v/>
      </c>
      <c r="F1916" s="50" t="str">
        <f t="shared" si="147"/>
        <v/>
      </c>
      <c r="G1916" s="50" t="str">
        <f t="shared" si="148"/>
        <v/>
      </c>
      <c r="H1916" s="51" t="str">
        <f>IF($C1916="","",IFERROR(DATE(G1916,VLOOKUP(E1916,Paramètres!$K$11:$L$40,2,FALSE()),F1916),"?"))</f>
        <v/>
      </c>
      <c r="I1916" s="50" t="str">
        <f>IF(ISNUMBER(H1916),IF(COUNTIFS($D$2:D1916,D1916,$H$2:H1916,H1916)=1,1,0),"")</f>
        <v/>
      </c>
      <c r="J1916" s="50" t="str">
        <f>IF(ISNUMBER(H1916),IFERROR(INDEX(Calendrier!$C$2:$C$367,MATCH(H1916,Calendrier!$A$2:$A$367,0)),0),"")</f>
        <v/>
      </c>
      <c r="K1916" s="50" t="str">
        <f t="shared" si="149"/>
        <v/>
      </c>
      <c r="L1916" s="50" t="str">
        <f>IF(D1916="","",IF(COUNTIF(Paramètres!$A$11:$A$40,D1916)&gt;0,1,0))</f>
        <v/>
      </c>
    </row>
    <row r="1917" spans="1:12" hidden="1" x14ac:dyDescent="0.25">
      <c r="A1917" s="49"/>
      <c r="B1917" s="49"/>
      <c r="C1917" s="49"/>
      <c r="D1917" s="50" t="str">
        <f t="shared" si="145"/>
        <v/>
      </c>
      <c r="E1917" s="50" t="str">
        <f t="shared" si="146"/>
        <v/>
      </c>
      <c r="F1917" s="50" t="str">
        <f t="shared" si="147"/>
        <v/>
      </c>
      <c r="G1917" s="50" t="str">
        <f t="shared" si="148"/>
        <v/>
      </c>
      <c r="H1917" s="51" t="str">
        <f>IF($C1917="","",IFERROR(DATE(G1917,VLOOKUP(E1917,Paramètres!$K$11:$L$40,2,FALSE()),F1917),"?"))</f>
        <v/>
      </c>
      <c r="I1917" s="50" t="str">
        <f>IF(ISNUMBER(H1917),IF(COUNTIFS($D$2:D1917,D1917,$H$2:H1917,H1917)=1,1,0),"")</f>
        <v/>
      </c>
      <c r="J1917" s="50" t="str">
        <f>IF(ISNUMBER(H1917),IFERROR(INDEX(Calendrier!$C$2:$C$367,MATCH(H1917,Calendrier!$A$2:$A$367,0)),0),"")</f>
        <v/>
      </c>
      <c r="K1917" s="50" t="str">
        <f t="shared" si="149"/>
        <v/>
      </c>
      <c r="L1917" s="50" t="str">
        <f>IF(D1917="","",IF(COUNTIF(Paramètres!$A$11:$A$40,D1917)&gt;0,1,0))</f>
        <v/>
      </c>
    </row>
    <row r="1918" spans="1:12" hidden="1" x14ac:dyDescent="0.25">
      <c r="A1918" s="49"/>
      <c r="B1918" s="49"/>
      <c r="C1918" s="49"/>
      <c r="D1918" s="50" t="str">
        <f t="shared" si="145"/>
        <v/>
      </c>
      <c r="E1918" s="50" t="str">
        <f t="shared" si="146"/>
        <v/>
      </c>
      <c r="F1918" s="50" t="str">
        <f t="shared" si="147"/>
        <v/>
      </c>
      <c r="G1918" s="50" t="str">
        <f t="shared" si="148"/>
        <v/>
      </c>
      <c r="H1918" s="51" t="str">
        <f>IF($C1918="","",IFERROR(DATE(G1918,VLOOKUP(E1918,Paramètres!$K$11:$L$40,2,FALSE()),F1918),"?"))</f>
        <v/>
      </c>
      <c r="I1918" s="50" t="str">
        <f>IF(ISNUMBER(H1918),IF(COUNTIFS($D$2:D1918,D1918,$H$2:H1918,H1918)=1,1,0),"")</f>
        <v/>
      </c>
      <c r="J1918" s="50" t="str">
        <f>IF(ISNUMBER(H1918),IFERROR(INDEX(Calendrier!$C$2:$C$367,MATCH(H1918,Calendrier!$A$2:$A$367,0)),0),"")</f>
        <v/>
      </c>
      <c r="K1918" s="50" t="str">
        <f t="shared" si="149"/>
        <v/>
      </c>
      <c r="L1918" s="50" t="str">
        <f>IF(D1918="","",IF(COUNTIF(Paramètres!$A$11:$A$40,D1918)&gt;0,1,0))</f>
        <v/>
      </c>
    </row>
    <row r="1919" spans="1:12" hidden="1" x14ac:dyDescent="0.25">
      <c r="A1919" s="49"/>
      <c r="B1919" s="49"/>
      <c r="C1919" s="49"/>
      <c r="D1919" s="50" t="str">
        <f t="shared" si="145"/>
        <v/>
      </c>
      <c r="E1919" s="50" t="str">
        <f t="shared" si="146"/>
        <v/>
      </c>
      <c r="F1919" s="50" t="str">
        <f t="shared" si="147"/>
        <v/>
      </c>
      <c r="G1919" s="50" t="str">
        <f t="shared" si="148"/>
        <v/>
      </c>
      <c r="H1919" s="51" t="str">
        <f>IF($C1919="","",IFERROR(DATE(G1919,VLOOKUP(E1919,Paramètres!$K$11:$L$40,2,FALSE()),F1919),"?"))</f>
        <v/>
      </c>
      <c r="I1919" s="50" t="str">
        <f>IF(ISNUMBER(H1919),IF(COUNTIFS($D$2:D1919,D1919,$H$2:H1919,H1919)=1,1,0),"")</f>
        <v/>
      </c>
      <c r="J1919" s="50" t="str">
        <f>IF(ISNUMBER(H1919),IFERROR(INDEX(Calendrier!$C$2:$C$367,MATCH(H1919,Calendrier!$A$2:$A$367,0)),0),"")</f>
        <v/>
      </c>
      <c r="K1919" s="50" t="str">
        <f t="shared" si="149"/>
        <v/>
      </c>
      <c r="L1919" s="50" t="str">
        <f>IF(D1919="","",IF(COUNTIF(Paramètres!$A$11:$A$40,D1919)&gt;0,1,0))</f>
        <v/>
      </c>
    </row>
    <row r="1920" spans="1:12" hidden="1" x14ac:dyDescent="0.25">
      <c r="A1920" s="49"/>
      <c r="B1920" s="49"/>
      <c r="C1920" s="49"/>
      <c r="D1920" s="50" t="str">
        <f t="shared" si="145"/>
        <v/>
      </c>
      <c r="E1920" s="50" t="str">
        <f t="shared" si="146"/>
        <v/>
      </c>
      <c r="F1920" s="50" t="str">
        <f t="shared" si="147"/>
        <v/>
      </c>
      <c r="G1920" s="50" t="str">
        <f t="shared" si="148"/>
        <v/>
      </c>
      <c r="H1920" s="51" t="str">
        <f>IF($C1920="","",IFERROR(DATE(G1920,VLOOKUP(E1920,Paramètres!$K$11:$L$40,2,FALSE()),F1920),"?"))</f>
        <v/>
      </c>
      <c r="I1920" s="50" t="str">
        <f>IF(ISNUMBER(H1920),IF(COUNTIFS($D$2:D1920,D1920,$H$2:H1920,H1920)=1,1,0),"")</f>
        <v/>
      </c>
      <c r="J1920" s="50" t="str">
        <f>IF(ISNUMBER(H1920),IFERROR(INDEX(Calendrier!$C$2:$C$367,MATCH(H1920,Calendrier!$A$2:$A$367,0)),0),"")</f>
        <v/>
      </c>
      <c r="K1920" s="50" t="str">
        <f t="shared" si="149"/>
        <v/>
      </c>
      <c r="L1920" s="50" t="str">
        <f>IF(D1920="","",IF(COUNTIF(Paramètres!$A$11:$A$40,D1920)&gt;0,1,0))</f>
        <v/>
      </c>
    </row>
    <row r="1921" spans="1:12" hidden="1" x14ac:dyDescent="0.25">
      <c r="A1921" s="49"/>
      <c r="B1921" s="49"/>
      <c r="C1921" s="49"/>
      <c r="D1921" s="50" t="str">
        <f t="shared" si="145"/>
        <v/>
      </c>
      <c r="E1921" s="50" t="str">
        <f t="shared" si="146"/>
        <v/>
      </c>
      <c r="F1921" s="50" t="str">
        <f t="shared" si="147"/>
        <v/>
      </c>
      <c r="G1921" s="50" t="str">
        <f t="shared" si="148"/>
        <v/>
      </c>
      <c r="H1921" s="51" t="str">
        <f>IF($C1921="","",IFERROR(DATE(G1921,VLOOKUP(E1921,Paramètres!$K$11:$L$40,2,FALSE()),F1921),"?"))</f>
        <v/>
      </c>
      <c r="I1921" s="50" t="str">
        <f>IF(ISNUMBER(H1921),IF(COUNTIFS($D$2:D1921,D1921,$H$2:H1921,H1921)=1,1,0),"")</f>
        <v/>
      </c>
      <c r="J1921" s="50" t="str">
        <f>IF(ISNUMBER(H1921),IFERROR(INDEX(Calendrier!$C$2:$C$367,MATCH(H1921,Calendrier!$A$2:$A$367,0)),0),"")</f>
        <v/>
      </c>
      <c r="K1921" s="50" t="str">
        <f t="shared" si="149"/>
        <v/>
      </c>
      <c r="L1921" s="50" t="str">
        <f>IF(D1921="","",IF(COUNTIF(Paramètres!$A$11:$A$40,D1921)&gt;0,1,0))</f>
        <v/>
      </c>
    </row>
    <row r="1922" spans="1:12" hidden="1" x14ac:dyDescent="0.25">
      <c r="A1922" s="49"/>
      <c r="B1922" s="49"/>
      <c r="C1922" s="49"/>
      <c r="D1922" s="50" t="str">
        <f t="shared" ref="D1922:D1985" si="150">IF(B1922="","",TRIM(B1922))</f>
        <v/>
      </c>
      <c r="E1922" s="50" t="str">
        <f t="shared" ref="E1922:E1985" si="151">IF($C1922="","",LEFT($C1922,FIND(" ",$C1922)-1))</f>
        <v/>
      </c>
      <c r="F1922" s="50" t="str">
        <f t="shared" ref="F1922:F1985" si="152">IF($C1922="","",IFERROR(VALUE(LEFT(MID($C1922,FIND(" ",$C1922)+1,20),FIND(" ",MID($C1922,FIND(" ",$C1922)+1,20))-1)),"?"))</f>
        <v/>
      </c>
      <c r="G1922" s="50" t="str">
        <f t="shared" ref="G1922:G1985" si="153">IF($C1922="","",IFERROR(VALUE(MID(MID($C1922,FIND(" ",$C1922)+1,20),FIND(" ",MID($C1922,FIND(" ",$C1922)+1,20))+1,4)),"?"))</f>
        <v/>
      </c>
      <c r="H1922" s="51" t="str">
        <f>IF($C1922="","",IFERROR(DATE(G1922,VLOOKUP(E1922,Paramètres!$K$11:$L$40,2,FALSE()),F1922),"?"))</f>
        <v/>
      </c>
      <c r="I1922" s="50" t="str">
        <f>IF(ISNUMBER(H1922),IF(COUNTIFS($D$2:D1922,D1922,$H$2:H1922,H1922)=1,1,0),"")</f>
        <v/>
      </c>
      <c r="J1922" s="50" t="str">
        <f>IF(ISNUMBER(H1922),IFERROR(INDEX(Calendrier!$C$2:$C$367,MATCH(H1922,Calendrier!$A$2:$A$367,0)),0),"")</f>
        <v/>
      </c>
      <c r="K1922" s="50" t="str">
        <f t="shared" ref="K1922:K1985" si="154">IF(ISNUMBER(H1922),I1922*J1922,"")</f>
        <v/>
      </c>
      <c r="L1922" s="50" t="str">
        <f>IF(D1922="","",IF(COUNTIF(Paramètres!$A$11:$A$40,D1922)&gt;0,1,0))</f>
        <v/>
      </c>
    </row>
    <row r="1923" spans="1:12" hidden="1" x14ac:dyDescent="0.25">
      <c r="A1923" s="49"/>
      <c r="B1923" s="49"/>
      <c r="C1923" s="49"/>
      <c r="D1923" s="50" t="str">
        <f t="shared" si="150"/>
        <v/>
      </c>
      <c r="E1923" s="50" t="str">
        <f t="shared" si="151"/>
        <v/>
      </c>
      <c r="F1923" s="50" t="str">
        <f t="shared" si="152"/>
        <v/>
      </c>
      <c r="G1923" s="50" t="str">
        <f t="shared" si="153"/>
        <v/>
      </c>
      <c r="H1923" s="51" t="str">
        <f>IF($C1923="","",IFERROR(DATE(G1923,VLOOKUP(E1923,Paramètres!$K$11:$L$40,2,FALSE()),F1923),"?"))</f>
        <v/>
      </c>
      <c r="I1923" s="50" t="str">
        <f>IF(ISNUMBER(H1923),IF(COUNTIFS($D$2:D1923,D1923,$H$2:H1923,H1923)=1,1,0),"")</f>
        <v/>
      </c>
      <c r="J1923" s="50" t="str">
        <f>IF(ISNUMBER(H1923),IFERROR(INDEX(Calendrier!$C$2:$C$367,MATCH(H1923,Calendrier!$A$2:$A$367,0)),0),"")</f>
        <v/>
      </c>
      <c r="K1923" s="50" t="str">
        <f t="shared" si="154"/>
        <v/>
      </c>
      <c r="L1923" s="50" t="str">
        <f>IF(D1923="","",IF(COUNTIF(Paramètres!$A$11:$A$40,D1923)&gt;0,1,0))</f>
        <v/>
      </c>
    </row>
    <row r="1924" spans="1:12" hidden="1" x14ac:dyDescent="0.25">
      <c r="A1924" s="49"/>
      <c r="B1924" s="49"/>
      <c r="C1924" s="49"/>
      <c r="D1924" s="50" t="str">
        <f t="shared" si="150"/>
        <v/>
      </c>
      <c r="E1924" s="50" t="str">
        <f t="shared" si="151"/>
        <v/>
      </c>
      <c r="F1924" s="50" t="str">
        <f t="shared" si="152"/>
        <v/>
      </c>
      <c r="G1924" s="50" t="str">
        <f t="shared" si="153"/>
        <v/>
      </c>
      <c r="H1924" s="51" t="str">
        <f>IF($C1924="","",IFERROR(DATE(G1924,VLOOKUP(E1924,Paramètres!$K$11:$L$40,2,FALSE()),F1924),"?"))</f>
        <v/>
      </c>
      <c r="I1924" s="50" t="str">
        <f>IF(ISNUMBER(H1924),IF(COUNTIFS($D$2:D1924,D1924,$H$2:H1924,H1924)=1,1,0),"")</f>
        <v/>
      </c>
      <c r="J1924" s="50" t="str">
        <f>IF(ISNUMBER(H1924),IFERROR(INDEX(Calendrier!$C$2:$C$367,MATCH(H1924,Calendrier!$A$2:$A$367,0)),0),"")</f>
        <v/>
      </c>
      <c r="K1924" s="50" t="str">
        <f t="shared" si="154"/>
        <v/>
      </c>
      <c r="L1924" s="50" t="str">
        <f>IF(D1924="","",IF(COUNTIF(Paramètres!$A$11:$A$40,D1924)&gt;0,1,0))</f>
        <v/>
      </c>
    </row>
    <row r="1925" spans="1:12" hidden="1" x14ac:dyDescent="0.25">
      <c r="A1925" s="49"/>
      <c r="B1925" s="49"/>
      <c r="C1925" s="49"/>
      <c r="D1925" s="50" t="str">
        <f t="shared" si="150"/>
        <v/>
      </c>
      <c r="E1925" s="50" t="str">
        <f t="shared" si="151"/>
        <v/>
      </c>
      <c r="F1925" s="50" t="str">
        <f t="shared" si="152"/>
        <v/>
      </c>
      <c r="G1925" s="50" t="str">
        <f t="shared" si="153"/>
        <v/>
      </c>
      <c r="H1925" s="51" t="str">
        <f>IF($C1925="","",IFERROR(DATE(G1925,VLOOKUP(E1925,Paramètres!$K$11:$L$40,2,FALSE()),F1925),"?"))</f>
        <v/>
      </c>
      <c r="I1925" s="50" t="str">
        <f>IF(ISNUMBER(H1925),IF(COUNTIFS($D$2:D1925,D1925,$H$2:H1925,H1925)=1,1,0),"")</f>
        <v/>
      </c>
      <c r="J1925" s="50" t="str">
        <f>IF(ISNUMBER(H1925),IFERROR(INDEX(Calendrier!$C$2:$C$367,MATCH(H1925,Calendrier!$A$2:$A$367,0)),0),"")</f>
        <v/>
      </c>
      <c r="K1925" s="50" t="str">
        <f t="shared" si="154"/>
        <v/>
      </c>
      <c r="L1925" s="50" t="str">
        <f>IF(D1925="","",IF(COUNTIF(Paramètres!$A$11:$A$40,D1925)&gt;0,1,0))</f>
        <v/>
      </c>
    </row>
    <row r="1926" spans="1:12" hidden="1" x14ac:dyDescent="0.25">
      <c r="A1926" s="49"/>
      <c r="B1926" s="49"/>
      <c r="C1926" s="49"/>
      <c r="D1926" s="50" t="str">
        <f t="shared" si="150"/>
        <v/>
      </c>
      <c r="E1926" s="50" t="str">
        <f t="shared" si="151"/>
        <v/>
      </c>
      <c r="F1926" s="50" t="str">
        <f t="shared" si="152"/>
        <v/>
      </c>
      <c r="G1926" s="50" t="str">
        <f t="shared" si="153"/>
        <v/>
      </c>
      <c r="H1926" s="51" t="str">
        <f>IF($C1926="","",IFERROR(DATE(G1926,VLOOKUP(E1926,Paramètres!$K$11:$L$40,2,FALSE()),F1926),"?"))</f>
        <v/>
      </c>
      <c r="I1926" s="50" t="str">
        <f>IF(ISNUMBER(H1926),IF(COUNTIFS($D$2:D1926,D1926,$H$2:H1926,H1926)=1,1,0),"")</f>
        <v/>
      </c>
      <c r="J1926" s="50" t="str">
        <f>IF(ISNUMBER(H1926),IFERROR(INDEX(Calendrier!$C$2:$C$367,MATCH(H1926,Calendrier!$A$2:$A$367,0)),0),"")</f>
        <v/>
      </c>
      <c r="K1926" s="50" t="str">
        <f t="shared" si="154"/>
        <v/>
      </c>
      <c r="L1926" s="50" t="str">
        <f>IF(D1926="","",IF(COUNTIF(Paramètres!$A$11:$A$40,D1926)&gt;0,1,0))</f>
        <v/>
      </c>
    </row>
    <row r="1927" spans="1:12" hidden="1" x14ac:dyDescent="0.25">
      <c r="A1927" s="49"/>
      <c r="B1927" s="49"/>
      <c r="C1927" s="49"/>
      <c r="D1927" s="50" t="str">
        <f t="shared" si="150"/>
        <v/>
      </c>
      <c r="E1927" s="50" t="str">
        <f t="shared" si="151"/>
        <v/>
      </c>
      <c r="F1927" s="50" t="str">
        <f t="shared" si="152"/>
        <v/>
      </c>
      <c r="G1927" s="50" t="str">
        <f t="shared" si="153"/>
        <v/>
      </c>
      <c r="H1927" s="51" t="str">
        <f>IF($C1927="","",IFERROR(DATE(G1927,VLOOKUP(E1927,Paramètres!$K$11:$L$40,2,FALSE()),F1927),"?"))</f>
        <v/>
      </c>
      <c r="I1927" s="50" t="str">
        <f>IF(ISNUMBER(H1927),IF(COUNTIFS($D$2:D1927,D1927,$H$2:H1927,H1927)=1,1,0),"")</f>
        <v/>
      </c>
      <c r="J1927" s="50" t="str">
        <f>IF(ISNUMBER(H1927),IFERROR(INDEX(Calendrier!$C$2:$C$367,MATCH(H1927,Calendrier!$A$2:$A$367,0)),0),"")</f>
        <v/>
      </c>
      <c r="K1927" s="50" t="str">
        <f t="shared" si="154"/>
        <v/>
      </c>
      <c r="L1927" s="50" t="str">
        <f>IF(D1927="","",IF(COUNTIF(Paramètres!$A$11:$A$40,D1927)&gt;0,1,0))</f>
        <v/>
      </c>
    </row>
    <row r="1928" spans="1:12" hidden="1" x14ac:dyDescent="0.25">
      <c r="A1928" s="49"/>
      <c r="B1928" s="49"/>
      <c r="C1928" s="49"/>
      <c r="D1928" s="50" t="str">
        <f t="shared" si="150"/>
        <v/>
      </c>
      <c r="E1928" s="50" t="str">
        <f t="shared" si="151"/>
        <v/>
      </c>
      <c r="F1928" s="50" t="str">
        <f t="shared" si="152"/>
        <v/>
      </c>
      <c r="G1928" s="50" t="str">
        <f t="shared" si="153"/>
        <v/>
      </c>
      <c r="H1928" s="51" t="str">
        <f>IF($C1928="","",IFERROR(DATE(G1928,VLOOKUP(E1928,Paramètres!$K$11:$L$40,2,FALSE()),F1928),"?"))</f>
        <v/>
      </c>
      <c r="I1928" s="50" t="str">
        <f>IF(ISNUMBER(H1928),IF(COUNTIFS($D$2:D1928,D1928,$H$2:H1928,H1928)=1,1,0),"")</f>
        <v/>
      </c>
      <c r="J1928" s="50" t="str">
        <f>IF(ISNUMBER(H1928),IFERROR(INDEX(Calendrier!$C$2:$C$367,MATCH(H1928,Calendrier!$A$2:$A$367,0)),0),"")</f>
        <v/>
      </c>
      <c r="K1928" s="50" t="str">
        <f t="shared" si="154"/>
        <v/>
      </c>
      <c r="L1928" s="50" t="str">
        <f>IF(D1928="","",IF(COUNTIF(Paramètres!$A$11:$A$40,D1928)&gt;0,1,0))</f>
        <v/>
      </c>
    </row>
    <row r="1929" spans="1:12" hidden="1" x14ac:dyDescent="0.25">
      <c r="A1929" s="49"/>
      <c r="B1929" s="49"/>
      <c r="C1929" s="49"/>
      <c r="D1929" s="50" t="str">
        <f t="shared" si="150"/>
        <v/>
      </c>
      <c r="E1929" s="50" t="str">
        <f t="shared" si="151"/>
        <v/>
      </c>
      <c r="F1929" s="50" t="str">
        <f t="shared" si="152"/>
        <v/>
      </c>
      <c r="G1929" s="50" t="str">
        <f t="shared" si="153"/>
        <v/>
      </c>
      <c r="H1929" s="51" t="str">
        <f>IF($C1929="","",IFERROR(DATE(G1929,VLOOKUP(E1929,Paramètres!$K$11:$L$40,2,FALSE()),F1929),"?"))</f>
        <v/>
      </c>
      <c r="I1929" s="50" t="str">
        <f>IF(ISNUMBER(H1929),IF(COUNTIFS($D$2:D1929,D1929,$H$2:H1929,H1929)=1,1,0),"")</f>
        <v/>
      </c>
      <c r="J1929" s="50" t="str">
        <f>IF(ISNUMBER(H1929),IFERROR(INDEX(Calendrier!$C$2:$C$367,MATCH(H1929,Calendrier!$A$2:$A$367,0)),0),"")</f>
        <v/>
      </c>
      <c r="K1929" s="50" t="str">
        <f t="shared" si="154"/>
        <v/>
      </c>
      <c r="L1929" s="50" t="str">
        <f>IF(D1929="","",IF(COUNTIF(Paramètres!$A$11:$A$40,D1929)&gt;0,1,0))</f>
        <v/>
      </c>
    </row>
    <row r="1930" spans="1:12" hidden="1" x14ac:dyDescent="0.25">
      <c r="A1930" s="49"/>
      <c r="B1930" s="49"/>
      <c r="C1930" s="49"/>
      <c r="D1930" s="50" t="str">
        <f t="shared" si="150"/>
        <v/>
      </c>
      <c r="E1930" s="50" t="str">
        <f t="shared" si="151"/>
        <v/>
      </c>
      <c r="F1930" s="50" t="str">
        <f t="shared" si="152"/>
        <v/>
      </c>
      <c r="G1930" s="50" t="str">
        <f t="shared" si="153"/>
        <v/>
      </c>
      <c r="H1930" s="51" t="str">
        <f>IF($C1930="","",IFERROR(DATE(G1930,VLOOKUP(E1930,Paramètres!$K$11:$L$40,2,FALSE()),F1930),"?"))</f>
        <v/>
      </c>
      <c r="I1930" s="50" t="str">
        <f>IF(ISNUMBER(H1930),IF(COUNTIFS($D$2:D1930,D1930,$H$2:H1930,H1930)=1,1,0),"")</f>
        <v/>
      </c>
      <c r="J1930" s="50" t="str">
        <f>IF(ISNUMBER(H1930),IFERROR(INDEX(Calendrier!$C$2:$C$367,MATCH(H1930,Calendrier!$A$2:$A$367,0)),0),"")</f>
        <v/>
      </c>
      <c r="K1930" s="50" t="str">
        <f t="shared" si="154"/>
        <v/>
      </c>
      <c r="L1930" s="50" t="str">
        <f>IF(D1930="","",IF(COUNTIF(Paramètres!$A$11:$A$40,D1930)&gt;0,1,0))</f>
        <v/>
      </c>
    </row>
    <row r="1931" spans="1:12" hidden="1" x14ac:dyDescent="0.25">
      <c r="A1931" s="49"/>
      <c r="B1931" s="49"/>
      <c r="C1931" s="49"/>
      <c r="D1931" s="50" t="str">
        <f t="shared" si="150"/>
        <v/>
      </c>
      <c r="E1931" s="50" t="str">
        <f t="shared" si="151"/>
        <v/>
      </c>
      <c r="F1931" s="50" t="str">
        <f t="shared" si="152"/>
        <v/>
      </c>
      <c r="G1931" s="50" t="str">
        <f t="shared" si="153"/>
        <v/>
      </c>
      <c r="H1931" s="51" t="str">
        <f>IF($C1931="","",IFERROR(DATE(G1931,VLOOKUP(E1931,Paramètres!$K$11:$L$40,2,FALSE()),F1931),"?"))</f>
        <v/>
      </c>
      <c r="I1931" s="50" t="str">
        <f>IF(ISNUMBER(H1931),IF(COUNTIFS($D$2:D1931,D1931,$H$2:H1931,H1931)=1,1,0),"")</f>
        <v/>
      </c>
      <c r="J1931" s="50" t="str">
        <f>IF(ISNUMBER(H1931),IFERROR(INDEX(Calendrier!$C$2:$C$367,MATCH(H1931,Calendrier!$A$2:$A$367,0)),0),"")</f>
        <v/>
      </c>
      <c r="K1931" s="50" t="str">
        <f t="shared" si="154"/>
        <v/>
      </c>
      <c r="L1931" s="50" t="str">
        <f>IF(D1931="","",IF(COUNTIF(Paramètres!$A$11:$A$40,D1931)&gt;0,1,0))</f>
        <v/>
      </c>
    </row>
    <row r="1932" spans="1:12" hidden="1" x14ac:dyDescent="0.25">
      <c r="A1932" s="49"/>
      <c r="B1932" s="49"/>
      <c r="C1932" s="49"/>
      <c r="D1932" s="50" t="str">
        <f t="shared" si="150"/>
        <v/>
      </c>
      <c r="E1932" s="50" t="str">
        <f t="shared" si="151"/>
        <v/>
      </c>
      <c r="F1932" s="50" t="str">
        <f t="shared" si="152"/>
        <v/>
      </c>
      <c r="G1932" s="50" t="str">
        <f t="shared" si="153"/>
        <v/>
      </c>
      <c r="H1932" s="51" t="str">
        <f>IF($C1932="","",IFERROR(DATE(G1932,VLOOKUP(E1932,Paramètres!$K$11:$L$40,2,FALSE()),F1932),"?"))</f>
        <v/>
      </c>
      <c r="I1932" s="50" t="str">
        <f>IF(ISNUMBER(H1932),IF(COUNTIFS($D$2:D1932,D1932,$H$2:H1932,H1932)=1,1,0),"")</f>
        <v/>
      </c>
      <c r="J1932" s="50" t="str">
        <f>IF(ISNUMBER(H1932),IFERROR(INDEX(Calendrier!$C$2:$C$367,MATCH(H1932,Calendrier!$A$2:$A$367,0)),0),"")</f>
        <v/>
      </c>
      <c r="K1932" s="50" t="str">
        <f t="shared" si="154"/>
        <v/>
      </c>
      <c r="L1932" s="50" t="str">
        <f>IF(D1932="","",IF(COUNTIF(Paramètres!$A$11:$A$40,D1932)&gt;0,1,0))</f>
        <v/>
      </c>
    </row>
    <row r="1933" spans="1:12" hidden="1" x14ac:dyDescent="0.25">
      <c r="A1933" s="49"/>
      <c r="B1933" s="49"/>
      <c r="C1933" s="49"/>
      <c r="D1933" s="50" t="str">
        <f t="shared" si="150"/>
        <v/>
      </c>
      <c r="E1933" s="50" t="str">
        <f t="shared" si="151"/>
        <v/>
      </c>
      <c r="F1933" s="50" t="str">
        <f t="shared" si="152"/>
        <v/>
      </c>
      <c r="G1933" s="50" t="str">
        <f t="shared" si="153"/>
        <v/>
      </c>
      <c r="H1933" s="51" t="str">
        <f>IF($C1933="","",IFERROR(DATE(G1933,VLOOKUP(E1933,Paramètres!$K$11:$L$40,2,FALSE()),F1933),"?"))</f>
        <v/>
      </c>
      <c r="I1933" s="50" t="str">
        <f>IF(ISNUMBER(H1933),IF(COUNTIFS($D$2:D1933,D1933,$H$2:H1933,H1933)=1,1,0),"")</f>
        <v/>
      </c>
      <c r="J1933" s="50" t="str">
        <f>IF(ISNUMBER(H1933),IFERROR(INDEX(Calendrier!$C$2:$C$367,MATCH(H1933,Calendrier!$A$2:$A$367,0)),0),"")</f>
        <v/>
      </c>
      <c r="K1933" s="50" t="str">
        <f t="shared" si="154"/>
        <v/>
      </c>
      <c r="L1933" s="50" t="str">
        <f>IF(D1933="","",IF(COUNTIF(Paramètres!$A$11:$A$40,D1933)&gt;0,1,0))</f>
        <v/>
      </c>
    </row>
    <row r="1934" spans="1:12" hidden="1" x14ac:dyDescent="0.25">
      <c r="A1934" s="49"/>
      <c r="B1934" s="49"/>
      <c r="C1934" s="49"/>
      <c r="D1934" s="50" t="str">
        <f t="shared" si="150"/>
        <v/>
      </c>
      <c r="E1934" s="50" t="str">
        <f t="shared" si="151"/>
        <v/>
      </c>
      <c r="F1934" s="50" t="str">
        <f t="shared" si="152"/>
        <v/>
      </c>
      <c r="G1934" s="50" t="str">
        <f t="shared" si="153"/>
        <v/>
      </c>
      <c r="H1934" s="51" t="str">
        <f>IF($C1934="","",IFERROR(DATE(G1934,VLOOKUP(E1934,Paramètres!$K$11:$L$40,2,FALSE()),F1934),"?"))</f>
        <v/>
      </c>
      <c r="I1934" s="50" t="str">
        <f>IF(ISNUMBER(H1934),IF(COUNTIFS($D$2:D1934,D1934,$H$2:H1934,H1934)=1,1,0),"")</f>
        <v/>
      </c>
      <c r="J1934" s="50" t="str">
        <f>IF(ISNUMBER(H1934),IFERROR(INDEX(Calendrier!$C$2:$C$367,MATCH(H1934,Calendrier!$A$2:$A$367,0)),0),"")</f>
        <v/>
      </c>
      <c r="K1934" s="50" t="str">
        <f t="shared" si="154"/>
        <v/>
      </c>
      <c r="L1934" s="50" t="str">
        <f>IF(D1934="","",IF(COUNTIF(Paramètres!$A$11:$A$40,D1934)&gt;0,1,0))</f>
        <v/>
      </c>
    </row>
    <row r="1935" spans="1:12" hidden="1" x14ac:dyDescent="0.25">
      <c r="A1935" s="49"/>
      <c r="B1935" s="49"/>
      <c r="C1935" s="49"/>
      <c r="D1935" s="50" t="str">
        <f t="shared" si="150"/>
        <v/>
      </c>
      <c r="E1935" s="50" t="str">
        <f t="shared" si="151"/>
        <v/>
      </c>
      <c r="F1935" s="50" t="str">
        <f t="shared" si="152"/>
        <v/>
      </c>
      <c r="G1935" s="50" t="str">
        <f t="shared" si="153"/>
        <v/>
      </c>
      <c r="H1935" s="51" t="str">
        <f>IF($C1935="","",IFERROR(DATE(G1935,VLOOKUP(E1935,Paramètres!$K$11:$L$40,2,FALSE()),F1935),"?"))</f>
        <v/>
      </c>
      <c r="I1935" s="50" t="str">
        <f>IF(ISNUMBER(H1935),IF(COUNTIFS($D$2:D1935,D1935,$H$2:H1935,H1935)=1,1,0),"")</f>
        <v/>
      </c>
      <c r="J1935" s="50" t="str">
        <f>IF(ISNUMBER(H1935),IFERROR(INDEX(Calendrier!$C$2:$C$367,MATCH(H1935,Calendrier!$A$2:$A$367,0)),0),"")</f>
        <v/>
      </c>
      <c r="K1935" s="50" t="str">
        <f t="shared" si="154"/>
        <v/>
      </c>
      <c r="L1935" s="50" t="str">
        <f>IF(D1935="","",IF(COUNTIF(Paramètres!$A$11:$A$40,D1935)&gt;0,1,0))</f>
        <v/>
      </c>
    </row>
    <row r="1936" spans="1:12" hidden="1" x14ac:dyDescent="0.25">
      <c r="A1936" s="49"/>
      <c r="B1936" s="49"/>
      <c r="C1936" s="49"/>
      <c r="D1936" s="50" t="str">
        <f t="shared" si="150"/>
        <v/>
      </c>
      <c r="E1936" s="50" t="str">
        <f t="shared" si="151"/>
        <v/>
      </c>
      <c r="F1936" s="50" t="str">
        <f t="shared" si="152"/>
        <v/>
      </c>
      <c r="G1936" s="50" t="str">
        <f t="shared" si="153"/>
        <v/>
      </c>
      <c r="H1936" s="51" t="str">
        <f>IF($C1936="","",IFERROR(DATE(G1936,VLOOKUP(E1936,Paramètres!$K$11:$L$40,2,FALSE()),F1936),"?"))</f>
        <v/>
      </c>
      <c r="I1936" s="50" t="str">
        <f>IF(ISNUMBER(H1936),IF(COUNTIFS($D$2:D1936,D1936,$H$2:H1936,H1936)=1,1,0),"")</f>
        <v/>
      </c>
      <c r="J1936" s="50" t="str">
        <f>IF(ISNUMBER(H1936),IFERROR(INDEX(Calendrier!$C$2:$C$367,MATCH(H1936,Calendrier!$A$2:$A$367,0)),0),"")</f>
        <v/>
      </c>
      <c r="K1936" s="50" t="str">
        <f t="shared" si="154"/>
        <v/>
      </c>
      <c r="L1936" s="50" t="str">
        <f>IF(D1936="","",IF(COUNTIF(Paramètres!$A$11:$A$40,D1936)&gt;0,1,0))</f>
        <v/>
      </c>
    </row>
    <row r="1937" spans="1:12" hidden="1" x14ac:dyDescent="0.25">
      <c r="A1937" s="49"/>
      <c r="B1937" s="49"/>
      <c r="C1937" s="49"/>
      <c r="D1937" s="50" t="str">
        <f t="shared" si="150"/>
        <v/>
      </c>
      <c r="E1937" s="50" t="str">
        <f t="shared" si="151"/>
        <v/>
      </c>
      <c r="F1937" s="50" t="str">
        <f t="shared" si="152"/>
        <v/>
      </c>
      <c r="G1937" s="50" t="str">
        <f t="shared" si="153"/>
        <v/>
      </c>
      <c r="H1937" s="51" t="str">
        <f>IF($C1937="","",IFERROR(DATE(G1937,VLOOKUP(E1937,Paramètres!$K$11:$L$40,2,FALSE()),F1937),"?"))</f>
        <v/>
      </c>
      <c r="I1937" s="50" t="str">
        <f>IF(ISNUMBER(H1937),IF(COUNTIFS($D$2:D1937,D1937,$H$2:H1937,H1937)=1,1,0),"")</f>
        <v/>
      </c>
      <c r="J1937" s="50" t="str">
        <f>IF(ISNUMBER(H1937),IFERROR(INDEX(Calendrier!$C$2:$C$367,MATCH(H1937,Calendrier!$A$2:$A$367,0)),0),"")</f>
        <v/>
      </c>
      <c r="K1937" s="50" t="str">
        <f t="shared" si="154"/>
        <v/>
      </c>
      <c r="L1937" s="50" t="str">
        <f>IF(D1937="","",IF(COUNTIF(Paramètres!$A$11:$A$40,D1937)&gt;0,1,0))</f>
        <v/>
      </c>
    </row>
    <row r="1938" spans="1:12" hidden="1" x14ac:dyDescent="0.25">
      <c r="A1938" s="49"/>
      <c r="B1938" s="49"/>
      <c r="C1938" s="49"/>
      <c r="D1938" s="50" t="str">
        <f t="shared" si="150"/>
        <v/>
      </c>
      <c r="E1938" s="50" t="str">
        <f t="shared" si="151"/>
        <v/>
      </c>
      <c r="F1938" s="50" t="str">
        <f t="shared" si="152"/>
        <v/>
      </c>
      <c r="G1938" s="50" t="str">
        <f t="shared" si="153"/>
        <v/>
      </c>
      <c r="H1938" s="51" t="str">
        <f>IF($C1938="","",IFERROR(DATE(G1938,VLOOKUP(E1938,Paramètres!$K$11:$L$40,2,FALSE()),F1938),"?"))</f>
        <v/>
      </c>
      <c r="I1938" s="50" t="str">
        <f>IF(ISNUMBER(H1938),IF(COUNTIFS($D$2:D1938,D1938,$H$2:H1938,H1938)=1,1,0),"")</f>
        <v/>
      </c>
      <c r="J1938" s="50" t="str">
        <f>IF(ISNUMBER(H1938),IFERROR(INDEX(Calendrier!$C$2:$C$367,MATCH(H1938,Calendrier!$A$2:$A$367,0)),0),"")</f>
        <v/>
      </c>
      <c r="K1938" s="50" t="str">
        <f t="shared" si="154"/>
        <v/>
      </c>
      <c r="L1938" s="50" t="str">
        <f>IF(D1938="","",IF(COUNTIF(Paramètres!$A$11:$A$40,D1938)&gt;0,1,0))</f>
        <v/>
      </c>
    </row>
    <row r="1939" spans="1:12" hidden="1" x14ac:dyDescent="0.25">
      <c r="A1939" s="49"/>
      <c r="B1939" s="49"/>
      <c r="C1939" s="49"/>
      <c r="D1939" s="50" t="str">
        <f t="shared" si="150"/>
        <v/>
      </c>
      <c r="E1939" s="50" t="str">
        <f t="shared" si="151"/>
        <v/>
      </c>
      <c r="F1939" s="50" t="str">
        <f t="shared" si="152"/>
        <v/>
      </c>
      <c r="G1939" s="50" t="str">
        <f t="shared" si="153"/>
        <v/>
      </c>
      <c r="H1939" s="51" t="str">
        <f>IF($C1939="","",IFERROR(DATE(G1939,VLOOKUP(E1939,Paramètres!$K$11:$L$40,2,FALSE()),F1939),"?"))</f>
        <v/>
      </c>
      <c r="I1939" s="50" t="str">
        <f>IF(ISNUMBER(H1939),IF(COUNTIFS($D$2:D1939,D1939,$H$2:H1939,H1939)=1,1,0),"")</f>
        <v/>
      </c>
      <c r="J1939" s="50" t="str">
        <f>IF(ISNUMBER(H1939),IFERROR(INDEX(Calendrier!$C$2:$C$367,MATCH(H1939,Calendrier!$A$2:$A$367,0)),0),"")</f>
        <v/>
      </c>
      <c r="K1939" s="50" t="str">
        <f t="shared" si="154"/>
        <v/>
      </c>
      <c r="L1939" s="50" t="str">
        <f>IF(D1939="","",IF(COUNTIF(Paramètres!$A$11:$A$40,D1939)&gt;0,1,0))</f>
        <v/>
      </c>
    </row>
    <row r="1940" spans="1:12" hidden="1" x14ac:dyDescent="0.25">
      <c r="A1940" s="49"/>
      <c r="B1940" s="49"/>
      <c r="C1940" s="49"/>
      <c r="D1940" s="50" t="str">
        <f t="shared" si="150"/>
        <v/>
      </c>
      <c r="E1940" s="50" t="str">
        <f t="shared" si="151"/>
        <v/>
      </c>
      <c r="F1940" s="50" t="str">
        <f t="shared" si="152"/>
        <v/>
      </c>
      <c r="G1940" s="50" t="str">
        <f t="shared" si="153"/>
        <v/>
      </c>
      <c r="H1940" s="51" t="str">
        <f>IF($C1940="","",IFERROR(DATE(G1940,VLOOKUP(E1940,Paramètres!$K$11:$L$40,2,FALSE()),F1940),"?"))</f>
        <v/>
      </c>
      <c r="I1940" s="50" t="str">
        <f>IF(ISNUMBER(H1940),IF(COUNTIFS($D$2:D1940,D1940,$H$2:H1940,H1940)=1,1,0),"")</f>
        <v/>
      </c>
      <c r="J1940" s="50" t="str">
        <f>IF(ISNUMBER(H1940),IFERROR(INDEX(Calendrier!$C$2:$C$367,MATCH(H1940,Calendrier!$A$2:$A$367,0)),0),"")</f>
        <v/>
      </c>
      <c r="K1940" s="50" t="str">
        <f t="shared" si="154"/>
        <v/>
      </c>
      <c r="L1940" s="50" t="str">
        <f>IF(D1940="","",IF(COUNTIF(Paramètres!$A$11:$A$40,D1940)&gt;0,1,0))</f>
        <v/>
      </c>
    </row>
    <row r="1941" spans="1:12" hidden="1" x14ac:dyDescent="0.25">
      <c r="A1941" s="49"/>
      <c r="B1941" s="49"/>
      <c r="C1941" s="49"/>
      <c r="D1941" s="50" t="str">
        <f t="shared" si="150"/>
        <v/>
      </c>
      <c r="E1941" s="50" t="str">
        <f t="shared" si="151"/>
        <v/>
      </c>
      <c r="F1941" s="50" t="str">
        <f t="shared" si="152"/>
        <v/>
      </c>
      <c r="G1941" s="50" t="str">
        <f t="shared" si="153"/>
        <v/>
      </c>
      <c r="H1941" s="51" t="str">
        <f>IF($C1941="","",IFERROR(DATE(G1941,VLOOKUP(E1941,Paramètres!$K$11:$L$40,2,FALSE()),F1941),"?"))</f>
        <v/>
      </c>
      <c r="I1941" s="50" t="str">
        <f>IF(ISNUMBER(H1941),IF(COUNTIFS($D$2:D1941,D1941,$H$2:H1941,H1941)=1,1,0),"")</f>
        <v/>
      </c>
      <c r="J1941" s="50" t="str">
        <f>IF(ISNUMBER(H1941),IFERROR(INDEX(Calendrier!$C$2:$C$367,MATCH(H1941,Calendrier!$A$2:$A$367,0)),0),"")</f>
        <v/>
      </c>
      <c r="K1941" s="50" t="str">
        <f t="shared" si="154"/>
        <v/>
      </c>
      <c r="L1941" s="50" t="str">
        <f>IF(D1941="","",IF(COUNTIF(Paramètres!$A$11:$A$40,D1941)&gt;0,1,0))</f>
        <v/>
      </c>
    </row>
    <row r="1942" spans="1:12" hidden="1" x14ac:dyDescent="0.25">
      <c r="A1942" s="49"/>
      <c r="B1942" s="49"/>
      <c r="C1942" s="49"/>
      <c r="D1942" s="50" t="str">
        <f t="shared" si="150"/>
        <v/>
      </c>
      <c r="E1942" s="50" t="str">
        <f t="shared" si="151"/>
        <v/>
      </c>
      <c r="F1942" s="50" t="str">
        <f t="shared" si="152"/>
        <v/>
      </c>
      <c r="G1942" s="50" t="str">
        <f t="shared" si="153"/>
        <v/>
      </c>
      <c r="H1942" s="51" t="str">
        <f>IF($C1942="","",IFERROR(DATE(G1942,VLOOKUP(E1942,Paramètres!$K$11:$L$40,2,FALSE()),F1942),"?"))</f>
        <v/>
      </c>
      <c r="I1942" s="50" t="str">
        <f>IF(ISNUMBER(H1942),IF(COUNTIFS($D$2:D1942,D1942,$H$2:H1942,H1942)=1,1,0),"")</f>
        <v/>
      </c>
      <c r="J1942" s="50" t="str">
        <f>IF(ISNUMBER(H1942),IFERROR(INDEX(Calendrier!$C$2:$C$367,MATCH(H1942,Calendrier!$A$2:$A$367,0)),0),"")</f>
        <v/>
      </c>
      <c r="K1942" s="50" t="str">
        <f t="shared" si="154"/>
        <v/>
      </c>
      <c r="L1942" s="50" t="str">
        <f>IF(D1942="","",IF(COUNTIF(Paramètres!$A$11:$A$40,D1942)&gt;0,1,0))</f>
        <v/>
      </c>
    </row>
    <row r="1943" spans="1:12" hidden="1" x14ac:dyDescent="0.25">
      <c r="A1943" s="49"/>
      <c r="B1943" s="49"/>
      <c r="C1943" s="49"/>
      <c r="D1943" s="50" t="str">
        <f t="shared" si="150"/>
        <v/>
      </c>
      <c r="E1943" s="50" t="str">
        <f t="shared" si="151"/>
        <v/>
      </c>
      <c r="F1943" s="50" t="str">
        <f t="shared" si="152"/>
        <v/>
      </c>
      <c r="G1943" s="50" t="str">
        <f t="shared" si="153"/>
        <v/>
      </c>
      <c r="H1943" s="51" t="str">
        <f>IF($C1943="","",IFERROR(DATE(G1943,VLOOKUP(E1943,Paramètres!$K$11:$L$40,2,FALSE()),F1943),"?"))</f>
        <v/>
      </c>
      <c r="I1943" s="50" t="str">
        <f>IF(ISNUMBER(H1943),IF(COUNTIFS($D$2:D1943,D1943,$H$2:H1943,H1943)=1,1,0),"")</f>
        <v/>
      </c>
      <c r="J1943" s="50" t="str">
        <f>IF(ISNUMBER(H1943),IFERROR(INDEX(Calendrier!$C$2:$C$367,MATCH(H1943,Calendrier!$A$2:$A$367,0)),0),"")</f>
        <v/>
      </c>
      <c r="K1943" s="50" t="str">
        <f t="shared" si="154"/>
        <v/>
      </c>
      <c r="L1943" s="50" t="str">
        <f>IF(D1943="","",IF(COUNTIF(Paramètres!$A$11:$A$40,D1943)&gt;0,1,0))</f>
        <v/>
      </c>
    </row>
    <row r="1944" spans="1:12" hidden="1" x14ac:dyDescent="0.25">
      <c r="A1944" s="49"/>
      <c r="B1944" s="49"/>
      <c r="C1944" s="49"/>
      <c r="D1944" s="50" t="str">
        <f t="shared" si="150"/>
        <v/>
      </c>
      <c r="E1944" s="50" t="str">
        <f t="shared" si="151"/>
        <v/>
      </c>
      <c r="F1944" s="50" t="str">
        <f t="shared" si="152"/>
        <v/>
      </c>
      <c r="G1944" s="50" t="str">
        <f t="shared" si="153"/>
        <v/>
      </c>
      <c r="H1944" s="51" t="str">
        <f>IF($C1944="","",IFERROR(DATE(G1944,VLOOKUP(E1944,Paramètres!$K$11:$L$40,2,FALSE()),F1944),"?"))</f>
        <v/>
      </c>
      <c r="I1944" s="50" t="str">
        <f>IF(ISNUMBER(H1944),IF(COUNTIFS($D$2:D1944,D1944,$H$2:H1944,H1944)=1,1,0),"")</f>
        <v/>
      </c>
      <c r="J1944" s="50" t="str">
        <f>IF(ISNUMBER(H1944),IFERROR(INDEX(Calendrier!$C$2:$C$367,MATCH(H1944,Calendrier!$A$2:$A$367,0)),0),"")</f>
        <v/>
      </c>
      <c r="K1944" s="50" t="str">
        <f t="shared" si="154"/>
        <v/>
      </c>
      <c r="L1944" s="50" t="str">
        <f>IF(D1944="","",IF(COUNTIF(Paramètres!$A$11:$A$40,D1944)&gt;0,1,0))</f>
        <v/>
      </c>
    </row>
    <row r="1945" spans="1:12" hidden="1" x14ac:dyDescent="0.25">
      <c r="A1945" s="49"/>
      <c r="B1945" s="49"/>
      <c r="C1945" s="49"/>
      <c r="D1945" s="50" t="str">
        <f t="shared" si="150"/>
        <v/>
      </c>
      <c r="E1945" s="50" t="str">
        <f t="shared" si="151"/>
        <v/>
      </c>
      <c r="F1945" s="50" t="str">
        <f t="shared" si="152"/>
        <v/>
      </c>
      <c r="G1945" s="50" t="str">
        <f t="shared" si="153"/>
        <v/>
      </c>
      <c r="H1945" s="51" t="str">
        <f>IF($C1945="","",IFERROR(DATE(G1945,VLOOKUP(E1945,Paramètres!$K$11:$L$40,2,FALSE()),F1945),"?"))</f>
        <v/>
      </c>
      <c r="I1945" s="50" t="str">
        <f>IF(ISNUMBER(H1945),IF(COUNTIFS($D$2:D1945,D1945,$H$2:H1945,H1945)=1,1,0),"")</f>
        <v/>
      </c>
      <c r="J1945" s="50" t="str">
        <f>IF(ISNUMBER(H1945),IFERROR(INDEX(Calendrier!$C$2:$C$367,MATCH(H1945,Calendrier!$A$2:$A$367,0)),0),"")</f>
        <v/>
      </c>
      <c r="K1945" s="50" t="str">
        <f t="shared" si="154"/>
        <v/>
      </c>
      <c r="L1945" s="50" t="str">
        <f>IF(D1945="","",IF(COUNTIF(Paramètres!$A$11:$A$40,D1945)&gt;0,1,0))</f>
        <v/>
      </c>
    </row>
    <row r="1946" spans="1:12" hidden="1" x14ac:dyDescent="0.25">
      <c r="A1946" s="49"/>
      <c r="B1946" s="49"/>
      <c r="C1946" s="49"/>
      <c r="D1946" s="50" t="str">
        <f t="shared" si="150"/>
        <v/>
      </c>
      <c r="E1946" s="50" t="str">
        <f t="shared" si="151"/>
        <v/>
      </c>
      <c r="F1946" s="50" t="str">
        <f t="shared" si="152"/>
        <v/>
      </c>
      <c r="G1946" s="50" t="str">
        <f t="shared" si="153"/>
        <v/>
      </c>
      <c r="H1946" s="51" t="str">
        <f>IF($C1946="","",IFERROR(DATE(G1946,VLOOKUP(E1946,Paramètres!$K$11:$L$40,2,FALSE()),F1946),"?"))</f>
        <v/>
      </c>
      <c r="I1946" s="50" t="str">
        <f>IF(ISNUMBER(H1946),IF(COUNTIFS($D$2:D1946,D1946,$H$2:H1946,H1946)=1,1,0),"")</f>
        <v/>
      </c>
      <c r="J1946" s="50" t="str">
        <f>IF(ISNUMBER(H1946),IFERROR(INDEX(Calendrier!$C$2:$C$367,MATCH(H1946,Calendrier!$A$2:$A$367,0)),0),"")</f>
        <v/>
      </c>
      <c r="K1946" s="50" t="str">
        <f t="shared" si="154"/>
        <v/>
      </c>
      <c r="L1946" s="50" t="str">
        <f>IF(D1946="","",IF(COUNTIF(Paramètres!$A$11:$A$40,D1946)&gt;0,1,0))</f>
        <v/>
      </c>
    </row>
    <row r="1947" spans="1:12" hidden="1" x14ac:dyDescent="0.25">
      <c r="A1947" s="49"/>
      <c r="B1947" s="49"/>
      <c r="C1947" s="49"/>
      <c r="D1947" s="50" t="str">
        <f t="shared" si="150"/>
        <v/>
      </c>
      <c r="E1947" s="50" t="str">
        <f t="shared" si="151"/>
        <v/>
      </c>
      <c r="F1947" s="50" t="str">
        <f t="shared" si="152"/>
        <v/>
      </c>
      <c r="G1947" s="50" t="str">
        <f t="shared" si="153"/>
        <v/>
      </c>
      <c r="H1947" s="51" t="str">
        <f>IF($C1947="","",IFERROR(DATE(G1947,VLOOKUP(E1947,Paramètres!$K$11:$L$40,2,FALSE()),F1947),"?"))</f>
        <v/>
      </c>
      <c r="I1947" s="50" t="str">
        <f>IF(ISNUMBER(H1947),IF(COUNTIFS($D$2:D1947,D1947,$H$2:H1947,H1947)=1,1,0),"")</f>
        <v/>
      </c>
      <c r="J1947" s="50" t="str">
        <f>IF(ISNUMBER(H1947),IFERROR(INDEX(Calendrier!$C$2:$C$367,MATCH(H1947,Calendrier!$A$2:$A$367,0)),0),"")</f>
        <v/>
      </c>
      <c r="K1947" s="50" t="str">
        <f t="shared" si="154"/>
        <v/>
      </c>
      <c r="L1947" s="50" t="str">
        <f>IF(D1947="","",IF(COUNTIF(Paramètres!$A$11:$A$40,D1947)&gt;0,1,0))</f>
        <v/>
      </c>
    </row>
    <row r="1948" spans="1:12" hidden="1" x14ac:dyDescent="0.25">
      <c r="A1948" s="49"/>
      <c r="B1948" s="49"/>
      <c r="C1948" s="49"/>
      <c r="D1948" s="50" t="str">
        <f t="shared" si="150"/>
        <v/>
      </c>
      <c r="E1948" s="50" t="str">
        <f t="shared" si="151"/>
        <v/>
      </c>
      <c r="F1948" s="50" t="str">
        <f t="shared" si="152"/>
        <v/>
      </c>
      <c r="G1948" s="50" t="str">
        <f t="shared" si="153"/>
        <v/>
      </c>
      <c r="H1948" s="51" t="str">
        <f>IF($C1948="","",IFERROR(DATE(G1948,VLOOKUP(E1948,Paramètres!$K$11:$L$40,2,FALSE()),F1948),"?"))</f>
        <v/>
      </c>
      <c r="I1948" s="50" t="str">
        <f>IF(ISNUMBER(H1948),IF(COUNTIFS($D$2:D1948,D1948,$H$2:H1948,H1948)=1,1,0),"")</f>
        <v/>
      </c>
      <c r="J1948" s="50" t="str">
        <f>IF(ISNUMBER(H1948),IFERROR(INDEX(Calendrier!$C$2:$C$367,MATCH(H1948,Calendrier!$A$2:$A$367,0)),0),"")</f>
        <v/>
      </c>
      <c r="K1948" s="50" t="str">
        <f t="shared" si="154"/>
        <v/>
      </c>
      <c r="L1948" s="50" t="str">
        <f>IF(D1948="","",IF(COUNTIF(Paramètres!$A$11:$A$40,D1948)&gt;0,1,0))</f>
        <v/>
      </c>
    </row>
    <row r="1949" spans="1:12" hidden="1" x14ac:dyDescent="0.25">
      <c r="A1949" s="49"/>
      <c r="B1949" s="49"/>
      <c r="C1949" s="49"/>
      <c r="D1949" s="50" t="str">
        <f t="shared" si="150"/>
        <v/>
      </c>
      <c r="E1949" s="50" t="str">
        <f t="shared" si="151"/>
        <v/>
      </c>
      <c r="F1949" s="50" t="str">
        <f t="shared" si="152"/>
        <v/>
      </c>
      <c r="G1949" s="50" t="str">
        <f t="shared" si="153"/>
        <v/>
      </c>
      <c r="H1949" s="51" t="str">
        <f>IF($C1949="","",IFERROR(DATE(G1949,VLOOKUP(E1949,Paramètres!$K$11:$L$40,2,FALSE()),F1949),"?"))</f>
        <v/>
      </c>
      <c r="I1949" s="50" t="str">
        <f>IF(ISNUMBER(H1949),IF(COUNTIFS($D$2:D1949,D1949,$H$2:H1949,H1949)=1,1,0),"")</f>
        <v/>
      </c>
      <c r="J1949" s="50" t="str">
        <f>IF(ISNUMBER(H1949),IFERROR(INDEX(Calendrier!$C$2:$C$367,MATCH(H1949,Calendrier!$A$2:$A$367,0)),0),"")</f>
        <v/>
      </c>
      <c r="K1949" s="50" t="str">
        <f t="shared" si="154"/>
        <v/>
      </c>
      <c r="L1949" s="50" t="str">
        <f>IF(D1949="","",IF(COUNTIF(Paramètres!$A$11:$A$40,D1949)&gt;0,1,0))</f>
        <v/>
      </c>
    </row>
    <row r="1950" spans="1:12" hidden="1" x14ac:dyDescent="0.25">
      <c r="A1950" s="49"/>
      <c r="B1950" s="49"/>
      <c r="C1950" s="49"/>
      <c r="D1950" s="50" t="str">
        <f t="shared" si="150"/>
        <v/>
      </c>
      <c r="E1950" s="50" t="str">
        <f t="shared" si="151"/>
        <v/>
      </c>
      <c r="F1950" s="50" t="str">
        <f t="shared" si="152"/>
        <v/>
      </c>
      <c r="G1950" s="50" t="str">
        <f t="shared" si="153"/>
        <v/>
      </c>
      <c r="H1950" s="51" t="str">
        <f>IF($C1950="","",IFERROR(DATE(G1950,VLOOKUP(E1950,Paramètres!$K$11:$L$40,2,FALSE()),F1950),"?"))</f>
        <v/>
      </c>
      <c r="I1950" s="50" t="str">
        <f>IF(ISNUMBER(H1950),IF(COUNTIFS($D$2:D1950,D1950,$H$2:H1950,H1950)=1,1,0),"")</f>
        <v/>
      </c>
      <c r="J1950" s="50" t="str">
        <f>IF(ISNUMBER(H1950),IFERROR(INDEX(Calendrier!$C$2:$C$367,MATCH(H1950,Calendrier!$A$2:$A$367,0)),0),"")</f>
        <v/>
      </c>
      <c r="K1950" s="50" t="str">
        <f t="shared" si="154"/>
        <v/>
      </c>
      <c r="L1950" s="50" t="str">
        <f>IF(D1950="","",IF(COUNTIF(Paramètres!$A$11:$A$40,D1950)&gt;0,1,0))</f>
        <v/>
      </c>
    </row>
    <row r="1951" spans="1:12" hidden="1" x14ac:dyDescent="0.25">
      <c r="A1951" s="49"/>
      <c r="B1951" s="49"/>
      <c r="C1951" s="49"/>
      <c r="D1951" s="50" t="str">
        <f t="shared" si="150"/>
        <v/>
      </c>
      <c r="E1951" s="50" t="str">
        <f t="shared" si="151"/>
        <v/>
      </c>
      <c r="F1951" s="50" t="str">
        <f t="shared" si="152"/>
        <v/>
      </c>
      <c r="G1951" s="50" t="str">
        <f t="shared" si="153"/>
        <v/>
      </c>
      <c r="H1951" s="51" t="str">
        <f>IF($C1951="","",IFERROR(DATE(G1951,VLOOKUP(E1951,Paramètres!$K$11:$L$40,2,FALSE()),F1951),"?"))</f>
        <v/>
      </c>
      <c r="I1951" s="50" t="str">
        <f>IF(ISNUMBER(H1951),IF(COUNTIFS($D$2:D1951,D1951,$H$2:H1951,H1951)=1,1,0),"")</f>
        <v/>
      </c>
      <c r="J1951" s="50" t="str">
        <f>IF(ISNUMBER(H1951),IFERROR(INDEX(Calendrier!$C$2:$C$367,MATCH(H1951,Calendrier!$A$2:$A$367,0)),0),"")</f>
        <v/>
      </c>
      <c r="K1951" s="50" t="str">
        <f t="shared" si="154"/>
        <v/>
      </c>
      <c r="L1951" s="50" t="str">
        <f>IF(D1951="","",IF(COUNTIF(Paramètres!$A$11:$A$40,D1951)&gt;0,1,0))</f>
        <v/>
      </c>
    </row>
    <row r="1952" spans="1:12" hidden="1" x14ac:dyDescent="0.25">
      <c r="A1952" s="49"/>
      <c r="B1952" s="49"/>
      <c r="C1952" s="49"/>
      <c r="D1952" s="50" t="str">
        <f t="shared" si="150"/>
        <v/>
      </c>
      <c r="E1952" s="50" t="str">
        <f t="shared" si="151"/>
        <v/>
      </c>
      <c r="F1952" s="50" t="str">
        <f t="shared" si="152"/>
        <v/>
      </c>
      <c r="G1952" s="50" t="str">
        <f t="shared" si="153"/>
        <v/>
      </c>
      <c r="H1952" s="51" t="str">
        <f>IF($C1952="","",IFERROR(DATE(G1952,VLOOKUP(E1952,Paramètres!$K$11:$L$40,2,FALSE()),F1952),"?"))</f>
        <v/>
      </c>
      <c r="I1952" s="50" t="str">
        <f>IF(ISNUMBER(H1952),IF(COUNTIFS($D$2:D1952,D1952,$H$2:H1952,H1952)=1,1,0),"")</f>
        <v/>
      </c>
      <c r="J1952" s="50" t="str">
        <f>IF(ISNUMBER(H1952),IFERROR(INDEX(Calendrier!$C$2:$C$367,MATCH(H1952,Calendrier!$A$2:$A$367,0)),0),"")</f>
        <v/>
      </c>
      <c r="K1952" s="50" t="str">
        <f t="shared" si="154"/>
        <v/>
      </c>
      <c r="L1952" s="50" t="str">
        <f>IF(D1952="","",IF(COUNTIF(Paramètres!$A$11:$A$40,D1952)&gt;0,1,0))</f>
        <v/>
      </c>
    </row>
    <row r="1953" spans="1:12" hidden="1" x14ac:dyDescent="0.25">
      <c r="A1953" s="49"/>
      <c r="B1953" s="49"/>
      <c r="C1953" s="49"/>
      <c r="D1953" s="50" t="str">
        <f t="shared" si="150"/>
        <v/>
      </c>
      <c r="E1953" s="50" t="str">
        <f t="shared" si="151"/>
        <v/>
      </c>
      <c r="F1953" s="50" t="str">
        <f t="shared" si="152"/>
        <v/>
      </c>
      <c r="G1953" s="50" t="str">
        <f t="shared" si="153"/>
        <v/>
      </c>
      <c r="H1953" s="51" t="str">
        <f>IF($C1953="","",IFERROR(DATE(G1953,VLOOKUP(E1953,Paramètres!$K$11:$L$40,2,FALSE()),F1953),"?"))</f>
        <v/>
      </c>
      <c r="I1953" s="50" t="str">
        <f>IF(ISNUMBER(H1953),IF(COUNTIFS($D$2:D1953,D1953,$H$2:H1953,H1953)=1,1,0),"")</f>
        <v/>
      </c>
      <c r="J1953" s="50" t="str">
        <f>IF(ISNUMBER(H1953),IFERROR(INDEX(Calendrier!$C$2:$C$367,MATCH(H1953,Calendrier!$A$2:$A$367,0)),0),"")</f>
        <v/>
      </c>
      <c r="K1953" s="50" t="str">
        <f t="shared" si="154"/>
        <v/>
      </c>
      <c r="L1953" s="50" t="str">
        <f>IF(D1953="","",IF(COUNTIF(Paramètres!$A$11:$A$40,D1953)&gt;0,1,0))</f>
        <v/>
      </c>
    </row>
    <row r="1954" spans="1:12" hidden="1" x14ac:dyDescent="0.25">
      <c r="A1954" s="49"/>
      <c r="B1954" s="49"/>
      <c r="C1954" s="49"/>
      <c r="D1954" s="50" t="str">
        <f t="shared" si="150"/>
        <v/>
      </c>
      <c r="E1954" s="50" t="str">
        <f t="shared" si="151"/>
        <v/>
      </c>
      <c r="F1954" s="50" t="str">
        <f t="shared" si="152"/>
        <v/>
      </c>
      <c r="G1954" s="50" t="str">
        <f t="shared" si="153"/>
        <v/>
      </c>
      <c r="H1954" s="51" t="str">
        <f>IF($C1954="","",IFERROR(DATE(G1954,VLOOKUP(E1954,Paramètres!$K$11:$L$40,2,FALSE()),F1954),"?"))</f>
        <v/>
      </c>
      <c r="I1954" s="50" t="str">
        <f>IF(ISNUMBER(H1954),IF(COUNTIFS($D$2:D1954,D1954,$H$2:H1954,H1954)=1,1,0),"")</f>
        <v/>
      </c>
      <c r="J1954" s="50" t="str">
        <f>IF(ISNUMBER(H1954),IFERROR(INDEX(Calendrier!$C$2:$C$367,MATCH(H1954,Calendrier!$A$2:$A$367,0)),0),"")</f>
        <v/>
      </c>
      <c r="K1954" s="50" t="str">
        <f t="shared" si="154"/>
        <v/>
      </c>
      <c r="L1954" s="50" t="str">
        <f>IF(D1954="","",IF(COUNTIF(Paramètres!$A$11:$A$40,D1954)&gt;0,1,0))</f>
        <v/>
      </c>
    </row>
    <row r="1955" spans="1:12" hidden="1" x14ac:dyDescent="0.25">
      <c r="A1955" s="49"/>
      <c r="B1955" s="49"/>
      <c r="C1955" s="49"/>
      <c r="D1955" s="50" t="str">
        <f t="shared" si="150"/>
        <v/>
      </c>
      <c r="E1955" s="50" t="str">
        <f t="shared" si="151"/>
        <v/>
      </c>
      <c r="F1955" s="50" t="str">
        <f t="shared" si="152"/>
        <v/>
      </c>
      <c r="G1955" s="50" t="str">
        <f t="shared" si="153"/>
        <v/>
      </c>
      <c r="H1955" s="51" t="str">
        <f>IF($C1955="","",IFERROR(DATE(G1955,VLOOKUP(E1955,Paramètres!$K$11:$L$40,2,FALSE()),F1955),"?"))</f>
        <v/>
      </c>
      <c r="I1955" s="50" t="str">
        <f>IF(ISNUMBER(H1955),IF(COUNTIFS($D$2:D1955,D1955,$H$2:H1955,H1955)=1,1,0),"")</f>
        <v/>
      </c>
      <c r="J1955" s="50" t="str">
        <f>IF(ISNUMBER(H1955),IFERROR(INDEX(Calendrier!$C$2:$C$367,MATCH(H1955,Calendrier!$A$2:$A$367,0)),0),"")</f>
        <v/>
      </c>
      <c r="K1955" s="50" t="str">
        <f t="shared" si="154"/>
        <v/>
      </c>
      <c r="L1955" s="50" t="str">
        <f>IF(D1955="","",IF(COUNTIF(Paramètres!$A$11:$A$40,D1955)&gt;0,1,0))</f>
        <v/>
      </c>
    </row>
    <row r="1956" spans="1:12" hidden="1" x14ac:dyDescent="0.25">
      <c r="A1956" s="49"/>
      <c r="B1956" s="49"/>
      <c r="C1956" s="49"/>
      <c r="D1956" s="50" t="str">
        <f t="shared" si="150"/>
        <v/>
      </c>
      <c r="E1956" s="50" t="str">
        <f t="shared" si="151"/>
        <v/>
      </c>
      <c r="F1956" s="50" t="str">
        <f t="shared" si="152"/>
        <v/>
      </c>
      <c r="G1956" s="50" t="str">
        <f t="shared" si="153"/>
        <v/>
      </c>
      <c r="H1956" s="51" t="str">
        <f>IF($C1956="","",IFERROR(DATE(G1956,VLOOKUP(E1956,Paramètres!$K$11:$L$40,2,FALSE()),F1956),"?"))</f>
        <v/>
      </c>
      <c r="I1956" s="50" t="str">
        <f>IF(ISNUMBER(H1956),IF(COUNTIFS($D$2:D1956,D1956,$H$2:H1956,H1956)=1,1,0),"")</f>
        <v/>
      </c>
      <c r="J1956" s="50" t="str">
        <f>IF(ISNUMBER(H1956),IFERROR(INDEX(Calendrier!$C$2:$C$367,MATCH(H1956,Calendrier!$A$2:$A$367,0)),0),"")</f>
        <v/>
      </c>
      <c r="K1956" s="50" t="str">
        <f t="shared" si="154"/>
        <v/>
      </c>
      <c r="L1956" s="50" t="str">
        <f>IF(D1956="","",IF(COUNTIF(Paramètres!$A$11:$A$40,D1956)&gt;0,1,0))</f>
        <v/>
      </c>
    </row>
    <row r="1957" spans="1:12" hidden="1" x14ac:dyDescent="0.25">
      <c r="A1957" s="49"/>
      <c r="B1957" s="49"/>
      <c r="C1957" s="49"/>
      <c r="D1957" s="50" t="str">
        <f t="shared" si="150"/>
        <v/>
      </c>
      <c r="E1957" s="50" t="str">
        <f t="shared" si="151"/>
        <v/>
      </c>
      <c r="F1957" s="50" t="str">
        <f t="shared" si="152"/>
        <v/>
      </c>
      <c r="G1957" s="50" t="str">
        <f t="shared" si="153"/>
        <v/>
      </c>
      <c r="H1957" s="51" t="str">
        <f>IF($C1957="","",IFERROR(DATE(G1957,VLOOKUP(E1957,Paramètres!$K$11:$L$40,2,FALSE()),F1957),"?"))</f>
        <v/>
      </c>
      <c r="I1957" s="50" t="str">
        <f>IF(ISNUMBER(H1957),IF(COUNTIFS($D$2:D1957,D1957,$H$2:H1957,H1957)=1,1,0),"")</f>
        <v/>
      </c>
      <c r="J1957" s="50" t="str">
        <f>IF(ISNUMBER(H1957),IFERROR(INDEX(Calendrier!$C$2:$C$367,MATCH(H1957,Calendrier!$A$2:$A$367,0)),0),"")</f>
        <v/>
      </c>
      <c r="K1957" s="50" t="str">
        <f t="shared" si="154"/>
        <v/>
      </c>
      <c r="L1957" s="50" t="str">
        <f>IF(D1957="","",IF(COUNTIF(Paramètres!$A$11:$A$40,D1957)&gt;0,1,0))</f>
        <v/>
      </c>
    </row>
    <row r="1958" spans="1:12" hidden="1" x14ac:dyDescent="0.25">
      <c r="A1958" s="49"/>
      <c r="B1958" s="49"/>
      <c r="C1958" s="49"/>
      <c r="D1958" s="50" t="str">
        <f t="shared" si="150"/>
        <v/>
      </c>
      <c r="E1958" s="50" t="str">
        <f t="shared" si="151"/>
        <v/>
      </c>
      <c r="F1958" s="50" t="str">
        <f t="shared" si="152"/>
        <v/>
      </c>
      <c r="G1958" s="50" t="str">
        <f t="shared" si="153"/>
        <v/>
      </c>
      <c r="H1958" s="51" t="str">
        <f>IF($C1958="","",IFERROR(DATE(G1958,VLOOKUP(E1958,Paramètres!$K$11:$L$40,2,FALSE()),F1958),"?"))</f>
        <v/>
      </c>
      <c r="I1958" s="50" t="str">
        <f>IF(ISNUMBER(H1958),IF(COUNTIFS($D$2:D1958,D1958,$H$2:H1958,H1958)=1,1,0),"")</f>
        <v/>
      </c>
      <c r="J1958" s="50" t="str">
        <f>IF(ISNUMBER(H1958),IFERROR(INDEX(Calendrier!$C$2:$C$367,MATCH(H1958,Calendrier!$A$2:$A$367,0)),0),"")</f>
        <v/>
      </c>
      <c r="K1958" s="50" t="str">
        <f t="shared" si="154"/>
        <v/>
      </c>
      <c r="L1958" s="50" t="str">
        <f>IF(D1958="","",IF(COUNTIF(Paramètres!$A$11:$A$40,D1958)&gt;0,1,0))</f>
        <v/>
      </c>
    </row>
    <row r="1959" spans="1:12" hidden="1" x14ac:dyDescent="0.25">
      <c r="A1959" s="49"/>
      <c r="B1959" s="49"/>
      <c r="C1959" s="49"/>
      <c r="D1959" s="50" t="str">
        <f t="shared" si="150"/>
        <v/>
      </c>
      <c r="E1959" s="50" t="str">
        <f t="shared" si="151"/>
        <v/>
      </c>
      <c r="F1959" s="50" t="str">
        <f t="shared" si="152"/>
        <v/>
      </c>
      <c r="G1959" s="50" t="str">
        <f t="shared" si="153"/>
        <v/>
      </c>
      <c r="H1959" s="51" t="str">
        <f>IF($C1959="","",IFERROR(DATE(G1959,VLOOKUP(E1959,Paramètres!$K$11:$L$40,2,FALSE()),F1959),"?"))</f>
        <v/>
      </c>
      <c r="I1959" s="50" t="str">
        <f>IF(ISNUMBER(H1959),IF(COUNTIFS($D$2:D1959,D1959,$H$2:H1959,H1959)=1,1,0),"")</f>
        <v/>
      </c>
      <c r="J1959" s="50" t="str">
        <f>IF(ISNUMBER(H1959),IFERROR(INDEX(Calendrier!$C$2:$C$367,MATCH(H1959,Calendrier!$A$2:$A$367,0)),0),"")</f>
        <v/>
      </c>
      <c r="K1959" s="50" t="str">
        <f t="shared" si="154"/>
        <v/>
      </c>
      <c r="L1959" s="50" t="str">
        <f>IF(D1959="","",IF(COUNTIF(Paramètres!$A$11:$A$40,D1959)&gt;0,1,0))</f>
        <v/>
      </c>
    </row>
    <row r="1960" spans="1:12" hidden="1" x14ac:dyDescent="0.25">
      <c r="A1960" s="49"/>
      <c r="B1960" s="49"/>
      <c r="C1960" s="49"/>
      <c r="D1960" s="50" t="str">
        <f t="shared" si="150"/>
        <v/>
      </c>
      <c r="E1960" s="50" t="str">
        <f t="shared" si="151"/>
        <v/>
      </c>
      <c r="F1960" s="50" t="str">
        <f t="shared" si="152"/>
        <v/>
      </c>
      <c r="G1960" s="50" t="str">
        <f t="shared" si="153"/>
        <v/>
      </c>
      <c r="H1960" s="51" t="str">
        <f>IF($C1960="","",IFERROR(DATE(G1960,VLOOKUP(E1960,Paramètres!$K$11:$L$40,2,FALSE()),F1960),"?"))</f>
        <v/>
      </c>
      <c r="I1960" s="50" t="str">
        <f>IF(ISNUMBER(H1960),IF(COUNTIFS($D$2:D1960,D1960,$H$2:H1960,H1960)=1,1,0),"")</f>
        <v/>
      </c>
      <c r="J1960" s="50" t="str">
        <f>IF(ISNUMBER(H1960),IFERROR(INDEX(Calendrier!$C$2:$C$367,MATCH(H1960,Calendrier!$A$2:$A$367,0)),0),"")</f>
        <v/>
      </c>
      <c r="K1960" s="50" t="str">
        <f t="shared" si="154"/>
        <v/>
      </c>
      <c r="L1960" s="50" t="str">
        <f>IF(D1960="","",IF(COUNTIF(Paramètres!$A$11:$A$40,D1960)&gt;0,1,0))</f>
        <v/>
      </c>
    </row>
    <row r="1961" spans="1:12" hidden="1" x14ac:dyDescent="0.25">
      <c r="A1961" s="49"/>
      <c r="B1961" s="49"/>
      <c r="C1961" s="49"/>
      <c r="D1961" s="50" t="str">
        <f t="shared" si="150"/>
        <v/>
      </c>
      <c r="E1961" s="50" t="str">
        <f t="shared" si="151"/>
        <v/>
      </c>
      <c r="F1961" s="50" t="str">
        <f t="shared" si="152"/>
        <v/>
      </c>
      <c r="G1961" s="50" t="str">
        <f t="shared" si="153"/>
        <v/>
      </c>
      <c r="H1961" s="51" t="str">
        <f>IF($C1961="","",IFERROR(DATE(G1961,VLOOKUP(E1961,Paramètres!$K$11:$L$40,2,FALSE()),F1961),"?"))</f>
        <v/>
      </c>
      <c r="I1961" s="50" t="str">
        <f>IF(ISNUMBER(H1961),IF(COUNTIFS($D$2:D1961,D1961,$H$2:H1961,H1961)=1,1,0),"")</f>
        <v/>
      </c>
      <c r="J1961" s="50" t="str">
        <f>IF(ISNUMBER(H1961),IFERROR(INDEX(Calendrier!$C$2:$C$367,MATCH(H1961,Calendrier!$A$2:$A$367,0)),0),"")</f>
        <v/>
      </c>
      <c r="K1961" s="50" t="str">
        <f t="shared" si="154"/>
        <v/>
      </c>
      <c r="L1961" s="50" t="str">
        <f>IF(D1961="","",IF(COUNTIF(Paramètres!$A$11:$A$40,D1961)&gt;0,1,0))</f>
        <v/>
      </c>
    </row>
    <row r="1962" spans="1:12" hidden="1" x14ac:dyDescent="0.25">
      <c r="A1962" s="49"/>
      <c r="B1962" s="49"/>
      <c r="C1962" s="49"/>
      <c r="D1962" s="50" t="str">
        <f t="shared" si="150"/>
        <v/>
      </c>
      <c r="E1962" s="50" t="str">
        <f t="shared" si="151"/>
        <v/>
      </c>
      <c r="F1962" s="50" t="str">
        <f t="shared" si="152"/>
        <v/>
      </c>
      <c r="G1962" s="50" t="str">
        <f t="shared" si="153"/>
        <v/>
      </c>
      <c r="H1962" s="51" t="str">
        <f>IF($C1962="","",IFERROR(DATE(G1962,VLOOKUP(E1962,Paramètres!$K$11:$L$40,2,FALSE()),F1962),"?"))</f>
        <v/>
      </c>
      <c r="I1962" s="50" t="str">
        <f>IF(ISNUMBER(H1962),IF(COUNTIFS($D$2:D1962,D1962,$H$2:H1962,H1962)=1,1,0),"")</f>
        <v/>
      </c>
      <c r="J1962" s="50" t="str">
        <f>IF(ISNUMBER(H1962),IFERROR(INDEX(Calendrier!$C$2:$C$367,MATCH(H1962,Calendrier!$A$2:$A$367,0)),0),"")</f>
        <v/>
      </c>
      <c r="K1962" s="50" t="str">
        <f t="shared" si="154"/>
        <v/>
      </c>
      <c r="L1962" s="50" t="str">
        <f>IF(D1962="","",IF(COUNTIF(Paramètres!$A$11:$A$40,D1962)&gt;0,1,0))</f>
        <v/>
      </c>
    </row>
    <row r="1963" spans="1:12" hidden="1" x14ac:dyDescent="0.25">
      <c r="A1963" s="49"/>
      <c r="B1963" s="49"/>
      <c r="C1963" s="49"/>
      <c r="D1963" s="50" t="str">
        <f t="shared" si="150"/>
        <v/>
      </c>
      <c r="E1963" s="50" t="str">
        <f t="shared" si="151"/>
        <v/>
      </c>
      <c r="F1963" s="50" t="str">
        <f t="shared" si="152"/>
        <v/>
      </c>
      <c r="G1963" s="50" t="str">
        <f t="shared" si="153"/>
        <v/>
      </c>
      <c r="H1963" s="51" t="str">
        <f>IF($C1963="","",IFERROR(DATE(G1963,VLOOKUP(E1963,Paramètres!$K$11:$L$40,2,FALSE()),F1963),"?"))</f>
        <v/>
      </c>
      <c r="I1963" s="50" t="str">
        <f>IF(ISNUMBER(H1963),IF(COUNTIFS($D$2:D1963,D1963,$H$2:H1963,H1963)=1,1,0),"")</f>
        <v/>
      </c>
      <c r="J1963" s="50" t="str">
        <f>IF(ISNUMBER(H1963),IFERROR(INDEX(Calendrier!$C$2:$C$367,MATCH(H1963,Calendrier!$A$2:$A$367,0)),0),"")</f>
        <v/>
      </c>
      <c r="K1963" s="50" t="str">
        <f t="shared" si="154"/>
        <v/>
      </c>
      <c r="L1963" s="50" t="str">
        <f>IF(D1963="","",IF(COUNTIF(Paramètres!$A$11:$A$40,D1963)&gt;0,1,0))</f>
        <v/>
      </c>
    </row>
    <row r="1964" spans="1:12" hidden="1" x14ac:dyDescent="0.25">
      <c r="A1964" s="49"/>
      <c r="B1964" s="49"/>
      <c r="C1964" s="49"/>
      <c r="D1964" s="50" t="str">
        <f t="shared" si="150"/>
        <v/>
      </c>
      <c r="E1964" s="50" t="str">
        <f t="shared" si="151"/>
        <v/>
      </c>
      <c r="F1964" s="50" t="str">
        <f t="shared" si="152"/>
        <v/>
      </c>
      <c r="G1964" s="50" t="str">
        <f t="shared" si="153"/>
        <v/>
      </c>
      <c r="H1964" s="51" t="str">
        <f>IF($C1964="","",IFERROR(DATE(G1964,VLOOKUP(E1964,Paramètres!$K$11:$L$40,2,FALSE()),F1964),"?"))</f>
        <v/>
      </c>
      <c r="I1964" s="50" t="str">
        <f>IF(ISNUMBER(H1964),IF(COUNTIFS($D$2:D1964,D1964,$H$2:H1964,H1964)=1,1,0),"")</f>
        <v/>
      </c>
      <c r="J1964" s="50" t="str">
        <f>IF(ISNUMBER(H1964),IFERROR(INDEX(Calendrier!$C$2:$C$367,MATCH(H1964,Calendrier!$A$2:$A$367,0)),0),"")</f>
        <v/>
      </c>
      <c r="K1964" s="50" t="str">
        <f t="shared" si="154"/>
        <v/>
      </c>
      <c r="L1964" s="50" t="str">
        <f>IF(D1964="","",IF(COUNTIF(Paramètres!$A$11:$A$40,D1964)&gt;0,1,0))</f>
        <v/>
      </c>
    </row>
    <row r="1965" spans="1:12" hidden="1" x14ac:dyDescent="0.25">
      <c r="A1965" s="49"/>
      <c r="B1965" s="49"/>
      <c r="C1965" s="49"/>
      <c r="D1965" s="50" t="str">
        <f t="shared" si="150"/>
        <v/>
      </c>
      <c r="E1965" s="50" t="str">
        <f t="shared" si="151"/>
        <v/>
      </c>
      <c r="F1965" s="50" t="str">
        <f t="shared" si="152"/>
        <v/>
      </c>
      <c r="G1965" s="50" t="str">
        <f t="shared" si="153"/>
        <v/>
      </c>
      <c r="H1965" s="51" t="str">
        <f>IF($C1965="","",IFERROR(DATE(G1965,VLOOKUP(E1965,Paramètres!$K$11:$L$40,2,FALSE()),F1965),"?"))</f>
        <v/>
      </c>
      <c r="I1965" s="50" t="str">
        <f>IF(ISNUMBER(H1965),IF(COUNTIFS($D$2:D1965,D1965,$H$2:H1965,H1965)=1,1,0),"")</f>
        <v/>
      </c>
      <c r="J1965" s="50" t="str">
        <f>IF(ISNUMBER(H1965),IFERROR(INDEX(Calendrier!$C$2:$C$367,MATCH(H1965,Calendrier!$A$2:$A$367,0)),0),"")</f>
        <v/>
      </c>
      <c r="K1965" s="50" t="str">
        <f t="shared" si="154"/>
        <v/>
      </c>
      <c r="L1965" s="50" t="str">
        <f>IF(D1965="","",IF(COUNTIF(Paramètres!$A$11:$A$40,D1965)&gt;0,1,0))</f>
        <v/>
      </c>
    </row>
    <row r="1966" spans="1:12" hidden="1" x14ac:dyDescent="0.25">
      <c r="A1966" s="49"/>
      <c r="B1966" s="49"/>
      <c r="C1966" s="49"/>
      <c r="D1966" s="50" t="str">
        <f t="shared" si="150"/>
        <v/>
      </c>
      <c r="E1966" s="50" t="str">
        <f t="shared" si="151"/>
        <v/>
      </c>
      <c r="F1966" s="50" t="str">
        <f t="shared" si="152"/>
        <v/>
      </c>
      <c r="G1966" s="50" t="str">
        <f t="shared" si="153"/>
        <v/>
      </c>
      <c r="H1966" s="51" t="str">
        <f>IF($C1966="","",IFERROR(DATE(G1966,VLOOKUP(E1966,Paramètres!$K$11:$L$40,2,FALSE()),F1966),"?"))</f>
        <v/>
      </c>
      <c r="I1966" s="50" t="str">
        <f>IF(ISNUMBER(H1966),IF(COUNTIFS($D$2:D1966,D1966,$H$2:H1966,H1966)=1,1,0),"")</f>
        <v/>
      </c>
      <c r="J1966" s="50" t="str">
        <f>IF(ISNUMBER(H1966),IFERROR(INDEX(Calendrier!$C$2:$C$367,MATCH(H1966,Calendrier!$A$2:$A$367,0)),0),"")</f>
        <v/>
      </c>
      <c r="K1966" s="50" t="str">
        <f t="shared" si="154"/>
        <v/>
      </c>
      <c r="L1966" s="50" t="str">
        <f>IF(D1966="","",IF(COUNTIF(Paramètres!$A$11:$A$40,D1966)&gt;0,1,0))</f>
        <v/>
      </c>
    </row>
    <row r="1967" spans="1:12" hidden="1" x14ac:dyDescent="0.25">
      <c r="A1967" s="49"/>
      <c r="B1967" s="49"/>
      <c r="C1967" s="49"/>
      <c r="D1967" s="50" t="str">
        <f t="shared" si="150"/>
        <v/>
      </c>
      <c r="E1967" s="50" t="str">
        <f t="shared" si="151"/>
        <v/>
      </c>
      <c r="F1967" s="50" t="str">
        <f t="shared" si="152"/>
        <v/>
      </c>
      <c r="G1967" s="50" t="str">
        <f t="shared" si="153"/>
        <v/>
      </c>
      <c r="H1967" s="51" t="str">
        <f>IF($C1967="","",IFERROR(DATE(G1967,VLOOKUP(E1967,Paramètres!$K$11:$L$40,2,FALSE()),F1967),"?"))</f>
        <v/>
      </c>
      <c r="I1967" s="50" t="str">
        <f>IF(ISNUMBER(H1967),IF(COUNTIFS($D$2:D1967,D1967,$H$2:H1967,H1967)=1,1,0),"")</f>
        <v/>
      </c>
      <c r="J1967" s="50" t="str">
        <f>IF(ISNUMBER(H1967),IFERROR(INDEX(Calendrier!$C$2:$C$367,MATCH(H1967,Calendrier!$A$2:$A$367,0)),0),"")</f>
        <v/>
      </c>
      <c r="K1967" s="50" t="str">
        <f t="shared" si="154"/>
        <v/>
      </c>
      <c r="L1967" s="50" t="str">
        <f>IF(D1967="","",IF(COUNTIF(Paramètres!$A$11:$A$40,D1967)&gt;0,1,0))</f>
        <v/>
      </c>
    </row>
    <row r="1968" spans="1:12" hidden="1" x14ac:dyDescent="0.25">
      <c r="A1968" s="49"/>
      <c r="B1968" s="49"/>
      <c r="C1968" s="49"/>
      <c r="D1968" s="50" t="str">
        <f t="shared" si="150"/>
        <v/>
      </c>
      <c r="E1968" s="50" t="str">
        <f t="shared" si="151"/>
        <v/>
      </c>
      <c r="F1968" s="50" t="str">
        <f t="shared" si="152"/>
        <v/>
      </c>
      <c r="G1968" s="50" t="str">
        <f t="shared" si="153"/>
        <v/>
      </c>
      <c r="H1968" s="51" t="str">
        <f>IF($C1968="","",IFERROR(DATE(G1968,VLOOKUP(E1968,Paramètres!$K$11:$L$40,2,FALSE()),F1968),"?"))</f>
        <v/>
      </c>
      <c r="I1968" s="50" t="str">
        <f>IF(ISNUMBER(H1968),IF(COUNTIFS($D$2:D1968,D1968,$H$2:H1968,H1968)=1,1,0),"")</f>
        <v/>
      </c>
      <c r="J1968" s="50" t="str">
        <f>IF(ISNUMBER(H1968),IFERROR(INDEX(Calendrier!$C$2:$C$367,MATCH(H1968,Calendrier!$A$2:$A$367,0)),0),"")</f>
        <v/>
      </c>
      <c r="K1968" s="50" t="str">
        <f t="shared" si="154"/>
        <v/>
      </c>
      <c r="L1968" s="50" t="str">
        <f>IF(D1968="","",IF(COUNTIF(Paramètres!$A$11:$A$40,D1968)&gt;0,1,0))</f>
        <v/>
      </c>
    </row>
    <row r="1969" spans="1:12" hidden="1" x14ac:dyDescent="0.25">
      <c r="A1969" s="49"/>
      <c r="B1969" s="49"/>
      <c r="C1969" s="49"/>
      <c r="D1969" s="50" t="str">
        <f t="shared" si="150"/>
        <v/>
      </c>
      <c r="E1969" s="50" t="str">
        <f t="shared" si="151"/>
        <v/>
      </c>
      <c r="F1969" s="50" t="str">
        <f t="shared" si="152"/>
        <v/>
      </c>
      <c r="G1969" s="50" t="str">
        <f t="shared" si="153"/>
        <v/>
      </c>
      <c r="H1969" s="51" t="str">
        <f>IF($C1969="","",IFERROR(DATE(G1969,VLOOKUP(E1969,Paramètres!$K$11:$L$40,2,FALSE()),F1969),"?"))</f>
        <v/>
      </c>
      <c r="I1969" s="50" t="str">
        <f>IF(ISNUMBER(H1969),IF(COUNTIFS($D$2:D1969,D1969,$H$2:H1969,H1969)=1,1,0),"")</f>
        <v/>
      </c>
      <c r="J1969" s="50" t="str">
        <f>IF(ISNUMBER(H1969),IFERROR(INDEX(Calendrier!$C$2:$C$367,MATCH(H1969,Calendrier!$A$2:$A$367,0)),0),"")</f>
        <v/>
      </c>
      <c r="K1969" s="50" t="str">
        <f t="shared" si="154"/>
        <v/>
      </c>
      <c r="L1969" s="50" t="str">
        <f>IF(D1969="","",IF(COUNTIF(Paramètres!$A$11:$A$40,D1969)&gt;0,1,0))</f>
        <v/>
      </c>
    </row>
    <row r="1970" spans="1:12" hidden="1" x14ac:dyDescent="0.25">
      <c r="A1970" s="49"/>
      <c r="B1970" s="49"/>
      <c r="C1970" s="49"/>
      <c r="D1970" s="50" t="str">
        <f t="shared" si="150"/>
        <v/>
      </c>
      <c r="E1970" s="50" t="str">
        <f t="shared" si="151"/>
        <v/>
      </c>
      <c r="F1970" s="50" t="str">
        <f t="shared" si="152"/>
        <v/>
      </c>
      <c r="G1970" s="50" t="str">
        <f t="shared" si="153"/>
        <v/>
      </c>
      <c r="H1970" s="51" t="str">
        <f>IF($C1970="","",IFERROR(DATE(G1970,VLOOKUP(E1970,Paramètres!$K$11:$L$40,2,FALSE()),F1970),"?"))</f>
        <v/>
      </c>
      <c r="I1970" s="50" t="str">
        <f>IF(ISNUMBER(H1970),IF(COUNTIFS($D$2:D1970,D1970,$H$2:H1970,H1970)=1,1,0),"")</f>
        <v/>
      </c>
      <c r="J1970" s="50" t="str">
        <f>IF(ISNUMBER(H1970),IFERROR(INDEX(Calendrier!$C$2:$C$367,MATCH(H1970,Calendrier!$A$2:$A$367,0)),0),"")</f>
        <v/>
      </c>
      <c r="K1970" s="50" t="str">
        <f t="shared" si="154"/>
        <v/>
      </c>
      <c r="L1970" s="50" t="str">
        <f>IF(D1970="","",IF(COUNTIF(Paramètres!$A$11:$A$40,D1970)&gt;0,1,0))</f>
        <v/>
      </c>
    </row>
    <row r="1971" spans="1:12" hidden="1" x14ac:dyDescent="0.25">
      <c r="A1971" s="49"/>
      <c r="B1971" s="49"/>
      <c r="C1971" s="49"/>
      <c r="D1971" s="50" t="str">
        <f t="shared" si="150"/>
        <v/>
      </c>
      <c r="E1971" s="50" t="str">
        <f t="shared" si="151"/>
        <v/>
      </c>
      <c r="F1971" s="50" t="str">
        <f t="shared" si="152"/>
        <v/>
      </c>
      <c r="G1971" s="50" t="str">
        <f t="shared" si="153"/>
        <v/>
      </c>
      <c r="H1971" s="51" t="str">
        <f>IF($C1971="","",IFERROR(DATE(G1971,VLOOKUP(E1971,Paramètres!$K$11:$L$40,2,FALSE()),F1971),"?"))</f>
        <v/>
      </c>
      <c r="I1971" s="50" t="str">
        <f>IF(ISNUMBER(H1971),IF(COUNTIFS($D$2:D1971,D1971,$H$2:H1971,H1971)=1,1,0),"")</f>
        <v/>
      </c>
      <c r="J1971" s="50" t="str">
        <f>IF(ISNUMBER(H1971),IFERROR(INDEX(Calendrier!$C$2:$C$367,MATCH(H1971,Calendrier!$A$2:$A$367,0)),0),"")</f>
        <v/>
      </c>
      <c r="K1971" s="50" t="str">
        <f t="shared" si="154"/>
        <v/>
      </c>
      <c r="L1971" s="50" t="str">
        <f>IF(D1971="","",IF(COUNTIF(Paramètres!$A$11:$A$40,D1971)&gt;0,1,0))</f>
        <v/>
      </c>
    </row>
    <row r="1972" spans="1:12" hidden="1" x14ac:dyDescent="0.25">
      <c r="A1972" s="49"/>
      <c r="B1972" s="49"/>
      <c r="C1972" s="49"/>
      <c r="D1972" s="50" t="str">
        <f t="shared" si="150"/>
        <v/>
      </c>
      <c r="E1972" s="50" t="str">
        <f t="shared" si="151"/>
        <v/>
      </c>
      <c r="F1972" s="50" t="str">
        <f t="shared" si="152"/>
        <v/>
      </c>
      <c r="G1972" s="50" t="str">
        <f t="shared" si="153"/>
        <v/>
      </c>
      <c r="H1972" s="51" t="str">
        <f>IF($C1972="","",IFERROR(DATE(G1972,VLOOKUP(E1972,Paramètres!$K$11:$L$40,2,FALSE()),F1972),"?"))</f>
        <v/>
      </c>
      <c r="I1972" s="50" t="str">
        <f>IF(ISNUMBER(H1972),IF(COUNTIFS($D$2:D1972,D1972,$H$2:H1972,H1972)=1,1,0),"")</f>
        <v/>
      </c>
      <c r="J1972" s="50" t="str">
        <f>IF(ISNUMBER(H1972),IFERROR(INDEX(Calendrier!$C$2:$C$367,MATCH(H1972,Calendrier!$A$2:$A$367,0)),0),"")</f>
        <v/>
      </c>
      <c r="K1972" s="50" t="str">
        <f t="shared" si="154"/>
        <v/>
      </c>
      <c r="L1972" s="50" t="str">
        <f>IF(D1972="","",IF(COUNTIF(Paramètres!$A$11:$A$40,D1972)&gt;0,1,0))</f>
        <v/>
      </c>
    </row>
    <row r="1973" spans="1:12" hidden="1" x14ac:dyDescent="0.25">
      <c r="A1973" s="49"/>
      <c r="B1973" s="49"/>
      <c r="C1973" s="49"/>
      <c r="D1973" s="50" t="str">
        <f t="shared" si="150"/>
        <v/>
      </c>
      <c r="E1973" s="50" t="str">
        <f t="shared" si="151"/>
        <v/>
      </c>
      <c r="F1973" s="50" t="str">
        <f t="shared" si="152"/>
        <v/>
      </c>
      <c r="G1973" s="50" t="str">
        <f t="shared" si="153"/>
        <v/>
      </c>
      <c r="H1973" s="51" t="str">
        <f>IF($C1973="","",IFERROR(DATE(G1973,VLOOKUP(E1973,Paramètres!$K$11:$L$40,2,FALSE()),F1973),"?"))</f>
        <v/>
      </c>
      <c r="I1973" s="50" t="str">
        <f>IF(ISNUMBER(H1973),IF(COUNTIFS($D$2:D1973,D1973,$H$2:H1973,H1973)=1,1,0),"")</f>
        <v/>
      </c>
      <c r="J1973" s="50" t="str">
        <f>IF(ISNUMBER(H1973),IFERROR(INDEX(Calendrier!$C$2:$C$367,MATCH(H1973,Calendrier!$A$2:$A$367,0)),0),"")</f>
        <v/>
      </c>
      <c r="K1973" s="50" t="str">
        <f t="shared" si="154"/>
        <v/>
      </c>
      <c r="L1973" s="50" t="str">
        <f>IF(D1973="","",IF(COUNTIF(Paramètres!$A$11:$A$40,D1973)&gt;0,1,0))</f>
        <v/>
      </c>
    </row>
    <row r="1974" spans="1:12" hidden="1" x14ac:dyDescent="0.25">
      <c r="A1974" s="49"/>
      <c r="B1974" s="49"/>
      <c r="C1974" s="49"/>
      <c r="D1974" s="50" t="str">
        <f t="shared" si="150"/>
        <v/>
      </c>
      <c r="E1974" s="50" t="str">
        <f t="shared" si="151"/>
        <v/>
      </c>
      <c r="F1974" s="50" t="str">
        <f t="shared" si="152"/>
        <v/>
      </c>
      <c r="G1974" s="50" t="str">
        <f t="shared" si="153"/>
        <v/>
      </c>
      <c r="H1974" s="51" t="str">
        <f>IF($C1974="","",IFERROR(DATE(G1974,VLOOKUP(E1974,Paramètres!$K$11:$L$40,2,FALSE()),F1974),"?"))</f>
        <v/>
      </c>
      <c r="I1974" s="50" t="str">
        <f>IF(ISNUMBER(H1974),IF(COUNTIFS($D$2:D1974,D1974,$H$2:H1974,H1974)=1,1,0),"")</f>
        <v/>
      </c>
      <c r="J1974" s="50" t="str">
        <f>IF(ISNUMBER(H1974),IFERROR(INDEX(Calendrier!$C$2:$C$367,MATCH(H1974,Calendrier!$A$2:$A$367,0)),0),"")</f>
        <v/>
      </c>
      <c r="K1974" s="50" t="str">
        <f t="shared" si="154"/>
        <v/>
      </c>
      <c r="L1974" s="50" t="str">
        <f>IF(D1974="","",IF(COUNTIF(Paramètres!$A$11:$A$40,D1974)&gt;0,1,0))</f>
        <v/>
      </c>
    </row>
    <row r="1975" spans="1:12" hidden="1" x14ac:dyDescent="0.25">
      <c r="A1975" s="49"/>
      <c r="B1975" s="49"/>
      <c r="C1975" s="49"/>
      <c r="D1975" s="50" t="str">
        <f t="shared" si="150"/>
        <v/>
      </c>
      <c r="E1975" s="50" t="str">
        <f t="shared" si="151"/>
        <v/>
      </c>
      <c r="F1975" s="50" t="str">
        <f t="shared" si="152"/>
        <v/>
      </c>
      <c r="G1975" s="50" t="str">
        <f t="shared" si="153"/>
        <v/>
      </c>
      <c r="H1975" s="51" t="str">
        <f>IF($C1975="","",IFERROR(DATE(G1975,VLOOKUP(E1975,Paramètres!$K$11:$L$40,2,FALSE()),F1975),"?"))</f>
        <v/>
      </c>
      <c r="I1975" s="50" t="str">
        <f>IF(ISNUMBER(H1975),IF(COUNTIFS($D$2:D1975,D1975,$H$2:H1975,H1975)=1,1,0),"")</f>
        <v/>
      </c>
      <c r="J1975" s="50" t="str">
        <f>IF(ISNUMBER(H1975),IFERROR(INDEX(Calendrier!$C$2:$C$367,MATCH(H1975,Calendrier!$A$2:$A$367,0)),0),"")</f>
        <v/>
      </c>
      <c r="K1975" s="50" t="str">
        <f t="shared" si="154"/>
        <v/>
      </c>
      <c r="L1975" s="50" t="str">
        <f>IF(D1975="","",IF(COUNTIF(Paramètres!$A$11:$A$40,D1975)&gt;0,1,0))</f>
        <v/>
      </c>
    </row>
    <row r="1976" spans="1:12" hidden="1" x14ac:dyDescent="0.25">
      <c r="A1976" s="49"/>
      <c r="B1976" s="49"/>
      <c r="C1976" s="49"/>
      <c r="D1976" s="50" t="str">
        <f t="shared" si="150"/>
        <v/>
      </c>
      <c r="E1976" s="50" t="str">
        <f t="shared" si="151"/>
        <v/>
      </c>
      <c r="F1976" s="50" t="str">
        <f t="shared" si="152"/>
        <v/>
      </c>
      <c r="G1976" s="50" t="str">
        <f t="shared" si="153"/>
        <v/>
      </c>
      <c r="H1976" s="51" t="str">
        <f>IF($C1976="","",IFERROR(DATE(G1976,VLOOKUP(E1976,Paramètres!$K$11:$L$40,2,FALSE()),F1976),"?"))</f>
        <v/>
      </c>
      <c r="I1976" s="50" t="str">
        <f>IF(ISNUMBER(H1976),IF(COUNTIFS($D$2:D1976,D1976,$H$2:H1976,H1976)=1,1,0),"")</f>
        <v/>
      </c>
      <c r="J1976" s="50" t="str">
        <f>IF(ISNUMBER(H1976),IFERROR(INDEX(Calendrier!$C$2:$C$367,MATCH(H1976,Calendrier!$A$2:$A$367,0)),0),"")</f>
        <v/>
      </c>
      <c r="K1976" s="50" t="str">
        <f t="shared" si="154"/>
        <v/>
      </c>
      <c r="L1976" s="50" t="str">
        <f>IF(D1976="","",IF(COUNTIF(Paramètres!$A$11:$A$40,D1976)&gt;0,1,0))</f>
        <v/>
      </c>
    </row>
    <row r="1977" spans="1:12" hidden="1" x14ac:dyDescent="0.25">
      <c r="A1977" s="49"/>
      <c r="B1977" s="49"/>
      <c r="C1977" s="49"/>
      <c r="D1977" s="50" t="str">
        <f t="shared" si="150"/>
        <v/>
      </c>
      <c r="E1977" s="50" t="str">
        <f t="shared" si="151"/>
        <v/>
      </c>
      <c r="F1977" s="50" t="str">
        <f t="shared" si="152"/>
        <v/>
      </c>
      <c r="G1977" s="50" t="str">
        <f t="shared" si="153"/>
        <v/>
      </c>
      <c r="H1977" s="51" t="str">
        <f>IF($C1977="","",IFERROR(DATE(G1977,VLOOKUP(E1977,Paramètres!$K$11:$L$40,2,FALSE()),F1977),"?"))</f>
        <v/>
      </c>
      <c r="I1977" s="50" t="str">
        <f>IF(ISNUMBER(H1977),IF(COUNTIFS($D$2:D1977,D1977,$H$2:H1977,H1977)=1,1,0),"")</f>
        <v/>
      </c>
      <c r="J1977" s="50" t="str">
        <f>IF(ISNUMBER(H1977),IFERROR(INDEX(Calendrier!$C$2:$C$367,MATCH(H1977,Calendrier!$A$2:$A$367,0)),0),"")</f>
        <v/>
      </c>
      <c r="K1977" s="50" t="str">
        <f t="shared" si="154"/>
        <v/>
      </c>
      <c r="L1977" s="50" t="str">
        <f>IF(D1977="","",IF(COUNTIF(Paramètres!$A$11:$A$40,D1977)&gt;0,1,0))</f>
        <v/>
      </c>
    </row>
    <row r="1978" spans="1:12" hidden="1" x14ac:dyDescent="0.25">
      <c r="A1978" s="49"/>
      <c r="B1978" s="49"/>
      <c r="C1978" s="49"/>
      <c r="D1978" s="50" t="str">
        <f t="shared" si="150"/>
        <v/>
      </c>
      <c r="E1978" s="50" t="str">
        <f t="shared" si="151"/>
        <v/>
      </c>
      <c r="F1978" s="50" t="str">
        <f t="shared" si="152"/>
        <v/>
      </c>
      <c r="G1978" s="50" t="str">
        <f t="shared" si="153"/>
        <v/>
      </c>
      <c r="H1978" s="51" t="str">
        <f>IF($C1978="","",IFERROR(DATE(G1978,VLOOKUP(E1978,Paramètres!$K$11:$L$40,2,FALSE()),F1978),"?"))</f>
        <v/>
      </c>
      <c r="I1978" s="50" t="str">
        <f>IF(ISNUMBER(H1978),IF(COUNTIFS($D$2:D1978,D1978,$H$2:H1978,H1978)=1,1,0),"")</f>
        <v/>
      </c>
      <c r="J1978" s="50" t="str">
        <f>IF(ISNUMBER(H1978),IFERROR(INDEX(Calendrier!$C$2:$C$367,MATCH(H1978,Calendrier!$A$2:$A$367,0)),0),"")</f>
        <v/>
      </c>
      <c r="K1978" s="50" t="str">
        <f t="shared" si="154"/>
        <v/>
      </c>
      <c r="L1978" s="50" t="str">
        <f>IF(D1978="","",IF(COUNTIF(Paramètres!$A$11:$A$40,D1978)&gt;0,1,0))</f>
        <v/>
      </c>
    </row>
    <row r="1979" spans="1:12" hidden="1" x14ac:dyDescent="0.25">
      <c r="A1979" s="49"/>
      <c r="B1979" s="49"/>
      <c r="C1979" s="49"/>
      <c r="D1979" s="50" t="str">
        <f t="shared" si="150"/>
        <v/>
      </c>
      <c r="E1979" s="50" t="str">
        <f t="shared" si="151"/>
        <v/>
      </c>
      <c r="F1979" s="50" t="str">
        <f t="shared" si="152"/>
        <v/>
      </c>
      <c r="G1979" s="50" t="str">
        <f t="shared" si="153"/>
        <v/>
      </c>
      <c r="H1979" s="51" t="str">
        <f>IF($C1979="","",IFERROR(DATE(G1979,VLOOKUP(E1979,Paramètres!$K$11:$L$40,2,FALSE()),F1979),"?"))</f>
        <v/>
      </c>
      <c r="I1979" s="50" t="str">
        <f>IF(ISNUMBER(H1979),IF(COUNTIFS($D$2:D1979,D1979,$H$2:H1979,H1979)=1,1,0),"")</f>
        <v/>
      </c>
      <c r="J1979" s="50" t="str">
        <f>IF(ISNUMBER(H1979),IFERROR(INDEX(Calendrier!$C$2:$C$367,MATCH(H1979,Calendrier!$A$2:$A$367,0)),0),"")</f>
        <v/>
      </c>
      <c r="K1979" s="50" t="str">
        <f t="shared" si="154"/>
        <v/>
      </c>
      <c r="L1979" s="50" t="str">
        <f>IF(D1979="","",IF(COUNTIF(Paramètres!$A$11:$A$40,D1979)&gt;0,1,0))</f>
        <v/>
      </c>
    </row>
    <row r="1980" spans="1:12" hidden="1" x14ac:dyDescent="0.25">
      <c r="A1980" s="49"/>
      <c r="B1980" s="49"/>
      <c r="C1980" s="49"/>
      <c r="D1980" s="50" t="str">
        <f t="shared" si="150"/>
        <v/>
      </c>
      <c r="E1980" s="50" t="str">
        <f t="shared" si="151"/>
        <v/>
      </c>
      <c r="F1980" s="50" t="str">
        <f t="shared" si="152"/>
        <v/>
      </c>
      <c r="G1980" s="50" t="str">
        <f t="shared" si="153"/>
        <v/>
      </c>
      <c r="H1980" s="51" t="str">
        <f>IF($C1980="","",IFERROR(DATE(G1980,VLOOKUP(E1980,Paramètres!$K$11:$L$40,2,FALSE()),F1980),"?"))</f>
        <v/>
      </c>
      <c r="I1980" s="50" t="str">
        <f>IF(ISNUMBER(H1980),IF(COUNTIFS($D$2:D1980,D1980,$H$2:H1980,H1980)=1,1,0),"")</f>
        <v/>
      </c>
      <c r="J1980" s="50" t="str">
        <f>IF(ISNUMBER(H1980),IFERROR(INDEX(Calendrier!$C$2:$C$367,MATCH(H1980,Calendrier!$A$2:$A$367,0)),0),"")</f>
        <v/>
      </c>
      <c r="K1980" s="50" t="str">
        <f t="shared" si="154"/>
        <v/>
      </c>
      <c r="L1980" s="50" t="str">
        <f>IF(D1980="","",IF(COUNTIF(Paramètres!$A$11:$A$40,D1980)&gt;0,1,0))</f>
        <v/>
      </c>
    </row>
    <row r="1981" spans="1:12" hidden="1" x14ac:dyDescent="0.25">
      <c r="A1981" s="49"/>
      <c r="B1981" s="49"/>
      <c r="C1981" s="49"/>
      <c r="D1981" s="50" t="str">
        <f t="shared" si="150"/>
        <v/>
      </c>
      <c r="E1981" s="50" t="str">
        <f t="shared" si="151"/>
        <v/>
      </c>
      <c r="F1981" s="50" t="str">
        <f t="shared" si="152"/>
        <v/>
      </c>
      <c r="G1981" s="50" t="str">
        <f t="shared" si="153"/>
        <v/>
      </c>
      <c r="H1981" s="51" t="str">
        <f>IF($C1981="","",IFERROR(DATE(G1981,VLOOKUP(E1981,Paramètres!$K$11:$L$40,2,FALSE()),F1981),"?"))</f>
        <v/>
      </c>
      <c r="I1981" s="50" t="str">
        <f>IF(ISNUMBER(H1981),IF(COUNTIFS($D$2:D1981,D1981,$H$2:H1981,H1981)=1,1,0),"")</f>
        <v/>
      </c>
      <c r="J1981" s="50" t="str">
        <f>IF(ISNUMBER(H1981),IFERROR(INDEX(Calendrier!$C$2:$C$367,MATCH(H1981,Calendrier!$A$2:$A$367,0)),0),"")</f>
        <v/>
      </c>
      <c r="K1981" s="50" t="str">
        <f t="shared" si="154"/>
        <v/>
      </c>
      <c r="L1981" s="50" t="str">
        <f>IF(D1981="","",IF(COUNTIF(Paramètres!$A$11:$A$40,D1981)&gt;0,1,0))</f>
        <v/>
      </c>
    </row>
    <row r="1982" spans="1:12" hidden="1" x14ac:dyDescent="0.25">
      <c r="A1982" s="49"/>
      <c r="B1982" s="49"/>
      <c r="C1982" s="49"/>
      <c r="D1982" s="50" t="str">
        <f t="shared" si="150"/>
        <v/>
      </c>
      <c r="E1982" s="50" t="str">
        <f t="shared" si="151"/>
        <v/>
      </c>
      <c r="F1982" s="50" t="str">
        <f t="shared" si="152"/>
        <v/>
      </c>
      <c r="G1982" s="50" t="str">
        <f t="shared" si="153"/>
        <v/>
      </c>
      <c r="H1982" s="51" t="str">
        <f>IF($C1982="","",IFERROR(DATE(G1982,VLOOKUP(E1982,Paramètres!$K$11:$L$40,2,FALSE()),F1982),"?"))</f>
        <v/>
      </c>
      <c r="I1982" s="50" t="str">
        <f>IF(ISNUMBER(H1982),IF(COUNTIFS($D$2:D1982,D1982,$H$2:H1982,H1982)=1,1,0),"")</f>
        <v/>
      </c>
      <c r="J1982" s="50" t="str">
        <f>IF(ISNUMBER(H1982),IFERROR(INDEX(Calendrier!$C$2:$C$367,MATCH(H1982,Calendrier!$A$2:$A$367,0)),0),"")</f>
        <v/>
      </c>
      <c r="K1982" s="50" t="str">
        <f t="shared" si="154"/>
        <v/>
      </c>
      <c r="L1982" s="50" t="str">
        <f>IF(D1982="","",IF(COUNTIF(Paramètres!$A$11:$A$40,D1982)&gt;0,1,0))</f>
        <v/>
      </c>
    </row>
    <row r="1983" spans="1:12" hidden="1" x14ac:dyDescent="0.25">
      <c r="A1983" s="49"/>
      <c r="B1983" s="49"/>
      <c r="C1983" s="49"/>
      <c r="D1983" s="50" t="str">
        <f t="shared" si="150"/>
        <v/>
      </c>
      <c r="E1983" s="50" t="str">
        <f t="shared" si="151"/>
        <v/>
      </c>
      <c r="F1983" s="50" t="str">
        <f t="shared" si="152"/>
        <v/>
      </c>
      <c r="G1983" s="50" t="str">
        <f t="shared" si="153"/>
        <v/>
      </c>
      <c r="H1983" s="51" t="str">
        <f>IF($C1983="","",IFERROR(DATE(G1983,VLOOKUP(E1983,Paramètres!$K$11:$L$40,2,FALSE()),F1983),"?"))</f>
        <v/>
      </c>
      <c r="I1983" s="50" t="str">
        <f>IF(ISNUMBER(H1983),IF(COUNTIFS($D$2:D1983,D1983,$H$2:H1983,H1983)=1,1,0),"")</f>
        <v/>
      </c>
      <c r="J1983" s="50" t="str">
        <f>IF(ISNUMBER(H1983),IFERROR(INDEX(Calendrier!$C$2:$C$367,MATCH(H1983,Calendrier!$A$2:$A$367,0)),0),"")</f>
        <v/>
      </c>
      <c r="K1983" s="50" t="str">
        <f t="shared" si="154"/>
        <v/>
      </c>
      <c r="L1983" s="50" t="str">
        <f>IF(D1983="","",IF(COUNTIF(Paramètres!$A$11:$A$40,D1983)&gt;0,1,0))</f>
        <v/>
      </c>
    </row>
    <row r="1984" spans="1:12" hidden="1" x14ac:dyDescent="0.25">
      <c r="A1984" s="49"/>
      <c r="B1984" s="49"/>
      <c r="C1984" s="49"/>
      <c r="D1984" s="50" t="str">
        <f t="shared" si="150"/>
        <v/>
      </c>
      <c r="E1984" s="50" t="str">
        <f t="shared" si="151"/>
        <v/>
      </c>
      <c r="F1984" s="50" t="str">
        <f t="shared" si="152"/>
        <v/>
      </c>
      <c r="G1984" s="50" t="str">
        <f t="shared" si="153"/>
        <v/>
      </c>
      <c r="H1984" s="51" t="str">
        <f>IF($C1984="","",IFERROR(DATE(G1984,VLOOKUP(E1984,Paramètres!$K$11:$L$40,2,FALSE()),F1984),"?"))</f>
        <v/>
      </c>
      <c r="I1984" s="50" t="str">
        <f>IF(ISNUMBER(H1984),IF(COUNTIFS($D$2:D1984,D1984,$H$2:H1984,H1984)=1,1,0),"")</f>
        <v/>
      </c>
      <c r="J1984" s="50" t="str">
        <f>IF(ISNUMBER(H1984),IFERROR(INDEX(Calendrier!$C$2:$C$367,MATCH(H1984,Calendrier!$A$2:$A$367,0)),0),"")</f>
        <v/>
      </c>
      <c r="K1984" s="50" t="str">
        <f t="shared" si="154"/>
        <v/>
      </c>
      <c r="L1984" s="50" t="str">
        <f>IF(D1984="","",IF(COUNTIF(Paramètres!$A$11:$A$40,D1984)&gt;0,1,0))</f>
        <v/>
      </c>
    </row>
    <row r="1985" spans="1:12" hidden="1" x14ac:dyDescent="0.25">
      <c r="A1985" s="49"/>
      <c r="B1985" s="49"/>
      <c r="C1985" s="49"/>
      <c r="D1985" s="50" t="str">
        <f t="shared" si="150"/>
        <v/>
      </c>
      <c r="E1985" s="50" t="str">
        <f t="shared" si="151"/>
        <v/>
      </c>
      <c r="F1985" s="50" t="str">
        <f t="shared" si="152"/>
        <v/>
      </c>
      <c r="G1985" s="50" t="str">
        <f t="shared" si="153"/>
        <v/>
      </c>
      <c r="H1985" s="51" t="str">
        <f>IF($C1985="","",IFERROR(DATE(G1985,VLOOKUP(E1985,Paramètres!$K$11:$L$40,2,FALSE()),F1985),"?"))</f>
        <v/>
      </c>
      <c r="I1985" s="50" t="str">
        <f>IF(ISNUMBER(H1985),IF(COUNTIFS($D$2:D1985,D1985,$H$2:H1985,H1985)=1,1,0),"")</f>
        <v/>
      </c>
      <c r="J1985" s="50" t="str">
        <f>IF(ISNUMBER(H1985),IFERROR(INDEX(Calendrier!$C$2:$C$367,MATCH(H1985,Calendrier!$A$2:$A$367,0)),0),"")</f>
        <v/>
      </c>
      <c r="K1985" s="50" t="str">
        <f t="shared" si="154"/>
        <v/>
      </c>
      <c r="L1985" s="50" t="str">
        <f>IF(D1985="","",IF(COUNTIF(Paramètres!$A$11:$A$40,D1985)&gt;0,1,0))</f>
        <v/>
      </c>
    </row>
    <row r="1986" spans="1:12" hidden="1" x14ac:dyDescent="0.25">
      <c r="A1986" s="49"/>
      <c r="B1986" s="49"/>
      <c r="C1986" s="49"/>
      <c r="D1986" s="50" t="str">
        <f t="shared" ref="D1986:D2049" si="155">IF(B1986="","",TRIM(B1986))</f>
        <v/>
      </c>
      <c r="E1986" s="50" t="str">
        <f t="shared" ref="E1986:E2049" si="156">IF($C1986="","",LEFT($C1986,FIND(" ",$C1986)-1))</f>
        <v/>
      </c>
      <c r="F1986" s="50" t="str">
        <f t="shared" ref="F1986:F2049" si="157">IF($C1986="","",IFERROR(VALUE(LEFT(MID($C1986,FIND(" ",$C1986)+1,20),FIND(" ",MID($C1986,FIND(" ",$C1986)+1,20))-1)),"?"))</f>
        <v/>
      </c>
      <c r="G1986" s="50" t="str">
        <f t="shared" ref="G1986:G2049" si="158">IF($C1986="","",IFERROR(VALUE(MID(MID($C1986,FIND(" ",$C1986)+1,20),FIND(" ",MID($C1986,FIND(" ",$C1986)+1,20))+1,4)),"?"))</f>
        <v/>
      </c>
      <c r="H1986" s="51" t="str">
        <f>IF($C1986="","",IFERROR(DATE(G1986,VLOOKUP(E1986,Paramètres!$K$11:$L$40,2,FALSE()),F1986),"?"))</f>
        <v/>
      </c>
      <c r="I1986" s="50" t="str">
        <f>IF(ISNUMBER(H1986),IF(COUNTIFS($D$2:D1986,D1986,$H$2:H1986,H1986)=1,1,0),"")</f>
        <v/>
      </c>
      <c r="J1986" s="50" t="str">
        <f>IF(ISNUMBER(H1986),IFERROR(INDEX(Calendrier!$C$2:$C$367,MATCH(H1986,Calendrier!$A$2:$A$367,0)),0),"")</f>
        <v/>
      </c>
      <c r="K1986" s="50" t="str">
        <f t="shared" ref="K1986:K2049" si="159">IF(ISNUMBER(H1986),I1986*J1986,"")</f>
        <v/>
      </c>
      <c r="L1986" s="50" t="str">
        <f>IF(D1986="","",IF(COUNTIF(Paramètres!$A$11:$A$40,D1986)&gt;0,1,0))</f>
        <v/>
      </c>
    </row>
    <row r="1987" spans="1:12" hidden="1" x14ac:dyDescent="0.25">
      <c r="A1987" s="49"/>
      <c r="B1987" s="49"/>
      <c r="C1987" s="49"/>
      <c r="D1987" s="50" t="str">
        <f t="shared" si="155"/>
        <v/>
      </c>
      <c r="E1987" s="50" t="str">
        <f t="shared" si="156"/>
        <v/>
      </c>
      <c r="F1987" s="50" t="str">
        <f t="shared" si="157"/>
        <v/>
      </c>
      <c r="G1987" s="50" t="str">
        <f t="shared" si="158"/>
        <v/>
      </c>
      <c r="H1987" s="51" t="str">
        <f>IF($C1987="","",IFERROR(DATE(G1987,VLOOKUP(E1987,Paramètres!$K$11:$L$40,2,FALSE()),F1987),"?"))</f>
        <v/>
      </c>
      <c r="I1987" s="50" t="str">
        <f>IF(ISNUMBER(H1987),IF(COUNTIFS($D$2:D1987,D1987,$H$2:H1987,H1987)=1,1,0),"")</f>
        <v/>
      </c>
      <c r="J1987" s="50" t="str">
        <f>IF(ISNUMBER(H1987),IFERROR(INDEX(Calendrier!$C$2:$C$367,MATCH(H1987,Calendrier!$A$2:$A$367,0)),0),"")</f>
        <v/>
      </c>
      <c r="K1987" s="50" t="str">
        <f t="shared" si="159"/>
        <v/>
      </c>
      <c r="L1987" s="50" t="str">
        <f>IF(D1987="","",IF(COUNTIF(Paramètres!$A$11:$A$40,D1987)&gt;0,1,0))</f>
        <v/>
      </c>
    </row>
    <row r="1988" spans="1:12" hidden="1" x14ac:dyDescent="0.25">
      <c r="A1988" s="49"/>
      <c r="B1988" s="49"/>
      <c r="C1988" s="49"/>
      <c r="D1988" s="50" t="str">
        <f t="shared" si="155"/>
        <v/>
      </c>
      <c r="E1988" s="50" t="str">
        <f t="shared" si="156"/>
        <v/>
      </c>
      <c r="F1988" s="50" t="str">
        <f t="shared" si="157"/>
        <v/>
      </c>
      <c r="G1988" s="50" t="str">
        <f t="shared" si="158"/>
        <v/>
      </c>
      <c r="H1988" s="51" t="str">
        <f>IF($C1988="","",IFERROR(DATE(G1988,VLOOKUP(E1988,Paramètres!$K$11:$L$40,2,FALSE()),F1988),"?"))</f>
        <v/>
      </c>
      <c r="I1988" s="50" t="str">
        <f>IF(ISNUMBER(H1988),IF(COUNTIFS($D$2:D1988,D1988,$H$2:H1988,H1988)=1,1,0),"")</f>
        <v/>
      </c>
      <c r="J1988" s="50" t="str">
        <f>IF(ISNUMBER(H1988),IFERROR(INDEX(Calendrier!$C$2:$C$367,MATCH(H1988,Calendrier!$A$2:$A$367,0)),0),"")</f>
        <v/>
      </c>
      <c r="K1988" s="50" t="str">
        <f t="shared" si="159"/>
        <v/>
      </c>
      <c r="L1988" s="50" t="str">
        <f>IF(D1988="","",IF(COUNTIF(Paramètres!$A$11:$A$40,D1988)&gt;0,1,0))</f>
        <v/>
      </c>
    </row>
    <row r="1989" spans="1:12" hidden="1" x14ac:dyDescent="0.25">
      <c r="A1989" s="49"/>
      <c r="B1989" s="49"/>
      <c r="C1989" s="49"/>
      <c r="D1989" s="50" t="str">
        <f t="shared" si="155"/>
        <v/>
      </c>
      <c r="E1989" s="50" t="str">
        <f t="shared" si="156"/>
        <v/>
      </c>
      <c r="F1989" s="50" t="str">
        <f t="shared" si="157"/>
        <v/>
      </c>
      <c r="G1989" s="50" t="str">
        <f t="shared" si="158"/>
        <v/>
      </c>
      <c r="H1989" s="51" t="str">
        <f>IF($C1989="","",IFERROR(DATE(G1989,VLOOKUP(E1989,Paramètres!$K$11:$L$40,2,FALSE()),F1989),"?"))</f>
        <v/>
      </c>
      <c r="I1989" s="50" t="str">
        <f>IF(ISNUMBER(H1989),IF(COUNTIFS($D$2:D1989,D1989,$H$2:H1989,H1989)=1,1,0),"")</f>
        <v/>
      </c>
      <c r="J1989" s="50" t="str">
        <f>IF(ISNUMBER(H1989),IFERROR(INDEX(Calendrier!$C$2:$C$367,MATCH(H1989,Calendrier!$A$2:$A$367,0)),0),"")</f>
        <v/>
      </c>
      <c r="K1989" s="50" t="str">
        <f t="shared" si="159"/>
        <v/>
      </c>
      <c r="L1989" s="50" t="str">
        <f>IF(D1989="","",IF(COUNTIF(Paramètres!$A$11:$A$40,D1989)&gt;0,1,0))</f>
        <v/>
      </c>
    </row>
    <row r="1990" spans="1:12" hidden="1" x14ac:dyDescent="0.25">
      <c r="A1990" s="49"/>
      <c r="B1990" s="49"/>
      <c r="C1990" s="49"/>
      <c r="D1990" s="50" t="str">
        <f t="shared" si="155"/>
        <v/>
      </c>
      <c r="E1990" s="50" t="str">
        <f t="shared" si="156"/>
        <v/>
      </c>
      <c r="F1990" s="50" t="str">
        <f t="shared" si="157"/>
        <v/>
      </c>
      <c r="G1990" s="50" t="str">
        <f t="shared" si="158"/>
        <v/>
      </c>
      <c r="H1990" s="51" t="str">
        <f>IF($C1990="","",IFERROR(DATE(G1990,VLOOKUP(E1990,Paramètres!$K$11:$L$40,2,FALSE()),F1990),"?"))</f>
        <v/>
      </c>
      <c r="I1990" s="50" t="str">
        <f>IF(ISNUMBER(H1990),IF(COUNTIFS($D$2:D1990,D1990,$H$2:H1990,H1990)=1,1,0),"")</f>
        <v/>
      </c>
      <c r="J1990" s="50" t="str">
        <f>IF(ISNUMBER(H1990),IFERROR(INDEX(Calendrier!$C$2:$C$367,MATCH(H1990,Calendrier!$A$2:$A$367,0)),0),"")</f>
        <v/>
      </c>
      <c r="K1990" s="50" t="str">
        <f t="shared" si="159"/>
        <v/>
      </c>
      <c r="L1990" s="50" t="str">
        <f>IF(D1990="","",IF(COUNTIF(Paramètres!$A$11:$A$40,D1990)&gt;0,1,0))</f>
        <v/>
      </c>
    </row>
    <row r="1991" spans="1:12" hidden="1" x14ac:dyDescent="0.25">
      <c r="A1991" s="49"/>
      <c r="B1991" s="49"/>
      <c r="C1991" s="49"/>
      <c r="D1991" s="50" t="str">
        <f t="shared" si="155"/>
        <v/>
      </c>
      <c r="E1991" s="50" t="str">
        <f t="shared" si="156"/>
        <v/>
      </c>
      <c r="F1991" s="50" t="str">
        <f t="shared" si="157"/>
        <v/>
      </c>
      <c r="G1991" s="50" t="str">
        <f t="shared" si="158"/>
        <v/>
      </c>
      <c r="H1991" s="51" t="str">
        <f>IF($C1991="","",IFERROR(DATE(G1991,VLOOKUP(E1991,Paramètres!$K$11:$L$40,2,FALSE()),F1991),"?"))</f>
        <v/>
      </c>
      <c r="I1991" s="50" t="str">
        <f>IF(ISNUMBER(H1991),IF(COUNTIFS($D$2:D1991,D1991,$H$2:H1991,H1991)=1,1,0),"")</f>
        <v/>
      </c>
      <c r="J1991" s="50" t="str">
        <f>IF(ISNUMBER(H1991),IFERROR(INDEX(Calendrier!$C$2:$C$367,MATCH(H1991,Calendrier!$A$2:$A$367,0)),0),"")</f>
        <v/>
      </c>
      <c r="K1991" s="50" t="str">
        <f t="shared" si="159"/>
        <v/>
      </c>
      <c r="L1991" s="50" t="str">
        <f>IF(D1991="","",IF(COUNTIF(Paramètres!$A$11:$A$40,D1991)&gt;0,1,0))</f>
        <v/>
      </c>
    </row>
    <row r="1992" spans="1:12" hidden="1" x14ac:dyDescent="0.25">
      <c r="A1992" s="49"/>
      <c r="B1992" s="49"/>
      <c r="C1992" s="49"/>
      <c r="D1992" s="50" t="str">
        <f t="shared" si="155"/>
        <v/>
      </c>
      <c r="E1992" s="50" t="str">
        <f t="shared" si="156"/>
        <v/>
      </c>
      <c r="F1992" s="50" t="str">
        <f t="shared" si="157"/>
        <v/>
      </c>
      <c r="G1992" s="50" t="str">
        <f t="shared" si="158"/>
        <v/>
      </c>
      <c r="H1992" s="51" t="str">
        <f>IF($C1992="","",IFERROR(DATE(G1992,VLOOKUP(E1992,Paramètres!$K$11:$L$40,2,FALSE()),F1992),"?"))</f>
        <v/>
      </c>
      <c r="I1992" s="50" t="str">
        <f>IF(ISNUMBER(H1992),IF(COUNTIFS($D$2:D1992,D1992,$H$2:H1992,H1992)=1,1,0),"")</f>
        <v/>
      </c>
      <c r="J1992" s="50" t="str">
        <f>IF(ISNUMBER(H1992),IFERROR(INDEX(Calendrier!$C$2:$C$367,MATCH(H1992,Calendrier!$A$2:$A$367,0)),0),"")</f>
        <v/>
      </c>
      <c r="K1992" s="50" t="str">
        <f t="shared" si="159"/>
        <v/>
      </c>
      <c r="L1992" s="50" t="str">
        <f>IF(D1992="","",IF(COUNTIF(Paramètres!$A$11:$A$40,D1992)&gt;0,1,0))</f>
        <v/>
      </c>
    </row>
    <row r="1993" spans="1:12" hidden="1" x14ac:dyDescent="0.25">
      <c r="A1993" s="49"/>
      <c r="B1993" s="49"/>
      <c r="C1993" s="49"/>
      <c r="D1993" s="50" t="str">
        <f t="shared" si="155"/>
        <v/>
      </c>
      <c r="E1993" s="50" t="str">
        <f t="shared" si="156"/>
        <v/>
      </c>
      <c r="F1993" s="50" t="str">
        <f t="shared" si="157"/>
        <v/>
      </c>
      <c r="G1993" s="50" t="str">
        <f t="shared" si="158"/>
        <v/>
      </c>
      <c r="H1993" s="51" t="str">
        <f>IF($C1993="","",IFERROR(DATE(G1993,VLOOKUP(E1993,Paramètres!$K$11:$L$40,2,FALSE()),F1993),"?"))</f>
        <v/>
      </c>
      <c r="I1993" s="50" t="str">
        <f>IF(ISNUMBER(H1993),IF(COUNTIFS($D$2:D1993,D1993,$H$2:H1993,H1993)=1,1,0),"")</f>
        <v/>
      </c>
      <c r="J1993" s="50" t="str">
        <f>IF(ISNUMBER(H1993),IFERROR(INDEX(Calendrier!$C$2:$C$367,MATCH(H1993,Calendrier!$A$2:$A$367,0)),0),"")</f>
        <v/>
      </c>
      <c r="K1993" s="50" t="str">
        <f t="shared" si="159"/>
        <v/>
      </c>
      <c r="L1993" s="50" t="str">
        <f>IF(D1993="","",IF(COUNTIF(Paramètres!$A$11:$A$40,D1993)&gt;0,1,0))</f>
        <v/>
      </c>
    </row>
    <row r="1994" spans="1:12" hidden="1" x14ac:dyDescent="0.25">
      <c r="A1994" s="49"/>
      <c r="B1994" s="49"/>
      <c r="C1994" s="49"/>
      <c r="D1994" s="50" t="str">
        <f t="shared" si="155"/>
        <v/>
      </c>
      <c r="E1994" s="50" t="str">
        <f t="shared" si="156"/>
        <v/>
      </c>
      <c r="F1994" s="50" t="str">
        <f t="shared" si="157"/>
        <v/>
      </c>
      <c r="G1994" s="50" t="str">
        <f t="shared" si="158"/>
        <v/>
      </c>
      <c r="H1994" s="51" t="str">
        <f>IF($C1994="","",IFERROR(DATE(G1994,VLOOKUP(E1994,Paramètres!$K$11:$L$40,2,FALSE()),F1994),"?"))</f>
        <v/>
      </c>
      <c r="I1994" s="50" t="str">
        <f>IF(ISNUMBER(H1994),IF(COUNTIFS($D$2:D1994,D1994,$H$2:H1994,H1994)=1,1,0),"")</f>
        <v/>
      </c>
      <c r="J1994" s="50" t="str">
        <f>IF(ISNUMBER(H1994),IFERROR(INDEX(Calendrier!$C$2:$C$367,MATCH(H1994,Calendrier!$A$2:$A$367,0)),0),"")</f>
        <v/>
      </c>
      <c r="K1994" s="50" t="str">
        <f t="shared" si="159"/>
        <v/>
      </c>
      <c r="L1994" s="50" t="str">
        <f>IF(D1994="","",IF(COUNTIF(Paramètres!$A$11:$A$40,D1994)&gt;0,1,0))</f>
        <v/>
      </c>
    </row>
    <row r="1995" spans="1:12" hidden="1" x14ac:dyDescent="0.25">
      <c r="A1995" s="49"/>
      <c r="B1995" s="49"/>
      <c r="C1995" s="49"/>
      <c r="D1995" s="50" t="str">
        <f t="shared" si="155"/>
        <v/>
      </c>
      <c r="E1995" s="50" t="str">
        <f t="shared" si="156"/>
        <v/>
      </c>
      <c r="F1995" s="50" t="str">
        <f t="shared" si="157"/>
        <v/>
      </c>
      <c r="G1995" s="50" t="str">
        <f t="shared" si="158"/>
        <v/>
      </c>
      <c r="H1995" s="51" t="str">
        <f>IF($C1995="","",IFERROR(DATE(G1995,VLOOKUP(E1995,Paramètres!$K$11:$L$40,2,FALSE()),F1995),"?"))</f>
        <v/>
      </c>
      <c r="I1995" s="50" t="str">
        <f>IF(ISNUMBER(H1995),IF(COUNTIFS($D$2:D1995,D1995,$H$2:H1995,H1995)=1,1,0),"")</f>
        <v/>
      </c>
      <c r="J1995" s="50" t="str">
        <f>IF(ISNUMBER(H1995),IFERROR(INDEX(Calendrier!$C$2:$C$367,MATCH(H1995,Calendrier!$A$2:$A$367,0)),0),"")</f>
        <v/>
      </c>
      <c r="K1995" s="50" t="str">
        <f t="shared" si="159"/>
        <v/>
      </c>
      <c r="L1995" s="50" t="str">
        <f>IF(D1995="","",IF(COUNTIF(Paramètres!$A$11:$A$40,D1995)&gt;0,1,0))</f>
        <v/>
      </c>
    </row>
    <row r="1996" spans="1:12" hidden="1" x14ac:dyDescent="0.25">
      <c r="A1996" s="49"/>
      <c r="B1996" s="49"/>
      <c r="C1996" s="49"/>
      <c r="D1996" s="50" t="str">
        <f t="shared" si="155"/>
        <v/>
      </c>
      <c r="E1996" s="50" t="str">
        <f t="shared" si="156"/>
        <v/>
      </c>
      <c r="F1996" s="50" t="str">
        <f t="shared" si="157"/>
        <v/>
      </c>
      <c r="G1996" s="50" t="str">
        <f t="shared" si="158"/>
        <v/>
      </c>
      <c r="H1996" s="51" t="str">
        <f>IF($C1996="","",IFERROR(DATE(G1996,VLOOKUP(E1996,Paramètres!$K$11:$L$40,2,FALSE()),F1996),"?"))</f>
        <v/>
      </c>
      <c r="I1996" s="50" t="str">
        <f>IF(ISNUMBER(H1996),IF(COUNTIFS($D$2:D1996,D1996,$H$2:H1996,H1996)=1,1,0),"")</f>
        <v/>
      </c>
      <c r="J1996" s="50" t="str">
        <f>IF(ISNUMBER(H1996),IFERROR(INDEX(Calendrier!$C$2:$C$367,MATCH(H1996,Calendrier!$A$2:$A$367,0)),0),"")</f>
        <v/>
      </c>
      <c r="K1996" s="50" t="str">
        <f t="shared" si="159"/>
        <v/>
      </c>
      <c r="L1996" s="50" t="str">
        <f>IF(D1996="","",IF(COUNTIF(Paramètres!$A$11:$A$40,D1996)&gt;0,1,0))</f>
        <v/>
      </c>
    </row>
    <row r="1997" spans="1:12" hidden="1" x14ac:dyDescent="0.25">
      <c r="A1997" s="49"/>
      <c r="B1997" s="49"/>
      <c r="C1997" s="49"/>
      <c r="D1997" s="50" t="str">
        <f t="shared" si="155"/>
        <v/>
      </c>
      <c r="E1997" s="50" t="str">
        <f t="shared" si="156"/>
        <v/>
      </c>
      <c r="F1997" s="50" t="str">
        <f t="shared" si="157"/>
        <v/>
      </c>
      <c r="G1997" s="50" t="str">
        <f t="shared" si="158"/>
        <v/>
      </c>
      <c r="H1997" s="51" t="str">
        <f>IF($C1997="","",IFERROR(DATE(G1997,VLOOKUP(E1997,Paramètres!$K$11:$L$40,2,FALSE()),F1997),"?"))</f>
        <v/>
      </c>
      <c r="I1997" s="50" t="str">
        <f>IF(ISNUMBER(H1997),IF(COUNTIFS($D$2:D1997,D1997,$H$2:H1997,H1997)=1,1,0),"")</f>
        <v/>
      </c>
      <c r="J1997" s="50" t="str">
        <f>IF(ISNUMBER(H1997),IFERROR(INDEX(Calendrier!$C$2:$C$367,MATCH(H1997,Calendrier!$A$2:$A$367,0)),0),"")</f>
        <v/>
      </c>
      <c r="K1997" s="50" t="str">
        <f t="shared" si="159"/>
        <v/>
      </c>
      <c r="L1997" s="50" t="str">
        <f>IF(D1997="","",IF(COUNTIF(Paramètres!$A$11:$A$40,D1997)&gt;0,1,0))</f>
        <v/>
      </c>
    </row>
    <row r="1998" spans="1:12" hidden="1" x14ac:dyDescent="0.25">
      <c r="A1998" s="49"/>
      <c r="B1998" s="49"/>
      <c r="C1998" s="49"/>
      <c r="D1998" s="50" t="str">
        <f t="shared" si="155"/>
        <v/>
      </c>
      <c r="E1998" s="50" t="str">
        <f t="shared" si="156"/>
        <v/>
      </c>
      <c r="F1998" s="50" t="str">
        <f t="shared" si="157"/>
        <v/>
      </c>
      <c r="G1998" s="50" t="str">
        <f t="shared" si="158"/>
        <v/>
      </c>
      <c r="H1998" s="51" t="str">
        <f>IF($C1998="","",IFERROR(DATE(G1998,VLOOKUP(E1998,Paramètres!$K$11:$L$40,2,FALSE()),F1998),"?"))</f>
        <v/>
      </c>
      <c r="I1998" s="50" t="str">
        <f>IF(ISNUMBER(H1998),IF(COUNTIFS($D$2:D1998,D1998,$H$2:H1998,H1998)=1,1,0),"")</f>
        <v/>
      </c>
      <c r="J1998" s="50" t="str">
        <f>IF(ISNUMBER(H1998),IFERROR(INDEX(Calendrier!$C$2:$C$367,MATCH(H1998,Calendrier!$A$2:$A$367,0)),0),"")</f>
        <v/>
      </c>
      <c r="K1998" s="50" t="str">
        <f t="shared" si="159"/>
        <v/>
      </c>
      <c r="L1998" s="50" t="str">
        <f>IF(D1998="","",IF(COUNTIF(Paramètres!$A$11:$A$40,D1998)&gt;0,1,0))</f>
        <v/>
      </c>
    </row>
    <row r="1999" spans="1:12" hidden="1" x14ac:dyDescent="0.25">
      <c r="A1999" s="49"/>
      <c r="B1999" s="49"/>
      <c r="C1999" s="49"/>
      <c r="D1999" s="50" t="str">
        <f t="shared" si="155"/>
        <v/>
      </c>
      <c r="E1999" s="50" t="str">
        <f t="shared" si="156"/>
        <v/>
      </c>
      <c r="F1999" s="50" t="str">
        <f t="shared" si="157"/>
        <v/>
      </c>
      <c r="G1999" s="50" t="str">
        <f t="shared" si="158"/>
        <v/>
      </c>
      <c r="H1999" s="51" t="str">
        <f>IF($C1999="","",IFERROR(DATE(G1999,VLOOKUP(E1999,Paramètres!$K$11:$L$40,2,FALSE()),F1999),"?"))</f>
        <v/>
      </c>
      <c r="I1999" s="50" t="str">
        <f>IF(ISNUMBER(H1999),IF(COUNTIFS($D$2:D1999,D1999,$H$2:H1999,H1999)=1,1,0),"")</f>
        <v/>
      </c>
      <c r="J1999" s="50" t="str">
        <f>IF(ISNUMBER(H1999),IFERROR(INDEX(Calendrier!$C$2:$C$367,MATCH(H1999,Calendrier!$A$2:$A$367,0)),0),"")</f>
        <v/>
      </c>
      <c r="K1999" s="50" t="str">
        <f t="shared" si="159"/>
        <v/>
      </c>
      <c r="L1999" s="50" t="str">
        <f>IF(D1999="","",IF(COUNTIF(Paramètres!$A$11:$A$40,D1999)&gt;0,1,0))</f>
        <v/>
      </c>
    </row>
    <row r="2000" spans="1:12" hidden="1" x14ac:dyDescent="0.25">
      <c r="A2000" s="49"/>
      <c r="B2000" s="49"/>
      <c r="C2000" s="49"/>
      <c r="D2000" s="50" t="str">
        <f t="shared" si="155"/>
        <v/>
      </c>
      <c r="E2000" s="50" t="str">
        <f t="shared" si="156"/>
        <v/>
      </c>
      <c r="F2000" s="50" t="str">
        <f t="shared" si="157"/>
        <v/>
      </c>
      <c r="G2000" s="50" t="str">
        <f t="shared" si="158"/>
        <v/>
      </c>
      <c r="H2000" s="51" t="str">
        <f>IF($C2000="","",IFERROR(DATE(G2000,VLOOKUP(E2000,Paramètres!$K$11:$L$40,2,FALSE()),F2000),"?"))</f>
        <v/>
      </c>
      <c r="I2000" s="50" t="str">
        <f>IF(ISNUMBER(H2000),IF(COUNTIFS($D$2:D2000,D2000,$H$2:H2000,H2000)=1,1,0),"")</f>
        <v/>
      </c>
      <c r="J2000" s="50" t="str">
        <f>IF(ISNUMBER(H2000),IFERROR(INDEX(Calendrier!$C$2:$C$367,MATCH(H2000,Calendrier!$A$2:$A$367,0)),0),"")</f>
        <v/>
      </c>
      <c r="K2000" s="50" t="str">
        <f t="shared" si="159"/>
        <v/>
      </c>
      <c r="L2000" s="50" t="str">
        <f>IF(D2000="","",IF(COUNTIF(Paramètres!$A$11:$A$40,D2000)&gt;0,1,0))</f>
        <v/>
      </c>
    </row>
    <row r="2001" spans="1:12" hidden="1" x14ac:dyDescent="0.25">
      <c r="A2001" s="49"/>
      <c r="B2001" s="49"/>
      <c r="C2001" s="49"/>
      <c r="D2001" s="50" t="str">
        <f t="shared" si="155"/>
        <v/>
      </c>
      <c r="E2001" s="50" t="str">
        <f t="shared" si="156"/>
        <v/>
      </c>
      <c r="F2001" s="50" t="str">
        <f t="shared" si="157"/>
        <v/>
      </c>
      <c r="G2001" s="50" t="str">
        <f t="shared" si="158"/>
        <v/>
      </c>
      <c r="H2001" s="51" t="str">
        <f>IF($C2001="","",IFERROR(DATE(G2001,VLOOKUP(E2001,Paramètres!$K$11:$L$40,2,FALSE()),F2001),"?"))</f>
        <v/>
      </c>
      <c r="I2001" s="50" t="str">
        <f>IF(ISNUMBER(H2001),IF(COUNTIFS($D$2:D2001,D2001,$H$2:H2001,H2001)=1,1,0),"")</f>
        <v/>
      </c>
      <c r="J2001" s="50" t="str">
        <f>IF(ISNUMBER(H2001),IFERROR(INDEX(Calendrier!$C$2:$C$367,MATCH(H2001,Calendrier!$A$2:$A$367,0)),0),"")</f>
        <v/>
      </c>
      <c r="K2001" s="50" t="str">
        <f t="shared" si="159"/>
        <v/>
      </c>
      <c r="L2001" s="50" t="str">
        <f>IF(D2001="","",IF(COUNTIF(Paramètres!$A$11:$A$40,D2001)&gt;0,1,0))</f>
        <v/>
      </c>
    </row>
    <row r="2002" spans="1:12" hidden="1" x14ac:dyDescent="0.25">
      <c r="A2002" s="49"/>
      <c r="B2002" s="49"/>
      <c r="C2002" s="49"/>
      <c r="D2002" s="50" t="str">
        <f t="shared" si="155"/>
        <v/>
      </c>
      <c r="E2002" s="50" t="str">
        <f t="shared" si="156"/>
        <v/>
      </c>
      <c r="F2002" s="50" t="str">
        <f t="shared" si="157"/>
        <v/>
      </c>
      <c r="G2002" s="50" t="str">
        <f t="shared" si="158"/>
        <v/>
      </c>
      <c r="H2002" s="51" t="str">
        <f>IF($C2002="","",IFERROR(DATE(G2002,VLOOKUP(E2002,Paramètres!$K$11:$L$40,2,FALSE()),F2002),"?"))</f>
        <v/>
      </c>
      <c r="I2002" s="50" t="str">
        <f>IF(ISNUMBER(H2002),IF(COUNTIFS($D$2:D2002,D2002,$H$2:H2002,H2002)=1,1,0),"")</f>
        <v/>
      </c>
      <c r="J2002" s="50" t="str">
        <f>IF(ISNUMBER(H2002),IFERROR(INDEX(Calendrier!$C$2:$C$367,MATCH(H2002,Calendrier!$A$2:$A$367,0)),0),"")</f>
        <v/>
      </c>
      <c r="K2002" s="50" t="str">
        <f t="shared" si="159"/>
        <v/>
      </c>
      <c r="L2002" s="50" t="str">
        <f>IF(D2002="","",IF(COUNTIF(Paramètres!$A$11:$A$40,D2002)&gt;0,1,0))</f>
        <v/>
      </c>
    </row>
    <row r="2003" spans="1:12" hidden="1" x14ac:dyDescent="0.25">
      <c r="A2003" s="49"/>
      <c r="B2003" s="49"/>
      <c r="C2003" s="49"/>
      <c r="D2003" s="50" t="str">
        <f t="shared" si="155"/>
        <v/>
      </c>
      <c r="E2003" s="50" t="str">
        <f t="shared" si="156"/>
        <v/>
      </c>
      <c r="F2003" s="50" t="str">
        <f t="shared" si="157"/>
        <v/>
      </c>
      <c r="G2003" s="50" t="str">
        <f t="shared" si="158"/>
        <v/>
      </c>
      <c r="H2003" s="51" t="str">
        <f>IF($C2003="","",IFERROR(DATE(G2003,VLOOKUP(E2003,Paramètres!$K$11:$L$40,2,FALSE()),F2003),"?"))</f>
        <v/>
      </c>
      <c r="I2003" s="50" t="str">
        <f>IF(ISNUMBER(H2003),IF(COUNTIFS($D$2:D2003,D2003,$H$2:H2003,H2003)=1,1,0),"")</f>
        <v/>
      </c>
      <c r="J2003" s="50" t="str">
        <f>IF(ISNUMBER(H2003),IFERROR(INDEX(Calendrier!$C$2:$C$367,MATCH(H2003,Calendrier!$A$2:$A$367,0)),0),"")</f>
        <v/>
      </c>
      <c r="K2003" s="50" t="str">
        <f t="shared" si="159"/>
        <v/>
      </c>
      <c r="L2003" s="50" t="str">
        <f>IF(D2003="","",IF(COUNTIF(Paramètres!$A$11:$A$40,D2003)&gt;0,1,0))</f>
        <v/>
      </c>
    </row>
    <row r="2004" spans="1:12" hidden="1" x14ac:dyDescent="0.25">
      <c r="A2004" s="49"/>
      <c r="B2004" s="49"/>
      <c r="C2004" s="49"/>
      <c r="D2004" s="50" t="str">
        <f t="shared" si="155"/>
        <v/>
      </c>
      <c r="E2004" s="50" t="str">
        <f t="shared" si="156"/>
        <v/>
      </c>
      <c r="F2004" s="50" t="str">
        <f t="shared" si="157"/>
        <v/>
      </c>
      <c r="G2004" s="50" t="str">
        <f t="shared" si="158"/>
        <v/>
      </c>
      <c r="H2004" s="51" t="str">
        <f>IF($C2004="","",IFERROR(DATE(G2004,VLOOKUP(E2004,Paramètres!$K$11:$L$40,2,FALSE()),F2004),"?"))</f>
        <v/>
      </c>
      <c r="I2004" s="50" t="str">
        <f>IF(ISNUMBER(H2004),IF(COUNTIFS($D$2:D2004,D2004,$H$2:H2004,H2004)=1,1,0),"")</f>
        <v/>
      </c>
      <c r="J2004" s="50" t="str">
        <f>IF(ISNUMBER(H2004),IFERROR(INDEX(Calendrier!$C$2:$C$367,MATCH(H2004,Calendrier!$A$2:$A$367,0)),0),"")</f>
        <v/>
      </c>
      <c r="K2004" s="50" t="str">
        <f t="shared" si="159"/>
        <v/>
      </c>
      <c r="L2004" s="50" t="str">
        <f>IF(D2004="","",IF(COUNTIF(Paramètres!$A$11:$A$40,D2004)&gt;0,1,0))</f>
        <v/>
      </c>
    </row>
    <row r="2005" spans="1:12" hidden="1" x14ac:dyDescent="0.25">
      <c r="A2005" s="49"/>
      <c r="B2005" s="49"/>
      <c r="C2005" s="49"/>
      <c r="D2005" s="50" t="str">
        <f t="shared" si="155"/>
        <v/>
      </c>
      <c r="E2005" s="50" t="str">
        <f t="shared" si="156"/>
        <v/>
      </c>
      <c r="F2005" s="50" t="str">
        <f t="shared" si="157"/>
        <v/>
      </c>
      <c r="G2005" s="50" t="str">
        <f t="shared" si="158"/>
        <v/>
      </c>
      <c r="H2005" s="51" t="str">
        <f>IF($C2005="","",IFERROR(DATE(G2005,VLOOKUP(E2005,Paramètres!$K$11:$L$40,2,FALSE()),F2005),"?"))</f>
        <v/>
      </c>
      <c r="I2005" s="50" t="str">
        <f>IF(ISNUMBER(H2005),IF(COUNTIFS($D$2:D2005,D2005,$H$2:H2005,H2005)=1,1,0),"")</f>
        <v/>
      </c>
      <c r="J2005" s="50" t="str">
        <f>IF(ISNUMBER(H2005),IFERROR(INDEX(Calendrier!$C$2:$C$367,MATCH(H2005,Calendrier!$A$2:$A$367,0)),0),"")</f>
        <v/>
      </c>
      <c r="K2005" s="50" t="str">
        <f t="shared" si="159"/>
        <v/>
      </c>
      <c r="L2005" s="50" t="str">
        <f>IF(D2005="","",IF(COUNTIF(Paramètres!$A$11:$A$40,D2005)&gt;0,1,0))</f>
        <v/>
      </c>
    </row>
    <row r="2006" spans="1:12" hidden="1" x14ac:dyDescent="0.25">
      <c r="A2006" s="49"/>
      <c r="B2006" s="49"/>
      <c r="C2006" s="49"/>
      <c r="D2006" s="50" t="str">
        <f t="shared" si="155"/>
        <v/>
      </c>
      <c r="E2006" s="50" t="str">
        <f t="shared" si="156"/>
        <v/>
      </c>
      <c r="F2006" s="50" t="str">
        <f t="shared" si="157"/>
        <v/>
      </c>
      <c r="G2006" s="50" t="str">
        <f t="shared" si="158"/>
        <v/>
      </c>
      <c r="H2006" s="51" t="str">
        <f>IF($C2006="","",IFERROR(DATE(G2006,VLOOKUP(E2006,Paramètres!$K$11:$L$40,2,FALSE()),F2006),"?"))</f>
        <v/>
      </c>
      <c r="I2006" s="50" t="str">
        <f>IF(ISNUMBER(H2006),IF(COUNTIFS($D$2:D2006,D2006,$H$2:H2006,H2006)=1,1,0),"")</f>
        <v/>
      </c>
      <c r="J2006" s="50" t="str">
        <f>IF(ISNUMBER(H2006),IFERROR(INDEX(Calendrier!$C$2:$C$367,MATCH(H2006,Calendrier!$A$2:$A$367,0)),0),"")</f>
        <v/>
      </c>
      <c r="K2006" s="50" t="str">
        <f t="shared" si="159"/>
        <v/>
      </c>
      <c r="L2006" s="50" t="str">
        <f>IF(D2006="","",IF(COUNTIF(Paramètres!$A$11:$A$40,D2006)&gt;0,1,0))</f>
        <v/>
      </c>
    </row>
    <row r="2007" spans="1:12" hidden="1" x14ac:dyDescent="0.25">
      <c r="A2007" s="49"/>
      <c r="B2007" s="49"/>
      <c r="C2007" s="49"/>
      <c r="D2007" s="50" t="str">
        <f t="shared" si="155"/>
        <v/>
      </c>
      <c r="E2007" s="50" t="str">
        <f t="shared" si="156"/>
        <v/>
      </c>
      <c r="F2007" s="50" t="str">
        <f t="shared" si="157"/>
        <v/>
      </c>
      <c r="G2007" s="50" t="str">
        <f t="shared" si="158"/>
        <v/>
      </c>
      <c r="H2007" s="51" t="str">
        <f>IF($C2007="","",IFERROR(DATE(G2007,VLOOKUP(E2007,Paramètres!$K$11:$L$40,2,FALSE()),F2007),"?"))</f>
        <v/>
      </c>
      <c r="I2007" s="50" t="str">
        <f>IF(ISNUMBER(H2007),IF(COUNTIFS($D$2:D2007,D2007,$H$2:H2007,H2007)=1,1,0),"")</f>
        <v/>
      </c>
      <c r="J2007" s="50" t="str">
        <f>IF(ISNUMBER(H2007),IFERROR(INDEX(Calendrier!$C$2:$C$367,MATCH(H2007,Calendrier!$A$2:$A$367,0)),0),"")</f>
        <v/>
      </c>
      <c r="K2007" s="50" t="str">
        <f t="shared" si="159"/>
        <v/>
      </c>
      <c r="L2007" s="50" t="str">
        <f>IF(D2007="","",IF(COUNTIF(Paramètres!$A$11:$A$40,D2007)&gt;0,1,0))</f>
        <v/>
      </c>
    </row>
    <row r="2008" spans="1:12" hidden="1" x14ac:dyDescent="0.25">
      <c r="A2008" s="49"/>
      <c r="B2008" s="49"/>
      <c r="C2008" s="49"/>
      <c r="D2008" s="50" t="str">
        <f t="shared" si="155"/>
        <v/>
      </c>
      <c r="E2008" s="50" t="str">
        <f t="shared" si="156"/>
        <v/>
      </c>
      <c r="F2008" s="50" t="str">
        <f t="shared" si="157"/>
        <v/>
      </c>
      <c r="G2008" s="50" t="str">
        <f t="shared" si="158"/>
        <v/>
      </c>
      <c r="H2008" s="51" t="str">
        <f>IF($C2008="","",IFERROR(DATE(G2008,VLOOKUP(E2008,Paramètres!$K$11:$L$40,2,FALSE()),F2008),"?"))</f>
        <v/>
      </c>
      <c r="I2008" s="50" t="str">
        <f>IF(ISNUMBER(H2008),IF(COUNTIFS($D$2:D2008,D2008,$H$2:H2008,H2008)=1,1,0),"")</f>
        <v/>
      </c>
      <c r="J2008" s="50" t="str">
        <f>IF(ISNUMBER(H2008),IFERROR(INDEX(Calendrier!$C$2:$C$367,MATCH(H2008,Calendrier!$A$2:$A$367,0)),0),"")</f>
        <v/>
      </c>
      <c r="K2008" s="50" t="str">
        <f t="shared" si="159"/>
        <v/>
      </c>
      <c r="L2008" s="50" t="str">
        <f>IF(D2008="","",IF(COUNTIF(Paramètres!$A$11:$A$40,D2008)&gt;0,1,0))</f>
        <v/>
      </c>
    </row>
    <row r="2009" spans="1:12" hidden="1" x14ac:dyDescent="0.25">
      <c r="A2009" s="49"/>
      <c r="B2009" s="49"/>
      <c r="C2009" s="49"/>
      <c r="D2009" s="50" t="str">
        <f t="shared" si="155"/>
        <v/>
      </c>
      <c r="E2009" s="50" t="str">
        <f t="shared" si="156"/>
        <v/>
      </c>
      <c r="F2009" s="50" t="str">
        <f t="shared" si="157"/>
        <v/>
      </c>
      <c r="G2009" s="50" t="str">
        <f t="shared" si="158"/>
        <v/>
      </c>
      <c r="H2009" s="51" t="str">
        <f>IF($C2009="","",IFERROR(DATE(G2009,VLOOKUP(E2009,Paramètres!$K$11:$L$40,2,FALSE()),F2009),"?"))</f>
        <v/>
      </c>
      <c r="I2009" s="50" t="str">
        <f>IF(ISNUMBER(H2009),IF(COUNTIFS($D$2:D2009,D2009,$H$2:H2009,H2009)=1,1,0),"")</f>
        <v/>
      </c>
      <c r="J2009" s="50" t="str">
        <f>IF(ISNUMBER(H2009),IFERROR(INDEX(Calendrier!$C$2:$C$367,MATCH(H2009,Calendrier!$A$2:$A$367,0)),0),"")</f>
        <v/>
      </c>
      <c r="K2009" s="50" t="str">
        <f t="shared" si="159"/>
        <v/>
      </c>
      <c r="L2009" s="50" t="str">
        <f>IF(D2009="","",IF(COUNTIF(Paramètres!$A$11:$A$40,D2009)&gt;0,1,0))</f>
        <v/>
      </c>
    </row>
    <row r="2010" spans="1:12" hidden="1" x14ac:dyDescent="0.25">
      <c r="A2010" s="49"/>
      <c r="B2010" s="49"/>
      <c r="C2010" s="49"/>
      <c r="D2010" s="50" t="str">
        <f t="shared" si="155"/>
        <v/>
      </c>
      <c r="E2010" s="50" t="str">
        <f t="shared" si="156"/>
        <v/>
      </c>
      <c r="F2010" s="50" t="str">
        <f t="shared" si="157"/>
        <v/>
      </c>
      <c r="G2010" s="50" t="str">
        <f t="shared" si="158"/>
        <v/>
      </c>
      <c r="H2010" s="51" t="str">
        <f>IF($C2010="","",IFERROR(DATE(G2010,VLOOKUP(E2010,Paramètres!$K$11:$L$40,2,FALSE()),F2010),"?"))</f>
        <v/>
      </c>
      <c r="I2010" s="50" t="str">
        <f>IF(ISNUMBER(H2010),IF(COUNTIFS($D$2:D2010,D2010,$H$2:H2010,H2010)=1,1,0),"")</f>
        <v/>
      </c>
      <c r="J2010" s="50" t="str">
        <f>IF(ISNUMBER(H2010),IFERROR(INDEX(Calendrier!$C$2:$C$367,MATCH(H2010,Calendrier!$A$2:$A$367,0)),0),"")</f>
        <v/>
      </c>
      <c r="K2010" s="50" t="str">
        <f t="shared" si="159"/>
        <v/>
      </c>
      <c r="L2010" s="50" t="str">
        <f>IF(D2010="","",IF(COUNTIF(Paramètres!$A$11:$A$40,D2010)&gt;0,1,0))</f>
        <v/>
      </c>
    </row>
    <row r="2011" spans="1:12" hidden="1" x14ac:dyDescent="0.25">
      <c r="A2011" s="49"/>
      <c r="B2011" s="49"/>
      <c r="C2011" s="49"/>
      <c r="D2011" s="50" t="str">
        <f t="shared" si="155"/>
        <v/>
      </c>
      <c r="E2011" s="50" t="str">
        <f t="shared" si="156"/>
        <v/>
      </c>
      <c r="F2011" s="50" t="str">
        <f t="shared" si="157"/>
        <v/>
      </c>
      <c r="G2011" s="50" t="str">
        <f t="shared" si="158"/>
        <v/>
      </c>
      <c r="H2011" s="51" t="str">
        <f>IF($C2011="","",IFERROR(DATE(G2011,VLOOKUP(E2011,Paramètres!$K$11:$L$40,2,FALSE()),F2011),"?"))</f>
        <v/>
      </c>
      <c r="I2011" s="50" t="str">
        <f>IF(ISNUMBER(H2011),IF(COUNTIFS($D$2:D2011,D2011,$H$2:H2011,H2011)=1,1,0),"")</f>
        <v/>
      </c>
      <c r="J2011" s="50" t="str">
        <f>IF(ISNUMBER(H2011),IFERROR(INDEX(Calendrier!$C$2:$C$367,MATCH(H2011,Calendrier!$A$2:$A$367,0)),0),"")</f>
        <v/>
      </c>
      <c r="K2011" s="50" t="str">
        <f t="shared" si="159"/>
        <v/>
      </c>
      <c r="L2011" s="50" t="str">
        <f>IF(D2011="","",IF(COUNTIF(Paramètres!$A$11:$A$40,D2011)&gt;0,1,0))</f>
        <v/>
      </c>
    </row>
    <row r="2012" spans="1:12" hidden="1" x14ac:dyDescent="0.25">
      <c r="A2012" s="49"/>
      <c r="B2012" s="49"/>
      <c r="C2012" s="49"/>
      <c r="D2012" s="50" t="str">
        <f t="shared" si="155"/>
        <v/>
      </c>
      <c r="E2012" s="50" t="str">
        <f t="shared" si="156"/>
        <v/>
      </c>
      <c r="F2012" s="50" t="str">
        <f t="shared" si="157"/>
        <v/>
      </c>
      <c r="G2012" s="50" t="str">
        <f t="shared" si="158"/>
        <v/>
      </c>
      <c r="H2012" s="51" t="str">
        <f>IF($C2012="","",IFERROR(DATE(G2012,VLOOKUP(E2012,Paramètres!$K$11:$L$40,2,FALSE()),F2012),"?"))</f>
        <v/>
      </c>
      <c r="I2012" s="50" t="str">
        <f>IF(ISNUMBER(H2012),IF(COUNTIFS($D$2:D2012,D2012,$H$2:H2012,H2012)=1,1,0),"")</f>
        <v/>
      </c>
      <c r="J2012" s="50" t="str">
        <f>IF(ISNUMBER(H2012),IFERROR(INDEX(Calendrier!$C$2:$C$367,MATCH(H2012,Calendrier!$A$2:$A$367,0)),0),"")</f>
        <v/>
      </c>
      <c r="K2012" s="50" t="str">
        <f t="shared" si="159"/>
        <v/>
      </c>
      <c r="L2012" s="50" t="str">
        <f>IF(D2012="","",IF(COUNTIF(Paramètres!$A$11:$A$40,D2012)&gt;0,1,0))</f>
        <v/>
      </c>
    </row>
    <row r="2013" spans="1:12" hidden="1" x14ac:dyDescent="0.25">
      <c r="A2013" s="49"/>
      <c r="B2013" s="49"/>
      <c r="C2013" s="49"/>
      <c r="D2013" s="50" t="str">
        <f t="shared" si="155"/>
        <v/>
      </c>
      <c r="E2013" s="50" t="str">
        <f t="shared" si="156"/>
        <v/>
      </c>
      <c r="F2013" s="50" t="str">
        <f t="shared" si="157"/>
        <v/>
      </c>
      <c r="G2013" s="50" t="str">
        <f t="shared" si="158"/>
        <v/>
      </c>
      <c r="H2013" s="51" t="str">
        <f>IF($C2013="","",IFERROR(DATE(G2013,VLOOKUP(E2013,Paramètres!$K$11:$L$40,2,FALSE()),F2013),"?"))</f>
        <v/>
      </c>
      <c r="I2013" s="50" t="str">
        <f>IF(ISNUMBER(H2013),IF(COUNTIFS($D$2:D2013,D2013,$H$2:H2013,H2013)=1,1,0),"")</f>
        <v/>
      </c>
      <c r="J2013" s="50" t="str">
        <f>IF(ISNUMBER(H2013),IFERROR(INDEX(Calendrier!$C$2:$C$367,MATCH(H2013,Calendrier!$A$2:$A$367,0)),0),"")</f>
        <v/>
      </c>
      <c r="K2013" s="50" t="str">
        <f t="shared" si="159"/>
        <v/>
      </c>
      <c r="L2013" s="50" t="str">
        <f>IF(D2013="","",IF(COUNTIF(Paramètres!$A$11:$A$40,D2013)&gt;0,1,0))</f>
        <v/>
      </c>
    </row>
    <row r="2014" spans="1:12" hidden="1" x14ac:dyDescent="0.25">
      <c r="A2014" s="49"/>
      <c r="B2014" s="49"/>
      <c r="C2014" s="49"/>
      <c r="D2014" s="50" t="str">
        <f t="shared" si="155"/>
        <v/>
      </c>
      <c r="E2014" s="50" t="str">
        <f t="shared" si="156"/>
        <v/>
      </c>
      <c r="F2014" s="50" t="str">
        <f t="shared" si="157"/>
        <v/>
      </c>
      <c r="G2014" s="50" t="str">
        <f t="shared" si="158"/>
        <v/>
      </c>
      <c r="H2014" s="51" t="str">
        <f>IF($C2014="","",IFERROR(DATE(G2014,VLOOKUP(E2014,Paramètres!$K$11:$L$40,2,FALSE()),F2014),"?"))</f>
        <v/>
      </c>
      <c r="I2014" s="50" t="str">
        <f>IF(ISNUMBER(H2014),IF(COUNTIFS($D$2:D2014,D2014,$H$2:H2014,H2014)=1,1,0),"")</f>
        <v/>
      </c>
      <c r="J2014" s="50" t="str">
        <f>IF(ISNUMBER(H2014),IFERROR(INDEX(Calendrier!$C$2:$C$367,MATCH(H2014,Calendrier!$A$2:$A$367,0)),0),"")</f>
        <v/>
      </c>
      <c r="K2014" s="50" t="str">
        <f t="shared" si="159"/>
        <v/>
      </c>
      <c r="L2014" s="50" t="str">
        <f>IF(D2014="","",IF(COUNTIF(Paramètres!$A$11:$A$40,D2014)&gt;0,1,0))</f>
        <v/>
      </c>
    </row>
    <row r="2015" spans="1:12" hidden="1" x14ac:dyDescent="0.25">
      <c r="A2015" s="49"/>
      <c r="B2015" s="49"/>
      <c r="C2015" s="49"/>
      <c r="D2015" s="50" t="str">
        <f t="shared" si="155"/>
        <v/>
      </c>
      <c r="E2015" s="50" t="str">
        <f t="shared" si="156"/>
        <v/>
      </c>
      <c r="F2015" s="50" t="str">
        <f t="shared" si="157"/>
        <v/>
      </c>
      <c r="G2015" s="50" t="str">
        <f t="shared" si="158"/>
        <v/>
      </c>
      <c r="H2015" s="51" t="str">
        <f>IF($C2015="","",IFERROR(DATE(G2015,VLOOKUP(E2015,Paramètres!$K$11:$L$40,2,FALSE()),F2015),"?"))</f>
        <v/>
      </c>
      <c r="I2015" s="50" t="str">
        <f>IF(ISNUMBER(H2015),IF(COUNTIFS($D$2:D2015,D2015,$H$2:H2015,H2015)=1,1,0),"")</f>
        <v/>
      </c>
      <c r="J2015" s="50" t="str">
        <f>IF(ISNUMBER(H2015),IFERROR(INDEX(Calendrier!$C$2:$C$367,MATCH(H2015,Calendrier!$A$2:$A$367,0)),0),"")</f>
        <v/>
      </c>
      <c r="K2015" s="50" t="str">
        <f t="shared" si="159"/>
        <v/>
      </c>
      <c r="L2015" s="50" t="str">
        <f>IF(D2015="","",IF(COUNTIF(Paramètres!$A$11:$A$40,D2015)&gt;0,1,0))</f>
        <v/>
      </c>
    </row>
    <row r="2016" spans="1:12" hidden="1" x14ac:dyDescent="0.25">
      <c r="A2016" s="49"/>
      <c r="B2016" s="49"/>
      <c r="C2016" s="49"/>
      <c r="D2016" s="50" t="str">
        <f t="shared" si="155"/>
        <v/>
      </c>
      <c r="E2016" s="50" t="str">
        <f t="shared" si="156"/>
        <v/>
      </c>
      <c r="F2016" s="50" t="str">
        <f t="shared" si="157"/>
        <v/>
      </c>
      <c r="G2016" s="50" t="str">
        <f t="shared" si="158"/>
        <v/>
      </c>
      <c r="H2016" s="51" t="str">
        <f>IF($C2016="","",IFERROR(DATE(G2016,VLOOKUP(E2016,Paramètres!$K$11:$L$40,2,FALSE()),F2016),"?"))</f>
        <v/>
      </c>
      <c r="I2016" s="50" t="str">
        <f>IF(ISNUMBER(H2016),IF(COUNTIFS($D$2:D2016,D2016,$H$2:H2016,H2016)=1,1,0),"")</f>
        <v/>
      </c>
      <c r="J2016" s="50" t="str">
        <f>IF(ISNUMBER(H2016),IFERROR(INDEX(Calendrier!$C$2:$C$367,MATCH(H2016,Calendrier!$A$2:$A$367,0)),0),"")</f>
        <v/>
      </c>
      <c r="K2016" s="50" t="str">
        <f t="shared" si="159"/>
        <v/>
      </c>
      <c r="L2016" s="50" t="str">
        <f>IF(D2016="","",IF(COUNTIF(Paramètres!$A$11:$A$40,D2016)&gt;0,1,0))</f>
        <v/>
      </c>
    </row>
    <row r="2017" spans="1:12" hidden="1" x14ac:dyDescent="0.25">
      <c r="A2017" s="49"/>
      <c r="B2017" s="49"/>
      <c r="C2017" s="49"/>
      <c r="D2017" s="50" t="str">
        <f t="shared" si="155"/>
        <v/>
      </c>
      <c r="E2017" s="50" t="str">
        <f t="shared" si="156"/>
        <v/>
      </c>
      <c r="F2017" s="50" t="str">
        <f t="shared" si="157"/>
        <v/>
      </c>
      <c r="G2017" s="50" t="str">
        <f t="shared" si="158"/>
        <v/>
      </c>
      <c r="H2017" s="51" t="str">
        <f>IF($C2017="","",IFERROR(DATE(G2017,VLOOKUP(E2017,Paramètres!$K$11:$L$40,2,FALSE()),F2017),"?"))</f>
        <v/>
      </c>
      <c r="I2017" s="50" t="str">
        <f>IF(ISNUMBER(H2017),IF(COUNTIFS($D$2:D2017,D2017,$H$2:H2017,H2017)=1,1,0),"")</f>
        <v/>
      </c>
      <c r="J2017" s="50" t="str">
        <f>IF(ISNUMBER(H2017),IFERROR(INDEX(Calendrier!$C$2:$C$367,MATCH(H2017,Calendrier!$A$2:$A$367,0)),0),"")</f>
        <v/>
      </c>
      <c r="K2017" s="50" t="str">
        <f t="shared" si="159"/>
        <v/>
      </c>
      <c r="L2017" s="50" t="str">
        <f>IF(D2017="","",IF(COUNTIF(Paramètres!$A$11:$A$40,D2017)&gt;0,1,0))</f>
        <v/>
      </c>
    </row>
    <row r="2018" spans="1:12" hidden="1" x14ac:dyDescent="0.25">
      <c r="A2018" s="49"/>
      <c r="B2018" s="49"/>
      <c r="C2018" s="49"/>
      <c r="D2018" s="50" t="str">
        <f t="shared" si="155"/>
        <v/>
      </c>
      <c r="E2018" s="50" t="str">
        <f t="shared" si="156"/>
        <v/>
      </c>
      <c r="F2018" s="50" t="str">
        <f t="shared" si="157"/>
        <v/>
      </c>
      <c r="G2018" s="50" t="str">
        <f t="shared" si="158"/>
        <v/>
      </c>
      <c r="H2018" s="51" t="str">
        <f>IF($C2018="","",IFERROR(DATE(G2018,VLOOKUP(E2018,Paramètres!$K$11:$L$40,2,FALSE()),F2018),"?"))</f>
        <v/>
      </c>
      <c r="I2018" s="50" t="str">
        <f>IF(ISNUMBER(H2018),IF(COUNTIFS($D$2:D2018,D2018,$H$2:H2018,H2018)=1,1,0),"")</f>
        <v/>
      </c>
      <c r="J2018" s="50" t="str">
        <f>IF(ISNUMBER(H2018),IFERROR(INDEX(Calendrier!$C$2:$C$367,MATCH(H2018,Calendrier!$A$2:$A$367,0)),0),"")</f>
        <v/>
      </c>
      <c r="K2018" s="50" t="str">
        <f t="shared" si="159"/>
        <v/>
      </c>
      <c r="L2018" s="50" t="str">
        <f>IF(D2018="","",IF(COUNTIF(Paramètres!$A$11:$A$40,D2018)&gt;0,1,0))</f>
        <v/>
      </c>
    </row>
    <row r="2019" spans="1:12" hidden="1" x14ac:dyDescent="0.25">
      <c r="A2019" s="49"/>
      <c r="B2019" s="49"/>
      <c r="C2019" s="49"/>
      <c r="D2019" s="50" t="str">
        <f t="shared" si="155"/>
        <v/>
      </c>
      <c r="E2019" s="50" t="str">
        <f t="shared" si="156"/>
        <v/>
      </c>
      <c r="F2019" s="50" t="str">
        <f t="shared" si="157"/>
        <v/>
      </c>
      <c r="G2019" s="50" t="str">
        <f t="shared" si="158"/>
        <v/>
      </c>
      <c r="H2019" s="51" t="str">
        <f>IF($C2019="","",IFERROR(DATE(G2019,VLOOKUP(E2019,Paramètres!$K$11:$L$40,2,FALSE()),F2019),"?"))</f>
        <v/>
      </c>
      <c r="I2019" s="50" t="str">
        <f>IF(ISNUMBER(H2019),IF(COUNTIFS($D$2:D2019,D2019,$H$2:H2019,H2019)=1,1,0),"")</f>
        <v/>
      </c>
      <c r="J2019" s="50" t="str">
        <f>IF(ISNUMBER(H2019),IFERROR(INDEX(Calendrier!$C$2:$C$367,MATCH(H2019,Calendrier!$A$2:$A$367,0)),0),"")</f>
        <v/>
      </c>
      <c r="K2019" s="50" t="str">
        <f t="shared" si="159"/>
        <v/>
      </c>
      <c r="L2019" s="50" t="str">
        <f>IF(D2019="","",IF(COUNTIF(Paramètres!$A$11:$A$40,D2019)&gt;0,1,0))</f>
        <v/>
      </c>
    </row>
    <row r="2020" spans="1:12" hidden="1" x14ac:dyDescent="0.25">
      <c r="A2020" s="49"/>
      <c r="B2020" s="49"/>
      <c r="C2020" s="49"/>
      <c r="D2020" s="50" t="str">
        <f t="shared" si="155"/>
        <v/>
      </c>
      <c r="E2020" s="50" t="str">
        <f t="shared" si="156"/>
        <v/>
      </c>
      <c r="F2020" s="50" t="str">
        <f t="shared" si="157"/>
        <v/>
      </c>
      <c r="G2020" s="50" t="str">
        <f t="shared" si="158"/>
        <v/>
      </c>
      <c r="H2020" s="51" t="str">
        <f>IF($C2020="","",IFERROR(DATE(G2020,VLOOKUP(E2020,Paramètres!$K$11:$L$40,2,FALSE()),F2020),"?"))</f>
        <v/>
      </c>
      <c r="I2020" s="50" t="str">
        <f>IF(ISNUMBER(H2020),IF(COUNTIFS($D$2:D2020,D2020,$H$2:H2020,H2020)=1,1,0),"")</f>
        <v/>
      </c>
      <c r="J2020" s="50" t="str">
        <f>IF(ISNUMBER(H2020),IFERROR(INDEX(Calendrier!$C$2:$C$367,MATCH(H2020,Calendrier!$A$2:$A$367,0)),0),"")</f>
        <v/>
      </c>
      <c r="K2020" s="50" t="str">
        <f t="shared" si="159"/>
        <v/>
      </c>
      <c r="L2020" s="50" t="str">
        <f>IF(D2020="","",IF(COUNTIF(Paramètres!$A$11:$A$40,D2020)&gt;0,1,0))</f>
        <v/>
      </c>
    </row>
    <row r="2021" spans="1:12" hidden="1" x14ac:dyDescent="0.25">
      <c r="A2021" s="49"/>
      <c r="B2021" s="49"/>
      <c r="C2021" s="49"/>
      <c r="D2021" s="50" t="str">
        <f t="shared" si="155"/>
        <v/>
      </c>
      <c r="E2021" s="50" t="str">
        <f t="shared" si="156"/>
        <v/>
      </c>
      <c r="F2021" s="50" t="str">
        <f t="shared" si="157"/>
        <v/>
      </c>
      <c r="G2021" s="50" t="str">
        <f t="shared" si="158"/>
        <v/>
      </c>
      <c r="H2021" s="51" t="str">
        <f>IF($C2021="","",IFERROR(DATE(G2021,VLOOKUP(E2021,Paramètres!$K$11:$L$40,2,FALSE()),F2021),"?"))</f>
        <v/>
      </c>
      <c r="I2021" s="50" t="str">
        <f>IF(ISNUMBER(H2021),IF(COUNTIFS($D$2:D2021,D2021,$H$2:H2021,H2021)=1,1,0),"")</f>
        <v/>
      </c>
      <c r="J2021" s="50" t="str">
        <f>IF(ISNUMBER(H2021),IFERROR(INDEX(Calendrier!$C$2:$C$367,MATCH(H2021,Calendrier!$A$2:$A$367,0)),0),"")</f>
        <v/>
      </c>
      <c r="K2021" s="50" t="str">
        <f t="shared" si="159"/>
        <v/>
      </c>
      <c r="L2021" s="50" t="str">
        <f>IF(D2021="","",IF(COUNTIF(Paramètres!$A$11:$A$40,D2021)&gt;0,1,0))</f>
        <v/>
      </c>
    </row>
    <row r="2022" spans="1:12" hidden="1" x14ac:dyDescent="0.25">
      <c r="A2022" s="49"/>
      <c r="B2022" s="49"/>
      <c r="C2022" s="49"/>
      <c r="D2022" s="50" t="str">
        <f t="shared" si="155"/>
        <v/>
      </c>
      <c r="E2022" s="50" t="str">
        <f t="shared" si="156"/>
        <v/>
      </c>
      <c r="F2022" s="50" t="str">
        <f t="shared" si="157"/>
        <v/>
      </c>
      <c r="G2022" s="50" t="str">
        <f t="shared" si="158"/>
        <v/>
      </c>
      <c r="H2022" s="51" t="str">
        <f>IF($C2022="","",IFERROR(DATE(G2022,VLOOKUP(E2022,Paramètres!$K$11:$L$40,2,FALSE()),F2022),"?"))</f>
        <v/>
      </c>
      <c r="I2022" s="50" t="str">
        <f>IF(ISNUMBER(H2022),IF(COUNTIFS($D$2:D2022,D2022,$H$2:H2022,H2022)=1,1,0),"")</f>
        <v/>
      </c>
      <c r="J2022" s="50" t="str">
        <f>IF(ISNUMBER(H2022),IFERROR(INDEX(Calendrier!$C$2:$C$367,MATCH(H2022,Calendrier!$A$2:$A$367,0)),0),"")</f>
        <v/>
      </c>
      <c r="K2022" s="50" t="str">
        <f t="shared" si="159"/>
        <v/>
      </c>
      <c r="L2022" s="50" t="str">
        <f>IF(D2022="","",IF(COUNTIF(Paramètres!$A$11:$A$40,D2022)&gt;0,1,0))</f>
        <v/>
      </c>
    </row>
    <row r="2023" spans="1:12" hidden="1" x14ac:dyDescent="0.25">
      <c r="A2023" s="49"/>
      <c r="B2023" s="49"/>
      <c r="C2023" s="49"/>
      <c r="D2023" s="50" t="str">
        <f t="shared" si="155"/>
        <v/>
      </c>
      <c r="E2023" s="50" t="str">
        <f t="shared" si="156"/>
        <v/>
      </c>
      <c r="F2023" s="50" t="str">
        <f t="shared" si="157"/>
        <v/>
      </c>
      <c r="G2023" s="50" t="str">
        <f t="shared" si="158"/>
        <v/>
      </c>
      <c r="H2023" s="51" t="str">
        <f>IF($C2023="","",IFERROR(DATE(G2023,VLOOKUP(E2023,Paramètres!$K$11:$L$40,2,FALSE()),F2023),"?"))</f>
        <v/>
      </c>
      <c r="I2023" s="50" t="str">
        <f>IF(ISNUMBER(H2023),IF(COUNTIFS($D$2:D2023,D2023,$H$2:H2023,H2023)=1,1,0),"")</f>
        <v/>
      </c>
      <c r="J2023" s="50" t="str">
        <f>IF(ISNUMBER(H2023),IFERROR(INDEX(Calendrier!$C$2:$C$367,MATCH(H2023,Calendrier!$A$2:$A$367,0)),0),"")</f>
        <v/>
      </c>
      <c r="K2023" s="50" t="str">
        <f t="shared" si="159"/>
        <v/>
      </c>
      <c r="L2023" s="50" t="str">
        <f>IF(D2023="","",IF(COUNTIF(Paramètres!$A$11:$A$40,D2023)&gt;0,1,0))</f>
        <v/>
      </c>
    </row>
    <row r="2024" spans="1:12" hidden="1" x14ac:dyDescent="0.25">
      <c r="A2024" s="49"/>
      <c r="B2024" s="49"/>
      <c r="C2024" s="49"/>
      <c r="D2024" s="50" t="str">
        <f t="shared" si="155"/>
        <v/>
      </c>
      <c r="E2024" s="50" t="str">
        <f t="shared" si="156"/>
        <v/>
      </c>
      <c r="F2024" s="50" t="str">
        <f t="shared" si="157"/>
        <v/>
      </c>
      <c r="G2024" s="50" t="str">
        <f t="shared" si="158"/>
        <v/>
      </c>
      <c r="H2024" s="51" t="str">
        <f>IF($C2024="","",IFERROR(DATE(G2024,VLOOKUP(E2024,Paramètres!$K$11:$L$40,2,FALSE()),F2024),"?"))</f>
        <v/>
      </c>
      <c r="I2024" s="50" t="str">
        <f>IF(ISNUMBER(H2024),IF(COUNTIFS($D$2:D2024,D2024,$H$2:H2024,H2024)=1,1,0),"")</f>
        <v/>
      </c>
      <c r="J2024" s="50" t="str">
        <f>IF(ISNUMBER(H2024),IFERROR(INDEX(Calendrier!$C$2:$C$367,MATCH(H2024,Calendrier!$A$2:$A$367,0)),0),"")</f>
        <v/>
      </c>
      <c r="K2024" s="50" t="str">
        <f t="shared" si="159"/>
        <v/>
      </c>
      <c r="L2024" s="50" t="str">
        <f>IF(D2024="","",IF(COUNTIF(Paramètres!$A$11:$A$40,D2024)&gt;0,1,0))</f>
        <v/>
      </c>
    </row>
    <row r="2025" spans="1:12" hidden="1" x14ac:dyDescent="0.25">
      <c r="A2025" s="49"/>
      <c r="B2025" s="49"/>
      <c r="C2025" s="49"/>
      <c r="D2025" s="50" t="str">
        <f t="shared" si="155"/>
        <v/>
      </c>
      <c r="E2025" s="50" t="str">
        <f t="shared" si="156"/>
        <v/>
      </c>
      <c r="F2025" s="50" t="str">
        <f t="shared" si="157"/>
        <v/>
      </c>
      <c r="G2025" s="50" t="str">
        <f t="shared" si="158"/>
        <v/>
      </c>
      <c r="H2025" s="51" t="str">
        <f>IF($C2025="","",IFERROR(DATE(G2025,VLOOKUP(E2025,Paramètres!$K$11:$L$40,2,FALSE()),F2025),"?"))</f>
        <v/>
      </c>
      <c r="I2025" s="50" t="str">
        <f>IF(ISNUMBER(H2025),IF(COUNTIFS($D$2:D2025,D2025,$H$2:H2025,H2025)=1,1,0),"")</f>
        <v/>
      </c>
      <c r="J2025" s="50" t="str">
        <f>IF(ISNUMBER(H2025),IFERROR(INDEX(Calendrier!$C$2:$C$367,MATCH(H2025,Calendrier!$A$2:$A$367,0)),0),"")</f>
        <v/>
      </c>
      <c r="K2025" s="50" t="str">
        <f t="shared" si="159"/>
        <v/>
      </c>
      <c r="L2025" s="50" t="str">
        <f>IF(D2025="","",IF(COUNTIF(Paramètres!$A$11:$A$40,D2025)&gt;0,1,0))</f>
        <v/>
      </c>
    </row>
    <row r="2026" spans="1:12" hidden="1" x14ac:dyDescent="0.25">
      <c r="A2026" s="49"/>
      <c r="B2026" s="49"/>
      <c r="C2026" s="49"/>
      <c r="D2026" s="50" t="str">
        <f t="shared" si="155"/>
        <v/>
      </c>
      <c r="E2026" s="50" t="str">
        <f t="shared" si="156"/>
        <v/>
      </c>
      <c r="F2026" s="50" t="str">
        <f t="shared" si="157"/>
        <v/>
      </c>
      <c r="G2026" s="50" t="str">
        <f t="shared" si="158"/>
        <v/>
      </c>
      <c r="H2026" s="51" t="str">
        <f>IF($C2026="","",IFERROR(DATE(G2026,VLOOKUP(E2026,Paramètres!$K$11:$L$40,2,FALSE()),F2026),"?"))</f>
        <v/>
      </c>
      <c r="I2026" s="50" t="str">
        <f>IF(ISNUMBER(H2026),IF(COUNTIFS($D$2:D2026,D2026,$H$2:H2026,H2026)=1,1,0),"")</f>
        <v/>
      </c>
      <c r="J2026" s="50" t="str">
        <f>IF(ISNUMBER(H2026),IFERROR(INDEX(Calendrier!$C$2:$C$367,MATCH(H2026,Calendrier!$A$2:$A$367,0)),0),"")</f>
        <v/>
      </c>
      <c r="K2026" s="50" t="str">
        <f t="shared" si="159"/>
        <v/>
      </c>
      <c r="L2026" s="50" t="str">
        <f>IF(D2026="","",IF(COUNTIF(Paramètres!$A$11:$A$40,D2026)&gt;0,1,0))</f>
        <v/>
      </c>
    </row>
    <row r="2027" spans="1:12" hidden="1" x14ac:dyDescent="0.25">
      <c r="A2027" s="49"/>
      <c r="B2027" s="49"/>
      <c r="C2027" s="49"/>
      <c r="D2027" s="50" t="str">
        <f t="shared" si="155"/>
        <v/>
      </c>
      <c r="E2027" s="50" t="str">
        <f t="shared" si="156"/>
        <v/>
      </c>
      <c r="F2027" s="50" t="str">
        <f t="shared" si="157"/>
        <v/>
      </c>
      <c r="G2027" s="50" t="str">
        <f t="shared" si="158"/>
        <v/>
      </c>
      <c r="H2027" s="51" t="str">
        <f>IF($C2027="","",IFERROR(DATE(G2027,VLOOKUP(E2027,Paramètres!$K$11:$L$40,2,FALSE()),F2027),"?"))</f>
        <v/>
      </c>
      <c r="I2027" s="50" t="str">
        <f>IF(ISNUMBER(H2027),IF(COUNTIFS($D$2:D2027,D2027,$H$2:H2027,H2027)=1,1,0),"")</f>
        <v/>
      </c>
      <c r="J2027" s="50" t="str">
        <f>IF(ISNUMBER(H2027),IFERROR(INDEX(Calendrier!$C$2:$C$367,MATCH(H2027,Calendrier!$A$2:$A$367,0)),0),"")</f>
        <v/>
      </c>
      <c r="K2027" s="50" t="str">
        <f t="shared" si="159"/>
        <v/>
      </c>
      <c r="L2027" s="50" t="str">
        <f>IF(D2027="","",IF(COUNTIF(Paramètres!$A$11:$A$40,D2027)&gt;0,1,0))</f>
        <v/>
      </c>
    </row>
    <row r="2028" spans="1:12" hidden="1" x14ac:dyDescent="0.25">
      <c r="A2028" s="49"/>
      <c r="B2028" s="49"/>
      <c r="C2028" s="49"/>
      <c r="D2028" s="50" t="str">
        <f t="shared" si="155"/>
        <v/>
      </c>
      <c r="E2028" s="50" t="str">
        <f t="shared" si="156"/>
        <v/>
      </c>
      <c r="F2028" s="50" t="str">
        <f t="shared" si="157"/>
        <v/>
      </c>
      <c r="G2028" s="50" t="str">
        <f t="shared" si="158"/>
        <v/>
      </c>
      <c r="H2028" s="51" t="str">
        <f>IF($C2028="","",IFERROR(DATE(G2028,VLOOKUP(E2028,Paramètres!$K$11:$L$40,2,FALSE()),F2028),"?"))</f>
        <v/>
      </c>
      <c r="I2028" s="50" t="str">
        <f>IF(ISNUMBER(H2028),IF(COUNTIFS($D$2:D2028,D2028,$H$2:H2028,H2028)=1,1,0),"")</f>
        <v/>
      </c>
      <c r="J2028" s="50" t="str">
        <f>IF(ISNUMBER(H2028),IFERROR(INDEX(Calendrier!$C$2:$C$367,MATCH(H2028,Calendrier!$A$2:$A$367,0)),0),"")</f>
        <v/>
      </c>
      <c r="K2028" s="50" t="str">
        <f t="shared" si="159"/>
        <v/>
      </c>
      <c r="L2028" s="50" t="str">
        <f>IF(D2028="","",IF(COUNTIF(Paramètres!$A$11:$A$40,D2028)&gt;0,1,0))</f>
        <v/>
      </c>
    </row>
    <row r="2029" spans="1:12" hidden="1" x14ac:dyDescent="0.25">
      <c r="A2029" s="49"/>
      <c r="B2029" s="49"/>
      <c r="C2029" s="49"/>
      <c r="D2029" s="50" t="str">
        <f t="shared" si="155"/>
        <v/>
      </c>
      <c r="E2029" s="50" t="str">
        <f t="shared" si="156"/>
        <v/>
      </c>
      <c r="F2029" s="50" t="str">
        <f t="shared" si="157"/>
        <v/>
      </c>
      <c r="G2029" s="50" t="str">
        <f t="shared" si="158"/>
        <v/>
      </c>
      <c r="H2029" s="51" t="str">
        <f>IF($C2029="","",IFERROR(DATE(G2029,VLOOKUP(E2029,Paramètres!$K$11:$L$40,2,FALSE()),F2029),"?"))</f>
        <v/>
      </c>
      <c r="I2029" s="50" t="str">
        <f>IF(ISNUMBER(H2029),IF(COUNTIFS($D$2:D2029,D2029,$H$2:H2029,H2029)=1,1,0),"")</f>
        <v/>
      </c>
      <c r="J2029" s="50" t="str">
        <f>IF(ISNUMBER(H2029),IFERROR(INDEX(Calendrier!$C$2:$C$367,MATCH(H2029,Calendrier!$A$2:$A$367,0)),0),"")</f>
        <v/>
      </c>
      <c r="K2029" s="50" t="str">
        <f t="shared" si="159"/>
        <v/>
      </c>
      <c r="L2029" s="50" t="str">
        <f>IF(D2029="","",IF(COUNTIF(Paramètres!$A$11:$A$40,D2029)&gt;0,1,0))</f>
        <v/>
      </c>
    </row>
    <row r="2030" spans="1:12" hidden="1" x14ac:dyDescent="0.25">
      <c r="A2030" s="49"/>
      <c r="B2030" s="49"/>
      <c r="C2030" s="49"/>
      <c r="D2030" s="50" t="str">
        <f t="shared" si="155"/>
        <v/>
      </c>
      <c r="E2030" s="50" t="str">
        <f t="shared" si="156"/>
        <v/>
      </c>
      <c r="F2030" s="50" t="str">
        <f t="shared" si="157"/>
        <v/>
      </c>
      <c r="G2030" s="50" t="str">
        <f t="shared" si="158"/>
        <v/>
      </c>
      <c r="H2030" s="51" t="str">
        <f>IF($C2030="","",IFERROR(DATE(G2030,VLOOKUP(E2030,Paramètres!$K$11:$L$40,2,FALSE()),F2030),"?"))</f>
        <v/>
      </c>
      <c r="I2030" s="50" t="str">
        <f>IF(ISNUMBER(H2030),IF(COUNTIFS($D$2:D2030,D2030,$H$2:H2030,H2030)=1,1,0),"")</f>
        <v/>
      </c>
      <c r="J2030" s="50" t="str">
        <f>IF(ISNUMBER(H2030),IFERROR(INDEX(Calendrier!$C$2:$C$367,MATCH(H2030,Calendrier!$A$2:$A$367,0)),0),"")</f>
        <v/>
      </c>
      <c r="K2030" s="50" t="str">
        <f t="shared" si="159"/>
        <v/>
      </c>
      <c r="L2030" s="50" t="str">
        <f>IF(D2030="","",IF(COUNTIF(Paramètres!$A$11:$A$40,D2030)&gt;0,1,0))</f>
        <v/>
      </c>
    </row>
    <row r="2031" spans="1:12" hidden="1" x14ac:dyDescent="0.25">
      <c r="A2031" s="49"/>
      <c r="B2031" s="49"/>
      <c r="C2031" s="49"/>
      <c r="D2031" s="50" t="str">
        <f t="shared" si="155"/>
        <v/>
      </c>
      <c r="E2031" s="50" t="str">
        <f t="shared" si="156"/>
        <v/>
      </c>
      <c r="F2031" s="50" t="str">
        <f t="shared" si="157"/>
        <v/>
      </c>
      <c r="G2031" s="50" t="str">
        <f t="shared" si="158"/>
        <v/>
      </c>
      <c r="H2031" s="51" t="str">
        <f>IF($C2031="","",IFERROR(DATE(G2031,VLOOKUP(E2031,Paramètres!$K$11:$L$40,2,FALSE()),F2031),"?"))</f>
        <v/>
      </c>
      <c r="I2031" s="50" t="str">
        <f>IF(ISNUMBER(H2031),IF(COUNTIFS($D$2:D2031,D2031,$H$2:H2031,H2031)=1,1,0),"")</f>
        <v/>
      </c>
      <c r="J2031" s="50" t="str">
        <f>IF(ISNUMBER(H2031),IFERROR(INDEX(Calendrier!$C$2:$C$367,MATCH(H2031,Calendrier!$A$2:$A$367,0)),0),"")</f>
        <v/>
      </c>
      <c r="K2031" s="50" t="str">
        <f t="shared" si="159"/>
        <v/>
      </c>
      <c r="L2031" s="50" t="str">
        <f>IF(D2031="","",IF(COUNTIF(Paramètres!$A$11:$A$40,D2031)&gt;0,1,0))</f>
        <v/>
      </c>
    </row>
    <row r="2032" spans="1:12" hidden="1" x14ac:dyDescent="0.25">
      <c r="A2032" s="49"/>
      <c r="B2032" s="49"/>
      <c r="C2032" s="49"/>
      <c r="D2032" s="50" t="str">
        <f t="shared" si="155"/>
        <v/>
      </c>
      <c r="E2032" s="50" t="str">
        <f t="shared" si="156"/>
        <v/>
      </c>
      <c r="F2032" s="50" t="str">
        <f t="shared" si="157"/>
        <v/>
      </c>
      <c r="G2032" s="50" t="str">
        <f t="shared" si="158"/>
        <v/>
      </c>
      <c r="H2032" s="51" t="str">
        <f>IF($C2032="","",IFERROR(DATE(G2032,VLOOKUP(E2032,Paramètres!$K$11:$L$40,2,FALSE()),F2032),"?"))</f>
        <v/>
      </c>
      <c r="I2032" s="50" t="str">
        <f>IF(ISNUMBER(H2032),IF(COUNTIFS($D$2:D2032,D2032,$H$2:H2032,H2032)=1,1,0),"")</f>
        <v/>
      </c>
      <c r="J2032" s="50" t="str">
        <f>IF(ISNUMBER(H2032),IFERROR(INDEX(Calendrier!$C$2:$C$367,MATCH(H2032,Calendrier!$A$2:$A$367,0)),0),"")</f>
        <v/>
      </c>
      <c r="K2032" s="50" t="str">
        <f t="shared" si="159"/>
        <v/>
      </c>
      <c r="L2032" s="50" t="str">
        <f>IF(D2032="","",IF(COUNTIF(Paramètres!$A$11:$A$40,D2032)&gt;0,1,0))</f>
        <v/>
      </c>
    </row>
    <row r="2033" spans="1:12" hidden="1" x14ac:dyDescent="0.25">
      <c r="A2033" s="49"/>
      <c r="B2033" s="49"/>
      <c r="C2033" s="49"/>
      <c r="D2033" s="50" t="str">
        <f t="shared" si="155"/>
        <v/>
      </c>
      <c r="E2033" s="50" t="str">
        <f t="shared" si="156"/>
        <v/>
      </c>
      <c r="F2033" s="50" t="str">
        <f t="shared" si="157"/>
        <v/>
      </c>
      <c r="G2033" s="50" t="str">
        <f t="shared" si="158"/>
        <v/>
      </c>
      <c r="H2033" s="51" t="str">
        <f>IF($C2033="","",IFERROR(DATE(G2033,VLOOKUP(E2033,Paramètres!$K$11:$L$40,2,FALSE()),F2033),"?"))</f>
        <v/>
      </c>
      <c r="I2033" s="50" t="str">
        <f>IF(ISNUMBER(H2033),IF(COUNTIFS($D$2:D2033,D2033,$H$2:H2033,H2033)=1,1,0),"")</f>
        <v/>
      </c>
      <c r="J2033" s="50" t="str">
        <f>IF(ISNUMBER(H2033),IFERROR(INDEX(Calendrier!$C$2:$C$367,MATCH(H2033,Calendrier!$A$2:$A$367,0)),0),"")</f>
        <v/>
      </c>
      <c r="K2033" s="50" t="str">
        <f t="shared" si="159"/>
        <v/>
      </c>
      <c r="L2033" s="50" t="str">
        <f>IF(D2033="","",IF(COUNTIF(Paramètres!$A$11:$A$40,D2033)&gt;0,1,0))</f>
        <v/>
      </c>
    </row>
    <row r="2034" spans="1:12" hidden="1" x14ac:dyDescent="0.25">
      <c r="A2034" s="49"/>
      <c r="B2034" s="49"/>
      <c r="C2034" s="49"/>
      <c r="D2034" s="50" t="str">
        <f t="shared" si="155"/>
        <v/>
      </c>
      <c r="E2034" s="50" t="str">
        <f t="shared" si="156"/>
        <v/>
      </c>
      <c r="F2034" s="50" t="str">
        <f t="shared" si="157"/>
        <v/>
      </c>
      <c r="G2034" s="50" t="str">
        <f t="shared" si="158"/>
        <v/>
      </c>
      <c r="H2034" s="51" t="str">
        <f>IF($C2034="","",IFERROR(DATE(G2034,VLOOKUP(E2034,Paramètres!$K$11:$L$40,2,FALSE()),F2034),"?"))</f>
        <v/>
      </c>
      <c r="I2034" s="50" t="str">
        <f>IF(ISNUMBER(H2034),IF(COUNTIFS($D$2:D2034,D2034,$H$2:H2034,H2034)=1,1,0),"")</f>
        <v/>
      </c>
      <c r="J2034" s="50" t="str">
        <f>IF(ISNUMBER(H2034),IFERROR(INDEX(Calendrier!$C$2:$C$367,MATCH(H2034,Calendrier!$A$2:$A$367,0)),0),"")</f>
        <v/>
      </c>
      <c r="K2034" s="50" t="str">
        <f t="shared" si="159"/>
        <v/>
      </c>
      <c r="L2034" s="50" t="str">
        <f>IF(D2034="","",IF(COUNTIF(Paramètres!$A$11:$A$40,D2034)&gt;0,1,0))</f>
        <v/>
      </c>
    </row>
    <row r="2035" spans="1:12" hidden="1" x14ac:dyDescent="0.25">
      <c r="A2035" s="49"/>
      <c r="B2035" s="49"/>
      <c r="C2035" s="49"/>
      <c r="D2035" s="50" t="str">
        <f t="shared" si="155"/>
        <v/>
      </c>
      <c r="E2035" s="50" t="str">
        <f t="shared" si="156"/>
        <v/>
      </c>
      <c r="F2035" s="50" t="str">
        <f t="shared" si="157"/>
        <v/>
      </c>
      <c r="G2035" s="50" t="str">
        <f t="shared" si="158"/>
        <v/>
      </c>
      <c r="H2035" s="51" t="str">
        <f>IF($C2035="","",IFERROR(DATE(G2035,VLOOKUP(E2035,Paramètres!$K$11:$L$40,2,FALSE()),F2035),"?"))</f>
        <v/>
      </c>
      <c r="I2035" s="50" t="str">
        <f>IF(ISNUMBER(H2035),IF(COUNTIFS($D$2:D2035,D2035,$H$2:H2035,H2035)=1,1,0),"")</f>
        <v/>
      </c>
      <c r="J2035" s="50" t="str">
        <f>IF(ISNUMBER(H2035),IFERROR(INDEX(Calendrier!$C$2:$C$367,MATCH(H2035,Calendrier!$A$2:$A$367,0)),0),"")</f>
        <v/>
      </c>
      <c r="K2035" s="50" t="str">
        <f t="shared" si="159"/>
        <v/>
      </c>
      <c r="L2035" s="50" t="str">
        <f>IF(D2035="","",IF(COUNTIF(Paramètres!$A$11:$A$40,D2035)&gt;0,1,0))</f>
        <v/>
      </c>
    </row>
    <row r="2036" spans="1:12" hidden="1" x14ac:dyDescent="0.25">
      <c r="A2036" s="49"/>
      <c r="B2036" s="49"/>
      <c r="C2036" s="49"/>
      <c r="D2036" s="50" t="str">
        <f t="shared" si="155"/>
        <v/>
      </c>
      <c r="E2036" s="50" t="str">
        <f t="shared" si="156"/>
        <v/>
      </c>
      <c r="F2036" s="50" t="str">
        <f t="shared" si="157"/>
        <v/>
      </c>
      <c r="G2036" s="50" t="str">
        <f t="shared" si="158"/>
        <v/>
      </c>
      <c r="H2036" s="51" t="str">
        <f>IF($C2036="","",IFERROR(DATE(G2036,VLOOKUP(E2036,Paramètres!$K$11:$L$40,2,FALSE()),F2036),"?"))</f>
        <v/>
      </c>
      <c r="I2036" s="50" t="str">
        <f>IF(ISNUMBER(H2036),IF(COUNTIFS($D$2:D2036,D2036,$H$2:H2036,H2036)=1,1,0),"")</f>
        <v/>
      </c>
      <c r="J2036" s="50" t="str">
        <f>IF(ISNUMBER(H2036),IFERROR(INDEX(Calendrier!$C$2:$C$367,MATCH(H2036,Calendrier!$A$2:$A$367,0)),0),"")</f>
        <v/>
      </c>
      <c r="K2036" s="50" t="str">
        <f t="shared" si="159"/>
        <v/>
      </c>
      <c r="L2036" s="50" t="str">
        <f>IF(D2036="","",IF(COUNTIF(Paramètres!$A$11:$A$40,D2036)&gt;0,1,0))</f>
        <v/>
      </c>
    </row>
    <row r="2037" spans="1:12" hidden="1" x14ac:dyDescent="0.25">
      <c r="A2037" s="49"/>
      <c r="B2037" s="49"/>
      <c r="C2037" s="49"/>
      <c r="D2037" s="50" t="str">
        <f t="shared" si="155"/>
        <v/>
      </c>
      <c r="E2037" s="50" t="str">
        <f t="shared" si="156"/>
        <v/>
      </c>
      <c r="F2037" s="50" t="str">
        <f t="shared" si="157"/>
        <v/>
      </c>
      <c r="G2037" s="50" t="str">
        <f t="shared" si="158"/>
        <v/>
      </c>
      <c r="H2037" s="51" t="str">
        <f>IF($C2037="","",IFERROR(DATE(G2037,VLOOKUP(E2037,Paramètres!$K$11:$L$40,2,FALSE()),F2037),"?"))</f>
        <v/>
      </c>
      <c r="I2037" s="50" t="str">
        <f>IF(ISNUMBER(H2037),IF(COUNTIFS($D$2:D2037,D2037,$H$2:H2037,H2037)=1,1,0),"")</f>
        <v/>
      </c>
      <c r="J2037" s="50" t="str">
        <f>IF(ISNUMBER(H2037),IFERROR(INDEX(Calendrier!$C$2:$C$367,MATCH(H2037,Calendrier!$A$2:$A$367,0)),0),"")</f>
        <v/>
      </c>
      <c r="K2037" s="50" t="str">
        <f t="shared" si="159"/>
        <v/>
      </c>
      <c r="L2037" s="50" t="str">
        <f>IF(D2037="","",IF(COUNTIF(Paramètres!$A$11:$A$40,D2037)&gt;0,1,0))</f>
        <v/>
      </c>
    </row>
    <row r="2038" spans="1:12" hidden="1" x14ac:dyDescent="0.25">
      <c r="A2038" s="49"/>
      <c r="B2038" s="49"/>
      <c r="C2038" s="49"/>
      <c r="D2038" s="50" t="str">
        <f t="shared" si="155"/>
        <v/>
      </c>
      <c r="E2038" s="50" t="str">
        <f t="shared" si="156"/>
        <v/>
      </c>
      <c r="F2038" s="50" t="str">
        <f t="shared" si="157"/>
        <v/>
      </c>
      <c r="G2038" s="50" t="str">
        <f t="shared" si="158"/>
        <v/>
      </c>
      <c r="H2038" s="51" t="str">
        <f>IF($C2038="","",IFERROR(DATE(G2038,VLOOKUP(E2038,Paramètres!$K$11:$L$40,2,FALSE()),F2038),"?"))</f>
        <v/>
      </c>
      <c r="I2038" s="50" t="str">
        <f>IF(ISNUMBER(H2038),IF(COUNTIFS($D$2:D2038,D2038,$H$2:H2038,H2038)=1,1,0),"")</f>
        <v/>
      </c>
      <c r="J2038" s="50" t="str">
        <f>IF(ISNUMBER(H2038),IFERROR(INDEX(Calendrier!$C$2:$C$367,MATCH(H2038,Calendrier!$A$2:$A$367,0)),0),"")</f>
        <v/>
      </c>
      <c r="K2038" s="50" t="str">
        <f t="shared" si="159"/>
        <v/>
      </c>
      <c r="L2038" s="50" t="str">
        <f>IF(D2038="","",IF(COUNTIF(Paramètres!$A$11:$A$40,D2038)&gt;0,1,0))</f>
        <v/>
      </c>
    </row>
    <row r="2039" spans="1:12" hidden="1" x14ac:dyDescent="0.25">
      <c r="A2039" s="49"/>
      <c r="B2039" s="49"/>
      <c r="C2039" s="49"/>
      <c r="D2039" s="50" t="str">
        <f t="shared" si="155"/>
        <v/>
      </c>
      <c r="E2039" s="50" t="str">
        <f t="shared" si="156"/>
        <v/>
      </c>
      <c r="F2039" s="50" t="str">
        <f t="shared" si="157"/>
        <v/>
      </c>
      <c r="G2039" s="50" t="str">
        <f t="shared" si="158"/>
        <v/>
      </c>
      <c r="H2039" s="51" t="str">
        <f>IF($C2039="","",IFERROR(DATE(G2039,VLOOKUP(E2039,Paramètres!$K$11:$L$40,2,FALSE()),F2039),"?"))</f>
        <v/>
      </c>
      <c r="I2039" s="50" t="str">
        <f>IF(ISNUMBER(H2039),IF(COUNTIFS($D$2:D2039,D2039,$H$2:H2039,H2039)=1,1,0),"")</f>
        <v/>
      </c>
      <c r="J2039" s="50" t="str">
        <f>IF(ISNUMBER(H2039),IFERROR(INDEX(Calendrier!$C$2:$C$367,MATCH(H2039,Calendrier!$A$2:$A$367,0)),0),"")</f>
        <v/>
      </c>
      <c r="K2039" s="50" t="str">
        <f t="shared" si="159"/>
        <v/>
      </c>
      <c r="L2039" s="50" t="str">
        <f>IF(D2039="","",IF(COUNTIF(Paramètres!$A$11:$A$40,D2039)&gt;0,1,0))</f>
        <v/>
      </c>
    </row>
    <row r="2040" spans="1:12" hidden="1" x14ac:dyDescent="0.25">
      <c r="A2040" s="49"/>
      <c r="B2040" s="49"/>
      <c r="C2040" s="49"/>
      <c r="D2040" s="50" t="str">
        <f t="shared" si="155"/>
        <v/>
      </c>
      <c r="E2040" s="50" t="str">
        <f t="shared" si="156"/>
        <v/>
      </c>
      <c r="F2040" s="50" t="str">
        <f t="shared" si="157"/>
        <v/>
      </c>
      <c r="G2040" s="50" t="str">
        <f t="shared" si="158"/>
        <v/>
      </c>
      <c r="H2040" s="51" t="str">
        <f>IF($C2040="","",IFERROR(DATE(G2040,VLOOKUP(E2040,Paramètres!$K$11:$L$40,2,FALSE()),F2040),"?"))</f>
        <v/>
      </c>
      <c r="I2040" s="50" t="str">
        <f>IF(ISNUMBER(H2040),IF(COUNTIFS($D$2:D2040,D2040,$H$2:H2040,H2040)=1,1,0),"")</f>
        <v/>
      </c>
      <c r="J2040" s="50" t="str">
        <f>IF(ISNUMBER(H2040),IFERROR(INDEX(Calendrier!$C$2:$C$367,MATCH(H2040,Calendrier!$A$2:$A$367,0)),0),"")</f>
        <v/>
      </c>
      <c r="K2040" s="50" t="str">
        <f t="shared" si="159"/>
        <v/>
      </c>
      <c r="L2040" s="50" t="str">
        <f>IF(D2040="","",IF(COUNTIF(Paramètres!$A$11:$A$40,D2040)&gt;0,1,0))</f>
        <v/>
      </c>
    </row>
    <row r="2041" spans="1:12" hidden="1" x14ac:dyDescent="0.25">
      <c r="A2041" s="49"/>
      <c r="B2041" s="49"/>
      <c r="C2041" s="49"/>
      <c r="D2041" s="50" t="str">
        <f t="shared" si="155"/>
        <v/>
      </c>
      <c r="E2041" s="50" t="str">
        <f t="shared" si="156"/>
        <v/>
      </c>
      <c r="F2041" s="50" t="str">
        <f t="shared" si="157"/>
        <v/>
      </c>
      <c r="G2041" s="50" t="str">
        <f t="shared" si="158"/>
        <v/>
      </c>
      <c r="H2041" s="51" t="str">
        <f>IF($C2041="","",IFERROR(DATE(G2041,VLOOKUP(E2041,Paramètres!$K$11:$L$40,2,FALSE()),F2041),"?"))</f>
        <v/>
      </c>
      <c r="I2041" s="50" t="str">
        <f>IF(ISNUMBER(H2041),IF(COUNTIFS($D$2:D2041,D2041,$H$2:H2041,H2041)=1,1,0),"")</f>
        <v/>
      </c>
      <c r="J2041" s="50" t="str">
        <f>IF(ISNUMBER(H2041),IFERROR(INDEX(Calendrier!$C$2:$C$367,MATCH(H2041,Calendrier!$A$2:$A$367,0)),0),"")</f>
        <v/>
      </c>
      <c r="K2041" s="50" t="str">
        <f t="shared" si="159"/>
        <v/>
      </c>
      <c r="L2041" s="50" t="str">
        <f>IF(D2041="","",IF(COUNTIF(Paramètres!$A$11:$A$40,D2041)&gt;0,1,0))</f>
        <v/>
      </c>
    </row>
    <row r="2042" spans="1:12" hidden="1" x14ac:dyDescent="0.25">
      <c r="A2042" s="49"/>
      <c r="B2042" s="49"/>
      <c r="C2042" s="49"/>
      <c r="D2042" s="50" t="str">
        <f t="shared" si="155"/>
        <v/>
      </c>
      <c r="E2042" s="50" t="str">
        <f t="shared" si="156"/>
        <v/>
      </c>
      <c r="F2042" s="50" t="str">
        <f t="shared" si="157"/>
        <v/>
      </c>
      <c r="G2042" s="50" t="str">
        <f t="shared" si="158"/>
        <v/>
      </c>
      <c r="H2042" s="51" t="str">
        <f>IF($C2042="","",IFERROR(DATE(G2042,VLOOKUP(E2042,Paramètres!$K$11:$L$40,2,FALSE()),F2042),"?"))</f>
        <v/>
      </c>
      <c r="I2042" s="50" t="str">
        <f>IF(ISNUMBER(H2042),IF(COUNTIFS($D$2:D2042,D2042,$H$2:H2042,H2042)=1,1,0),"")</f>
        <v/>
      </c>
      <c r="J2042" s="50" t="str">
        <f>IF(ISNUMBER(H2042),IFERROR(INDEX(Calendrier!$C$2:$C$367,MATCH(H2042,Calendrier!$A$2:$A$367,0)),0),"")</f>
        <v/>
      </c>
      <c r="K2042" s="50" t="str">
        <f t="shared" si="159"/>
        <v/>
      </c>
      <c r="L2042" s="50" t="str">
        <f>IF(D2042="","",IF(COUNTIF(Paramètres!$A$11:$A$40,D2042)&gt;0,1,0))</f>
        <v/>
      </c>
    </row>
    <row r="2043" spans="1:12" hidden="1" x14ac:dyDescent="0.25">
      <c r="A2043" s="49"/>
      <c r="B2043" s="49"/>
      <c r="C2043" s="49"/>
      <c r="D2043" s="50" t="str">
        <f t="shared" si="155"/>
        <v/>
      </c>
      <c r="E2043" s="50" t="str">
        <f t="shared" si="156"/>
        <v/>
      </c>
      <c r="F2043" s="50" t="str">
        <f t="shared" si="157"/>
        <v/>
      </c>
      <c r="G2043" s="50" t="str">
        <f t="shared" si="158"/>
        <v/>
      </c>
      <c r="H2043" s="51" t="str">
        <f>IF($C2043="","",IFERROR(DATE(G2043,VLOOKUP(E2043,Paramètres!$K$11:$L$40,2,FALSE()),F2043),"?"))</f>
        <v/>
      </c>
      <c r="I2043" s="50" t="str">
        <f>IF(ISNUMBER(H2043),IF(COUNTIFS($D$2:D2043,D2043,$H$2:H2043,H2043)=1,1,0),"")</f>
        <v/>
      </c>
      <c r="J2043" s="50" t="str">
        <f>IF(ISNUMBER(H2043),IFERROR(INDEX(Calendrier!$C$2:$C$367,MATCH(H2043,Calendrier!$A$2:$A$367,0)),0),"")</f>
        <v/>
      </c>
      <c r="K2043" s="50" t="str">
        <f t="shared" si="159"/>
        <v/>
      </c>
      <c r="L2043" s="50" t="str">
        <f>IF(D2043="","",IF(COUNTIF(Paramètres!$A$11:$A$40,D2043)&gt;0,1,0))</f>
        <v/>
      </c>
    </row>
    <row r="2044" spans="1:12" hidden="1" x14ac:dyDescent="0.25">
      <c r="A2044" s="49"/>
      <c r="B2044" s="49"/>
      <c r="C2044" s="49"/>
      <c r="D2044" s="50" t="str">
        <f t="shared" si="155"/>
        <v/>
      </c>
      <c r="E2044" s="50" t="str">
        <f t="shared" si="156"/>
        <v/>
      </c>
      <c r="F2044" s="50" t="str">
        <f t="shared" si="157"/>
        <v/>
      </c>
      <c r="G2044" s="50" t="str">
        <f t="shared" si="158"/>
        <v/>
      </c>
      <c r="H2044" s="51" t="str">
        <f>IF($C2044="","",IFERROR(DATE(G2044,VLOOKUP(E2044,Paramètres!$K$11:$L$40,2,FALSE()),F2044),"?"))</f>
        <v/>
      </c>
      <c r="I2044" s="50" t="str">
        <f>IF(ISNUMBER(H2044),IF(COUNTIFS($D$2:D2044,D2044,$H$2:H2044,H2044)=1,1,0),"")</f>
        <v/>
      </c>
      <c r="J2044" s="50" t="str">
        <f>IF(ISNUMBER(H2044),IFERROR(INDEX(Calendrier!$C$2:$C$367,MATCH(H2044,Calendrier!$A$2:$A$367,0)),0),"")</f>
        <v/>
      </c>
      <c r="K2044" s="50" t="str">
        <f t="shared" si="159"/>
        <v/>
      </c>
      <c r="L2044" s="50" t="str">
        <f>IF(D2044="","",IF(COUNTIF(Paramètres!$A$11:$A$40,D2044)&gt;0,1,0))</f>
        <v/>
      </c>
    </row>
    <row r="2045" spans="1:12" hidden="1" x14ac:dyDescent="0.25">
      <c r="A2045" s="49"/>
      <c r="B2045" s="49"/>
      <c r="C2045" s="49"/>
      <c r="D2045" s="50" t="str">
        <f t="shared" si="155"/>
        <v/>
      </c>
      <c r="E2045" s="50" t="str">
        <f t="shared" si="156"/>
        <v/>
      </c>
      <c r="F2045" s="50" t="str">
        <f t="shared" si="157"/>
        <v/>
      </c>
      <c r="G2045" s="50" t="str">
        <f t="shared" si="158"/>
        <v/>
      </c>
      <c r="H2045" s="51" t="str">
        <f>IF($C2045="","",IFERROR(DATE(G2045,VLOOKUP(E2045,Paramètres!$K$11:$L$40,2,FALSE()),F2045),"?"))</f>
        <v/>
      </c>
      <c r="I2045" s="50" t="str">
        <f>IF(ISNUMBER(H2045),IF(COUNTIFS($D$2:D2045,D2045,$H$2:H2045,H2045)=1,1,0),"")</f>
        <v/>
      </c>
      <c r="J2045" s="50" t="str">
        <f>IF(ISNUMBER(H2045),IFERROR(INDEX(Calendrier!$C$2:$C$367,MATCH(H2045,Calendrier!$A$2:$A$367,0)),0),"")</f>
        <v/>
      </c>
      <c r="K2045" s="50" t="str">
        <f t="shared" si="159"/>
        <v/>
      </c>
      <c r="L2045" s="50" t="str">
        <f>IF(D2045="","",IF(COUNTIF(Paramètres!$A$11:$A$40,D2045)&gt;0,1,0))</f>
        <v/>
      </c>
    </row>
    <row r="2046" spans="1:12" hidden="1" x14ac:dyDescent="0.25">
      <c r="A2046" s="49"/>
      <c r="B2046" s="49"/>
      <c r="C2046" s="49"/>
      <c r="D2046" s="50" t="str">
        <f t="shared" si="155"/>
        <v/>
      </c>
      <c r="E2046" s="50" t="str">
        <f t="shared" si="156"/>
        <v/>
      </c>
      <c r="F2046" s="50" t="str">
        <f t="shared" si="157"/>
        <v/>
      </c>
      <c r="G2046" s="50" t="str">
        <f t="shared" si="158"/>
        <v/>
      </c>
      <c r="H2046" s="51" t="str">
        <f>IF($C2046="","",IFERROR(DATE(G2046,VLOOKUP(E2046,Paramètres!$K$11:$L$40,2,FALSE()),F2046),"?"))</f>
        <v/>
      </c>
      <c r="I2046" s="50" t="str">
        <f>IF(ISNUMBER(H2046),IF(COUNTIFS($D$2:D2046,D2046,$H$2:H2046,H2046)=1,1,0),"")</f>
        <v/>
      </c>
      <c r="J2046" s="50" t="str">
        <f>IF(ISNUMBER(H2046),IFERROR(INDEX(Calendrier!$C$2:$C$367,MATCH(H2046,Calendrier!$A$2:$A$367,0)),0),"")</f>
        <v/>
      </c>
      <c r="K2046" s="50" t="str">
        <f t="shared" si="159"/>
        <v/>
      </c>
      <c r="L2046" s="50" t="str">
        <f>IF(D2046="","",IF(COUNTIF(Paramètres!$A$11:$A$40,D2046)&gt;0,1,0))</f>
        <v/>
      </c>
    </row>
    <row r="2047" spans="1:12" hidden="1" x14ac:dyDescent="0.25">
      <c r="A2047" s="49"/>
      <c r="B2047" s="49"/>
      <c r="C2047" s="49"/>
      <c r="D2047" s="50" t="str">
        <f t="shared" si="155"/>
        <v/>
      </c>
      <c r="E2047" s="50" t="str">
        <f t="shared" si="156"/>
        <v/>
      </c>
      <c r="F2047" s="50" t="str">
        <f t="shared" si="157"/>
        <v/>
      </c>
      <c r="G2047" s="50" t="str">
        <f t="shared" si="158"/>
        <v/>
      </c>
      <c r="H2047" s="51" t="str">
        <f>IF($C2047="","",IFERROR(DATE(G2047,VLOOKUP(E2047,Paramètres!$K$11:$L$40,2,FALSE()),F2047),"?"))</f>
        <v/>
      </c>
      <c r="I2047" s="50" t="str">
        <f>IF(ISNUMBER(H2047),IF(COUNTIFS($D$2:D2047,D2047,$H$2:H2047,H2047)=1,1,0),"")</f>
        <v/>
      </c>
      <c r="J2047" s="50" t="str">
        <f>IF(ISNUMBER(H2047),IFERROR(INDEX(Calendrier!$C$2:$C$367,MATCH(H2047,Calendrier!$A$2:$A$367,0)),0),"")</f>
        <v/>
      </c>
      <c r="K2047" s="50" t="str">
        <f t="shared" si="159"/>
        <v/>
      </c>
      <c r="L2047" s="50" t="str">
        <f>IF(D2047="","",IF(COUNTIF(Paramètres!$A$11:$A$40,D2047)&gt;0,1,0))</f>
        <v/>
      </c>
    </row>
    <row r="2048" spans="1:12" hidden="1" x14ac:dyDescent="0.25">
      <c r="A2048" s="49"/>
      <c r="B2048" s="49"/>
      <c r="C2048" s="49"/>
      <c r="D2048" s="50" t="str">
        <f t="shared" si="155"/>
        <v/>
      </c>
      <c r="E2048" s="50" t="str">
        <f t="shared" si="156"/>
        <v/>
      </c>
      <c r="F2048" s="50" t="str">
        <f t="shared" si="157"/>
        <v/>
      </c>
      <c r="G2048" s="50" t="str">
        <f t="shared" si="158"/>
        <v/>
      </c>
      <c r="H2048" s="51" t="str">
        <f>IF($C2048="","",IFERROR(DATE(G2048,VLOOKUP(E2048,Paramètres!$K$11:$L$40,2,FALSE()),F2048),"?"))</f>
        <v/>
      </c>
      <c r="I2048" s="50" t="str">
        <f>IF(ISNUMBER(H2048),IF(COUNTIFS($D$2:D2048,D2048,$H$2:H2048,H2048)=1,1,0),"")</f>
        <v/>
      </c>
      <c r="J2048" s="50" t="str">
        <f>IF(ISNUMBER(H2048),IFERROR(INDEX(Calendrier!$C$2:$C$367,MATCH(H2048,Calendrier!$A$2:$A$367,0)),0),"")</f>
        <v/>
      </c>
      <c r="K2048" s="50" t="str">
        <f t="shared" si="159"/>
        <v/>
      </c>
      <c r="L2048" s="50" t="str">
        <f>IF(D2048="","",IF(COUNTIF(Paramètres!$A$11:$A$40,D2048)&gt;0,1,0))</f>
        <v/>
      </c>
    </row>
    <row r="2049" spans="1:12" hidden="1" x14ac:dyDescent="0.25">
      <c r="A2049" s="49"/>
      <c r="B2049" s="49"/>
      <c r="C2049" s="49"/>
      <c r="D2049" s="50" t="str">
        <f t="shared" si="155"/>
        <v/>
      </c>
      <c r="E2049" s="50" t="str">
        <f t="shared" si="156"/>
        <v/>
      </c>
      <c r="F2049" s="50" t="str">
        <f t="shared" si="157"/>
        <v/>
      </c>
      <c r="G2049" s="50" t="str">
        <f t="shared" si="158"/>
        <v/>
      </c>
      <c r="H2049" s="51" t="str">
        <f>IF($C2049="","",IFERROR(DATE(G2049,VLOOKUP(E2049,Paramètres!$K$11:$L$40,2,FALSE()),F2049),"?"))</f>
        <v/>
      </c>
      <c r="I2049" s="50" t="str">
        <f>IF(ISNUMBER(H2049),IF(COUNTIFS($D$2:D2049,D2049,$H$2:H2049,H2049)=1,1,0),"")</f>
        <v/>
      </c>
      <c r="J2049" s="50" t="str">
        <f>IF(ISNUMBER(H2049),IFERROR(INDEX(Calendrier!$C$2:$C$367,MATCH(H2049,Calendrier!$A$2:$A$367,0)),0),"")</f>
        <v/>
      </c>
      <c r="K2049" s="50" t="str">
        <f t="shared" si="159"/>
        <v/>
      </c>
      <c r="L2049" s="50" t="str">
        <f>IF(D2049="","",IF(COUNTIF(Paramètres!$A$11:$A$40,D2049)&gt;0,1,0))</f>
        <v/>
      </c>
    </row>
    <row r="2050" spans="1:12" hidden="1" x14ac:dyDescent="0.25">
      <c r="A2050" s="49"/>
      <c r="B2050" s="49"/>
      <c r="C2050" s="49"/>
      <c r="D2050" s="50" t="str">
        <f t="shared" ref="D2050:D2113" si="160">IF(B2050="","",TRIM(B2050))</f>
        <v/>
      </c>
      <c r="E2050" s="50" t="str">
        <f t="shared" ref="E2050:E2113" si="161">IF($C2050="","",LEFT($C2050,FIND(" ",$C2050)-1))</f>
        <v/>
      </c>
      <c r="F2050" s="50" t="str">
        <f t="shared" ref="F2050:F2113" si="162">IF($C2050="","",IFERROR(VALUE(LEFT(MID($C2050,FIND(" ",$C2050)+1,20),FIND(" ",MID($C2050,FIND(" ",$C2050)+1,20))-1)),"?"))</f>
        <v/>
      </c>
      <c r="G2050" s="50" t="str">
        <f t="shared" ref="G2050:G2113" si="163">IF($C2050="","",IFERROR(VALUE(MID(MID($C2050,FIND(" ",$C2050)+1,20),FIND(" ",MID($C2050,FIND(" ",$C2050)+1,20))+1,4)),"?"))</f>
        <v/>
      </c>
      <c r="H2050" s="51" t="str">
        <f>IF($C2050="","",IFERROR(DATE(G2050,VLOOKUP(E2050,Paramètres!$K$11:$L$40,2,FALSE()),F2050),"?"))</f>
        <v/>
      </c>
      <c r="I2050" s="50" t="str">
        <f>IF(ISNUMBER(H2050),IF(COUNTIFS($D$2:D2050,D2050,$H$2:H2050,H2050)=1,1,0),"")</f>
        <v/>
      </c>
      <c r="J2050" s="50" t="str">
        <f>IF(ISNUMBER(H2050),IFERROR(INDEX(Calendrier!$C$2:$C$367,MATCH(H2050,Calendrier!$A$2:$A$367,0)),0),"")</f>
        <v/>
      </c>
      <c r="K2050" s="50" t="str">
        <f t="shared" ref="K2050:K2113" si="164">IF(ISNUMBER(H2050),I2050*J2050,"")</f>
        <v/>
      </c>
      <c r="L2050" s="50" t="str">
        <f>IF(D2050="","",IF(COUNTIF(Paramètres!$A$11:$A$40,D2050)&gt;0,1,0))</f>
        <v/>
      </c>
    </row>
    <row r="2051" spans="1:12" hidden="1" x14ac:dyDescent="0.25">
      <c r="A2051" s="49"/>
      <c r="B2051" s="49"/>
      <c r="C2051" s="49"/>
      <c r="D2051" s="50" t="str">
        <f t="shared" si="160"/>
        <v/>
      </c>
      <c r="E2051" s="50" t="str">
        <f t="shared" si="161"/>
        <v/>
      </c>
      <c r="F2051" s="50" t="str">
        <f t="shared" si="162"/>
        <v/>
      </c>
      <c r="G2051" s="50" t="str">
        <f t="shared" si="163"/>
        <v/>
      </c>
      <c r="H2051" s="51" t="str">
        <f>IF($C2051="","",IFERROR(DATE(G2051,VLOOKUP(E2051,Paramètres!$K$11:$L$40,2,FALSE()),F2051),"?"))</f>
        <v/>
      </c>
      <c r="I2051" s="50" t="str">
        <f>IF(ISNUMBER(H2051),IF(COUNTIFS($D$2:D2051,D2051,$H$2:H2051,H2051)=1,1,0),"")</f>
        <v/>
      </c>
      <c r="J2051" s="50" t="str">
        <f>IF(ISNUMBER(H2051),IFERROR(INDEX(Calendrier!$C$2:$C$367,MATCH(H2051,Calendrier!$A$2:$A$367,0)),0),"")</f>
        <v/>
      </c>
      <c r="K2051" s="50" t="str">
        <f t="shared" si="164"/>
        <v/>
      </c>
      <c r="L2051" s="50" t="str">
        <f>IF(D2051="","",IF(COUNTIF(Paramètres!$A$11:$A$40,D2051)&gt;0,1,0))</f>
        <v/>
      </c>
    </row>
    <row r="2052" spans="1:12" hidden="1" x14ac:dyDescent="0.25">
      <c r="A2052" s="49"/>
      <c r="B2052" s="49"/>
      <c r="C2052" s="49"/>
      <c r="D2052" s="50" t="str">
        <f t="shared" si="160"/>
        <v/>
      </c>
      <c r="E2052" s="50" t="str">
        <f t="shared" si="161"/>
        <v/>
      </c>
      <c r="F2052" s="50" t="str">
        <f t="shared" si="162"/>
        <v/>
      </c>
      <c r="G2052" s="50" t="str">
        <f t="shared" si="163"/>
        <v/>
      </c>
      <c r="H2052" s="51" t="str">
        <f>IF($C2052="","",IFERROR(DATE(G2052,VLOOKUP(E2052,Paramètres!$K$11:$L$40,2,FALSE()),F2052),"?"))</f>
        <v/>
      </c>
      <c r="I2052" s="50" t="str">
        <f>IF(ISNUMBER(H2052),IF(COUNTIFS($D$2:D2052,D2052,$H$2:H2052,H2052)=1,1,0),"")</f>
        <v/>
      </c>
      <c r="J2052" s="50" t="str">
        <f>IF(ISNUMBER(H2052),IFERROR(INDEX(Calendrier!$C$2:$C$367,MATCH(H2052,Calendrier!$A$2:$A$367,0)),0),"")</f>
        <v/>
      </c>
      <c r="K2052" s="50" t="str">
        <f t="shared" si="164"/>
        <v/>
      </c>
      <c r="L2052" s="50" t="str">
        <f>IF(D2052="","",IF(COUNTIF(Paramètres!$A$11:$A$40,D2052)&gt;0,1,0))</f>
        <v/>
      </c>
    </row>
    <row r="2053" spans="1:12" hidden="1" x14ac:dyDescent="0.25">
      <c r="A2053" s="49"/>
      <c r="B2053" s="49"/>
      <c r="C2053" s="49"/>
      <c r="D2053" s="50" t="str">
        <f t="shared" si="160"/>
        <v/>
      </c>
      <c r="E2053" s="50" t="str">
        <f t="shared" si="161"/>
        <v/>
      </c>
      <c r="F2053" s="50" t="str">
        <f t="shared" si="162"/>
        <v/>
      </c>
      <c r="G2053" s="50" t="str">
        <f t="shared" si="163"/>
        <v/>
      </c>
      <c r="H2053" s="51" t="str">
        <f>IF($C2053="","",IFERROR(DATE(G2053,VLOOKUP(E2053,Paramètres!$K$11:$L$40,2,FALSE()),F2053),"?"))</f>
        <v/>
      </c>
      <c r="I2053" s="50" t="str">
        <f>IF(ISNUMBER(H2053),IF(COUNTIFS($D$2:D2053,D2053,$H$2:H2053,H2053)=1,1,0),"")</f>
        <v/>
      </c>
      <c r="J2053" s="50" t="str">
        <f>IF(ISNUMBER(H2053),IFERROR(INDEX(Calendrier!$C$2:$C$367,MATCH(H2053,Calendrier!$A$2:$A$367,0)),0),"")</f>
        <v/>
      </c>
      <c r="K2053" s="50" t="str">
        <f t="shared" si="164"/>
        <v/>
      </c>
      <c r="L2053" s="50" t="str">
        <f>IF(D2053="","",IF(COUNTIF(Paramètres!$A$11:$A$40,D2053)&gt;0,1,0))</f>
        <v/>
      </c>
    </row>
    <row r="2054" spans="1:12" hidden="1" x14ac:dyDescent="0.25">
      <c r="A2054" s="49"/>
      <c r="B2054" s="49"/>
      <c r="C2054" s="49"/>
      <c r="D2054" s="50" t="str">
        <f t="shared" si="160"/>
        <v/>
      </c>
      <c r="E2054" s="50" t="str">
        <f t="shared" si="161"/>
        <v/>
      </c>
      <c r="F2054" s="50" t="str">
        <f t="shared" si="162"/>
        <v/>
      </c>
      <c r="G2054" s="50" t="str">
        <f t="shared" si="163"/>
        <v/>
      </c>
      <c r="H2054" s="51" t="str">
        <f>IF($C2054="","",IFERROR(DATE(G2054,VLOOKUP(E2054,Paramètres!$K$11:$L$40,2,FALSE()),F2054),"?"))</f>
        <v/>
      </c>
      <c r="I2054" s="50" t="str">
        <f>IF(ISNUMBER(H2054),IF(COUNTIFS($D$2:D2054,D2054,$H$2:H2054,H2054)=1,1,0),"")</f>
        <v/>
      </c>
      <c r="J2054" s="50" t="str">
        <f>IF(ISNUMBER(H2054),IFERROR(INDEX(Calendrier!$C$2:$C$367,MATCH(H2054,Calendrier!$A$2:$A$367,0)),0),"")</f>
        <v/>
      </c>
      <c r="K2054" s="50" t="str">
        <f t="shared" si="164"/>
        <v/>
      </c>
      <c r="L2054" s="50" t="str">
        <f>IF(D2054="","",IF(COUNTIF(Paramètres!$A$11:$A$40,D2054)&gt;0,1,0))</f>
        <v/>
      </c>
    </row>
    <row r="2055" spans="1:12" hidden="1" x14ac:dyDescent="0.25">
      <c r="A2055" s="49"/>
      <c r="B2055" s="49"/>
      <c r="C2055" s="49"/>
      <c r="D2055" s="50" t="str">
        <f t="shared" si="160"/>
        <v/>
      </c>
      <c r="E2055" s="50" t="str">
        <f t="shared" si="161"/>
        <v/>
      </c>
      <c r="F2055" s="50" t="str">
        <f t="shared" si="162"/>
        <v/>
      </c>
      <c r="G2055" s="50" t="str">
        <f t="shared" si="163"/>
        <v/>
      </c>
      <c r="H2055" s="51" t="str">
        <f>IF($C2055="","",IFERROR(DATE(G2055,VLOOKUP(E2055,Paramètres!$K$11:$L$40,2,FALSE()),F2055),"?"))</f>
        <v/>
      </c>
      <c r="I2055" s="50" t="str">
        <f>IF(ISNUMBER(H2055),IF(COUNTIFS($D$2:D2055,D2055,$H$2:H2055,H2055)=1,1,0),"")</f>
        <v/>
      </c>
      <c r="J2055" s="50" t="str">
        <f>IF(ISNUMBER(H2055),IFERROR(INDEX(Calendrier!$C$2:$C$367,MATCH(H2055,Calendrier!$A$2:$A$367,0)),0),"")</f>
        <v/>
      </c>
      <c r="K2055" s="50" t="str">
        <f t="shared" si="164"/>
        <v/>
      </c>
      <c r="L2055" s="50" t="str">
        <f>IF(D2055="","",IF(COUNTIF(Paramètres!$A$11:$A$40,D2055)&gt;0,1,0))</f>
        <v/>
      </c>
    </row>
    <row r="2056" spans="1:12" hidden="1" x14ac:dyDescent="0.25">
      <c r="A2056" s="49"/>
      <c r="B2056" s="49"/>
      <c r="C2056" s="49"/>
      <c r="D2056" s="50" t="str">
        <f t="shared" si="160"/>
        <v/>
      </c>
      <c r="E2056" s="50" t="str">
        <f t="shared" si="161"/>
        <v/>
      </c>
      <c r="F2056" s="50" t="str">
        <f t="shared" si="162"/>
        <v/>
      </c>
      <c r="G2056" s="50" t="str">
        <f t="shared" si="163"/>
        <v/>
      </c>
      <c r="H2056" s="51" t="str">
        <f>IF($C2056="","",IFERROR(DATE(G2056,VLOOKUP(E2056,Paramètres!$K$11:$L$40,2,FALSE()),F2056),"?"))</f>
        <v/>
      </c>
      <c r="I2056" s="50" t="str">
        <f>IF(ISNUMBER(H2056),IF(COUNTIFS($D$2:D2056,D2056,$H$2:H2056,H2056)=1,1,0),"")</f>
        <v/>
      </c>
      <c r="J2056" s="50" t="str">
        <f>IF(ISNUMBER(H2056),IFERROR(INDEX(Calendrier!$C$2:$C$367,MATCH(H2056,Calendrier!$A$2:$A$367,0)),0),"")</f>
        <v/>
      </c>
      <c r="K2056" s="50" t="str">
        <f t="shared" si="164"/>
        <v/>
      </c>
      <c r="L2056" s="50" t="str">
        <f>IF(D2056="","",IF(COUNTIF(Paramètres!$A$11:$A$40,D2056)&gt;0,1,0))</f>
        <v/>
      </c>
    </row>
    <row r="2057" spans="1:12" hidden="1" x14ac:dyDescent="0.25">
      <c r="A2057" s="49"/>
      <c r="B2057" s="49"/>
      <c r="C2057" s="49"/>
      <c r="D2057" s="50" t="str">
        <f t="shared" si="160"/>
        <v/>
      </c>
      <c r="E2057" s="50" t="str">
        <f t="shared" si="161"/>
        <v/>
      </c>
      <c r="F2057" s="50" t="str">
        <f t="shared" si="162"/>
        <v/>
      </c>
      <c r="G2057" s="50" t="str">
        <f t="shared" si="163"/>
        <v/>
      </c>
      <c r="H2057" s="51" t="str">
        <f>IF($C2057="","",IFERROR(DATE(G2057,VLOOKUP(E2057,Paramètres!$K$11:$L$40,2,FALSE()),F2057),"?"))</f>
        <v/>
      </c>
      <c r="I2057" s="50" t="str">
        <f>IF(ISNUMBER(H2057),IF(COUNTIFS($D$2:D2057,D2057,$H$2:H2057,H2057)=1,1,0),"")</f>
        <v/>
      </c>
      <c r="J2057" s="50" t="str">
        <f>IF(ISNUMBER(H2057),IFERROR(INDEX(Calendrier!$C$2:$C$367,MATCH(H2057,Calendrier!$A$2:$A$367,0)),0),"")</f>
        <v/>
      </c>
      <c r="K2057" s="50" t="str">
        <f t="shared" si="164"/>
        <v/>
      </c>
      <c r="L2057" s="50" t="str">
        <f>IF(D2057="","",IF(COUNTIF(Paramètres!$A$11:$A$40,D2057)&gt;0,1,0))</f>
        <v/>
      </c>
    </row>
    <row r="2058" spans="1:12" hidden="1" x14ac:dyDescent="0.25">
      <c r="A2058" s="49"/>
      <c r="B2058" s="49"/>
      <c r="C2058" s="49"/>
      <c r="D2058" s="50" t="str">
        <f t="shared" si="160"/>
        <v/>
      </c>
      <c r="E2058" s="50" t="str">
        <f t="shared" si="161"/>
        <v/>
      </c>
      <c r="F2058" s="50" t="str">
        <f t="shared" si="162"/>
        <v/>
      </c>
      <c r="G2058" s="50" t="str">
        <f t="shared" si="163"/>
        <v/>
      </c>
      <c r="H2058" s="51" t="str">
        <f>IF($C2058="","",IFERROR(DATE(G2058,VLOOKUP(E2058,Paramètres!$K$11:$L$40,2,FALSE()),F2058),"?"))</f>
        <v/>
      </c>
      <c r="I2058" s="50" t="str">
        <f>IF(ISNUMBER(H2058),IF(COUNTIFS($D$2:D2058,D2058,$H$2:H2058,H2058)=1,1,0),"")</f>
        <v/>
      </c>
      <c r="J2058" s="50" t="str">
        <f>IF(ISNUMBER(H2058),IFERROR(INDEX(Calendrier!$C$2:$C$367,MATCH(H2058,Calendrier!$A$2:$A$367,0)),0),"")</f>
        <v/>
      </c>
      <c r="K2058" s="50" t="str">
        <f t="shared" si="164"/>
        <v/>
      </c>
      <c r="L2058" s="50" t="str">
        <f>IF(D2058="","",IF(COUNTIF(Paramètres!$A$11:$A$40,D2058)&gt;0,1,0))</f>
        <v/>
      </c>
    </row>
    <row r="2059" spans="1:12" hidden="1" x14ac:dyDescent="0.25">
      <c r="A2059" s="49"/>
      <c r="B2059" s="49"/>
      <c r="C2059" s="49"/>
      <c r="D2059" s="50" t="str">
        <f t="shared" si="160"/>
        <v/>
      </c>
      <c r="E2059" s="50" t="str">
        <f t="shared" si="161"/>
        <v/>
      </c>
      <c r="F2059" s="50" t="str">
        <f t="shared" si="162"/>
        <v/>
      </c>
      <c r="G2059" s="50" t="str">
        <f t="shared" si="163"/>
        <v/>
      </c>
      <c r="H2059" s="51" t="str">
        <f>IF($C2059="","",IFERROR(DATE(G2059,VLOOKUP(E2059,Paramètres!$K$11:$L$40,2,FALSE()),F2059),"?"))</f>
        <v/>
      </c>
      <c r="I2059" s="50" t="str">
        <f>IF(ISNUMBER(H2059),IF(COUNTIFS($D$2:D2059,D2059,$H$2:H2059,H2059)=1,1,0),"")</f>
        <v/>
      </c>
      <c r="J2059" s="50" t="str">
        <f>IF(ISNUMBER(H2059),IFERROR(INDEX(Calendrier!$C$2:$C$367,MATCH(H2059,Calendrier!$A$2:$A$367,0)),0),"")</f>
        <v/>
      </c>
      <c r="K2059" s="50" t="str">
        <f t="shared" si="164"/>
        <v/>
      </c>
      <c r="L2059" s="50" t="str">
        <f>IF(D2059="","",IF(COUNTIF(Paramètres!$A$11:$A$40,D2059)&gt;0,1,0))</f>
        <v/>
      </c>
    </row>
    <row r="2060" spans="1:12" hidden="1" x14ac:dyDescent="0.25">
      <c r="A2060" s="49"/>
      <c r="B2060" s="49"/>
      <c r="C2060" s="49"/>
      <c r="D2060" s="50" t="str">
        <f t="shared" si="160"/>
        <v/>
      </c>
      <c r="E2060" s="50" t="str">
        <f t="shared" si="161"/>
        <v/>
      </c>
      <c r="F2060" s="50" t="str">
        <f t="shared" si="162"/>
        <v/>
      </c>
      <c r="G2060" s="50" t="str">
        <f t="shared" si="163"/>
        <v/>
      </c>
      <c r="H2060" s="51" t="str">
        <f>IF($C2060="","",IFERROR(DATE(G2060,VLOOKUP(E2060,Paramètres!$K$11:$L$40,2,FALSE()),F2060),"?"))</f>
        <v/>
      </c>
      <c r="I2060" s="50" t="str">
        <f>IF(ISNUMBER(H2060),IF(COUNTIFS($D$2:D2060,D2060,$H$2:H2060,H2060)=1,1,0),"")</f>
        <v/>
      </c>
      <c r="J2060" s="50" t="str">
        <f>IF(ISNUMBER(H2060),IFERROR(INDEX(Calendrier!$C$2:$C$367,MATCH(H2060,Calendrier!$A$2:$A$367,0)),0),"")</f>
        <v/>
      </c>
      <c r="K2060" s="50" t="str">
        <f t="shared" si="164"/>
        <v/>
      </c>
      <c r="L2060" s="50" t="str">
        <f>IF(D2060="","",IF(COUNTIF(Paramètres!$A$11:$A$40,D2060)&gt;0,1,0))</f>
        <v/>
      </c>
    </row>
    <row r="2061" spans="1:12" hidden="1" x14ac:dyDescent="0.25">
      <c r="A2061" s="49"/>
      <c r="B2061" s="49"/>
      <c r="C2061" s="49"/>
      <c r="D2061" s="50" t="str">
        <f t="shared" si="160"/>
        <v/>
      </c>
      <c r="E2061" s="50" t="str">
        <f t="shared" si="161"/>
        <v/>
      </c>
      <c r="F2061" s="50" t="str">
        <f t="shared" si="162"/>
        <v/>
      </c>
      <c r="G2061" s="50" t="str">
        <f t="shared" si="163"/>
        <v/>
      </c>
      <c r="H2061" s="51" t="str">
        <f>IF($C2061="","",IFERROR(DATE(G2061,VLOOKUP(E2061,Paramètres!$K$11:$L$40,2,FALSE()),F2061),"?"))</f>
        <v/>
      </c>
      <c r="I2061" s="50" t="str">
        <f>IF(ISNUMBER(H2061),IF(COUNTIFS($D$2:D2061,D2061,$H$2:H2061,H2061)=1,1,0),"")</f>
        <v/>
      </c>
      <c r="J2061" s="50" t="str">
        <f>IF(ISNUMBER(H2061),IFERROR(INDEX(Calendrier!$C$2:$C$367,MATCH(H2061,Calendrier!$A$2:$A$367,0)),0),"")</f>
        <v/>
      </c>
      <c r="K2061" s="50" t="str">
        <f t="shared" si="164"/>
        <v/>
      </c>
      <c r="L2061" s="50" t="str">
        <f>IF(D2061="","",IF(COUNTIF(Paramètres!$A$11:$A$40,D2061)&gt;0,1,0))</f>
        <v/>
      </c>
    </row>
    <row r="2062" spans="1:12" hidden="1" x14ac:dyDescent="0.25">
      <c r="A2062" s="49"/>
      <c r="B2062" s="49"/>
      <c r="C2062" s="49"/>
      <c r="D2062" s="50" t="str">
        <f t="shared" si="160"/>
        <v/>
      </c>
      <c r="E2062" s="50" t="str">
        <f t="shared" si="161"/>
        <v/>
      </c>
      <c r="F2062" s="50" t="str">
        <f t="shared" si="162"/>
        <v/>
      </c>
      <c r="G2062" s="50" t="str">
        <f t="shared" si="163"/>
        <v/>
      </c>
      <c r="H2062" s="51" t="str">
        <f>IF($C2062="","",IFERROR(DATE(G2062,VLOOKUP(E2062,Paramètres!$K$11:$L$40,2,FALSE()),F2062),"?"))</f>
        <v/>
      </c>
      <c r="I2062" s="50" t="str">
        <f>IF(ISNUMBER(H2062),IF(COUNTIFS($D$2:D2062,D2062,$H$2:H2062,H2062)=1,1,0),"")</f>
        <v/>
      </c>
      <c r="J2062" s="50" t="str">
        <f>IF(ISNUMBER(H2062),IFERROR(INDEX(Calendrier!$C$2:$C$367,MATCH(H2062,Calendrier!$A$2:$A$367,0)),0),"")</f>
        <v/>
      </c>
      <c r="K2062" s="50" t="str">
        <f t="shared" si="164"/>
        <v/>
      </c>
      <c r="L2062" s="50" t="str">
        <f>IF(D2062="","",IF(COUNTIF(Paramètres!$A$11:$A$40,D2062)&gt;0,1,0))</f>
        <v/>
      </c>
    </row>
    <row r="2063" spans="1:12" hidden="1" x14ac:dyDescent="0.25">
      <c r="A2063" s="49"/>
      <c r="B2063" s="49"/>
      <c r="C2063" s="49"/>
      <c r="D2063" s="50" t="str">
        <f t="shared" si="160"/>
        <v/>
      </c>
      <c r="E2063" s="50" t="str">
        <f t="shared" si="161"/>
        <v/>
      </c>
      <c r="F2063" s="50" t="str">
        <f t="shared" si="162"/>
        <v/>
      </c>
      <c r="G2063" s="50" t="str">
        <f t="shared" si="163"/>
        <v/>
      </c>
      <c r="H2063" s="51" t="str">
        <f>IF($C2063="","",IFERROR(DATE(G2063,VLOOKUP(E2063,Paramètres!$K$11:$L$40,2,FALSE()),F2063),"?"))</f>
        <v/>
      </c>
      <c r="I2063" s="50" t="str">
        <f>IF(ISNUMBER(H2063),IF(COUNTIFS($D$2:D2063,D2063,$H$2:H2063,H2063)=1,1,0),"")</f>
        <v/>
      </c>
      <c r="J2063" s="50" t="str">
        <f>IF(ISNUMBER(H2063),IFERROR(INDEX(Calendrier!$C$2:$C$367,MATCH(H2063,Calendrier!$A$2:$A$367,0)),0),"")</f>
        <v/>
      </c>
      <c r="K2063" s="50" t="str">
        <f t="shared" si="164"/>
        <v/>
      </c>
      <c r="L2063" s="50" t="str">
        <f>IF(D2063="","",IF(COUNTIF(Paramètres!$A$11:$A$40,D2063)&gt;0,1,0))</f>
        <v/>
      </c>
    </row>
    <row r="2064" spans="1:12" hidden="1" x14ac:dyDescent="0.25">
      <c r="A2064" s="49"/>
      <c r="B2064" s="49"/>
      <c r="C2064" s="49"/>
      <c r="D2064" s="50" t="str">
        <f t="shared" si="160"/>
        <v/>
      </c>
      <c r="E2064" s="50" t="str">
        <f t="shared" si="161"/>
        <v/>
      </c>
      <c r="F2064" s="50" t="str">
        <f t="shared" si="162"/>
        <v/>
      </c>
      <c r="G2064" s="50" t="str">
        <f t="shared" si="163"/>
        <v/>
      </c>
      <c r="H2064" s="51" t="str">
        <f>IF($C2064="","",IFERROR(DATE(G2064,VLOOKUP(E2064,Paramètres!$K$11:$L$40,2,FALSE()),F2064),"?"))</f>
        <v/>
      </c>
      <c r="I2064" s="50" t="str">
        <f>IF(ISNUMBER(H2064),IF(COUNTIFS($D$2:D2064,D2064,$H$2:H2064,H2064)=1,1,0),"")</f>
        <v/>
      </c>
      <c r="J2064" s="50" t="str">
        <f>IF(ISNUMBER(H2064),IFERROR(INDEX(Calendrier!$C$2:$C$367,MATCH(H2064,Calendrier!$A$2:$A$367,0)),0),"")</f>
        <v/>
      </c>
      <c r="K2064" s="50" t="str">
        <f t="shared" si="164"/>
        <v/>
      </c>
      <c r="L2064" s="50" t="str">
        <f>IF(D2064="","",IF(COUNTIF(Paramètres!$A$11:$A$40,D2064)&gt;0,1,0))</f>
        <v/>
      </c>
    </row>
    <row r="2065" spans="1:12" hidden="1" x14ac:dyDescent="0.25">
      <c r="A2065" s="49"/>
      <c r="B2065" s="49"/>
      <c r="C2065" s="49"/>
      <c r="D2065" s="50" t="str">
        <f t="shared" si="160"/>
        <v/>
      </c>
      <c r="E2065" s="50" t="str">
        <f t="shared" si="161"/>
        <v/>
      </c>
      <c r="F2065" s="50" t="str">
        <f t="shared" si="162"/>
        <v/>
      </c>
      <c r="G2065" s="50" t="str">
        <f t="shared" si="163"/>
        <v/>
      </c>
      <c r="H2065" s="51" t="str">
        <f>IF($C2065="","",IFERROR(DATE(G2065,VLOOKUP(E2065,Paramètres!$K$11:$L$40,2,FALSE()),F2065),"?"))</f>
        <v/>
      </c>
      <c r="I2065" s="50" t="str">
        <f>IF(ISNUMBER(H2065),IF(COUNTIFS($D$2:D2065,D2065,$H$2:H2065,H2065)=1,1,0),"")</f>
        <v/>
      </c>
      <c r="J2065" s="50" t="str">
        <f>IF(ISNUMBER(H2065),IFERROR(INDEX(Calendrier!$C$2:$C$367,MATCH(H2065,Calendrier!$A$2:$A$367,0)),0),"")</f>
        <v/>
      </c>
      <c r="K2065" s="50" t="str">
        <f t="shared" si="164"/>
        <v/>
      </c>
      <c r="L2065" s="50" t="str">
        <f>IF(D2065="","",IF(COUNTIF(Paramètres!$A$11:$A$40,D2065)&gt;0,1,0))</f>
        <v/>
      </c>
    </row>
    <row r="2066" spans="1:12" hidden="1" x14ac:dyDescent="0.25">
      <c r="A2066" s="49"/>
      <c r="B2066" s="49"/>
      <c r="C2066" s="49"/>
      <c r="D2066" s="50" t="str">
        <f t="shared" si="160"/>
        <v/>
      </c>
      <c r="E2066" s="50" t="str">
        <f t="shared" si="161"/>
        <v/>
      </c>
      <c r="F2066" s="50" t="str">
        <f t="shared" si="162"/>
        <v/>
      </c>
      <c r="G2066" s="50" t="str">
        <f t="shared" si="163"/>
        <v/>
      </c>
      <c r="H2066" s="51" t="str">
        <f>IF($C2066="","",IFERROR(DATE(G2066,VLOOKUP(E2066,Paramètres!$K$11:$L$40,2,FALSE()),F2066),"?"))</f>
        <v/>
      </c>
      <c r="I2066" s="50" t="str">
        <f>IF(ISNUMBER(H2066),IF(COUNTIFS($D$2:D2066,D2066,$H$2:H2066,H2066)=1,1,0),"")</f>
        <v/>
      </c>
      <c r="J2066" s="50" t="str">
        <f>IF(ISNUMBER(H2066),IFERROR(INDEX(Calendrier!$C$2:$C$367,MATCH(H2066,Calendrier!$A$2:$A$367,0)),0),"")</f>
        <v/>
      </c>
      <c r="K2066" s="50" t="str">
        <f t="shared" si="164"/>
        <v/>
      </c>
      <c r="L2066" s="50" t="str">
        <f>IF(D2066="","",IF(COUNTIF(Paramètres!$A$11:$A$40,D2066)&gt;0,1,0))</f>
        <v/>
      </c>
    </row>
    <row r="2067" spans="1:12" hidden="1" x14ac:dyDescent="0.25">
      <c r="A2067" s="49"/>
      <c r="B2067" s="49"/>
      <c r="C2067" s="49"/>
      <c r="D2067" s="50" t="str">
        <f t="shared" si="160"/>
        <v/>
      </c>
      <c r="E2067" s="50" t="str">
        <f t="shared" si="161"/>
        <v/>
      </c>
      <c r="F2067" s="50" t="str">
        <f t="shared" si="162"/>
        <v/>
      </c>
      <c r="G2067" s="50" t="str">
        <f t="shared" si="163"/>
        <v/>
      </c>
      <c r="H2067" s="51" t="str">
        <f>IF($C2067="","",IFERROR(DATE(G2067,VLOOKUP(E2067,Paramètres!$K$11:$L$40,2,FALSE()),F2067),"?"))</f>
        <v/>
      </c>
      <c r="I2067" s="50" t="str">
        <f>IF(ISNUMBER(H2067),IF(COUNTIFS($D$2:D2067,D2067,$H$2:H2067,H2067)=1,1,0),"")</f>
        <v/>
      </c>
      <c r="J2067" s="50" t="str">
        <f>IF(ISNUMBER(H2067),IFERROR(INDEX(Calendrier!$C$2:$C$367,MATCH(H2067,Calendrier!$A$2:$A$367,0)),0),"")</f>
        <v/>
      </c>
      <c r="K2067" s="50" t="str">
        <f t="shared" si="164"/>
        <v/>
      </c>
      <c r="L2067" s="50" t="str">
        <f>IF(D2067="","",IF(COUNTIF(Paramètres!$A$11:$A$40,D2067)&gt;0,1,0))</f>
        <v/>
      </c>
    </row>
    <row r="2068" spans="1:12" hidden="1" x14ac:dyDescent="0.25">
      <c r="A2068" s="49"/>
      <c r="B2068" s="49"/>
      <c r="C2068" s="49"/>
      <c r="D2068" s="50" t="str">
        <f t="shared" si="160"/>
        <v/>
      </c>
      <c r="E2068" s="50" t="str">
        <f t="shared" si="161"/>
        <v/>
      </c>
      <c r="F2068" s="50" t="str">
        <f t="shared" si="162"/>
        <v/>
      </c>
      <c r="G2068" s="50" t="str">
        <f t="shared" si="163"/>
        <v/>
      </c>
      <c r="H2068" s="51" t="str">
        <f>IF($C2068="","",IFERROR(DATE(G2068,VLOOKUP(E2068,Paramètres!$K$11:$L$40,2,FALSE()),F2068),"?"))</f>
        <v/>
      </c>
      <c r="I2068" s="50" t="str">
        <f>IF(ISNUMBER(H2068),IF(COUNTIFS($D$2:D2068,D2068,$H$2:H2068,H2068)=1,1,0),"")</f>
        <v/>
      </c>
      <c r="J2068" s="50" t="str">
        <f>IF(ISNUMBER(H2068),IFERROR(INDEX(Calendrier!$C$2:$C$367,MATCH(H2068,Calendrier!$A$2:$A$367,0)),0),"")</f>
        <v/>
      </c>
      <c r="K2068" s="50" t="str">
        <f t="shared" si="164"/>
        <v/>
      </c>
      <c r="L2068" s="50" t="str">
        <f>IF(D2068="","",IF(COUNTIF(Paramètres!$A$11:$A$40,D2068)&gt;0,1,0))</f>
        <v/>
      </c>
    </row>
    <row r="2069" spans="1:12" hidden="1" x14ac:dyDescent="0.25">
      <c r="A2069" s="49"/>
      <c r="B2069" s="49"/>
      <c r="C2069" s="49"/>
      <c r="D2069" s="50" t="str">
        <f t="shared" si="160"/>
        <v/>
      </c>
      <c r="E2069" s="50" t="str">
        <f t="shared" si="161"/>
        <v/>
      </c>
      <c r="F2069" s="50" t="str">
        <f t="shared" si="162"/>
        <v/>
      </c>
      <c r="G2069" s="50" t="str">
        <f t="shared" si="163"/>
        <v/>
      </c>
      <c r="H2069" s="51" t="str">
        <f>IF($C2069="","",IFERROR(DATE(G2069,VLOOKUP(E2069,Paramètres!$K$11:$L$40,2,FALSE()),F2069),"?"))</f>
        <v/>
      </c>
      <c r="I2069" s="50" t="str">
        <f>IF(ISNUMBER(H2069),IF(COUNTIFS($D$2:D2069,D2069,$H$2:H2069,H2069)=1,1,0),"")</f>
        <v/>
      </c>
      <c r="J2069" s="50" t="str">
        <f>IF(ISNUMBER(H2069),IFERROR(INDEX(Calendrier!$C$2:$C$367,MATCH(H2069,Calendrier!$A$2:$A$367,0)),0),"")</f>
        <v/>
      </c>
      <c r="K2069" s="50" t="str">
        <f t="shared" si="164"/>
        <v/>
      </c>
      <c r="L2069" s="50" t="str">
        <f>IF(D2069="","",IF(COUNTIF(Paramètres!$A$11:$A$40,D2069)&gt;0,1,0))</f>
        <v/>
      </c>
    </row>
    <row r="2070" spans="1:12" hidden="1" x14ac:dyDescent="0.25">
      <c r="A2070" s="49"/>
      <c r="B2070" s="49"/>
      <c r="C2070" s="49"/>
      <c r="D2070" s="50" t="str">
        <f t="shared" si="160"/>
        <v/>
      </c>
      <c r="E2070" s="50" t="str">
        <f t="shared" si="161"/>
        <v/>
      </c>
      <c r="F2070" s="50" t="str">
        <f t="shared" si="162"/>
        <v/>
      </c>
      <c r="G2070" s="50" t="str">
        <f t="shared" si="163"/>
        <v/>
      </c>
      <c r="H2070" s="51" t="str">
        <f>IF($C2070="","",IFERROR(DATE(G2070,VLOOKUP(E2070,Paramètres!$K$11:$L$40,2,FALSE()),F2070),"?"))</f>
        <v/>
      </c>
      <c r="I2070" s="50" t="str">
        <f>IF(ISNUMBER(H2070),IF(COUNTIFS($D$2:D2070,D2070,$H$2:H2070,H2070)=1,1,0),"")</f>
        <v/>
      </c>
      <c r="J2070" s="50" t="str">
        <f>IF(ISNUMBER(H2070),IFERROR(INDEX(Calendrier!$C$2:$C$367,MATCH(H2070,Calendrier!$A$2:$A$367,0)),0),"")</f>
        <v/>
      </c>
      <c r="K2070" s="50" t="str">
        <f t="shared" si="164"/>
        <v/>
      </c>
      <c r="L2070" s="50" t="str">
        <f>IF(D2070="","",IF(COUNTIF(Paramètres!$A$11:$A$40,D2070)&gt;0,1,0))</f>
        <v/>
      </c>
    </row>
    <row r="2071" spans="1:12" hidden="1" x14ac:dyDescent="0.25">
      <c r="A2071" s="49"/>
      <c r="B2071" s="49"/>
      <c r="C2071" s="49"/>
      <c r="D2071" s="50" t="str">
        <f t="shared" si="160"/>
        <v/>
      </c>
      <c r="E2071" s="50" t="str">
        <f t="shared" si="161"/>
        <v/>
      </c>
      <c r="F2071" s="50" t="str">
        <f t="shared" si="162"/>
        <v/>
      </c>
      <c r="G2071" s="50" t="str">
        <f t="shared" si="163"/>
        <v/>
      </c>
      <c r="H2071" s="51" t="str">
        <f>IF($C2071="","",IFERROR(DATE(G2071,VLOOKUP(E2071,Paramètres!$K$11:$L$40,2,FALSE()),F2071),"?"))</f>
        <v/>
      </c>
      <c r="I2071" s="50" t="str">
        <f>IF(ISNUMBER(H2071),IF(COUNTIFS($D$2:D2071,D2071,$H$2:H2071,H2071)=1,1,0),"")</f>
        <v/>
      </c>
      <c r="J2071" s="50" t="str">
        <f>IF(ISNUMBER(H2071),IFERROR(INDEX(Calendrier!$C$2:$C$367,MATCH(H2071,Calendrier!$A$2:$A$367,0)),0),"")</f>
        <v/>
      </c>
      <c r="K2071" s="50" t="str">
        <f t="shared" si="164"/>
        <v/>
      </c>
      <c r="L2071" s="50" t="str">
        <f>IF(D2071="","",IF(COUNTIF(Paramètres!$A$11:$A$40,D2071)&gt;0,1,0))</f>
        <v/>
      </c>
    </row>
    <row r="2072" spans="1:12" hidden="1" x14ac:dyDescent="0.25">
      <c r="A2072" s="49"/>
      <c r="B2072" s="49"/>
      <c r="C2072" s="49"/>
      <c r="D2072" s="50" t="str">
        <f t="shared" si="160"/>
        <v/>
      </c>
      <c r="E2072" s="50" t="str">
        <f t="shared" si="161"/>
        <v/>
      </c>
      <c r="F2072" s="50" t="str">
        <f t="shared" si="162"/>
        <v/>
      </c>
      <c r="G2072" s="50" t="str">
        <f t="shared" si="163"/>
        <v/>
      </c>
      <c r="H2072" s="51" t="str">
        <f>IF($C2072="","",IFERROR(DATE(G2072,VLOOKUP(E2072,Paramètres!$K$11:$L$40,2,FALSE()),F2072),"?"))</f>
        <v/>
      </c>
      <c r="I2072" s="50" t="str">
        <f>IF(ISNUMBER(H2072),IF(COUNTIFS($D$2:D2072,D2072,$H$2:H2072,H2072)=1,1,0),"")</f>
        <v/>
      </c>
      <c r="J2072" s="50" t="str">
        <f>IF(ISNUMBER(H2072),IFERROR(INDEX(Calendrier!$C$2:$C$367,MATCH(H2072,Calendrier!$A$2:$A$367,0)),0),"")</f>
        <v/>
      </c>
      <c r="K2072" s="50" t="str">
        <f t="shared" si="164"/>
        <v/>
      </c>
      <c r="L2072" s="50" t="str">
        <f>IF(D2072="","",IF(COUNTIF(Paramètres!$A$11:$A$40,D2072)&gt;0,1,0))</f>
        <v/>
      </c>
    </row>
    <row r="2073" spans="1:12" hidden="1" x14ac:dyDescent="0.25">
      <c r="A2073" s="49"/>
      <c r="B2073" s="49"/>
      <c r="C2073" s="49"/>
      <c r="D2073" s="50" t="str">
        <f t="shared" si="160"/>
        <v/>
      </c>
      <c r="E2073" s="50" t="str">
        <f t="shared" si="161"/>
        <v/>
      </c>
      <c r="F2073" s="50" t="str">
        <f t="shared" si="162"/>
        <v/>
      </c>
      <c r="G2073" s="50" t="str">
        <f t="shared" si="163"/>
        <v/>
      </c>
      <c r="H2073" s="51" t="str">
        <f>IF($C2073="","",IFERROR(DATE(G2073,VLOOKUP(E2073,Paramètres!$K$11:$L$40,2,FALSE()),F2073),"?"))</f>
        <v/>
      </c>
      <c r="I2073" s="50" t="str">
        <f>IF(ISNUMBER(H2073),IF(COUNTIFS($D$2:D2073,D2073,$H$2:H2073,H2073)=1,1,0),"")</f>
        <v/>
      </c>
      <c r="J2073" s="50" t="str">
        <f>IF(ISNUMBER(H2073),IFERROR(INDEX(Calendrier!$C$2:$C$367,MATCH(H2073,Calendrier!$A$2:$A$367,0)),0),"")</f>
        <v/>
      </c>
      <c r="K2073" s="50" t="str">
        <f t="shared" si="164"/>
        <v/>
      </c>
      <c r="L2073" s="50" t="str">
        <f>IF(D2073="","",IF(COUNTIF(Paramètres!$A$11:$A$40,D2073)&gt;0,1,0))</f>
        <v/>
      </c>
    </row>
    <row r="2074" spans="1:12" hidden="1" x14ac:dyDescent="0.25">
      <c r="A2074" s="49"/>
      <c r="B2074" s="49"/>
      <c r="C2074" s="49"/>
      <c r="D2074" s="50" t="str">
        <f t="shared" si="160"/>
        <v/>
      </c>
      <c r="E2074" s="50" t="str">
        <f t="shared" si="161"/>
        <v/>
      </c>
      <c r="F2074" s="50" t="str">
        <f t="shared" si="162"/>
        <v/>
      </c>
      <c r="G2074" s="50" t="str">
        <f t="shared" si="163"/>
        <v/>
      </c>
      <c r="H2074" s="51" t="str">
        <f>IF($C2074="","",IFERROR(DATE(G2074,VLOOKUP(E2074,Paramètres!$K$11:$L$40,2,FALSE()),F2074),"?"))</f>
        <v/>
      </c>
      <c r="I2074" s="50" t="str">
        <f>IF(ISNUMBER(H2074),IF(COUNTIFS($D$2:D2074,D2074,$H$2:H2074,H2074)=1,1,0),"")</f>
        <v/>
      </c>
      <c r="J2074" s="50" t="str">
        <f>IF(ISNUMBER(H2074),IFERROR(INDEX(Calendrier!$C$2:$C$367,MATCH(H2074,Calendrier!$A$2:$A$367,0)),0),"")</f>
        <v/>
      </c>
      <c r="K2074" s="50" t="str">
        <f t="shared" si="164"/>
        <v/>
      </c>
      <c r="L2074" s="50" t="str">
        <f>IF(D2074="","",IF(COUNTIF(Paramètres!$A$11:$A$40,D2074)&gt;0,1,0))</f>
        <v/>
      </c>
    </row>
    <row r="2075" spans="1:12" hidden="1" x14ac:dyDescent="0.25">
      <c r="A2075" s="49"/>
      <c r="B2075" s="49"/>
      <c r="C2075" s="49"/>
      <c r="D2075" s="50" t="str">
        <f t="shared" si="160"/>
        <v/>
      </c>
      <c r="E2075" s="50" t="str">
        <f t="shared" si="161"/>
        <v/>
      </c>
      <c r="F2075" s="50" t="str">
        <f t="shared" si="162"/>
        <v/>
      </c>
      <c r="G2075" s="50" t="str">
        <f t="shared" si="163"/>
        <v/>
      </c>
      <c r="H2075" s="51" t="str">
        <f>IF($C2075="","",IFERROR(DATE(G2075,VLOOKUP(E2075,Paramètres!$K$11:$L$40,2,FALSE()),F2075),"?"))</f>
        <v/>
      </c>
      <c r="I2075" s="50" t="str">
        <f>IF(ISNUMBER(H2075),IF(COUNTIFS($D$2:D2075,D2075,$H$2:H2075,H2075)=1,1,0),"")</f>
        <v/>
      </c>
      <c r="J2075" s="50" t="str">
        <f>IF(ISNUMBER(H2075),IFERROR(INDEX(Calendrier!$C$2:$C$367,MATCH(H2075,Calendrier!$A$2:$A$367,0)),0),"")</f>
        <v/>
      </c>
      <c r="K2075" s="50" t="str">
        <f t="shared" si="164"/>
        <v/>
      </c>
      <c r="L2075" s="50" t="str">
        <f>IF(D2075="","",IF(COUNTIF(Paramètres!$A$11:$A$40,D2075)&gt;0,1,0))</f>
        <v/>
      </c>
    </row>
    <row r="2076" spans="1:12" hidden="1" x14ac:dyDescent="0.25">
      <c r="A2076" s="49"/>
      <c r="B2076" s="49"/>
      <c r="C2076" s="49"/>
      <c r="D2076" s="50" t="str">
        <f t="shared" si="160"/>
        <v/>
      </c>
      <c r="E2076" s="50" t="str">
        <f t="shared" si="161"/>
        <v/>
      </c>
      <c r="F2076" s="50" t="str">
        <f t="shared" si="162"/>
        <v/>
      </c>
      <c r="G2076" s="50" t="str">
        <f t="shared" si="163"/>
        <v/>
      </c>
      <c r="H2076" s="51" t="str">
        <f>IF($C2076="","",IFERROR(DATE(G2076,VLOOKUP(E2076,Paramètres!$K$11:$L$40,2,FALSE()),F2076),"?"))</f>
        <v/>
      </c>
      <c r="I2076" s="50" t="str">
        <f>IF(ISNUMBER(H2076),IF(COUNTIFS($D$2:D2076,D2076,$H$2:H2076,H2076)=1,1,0),"")</f>
        <v/>
      </c>
      <c r="J2076" s="50" t="str">
        <f>IF(ISNUMBER(H2076),IFERROR(INDEX(Calendrier!$C$2:$C$367,MATCH(H2076,Calendrier!$A$2:$A$367,0)),0),"")</f>
        <v/>
      </c>
      <c r="K2076" s="50" t="str">
        <f t="shared" si="164"/>
        <v/>
      </c>
      <c r="L2076" s="50" t="str">
        <f>IF(D2076="","",IF(COUNTIF(Paramètres!$A$11:$A$40,D2076)&gt;0,1,0))</f>
        <v/>
      </c>
    </row>
    <row r="2077" spans="1:12" hidden="1" x14ac:dyDescent="0.25">
      <c r="A2077" s="49"/>
      <c r="B2077" s="49"/>
      <c r="C2077" s="49"/>
      <c r="D2077" s="50" t="str">
        <f t="shared" si="160"/>
        <v/>
      </c>
      <c r="E2077" s="50" t="str">
        <f t="shared" si="161"/>
        <v/>
      </c>
      <c r="F2077" s="50" t="str">
        <f t="shared" si="162"/>
        <v/>
      </c>
      <c r="G2077" s="50" t="str">
        <f t="shared" si="163"/>
        <v/>
      </c>
      <c r="H2077" s="51" t="str">
        <f>IF($C2077="","",IFERROR(DATE(G2077,VLOOKUP(E2077,Paramètres!$K$11:$L$40,2,FALSE()),F2077),"?"))</f>
        <v/>
      </c>
      <c r="I2077" s="50" t="str">
        <f>IF(ISNUMBER(H2077),IF(COUNTIFS($D$2:D2077,D2077,$H$2:H2077,H2077)=1,1,0),"")</f>
        <v/>
      </c>
      <c r="J2077" s="50" t="str">
        <f>IF(ISNUMBER(H2077),IFERROR(INDEX(Calendrier!$C$2:$C$367,MATCH(H2077,Calendrier!$A$2:$A$367,0)),0),"")</f>
        <v/>
      </c>
      <c r="K2077" s="50" t="str">
        <f t="shared" si="164"/>
        <v/>
      </c>
      <c r="L2077" s="50" t="str">
        <f>IF(D2077="","",IF(COUNTIF(Paramètres!$A$11:$A$40,D2077)&gt;0,1,0))</f>
        <v/>
      </c>
    </row>
    <row r="2078" spans="1:12" hidden="1" x14ac:dyDescent="0.25">
      <c r="A2078" s="49"/>
      <c r="B2078" s="49"/>
      <c r="C2078" s="49"/>
      <c r="D2078" s="50" t="str">
        <f t="shared" si="160"/>
        <v/>
      </c>
      <c r="E2078" s="50" t="str">
        <f t="shared" si="161"/>
        <v/>
      </c>
      <c r="F2078" s="50" t="str">
        <f t="shared" si="162"/>
        <v/>
      </c>
      <c r="G2078" s="50" t="str">
        <f t="shared" si="163"/>
        <v/>
      </c>
      <c r="H2078" s="51" t="str">
        <f>IF($C2078="","",IFERROR(DATE(G2078,VLOOKUP(E2078,Paramètres!$K$11:$L$40,2,FALSE()),F2078),"?"))</f>
        <v/>
      </c>
      <c r="I2078" s="50" t="str">
        <f>IF(ISNUMBER(H2078),IF(COUNTIFS($D$2:D2078,D2078,$H$2:H2078,H2078)=1,1,0),"")</f>
        <v/>
      </c>
      <c r="J2078" s="50" t="str">
        <f>IF(ISNUMBER(H2078),IFERROR(INDEX(Calendrier!$C$2:$C$367,MATCH(H2078,Calendrier!$A$2:$A$367,0)),0),"")</f>
        <v/>
      </c>
      <c r="K2078" s="50" t="str">
        <f t="shared" si="164"/>
        <v/>
      </c>
      <c r="L2078" s="50" t="str">
        <f>IF(D2078="","",IF(COUNTIF(Paramètres!$A$11:$A$40,D2078)&gt;0,1,0))</f>
        <v/>
      </c>
    </row>
    <row r="2079" spans="1:12" hidden="1" x14ac:dyDescent="0.25">
      <c r="A2079" s="49"/>
      <c r="B2079" s="49"/>
      <c r="C2079" s="49"/>
      <c r="D2079" s="50" t="str">
        <f t="shared" si="160"/>
        <v/>
      </c>
      <c r="E2079" s="50" t="str">
        <f t="shared" si="161"/>
        <v/>
      </c>
      <c r="F2079" s="50" t="str">
        <f t="shared" si="162"/>
        <v/>
      </c>
      <c r="G2079" s="50" t="str">
        <f t="shared" si="163"/>
        <v/>
      </c>
      <c r="H2079" s="51" t="str">
        <f>IF($C2079="","",IFERROR(DATE(G2079,VLOOKUP(E2079,Paramètres!$K$11:$L$40,2,FALSE()),F2079),"?"))</f>
        <v/>
      </c>
      <c r="I2079" s="50" t="str">
        <f>IF(ISNUMBER(H2079),IF(COUNTIFS($D$2:D2079,D2079,$H$2:H2079,H2079)=1,1,0),"")</f>
        <v/>
      </c>
      <c r="J2079" s="50" t="str">
        <f>IF(ISNUMBER(H2079),IFERROR(INDEX(Calendrier!$C$2:$C$367,MATCH(H2079,Calendrier!$A$2:$A$367,0)),0),"")</f>
        <v/>
      </c>
      <c r="K2079" s="50" t="str">
        <f t="shared" si="164"/>
        <v/>
      </c>
      <c r="L2079" s="50" t="str">
        <f>IF(D2079="","",IF(COUNTIF(Paramètres!$A$11:$A$40,D2079)&gt;0,1,0))</f>
        <v/>
      </c>
    </row>
    <row r="2080" spans="1:12" hidden="1" x14ac:dyDescent="0.25">
      <c r="A2080" s="49"/>
      <c r="B2080" s="49"/>
      <c r="C2080" s="49"/>
      <c r="D2080" s="50" t="str">
        <f t="shared" si="160"/>
        <v/>
      </c>
      <c r="E2080" s="50" t="str">
        <f t="shared" si="161"/>
        <v/>
      </c>
      <c r="F2080" s="50" t="str">
        <f t="shared" si="162"/>
        <v/>
      </c>
      <c r="G2080" s="50" t="str">
        <f t="shared" si="163"/>
        <v/>
      </c>
      <c r="H2080" s="51" t="str">
        <f>IF($C2080="","",IFERROR(DATE(G2080,VLOOKUP(E2080,Paramètres!$K$11:$L$40,2,FALSE()),F2080),"?"))</f>
        <v/>
      </c>
      <c r="I2080" s="50" t="str">
        <f>IF(ISNUMBER(H2080),IF(COUNTIFS($D$2:D2080,D2080,$H$2:H2080,H2080)=1,1,0),"")</f>
        <v/>
      </c>
      <c r="J2080" s="50" t="str">
        <f>IF(ISNUMBER(H2080),IFERROR(INDEX(Calendrier!$C$2:$C$367,MATCH(H2080,Calendrier!$A$2:$A$367,0)),0),"")</f>
        <v/>
      </c>
      <c r="K2080" s="50" t="str">
        <f t="shared" si="164"/>
        <v/>
      </c>
      <c r="L2080" s="50" t="str">
        <f>IF(D2080="","",IF(COUNTIF(Paramètres!$A$11:$A$40,D2080)&gt;0,1,0))</f>
        <v/>
      </c>
    </row>
    <row r="2081" spans="1:12" hidden="1" x14ac:dyDescent="0.25">
      <c r="A2081" s="49"/>
      <c r="B2081" s="49"/>
      <c r="C2081" s="49"/>
      <c r="D2081" s="50" t="str">
        <f t="shared" si="160"/>
        <v/>
      </c>
      <c r="E2081" s="50" t="str">
        <f t="shared" si="161"/>
        <v/>
      </c>
      <c r="F2081" s="50" t="str">
        <f t="shared" si="162"/>
        <v/>
      </c>
      <c r="G2081" s="50" t="str">
        <f t="shared" si="163"/>
        <v/>
      </c>
      <c r="H2081" s="51" t="str">
        <f>IF($C2081="","",IFERROR(DATE(G2081,VLOOKUP(E2081,Paramètres!$K$11:$L$40,2,FALSE()),F2081),"?"))</f>
        <v/>
      </c>
      <c r="I2081" s="50" t="str">
        <f>IF(ISNUMBER(H2081),IF(COUNTIFS($D$2:D2081,D2081,$H$2:H2081,H2081)=1,1,0),"")</f>
        <v/>
      </c>
      <c r="J2081" s="50" t="str">
        <f>IF(ISNUMBER(H2081),IFERROR(INDEX(Calendrier!$C$2:$C$367,MATCH(H2081,Calendrier!$A$2:$A$367,0)),0),"")</f>
        <v/>
      </c>
      <c r="K2081" s="50" t="str">
        <f t="shared" si="164"/>
        <v/>
      </c>
      <c r="L2081" s="50" t="str">
        <f>IF(D2081="","",IF(COUNTIF(Paramètres!$A$11:$A$40,D2081)&gt;0,1,0))</f>
        <v/>
      </c>
    </row>
    <row r="2082" spans="1:12" hidden="1" x14ac:dyDescent="0.25">
      <c r="A2082" s="49"/>
      <c r="B2082" s="49"/>
      <c r="C2082" s="49"/>
      <c r="D2082" s="50" t="str">
        <f t="shared" si="160"/>
        <v/>
      </c>
      <c r="E2082" s="50" t="str">
        <f t="shared" si="161"/>
        <v/>
      </c>
      <c r="F2082" s="50" t="str">
        <f t="shared" si="162"/>
        <v/>
      </c>
      <c r="G2082" s="50" t="str">
        <f t="shared" si="163"/>
        <v/>
      </c>
      <c r="H2082" s="51" t="str">
        <f>IF($C2082="","",IFERROR(DATE(G2082,VLOOKUP(E2082,Paramètres!$K$11:$L$40,2,FALSE()),F2082),"?"))</f>
        <v/>
      </c>
      <c r="I2082" s="50" t="str">
        <f>IF(ISNUMBER(H2082),IF(COUNTIFS($D$2:D2082,D2082,$H$2:H2082,H2082)=1,1,0),"")</f>
        <v/>
      </c>
      <c r="J2082" s="50" t="str">
        <f>IF(ISNUMBER(H2082),IFERROR(INDEX(Calendrier!$C$2:$C$367,MATCH(H2082,Calendrier!$A$2:$A$367,0)),0),"")</f>
        <v/>
      </c>
      <c r="K2082" s="50" t="str">
        <f t="shared" si="164"/>
        <v/>
      </c>
      <c r="L2082" s="50" t="str">
        <f>IF(D2082="","",IF(COUNTIF(Paramètres!$A$11:$A$40,D2082)&gt;0,1,0))</f>
        <v/>
      </c>
    </row>
    <row r="2083" spans="1:12" hidden="1" x14ac:dyDescent="0.25">
      <c r="A2083" s="49"/>
      <c r="B2083" s="49"/>
      <c r="C2083" s="49"/>
      <c r="D2083" s="50" t="str">
        <f t="shared" si="160"/>
        <v/>
      </c>
      <c r="E2083" s="50" t="str">
        <f t="shared" si="161"/>
        <v/>
      </c>
      <c r="F2083" s="50" t="str">
        <f t="shared" si="162"/>
        <v/>
      </c>
      <c r="G2083" s="50" t="str">
        <f t="shared" si="163"/>
        <v/>
      </c>
      <c r="H2083" s="51" t="str">
        <f>IF($C2083="","",IFERROR(DATE(G2083,VLOOKUP(E2083,Paramètres!$K$11:$L$40,2,FALSE()),F2083),"?"))</f>
        <v/>
      </c>
      <c r="I2083" s="50" t="str">
        <f>IF(ISNUMBER(H2083),IF(COUNTIFS($D$2:D2083,D2083,$H$2:H2083,H2083)=1,1,0),"")</f>
        <v/>
      </c>
      <c r="J2083" s="50" t="str">
        <f>IF(ISNUMBER(H2083),IFERROR(INDEX(Calendrier!$C$2:$C$367,MATCH(H2083,Calendrier!$A$2:$A$367,0)),0),"")</f>
        <v/>
      </c>
      <c r="K2083" s="50" t="str">
        <f t="shared" si="164"/>
        <v/>
      </c>
      <c r="L2083" s="50" t="str">
        <f>IF(D2083="","",IF(COUNTIF(Paramètres!$A$11:$A$40,D2083)&gt;0,1,0))</f>
        <v/>
      </c>
    </row>
    <row r="2084" spans="1:12" hidden="1" x14ac:dyDescent="0.25">
      <c r="A2084" s="49"/>
      <c r="B2084" s="49"/>
      <c r="C2084" s="49"/>
      <c r="D2084" s="50" t="str">
        <f t="shared" si="160"/>
        <v/>
      </c>
      <c r="E2084" s="50" t="str">
        <f t="shared" si="161"/>
        <v/>
      </c>
      <c r="F2084" s="50" t="str">
        <f t="shared" si="162"/>
        <v/>
      </c>
      <c r="G2084" s="50" t="str">
        <f t="shared" si="163"/>
        <v/>
      </c>
      <c r="H2084" s="51" t="str">
        <f>IF($C2084="","",IFERROR(DATE(G2084,VLOOKUP(E2084,Paramètres!$K$11:$L$40,2,FALSE()),F2084),"?"))</f>
        <v/>
      </c>
      <c r="I2084" s="50" t="str">
        <f>IF(ISNUMBER(H2084),IF(COUNTIFS($D$2:D2084,D2084,$H$2:H2084,H2084)=1,1,0),"")</f>
        <v/>
      </c>
      <c r="J2084" s="50" t="str">
        <f>IF(ISNUMBER(H2084),IFERROR(INDEX(Calendrier!$C$2:$C$367,MATCH(H2084,Calendrier!$A$2:$A$367,0)),0),"")</f>
        <v/>
      </c>
      <c r="K2084" s="50" t="str">
        <f t="shared" si="164"/>
        <v/>
      </c>
      <c r="L2084" s="50" t="str">
        <f>IF(D2084="","",IF(COUNTIF(Paramètres!$A$11:$A$40,D2084)&gt;0,1,0))</f>
        <v/>
      </c>
    </row>
    <row r="2085" spans="1:12" hidden="1" x14ac:dyDescent="0.25">
      <c r="A2085" s="49"/>
      <c r="B2085" s="49"/>
      <c r="C2085" s="49"/>
      <c r="D2085" s="50" t="str">
        <f t="shared" si="160"/>
        <v/>
      </c>
      <c r="E2085" s="50" t="str">
        <f t="shared" si="161"/>
        <v/>
      </c>
      <c r="F2085" s="50" t="str">
        <f t="shared" si="162"/>
        <v/>
      </c>
      <c r="G2085" s="50" t="str">
        <f t="shared" si="163"/>
        <v/>
      </c>
      <c r="H2085" s="51" t="str">
        <f>IF($C2085="","",IFERROR(DATE(G2085,VLOOKUP(E2085,Paramètres!$K$11:$L$40,2,FALSE()),F2085),"?"))</f>
        <v/>
      </c>
      <c r="I2085" s="50" t="str">
        <f>IF(ISNUMBER(H2085),IF(COUNTIFS($D$2:D2085,D2085,$H$2:H2085,H2085)=1,1,0),"")</f>
        <v/>
      </c>
      <c r="J2085" s="50" t="str">
        <f>IF(ISNUMBER(H2085),IFERROR(INDEX(Calendrier!$C$2:$C$367,MATCH(H2085,Calendrier!$A$2:$A$367,0)),0),"")</f>
        <v/>
      </c>
      <c r="K2085" s="50" t="str">
        <f t="shared" si="164"/>
        <v/>
      </c>
      <c r="L2085" s="50" t="str">
        <f>IF(D2085="","",IF(COUNTIF(Paramètres!$A$11:$A$40,D2085)&gt;0,1,0))</f>
        <v/>
      </c>
    </row>
    <row r="2086" spans="1:12" hidden="1" x14ac:dyDescent="0.25">
      <c r="A2086" s="49"/>
      <c r="B2086" s="49"/>
      <c r="C2086" s="49"/>
      <c r="D2086" s="50" t="str">
        <f t="shared" si="160"/>
        <v/>
      </c>
      <c r="E2086" s="50" t="str">
        <f t="shared" si="161"/>
        <v/>
      </c>
      <c r="F2086" s="50" t="str">
        <f t="shared" si="162"/>
        <v/>
      </c>
      <c r="G2086" s="50" t="str">
        <f t="shared" si="163"/>
        <v/>
      </c>
      <c r="H2086" s="51" t="str">
        <f>IF($C2086="","",IFERROR(DATE(G2086,VLOOKUP(E2086,Paramètres!$K$11:$L$40,2,FALSE()),F2086),"?"))</f>
        <v/>
      </c>
      <c r="I2086" s="50" t="str">
        <f>IF(ISNUMBER(H2086),IF(COUNTIFS($D$2:D2086,D2086,$H$2:H2086,H2086)=1,1,0),"")</f>
        <v/>
      </c>
      <c r="J2086" s="50" t="str">
        <f>IF(ISNUMBER(H2086),IFERROR(INDEX(Calendrier!$C$2:$C$367,MATCH(H2086,Calendrier!$A$2:$A$367,0)),0),"")</f>
        <v/>
      </c>
      <c r="K2086" s="50" t="str">
        <f t="shared" si="164"/>
        <v/>
      </c>
      <c r="L2086" s="50" t="str">
        <f>IF(D2086="","",IF(COUNTIF(Paramètres!$A$11:$A$40,D2086)&gt;0,1,0))</f>
        <v/>
      </c>
    </row>
    <row r="2087" spans="1:12" hidden="1" x14ac:dyDescent="0.25">
      <c r="A2087" s="49"/>
      <c r="B2087" s="49"/>
      <c r="C2087" s="49"/>
      <c r="D2087" s="50" t="str">
        <f t="shared" si="160"/>
        <v/>
      </c>
      <c r="E2087" s="50" t="str">
        <f t="shared" si="161"/>
        <v/>
      </c>
      <c r="F2087" s="50" t="str">
        <f t="shared" si="162"/>
        <v/>
      </c>
      <c r="G2087" s="50" t="str">
        <f t="shared" si="163"/>
        <v/>
      </c>
      <c r="H2087" s="51" t="str">
        <f>IF($C2087="","",IFERROR(DATE(G2087,VLOOKUP(E2087,Paramètres!$K$11:$L$40,2,FALSE()),F2087),"?"))</f>
        <v/>
      </c>
      <c r="I2087" s="50" t="str">
        <f>IF(ISNUMBER(H2087),IF(COUNTIFS($D$2:D2087,D2087,$H$2:H2087,H2087)=1,1,0),"")</f>
        <v/>
      </c>
      <c r="J2087" s="50" t="str">
        <f>IF(ISNUMBER(H2087),IFERROR(INDEX(Calendrier!$C$2:$C$367,MATCH(H2087,Calendrier!$A$2:$A$367,0)),0),"")</f>
        <v/>
      </c>
      <c r="K2087" s="50" t="str">
        <f t="shared" si="164"/>
        <v/>
      </c>
      <c r="L2087" s="50" t="str">
        <f>IF(D2087="","",IF(COUNTIF(Paramètres!$A$11:$A$40,D2087)&gt;0,1,0))</f>
        <v/>
      </c>
    </row>
    <row r="2088" spans="1:12" hidden="1" x14ac:dyDescent="0.25">
      <c r="A2088" s="49"/>
      <c r="B2088" s="49"/>
      <c r="C2088" s="49"/>
      <c r="D2088" s="50" t="str">
        <f t="shared" si="160"/>
        <v/>
      </c>
      <c r="E2088" s="50" t="str">
        <f t="shared" si="161"/>
        <v/>
      </c>
      <c r="F2088" s="50" t="str">
        <f t="shared" si="162"/>
        <v/>
      </c>
      <c r="G2088" s="50" t="str">
        <f t="shared" si="163"/>
        <v/>
      </c>
      <c r="H2088" s="51" t="str">
        <f>IF($C2088="","",IFERROR(DATE(G2088,VLOOKUP(E2088,Paramètres!$K$11:$L$40,2,FALSE()),F2088),"?"))</f>
        <v/>
      </c>
      <c r="I2088" s="50" t="str">
        <f>IF(ISNUMBER(H2088),IF(COUNTIFS($D$2:D2088,D2088,$H$2:H2088,H2088)=1,1,0),"")</f>
        <v/>
      </c>
      <c r="J2088" s="50" t="str">
        <f>IF(ISNUMBER(H2088),IFERROR(INDEX(Calendrier!$C$2:$C$367,MATCH(H2088,Calendrier!$A$2:$A$367,0)),0),"")</f>
        <v/>
      </c>
      <c r="K2088" s="50" t="str">
        <f t="shared" si="164"/>
        <v/>
      </c>
      <c r="L2088" s="50" t="str">
        <f>IF(D2088="","",IF(COUNTIF(Paramètres!$A$11:$A$40,D2088)&gt;0,1,0))</f>
        <v/>
      </c>
    </row>
    <row r="2089" spans="1:12" hidden="1" x14ac:dyDescent="0.25">
      <c r="A2089" s="49"/>
      <c r="B2089" s="49"/>
      <c r="C2089" s="49"/>
      <c r="D2089" s="50" t="str">
        <f t="shared" si="160"/>
        <v/>
      </c>
      <c r="E2089" s="50" t="str">
        <f t="shared" si="161"/>
        <v/>
      </c>
      <c r="F2089" s="50" t="str">
        <f t="shared" si="162"/>
        <v/>
      </c>
      <c r="G2089" s="50" t="str">
        <f t="shared" si="163"/>
        <v/>
      </c>
      <c r="H2089" s="51" t="str">
        <f>IF($C2089="","",IFERROR(DATE(G2089,VLOOKUP(E2089,Paramètres!$K$11:$L$40,2,FALSE()),F2089),"?"))</f>
        <v/>
      </c>
      <c r="I2089" s="50" t="str">
        <f>IF(ISNUMBER(H2089),IF(COUNTIFS($D$2:D2089,D2089,$H$2:H2089,H2089)=1,1,0),"")</f>
        <v/>
      </c>
      <c r="J2089" s="50" t="str">
        <f>IF(ISNUMBER(H2089),IFERROR(INDEX(Calendrier!$C$2:$C$367,MATCH(H2089,Calendrier!$A$2:$A$367,0)),0),"")</f>
        <v/>
      </c>
      <c r="K2089" s="50" t="str">
        <f t="shared" si="164"/>
        <v/>
      </c>
      <c r="L2089" s="50" t="str">
        <f>IF(D2089="","",IF(COUNTIF(Paramètres!$A$11:$A$40,D2089)&gt;0,1,0))</f>
        <v/>
      </c>
    </row>
    <row r="2090" spans="1:12" hidden="1" x14ac:dyDescent="0.25">
      <c r="A2090" s="49"/>
      <c r="B2090" s="49"/>
      <c r="C2090" s="49"/>
      <c r="D2090" s="50" t="str">
        <f t="shared" si="160"/>
        <v/>
      </c>
      <c r="E2090" s="50" t="str">
        <f t="shared" si="161"/>
        <v/>
      </c>
      <c r="F2090" s="50" t="str">
        <f t="shared" si="162"/>
        <v/>
      </c>
      <c r="G2090" s="50" t="str">
        <f t="shared" si="163"/>
        <v/>
      </c>
      <c r="H2090" s="51" t="str">
        <f>IF($C2090="","",IFERROR(DATE(G2090,VLOOKUP(E2090,Paramètres!$K$11:$L$40,2,FALSE()),F2090),"?"))</f>
        <v/>
      </c>
      <c r="I2090" s="50" t="str">
        <f>IF(ISNUMBER(H2090),IF(COUNTIFS($D$2:D2090,D2090,$H$2:H2090,H2090)=1,1,0),"")</f>
        <v/>
      </c>
      <c r="J2090" s="50" t="str">
        <f>IF(ISNUMBER(H2090),IFERROR(INDEX(Calendrier!$C$2:$C$367,MATCH(H2090,Calendrier!$A$2:$A$367,0)),0),"")</f>
        <v/>
      </c>
      <c r="K2090" s="50" t="str">
        <f t="shared" si="164"/>
        <v/>
      </c>
      <c r="L2090" s="50" t="str">
        <f>IF(D2090="","",IF(COUNTIF(Paramètres!$A$11:$A$40,D2090)&gt;0,1,0))</f>
        <v/>
      </c>
    </row>
    <row r="2091" spans="1:12" hidden="1" x14ac:dyDescent="0.25">
      <c r="A2091" s="49"/>
      <c r="B2091" s="49"/>
      <c r="C2091" s="49"/>
      <c r="D2091" s="50" t="str">
        <f t="shared" si="160"/>
        <v/>
      </c>
      <c r="E2091" s="50" t="str">
        <f t="shared" si="161"/>
        <v/>
      </c>
      <c r="F2091" s="50" t="str">
        <f t="shared" si="162"/>
        <v/>
      </c>
      <c r="G2091" s="50" t="str">
        <f t="shared" si="163"/>
        <v/>
      </c>
      <c r="H2091" s="51" t="str">
        <f>IF($C2091="","",IFERROR(DATE(G2091,VLOOKUP(E2091,Paramètres!$K$11:$L$40,2,FALSE()),F2091),"?"))</f>
        <v/>
      </c>
      <c r="I2091" s="50" t="str">
        <f>IF(ISNUMBER(H2091),IF(COUNTIFS($D$2:D2091,D2091,$H$2:H2091,H2091)=1,1,0),"")</f>
        <v/>
      </c>
      <c r="J2091" s="50" t="str">
        <f>IF(ISNUMBER(H2091),IFERROR(INDEX(Calendrier!$C$2:$C$367,MATCH(H2091,Calendrier!$A$2:$A$367,0)),0),"")</f>
        <v/>
      </c>
      <c r="K2091" s="50" t="str">
        <f t="shared" si="164"/>
        <v/>
      </c>
      <c r="L2091" s="50" t="str">
        <f>IF(D2091="","",IF(COUNTIF(Paramètres!$A$11:$A$40,D2091)&gt;0,1,0))</f>
        <v/>
      </c>
    </row>
    <row r="2092" spans="1:12" hidden="1" x14ac:dyDescent="0.25">
      <c r="A2092" s="49"/>
      <c r="B2092" s="49"/>
      <c r="C2092" s="49"/>
      <c r="D2092" s="50" t="str">
        <f t="shared" si="160"/>
        <v/>
      </c>
      <c r="E2092" s="50" t="str">
        <f t="shared" si="161"/>
        <v/>
      </c>
      <c r="F2092" s="50" t="str">
        <f t="shared" si="162"/>
        <v/>
      </c>
      <c r="G2092" s="50" t="str">
        <f t="shared" si="163"/>
        <v/>
      </c>
      <c r="H2092" s="51" t="str">
        <f>IF($C2092="","",IFERROR(DATE(G2092,VLOOKUP(E2092,Paramètres!$K$11:$L$40,2,FALSE()),F2092),"?"))</f>
        <v/>
      </c>
      <c r="I2092" s="50" t="str">
        <f>IF(ISNUMBER(H2092),IF(COUNTIFS($D$2:D2092,D2092,$H$2:H2092,H2092)=1,1,0),"")</f>
        <v/>
      </c>
      <c r="J2092" s="50" t="str">
        <f>IF(ISNUMBER(H2092),IFERROR(INDEX(Calendrier!$C$2:$C$367,MATCH(H2092,Calendrier!$A$2:$A$367,0)),0),"")</f>
        <v/>
      </c>
      <c r="K2092" s="50" t="str">
        <f t="shared" si="164"/>
        <v/>
      </c>
      <c r="L2092" s="50" t="str">
        <f>IF(D2092="","",IF(COUNTIF(Paramètres!$A$11:$A$40,D2092)&gt;0,1,0))</f>
        <v/>
      </c>
    </row>
    <row r="2093" spans="1:12" hidden="1" x14ac:dyDescent="0.25">
      <c r="A2093" s="49"/>
      <c r="B2093" s="49"/>
      <c r="C2093" s="49"/>
      <c r="D2093" s="50" t="str">
        <f t="shared" si="160"/>
        <v/>
      </c>
      <c r="E2093" s="50" t="str">
        <f t="shared" si="161"/>
        <v/>
      </c>
      <c r="F2093" s="50" t="str">
        <f t="shared" si="162"/>
        <v/>
      </c>
      <c r="G2093" s="50" t="str">
        <f t="shared" si="163"/>
        <v/>
      </c>
      <c r="H2093" s="51" t="str">
        <f>IF($C2093="","",IFERROR(DATE(G2093,VLOOKUP(E2093,Paramètres!$K$11:$L$40,2,FALSE()),F2093),"?"))</f>
        <v/>
      </c>
      <c r="I2093" s="50" t="str">
        <f>IF(ISNUMBER(H2093),IF(COUNTIFS($D$2:D2093,D2093,$H$2:H2093,H2093)=1,1,0),"")</f>
        <v/>
      </c>
      <c r="J2093" s="50" t="str">
        <f>IF(ISNUMBER(H2093),IFERROR(INDEX(Calendrier!$C$2:$C$367,MATCH(H2093,Calendrier!$A$2:$A$367,0)),0),"")</f>
        <v/>
      </c>
      <c r="K2093" s="50" t="str">
        <f t="shared" si="164"/>
        <v/>
      </c>
      <c r="L2093" s="50" t="str">
        <f>IF(D2093="","",IF(COUNTIF(Paramètres!$A$11:$A$40,D2093)&gt;0,1,0))</f>
        <v/>
      </c>
    </row>
    <row r="2094" spans="1:12" hidden="1" x14ac:dyDescent="0.25">
      <c r="A2094" s="49"/>
      <c r="B2094" s="49"/>
      <c r="C2094" s="49"/>
      <c r="D2094" s="50" t="str">
        <f t="shared" si="160"/>
        <v/>
      </c>
      <c r="E2094" s="50" t="str">
        <f t="shared" si="161"/>
        <v/>
      </c>
      <c r="F2094" s="50" t="str">
        <f t="shared" si="162"/>
        <v/>
      </c>
      <c r="G2094" s="50" t="str">
        <f t="shared" si="163"/>
        <v/>
      </c>
      <c r="H2094" s="51" t="str">
        <f>IF($C2094="","",IFERROR(DATE(G2094,VLOOKUP(E2094,Paramètres!$K$11:$L$40,2,FALSE()),F2094),"?"))</f>
        <v/>
      </c>
      <c r="I2094" s="50" t="str">
        <f>IF(ISNUMBER(H2094),IF(COUNTIFS($D$2:D2094,D2094,$H$2:H2094,H2094)=1,1,0),"")</f>
        <v/>
      </c>
      <c r="J2094" s="50" t="str">
        <f>IF(ISNUMBER(H2094),IFERROR(INDEX(Calendrier!$C$2:$C$367,MATCH(H2094,Calendrier!$A$2:$A$367,0)),0),"")</f>
        <v/>
      </c>
      <c r="K2094" s="50" t="str">
        <f t="shared" si="164"/>
        <v/>
      </c>
      <c r="L2094" s="50" t="str">
        <f>IF(D2094="","",IF(COUNTIF(Paramètres!$A$11:$A$40,D2094)&gt;0,1,0))</f>
        <v/>
      </c>
    </row>
    <row r="2095" spans="1:12" hidden="1" x14ac:dyDescent="0.25">
      <c r="A2095" s="49"/>
      <c r="B2095" s="49"/>
      <c r="C2095" s="49"/>
      <c r="D2095" s="50" t="str">
        <f t="shared" si="160"/>
        <v/>
      </c>
      <c r="E2095" s="50" t="str">
        <f t="shared" si="161"/>
        <v/>
      </c>
      <c r="F2095" s="50" t="str">
        <f t="shared" si="162"/>
        <v/>
      </c>
      <c r="G2095" s="50" t="str">
        <f t="shared" si="163"/>
        <v/>
      </c>
      <c r="H2095" s="51" t="str">
        <f>IF($C2095="","",IFERROR(DATE(G2095,VLOOKUP(E2095,Paramètres!$K$11:$L$40,2,FALSE()),F2095),"?"))</f>
        <v/>
      </c>
      <c r="I2095" s="50" t="str">
        <f>IF(ISNUMBER(H2095),IF(COUNTIFS($D$2:D2095,D2095,$H$2:H2095,H2095)=1,1,0),"")</f>
        <v/>
      </c>
      <c r="J2095" s="50" t="str">
        <f>IF(ISNUMBER(H2095),IFERROR(INDEX(Calendrier!$C$2:$C$367,MATCH(H2095,Calendrier!$A$2:$A$367,0)),0),"")</f>
        <v/>
      </c>
      <c r="K2095" s="50" t="str">
        <f t="shared" si="164"/>
        <v/>
      </c>
      <c r="L2095" s="50" t="str">
        <f>IF(D2095="","",IF(COUNTIF(Paramètres!$A$11:$A$40,D2095)&gt;0,1,0))</f>
        <v/>
      </c>
    </row>
    <row r="2096" spans="1:12" hidden="1" x14ac:dyDescent="0.25">
      <c r="A2096" s="49"/>
      <c r="B2096" s="49"/>
      <c r="C2096" s="49"/>
      <c r="D2096" s="50" t="str">
        <f t="shared" si="160"/>
        <v/>
      </c>
      <c r="E2096" s="50" t="str">
        <f t="shared" si="161"/>
        <v/>
      </c>
      <c r="F2096" s="50" t="str">
        <f t="shared" si="162"/>
        <v/>
      </c>
      <c r="G2096" s="50" t="str">
        <f t="shared" si="163"/>
        <v/>
      </c>
      <c r="H2096" s="51" t="str">
        <f>IF($C2096="","",IFERROR(DATE(G2096,VLOOKUP(E2096,Paramètres!$K$11:$L$40,2,FALSE()),F2096),"?"))</f>
        <v/>
      </c>
      <c r="I2096" s="50" t="str">
        <f>IF(ISNUMBER(H2096),IF(COUNTIFS($D$2:D2096,D2096,$H$2:H2096,H2096)=1,1,0),"")</f>
        <v/>
      </c>
      <c r="J2096" s="50" t="str">
        <f>IF(ISNUMBER(H2096),IFERROR(INDEX(Calendrier!$C$2:$C$367,MATCH(H2096,Calendrier!$A$2:$A$367,0)),0),"")</f>
        <v/>
      </c>
      <c r="K2096" s="50" t="str">
        <f t="shared" si="164"/>
        <v/>
      </c>
      <c r="L2096" s="50" t="str">
        <f>IF(D2096="","",IF(COUNTIF(Paramètres!$A$11:$A$40,D2096)&gt;0,1,0))</f>
        <v/>
      </c>
    </row>
    <row r="2097" spans="1:12" hidden="1" x14ac:dyDescent="0.25">
      <c r="A2097" s="49"/>
      <c r="B2097" s="49"/>
      <c r="C2097" s="49"/>
      <c r="D2097" s="50" t="str">
        <f t="shared" si="160"/>
        <v/>
      </c>
      <c r="E2097" s="50" t="str">
        <f t="shared" si="161"/>
        <v/>
      </c>
      <c r="F2097" s="50" t="str">
        <f t="shared" si="162"/>
        <v/>
      </c>
      <c r="G2097" s="50" t="str">
        <f t="shared" si="163"/>
        <v/>
      </c>
      <c r="H2097" s="51" t="str">
        <f>IF($C2097="","",IFERROR(DATE(G2097,VLOOKUP(E2097,Paramètres!$K$11:$L$40,2,FALSE()),F2097),"?"))</f>
        <v/>
      </c>
      <c r="I2097" s="50" t="str">
        <f>IF(ISNUMBER(H2097),IF(COUNTIFS($D$2:D2097,D2097,$H$2:H2097,H2097)=1,1,0),"")</f>
        <v/>
      </c>
      <c r="J2097" s="50" t="str">
        <f>IF(ISNUMBER(H2097),IFERROR(INDEX(Calendrier!$C$2:$C$367,MATCH(H2097,Calendrier!$A$2:$A$367,0)),0),"")</f>
        <v/>
      </c>
      <c r="K2097" s="50" t="str">
        <f t="shared" si="164"/>
        <v/>
      </c>
      <c r="L2097" s="50" t="str">
        <f>IF(D2097="","",IF(COUNTIF(Paramètres!$A$11:$A$40,D2097)&gt;0,1,0))</f>
        <v/>
      </c>
    </row>
    <row r="2098" spans="1:12" hidden="1" x14ac:dyDescent="0.25">
      <c r="A2098" s="49"/>
      <c r="B2098" s="49"/>
      <c r="C2098" s="49"/>
      <c r="D2098" s="50" t="str">
        <f t="shared" si="160"/>
        <v/>
      </c>
      <c r="E2098" s="50" t="str">
        <f t="shared" si="161"/>
        <v/>
      </c>
      <c r="F2098" s="50" t="str">
        <f t="shared" si="162"/>
        <v/>
      </c>
      <c r="G2098" s="50" t="str">
        <f t="shared" si="163"/>
        <v/>
      </c>
      <c r="H2098" s="51" t="str">
        <f>IF($C2098="","",IFERROR(DATE(G2098,VLOOKUP(E2098,Paramètres!$K$11:$L$40,2,FALSE()),F2098),"?"))</f>
        <v/>
      </c>
      <c r="I2098" s="50" t="str">
        <f>IF(ISNUMBER(H2098),IF(COUNTIFS($D$2:D2098,D2098,$H$2:H2098,H2098)=1,1,0),"")</f>
        <v/>
      </c>
      <c r="J2098" s="50" t="str">
        <f>IF(ISNUMBER(H2098),IFERROR(INDEX(Calendrier!$C$2:$C$367,MATCH(H2098,Calendrier!$A$2:$A$367,0)),0),"")</f>
        <v/>
      </c>
      <c r="K2098" s="50" t="str">
        <f t="shared" si="164"/>
        <v/>
      </c>
      <c r="L2098" s="50" t="str">
        <f>IF(D2098="","",IF(COUNTIF(Paramètres!$A$11:$A$40,D2098)&gt;0,1,0))</f>
        <v/>
      </c>
    </row>
    <row r="2099" spans="1:12" hidden="1" x14ac:dyDescent="0.25">
      <c r="A2099" s="49"/>
      <c r="B2099" s="49"/>
      <c r="C2099" s="49"/>
      <c r="D2099" s="50" t="str">
        <f t="shared" si="160"/>
        <v/>
      </c>
      <c r="E2099" s="50" t="str">
        <f t="shared" si="161"/>
        <v/>
      </c>
      <c r="F2099" s="50" t="str">
        <f t="shared" si="162"/>
        <v/>
      </c>
      <c r="G2099" s="50" t="str">
        <f t="shared" si="163"/>
        <v/>
      </c>
      <c r="H2099" s="51" t="str">
        <f>IF($C2099="","",IFERROR(DATE(G2099,VLOOKUP(E2099,Paramètres!$K$11:$L$40,2,FALSE()),F2099),"?"))</f>
        <v/>
      </c>
      <c r="I2099" s="50" t="str">
        <f>IF(ISNUMBER(H2099),IF(COUNTIFS($D$2:D2099,D2099,$H$2:H2099,H2099)=1,1,0),"")</f>
        <v/>
      </c>
      <c r="J2099" s="50" t="str">
        <f>IF(ISNUMBER(H2099),IFERROR(INDEX(Calendrier!$C$2:$C$367,MATCH(H2099,Calendrier!$A$2:$A$367,0)),0),"")</f>
        <v/>
      </c>
      <c r="K2099" s="50" t="str">
        <f t="shared" si="164"/>
        <v/>
      </c>
      <c r="L2099" s="50" t="str">
        <f>IF(D2099="","",IF(COUNTIF(Paramètres!$A$11:$A$40,D2099)&gt;0,1,0))</f>
        <v/>
      </c>
    </row>
    <row r="2100" spans="1:12" hidden="1" x14ac:dyDescent="0.25">
      <c r="A2100" s="49"/>
      <c r="B2100" s="49"/>
      <c r="C2100" s="49"/>
      <c r="D2100" s="50" t="str">
        <f t="shared" si="160"/>
        <v/>
      </c>
      <c r="E2100" s="50" t="str">
        <f t="shared" si="161"/>
        <v/>
      </c>
      <c r="F2100" s="50" t="str">
        <f t="shared" si="162"/>
        <v/>
      </c>
      <c r="G2100" s="50" t="str">
        <f t="shared" si="163"/>
        <v/>
      </c>
      <c r="H2100" s="51" t="str">
        <f>IF($C2100="","",IFERROR(DATE(G2100,VLOOKUP(E2100,Paramètres!$K$11:$L$40,2,FALSE()),F2100),"?"))</f>
        <v/>
      </c>
      <c r="I2100" s="50" t="str">
        <f>IF(ISNUMBER(H2100),IF(COUNTIFS($D$2:D2100,D2100,$H$2:H2100,H2100)=1,1,0),"")</f>
        <v/>
      </c>
      <c r="J2100" s="50" t="str">
        <f>IF(ISNUMBER(H2100),IFERROR(INDEX(Calendrier!$C$2:$C$367,MATCH(H2100,Calendrier!$A$2:$A$367,0)),0),"")</f>
        <v/>
      </c>
      <c r="K2100" s="50" t="str">
        <f t="shared" si="164"/>
        <v/>
      </c>
      <c r="L2100" s="50" t="str">
        <f>IF(D2100="","",IF(COUNTIF(Paramètres!$A$11:$A$40,D2100)&gt;0,1,0))</f>
        <v/>
      </c>
    </row>
    <row r="2101" spans="1:12" hidden="1" x14ac:dyDescent="0.25">
      <c r="A2101" s="49"/>
      <c r="B2101" s="49"/>
      <c r="C2101" s="49"/>
      <c r="D2101" s="50" t="str">
        <f t="shared" si="160"/>
        <v/>
      </c>
      <c r="E2101" s="50" t="str">
        <f t="shared" si="161"/>
        <v/>
      </c>
      <c r="F2101" s="50" t="str">
        <f t="shared" si="162"/>
        <v/>
      </c>
      <c r="G2101" s="50" t="str">
        <f t="shared" si="163"/>
        <v/>
      </c>
      <c r="H2101" s="51" t="str">
        <f>IF($C2101="","",IFERROR(DATE(G2101,VLOOKUP(E2101,Paramètres!$K$11:$L$40,2,FALSE()),F2101),"?"))</f>
        <v/>
      </c>
      <c r="I2101" s="50" t="str">
        <f>IF(ISNUMBER(H2101),IF(COUNTIFS($D$2:D2101,D2101,$H$2:H2101,H2101)=1,1,0),"")</f>
        <v/>
      </c>
      <c r="J2101" s="50" t="str">
        <f>IF(ISNUMBER(H2101),IFERROR(INDEX(Calendrier!$C$2:$C$367,MATCH(H2101,Calendrier!$A$2:$A$367,0)),0),"")</f>
        <v/>
      </c>
      <c r="K2101" s="50" t="str">
        <f t="shared" si="164"/>
        <v/>
      </c>
      <c r="L2101" s="50" t="str">
        <f>IF(D2101="","",IF(COUNTIF(Paramètres!$A$11:$A$40,D2101)&gt;0,1,0))</f>
        <v/>
      </c>
    </row>
    <row r="2102" spans="1:12" hidden="1" x14ac:dyDescent="0.25">
      <c r="A2102" s="49"/>
      <c r="B2102" s="49"/>
      <c r="C2102" s="49"/>
      <c r="D2102" s="50" t="str">
        <f t="shared" si="160"/>
        <v/>
      </c>
      <c r="E2102" s="50" t="str">
        <f t="shared" si="161"/>
        <v/>
      </c>
      <c r="F2102" s="50" t="str">
        <f t="shared" si="162"/>
        <v/>
      </c>
      <c r="G2102" s="50" t="str">
        <f t="shared" si="163"/>
        <v/>
      </c>
      <c r="H2102" s="51" t="str">
        <f>IF($C2102="","",IFERROR(DATE(G2102,VLOOKUP(E2102,Paramètres!$K$11:$L$40,2,FALSE()),F2102),"?"))</f>
        <v/>
      </c>
      <c r="I2102" s="50" t="str">
        <f>IF(ISNUMBER(H2102),IF(COUNTIFS($D$2:D2102,D2102,$H$2:H2102,H2102)=1,1,0),"")</f>
        <v/>
      </c>
      <c r="J2102" s="50" t="str">
        <f>IF(ISNUMBER(H2102),IFERROR(INDEX(Calendrier!$C$2:$C$367,MATCH(H2102,Calendrier!$A$2:$A$367,0)),0),"")</f>
        <v/>
      </c>
      <c r="K2102" s="50" t="str">
        <f t="shared" si="164"/>
        <v/>
      </c>
      <c r="L2102" s="50" t="str">
        <f>IF(D2102="","",IF(COUNTIF(Paramètres!$A$11:$A$40,D2102)&gt;0,1,0))</f>
        <v/>
      </c>
    </row>
    <row r="2103" spans="1:12" hidden="1" x14ac:dyDescent="0.25">
      <c r="A2103" s="49"/>
      <c r="B2103" s="49"/>
      <c r="C2103" s="49"/>
      <c r="D2103" s="50" t="str">
        <f t="shared" si="160"/>
        <v/>
      </c>
      <c r="E2103" s="50" t="str">
        <f t="shared" si="161"/>
        <v/>
      </c>
      <c r="F2103" s="50" t="str">
        <f t="shared" si="162"/>
        <v/>
      </c>
      <c r="G2103" s="50" t="str">
        <f t="shared" si="163"/>
        <v/>
      </c>
      <c r="H2103" s="51" t="str">
        <f>IF($C2103="","",IFERROR(DATE(G2103,VLOOKUP(E2103,Paramètres!$K$11:$L$40,2,FALSE()),F2103),"?"))</f>
        <v/>
      </c>
      <c r="I2103" s="50" t="str">
        <f>IF(ISNUMBER(H2103),IF(COUNTIFS($D$2:D2103,D2103,$H$2:H2103,H2103)=1,1,0),"")</f>
        <v/>
      </c>
      <c r="J2103" s="50" t="str">
        <f>IF(ISNUMBER(H2103),IFERROR(INDEX(Calendrier!$C$2:$C$367,MATCH(H2103,Calendrier!$A$2:$A$367,0)),0),"")</f>
        <v/>
      </c>
      <c r="K2103" s="50" t="str">
        <f t="shared" si="164"/>
        <v/>
      </c>
      <c r="L2103" s="50" t="str">
        <f>IF(D2103="","",IF(COUNTIF(Paramètres!$A$11:$A$40,D2103)&gt;0,1,0))</f>
        <v/>
      </c>
    </row>
    <row r="2104" spans="1:12" hidden="1" x14ac:dyDescent="0.25">
      <c r="A2104" s="49"/>
      <c r="B2104" s="49"/>
      <c r="C2104" s="49"/>
      <c r="D2104" s="50" t="str">
        <f t="shared" si="160"/>
        <v/>
      </c>
      <c r="E2104" s="50" t="str">
        <f t="shared" si="161"/>
        <v/>
      </c>
      <c r="F2104" s="50" t="str">
        <f t="shared" si="162"/>
        <v/>
      </c>
      <c r="G2104" s="50" t="str">
        <f t="shared" si="163"/>
        <v/>
      </c>
      <c r="H2104" s="51" t="str">
        <f>IF($C2104="","",IFERROR(DATE(G2104,VLOOKUP(E2104,Paramètres!$K$11:$L$40,2,FALSE()),F2104),"?"))</f>
        <v/>
      </c>
      <c r="I2104" s="50" t="str">
        <f>IF(ISNUMBER(H2104),IF(COUNTIFS($D$2:D2104,D2104,$H$2:H2104,H2104)=1,1,0),"")</f>
        <v/>
      </c>
      <c r="J2104" s="50" t="str">
        <f>IF(ISNUMBER(H2104),IFERROR(INDEX(Calendrier!$C$2:$C$367,MATCH(H2104,Calendrier!$A$2:$A$367,0)),0),"")</f>
        <v/>
      </c>
      <c r="K2104" s="50" t="str">
        <f t="shared" si="164"/>
        <v/>
      </c>
      <c r="L2104" s="50" t="str">
        <f>IF(D2104="","",IF(COUNTIF(Paramètres!$A$11:$A$40,D2104)&gt;0,1,0))</f>
        <v/>
      </c>
    </row>
    <row r="2105" spans="1:12" hidden="1" x14ac:dyDescent="0.25">
      <c r="A2105" s="49"/>
      <c r="B2105" s="49"/>
      <c r="C2105" s="49"/>
      <c r="D2105" s="50" t="str">
        <f t="shared" si="160"/>
        <v/>
      </c>
      <c r="E2105" s="50" t="str">
        <f t="shared" si="161"/>
        <v/>
      </c>
      <c r="F2105" s="50" t="str">
        <f t="shared" si="162"/>
        <v/>
      </c>
      <c r="G2105" s="50" t="str">
        <f t="shared" si="163"/>
        <v/>
      </c>
      <c r="H2105" s="51" t="str">
        <f>IF($C2105="","",IFERROR(DATE(G2105,VLOOKUP(E2105,Paramètres!$K$11:$L$40,2,FALSE()),F2105),"?"))</f>
        <v/>
      </c>
      <c r="I2105" s="50" t="str">
        <f>IF(ISNUMBER(H2105),IF(COUNTIFS($D$2:D2105,D2105,$H$2:H2105,H2105)=1,1,0),"")</f>
        <v/>
      </c>
      <c r="J2105" s="50" t="str">
        <f>IF(ISNUMBER(H2105),IFERROR(INDEX(Calendrier!$C$2:$C$367,MATCH(H2105,Calendrier!$A$2:$A$367,0)),0),"")</f>
        <v/>
      </c>
      <c r="K2105" s="50" t="str">
        <f t="shared" si="164"/>
        <v/>
      </c>
      <c r="L2105" s="50" t="str">
        <f>IF(D2105="","",IF(COUNTIF(Paramètres!$A$11:$A$40,D2105)&gt;0,1,0))</f>
        <v/>
      </c>
    </row>
    <row r="2106" spans="1:12" hidden="1" x14ac:dyDescent="0.25">
      <c r="A2106" s="49"/>
      <c r="B2106" s="49"/>
      <c r="C2106" s="49"/>
      <c r="D2106" s="50" t="str">
        <f t="shared" si="160"/>
        <v/>
      </c>
      <c r="E2106" s="50" t="str">
        <f t="shared" si="161"/>
        <v/>
      </c>
      <c r="F2106" s="50" t="str">
        <f t="shared" si="162"/>
        <v/>
      </c>
      <c r="G2106" s="50" t="str">
        <f t="shared" si="163"/>
        <v/>
      </c>
      <c r="H2106" s="51" t="str">
        <f>IF($C2106="","",IFERROR(DATE(G2106,VLOOKUP(E2106,Paramètres!$K$11:$L$40,2,FALSE()),F2106),"?"))</f>
        <v/>
      </c>
      <c r="I2106" s="50" t="str">
        <f>IF(ISNUMBER(H2106),IF(COUNTIFS($D$2:D2106,D2106,$H$2:H2106,H2106)=1,1,0),"")</f>
        <v/>
      </c>
      <c r="J2106" s="50" t="str">
        <f>IF(ISNUMBER(H2106),IFERROR(INDEX(Calendrier!$C$2:$C$367,MATCH(H2106,Calendrier!$A$2:$A$367,0)),0),"")</f>
        <v/>
      </c>
      <c r="K2106" s="50" t="str">
        <f t="shared" si="164"/>
        <v/>
      </c>
      <c r="L2106" s="50" t="str">
        <f>IF(D2106="","",IF(COUNTIF(Paramètres!$A$11:$A$40,D2106)&gt;0,1,0))</f>
        <v/>
      </c>
    </row>
    <row r="2107" spans="1:12" hidden="1" x14ac:dyDescent="0.25">
      <c r="A2107" s="49"/>
      <c r="B2107" s="49"/>
      <c r="C2107" s="49"/>
      <c r="D2107" s="50" t="str">
        <f t="shared" si="160"/>
        <v/>
      </c>
      <c r="E2107" s="50" t="str">
        <f t="shared" si="161"/>
        <v/>
      </c>
      <c r="F2107" s="50" t="str">
        <f t="shared" si="162"/>
        <v/>
      </c>
      <c r="G2107" s="50" t="str">
        <f t="shared" si="163"/>
        <v/>
      </c>
      <c r="H2107" s="51" t="str">
        <f>IF($C2107="","",IFERROR(DATE(G2107,VLOOKUP(E2107,Paramètres!$K$11:$L$40,2,FALSE()),F2107),"?"))</f>
        <v/>
      </c>
      <c r="I2107" s="50" t="str">
        <f>IF(ISNUMBER(H2107),IF(COUNTIFS($D$2:D2107,D2107,$H$2:H2107,H2107)=1,1,0),"")</f>
        <v/>
      </c>
      <c r="J2107" s="50" t="str">
        <f>IF(ISNUMBER(H2107),IFERROR(INDEX(Calendrier!$C$2:$C$367,MATCH(H2107,Calendrier!$A$2:$A$367,0)),0),"")</f>
        <v/>
      </c>
      <c r="K2107" s="50" t="str">
        <f t="shared" si="164"/>
        <v/>
      </c>
      <c r="L2107" s="50" t="str">
        <f>IF(D2107="","",IF(COUNTIF(Paramètres!$A$11:$A$40,D2107)&gt;0,1,0))</f>
        <v/>
      </c>
    </row>
    <row r="2108" spans="1:12" hidden="1" x14ac:dyDescent="0.25">
      <c r="A2108" s="49"/>
      <c r="B2108" s="49"/>
      <c r="C2108" s="49"/>
      <c r="D2108" s="50" t="str">
        <f t="shared" si="160"/>
        <v/>
      </c>
      <c r="E2108" s="50" t="str">
        <f t="shared" si="161"/>
        <v/>
      </c>
      <c r="F2108" s="50" t="str">
        <f t="shared" si="162"/>
        <v/>
      </c>
      <c r="G2108" s="50" t="str">
        <f t="shared" si="163"/>
        <v/>
      </c>
      <c r="H2108" s="51" t="str">
        <f>IF($C2108="","",IFERROR(DATE(G2108,VLOOKUP(E2108,Paramètres!$K$11:$L$40,2,FALSE()),F2108),"?"))</f>
        <v/>
      </c>
      <c r="I2108" s="50" t="str">
        <f>IF(ISNUMBER(H2108),IF(COUNTIFS($D$2:D2108,D2108,$H$2:H2108,H2108)=1,1,0),"")</f>
        <v/>
      </c>
      <c r="J2108" s="50" t="str">
        <f>IF(ISNUMBER(H2108),IFERROR(INDEX(Calendrier!$C$2:$C$367,MATCH(H2108,Calendrier!$A$2:$A$367,0)),0),"")</f>
        <v/>
      </c>
      <c r="K2108" s="50" t="str">
        <f t="shared" si="164"/>
        <v/>
      </c>
      <c r="L2108" s="50" t="str">
        <f>IF(D2108="","",IF(COUNTIF(Paramètres!$A$11:$A$40,D2108)&gt;0,1,0))</f>
        <v/>
      </c>
    </row>
    <row r="2109" spans="1:12" hidden="1" x14ac:dyDescent="0.25">
      <c r="A2109" s="49"/>
      <c r="B2109" s="49"/>
      <c r="C2109" s="49"/>
      <c r="D2109" s="50" t="str">
        <f t="shared" si="160"/>
        <v/>
      </c>
      <c r="E2109" s="50" t="str">
        <f t="shared" si="161"/>
        <v/>
      </c>
      <c r="F2109" s="50" t="str">
        <f t="shared" si="162"/>
        <v/>
      </c>
      <c r="G2109" s="50" t="str">
        <f t="shared" si="163"/>
        <v/>
      </c>
      <c r="H2109" s="51" t="str">
        <f>IF($C2109="","",IFERROR(DATE(G2109,VLOOKUP(E2109,Paramètres!$K$11:$L$40,2,FALSE()),F2109),"?"))</f>
        <v/>
      </c>
      <c r="I2109" s="50" t="str">
        <f>IF(ISNUMBER(H2109),IF(COUNTIFS($D$2:D2109,D2109,$H$2:H2109,H2109)=1,1,0),"")</f>
        <v/>
      </c>
      <c r="J2109" s="50" t="str">
        <f>IF(ISNUMBER(H2109),IFERROR(INDEX(Calendrier!$C$2:$C$367,MATCH(H2109,Calendrier!$A$2:$A$367,0)),0),"")</f>
        <v/>
      </c>
      <c r="K2109" s="50" t="str">
        <f t="shared" si="164"/>
        <v/>
      </c>
      <c r="L2109" s="50" t="str">
        <f>IF(D2109="","",IF(COUNTIF(Paramètres!$A$11:$A$40,D2109)&gt;0,1,0))</f>
        <v/>
      </c>
    </row>
    <row r="2110" spans="1:12" hidden="1" x14ac:dyDescent="0.25">
      <c r="A2110" s="49"/>
      <c r="B2110" s="49"/>
      <c r="C2110" s="49"/>
      <c r="D2110" s="50" t="str">
        <f t="shared" si="160"/>
        <v/>
      </c>
      <c r="E2110" s="50" t="str">
        <f t="shared" si="161"/>
        <v/>
      </c>
      <c r="F2110" s="50" t="str">
        <f t="shared" si="162"/>
        <v/>
      </c>
      <c r="G2110" s="50" t="str">
        <f t="shared" si="163"/>
        <v/>
      </c>
      <c r="H2110" s="51" t="str">
        <f>IF($C2110="","",IFERROR(DATE(G2110,VLOOKUP(E2110,Paramètres!$K$11:$L$40,2,FALSE()),F2110),"?"))</f>
        <v/>
      </c>
      <c r="I2110" s="50" t="str">
        <f>IF(ISNUMBER(H2110),IF(COUNTIFS($D$2:D2110,D2110,$H$2:H2110,H2110)=1,1,0),"")</f>
        <v/>
      </c>
      <c r="J2110" s="50" t="str">
        <f>IF(ISNUMBER(H2110),IFERROR(INDEX(Calendrier!$C$2:$C$367,MATCH(H2110,Calendrier!$A$2:$A$367,0)),0),"")</f>
        <v/>
      </c>
      <c r="K2110" s="50" t="str">
        <f t="shared" si="164"/>
        <v/>
      </c>
      <c r="L2110" s="50" t="str">
        <f>IF(D2110="","",IF(COUNTIF(Paramètres!$A$11:$A$40,D2110)&gt;0,1,0))</f>
        <v/>
      </c>
    </row>
    <row r="2111" spans="1:12" hidden="1" x14ac:dyDescent="0.25">
      <c r="A2111" s="49"/>
      <c r="B2111" s="49"/>
      <c r="C2111" s="49"/>
      <c r="D2111" s="50" t="str">
        <f t="shared" si="160"/>
        <v/>
      </c>
      <c r="E2111" s="50" t="str">
        <f t="shared" si="161"/>
        <v/>
      </c>
      <c r="F2111" s="50" t="str">
        <f t="shared" si="162"/>
        <v/>
      </c>
      <c r="G2111" s="50" t="str">
        <f t="shared" si="163"/>
        <v/>
      </c>
      <c r="H2111" s="51" t="str">
        <f>IF($C2111="","",IFERROR(DATE(G2111,VLOOKUP(E2111,Paramètres!$K$11:$L$40,2,FALSE()),F2111),"?"))</f>
        <v/>
      </c>
      <c r="I2111" s="50" t="str">
        <f>IF(ISNUMBER(H2111),IF(COUNTIFS($D$2:D2111,D2111,$H$2:H2111,H2111)=1,1,0),"")</f>
        <v/>
      </c>
      <c r="J2111" s="50" t="str">
        <f>IF(ISNUMBER(H2111),IFERROR(INDEX(Calendrier!$C$2:$C$367,MATCH(H2111,Calendrier!$A$2:$A$367,0)),0),"")</f>
        <v/>
      </c>
      <c r="K2111" s="50" t="str">
        <f t="shared" si="164"/>
        <v/>
      </c>
      <c r="L2111" s="50" t="str">
        <f>IF(D2111="","",IF(COUNTIF(Paramètres!$A$11:$A$40,D2111)&gt;0,1,0))</f>
        <v/>
      </c>
    </row>
    <row r="2112" spans="1:12" hidden="1" x14ac:dyDescent="0.25">
      <c r="A2112" s="49"/>
      <c r="B2112" s="49"/>
      <c r="C2112" s="49"/>
      <c r="D2112" s="50" t="str">
        <f t="shared" si="160"/>
        <v/>
      </c>
      <c r="E2112" s="50" t="str">
        <f t="shared" si="161"/>
        <v/>
      </c>
      <c r="F2112" s="50" t="str">
        <f t="shared" si="162"/>
        <v/>
      </c>
      <c r="G2112" s="50" t="str">
        <f t="shared" si="163"/>
        <v/>
      </c>
      <c r="H2112" s="51" t="str">
        <f>IF($C2112="","",IFERROR(DATE(G2112,VLOOKUP(E2112,Paramètres!$K$11:$L$40,2,FALSE()),F2112),"?"))</f>
        <v/>
      </c>
      <c r="I2112" s="50" t="str">
        <f>IF(ISNUMBER(H2112),IF(COUNTIFS($D$2:D2112,D2112,$H$2:H2112,H2112)=1,1,0),"")</f>
        <v/>
      </c>
      <c r="J2112" s="50" t="str">
        <f>IF(ISNUMBER(H2112),IFERROR(INDEX(Calendrier!$C$2:$C$367,MATCH(H2112,Calendrier!$A$2:$A$367,0)),0),"")</f>
        <v/>
      </c>
      <c r="K2112" s="50" t="str">
        <f t="shared" si="164"/>
        <v/>
      </c>
      <c r="L2112" s="50" t="str">
        <f>IF(D2112="","",IF(COUNTIF(Paramètres!$A$11:$A$40,D2112)&gt;0,1,0))</f>
        <v/>
      </c>
    </row>
    <row r="2113" spans="1:12" hidden="1" x14ac:dyDescent="0.25">
      <c r="A2113" s="49"/>
      <c r="B2113" s="49"/>
      <c r="C2113" s="49"/>
      <c r="D2113" s="50" t="str">
        <f t="shared" si="160"/>
        <v/>
      </c>
      <c r="E2113" s="50" t="str">
        <f t="shared" si="161"/>
        <v/>
      </c>
      <c r="F2113" s="50" t="str">
        <f t="shared" si="162"/>
        <v/>
      </c>
      <c r="G2113" s="50" t="str">
        <f t="shared" si="163"/>
        <v/>
      </c>
      <c r="H2113" s="51" t="str">
        <f>IF($C2113="","",IFERROR(DATE(G2113,VLOOKUP(E2113,Paramètres!$K$11:$L$40,2,FALSE()),F2113),"?"))</f>
        <v/>
      </c>
      <c r="I2113" s="50" t="str">
        <f>IF(ISNUMBER(H2113),IF(COUNTIFS($D$2:D2113,D2113,$H$2:H2113,H2113)=1,1,0),"")</f>
        <v/>
      </c>
      <c r="J2113" s="50" t="str">
        <f>IF(ISNUMBER(H2113),IFERROR(INDEX(Calendrier!$C$2:$C$367,MATCH(H2113,Calendrier!$A$2:$A$367,0)),0),"")</f>
        <v/>
      </c>
      <c r="K2113" s="50" t="str">
        <f t="shared" si="164"/>
        <v/>
      </c>
      <c r="L2113" s="50" t="str">
        <f>IF(D2113="","",IF(COUNTIF(Paramètres!$A$11:$A$40,D2113)&gt;0,1,0))</f>
        <v/>
      </c>
    </row>
    <row r="2114" spans="1:12" hidden="1" x14ac:dyDescent="0.25">
      <c r="A2114" s="49"/>
      <c r="B2114" s="49"/>
      <c r="C2114" s="49"/>
      <c r="D2114" s="50" t="str">
        <f t="shared" ref="D2114:D2177" si="165">IF(B2114="","",TRIM(B2114))</f>
        <v/>
      </c>
      <c r="E2114" s="50" t="str">
        <f t="shared" ref="E2114:E2177" si="166">IF($C2114="","",LEFT($C2114,FIND(" ",$C2114)-1))</f>
        <v/>
      </c>
      <c r="F2114" s="50" t="str">
        <f t="shared" ref="F2114:F2177" si="167">IF($C2114="","",IFERROR(VALUE(LEFT(MID($C2114,FIND(" ",$C2114)+1,20),FIND(" ",MID($C2114,FIND(" ",$C2114)+1,20))-1)),"?"))</f>
        <v/>
      </c>
      <c r="G2114" s="50" t="str">
        <f t="shared" ref="G2114:G2177" si="168">IF($C2114="","",IFERROR(VALUE(MID(MID($C2114,FIND(" ",$C2114)+1,20),FIND(" ",MID($C2114,FIND(" ",$C2114)+1,20))+1,4)),"?"))</f>
        <v/>
      </c>
      <c r="H2114" s="51" t="str">
        <f>IF($C2114="","",IFERROR(DATE(G2114,VLOOKUP(E2114,Paramètres!$K$11:$L$40,2,FALSE()),F2114),"?"))</f>
        <v/>
      </c>
      <c r="I2114" s="50" t="str">
        <f>IF(ISNUMBER(H2114),IF(COUNTIFS($D$2:D2114,D2114,$H$2:H2114,H2114)=1,1,0),"")</f>
        <v/>
      </c>
      <c r="J2114" s="50" t="str">
        <f>IF(ISNUMBER(H2114),IFERROR(INDEX(Calendrier!$C$2:$C$367,MATCH(H2114,Calendrier!$A$2:$A$367,0)),0),"")</f>
        <v/>
      </c>
      <c r="K2114" s="50" t="str">
        <f t="shared" ref="K2114:K2177" si="169">IF(ISNUMBER(H2114),I2114*J2114,"")</f>
        <v/>
      </c>
      <c r="L2114" s="50" t="str">
        <f>IF(D2114="","",IF(COUNTIF(Paramètres!$A$11:$A$40,D2114)&gt;0,1,0))</f>
        <v/>
      </c>
    </row>
    <row r="2115" spans="1:12" hidden="1" x14ac:dyDescent="0.25">
      <c r="A2115" s="49"/>
      <c r="B2115" s="49"/>
      <c r="C2115" s="49"/>
      <c r="D2115" s="50" t="str">
        <f t="shared" si="165"/>
        <v/>
      </c>
      <c r="E2115" s="50" t="str">
        <f t="shared" si="166"/>
        <v/>
      </c>
      <c r="F2115" s="50" t="str">
        <f t="shared" si="167"/>
        <v/>
      </c>
      <c r="G2115" s="50" t="str">
        <f t="shared" si="168"/>
        <v/>
      </c>
      <c r="H2115" s="51" t="str">
        <f>IF($C2115="","",IFERROR(DATE(G2115,VLOOKUP(E2115,Paramètres!$K$11:$L$40,2,FALSE()),F2115),"?"))</f>
        <v/>
      </c>
      <c r="I2115" s="50" t="str">
        <f>IF(ISNUMBER(H2115),IF(COUNTIFS($D$2:D2115,D2115,$H$2:H2115,H2115)=1,1,0),"")</f>
        <v/>
      </c>
      <c r="J2115" s="50" t="str">
        <f>IF(ISNUMBER(H2115),IFERROR(INDEX(Calendrier!$C$2:$C$367,MATCH(H2115,Calendrier!$A$2:$A$367,0)),0),"")</f>
        <v/>
      </c>
      <c r="K2115" s="50" t="str">
        <f t="shared" si="169"/>
        <v/>
      </c>
      <c r="L2115" s="50" t="str">
        <f>IF(D2115="","",IF(COUNTIF(Paramètres!$A$11:$A$40,D2115)&gt;0,1,0))</f>
        <v/>
      </c>
    </row>
    <row r="2116" spans="1:12" hidden="1" x14ac:dyDescent="0.25">
      <c r="A2116" s="49"/>
      <c r="B2116" s="49"/>
      <c r="C2116" s="49"/>
      <c r="D2116" s="50" t="str">
        <f t="shared" si="165"/>
        <v/>
      </c>
      <c r="E2116" s="50" t="str">
        <f t="shared" si="166"/>
        <v/>
      </c>
      <c r="F2116" s="50" t="str">
        <f t="shared" si="167"/>
        <v/>
      </c>
      <c r="G2116" s="50" t="str">
        <f t="shared" si="168"/>
        <v/>
      </c>
      <c r="H2116" s="51" t="str">
        <f>IF($C2116="","",IFERROR(DATE(G2116,VLOOKUP(E2116,Paramètres!$K$11:$L$40,2,FALSE()),F2116),"?"))</f>
        <v/>
      </c>
      <c r="I2116" s="50" t="str">
        <f>IF(ISNUMBER(H2116),IF(COUNTIFS($D$2:D2116,D2116,$H$2:H2116,H2116)=1,1,0),"")</f>
        <v/>
      </c>
      <c r="J2116" s="50" t="str">
        <f>IF(ISNUMBER(H2116),IFERROR(INDEX(Calendrier!$C$2:$C$367,MATCH(H2116,Calendrier!$A$2:$A$367,0)),0),"")</f>
        <v/>
      </c>
      <c r="K2116" s="50" t="str">
        <f t="shared" si="169"/>
        <v/>
      </c>
      <c r="L2116" s="50" t="str">
        <f>IF(D2116="","",IF(COUNTIF(Paramètres!$A$11:$A$40,D2116)&gt;0,1,0))</f>
        <v/>
      </c>
    </row>
    <row r="2117" spans="1:12" hidden="1" x14ac:dyDescent="0.25">
      <c r="A2117" s="49"/>
      <c r="B2117" s="49"/>
      <c r="C2117" s="49"/>
      <c r="D2117" s="50" t="str">
        <f t="shared" si="165"/>
        <v/>
      </c>
      <c r="E2117" s="50" t="str">
        <f t="shared" si="166"/>
        <v/>
      </c>
      <c r="F2117" s="50" t="str">
        <f t="shared" si="167"/>
        <v/>
      </c>
      <c r="G2117" s="50" t="str">
        <f t="shared" si="168"/>
        <v/>
      </c>
      <c r="H2117" s="51" t="str">
        <f>IF($C2117="","",IFERROR(DATE(G2117,VLOOKUP(E2117,Paramètres!$K$11:$L$40,2,FALSE()),F2117),"?"))</f>
        <v/>
      </c>
      <c r="I2117" s="50" t="str">
        <f>IF(ISNUMBER(H2117),IF(COUNTIFS($D$2:D2117,D2117,$H$2:H2117,H2117)=1,1,0),"")</f>
        <v/>
      </c>
      <c r="J2117" s="50" t="str">
        <f>IF(ISNUMBER(H2117),IFERROR(INDEX(Calendrier!$C$2:$C$367,MATCH(H2117,Calendrier!$A$2:$A$367,0)),0),"")</f>
        <v/>
      </c>
      <c r="K2117" s="50" t="str">
        <f t="shared" si="169"/>
        <v/>
      </c>
      <c r="L2117" s="50" t="str">
        <f>IF(D2117="","",IF(COUNTIF(Paramètres!$A$11:$A$40,D2117)&gt;0,1,0))</f>
        <v/>
      </c>
    </row>
    <row r="2118" spans="1:12" hidden="1" x14ac:dyDescent="0.25">
      <c r="A2118" s="49"/>
      <c r="B2118" s="49"/>
      <c r="C2118" s="49"/>
      <c r="D2118" s="50" t="str">
        <f t="shared" si="165"/>
        <v/>
      </c>
      <c r="E2118" s="50" t="str">
        <f t="shared" si="166"/>
        <v/>
      </c>
      <c r="F2118" s="50" t="str">
        <f t="shared" si="167"/>
        <v/>
      </c>
      <c r="G2118" s="50" t="str">
        <f t="shared" si="168"/>
        <v/>
      </c>
      <c r="H2118" s="51" t="str">
        <f>IF($C2118="","",IFERROR(DATE(G2118,VLOOKUP(E2118,Paramètres!$K$11:$L$40,2,FALSE()),F2118),"?"))</f>
        <v/>
      </c>
      <c r="I2118" s="50" t="str">
        <f>IF(ISNUMBER(H2118),IF(COUNTIFS($D$2:D2118,D2118,$H$2:H2118,H2118)=1,1,0),"")</f>
        <v/>
      </c>
      <c r="J2118" s="50" t="str">
        <f>IF(ISNUMBER(H2118),IFERROR(INDEX(Calendrier!$C$2:$C$367,MATCH(H2118,Calendrier!$A$2:$A$367,0)),0),"")</f>
        <v/>
      </c>
      <c r="K2118" s="50" t="str">
        <f t="shared" si="169"/>
        <v/>
      </c>
      <c r="L2118" s="50" t="str">
        <f>IF(D2118="","",IF(COUNTIF(Paramètres!$A$11:$A$40,D2118)&gt;0,1,0))</f>
        <v/>
      </c>
    </row>
    <row r="2119" spans="1:12" hidden="1" x14ac:dyDescent="0.25">
      <c r="A2119" s="49"/>
      <c r="B2119" s="49"/>
      <c r="C2119" s="49"/>
      <c r="D2119" s="50" t="str">
        <f t="shared" si="165"/>
        <v/>
      </c>
      <c r="E2119" s="50" t="str">
        <f t="shared" si="166"/>
        <v/>
      </c>
      <c r="F2119" s="50" t="str">
        <f t="shared" si="167"/>
        <v/>
      </c>
      <c r="G2119" s="50" t="str">
        <f t="shared" si="168"/>
        <v/>
      </c>
      <c r="H2119" s="51" t="str">
        <f>IF($C2119="","",IFERROR(DATE(G2119,VLOOKUP(E2119,Paramètres!$K$11:$L$40,2,FALSE()),F2119),"?"))</f>
        <v/>
      </c>
      <c r="I2119" s="50" t="str">
        <f>IF(ISNUMBER(H2119),IF(COUNTIFS($D$2:D2119,D2119,$H$2:H2119,H2119)=1,1,0),"")</f>
        <v/>
      </c>
      <c r="J2119" s="50" t="str">
        <f>IF(ISNUMBER(H2119),IFERROR(INDEX(Calendrier!$C$2:$C$367,MATCH(H2119,Calendrier!$A$2:$A$367,0)),0),"")</f>
        <v/>
      </c>
      <c r="K2119" s="50" t="str">
        <f t="shared" si="169"/>
        <v/>
      </c>
      <c r="L2119" s="50" t="str">
        <f>IF(D2119="","",IF(COUNTIF(Paramètres!$A$11:$A$40,D2119)&gt;0,1,0))</f>
        <v/>
      </c>
    </row>
    <row r="2120" spans="1:12" hidden="1" x14ac:dyDescent="0.25">
      <c r="A2120" s="49"/>
      <c r="B2120" s="49"/>
      <c r="C2120" s="49"/>
      <c r="D2120" s="50" t="str">
        <f t="shared" si="165"/>
        <v/>
      </c>
      <c r="E2120" s="50" t="str">
        <f t="shared" si="166"/>
        <v/>
      </c>
      <c r="F2120" s="50" t="str">
        <f t="shared" si="167"/>
        <v/>
      </c>
      <c r="G2120" s="50" t="str">
        <f t="shared" si="168"/>
        <v/>
      </c>
      <c r="H2120" s="51" t="str">
        <f>IF($C2120="","",IFERROR(DATE(G2120,VLOOKUP(E2120,Paramètres!$K$11:$L$40,2,FALSE()),F2120),"?"))</f>
        <v/>
      </c>
      <c r="I2120" s="50" t="str">
        <f>IF(ISNUMBER(H2120),IF(COUNTIFS($D$2:D2120,D2120,$H$2:H2120,H2120)=1,1,0),"")</f>
        <v/>
      </c>
      <c r="J2120" s="50" t="str">
        <f>IF(ISNUMBER(H2120),IFERROR(INDEX(Calendrier!$C$2:$C$367,MATCH(H2120,Calendrier!$A$2:$A$367,0)),0),"")</f>
        <v/>
      </c>
      <c r="K2120" s="50" t="str">
        <f t="shared" si="169"/>
        <v/>
      </c>
      <c r="L2120" s="50" t="str">
        <f>IF(D2120="","",IF(COUNTIF(Paramètres!$A$11:$A$40,D2120)&gt;0,1,0))</f>
        <v/>
      </c>
    </row>
    <row r="2121" spans="1:12" hidden="1" x14ac:dyDescent="0.25">
      <c r="A2121" s="49"/>
      <c r="B2121" s="49"/>
      <c r="C2121" s="49"/>
      <c r="D2121" s="50" t="str">
        <f t="shared" si="165"/>
        <v/>
      </c>
      <c r="E2121" s="50" t="str">
        <f t="shared" si="166"/>
        <v/>
      </c>
      <c r="F2121" s="50" t="str">
        <f t="shared" si="167"/>
        <v/>
      </c>
      <c r="G2121" s="50" t="str">
        <f t="shared" si="168"/>
        <v/>
      </c>
      <c r="H2121" s="51" t="str">
        <f>IF($C2121="","",IFERROR(DATE(G2121,VLOOKUP(E2121,Paramètres!$K$11:$L$40,2,FALSE()),F2121),"?"))</f>
        <v/>
      </c>
      <c r="I2121" s="50" t="str">
        <f>IF(ISNUMBER(H2121),IF(COUNTIFS($D$2:D2121,D2121,$H$2:H2121,H2121)=1,1,0),"")</f>
        <v/>
      </c>
      <c r="J2121" s="50" t="str">
        <f>IF(ISNUMBER(H2121),IFERROR(INDEX(Calendrier!$C$2:$C$367,MATCH(H2121,Calendrier!$A$2:$A$367,0)),0),"")</f>
        <v/>
      </c>
      <c r="K2121" s="50" t="str">
        <f t="shared" si="169"/>
        <v/>
      </c>
      <c r="L2121" s="50" t="str">
        <f>IF(D2121="","",IF(COUNTIF(Paramètres!$A$11:$A$40,D2121)&gt;0,1,0))</f>
        <v/>
      </c>
    </row>
    <row r="2122" spans="1:12" hidden="1" x14ac:dyDescent="0.25">
      <c r="A2122" s="49"/>
      <c r="B2122" s="49"/>
      <c r="C2122" s="49"/>
      <c r="D2122" s="50" t="str">
        <f t="shared" si="165"/>
        <v/>
      </c>
      <c r="E2122" s="50" t="str">
        <f t="shared" si="166"/>
        <v/>
      </c>
      <c r="F2122" s="50" t="str">
        <f t="shared" si="167"/>
        <v/>
      </c>
      <c r="G2122" s="50" t="str">
        <f t="shared" si="168"/>
        <v/>
      </c>
      <c r="H2122" s="51" t="str">
        <f>IF($C2122="","",IFERROR(DATE(G2122,VLOOKUP(E2122,Paramètres!$K$11:$L$40,2,FALSE()),F2122),"?"))</f>
        <v/>
      </c>
      <c r="I2122" s="50" t="str">
        <f>IF(ISNUMBER(H2122),IF(COUNTIFS($D$2:D2122,D2122,$H$2:H2122,H2122)=1,1,0),"")</f>
        <v/>
      </c>
      <c r="J2122" s="50" t="str">
        <f>IF(ISNUMBER(H2122),IFERROR(INDEX(Calendrier!$C$2:$C$367,MATCH(H2122,Calendrier!$A$2:$A$367,0)),0),"")</f>
        <v/>
      </c>
      <c r="K2122" s="50" t="str">
        <f t="shared" si="169"/>
        <v/>
      </c>
      <c r="L2122" s="50" t="str">
        <f>IF(D2122="","",IF(COUNTIF(Paramètres!$A$11:$A$40,D2122)&gt;0,1,0))</f>
        <v/>
      </c>
    </row>
    <row r="2123" spans="1:12" hidden="1" x14ac:dyDescent="0.25">
      <c r="A2123" s="49"/>
      <c r="B2123" s="49"/>
      <c r="C2123" s="49"/>
      <c r="D2123" s="50" t="str">
        <f t="shared" si="165"/>
        <v/>
      </c>
      <c r="E2123" s="50" t="str">
        <f t="shared" si="166"/>
        <v/>
      </c>
      <c r="F2123" s="50" t="str">
        <f t="shared" si="167"/>
        <v/>
      </c>
      <c r="G2123" s="50" t="str">
        <f t="shared" si="168"/>
        <v/>
      </c>
      <c r="H2123" s="51" t="str">
        <f>IF($C2123="","",IFERROR(DATE(G2123,VLOOKUP(E2123,Paramètres!$K$11:$L$40,2,FALSE()),F2123),"?"))</f>
        <v/>
      </c>
      <c r="I2123" s="50" t="str">
        <f>IF(ISNUMBER(H2123),IF(COUNTIFS($D$2:D2123,D2123,$H$2:H2123,H2123)=1,1,0),"")</f>
        <v/>
      </c>
      <c r="J2123" s="50" t="str">
        <f>IF(ISNUMBER(H2123),IFERROR(INDEX(Calendrier!$C$2:$C$367,MATCH(H2123,Calendrier!$A$2:$A$367,0)),0),"")</f>
        <v/>
      </c>
      <c r="K2123" s="50" t="str">
        <f t="shared" si="169"/>
        <v/>
      </c>
      <c r="L2123" s="50" t="str">
        <f>IF(D2123="","",IF(COUNTIF(Paramètres!$A$11:$A$40,D2123)&gt;0,1,0))</f>
        <v/>
      </c>
    </row>
    <row r="2124" spans="1:12" hidden="1" x14ac:dyDescent="0.25">
      <c r="A2124" s="49"/>
      <c r="B2124" s="49"/>
      <c r="C2124" s="49"/>
      <c r="D2124" s="50" t="str">
        <f t="shared" si="165"/>
        <v/>
      </c>
      <c r="E2124" s="50" t="str">
        <f t="shared" si="166"/>
        <v/>
      </c>
      <c r="F2124" s="50" t="str">
        <f t="shared" si="167"/>
        <v/>
      </c>
      <c r="G2124" s="50" t="str">
        <f t="shared" si="168"/>
        <v/>
      </c>
      <c r="H2124" s="51" t="str">
        <f>IF($C2124="","",IFERROR(DATE(G2124,VLOOKUP(E2124,Paramètres!$K$11:$L$40,2,FALSE()),F2124),"?"))</f>
        <v/>
      </c>
      <c r="I2124" s="50" t="str">
        <f>IF(ISNUMBER(H2124),IF(COUNTIFS($D$2:D2124,D2124,$H$2:H2124,H2124)=1,1,0),"")</f>
        <v/>
      </c>
      <c r="J2124" s="50" t="str">
        <f>IF(ISNUMBER(H2124),IFERROR(INDEX(Calendrier!$C$2:$C$367,MATCH(H2124,Calendrier!$A$2:$A$367,0)),0),"")</f>
        <v/>
      </c>
      <c r="K2124" s="50" t="str">
        <f t="shared" si="169"/>
        <v/>
      </c>
      <c r="L2124" s="50" t="str">
        <f>IF(D2124="","",IF(COUNTIF(Paramètres!$A$11:$A$40,D2124)&gt;0,1,0))</f>
        <v/>
      </c>
    </row>
    <row r="2125" spans="1:12" hidden="1" x14ac:dyDescent="0.25">
      <c r="A2125" s="49"/>
      <c r="B2125" s="49"/>
      <c r="C2125" s="49"/>
      <c r="D2125" s="50" t="str">
        <f t="shared" si="165"/>
        <v/>
      </c>
      <c r="E2125" s="50" t="str">
        <f t="shared" si="166"/>
        <v/>
      </c>
      <c r="F2125" s="50" t="str">
        <f t="shared" si="167"/>
        <v/>
      </c>
      <c r="G2125" s="50" t="str">
        <f t="shared" si="168"/>
        <v/>
      </c>
      <c r="H2125" s="51" t="str">
        <f>IF($C2125="","",IFERROR(DATE(G2125,VLOOKUP(E2125,Paramètres!$K$11:$L$40,2,FALSE()),F2125),"?"))</f>
        <v/>
      </c>
      <c r="I2125" s="50" t="str">
        <f>IF(ISNUMBER(H2125),IF(COUNTIFS($D$2:D2125,D2125,$H$2:H2125,H2125)=1,1,0),"")</f>
        <v/>
      </c>
      <c r="J2125" s="50" t="str">
        <f>IF(ISNUMBER(H2125),IFERROR(INDEX(Calendrier!$C$2:$C$367,MATCH(H2125,Calendrier!$A$2:$A$367,0)),0),"")</f>
        <v/>
      </c>
      <c r="K2125" s="50" t="str">
        <f t="shared" si="169"/>
        <v/>
      </c>
      <c r="L2125" s="50" t="str">
        <f>IF(D2125="","",IF(COUNTIF(Paramètres!$A$11:$A$40,D2125)&gt;0,1,0))</f>
        <v/>
      </c>
    </row>
    <row r="2126" spans="1:12" hidden="1" x14ac:dyDescent="0.25">
      <c r="A2126" s="49"/>
      <c r="B2126" s="49"/>
      <c r="C2126" s="49"/>
      <c r="D2126" s="50" t="str">
        <f t="shared" si="165"/>
        <v/>
      </c>
      <c r="E2126" s="50" t="str">
        <f t="shared" si="166"/>
        <v/>
      </c>
      <c r="F2126" s="50" t="str">
        <f t="shared" si="167"/>
        <v/>
      </c>
      <c r="G2126" s="50" t="str">
        <f t="shared" si="168"/>
        <v/>
      </c>
      <c r="H2126" s="51" t="str">
        <f>IF($C2126="","",IFERROR(DATE(G2126,VLOOKUP(E2126,Paramètres!$K$11:$L$40,2,FALSE()),F2126),"?"))</f>
        <v/>
      </c>
      <c r="I2126" s="50" t="str">
        <f>IF(ISNUMBER(H2126),IF(COUNTIFS($D$2:D2126,D2126,$H$2:H2126,H2126)=1,1,0),"")</f>
        <v/>
      </c>
      <c r="J2126" s="50" t="str">
        <f>IF(ISNUMBER(H2126),IFERROR(INDEX(Calendrier!$C$2:$C$367,MATCH(H2126,Calendrier!$A$2:$A$367,0)),0),"")</f>
        <v/>
      </c>
      <c r="K2126" s="50" t="str">
        <f t="shared" si="169"/>
        <v/>
      </c>
      <c r="L2126" s="50" t="str">
        <f>IF(D2126="","",IF(COUNTIF(Paramètres!$A$11:$A$40,D2126)&gt;0,1,0))</f>
        <v/>
      </c>
    </row>
    <row r="2127" spans="1:12" hidden="1" x14ac:dyDescent="0.25">
      <c r="A2127" s="49"/>
      <c r="B2127" s="49"/>
      <c r="C2127" s="49"/>
      <c r="D2127" s="50" t="str">
        <f t="shared" si="165"/>
        <v/>
      </c>
      <c r="E2127" s="50" t="str">
        <f t="shared" si="166"/>
        <v/>
      </c>
      <c r="F2127" s="50" t="str">
        <f t="shared" si="167"/>
        <v/>
      </c>
      <c r="G2127" s="50" t="str">
        <f t="shared" si="168"/>
        <v/>
      </c>
      <c r="H2127" s="51" t="str">
        <f>IF($C2127="","",IFERROR(DATE(G2127,VLOOKUP(E2127,Paramètres!$K$11:$L$40,2,FALSE()),F2127),"?"))</f>
        <v/>
      </c>
      <c r="I2127" s="50" t="str">
        <f>IF(ISNUMBER(H2127),IF(COUNTIFS($D$2:D2127,D2127,$H$2:H2127,H2127)=1,1,0),"")</f>
        <v/>
      </c>
      <c r="J2127" s="50" t="str">
        <f>IF(ISNUMBER(H2127),IFERROR(INDEX(Calendrier!$C$2:$C$367,MATCH(H2127,Calendrier!$A$2:$A$367,0)),0),"")</f>
        <v/>
      </c>
      <c r="K2127" s="50" t="str">
        <f t="shared" si="169"/>
        <v/>
      </c>
      <c r="L2127" s="50" t="str">
        <f>IF(D2127="","",IF(COUNTIF(Paramètres!$A$11:$A$40,D2127)&gt;0,1,0))</f>
        <v/>
      </c>
    </row>
    <row r="2128" spans="1:12" hidden="1" x14ac:dyDescent="0.25">
      <c r="A2128" s="49"/>
      <c r="B2128" s="49"/>
      <c r="C2128" s="49"/>
      <c r="D2128" s="50" t="str">
        <f t="shared" si="165"/>
        <v/>
      </c>
      <c r="E2128" s="50" t="str">
        <f t="shared" si="166"/>
        <v/>
      </c>
      <c r="F2128" s="50" t="str">
        <f t="shared" si="167"/>
        <v/>
      </c>
      <c r="G2128" s="50" t="str">
        <f t="shared" si="168"/>
        <v/>
      </c>
      <c r="H2128" s="51" t="str">
        <f>IF($C2128="","",IFERROR(DATE(G2128,VLOOKUP(E2128,Paramètres!$K$11:$L$40,2,FALSE()),F2128),"?"))</f>
        <v/>
      </c>
      <c r="I2128" s="50" t="str">
        <f>IF(ISNUMBER(H2128),IF(COUNTIFS($D$2:D2128,D2128,$H$2:H2128,H2128)=1,1,0),"")</f>
        <v/>
      </c>
      <c r="J2128" s="50" t="str">
        <f>IF(ISNUMBER(H2128),IFERROR(INDEX(Calendrier!$C$2:$C$367,MATCH(H2128,Calendrier!$A$2:$A$367,0)),0),"")</f>
        <v/>
      </c>
      <c r="K2128" s="50" t="str">
        <f t="shared" si="169"/>
        <v/>
      </c>
      <c r="L2128" s="50" t="str">
        <f>IF(D2128="","",IF(COUNTIF(Paramètres!$A$11:$A$40,D2128)&gt;0,1,0))</f>
        <v/>
      </c>
    </row>
    <row r="2129" spans="1:12" hidden="1" x14ac:dyDescent="0.25">
      <c r="A2129" s="49"/>
      <c r="B2129" s="49"/>
      <c r="C2129" s="49"/>
      <c r="D2129" s="50" t="str">
        <f t="shared" si="165"/>
        <v/>
      </c>
      <c r="E2129" s="50" t="str">
        <f t="shared" si="166"/>
        <v/>
      </c>
      <c r="F2129" s="50" t="str">
        <f t="shared" si="167"/>
        <v/>
      </c>
      <c r="G2129" s="50" t="str">
        <f t="shared" si="168"/>
        <v/>
      </c>
      <c r="H2129" s="51" t="str">
        <f>IF($C2129="","",IFERROR(DATE(G2129,VLOOKUP(E2129,Paramètres!$K$11:$L$40,2,FALSE()),F2129),"?"))</f>
        <v/>
      </c>
      <c r="I2129" s="50" t="str">
        <f>IF(ISNUMBER(H2129),IF(COUNTIFS($D$2:D2129,D2129,$H$2:H2129,H2129)=1,1,0),"")</f>
        <v/>
      </c>
      <c r="J2129" s="50" t="str">
        <f>IF(ISNUMBER(H2129),IFERROR(INDEX(Calendrier!$C$2:$C$367,MATCH(H2129,Calendrier!$A$2:$A$367,0)),0),"")</f>
        <v/>
      </c>
      <c r="K2129" s="50" t="str">
        <f t="shared" si="169"/>
        <v/>
      </c>
      <c r="L2129" s="50" t="str">
        <f>IF(D2129="","",IF(COUNTIF(Paramètres!$A$11:$A$40,D2129)&gt;0,1,0))</f>
        <v/>
      </c>
    </row>
    <row r="2130" spans="1:12" hidden="1" x14ac:dyDescent="0.25">
      <c r="A2130" s="49"/>
      <c r="B2130" s="49"/>
      <c r="C2130" s="49"/>
      <c r="D2130" s="50" t="str">
        <f t="shared" si="165"/>
        <v/>
      </c>
      <c r="E2130" s="50" t="str">
        <f t="shared" si="166"/>
        <v/>
      </c>
      <c r="F2130" s="50" t="str">
        <f t="shared" si="167"/>
        <v/>
      </c>
      <c r="G2130" s="50" t="str">
        <f t="shared" si="168"/>
        <v/>
      </c>
      <c r="H2130" s="51" t="str">
        <f>IF($C2130="","",IFERROR(DATE(G2130,VLOOKUP(E2130,Paramètres!$K$11:$L$40,2,FALSE()),F2130),"?"))</f>
        <v/>
      </c>
      <c r="I2130" s="50" t="str">
        <f>IF(ISNUMBER(H2130),IF(COUNTIFS($D$2:D2130,D2130,$H$2:H2130,H2130)=1,1,0),"")</f>
        <v/>
      </c>
      <c r="J2130" s="50" t="str">
        <f>IF(ISNUMBER(H2130),IFERROR(INDEX(Calendrier!$C$2:$C$367,MATCH(H2130,Calendrier!$A$2:$A$367,0)),0),"")</f>
        <v/>
      </c>
      <c r="K2130" s="50" t="str">
        <f t="shared" si="169"/>
        <v/>
      </c>
      <c r="L2130" s="50" t="str">
        <f>IF(D2130="","",IF(COUNTIF(Paramètres!$A$11:$A$40,D2130)&gt;0,1,0))</f>
        <v/>
      </c>
    </row>
    <row r="2131" spans="1:12" hidden="1" x14ac:dyDescent="0.25">
      <c r="A2131" s="49"/>
      <c r="B2131" s="49"/>
      <c r="C2131" s="49"/>
      <c r="D2131" s="50" t="str">
        <f t="shared" si="165"/>
        <v/>
      </c>
      <c r="E2131" s="50" t="str">
        <f t="shared" si="166"/>
        <v/>
      </c>
      <c r="F2131" s="50" t="str">
        <f t="shared" si="167"/>
        <v/>
      </c>
      <c r="G2131" s="50" t="str">
        <f t="shared" si="168"/>
        <v/>
      </c>
      <c r="H2131" s="51" t="str">
        <f>IF($C2131="","",IFERROR(DATE(G2131,VLOOKUP(E2131,Paramètres!$K$11:$L$40,2,FALSE()),F2131),"?"))</f>
        <v/>
      </c>
      <c r="I2131" s="50" t="str">
        <f>IF(ISNUMBER(H2131),IF(COUNTIFS($D$2:D2131,D2131,$H$2:H2131,H2131)=1,1,0),"")</f>
        <v/>
      </c>
      <c r="J2131" s="50" t="str">
        <f>IF(ISNUMBER(H2131),IFERROR(INDEX(Calendrier!$C$2:$C$367,MATCH(H2131,Calendrier!$A$2:$A$367,0)),0),"")</f>
        <v/>
      </c>
      <c r="K2131" s="50" t="str">
        <f t="shared" si="169"/>
        <v/>
      </c>
      <c r="L2131" s="50" t="str">
        <f>IF(D2131="","",IF(COUNTIF(Paramètres!$A$11:$A$40,D2131)&gt;0,1,0))</f>
        <v/>
      </c>
    </row>
    <row r="2132" spans="1:12" hidden="1" x14ac:dyDescent="0.25">
      <c r="A2132" s="49"/>
      <c r="B2132" s="49"/>
      <c r="C2132" s="49"/>
      <c r="D2132" s="50" t="str">
        <f t="shared" si="165"/>
        <v/>
      </c>
      <c r="E2132" s="50" t="str">
        <f t="shared" si="166"/>
        <v/>
      </c>
      <c r="F2132" s="50" t="str">
        <f t="shared" si="167"/>
        <v/>
      </c>
      <c r="G2132" s="50" t="str">
        <f t="shared" si="168"/>
        <v/>
      </c>
      <c r="H2132" s="51" t="str">
        <f>IF($C2132="","",IFERROR(DATE(G2132,VLOOKUP(E2132,Paramètres!$K$11:$L$40,2,FALSE()),F2132),"?"))</f>
        <v/>
      </c>
      <c r="I2132" s="50" t="str">
        <f>IF(ISNUMBER(H2132),IF(COUNTIFS($D$2:D2132,D2132,$H$2:H2132,H2132)=1,1,0),"")</f>
        <v/>
      </c>
      <c r="J2132" s="50" t="str">
        <f>IF(ISNUMBER(H2132),IFERROR(INDEX(Calendrier!$C$2:$C$367,MATCH(H2132,Calendrier!$A$2:$A$367,0)),0),"")</f>
        <v/>
      </c>
      <c r="K2132" s="50" t="str">
        <f t="shared" si="169"/>
        <v/>
      </c>
      <c r="L2132" s="50" t="str">
        <f>IF(D2132="","",IF(COUNTIF(Paramètres!$A$11:$A$40,D2132)&gt;0,1,0))</f>
        <v/>
      </c>
    </row>
    <row r="2133" spans="1:12" hidden="1" x14ac:dyDescent="0.25">
      <c r="A2133" s="49"/>
      <c r="B2133" s="49"/>
      <c r="C2133" s="49"/>
      <c r="D2133" s="50" t="str">
        <f t="shared" si="165"/>
        <v/>
      </c>
      <c r="E2133" s="50" t="str">
        <f t="shared" si="166"/>
        <v/>
      </c>
      <c r="F2133" s="50" t="str">
        <f t="shared" si="167"/>
        <v/>
      </c>
      <c r="G2133" s="50" t="str">
        <f t="shared" si="168"/>
        <v/>
      </c>
      <c r="H2133" s="51" t="str">
        <f>IF($C2133="","",IFERROR(DATE(G2133,VLOOKUP(E2133,Paramètres!$K$11:$L$40,2,FALSE()),F2133),"?"))</f>
        <v/>
      </c>
      <c r="I2133" s="50" t="str">
        <f>IF(ISNUMBER(H2133),IF(COUNTIFS($D$2:D2133,D2133,$H$2:H2133,H2133)=1,1,0),"")</f>
        <v/>
      </c>
      <c r="J2133" s="50" t="str">
        <f>IF(ISNUMBER(H2133),IFERROR(INDEX(Calendrier!$C$2:$C$367,MATCH(H2133,Calendrier!$A$2:$A$367,0)),0),"")</f>
        <v/>
      </c>
      <c r="K2133" s="50" t="str">
        <f t="shared" si="169"/>
        <v/>
      </c>
      <c r="L2133" s="50" t="str">
        <f>IF(D2133="","",IF(COUNTIF(Paramètres!$A$11:$A$40,D2133)&gt;0,1,0))</f>
        <v/>
      </c>
    </row>
    <row r="2134" spans="1:12" hidden="1" x14ac:dyDescent="0.25">
      <c r="A2134" s="49"/>
      <c r="B2134" s="49"/>
      <c r="C2134" s="49"/>
      <c r="D2134" s="50" t="str">
        <f t="shared" si="165"/>
        <v/>
      </c>
      <c r="E2134" s="50" t="str">
        <f t="shared" si="166"/>
        <v/>
      </c>
      <c r="F2134" s="50" t="str">
        <f t="shared" si="167"/>
        <v/>
      </c>
      <c r="G2134" s="50" t="str">
        <f t="shared" si="168"/>
        <v/>
      </c>
      <c r="H2134" s="51" t="str">
        <f>IF($C2134="","",IFERROR(DATE(G2134,VLOOKUP(E2134,Paramètres!$K$11:$L$40,2,FALSE()),F2134),"?"))</f>
        <v/>
      </c>
      <c r="I2134" s="50" t="str">
        <f>IF(ISNUMBER(H2134),IF(COUNTIFS($D$2:D2134,D2134,$H$2:H2134,H2134)=1,1,0),"")</f>
        <v/>
      </c>
      <c r="J2134" s="50" t="str">
        <f>IF(ISNUMBER(H2134),IFERROR(INDEX(Calendrier!$C$2:$C$367,MATCH(H2134,Calendrier!$A$2:$A$367,0)),0),"")</f>
        <v/>
      </c>
      <c r="K2134" s="50" t="str">
        <f t="shared" si="169"/>
        <v/>
      </c>
      <c r="L2134" s="50" t="str">
        <f>IF(D2134="","",IF(COUNTIF(Paramètres!$A$11:$A$40,D2134)&gt;0,1,0))</f>
        <v/>
      </c>
    </row>
    <row r="2135" spans="1:12" hidden="1" x14ac:dyDescent="0.25">
      <c r="A2135" s="49"/>
      <c r="B2135" s="49"/>
      <c r="C2135" s="49"/>
      <c r="D2135" s="50" t="str">
        <f t="shared" si="165"/>
        <v/>
      </c>
      <c r="E2135" s="50" t="str">
        <f t="shared" si="166"/>
        <v/>
      </c>
      <c r="F2135" s="50" t="str">
        <f t="shared" si="167"/>
        <v/>
      </c>
      <c r="G2135" s="50" t="str">
        <f t="shared" si="168"/>
        <v/>
      </c>
      <c r="H2135" s="51" t="str">
        <f>IF($C2135="","",IFERROR(DATE(G2135,VLOOKUP(E2135,Paramètres!$K$11:$L$40,2,FALSE()),F2135),"?"))</f>
        <v/>
      </c>
      <c r="I2135" s="50" t="str">
        <f>IF(ISNUMBER(H2135),IF(COUNTIFS($D$2:D2135,D2135,$H$2:H2135,H2135)=1,1,0),"")</f>
        <v/>
      </c>
      <c r="J2135" s="50" t="str">
        <f>IF(ISNUMBER(H2135),IFERROR(INDEX(Calendrier!$C$2:$C$367,MATCH(H2135,Calendrier!$A$2:$A$367,0)),0),"")</f>
        <v/>
      </c>
      <c r="K2135" s="50" t="str">
        <f t="shared" si="169"/>
        <v/>
      </c>
      <c r="L2135" s="50" t="str">
        <f>IF(D2135="","",IF(COUNTIF(Paramètres!$A$11:$A$40,D2135)&gt;0,1,0))</f>
        <v/>
      </c>
    </row>
    <row r="2136" spans="1:12" hidden="1" x14ac:dyDescent="0.25">
      <c r="A2136" s="49"/>
      <c r="B2136" s="49"/>
      <c r="C2136" s="49"/>
      <c r="D2136" s="50" t="str">
        <f t="shared" si="165"/>
        <v/>
      </c>
      <c r="E2136" s="50" t="str">
        <f t="shared" si="166"/>
        <v/>
      </c>
      <c r="F2136" s="50" t="str">
        <f t="shared" si="167"/>
        <v/>
      </c>
      <c r="G2136" s="50" t="str">
        <f t="shared" si="168"/>
        <v/>
      </c>
      <c r="H2136" s="51" t="str">
        <f>IF($C2136="","",IFERROR(DATE(G2136,VLOOKUP(E2136,Paramètres!$K$11:$L$40,2,FALSE()),F2136),"?"))</f>
        <v/>
      </c>
      <c r="I2136" s="50" t="str">
        <f>IF(ISNUMBER(H2136),IF(COUNTIFS($D$2:D2136,D2136,$H$2:H2136,H2136)=1,1,0),"")</f>
        <v/>
      </c>
      <c r="J2136" s="50" t="str">
        <f>IF(ISNUMBER(H2136),IFERROR(INDEX(Calendrier!$C$2:$C$367,MATCH(H2136,Calendrier!$A$2:$A$367,0)),0),"")</f>
        <v/>
      </c>
      <c r="K2136" s="50" t="str">
        <f t="shared" si="169"/>
        <v/>
      </c>
      <c r="L2136" s="50" t="str">
        <f>IF(D2136="","",IF(COUNTIF(Paramètres!$A$11:$A$40,D2136)&gt;0,1,0))</f>
        <v/>
      </c>
    </row>
    <row r="2137" spans="1:12" hidden="1" x14ac:dyDescent="0.25">
      <c r="A2137" s="49"/>
      <c r="B2137" s="49"/>
      <c r="C2137" s="49"/>
      <c r="D2137" s="50" t="str">
        <f t="shared" si="165"/>
        <v/>
      </c>
      <c r="E2137" s="50" t="str">
        <f t="shared" si="166"/>
        <v/>
      </c>
      <c r="F2137" s="50" t="str">
        <f t="shared" si="167"/>
        <v/>
      </c>
      <c r="G2137" s="50" t="str">
        <f t="shared" si="168"/>
        <v/>
      </c>
      <c r="H2137" s="51" t="str">
        <f>IF($C2137="","",IFERROR(DATE(G2137,VLOOKUP(E2137,Paramètres!$K$11:$L$40,2,FALSE()),F2137),"?"))</f>
        <v/>
      </c>
      <c r="I2137" s="50" t="str">
        <f>IF(ISNUMBER(H2137),IF(COUNTIFS($D$2:D2137,D2137,$H$2:H2137,H2137)=1,1,0),"")</f>
        <v/>
      </c>
      <c r="J2137" s="50" t="str">
        <f>IF(ISNUMBER(H2137),IFERROR(INDEX(Calendrier!$C$2:$C$367,MATCH(H2137,Calendrier!$A$2:$A$367,0)),0),"")</f>
        <v/>
      </c>
      <c r="K2137" s="50" t="str">
        <f t="shared" si="169"/>
        <v/>
      </c>
      <c r="L2137" s="50" t="str">
        <f>IF(D2137="","",IF(COUNTIF(Paramètres!$A$11:$A$40,D2137)&gt;0,1,0))</f>
        <v/>
      </c>
    </row>
    <row r="2138" spans="1:12" hidden="1" x14ac:dyDescent="0.25">
      <c r="A2138" s="49"/>
      <c r="B2138" s="49"/>
      <c r="C2138" s="49"/>
      <c r="D2138" s="50" t="str">
        <f t="shared" si="165"/>
        <v/>
      </c>
      <c r="E2138" s="50" t="str">
        <f t="shared" si="166"/>
        <v/>
      </c>
      <c r="F2138" s="50" t="str">
        <f t="shared" si="167"/>
        <v/>
      </c>
      <c r="G2138" s="50" t="str">
        <f t="shared" si="168"/>
        <v/>
      </c>
      <c r="H2138" s="51" t="str">
        <f>IF($C2138="","",IFERROR(DATE(G2138,VLOOKUP(E2138,Paramètres!$K$11:$L$40,2,FALSE()),F2138),"?"))</f>
        <v/>
      </c>
      <c r="I2138" s="50" t="str">
        <f>IF(ISNUMBER(H2138),IF(COUNTIFS($D$2:D2138,D2138,$H$2:H2138,H2138)=1,1,0),"")</f>
        <v/>
      </c>
      <c r="J2138" s="50" t="str">
        <f>IF(ISNUMBER(H2138),IFERROR(INDEX(Calendrier!$C$2:$C$367,MATCH(H2138,Calendrier!$A$2:$A$367,0)),0),"")</f>
        <v/>
      </c>
      <c r="K2138" s="50" t="str">
        <f t="shared" si="169"/>
        <v/>
      </c>
      <c r="L2138" s="50" t="str">
        <f>IF(D2138="","",IF(COUNTIF(Paramètres!$A$11:$A$40,D2138)&gt;0,1,0))</f>
        <v/>
      </c>
    </row>
    <row r="2139" spans="1:12" hidden="1" x14ac:dyDescent="0.25">
      <c r="A2139" s="49"/>
      <c r="B2139" s="49"/>
      <c r="C2139" s="49"/>
      <c r="D2139" s="50" t="str">
        <f t="shared" si="165"/>
        <v/>
      </c>
      <c r="E2139" s="50" t="str">
        <f t="shared" si="166"/>
        <v/>
      </c>
      <c r="F2139" s="50" t="str">
        <f t="shared" si="167"/>
        <v/>
      </c>
      <c r="G2139" s="50" t="str">
        <f t="shared" si="168"/>
        <v/>
      </c>
      <c r="H2139" s="51" t="str">
        <f>IF($C2139="","",IFERROR(DATE(G2139,VLOOKUP(E2139,Paramètres!$K$11:$L$40,2,FALSE()),F2139),"?"))</f>
        <v/>
      </c>
      <c r="I2139" s="50" t="str">
        <f>IF(ISNUMBER(H2139),IF(COUNTIFS($D$2:D2139,D2139,$H$2:H2139,H2139)=1,1,0),"")</f>
        <v/>
      </c>
      <c r="J2139" s="50" t="str">
        <f>IF(ISNUMBER(H2139),IFERROR(INDEX(Calendrier!$C$2:$C$367,MATCH(H2139,Calendrier!$A$2:$A$367,0)),0),"")</f>
        <v/>
      </c>
      <c r="K2139" s="50" t="str">
        <f t="shared" si="169"/>
        <v/>
      </c>
      <c r="L2139" s="50" t="str">
        <f>IF(D2139="","",IF(COUNTIF(Paramètres!$A$11:$A$40,D2139)&gt;0,1,0))</f>
        <v/>
      </c>
    </row>
    <row r="2140" spans="1:12" hidden="1" x14ac:dyDescent="0.25">
      <c r="A2140" s="49"/>
      <c r="B2140" s="49"/>
      <c r="C2140" s="49"/>
      <c r="D2140" s="50" t="str">
        <f t="shared" si="165"/>
        <v/>
      </c>
      <c r="E2140" s="50" t="str">
        <f t="shared" si="166"/>
        <v/>
      </c>
      <c r="F2140" s="50" t="str">
        <f t="shared" si="167"/>
        <v/>
      </c>
      <c r="G2140" s="50" t="str">
        <f t="shared" si="168"/>
        <v/>
      </c>
      <c r="H2140" s="51" t="str">
        <f>IF($C2140="","",IFERROR(DATE(G2140,VLOOKUP(E2140,Paramètres!$K$11:$L$40,2,FALSE()),F2140),"?"))</f>
        <v/>
      </c>
      <c r="I2140" s="50" t="str">
        <f>IF(ISNUMBER(H2140),IF(COUNTIFS($D$2:D2140,D2140,$H$2:H2140,H2140)=1,1,0),"")</f>
        <v/>
      </c>
      <c r="J2140" s="50" t="str">
        <f>IF(ISNUMBER(H2140),IFERROR(INDEX(Calendrier!$C$2:$C$367,MATCH(H2140,Calendrier!$A$2:$A$367,0)),0),"")</f>
        <v/>
      </c>
      <c r="K2140" s="50" t="str">
        <f t="shared" si="169"/>
        <v/>
      </c>
      <c r="L2140" s="50" t="str">
        <f>IF(D2140="","",IF(COUNTIF(Paramètres!$A$11:$A$40,D2140)&gt;0,1,0))</f>
        <v/>
      </c>
    </row>
    <row r="2141" spans="1:12" hidden="1" x14ac:dyDescent="0.25">
      <c r="A2141" s="49"/>
      <c r="B2141" s="49"/>
      <c r="C2141" s="49"/>
      <c r="D2141" s="50" t="str">
        <f t="shared" si="165"/>
        <v/>
      </c>
      <c r="E2141" s="50" t="str">
        <f t="shared" si="166"/>
        <v/>
      </c>
      <c r="F2141" s="50" t="str">
        <f t="shared" si="167"/>
        <v/>
      </c>
      <c r="G2141" s="50" t="str">
        <f t="shared" si="168"/>
        <v/>
      </c>
      <c r="H2141" s="51" t="str">
        <f>IF($C2141="","",IFERROR(DATE(G2141,VLOOKUP(E2141,Paramètres!$K$11:$L$40,2,FALSE()),F2141),"?"))</f>
        <v/>
      </c>
      <c r="I2141" s="50" t="str">
        <f>IF(ISNUMBER(H2141),IF(COUNTIFS($D$2:D2141,D2141,$H$2:H2141,H2141)=1,1,0),"")</f>
        <v/>
      </c>
      <c r="J2141" s="50" t="str">
        <f>IF(ISNUMBER(H2141),IFERROR(INDEX(Calendrier!$C$2:$C$367,MATCH(H2141,Calendrier!$A$2:$A$367,0)),0),"")</f>
        <v/>
      </c>
      <c r="K2141" s="50" t="str">
        <f t="shared" si="169"/>
        <v/>
      </c>
      <c r="L2141" s="50" t="str">
        <f>IF(D2141="","",IF(COUNTIF(Paramètres!$A$11:$A$40,D2141)&gt;0,1,0))</f>
        <v/>
      </c>
    </row>
    <row r="2142" spans="1:12" hidden="1" x14ac:dyDescent="0.25">
      <c r="A2142" s="49"/>
      <c r="B2142" s="49"/>
      <c r="C2142" s="49"/>
      <c r="D2142" s="50" t="str">
        <f t="shared" si="165"/>
        <v/>
      </c>
      <c r="E2142" s="50" t="str">
        <f t="shared" si="166"/>
        <v/>
      </c>
      <c r="F2142" s="50" t="str">
        <f t="shared" si="167"/>
        <v/>
      </c>
      <c r="G2142" s="50" t="str">
        <f t="shared" si="168"/>
        <v/>
      </c>
      <c r="H2142" s="51" t="str">
        <f>IF($C2142="","",IFERROR(DATE(G2142,VLOOKUP(E2142,Paramètres!$K$11:$L$40,2,FALSE()),F2142),"?"))</f>
        <v/>
      </c>
      <c r="I2142" s="50" t="str">
        <f>IF(ISNUMBER(H2142),IF(COUNTIFS($D$2:D2142,D2142,$H$2:H2142,H2142)=1,1,0),"")</f>
        <v/>
      </c>
      <c r="J2142" s="50" t="str">
        <f>IF(ISNUMBER(H2142),IFERROR(INDEX(Calendrier!$C$2:$C$367,MATCH(H2142,Calendrier!$A$2:$A$367,0)),0),"")</f>
        <v/>
      </c>
      <c r="K2142" s="50" t="str">
        <f t="shared" si="169"/>
        <v/>
      </c>
      <c r="L2142" s="50" t="str">
        <f>IF(D2142="","",IF(COUNTIF(Paramètres!$A$11:$A$40,D2142)&gt;0,1,0))</f>
        <v/>
      </c>
    </row>
    <row r="2143" spans="1:12" hidden="1" x14ac:dyDescent="0.25">
      <c r="A2143" s="49"/>
      <c r="B2143" s="49"/>
      <c r="C2143" s="49"/>
      <c r="D2143" s="50" t="str">
        <f t="shared" si="165"/>
        <v/>
      </c>
      <c r="E2143" s="50" t="str">
        <f t="shared" si="166"/>
        <v/>
      </c>
      <c r="F2143" s="50" t="str">
        <f t="shared" si="167"/>
        <v/>
      </c>
      <c r="G2143" s="50" t="str">
        <f t="shared" si="168"/>
        <v/>
      </c>
      <c r="H2143" s="51" t="str">
        <f>IF($C2143="","",IFERROR(DATE(G2143,VLOOKUP(E2143,Paramètres!$K$11:$L$40,2,FALSE()),F2143),"?"))</f>
        <v/>
      </c>
      <c r="I2143" s="50" t="str">
        <f>IF(ISNUMBER(H2143),IF(COUNTIFS($D$2:D2143,D2143,$H$2:H2143,H2143)=1,1,0),"")</f>
        <v/>
      </c>
      <c r="J2143" s="50" t="str">
        <f>IF(ISNUMBER(H2143),IFERROR(INDEX(Calendrier!$C$2:$C$367,MATCH(H2143,Calendrier!$A$2:$A$367,0)),0),"")</f>
        <v/>
      </c>
      <c r="K2143" s="50" t="str">
        <f t="shared" si="169"/>
        <v/>
      </c>
      <c r="L2143" s="50" t="str">
        <f>IF(D2143="","",IF(COUNTIF(Paramètres!$A$11:$A$40,D2143)&gt;0,1,0))</f>
        <v/>
      </c>
    </row>
    <row r="2144" spans="1:12" hidden="1" x14ac:dyDescent="0.25">
      <c r="A2144" s="49"/>
      <c r="B2144" s="49"/>
      <c r="C2144" s="49"/>
      <c r="D2144" s="50" t="str">
        <f t="shared" si="165"/>
        <v/>
      </c>
      <c r="E2144" s="50" t="str">
        <f t="shared" si="166"/>
        <v/>
      </c>
      <c r="F2144" s="50" t="str">
        <f t="shared" si="167"/>
        <v/>
      </c>
      <c r="G2144" s="50" t="str">
        <f t="shared" si="168"/>
        <v/>
      </c>
      <c r="H2144" s="51" t="str">
        <f>IF($C2144="","",IFERROR(DATE(G2144,VLOOKUP(E2144,Paramètres!$K$11:$L$40,2,FALSE()),F2144),"?"))</f>
        <v/>
      </c>
      <c r="I2144" s="50" t="str">
        <f>IF(ISNUMBER(H2144),IF(COUNTIFS($D$2:D2144,D2144,$H$2:H2144,H2144)=1,1,0),"")</f>
        <v/>
      </c>
      <c r="J2144" s="50" t="str">
        <f>IF(ISNUMBER(H2144),IFERROR(INDEX(Calendrier!$C$2:$C$367,MATCH(H2144,Calendrier!$A$2:$A$367,0)),0),"")</f>
        <v/>
      </c>
      <c r="K2144" s="50" t="str">
        <f t="shared" si="169"/>
        <v/>
      </c>
      <c r="L2144" s="50" t="str">
        <f>IF(D2144="","",IF(COUNTIF(Paramètres!$A$11:$A$40,D2144)&gt;0,1,0))</f>
        <v/>
      </c>
    </row>
    <row r="2145" spans="1:12" hidden="1" x14ac:dyDescent="0.25">
      <c r="A2145" s="49"/>
      <c r="B2145" s="49"/>
      <c r="C2145" s="49"/>
      <c r="D2145" s="50" t="str">
        <f t="shared" si="165"/>
        <v/>
      </c>
      <c r="E2145" s="50" t="str">
        <f t="shared" si="166"/>
        <v/>
      </c>
      <c r="F2145" s="50" t="str">
        <f t="shared" si="167"/>
        <v/>
      </c>
      <c r="G2145" s="50" t="str">
        <f t="shared" si="168"/>
        <v/>
      </c>
      <c r="H2145" s="51" t="str">
        <f>IF($C2145="","",IFERROR(DATE(G2145,VLOOKUP(E2145,Paramètres!$K$11:$L$40,2,FALSE()),F2145),"?"))</f>
        <v/>
      </c>
      <c r="I2145" s="50" t="str">
        <f>IF(ISNUMBER(H2145),IF(COUNTIFS($D$2:D2145,D2145,$H$2:H2145,H2145)=1,1,0),"")</f>
        <v/>
      </c>
      <c r="J2145" s="50" t="str">
        <f>IF(ISNUMBER(H2145),IFERROR(INDEX(Calendrier!$C$2:$C$367,MATCH(H2145,Calendrier!$A$2:$A$367,0)),0),"")</f>
        <v/>
      </c>
      <c r="K2145" s="50" t="str">
        <f t="shared" si="169"/>
        <v/>
      </c>
      <c r="L2145" s="50" t="str">
        <f>IF(D2145="","",IF(COUNTIF(Paramètres!$A$11:$A$40,D2145)&gt;0,1,0))</f>
        <v/>
      </c>
    </row>
    <row r="2146" spans="1:12" hidden="1" x14ac:dyDescent="0.25">
      <c r="A2146" s="49"/>
      <c r="B2146" s="49"/>
      <c r="C2146" s="49"/>
      <c r="D2146" s="50" t="str">
        <f t="shared" si="165"/>
        <v/>
      </c>
      <c r="E2146" s="50" t="str">
        <f t="shared" si="166"/>
        <v/>
      </c>
      <c r="F2146" s="50" t="str">
        <f t="shared" si="167"/>
        <v/>
      </c>
      <c r="G2146" s="50" t="str">
        <f t="shared" si="168"/>
        <v/>
      </c>
      <c r="H2146" s="51" t="str">
        <f>IF($C2146="","",IFERROR(DATE(G2146,VLOOKUP(E2146,Paramètres!$K$11:$L$40,2,FALSE()),F2146),"?"))</f>
        <v/>
      </c>
      <c r="I2146" s="50" t="str">
        <f>IF(ISNUMBER(H2146),IF(COUNTIFS($D$2:D2146,D2146,$H$2:H2146,H2146)=1,1,0),"")</f>
        <v/>
      </c>
      <c r="J2146" s="50" t="str">
        <f>IF(ISNUMBER(H2146),IFERROR(INDEX(Calendrier!$C$2:$C$367,MATCH(H2146,Calendrier!$A$2:$A$367,0)),0),"")</f>
        <v/>
      </c>
      <c r="K2146" s="50" t="str">
        <f t="shared" si="169"/>
        <v/>
      </c>
      <c r="L2146" s="50" t="str">
        <f>IF(D2146="","",IF(COUNTIF(Paramètres!$A$11:$A$40,D2146)&gt;0,1,0))</f>
        <v/>
      </c>
    </row>
    <row r="2147" spans="1:12" hidden="1" x14ac:dyDescent="0.25">
      <c r="A2147" s="49"/>
      <c r="B2147" s="49"/>
      <c r="C2147" s="49"/>
      <c r="D2147" s="50" t="str">
        <f t="shared" si="165"/>
        <v/>
      </c>
      <c r="E2147" s="50" t="str">
        <f t="shared" si="166"/>
        <v/>
      </c>
      <c r="F2147" s="50" t="str">
        <f t="shared" si="167"/>
        <v/>
      </c>
      <c r="G2147" s="50" t="str">
        <f t="shared" si="168"/>
        <v/>
      </c>
      <c r="H2147" s="51" t="str">
        <f>IF($C2147="","",IFERROR(DATE(G2147,VLOOKUP(E2147,Paramètres!$K$11:$L$40,2,FALSE()),F2147),"?"))</f>
        <v/>
      </c>
      <c r="I2147" s="50" t="str">
        <f>IF(ISNUMBER(H2147),IF(COUNTIFS($D$2:D2147,D2147,$H$2:H2147,H2147)=1,1,0),"")</f>
        <v/>
      </c>
      <c r="J2147" s="50" t="str">
        <f>IF(ISNUMBER(H2147),IFERROR(INDEX(Calendrier!$C$2:$C$367,MATCH(H2147,Calendrier!$A$2:$A$367,0)),0),"")</f>
        <v/>
      </c>
      <c r="K2147" s="50" t="str">
        <f t="shared" si="169"/>
        <v/>
      </c>
      <c r="L2147" s="50" t="str">
        <f>IF(D2147="","",IF(COUNTIF(Paramètres!$A$11:$A$40,D2147)&gt;0,1,0))</f>
        <v/>
      </c>
    </row>
    <row r="2148" spans="1:12" hidden="1" x14ac:dyDescent="0.25">
      <c r="A2148" s="49"/>
      <c r="B2148" s="49"/>
      <c r="C2148" s="49"/>
      <c r="D2148" s="50" t="str">
        <f t="shared" si="165"/>
        <v/>
      </c>
      <c r="E2148" s="50" t="str">
        <f t="shared" si="166"/>
        <v/>
      </c>
      <c r="F2148" s="50" t="str">
        <f t="shared" si="167"/>
        <v/>
      </c>
      <c r="G2148" s="50" t="str">
        <f t="shared" si="168"/>
        <v/>
      </c>
      <c r="H2148" s="51" t="str">
        <f>IF($C2148="","",IFERROR(DATE(G2148,VLOOKUP(E2148,Paramètres!$K$11:$L$40,2,FALSE()),F2148),"?"))</f>
        <v/>
      </c>
      <c r="I2148" s="50" t="str">
        <f>IF(ISNUMBER(H2148),IF(COUNTIFS($D$2:D2148,D2148,$H$2:H2148,H2148)=1,1,0),"")</f>
        <v/>
      </c>
      <c r="J2148" s="50" t="str">
        <f>IF(ISNUMBER(H2148),IFERROR(INDEX(Calendrier!$C$2:$C$367,MATCH(H2148,Calendrier!$A$2:$A$367,0)),0),"")</f>
        <v/>
      </c>
      <c r="K2148" s="50" t="str">
        <f t="shared" si="169"/>
        <v/>
      </c>
      <c r="L2148" s="50" t="str">
        <f>IF(D2148="","",IF(COUNTIF(Paramètres!$A$11:$A$40,D2148)&gt;0,1,0))</f>
        <v/>
      </c>
    </row>
    <row r="2149" spans="1:12" hidden="1" x14ac:dyDescent="0.25">
      <c r="A2149" s="49"/>
      <c r="B2149" s="49"/>
      <c r="C2149" s="49"/>
      <c r="D2149" s="50" t="str">
        <f t="shared" si="165"/>
        <v/>
      </c>
      <c r="E2149" s="50" t="str">
        <f t="shared" si="166"/>
        <v/>
      </c>
      <c r="F2149" s="50" t="str">
        <f t="shared" si="167"/>
        <v/>
      </c>
      <c r="G2149" s="50" t="str">
        <f t="shared" si="168"/>
        <v/>
      </c>
      <c r="H2149" s="51" t="str">
        <f>IF($C2149="","",IFERROR(DATE(G2149,VLOOKUP(E2149,Paramètres!$K$11:$L$40,2,FALSE()),F2149),"?"))</f>
        <v/>
      </c>
      <c r="I2149" s="50" t="str">
        <f>IF(ISNUMBER(H2149),IF(COUNTIFS($D$2:D2149,D2149,$H$2:H2149,H2149)=1,1,0),"")</f>
        <v/>
      </c>
      <c r="J2149" s="50" t="str">
        <f>IF(ISNUMBER(H2149),IFERROR(INDEX(Calendrier!$C$2:$C$367,MATCH(H2149,Calendrier!$A$2:$A$367,0)),0),"")</f>
        <v/>
      </c>
      <c r="K2149" s="50" t="str">
        <f t="shared" si="169"/>
        <v/>
      </c>
      <c r="L2149" s="50" t="str">
        <f>IF(D2149="","",IF(COUNTIF(Paramètres!$A$11:$A$40,D2149)&gt;0,1,0))</f>
        <v/>
      </c>
    </row>
    <row r="2150" spans="1:12" hidden="1" x14ac:dyDescent="0.25">
      <c r="A2150" s="49"/>
      <c r="B2150" s="49"/>
      <c r="C2150" s="49"/>
      <c r="D2150" s="50" t="str">
        <f t="shared" si="165"/>
        <v/>
      </c>
      <c r="E2150" s="50" t="str">
        <f t="shared" si="166"/>
        <v/>
      </c>
      <c r="F2150" s="50" t="str">
        <f t="shared" si="167"/>
        <v/>
      </c>
      <c r="G2150" s="50" t="str">
        <f t="shared" si="168"/>
        <v/>
      </c>
      <c r="H2150" s="51" t="str">
        <f>IF($C2150="","",IFERROR(DATE(G2150,VLOOKUP(E2150,Paramètres!$K$11:$L$40,2,FALSE()),F2150),"?"))</f>
        <v/>
      </c>
      <c r="I2150" s="50" t="str">
        <f>IF(ISNUMBER(H2150),IF(COUNTIFS($D$2:D2150,D2150,$H$2:H2150,H2150)=1,1,0),"")</f>
        <v/>
      </c>
      <c r="J2150" s="50" t="str">
        <f>IF(ISNUMBER(H2150),IFERROR(INDEX(Calendrier!$C$2:$C$367,MATCH(H2150,Calendrier!$A$2:$A$367,0)),0),"")</f>
        <v/>
      </c>
      <c r="K2150" s="50" t="str">
        <f t="shared" si="169"/>
        <v/>
      </c>
      <c r="L2150" s="50" t="str">
        <f>IF(D2150="","",IF(COUNTIF(Paramètres!$A$11:$A$40,D2150)&gt;0,1,0))</f>
        <v/>
      </c>
    </row>
    <row r="2151" spans="1:12" hidden="1" x14ac:dyDescent="0.25">
      <c r="A2151" s="49"/>
      <c r="B2151" s="49"/>
      <c r="C2151" s="49"/>
      <c r="D2151" s="50" t="str">
        <f t="shared" si="165"/>
        <v/>
      </c>
      <c r="E2151" s="50" t="str">
        <f t="shared" si="166"/>
        <v/>
      </c>
      <c r="F2151" s="50" t="str">
        <f t="shared" si="167"/>
        <v/>
      </c>
      <c r="G2151" s="50" t="str">
        <f t="shared" si="168"/>
        <v/>
      </c>
      <c r="H2151" s="51" t="str">
        <f>IF($C2151="","",IFERROR(DATE(G2151,VLOOKUP(E2151,Paramètres!$K$11:$L$40,2,FALSE()),F2151),"?"))</f>
        <v/>
      </c>
      <c r="I2151" s="50" t="str">
        <f>IF(ISNUMBER(H2151),IF(COUNTIFS($D$2:D2151,D2151,$H$2:H2151,H2151)=1,1,0),"")</f>
        <v/>
      </c>
      <c r="J2151" s="50" t="str">
        <f>IF(ISNUMBER(H2151),IFERROR(INDEX(Calendrier!$C$2:$C$367,MATCH(H2151,Calendrier!$A$2:$A$367,0)),0),"")</f>
        <v/>
      </c>
      <c r="K2151" s="50" t="str">
        <f t="shared" si="169"/>
        <v/>
      </c>
      <c r="L2151" s="50" t="str">
        <f>IF(D2151="","",IF(COUNTIF(Paramètres!$A$11:$A$40,D2151)&gt;0,1,0))</f>
        <v/>
      </c>
    </row>
    <row r="2152" spans="1:12" hidden="1" x14ac:dyDescent="0.25">
      <c r="A2152" s="49"/>
      <c r="B2152" s="49"/>
      <c r="C2152" s="49"/>
      <c r="D2152" s="50" t="str">
        <f t="shared" si="165"/>
        <v/>
      </c>
      <c r="E2152" s="50" t="str">
        <f t="shared" si="166"/>
        <v/>
      </c>
      <c r="F2152" s="50" t="str">
        <f t="shared" si="167"/>
        <v/>
      </c>
      <c r="G2152" s="50" t="str">
        <f t="shared" si="168"/>
        <v/>
      </c>
      <c r="H2152" s="51" t="str">
        <f>IF($C2152="","",IFERROR(DATE(G2152,VLOOKUP(E2152,Paramètres!$K$11:$L$40,2,FALSE()),F2152),"?"))</f>
        <v/>
      </c>
      <c r="I2152" s="50" t="str">
        <f>IF(ISNUMBER(H2152),IF(COUNTIFS($D$2:D2152,D2152,$H$2:H2152,H2152)=1,1,0),"")</f>
        <v/>
      </c>
      <c r="J2152" s="50" t="str">
        <f>IF(ISNUMBER(H2152),IFERROR(INDEX(Calendrier!$C$2:$C$367,MATCH(H2152,Calendrier!$A$2:$A$367,0)),0),"")</f>
        <v/>
      </c>
      <c r="K2152" s="50" t="str">
        <f t="shared" si="169"/>
        <v/>
      </c>
      <c r="L2152" s="50" t="str">
        <f>IF(D2152="","",IF(COUNTIF(Paramètres!$A$11:$A$40,D2152)&gt;0,1,0))</f>
        <v/>
      </c>
    </row>
    <row r="2153" spans="1:12" hidden="1" x14ac:dyDescent="0.25">
      <c r="A2153" s="49"/>
      <c r="B2153" s="49"/>
      <c r="C2153" s="49"/>
      <c r="D2153" s="50" t="str">
        <f t="shared" si="165"/>
        <v/>
      </c>
      <c r="E2153" s="50" t="str">
        <f t="shared" si="166"/>
        <v/>
      </c>
      <c r="F2153" s="50" t="str">
        <f t="shared" si="167"/>
        <v/>
      </c>
      <c r="G2153" s="50" t="str">
        <f t="shared" si="168"/>
        <v/>
      </c>
      <c r="H2153" s="51" t="str">
        <f>IF($C2153="","",IFERROR(DATE(G2153,VLOOKUP(E2153,Paramètres!$K$11:$L$40,2,FALSE()),F2153),"?"))</f>
        <v/>
      </c>
      <c r="I2153" s="50" t="str">
        <f>IF(ISNUMBER(H2153),IF(COUNTIFS($D$2:D2153,D2153,$H$2:H2153,H2153)=1,1,0),"")</f>
        <v/>
      </c>
      <c r="J2153" s="50" t="str">
        <f>IF(ISNUMBER(H2153),IFERROR(INDEX(Calendrier!$C$2:$C$367,MATCH(H2153,Calendrier!$A$2:$A$367,0)),0),"")</f>
        <v/>
      </c>
      <c r="K2153" s="50" t="str">
        <f t="shared" si="169"/>
        <v/>
      </c>
      <c r="L2153" s="50" t="str">
        <f>IF(D2153="","",IF(COUNTIF(Paramètres!$A$11:$A$40,D2153)&gt;0,1,0))</f>
        <v/>
      </c>
    </row>
    <row r="2154" spans="1:12" hidden="1" x14ac:dyDescent="0.25">
      <c r="A2154" s="49"/>
      <c r="B2154" s="49"/>
      <c r="C2154" s="49"/>
      <c r="D2154" s="50" t="str">
        <f t="shared" si="165"/>
        <v/>
      </c>
      <c r="E2154" s="50" t="str">
        <f t="shared" si="166"/>
        <v/>
      </c>
      <c r="F2154" s="50" t="str">
        <f t="shared" si="167"/>
        <v/>
      </c>
      <c r="G2154" s="50" t="str">
        <f t="shared" si="168"/>
        <v/>
      </c>
      <c r="H2154" s="51" t="str">
        <f>IF($C2154="","",IFERROR(DATE(G2154,VLOOKUP(E2154,Paramètres!$K$11:$L$40,2,FALSE()),F2154),"?"))</f>
        <v/>
      </c>
      <c r="I2154" s="50" t="str">
        <f>IF(ISNUMBER(H2154),IF(COUNTIFS($D$2:D2154,D2154,$H$2:H2154,H2154)=1,1,0),"")</f>
        <v/>
      </c>
      <c r="J2154" s="50" t="str">
        <f>IF(ISNUMBER(H2154),IFERROR(INDEX(Calendrier!$C$2:$C$367,MATCH(H2154,Calendrier!$A$2:$A$367,0)),0),"")</f>
        <v/>
      </c>
      <c r="K2154" s="50" t="str">
        <f t="shared" si="169"/>
        <v/>
      </c>
      <c r="L2154" s="50" t="str">
        <f>IF(D2154="","",IF(COUNTIF(Paramètres!$A$11:$A$40,D2154)&gt;0,1,0))</f>
        <v/>
      </c>
    </row>
    <row r="2155" spans="1:12" hidden="1" x14ac:dyDescent="0.25">
      <c r="A2155" s="49"/>
      <c r="B2155" s="49"/>
      <c r="C2155" s="49"/>
      <c r="D2155" s="50" t="str">
        <f t="shared" si="165"/>
        <v/>
      </c>
      <c r="E2155" s="50" t="str">
        <f t="shared" si="166"/>
        <v/>
      </c>
      <c r="F2155" s="50" t="str">
        <f t="shared" si="167"/>
        <v/>
      </c>
      <c r="G2155" s="50" t="str">
        <f t="shared" si="168"/>
        <v/>
      </c>
      <c r="H2155" s="51" t="str">
        <f>IF($C2155="","",IFERROR(DATE(G2155,VLOOKUP(E2155,Paramètres!$K$11:$L$40,2,FALSE()),F2155),"?"))</f>
        <v/>
      </c>
      <c r="I2155" s="50" t="str">
        <f>IF(ISNUMBER(H2155),IF(COUNTIFS($D$2:D2155,D2155,$H$2:H2155,H2155)=1,1,0),"")</f>
        <v/>
      </c>
      <c r="J2155" s="50" t="str">
        <f>IF(ISNUMBER(H2155),IFERROR(INDEX(Calendrier!$C$2:$C$367,MATCH(H2155,Calendrier!$A$2:$A$367,0)),0),"")</f>
        <v/>
      </c>
      <c r="K2155" s="50" t="str">
        <f t="shared" si="169"/>
        <v/>
      </c>
      <c r="L2155" s="50" t="str">
        <f>IF(D2155="","",IF(COUNTIF(Paramètres!$A$11:$A$40,D2155)&gt;0,1,0))</f>
        <v/>
      </c>
    </row>
    <row r="2156" spans="1:12" hidden="1" x14ac:dyDescent="0.25">
      <c r="A2156" s="49"/>
      <c r="B2156" s="49"/>
      <c r="C2156" s="49"/>
      <c r="D2156" s="50" t="str">
        <f t="shared" si="165"/>
        <v/>
      </c>
      <c r="E2156" s="50" t="str">
        <f t="shared" si="166"/>
        <v/>
      </c>
      <c r="F2156" s="50" t="str">
        <f t="shared" si="167"/>
        <v/>
      </c>
      <c r="G2156" s="50" t="str">
        <f t="shared" si="168"/>
        <v/>
      </c>
      <c r="H2156" s="51" t="str">
        <f>IF($C2156="","",IFERROR(DATE(G2156,VLOOKUP(E2156,Paramètres!$K$11:$L$40,2,FALSE()),F2156),"?"))</f>
        <v/>
      </c>
      <c r="I2156" s="50" t="str">
        <f>IF(ISNUMBER(H2156),IF(COUNTIFS($D$2:D2156,D2156,$H$2:H2156,H2156)=1,1,0),"")</f>
        <v/>
      </c>
      <c r="J2156" s="50" t="str">
        <f>IF(ISNUMBER(H2156),IFERROR(INDEX(Calendrier!$C$2:$C$367,MATCH(H2156,Calendrier!$A$2:$A$367,0)),0),"")</f>
        <v/>
      </c>
      <c r="K2156" s="50" t="str">
        <f t="shared" si="169"/>
        <v/>
      </c>
      <c r="L2156" s="50" t="str">
        <f>IF(D2156="","",IF(COUNTIF(Paramètres!$A$11:$A$40,D2156)&gt;0,1,0))</f>
        <v/>
      </c>
    </row>
    <row r="2157" spans="1:12" hidden="1" x14ac:dyDescent="0.25">
      <c r="A2157" s="49"/>
      <c r="B2157" s="49"/>
      <c r="C2157" s="49"/>
      <c r="D2157" s="50" t="str">
        <f t="shared" si="165"/>
        <v/>
      </c>
      <c r="E2157" s="50" t="str">
        <f t="shared" si="166"/>
        <v/>
      </c>
      <c r="F2157" s="50" t="str">
        <f t="shared" si="167"/>
        <v/>
      </c>
      <c r="G2157" s="50" t="str">
        <f t="shared" si="168"/>
        <v/>
      </c>
      <c r="H2157" s="51" t="str">
        <f>IF($C2157="","",IFERROR(DATE(G2157,VLOOKUP(E2157,Paramètres!$K$11:$L$40,2,FALSE()),F2157),"?"))</f>
        <v/>
      </c>
      <c r="I2157" s="50" t="str">
        <f>IF(ISNUMBER(H2157),IF(COUNTIFS($D$2:D2157,D2157,$H$2:H2157,H2157)=1,1,0),"")</f>
        <v/>
      </c>
      <c r="J2157" s="50" t="str">
        <f>IF(ISNUMBER(H2157),IFERROR(INDEX(Calendrier!$C$2:$C$367,MATCH(H2157,Calendrier!$A$2:$A$367,0)),0),"")</f>
        <v/>
      </c>
      <c r="K2157" s="50" t="str">
        <f t="shared" si="169"/>
        <v/>
      </c>
      <c r="L2157" s="50" t="str">
        <f>IF(D2157="","",IF(COUNTIF(Paramètres!$A$11:$A$40,D2157)&gt;0,1,0))</f>
        <v/>
      </c>
    </row>
    <row r="2158" spans="1:12" hidden="1" x14ac:dyDescent="0.25">
      <c r="A2158" s="49"/>
      <c r="B2158" s="49"/>
      <c r="C2158" s="49"/>
      <c r="D2158" s="50" t="str">
        <f t="shared" si="165"/>
        <v/>
      </c>
      <c r="E2158" s="50" t="str">
        <f t="shared" si="166"/>
        <v/>
      </c>
      <c r="F2158" s="50" t="str">
        <f t="shared" si="167"/>
        <v/>
      </c>
      <c r="G2158" s="50" t="str">
        <f t="shared" si="168"/>
        <v/>
      </c>
      <c r="H2158" s="51" t="str">
        <f>IF($C2158="","",IFERROR(DATE(G2158,VLOOKUP(E2158,Paramètres!$K$11:$L$40,2,FALSE()),F2158),"?"))</f>
        <v/>
      </c>
      <c r="I2158" s="50" t="str">
        <f>IF(ISNUMBER(H2158),IF(COUNTIFS($D$2:D2158,D2158,$H$2:H2158,H2158)=1,1,0),"")</f>
        <v/>
      </c>
      <c r="J2158" s="50" t="str">
        <f>IF(ISNUMBER(H2158),IFERROR(INDEX(Calendrier!$C$2:$C$367,MATCH(H2158,Calendrier!$A$2:$A$367,0)),0),"")</f>
        <v/>
      </c>
      <c r="K2158" s="50" t="str">
        <f t="shared" si="169"/>
        <v/>
      </c>
      <c r="L2158" s="50" t="str">
        <f>IF(D2158="","",IF(COUNTIF(Paramètres!$A$11:$A$40,D2158)&gt;0,1,0))</f>
        <v/>
      </c>
    </row>
    <row r="2159" spans="1:12" hidden="1" x14ac:dyDescent="0.25">
      <c r="A2159" s="49"/>
      <c r="B2159" s="49"/>
      <c r="C2159" s="49"/>
      <c r="D2159" s="50" t="str">
        <f t="shared" si="165"/>
        <v/>
      </c>
      <c r="E2159" s="50" t="str">
        <f t="shared" si="166"/>
        <v/>
      </c>
      <c r="F2159" s="50" t="str">
        <f t="shared" si="167"/>
        <v/>
      </c>
      <c r="G2159" s="50" t="str">
        <f t="shared" si="168"/>
        <v/>
      </c>
      <c r="H2159" s="51" t="str">
        <f>IF($C2159="","",IFERROR(DATE(G2159,VLOOKUP(E2159,Paramètres!$K$11:$L$40,2,FALSE()),F2159),"?"))</f>
        <v/>
      </c>
      <c r="I2159" s="50" t="str">
        <f>IF(ISNUMBER(H2159),IF(COUNTIFS($D$2:D2159,D2159,$H$2:H2159,H2159)=1,1,0),"")</f>
        <v/>
      </c>
      <c r="J2159" s="50" t="str">
        <f>IF(ISNUMBER(H2159),IFERROR(INDEX(Calendrier!$C$2:$C$367,MATCH(H2159,Calendrier!$A$2:$A$367,0)),0),"")</f>
        <v/>
      </c>
      <c r="K2159" s="50" t="str">
        <f t="shared" si="169"/>
        <v/>
      </c>
      <c r="L2159" s="50" t="str">
        <f>IF(D2159="","",IF(COUNTIF(Paramètres!$A$11:$A$40,D2159)&gt;0,1,0))</f>
        <v/>
      </c>
    </row>
    <row r="2160" spans="1:12" hidden="1" x14ac:dyDescent="0.25">
      <c r="A2160" s="49"/>
      <c r="B2160" s="49"/>
      <c r="C2160" s="49"/>
      <c r="D2160" s="50" t="str">
        <f t="shared" si="165"/>
        <v/>
      </c>
      <c r="E2160" s="50" t="str">
        <f t="shared" si="166"/>
        <v/>
      </c>
      <c r="F2160" s="50" t="str">
        <f t="shared" si="167"/>
        <v/>
      </c>
      <c r="G2160" s="50" t="str">
        <f t="shared" si="168"/>
        <v/>
      </c>
      <c r="H2160" s="51" t="str">
        <f>IF($C2160="","",IFERROR(DATE(G2160,VLOOKUP(E2160,Paramètres!$K$11:$L$40,2,FALSE()),F2160),"?"))</f>
        <v/>
      </c>
      <c r="I2160" s="50" t="str">
        <f>IF(ISNUMBER(H2160),IF(COUNTIFS($D$2:D2160,D2160,$H$2:H2160,H2160)=1,1,0),"")</f>
        <v/>
      </c>
      <c r="J2160" s="50" t="str">
        <f>IF(ISNUMBER(H2160),IFERROR(INDEX(Calendrier!$C$2:$C$367,MATCH(H2160,Calendrier!$A$2:$A$367,0)),0),"")</f>
        <v/>
      </c>
      <c r="K2160" s="50" t="str">
        <f t="shared" si="169"/>
        <v/>
      </c>
      <c r="L2160" s="50" t="str">
        <f>IF(D2160="","",IF(COUNTIF(Paramètres!$A$11:$A$40,D2160)&gt;0,1,0))</f>
        <v/>
      </c>
    </row>
    <row r="2161" spans="1:12" hidden="1" x14ac:dyDescent="0.25">
      <c r="A2161" s="49"/>
      <c r="B2161" s="49"/>
      <c r="C2161" s="49"/>
      <c r="D2161" s="50" t="str">
        <f t="shared" si="165"/>
        <v/>
      </c>
      <c r="E2161" s="50" t="str">
        <f t="shared" si="166"/>
        <v/>
      </c>
      <c r="F2161" s="50" t="str">
        <f t="shared" si="167"/>
        <v/>
      </c>
      <c r="G2161" s="50" t="str">
        <f t="shared" si="168"/>
        <v/>
      </c>
      <c r="H2161" s="51" t="str">
        <f>IF($C2161="","",IFERROR(DATE(G2161,VLOOKUP(E2161,Paramètres!$K$11:$L$40,2,FALSE()),F2161),"?"))</f>
        <v/>
      </c>
      <c r="I2161" s="50" t="str">
        <f>IF(ISNUMBER(H2161),IF(COUNTIFS($D$2:D2161,D2161,$H$2:H2161,H2161)=1,1,0),"")</f>
        <v/>
      </c>
      <c r="J2161" s="50" t="str">
        <f>IF(ISNUMBER(H2161),IFERROR(INDEX(Calendrier!$C$2:$C$367,MATCH(H2161,Calendrier!$A$2:$A$367,0)),0),"")</f>
        <v/>
      </c>
      <c r="K2161" s="50" t="str">
        <f t="shared" si="169"/>
        <v/>
      </c>
      <c r="L2161" s="50" t="str">
        <f>IF(D2161="","",IF(COUNTIF(Paramètres!$A$11:$A$40,D2161)&gt;0,1,0))</f>
        <v/>
      </c>
    </row>
    <row r="2162" spans="1:12" hidden="1" x14ac:dyDescent="0.25">
      <c r="A2162" s="49"/>
      <c r="B2162" s="49"/>
      <c r="C2162" s="49"/>
      <c r="D2162" s="50" t="str">
        <f t="shared" si="165"/>
        <v/>
      </c>
      <c r="E2162" s="50" t="str">
        <f t="shared" si="166"/>
        <v/>
      </c>
      <c r="F2162" s="50" t="str">
        <f t="shared" si="167"/>
        <v/>
      </c>
      <c r="G2162" s="50" t="str">
        <f t="shared" si="168"/>
        <v/>
      </c>
      <c r="H2162" s="51" t="str">
        <f>IF($C2162="","",IFERROR(DATE(G2162,VLOOKUP(E2162,Paramètres!$K$11:$L$40,2,FALSE()),F2162),"?"))</f>
        <v/>
      </c>
      <c r="I2162" s="50" t="str">
        <f>IF(ISNUMBER(H2162),IF(COUNTIFS($D$2:D2162,D2162,$H$2:H2162,H2162)=1,1,0),"")</f>
        <v/>
      </c>
      <c r="J2162" s="50" t="str">
        <f>IF(ISNUMBER(H2162),IFERROR(INDEX(Calendrier!$C$2:$C$367,MATCH(H2162,Calendrier!$A$2:$A$367,0)),0),"")</f>
        <v/>
      </c>
      <c r="K2162" s="50" t="str">
        <f t="shared" si="169"/>
        <v/>
      </c>
      <c r="L2162" s="50" t="str">
        <f>IF(D2162="","",IF(COUNTIF(Paramètres!$A$11:$A$40,D2162)&gt;0,1,0))</f>
        <v/>
      </c>
    </row>
    <row r="2163" spans="1:12" hidden="1" x14ac:dyDescent="0.25">
      <c r="A2163" s="49"/>
      <c r="B2163" s="49"/>
      <c r="C2163" s="49"/>
      <c r="D2163" s="50" t="str">
        <f t="shared" si="165"/>
        <v/>
      </c>
      <c r="E2163" s="50" t="str">
        <f t="shared" si="166"/>
        <v/>
      </c>
      <c r="F2163" s="50" t="str">
        <f t="shared" si="167"/>
        <v/>
      </c>
      <c r="G2163" s="50" t="str">
        <f t="shared" si="168"/>
        <v/>
      </c>
      <c r="H2163" s="51" t="str">
        <f>IF($C2163="","",IFERROR(DATE(G2163,VLOOKUP(E2163,Paramètres!$K$11:$L$40,2,FALSE()),F2163),"?"))</f>
        <v/>
      </c>
      <c r="I2163" s="50" t="str">
        <f>IF(ISNUMBER(H2163),IF(COUNTIFS($D$2:D2163,D2163,$H$2:H2163,H2163)=1,1,0),"")</f>
        <v/>
      </c>
      <c r="J2163" s="50" t="str">
        <f>IF(ISNUMBER(H2163),IFERROR(INDEX(Calendrier!$C$2:$C$367,MATCH(H2163,Calendrier!$A$2:$A$367,0)),0),"")</f>
        <v/>
      </c>
      <c r="K2163" s="50" t="str">
        <f t="shared" si="169"/>
        <v/>
      </c>
      <c r="L2163" s="50" t="str">
        <f>IF(D2163="","",IF(COUNTIF(Paramètres!$A$11:$A$40,D2163)&gt;0,1,0))</f>
        <v/>
      </c>
    </row>
    <row r="2164" spans="1:12" hidden="1" x14ac:dyDescent="0.25">
      <c r="A2164" s="49"/>
      <c r="B2164" s="49"/>
      <c r="C2164" s="49"/>
      <c r="D2164" s="50" t="str">
        <f t="shared" si="165"/>
        <v/>
      </c>
      <c r="E2164" s="50" t="str">
        <f t="shared" si="166"/>
        <v/>
      </c>
      <c r="F2164" s="50" t="str">
        <f t="shared" si="167"/>
        <v/>
      </c>
      <c r="G2164" s="50" t="str">
        <f t="shared" si="168"/>
        <v/>
      </c>
      <c r="H2164" s="51" t="str">
        <f>IF($C2164="","",IFERROR(DATE(G2164,VLOOKUP(E2164,Paramètres!$K$11:$L$40,2,FALSE()),F2164),"?"))</f>
        <v/>
      </c>
      <c r="I2164" s="50" t="str">
        <f>IF(ISNUMBER(H2164),IF(COUNTIFS($D$2:D2164,D2164,$H$2:H2164,H2164)=1,1,0),"")</f>
        <v/>
      </c>
      <c r="J2164" s="50" t="str">
        <f>IF(ISNUMBER(H2164),IFERROR(INDEX(Calendrier!$C$2:$C$367,MATCH(H2164,Calendrier!$A$2:$A$367,0)),0),"")</f>
        <v/>
      </c>
      <c r="K2164" s="50" t="str">
        <f t="shared" si="169"/>
        <v/>
      </c>
      <c r="L2164" s="50" t="str">
        <f>IF(D2164="","",IF(COUNTIF(Paramètres!$A$11:$A$40,D2164)&gt;0,1,0))</f>
        <v/>
      </c>
    </row>
    <row r="2165" spans="1:12" hidden="1" x14ac:dyDescent="0.25">
      <c r="A2165" s="49"/>
      <c r="B2165" s="49"/>
      <c r="C2165" s="49"/>
      <c r="D2165" s="50" t="str">
        <f t="shared" si="165"/>
        <v/>
      </c>
      <c r="E2165" s="50" t="str">
        <f t="shared" si="166"/>
        <v/>
      </c>
      <c r="F2165" s="50" t="str">
        <f t="shared" si="167"/>
        <v/>
      </c>
      <c r="G2165" s="50" t="str">
        <f t="shared" si="168"/>
        <v/>
      </c>
      <c r="H2165" s="51" t="str">
        <f>IF($C2165="","",IFERROR(DATE(G2165,VLOOKUP(E2165,Paramètres!$K$11:$L$40,2,FALSE()),F2165),"?"))</f>
        <v/>
      </c>
      <c r="I2165" s="50" t="str">
        <f>IF(ISNUMBER(H2165),IF(COUNTIFS($D$2:D2165,D2165,$H$2:H2165,H2165)=1,1,0),"")</f>
        <v/>
      </c>
      <c r="J2165" s="50" t="str">
        <f>IF(ISNUMBER(H2165),IFERROR(INDEX(Calendrier!$C$2:$C$367,MATCH(H2165,Calendrier!$A$2:$A$367,0)),0),"")</f>
        <v/>
      </c>
      <c r="K2165" s="50" t="str">
        <f t="shared" si="169"/>
        <v/>
      </c>
      <c r="L2165" s="50" t="str">
        <f>IF(D2165="","",IF(COUNTIF(Paramètres!$A$11:$A$40,D2165)&gt;0,1,0))</f>
        <v/>
      </c>
    </row>
    <row r="2166" spans="1:12" hidden="1" x14ac:dyDescent="0.25">
      <c r="A2166" s="49"/>
      <c r="B2166" s="49"/>
      <c r="C2166" s="49"/>
      <c r="D2166" s="50" t="str">
        <f t="shared" si="165"/>
        <v/>
      </c>
      <c r="E2166" s="50" t="str">
        <f t="shared" si="166"/>
        <v/>
      </c>
      <c r="F2166" s="50" t="str">
        <f t="shared" si="167"/>
        <v/>
      </c>
      <c r="G2166" s="50" t="str">
        <f t="shared" si="168"/>
        <v/>
      </c>
      <c r="H2166" s="51" t="str">
        <f>IF($C2166="","",IFERROR(DATE(G2166,VLOOKUP(E2166,Paramètres!$K$11:$L$40,2,FALSE()),F2166),"?"))</f>
        <v/>
      </c>
      <c r="I2166" s="50" t="str">
        <f>IF(ISNUMBER(H2166),IF(COUNTIFS($D$2:D2166,D2166,$H$2:H2166,H2166)=1,1,0),"")</f>
        <v/>
      </c>
      <c r="J2166" s="50" t="str">
        <f>IF(ISNUMBER(H2166),IFERROR(INDEX(Calendrier!$C$2:$C$367,MATCH(H2166,Calendrier!$A$2:$A$367,0)),0),"")</f>
        <v/>
      </c>
      <c r="K2166" s="50" t="str">
        <f t="shared" si="169"/>
        <v/>
      </c>
      <c r="L2166" s="50" t="str">
        <f>IF(D2166="","",IF(COUNTIF(Paramètres!$A$11:$A$40,D2166)&gt;0,1,0))</f>
        <v/>
      </c>
    </row>
    <row r="2167" spans="1:12" hidden="1" x14ac:dyDescent="0.25">
      <c r="A2167" s="49"/>
      <c r="B2167" s="49"/>
      <c r="C2167" s="49"/>
      <c r="D2167" s="50" t="str">
        <f t="shared" si="165"/>
        <v/>
      </c>
      <c r="E2167" s="50" t="str">
        <f t="shared" si="166"/>
        <v/>
      </c>
      <c r="F2167" s="50" t="str">
        <f t="shared" si="167"/>
        <v/>
      </c>
      <c r="G2167" s="50" t="str">
        <f t="shared" si="168"/>
        <v/>
      </c>
      <c r="H2167" s="51" t="str">
        <f>IF($C2167="","",IFERROR(DATE(G2167,VLOOKUP(E2167,Paramètres!$K$11:$L$40,2,FALSE()),F2167),"?"))</f>
        <v/>
      </c>
      <c r="I2167" s="50" t="str">
        <f>IF(ISNUMBER(H2167),IF(COUNTIFS($D$2:D2167,D2167,$H$2:H2167,H2167)=1,1,0),"")</f>
        <v/>
      </c>
      <c r="J2167" s="50" t="str">
        <f>IF(ISNUMBER(H2167),IFERROR(INDEX(Calendrier!$C$2:$C$367,MATCH(H2167,Calendrier!$A$2:$A$367,0)),0),"")</f>
        <v/>
      </c>
      <c r="K2167" s="50" t="str">
        <f t="shared" si="169"/>
        <v/>
      </c>
      <c r="L2167" s="50" t="str">
        <f>IF(D2167="","",IF(COUNTIF(Paramètres!$A$11:$A$40,D2167)&gt;0,1,0))</f>
        <v/>
      </c>
    </row>
    <row r="2168" spans="1:12" hidden="1" x14ac:dyDescent="0.25">
      <c r="A2168" s="49"/>
      <c r="B2168" s="49"/>
      <c r="C2168" s="49"/>
      <c r="D2168" s="50" t="str">
        <f t="shared" si="165"/>
        <v/>
      </c>
      <c r="E2168" s="50" t="str">
        <f t="shared" si="166"/>
        <v/>
      </c>
      <c r="F2168" s="50" t="str">
        <f t="shared" si="167"/>
        <v/>
      </c>
      <c r="G2168" s="50" t="str">
        <f t="shared" si="168"/>
        <v/>
      </c>
      <c r="H2168" s="51" t="str">
        <f>IF($C2168="","",IFERROR(DATE(G2168,VLOOKUP(E2168,Paramètres!$K$11:$L$40,2,FALSE()),F2168),"?"))</f>
        <v/>
      </c>
      <c r="I2168" s="50" t="str">
        <f>IF(ISNUMBER(H2168),IF(COUNTIFS($D$2:D2168,D2168,$H$2:H2168,H2168)=1,1,0),"")</f>
        <v/>
      </c>
      <c r="J2168" s="50" t="str">
        <f>IF(ISNUMBER(H2168),IFERROR(INDEX(Calendrier!$C$2:$C$367,MATCH(H2168,Calendrier!$A$2:$A$367,0)),0),"")</f>
        <v/>
      </c>
      <c r="K2168" s="50" t="str">
        <f t="shared" si="169"/>
        <v/>
      </c>
      <c r="L2168" s="50" t="str">
        <f>IF(D2168="","",IF(COUNTIF(Paramètres!$A$11:$A$40,D2168)&gt;0,1,0))</f>
        <v/>
      </c>
    </row>
    <row r="2169" spans="1:12" hidden="1" x14ac:dyDescent="0.25">
      <c r="A2169" s="49"/>
      <c r="B2169" s="49"/>
      <c r="C2169" s="49"/>
      <c r="D2169" s="50" t="str">
        <f t="shared" si="165"/>
        <v/>
      </c>
      <c r="E2169" s="50" t="str">
        <f t="shared" si="166"/>
        <v/>
      </c>
      <c r="F2169" s="50" t="str">
        <f t="shared" si="167"/>
        <v/>
      </c>
      <c r="G2169" s="50" t="str">
        <f t="shared" si="168"/>
        <v/>
      </c>
      <c r="H2169" s="51" t="str">
        <f>IF($C2169="","",IFERROR(DATE(G2169,VLOOKUP(E2169,Paramètres!$K$11:$L$40,2,FALSE()),F2169),"?"))</f>
        <v/>
      </c>
      <c r="I2169" s="50" t="str">
        <f>IF(ISNUMBER(H2169),IF(COUNTIFS($D$2:D2169,D2169,$H$2:H2169,H2169)=1,1,0),"")</f>
        <v/>
      </c>
      <c r="J2169" s="50" t="str">
        <f>IF(ISNUMBER(H2169),IFERROR(INDEX(Calendrier!$C$2:$C$367,MATCH(H2169,Calendrier!$A$2:$A$367,0)),0),"")</f>
        <v/>
      </c>
      <c r="K2169" s="50" t="str">
        <f t="shared" si="169"/>
        <v/>
      </c>
      <c r="L2169" s="50" t="str">
        <f>IF(D2169="","",IF(COUNTIF(Paramètres!$A$11:$A$40,D2169)&gt;0,1,0))</f>
        <v/>
      </c>
    </row>
    <row r="2170" spans="1:12" hidden="1" x14ac:dyDescent="0.25">
      <c r="A2170" s="49"/>
      <c r="B2170" s="49"/>
      <c r="C2170" s="49"/>
      <c r="D2170" s="50" t="str">
        <f t="shared" si="165"/>
        <v/>
      </c>
      <c r="E2170" s="50" t="str">
        <f t="shared" si="166"/>
        <v/>
      </c>
      <c r="F2170" s="50" t="str">
        <f t="shared" si="167"/>
        <v/>
      </c>
      <c r="G2170" s="50" t="str">
        <f t="shared" si="168"/>
        <v/>
      </c>
      <c r="H2170" s="51" t="str">
        <f>IF($C2170="","",IFERROR(DATE(G2170,VLOOKUP(E2170,Paramètres!$K$11:$L$40,2,FALSE()),F2170),"?"))</f>
        <v/>
      </c>
      <c r="I2170" s="50" t="str">
        <f>IF(ISNUMBER(H2170),IF(COUNTIFS($D$2:D2170,D2170,$H$2:H2170,H2170)=1,1,0),"")</f>
        <v/>
      </c>
      <c r="J2170" s="50" t="str">
        <f>IF(ISNUMBER(H2170),IFERROR(INDEX(Calendrier!$C$2:$C$367,MATCH(H2170,Calendrier!$A$2:$A$367,0)),0),"")</f>
        <v/>
      </c>
      <c r="K2170" s="50" t="str">
        <f t="shared" si="169"/>
        <v/>
      </c>
      <c r="L2170" s="50" t="str">
        <f>IF(D2170="","",IF(COUNTIF(Paramètres!$A$11:$A$40,D2170)&gt;0,1,0))</f>
        <v/>
      </c>
    </row>
    <row r="2171" spans="1:12" hidden="1" x14ac:dyDescent="0.25">
      <c r="A2171" s="49"/>
      <c r="B2171" s="49"/>
      <c r="C2171" s="49"/>
      <c r="D2171" s="50" t="str">
        <f t="shared" si="165"/>
        <v/>
      </c>
      <c r="E2171" s="50" t="str">
        <f t="shared" si="166"/>
        <v/>
      </c>
      <c r="F2171" s="50" t="str">
        <f t="shared" si="167"/>
        <v/>
      </c>
      <c r="G2171" s="50" t="str">
        <f t="shared" si="168"/>
        <v/>
      </c>
      <c r="H2171" s="51" t="str">
        <f>IF($C2171="","",IFERROR(DATE(G2171,VLOOKUP(E2171,Paramètres!$K$11:$L$40,2,FALSE()),F2171),"?"))</f>
        <v/>
      </c>
      <c r="I2171" s="50" t="str">
        <f>IF(ISNUMBER(H2171),IF(COUNTIFS($D$2:D2171,D2171,$H$2:H2171,H2171)=1,1,0),"")</f>
        <v/>
      </c>
      <c r="J2171" s="50" t="str">
        <f>IF(ISNUMBER(H2171),IFERROR(INDEX(Calendrier!$C$2:$C$367,MATCH(H2171,Calendrier!$A$2:$A$367,0)),0),"")</f>
        <v/>
      </c>
      <c r="K2171" s="50" t="str">
        <f t="shared" si="169"/>
        <v/>
      </c>
      <c r="L2171" s="50" t="str">
        <f>IF(D2171="","",IF(COUNTIF(Paramètres!$A$11:$A$40,D2171)&gt;0,1,0))</f>
        <v/>
      </c>
    </row>
    <row r="2172" spans="1:12" hidden="1" x14ac:dyDescent="0.25">
      <c r="A2172" s="49"/>
      <c r="B2172" s="49"/>
      <c r="C2172" s="49"/>
      <c r="D2172" s="50" t="str">
        <f t="shared" si="165"/>
        <v/>
      </c>
      <c r="E2172" s="50" t="str">
        <f t="shared" si="166"/>
        <v/>
      </c>
      <c r="F2172" s="50" t="str">
        <f t="shared" si="167"/>
        <v/>
      </c>
      <c r="G2172" s="50" t="str">
        <f t="shared" si="168"/>
        <v/>
      </c>
      <c r="H2172" s="51" t="str">
        <f>IF($C2172="","",IFERROR(DATE(G2172,VLOOKUP(E2172,Paramètres!$K$11:$L$40,2,FALSE()),F2172),"?"))</f>
        <v/>
      </c>
      <c r="I2172" s="50" t="str">
        <f>IF(ISNUMBER(H2172),IF(COUNTIFS($D$2:D2172,D2172,$H$2:H2172,H2172)=1,1,0),"")</f>
        <v/>
      </c>
      <c r="J2172" s="50" t="str">
        <f>IF(ISNUMBER(H2172),IFERROR(INDEX(Calendrier!$C$2:$C$367,MATCH(H2172,Calendrier!$A$2:$A$367,0)),0),"")</f>
        <v/>
      </c>
      <c r="K2172" s="50" t="str">
        <f t="shared" si="169"/>
        <v/>
      </c>
      <c r="L2172" s="50" t="str">
        <f>IF(D2172="","",IF(COUNTIF(Paramètres!$A$11:$A$40,D2172)&gt;0,1,0))</f>
        <v/>
      </c>
    </row>
    <row r="2173" spans="1:12" hidden="1" x14ac:dyDescent="0.25">
      <c r="A2173" s="49"/>
      <c r="B2173" s="49"/>
      <c r="C2173" s="49"/>
      <c r="D2173" s="50" t="str">
        <f t="shared" si="165"/>
        <v/>
      </c>
      <c r="E2173" s="50" t="str">
        <f t="shared" si="166"/>
        <v/>
      </c>
      <c r="F2173" s="50" t="str">
        <f t="shared" si="167"/>
        <v/>
      </c>
      <c r="G2173" s="50" t="str">
        <f t="shared" si="168"/>
        <v/>
      </c>
      <c r="H2173" s="51" t="str">
        <f>IF($C2173="","",IFERROR(DATE(G2173,VLOOKUP(E2173,Paramètres!$K$11:$L$40,2,FALSE()),F2173),"?"))</f>
        <v/>
      </c>
      <c r="I2173" s="50" t="str">
        <f>IF(ISNUMBER(H2173),IF(COUNTIFS($D$2:D2173,D2173,$H$2:H2173,H2173)=1,1,0),"")</f>
        <v/>
      </c>
      <c r="J2173" s="50" t="str">
        <f>IF(ISNUMBER(H2173),IFERROR(INDEX(Calendrier!$C$2:$C$367,MATCH(H2173,Calendrier!$A$2:$A$367,0)),0),"")</f>
        <v/>
      </c>
      <c r="K2173" s="50" t="str">
        <f t="shared" si="169"/>
        <v/>
      </c>
      <c r="L2173" s="50" t="str">
        <f>IF(D2173="","",IF(COUNTIF(Paramètres!$A$11:$A$40,D2173)&gt;0,1,0))</f>
        <v/>
      </c>
    </row>
    <row r="2174" spans="1:12" hidden="1" x14ac:dyDescent="0.25">
      <c r="A2174" s="49"/>
      <c r="B2174" s="49"/>
      <c r="C2174" s="49"/>
      <c r="D2174" s="50" t="str">
        <f t="shared" si="165"/>
        <v/>
      </c>
      <c r="E2174" s="50" t="str">
        <f t="shared" si="166"/>
        <v/>
      </c>
      <c r="F2174" s="50" t="str">
        <f t="shared" si="167"/>
        <v/>
      </c>
      <c r="G2174" s="50" t="str">
        <f t="shared" si="168"/>
        <v/>
      </c>
      <c r="H2174" s="51" t="str">
        <f>IF($C2174="","",IFERROR(DATE(G2174,VLOOKUP(E2174,Paramètres!$K$11:$L$40,2,FALSE()),F2174),"?"))</f>
        <v/>
      </c>
      <c r="I2174" s="50" t="str">
        <f>IF(ISNUMBER(H2174),IF(COUNTIFS($D$2:D2174,D2174,$H$2:H2174,H2174)=1,1,0),"")</f>
        <v/>
      </c>
      <c r="J2174" s="50" t="str">
        <f>IF(ISNUMBER(H2174),IFERROR(INDEX(Calendrier!$C$2:$C$367,MATCH(H2174,Calendrier!$A$2:$A$367,0)),0),"")</f>
        <v/>
      </c>
      <c r="K2174" s="50" t="str">
        <f t="shared" si="169"/>
        <v/>
      </c>
      <c r="L2174" s="50" t="str">
        <f>IF(D2174="","",IF(COUNTIF(Paramètres!$A$11:$A$40,D2174)&gt;0,1,0))</f>
        <v/>
      </c>
    </row>
    <row r="2175" spans="1:12" hidden="1" x14ac:dyDescent="0.25">
      <c r="A2175" s="49"/>
      <c r="B2175" s="49"/>
      <c r="C2175" s="49"/>
      <c r="D2175" s="50" t="str">
        <f t="shared" si="165"/>
        <v/>
      </c>
      <c r="E2175" s="50" t="str">
        <f t="shared" si="166"/>
        <v/>
      </c>
      <c r="F2175" s="50" t="str">
        <f t="shared" si="167"/>
        <v/>
      </c>
      <c r="G2175" s="50" t="str">
        <f t="shared" si="168"/>
        <v/>
      </c>
      <c r="H2175" s="51" t="str">
        <f>IF($C2175="","",IFERROR(DATE(G2175,VLOOKUP(E2175,Paramètres!$K$11:$L$40,2,FALSE()),F2175),"?"))</f>
        <v/>
      </c>
      <c r="I2175" s="50" t="str">
        <f>IF(ISNUMBER(H2175),IF(COUNTIFS($D$2:D2175,D2175,$H$2:H2175,H2175)=1,1,0),"")</f>
        <v/>
      </c>
      <c r="J2175" s="50" t="str">
        <f>IF(ISNUMBER(H2175),IFERROR(INDEX(Calendrier!$C$2:$C$367,MATCH(H2175,Calendrier!$A$2:$A$367,0)),0),"")</f>
        <v/>
      </c>
      <c r="K2175" s="50" t="str">
        <f t="shared" si="169"/>
        <v/>
      </c>
      <c r="L2175" s="50" t="str">
        <f>IF(D2175="","",IF(COUNTIF(Paramètres!$A$11:$A$40,D2175)&gt;0,1,0))</f>
        <v/>
      </c>
    </row>
    <row r="2176" spans="1:12" hidden="1" x14ac:dyDescent="0.25">
      <c r="A2176" s="49"/>
      <c r="B2176" s="49"/>
      <c r="C2176" s="49"/>
      <c r="D2176" s="50" t="str">
        <f t="shared" si="165"/>
        <v/>
      </c>
      <c r="E2176" s="50" t="str">
        <f t="shared" si="166"/>
        <v/>
      </c>
      <c r="F2176" s="50" t="str">
        <f t="shared" si="167"/>
        <v/>
      </c>
      <c r="G2176" s="50" t="str">
        <f t="shared" si="168"/>
        <v/>
      </c>
      <c r="H2176" s="51" t="str">
        <f>IF($C2176="","",IFERROR(DATE(G2176,VLOOKUP(E2176,Paramètres!$K$11:$L$40,2,FALSE()),F2176),"?"))</f>
        <v/>
      </c>
      <c r="I2176" s="50" t="str">
        <f>IF(ISNUMBER(H2176),IF(COUNTIFS($D$2:D2176,D2176,$H$2:H2176,H2176)=1,1,0),"")</f>
        <v/>
      </c>
      <c r="J2176" s="50" t="str">
        <f>IF(ISNUMBER(H2176),IFERROR(INDEX(Calendrier!$C$2:$C$367,MATCH(H2176,Calendrier!$A$2:$A$367,0)),0),"")</f>
        <v/>
      </c>
      <c r="K2176" s="50" t="str">
        <f t="shared" si="169"/>
        <v/>
      </c>
      <c r="L2176" s="50" t="str">
        <f>IF(D2176="","",IF(COUNTIF(Paramètres!$A$11:$A$40,D2176)&gt;0,1,0))</f>
        <v/>
      </c>
    </row>
    <row r="2177" spans="1:12" hidden="1" x14ac:dyDescent="0.25">
      <c r="A2177" s="49"/>
      <c r="B2177" s="49"/>
      <c r="C2177" s="49"/>
      <c r="D2177" s="50" t="str">
        <f t="shared" si="165"/>
        <v/>
      </c>
      <c r="E2177" s="50" t="str">
        <f t="shared" si="166"/>
        <v/>
      </c>
      <c r="F2177" s="50" t="str">
        <f t="shared" si="167"/>
        <v/>
      </c>
      <c r="G2177" s="50" t="str">
        <f t="shared" si="168"/>
        <v/>
      </c>
      <c r="H2177" s="51" t="str">
        <f>IF($C2177="","",IFERROR(DATE(G2177,VLOOKUP(E2177,Paramètres!$K$11:$L$40,2,FALSE()),F2177),"?"))</f>
        <v/>
      </c>
      <c r="I2177" s="50" t="str">
        <f>IF(ISNUMBER(H2177),IF(COUNTIFS($D$2:D2177,D2177,$H$2:H2177,H2177)=1,1,0),"")</f>
        <v/>
      </c>
      <c r="J2177" s="50" t="str">
        <f>IF(ISNUMBER(H2177),IFERROR(INDEX(Calendrier!$C$2:$C$367,MATCH(H2177,Calendrier!$A$2:$A$367,0)),0),"")</f>
        <v/>
      </c>
      <c r="K2177" s="50" t="str">
        <f t="shared" si="169"/>
        <v/>
      </c>
      <c r="L2177" s="50" t="str">
        <f>IF(D2177="","",IF(COUNTIF(Paramètres!$A$11:$A$40,D2177)&gt;0,1,0))</f>
        <v/>
      </c>
    </row>
    <row r="2178" spans="1:12" hidden="1" x14ac:dyDescent="0.25">
      <c r="A2178" s="49"/>
      <c r="B2178" s="49"/>
      <c r="C2178" s="49"/>
      <c r="D2178" s="50" t="str">
        <f t="shared" ref="D2178:D2241" si="170">IF(B2178="","",TRIM(B2178))</f>
        <v/>
      </c>
      <c r="E2178" s="50" t="str">
        <f t="shared" ref="E2178:E2241" si="171">IF($C2178="","",LEFT($C2178,FIND(" ",$C2178)-1))</f>
        <v/>
      </c>
      <c r="F2178" s="50" t="str">
        <f t="shared" ref="F2178:F2241" si="172">IF($C2178="","",IFERROR(VALUE(LEFT(MID($C2178,FIND(" ",$C2178)+1,20),FIND(" ",MID($C2178,FIND(" ",$C2178)+1,20))-1)),"?"))</f>
        <v/>
      </c>
      <c r="G2178" s="50" t="str">
        <f t="shared" ref="G2178:G2241" si="173">IF($C2178="","",IFERROR(VALUE(MID(MID($C2178,FIND(" ",$C2178)+1,20),FIND(" ",MID($C2178,FIND(" ",$C2178)+1,20))+1,4)),"?"))</f>
        <v/>
      </c>
      <c r="H2178" s="51" t="str">
        <f>IF($C2178="","",IFERROR(DATE(G2178,VLOOKUP(E2178,Paramètres!$K$11:$L$40,2,FALSE()),F2178),"?"))</f>
        <v/>
      </c>
      <c r="I2178" s="50" t="str">
        <f>IF(ISNUMBER(H2178),IF(COUNTIFS($D$2:D2178,D2178,$H$2:H2178,H2178)=1,1,0),"")</f>
        <v/>
      </c>
      <c r="J2178" s="50" t="str">
        <f>IF(ISNUMBER(H2178),IFERROR(INDEX(Calendrier!$C$2:$C$367,MATCH(H2178,Calendrier!$A$2:$A$367,0)),0),"")</f>
        <v/>
      </c>
      <c r="K2178" s="50" t="str">
        <f t="shared" ref="K2178:K2241" si="174">IF(ISNUMBER(H2178),I2178*J2178,"")</f>
        <v/>
      </c>
      <c r="L2178" s="50" t="str">
        <f>IF(D2178="","",IF(COUNTIF(Paramètres!$A$11:$A$40,D2178)&gt;0,1,0))</f>
        <v/>
      </c>
    </row>
    <row r="2179" spans="1:12" hidden="1" x14ac:dyDescent="0.25">
      <c r="A2179" s="49"/>
      <c r="B2179" s="49"/>
      <c r="C2179" s="49"/>
      <c r="D2179" s="50" t="str">
        <f t="shared" si="170"/>
        <v/>
      </c>
      <c r="E2179" s="50" t="str">
        <f t="shared" si="171"/>
        <v/>
      </c>
      <c r="F2179" s="50" t="str">
        <f t="shared" si="172"/>
        <v/>
      </c>
      <c r="G2179" s="50" t="str">
        <f t="shared" si="173"/>
        <v/>
      </c>
      <c r="H2179" s="51" t="str">
        <f>IF($C2179="","",IFERROR(DATE(G2179,VLOOKUP(E2179,Paramètres!$K$11:$L$40,2,FALSE()),F2179),"?"))</f>
        <v/>
      </c>
      <c r="I2179" s="50" t="str">
        <f>IF(ISNUMBER(H2179),IF(COUNTIFS($D$2:D2179,D2179,$H$2:H2179,H2179)=1,1,0),"")</f>
        <v/>
      </c>
      <c r="J2179" s="50" t="str">
        <f>IF(ISNUMBER(H2179),IFERROR(INDEX(Calendrier!$C$2:$C$367,MATCH(H2179,Calendrier!$A$2:$A$367,0)),0),"")</f>
        <v/>
      </c>
      <c r="K2179" s="50" t="str">
        <f t="shared" si="174"/>
        <v/>
      </c>
      <c r="L2179" s="50" t="str">
        <f>IF(D2179="","",IF(COUNTIF(Paramètres!$A$11:$A$40,D2179)&gt;0,1,0))</f>
        <v/>
      </c>
    </row>
    <row r="2180" spans="1:12" hidden="1" x14ac:dyDescent="0.25">
      <c r="A2180" s="49"/>
      <c r="B2180" s="49"/>
      <c r="C2180" s="49"/>
      <c r="D2180" s="50" t="str">
        <f t="shared" si="170"/>
        <v/>
      </c>
      <c r="E2180" s="50" t="str">
        <f t="shared" si="171"/>
        <v/>
      </c>
      <c r="F2180" s="50" t="str">
        <f t="shared" si="172"/>
        <v/>
      </c>
      <c r="G2180" s="50" t="str">
        <f t="shared" si="173"/>
        <v/>
      </c>
      <c r="H2180" s="51" t="str">
        <f>IF($C2180="","",IFERROR(DATE(G2180,VLOOKUP(E2180,Paramètres!$K$11:$L$40,2,FALSE()),F2180),"?"))</f>
        <v/>
      </c>
      <c r="I2180" s="50" t="str">
        <f>IF(ISNUMBER(H2180),IF(COUNTIFS($D$2:D2180,D2180,$H$2:H2180,H2180)=1,1,0),"")</f>
        <v/>
      </c>
      <c r="J2180" s="50" t="str">
        <f>IF(ISNUMBER(H2180),IFERROR(INDEX(Calendrier!$C$2:$C$367,MATCH(H2180,Calendrier!$A$2:$A$367,0)),0),"")</f>
        <v/>
      </c>
      <c r="K2180" s="50" t="str">
        <f t="shared" si="174"/>
        <v/>
      </c>
      <c r="L2180" s="50" t="str">
        <f>IF(D2180="","",IF(COUNTIF(Paramètres!$A$11:$A$40,D2180)&gt;0,1,0))</f>
        <v/>
      </c>
    </row>
    <row r="2181" spans="1:12" hidden="1" x14ac:dyDescent="0.25">
      <c r="A2181" s="49"/>
      <c r="B2181" s="49"/>
      <c r="C2181" s="49"/>
      <c r="D2181" s="50" t="str">
        <f t="shared" si="170"/>
        <v/>
      </c>
      <c r="E2181" s="50" t="str">
        <f t="shared" si="171"/>
        <v/>
      </c>
      <c r="F2181" s="50" t="str">
        <f t="shared" si="172"/>
        <v/>
      </c>
      <c r="G2181" s="50" t="str">
        <f t="shared" si="173"/>
        <v/>
      </c>
      <c r="H2181" s="51" t="str">
        <f>IF($C2181="","",IFERROR(DATE(G2181,VLOOKUP(E2181,Paramètres!$K$11:$L$40,2,FALSE()),F2181),"?"))</f>
        <v/>
      </c>
      <c r="I2181" s="50" t="str">
        <f>IF(ISNUMBER(H2181),IF(COUNTIFS($D$2:D2181,D2181,$H$2:H2181,H2181)=1,1,0),"")</f>
        <v/>
      </c>
      <c r="J2181" s="50" t="str">
        <f>IF(ISNUMBER(H2181),IFERROR(INDEX(Calendrier!$C$2:$C$367,MATCH(H2181,Calendrier!$A$2:$A$367,0)),0),"")</f>
        <v/>
      </c>
      <c r="K2181" s="50" t="str">
        <f t="shared" si="174"/>
        <v/>
      </c>
      <c r="L2181" s="50" t="str">
        <f>IF(D2181="","",IF(COUNTIF(Paramètres!$A$11:$A$40,D2181)&gt;0,1,0))</f>
        <v/>
      </c>
    </row>
    <row r="2182" spans="1:12" hidden="1" x14ac:dyDescent="0.25">
      <c r="A2182" s="49"/>
      <c r="B2182" s="49"/>
      <c r="C2182" s="49"/>
      <c r="D2182" s="50" t="str">
        <f t="shared" si="170"/>
        <v/>
      </c>
      <c r="E2182" s="50" t="str">
        <f t="shared" si="171"/>
        <v/>
      </c>
      <c r="F2182" s="50" t="str">
        <f t="shared" si="172"/>
        <v/>
      </c>
      <c r="G2182" s="50" t="str">
        <f t="shared" si="173"/>
        <v/>
      </c>
      <c r="H2182" s="51" t="str">
        <f>IF($C2182="","",IFERROR(DATE(G2182,VLOOKUP(E2182,Paramètres!$K$11:$L$40,2,FALSE()),F2182),"?"))</f>
        <v/>
      </c>
      <c r="I2182" s="50" t="str">
        <f>IF(ISNUMBER(H2182),IF(COUNTIFS($D$2:D2182,D2182,$H$2:H2182,H2182)=1,1,0),"")</f>
        <v/>
      </c>
      <c r="J2182" s="50" t="str">
        <f>IF(ISNUMBER(H2182),IFERROR(INDEX(Calendrier!$C$2:$C$367,MATCH(H2182,Calendrier!$A$2:$A$367,0)),0),"")</f>
        <v/>
      </c>
      <c r="K2182" s="50" t="str">
        <f t="shared" si="174"/>
        <v/>
      </c>
      <c r="L2182" s="50" t="str">
        <f>IF(D2182="","",IF(COUNTIF(Paramètres!$A$11:$A$40,D2182)&gt;0,1,0))</f>
        <v/>
      </c>
    </row>
    <row r="2183" spans="1:12" hidden="1" x14ac:dyDescent="0.25">
      <c r="A2183" s="49"/>
      <c r="B2183" s="49"/>
      <c r="C2183" s="49"/>
      <c r="D2183" s="50" t="str">
        <f t="shared" si="170"/>
        <v/>
      </c>
      <c r="E2183" s="50" t="str">
        <f t="shared" si="171"/>
        <v/>
      </c>
      <c r="F2183" s="50" t="str">
        <f t="shared" si="172"/>
        <v/>
      </c>
      <c r="G2183" s="50" t="str">
        <f t="shared" si="173"/>
        <v/>
      </c>
      <c r="H2183" s="51" t="str">
        <f>IF($C2183="","",IFERROR(DATE(G2183,VLOOKUP(E2183,Paramètres!$K$11:$L$40,2,FALSE()),F2183),"?"))</f>
        <v/>
      </c>
      <c r="I2183" s="50" t="str">
        <f>IF(ISNUMBER(H2183),IF(COUNTIFS($D$2:D2183,D2183,$H$2:H2183,H2183)=1,1,0),"")</f>
        <v/>
      </c>
      <c r="J2183" s="50" t="str">
        <f>IF(ISNUMBER(H2183),IFERROR(INDEX(Calendrier!$C$2:$C$367,MATCH(H2183,Calendrier!$A$2:$A$367,0)),0),"")</f>
        <v/>
      </c>
      <c r="K2183" s="50" t="str">
        <f t="shared" si="174"/>
        <v/>
      </c>
      <c r="L2183" s="50" t="str">
        <f>IF(D2183="","",IF(COUNTIF(Paramètres!$A$11:$A$40,D2183)&gt;0,1,0))</f>
        <v/>
      </c>
    </row>
    <row r="2184" spans="1:12" hidden="1" x14ac:dyDescent="0.25">
      <c r="A2184" s="49"/>
      <c r="B2184" s="49"/>
      <c r="C2184" s="49"/>
      <c r="D2184" s="50" t="str">
        <f t="shared" si="170"/>
        <v/>
      </c>
      <c r="E2184" s="50" t="str">
        <f t="shared" si="171"/>
        <v/>
      </c>
      <c r="F2184" s="50" t="str">
        <f t="shared" si="172"/>
        <v/>
      </c>
      <c r="G2184" s="50" t="str">
        <f t="shared" si="173"/>
        <v/>
      </c>
      <c r="H2184" s="51" t="str">
        <f>IF($C2184="","",IFERROR(DATE(G2184,VLOOKUP(E2184,Paramètres!$K$11:$L$40,2,FALSE()),F2184),"?"))</f>
        <v/>
      </c>
      <c r="I2184" s="50" t="str">
        <f>IF(ISNUMBER(H2184),IF(COUNTIFS($D$2:D2184,D2184,$H$2:H2184,H2184)=1,1,0),"")</f>
        <v/>
      </c>
      <c r="J2184" s="50" t="str">
        <f>IF(ISNUMBER(H2184),IFERROR(INDEX(Calendrier!$C$2:$C$367,MATCH(H2184,Calendrier!$A$2:$A$367,0)),0),"")</f>
        <v/>
      </c>
      <c r="K2184" s="50" t="str">
        <f t="shared" si="174"/>
        <v/>
      </c>
      <c r="L2184" s="50" t="str">
        <f>IF(D2184="","",IF(COUNTIF(Paramètres!$A$11:$A$40,D2184)&gt;0,1,0))</f>
        <v/>
      </c>
    </row>
    <row r="2185" spans="1:12" hidden="1" x14ac:dyDescent="0.25">
      <c r="A2185" s="49"/>
      <c r="B2185" s="49"/>
      <c r="C2185" s="49"/>
      <c r="D2185" s="50" t="str">
        <f t="shared" si="170"/>
        <v/>
      </c>
      <c r="E2185" s="50" t="str">
        <f t="shared" si="171"/>
        <v/>
      </c>
      <c r="F2185" s="50" t="str">
        <f t="shared" si="172"/>
        <v/>
      </c>
      <c r="G2185" s="50" t="str">
        <f t="shared" si="173"/>
        <v/>
      </c>
      <c r="H2185" s="51" t="str">
        <f>IF($C2185="","",IFERROR(DATE(G2185,VLOOKUP(E2185,Paramètres!$K$11:$L$40,2,FALSE()),F2185),"?"))</f>
        <v/>
      </c>
      <c r="I2185" s="50" t="str">
        <f>IF(ISNUMBER(H2185),IF(COUNTIFS($D$2:D2185,D2185,$H$2:H2185,H2185)=1,1,0),"")</f>
        <v/>
      </c>
      <c r="J2185" s="50" t="str">
        <f>IF(ISNUMBER(H2185),IFERROR(INDEX(Calendrier!$C$2:$C$367,MATCH(H2185,Calendrier!$A$2:$A$367,0)),0),"")</f>
        <v/>
      </c>
      <c r="K2185" s="50" t="str">
        <f t="shared" si="174"/>
        <v/>
      </c>
      <c r="L2185" s="50" t="str">
        <f>IF(D2185="","",IF(COUNTIF(Paramètres!$A$11:$A$40,D2185)&gt;0,1,0))</f>
        <v/>
      </c>
    </row>
    <row r="2186" spans="1:12" hidden="1" x14ac:dyDescent="0.25">
      <c r="A2186" s="49"/>
      <c r="B2186" s="49"/>
      <c r="C2186" s="49"/>
      <c r="D2186" s="50" t="str">
        <f t="shared" si="170"/>
        <v/>
      </c>
      <c r="E2186" s="50" t="str">
        <f t="shared" si="171"/>
        <v/>
      </c>
      <c r="F2186" s="50" t="str">
        <f t="shared" si="172"/>
        <v/>
      </c>
      <c r="G2186" s="50" t="str">
        <f t="shared" si="173"/>
        <v/>
      </c>
      <c r="H2186" s="51" t="str">
        <f>IF($C2186="","",IFERROR(DATE(G2186,VLOOKUP(E2186,Paramètres!$K$11:$L$40,2,FALSE()),F2186),"?"))</f>
        <v/>
      </c>
      <c r="I2186" s="50" t="str">
        <f>IF(ISNUMBER(H2186),IF(COUNTIFS($D$2:D2186,D2186,$H$2:H2186,H2186)=1,1,0),"")</f>
        <v/>
      </c>
      <c r="J2186" s="50" t="str">
        <f>IF(ISNUMBER(H2186),IFERROR(INDEX(Calendrier!$C$2:$C$367,MATCH(H2186,Calendrier!$A$2:$A$367,0)),0),"")</f>
        <v/>
      </c>
      <c r="K2186" s="50" t="str">
        <f t="shared" si="174"/>
        <v/>
      </c>
      <c r="L2186" s="50" t="str">
        <f>IF(D2186="","",IF(COUNTIF(Paramètres!$A$11:$A$40,D2186)&gt;0,1,0))</f>
        <v/>
      </c>
    </row>
    <row r="2187" spans="1:12" hidden="1" x14ac:dyDescent="0.25">
      <c r="A2187" s="49"/>
      <c r="B2187" s="49"/>
      <c r="C2187" s="49"/>
      <c r="D2187" s="50" t="str">
        <f t="shared" si="170"/>
        <v/>
      </c>
      <c r="E2187" s="50" t="str">
        <f t="shared" si="171"/>
        <v/>
      </c>
      <c r="F2187" s="50" t="str">
        <f t="shared" si="172"/>
        <v/>
      </c>
      <c r="G2187" s="50" t="str">
        <f t="shared" si="173"/>
        <v/>
      </c>
      <c r="H2187" s="51" t="str">
        <f>IF($C2187="","",IFERROR(DATE(G2187,VLOOKUP(E2187,Paramètres!$K$11:$L$40,2,FALSE()),F2187),"?"))</f>
        <v/>
      </c>
      <c r="I2187" s="50" t="str">
        <f>IF(ISNUMBER(H2187),IF(COUNTIFS($D$2:D2187,D2187,$H$2:H2187,H2187)=1,1,0),"")</f>
        <v/>
      </c>
      <c r="J2187" s="50" t="str">
        <f>IF(ISNUMBER(H2187),IFERROR(INDEX(Calendrier!$C$2:$C$367,MATCH(H2187,Calendrier!$A$2:$A$367,0)),0),"")</f>
        <v/>
      </c>
      <c r="K2187" s="50" t="str">
        <f t="shared" si="174"/>
        <v/>
      </c>
      <c r="L2187" s="50" t="str">
        <f>IF(D2187="","",IF(COUNTIF(Paramètres!$A$11:$A$40,D2187)&gt;0,1,0))</f>
        <v/>
      </c>
    </row>
    <row r="2188" spans="1:12" hidden="1" x14ac:dyDescent="0.25">
      <c r="A2188" s="49"/>
      <c r="B2188" s="49"/>
      <c r="C2188" s="49"/>
      <c r="D2188" s="50" t="str">
        <f t="shared" si="170"/>
        <v/>
      </c>
      <c r="E2188" s="50" t="str">
        <f t="shared" si="171"/>
        <v/>
      </c>
      <c r="F2188" s="50" t="str">
        <f t="shared" si="172"/>
        <v/>
      </c>
      <c r="G2188" s="50" t="str">
        <f t="shared" si="173"/>
        <v/>
      </c>
      <c r="H2188" s="51" t="str">
        <f>IF($C2188="","",IFERROR(DATE(G2188,VLOOKUP(E2188,Paramètres!$K$11:$L$40,2,FALSE()),F2188),"?"))</f>
        <v/>
      </c>
      <c r="I2188" s="50" t="str">
        <f>IF(ISNUMBER(H2188),IF(COUNTIFS($D$2:D2188,D2188,$H$2:H2188,H2188)=1,1,0),"")</f>
        <v/>
      </c>
      <c r="J2188" s="50" t="str">
        <f>IF(ISNUMBER(H2188),IFERROR(INDEX(Calendrier!$C$2:$C$367,MATCH(H2188,Calendrier!$A$2:$A$367,0)),0),"")</f>
        <v/>
      </c>
      <c r="K2188" s="50" t="str">
        <f t="shared" si="174"/>
        <v/>
      </c>
      <c r="L2188" s="50" t="str">
        <f>IF(D2188="","",IF(COUNTIF(Paramètres!$A$11:$A$40,D2188)&gt;0,1,0))</f>
        <v/>
      </c>
    </row>
    <row r="2189" spans="1:12" hidden="1" x14ac:dyDescent="0.25">
      <c r="A2189" s="49"/>
      <c r="B2189" s="49"/>
      <c r="C2189" s="49"/>
      <c r="D2189" s="50" t="str">
        <f t="shared" si="170"/>
        <v/>
      </c>
      <c r="E2189" s="50" t="str">
        <f t="shared" si="171"/>
        <v/>
      </c>
      <c r="F2189" s="50" t="str">
        <f t="shared" si="172"/>
        <v/>
      </c>
      <c r="G2189" s="50" t="str">
        <f t="shared" si="173"/>
        <v/>
      </c>
      <c r="H2189" s="51" t="str">
        <f>IF($C2189="","",IFERROR(DATE(G2189,VLOOKUP(E2189,Paramètres!$K$11:$L$40,2,FALSE()),F2189),"?"))</f>
        <v/>
      </c>
      <c r="I2189" s="50" t="str">
        <f>IF(ISNUMBER(H2189),IF(COUNTIFS($D$2:D2189,D2189,$H$2:H2189,H2189)=1,1,0),"")</f>
        <v/>
      </c>
      <c r="J2189" s="50" t="str">
        <f>IF(ISNUMBER(H2189),IFERROR(INDEX(Calendrier!$C$2:$C$367,MATCH(H2189,Calendrier!$A$2:$A$367,0)),0),"")</f>
        <v/>
      </c>
      <c r="K2189" s="50" t="str">
        <f t="shared" si="174"/>
        <v/>
      </c>
      <c r="L2189" s="50" t="str">
        <f>IF(D2189="","",IF(COUNTIF(Paramètres!$A$11:$A$40,D2189)&gt;0,1,0))</f>
        <v/>
      </c>
    </row>
    <row r="2190" spans="1:12" hidden="1" x14ac:dyDescent="0.25">
      <c r="A2190" s="49"/>
      <c r="B2190" s="49"/>
      <c r="C2190" s="49"/>
      <c r="D2190" s="50" t="str">
        <f t="shared" si="170"/>
        <v/>
      </c>
      <c r="E2190" s="50" t="str">
        <f t="shared" si="171"/>
        <v/>
      </c>
      <c r="F2190" s="50" t="str">
        <f t="shared" si="172"/>
        <v/>
      </c>
      <c r="G2190" s="50" t="str">
        <f t="shared" si="173"/>
        <v/>
      </c>
      <c r="H2190" s="51" t="str">
        <f>IF($C2190="","",IFERROR(DATE(G2190,VLOOKUP(E2190,Paramètres!$K$11:$L$40,2,FALSE()),F2190),"?"))</f>
        <v/>
      </c>
      <c r="I2190" s="50" t="str">
        <f>IF(ISNUMBER(H2190),IF(COUNTIFS($D$2:D2190,D2190,$H$2:H2190,H2190)=1,1,0),"")</f>
        <v/>
      </c>
      <c r="J2190" s="50" t="str">
        <f>IF(ISNUMBER(H2190),IFERROR(INDEX(Calendrier!$C$2:$C$367,MATCH(H2190,Calendrier!$A$2:$A$367,0)),0),"")</f>
        <v/>
      </c>
      <c r="K2190" s="50" t="str">
        <f t="shared" si="174"/>
        <v/>
      </c>
      <c r="L2190" s="50" t="str">
        <f>IF(D2190="","",IF(COUNTIF(Paramètres!$A$11:$A$40,D2190)&gt;0,1,0))</f>
        <v/>
      </c>
    </row>
    <row r="2191" spans="1:12" hidden="1" x14ac:dyDescent="0.25">
      <c r="A2191" s="49"/>
      <c r="B2191" s="49"/>
      <c r="C2191" s="49"/>
      <c r="D2191" s="50" t="str">
        <f t="shared" si="170"/>
        <v/>
      </c>
      <c r="E2191" s="50" t="str">
        <f t="shared" si="171"/>
        <v/>
      </c>
      <c r="F2191" s="50" t="str">
        <f t="shared" si="172"/>
        <v/>
      </c>
      <c r="G2191" s="50" t="str">
        <f t="shared" si="173"/>
        <v/>
      </c>
      <c r="H2191" s="51" t="str">
        <f>IF($C2191="","",IFERROR(DATE(G2191,VLOOKUP(E2191,Paramètres!$K$11:$L$40,2,FALSE()),F2191),"?"))</f>
        <v/>
      </c>
      <c r="I2191" s="50" t="str">
        <f>IF(ISNUMBER(H2191),IF(COUNTIFS($D$2:D2191,D2191,$H$2:H2191,H2191)=1,1,0),"")</f>
        <v/>
      </c>
      <c r="J2191" s="50" t="str">
        <f>IF(ISNUMBER(H2191),IFERROR(INDEX(Calendrier!$C$2:$C$367,MATCH(H2191,Calendrier!$A$2:$A$367,0)),0),"")</f>
        <v/>
      </c>
      <c r="K2191" s="50" t="str">
        <f t="shared" si="174"/>
        <v/>
      </c>
      <c r="L2191" s="50" t="str">
        <f>IF(D2191="","",IF(COUNTIF(Paramètres!$A$11:$A$40,D2191)&gt;0,1,0))</f>
        <v/>
      </c>
    </row>
    <row r="2192" spans="1:12" hidden="1" x14ac:dyDescent="0.25">
      <c r="A2192" s="49"/>
      <c r="B2192" s="49"/>
      <c r="C2192" s="49"/>
      <c r="D2192" s="50" t="str">
        <f t="shared" si="170"/>
        <v/>
      </c>
      <c r="E2192" s="50" t="str">
        <f t="shared" si="171"/>
        <v/>
      </c>
      <c r="F2192" s="50" t="str">
        <f t="shared" si="172"/>
        <v/>
      </c>
      <c r="G2192" s="50" t="str">
        <f t="shared" si="173"/>
        <v/>
      </c>
      <c r="H2192" s="51" t="str">
        <f>IF($C2192="","",IFERROR(DATE(G2192,VLOOKUP(E2192,Paramètres!$K$11:$L$40,2,FALSE()),F2192),"?"))</f>
        <v/>
      </c>
      <c r="I2192" s="50" t="str">
        <f>IF(ISNUMBER(H2192),IF(COUNTIFS($D$2:D2192,D2192,$H$2:H2192,H2192)=1,1,0),"")</f>
        <v/>
      </c>
      <c r="J2192" s="50" t="str">
        <f>IF(ISNUMBER(H2192),IFERROR(INDEX(Calendrier!$C$2:$C$367,MATCH(H2192,Calendrier!$A$2:$A$367,0)),0),"")</f>
        <v/>
      </c>
      <c r="K2192" s="50" t="str">
        <f t="shared" si="174"/>
        <v/>
      </c>
      <c r="L2192" s="50" t="str">
        <f>IF(D2192="","",IF(COUNTIF(Paramètres!$A$11:$A$40,D2192)&gt;0,1,0))</f>
        <v/>
      </c>
    </row>
    <row r="2193" spans="1:12" hidden="1" x14ac:dyDescent="0.25">
      <c r="A2193" s="49"/>
      <c r="B2193" s="49"/>
      <c r="C2193" s="49"/>
      <c r="D2193" s="50" t="str">
        <f t="shared" si="170"/>
        <v/>
      </c>
      <c r="E2193" s="50" t="str">
        <f t="shared" si="171"/>
        <v/>
      </c>
      <c r="F2193" s="50" t="str">
        <f t="shared" si="172"/>
        <v/>
      </c>
      <c r="G2193" s="50" t="str">
        <f t="shared" si="173"/>
        <v/>
      </c>
      <c r="H2193" s="51" t="str">
        <f>IF($C2193="","",IFERROR(DATE(G2193,VLOOKUP(E2193,Paramètres!$K$11:$L$40,2,FALSE()),F2193),"?"))</f>
        <v/>
      </c>
      <c r="I2193" s="50" t="str">
        <f>IF(ISNUMBER(H2193),IF(COUNTIFS($D$2:D2193,D2193,$H$2:H2193,H2193)=1,1,0),"")</f>
        <v/>
      </c>
      <c r="J2193" s="50" t="str">
        <f>IF(ISNUMBER(H2193),IFERROR(INDEX(Calendrier!$C$2:$C$367,MATCH(H2193,Calendrier!$A$2:$A$367,0)),0),"")</f>
        <v/>
      </c>
      <c r="K2193" s="50" t="str">
        <f t="shared" si="174"/>
        <v/>
      </c>
      <c r="L2193" s="50" t="str">
        <f>IF(D2193="","",IF(COUNTIF(Paramètres!$A$11:$A$40,D2193)&gt;0,1,0))</f>
        <v/>
      </c>
    </row>
    <row r="2194" spans="1:12" hidden="1" x14ac:dyDescent="0.25">
      <c r="A2194" s="49"/>
      <c r="B2194" s="49"/>
      <c r="C2194" s="49"/>
      <c r="D2194" s="50" t="str">
        <f t="shared" si="170"/>
        <v/>
      </c>
      <c r="E2194" s="50" t="str">
        <f t="shared" si="171"/>
        <v/>
      </c>
      <c r="F2194" s="50" t="str">
        <f t="shared" si="172"/>
        <v/>
      </c>
      <c r="G2194" s="50" t="str">
        <f t="shared" si="173"/>
        <v/>
      </c>
      <c r="H2194" s="51" t="str">
        <f>IF($C2194="","",IFERROR(DATE(G2194,VLOOKUP(E2194,Paramètres!$K$11:$L$40,2,FALSE()),F2194),"?"))</f>
        <v/>
      </c>
      <c r="I2194" s="50" t="str">
        <f>IF(ISNUMBER(H2194),IF(COUNTIFS($D$2:D2194,D2194,$H$2:H2194,H2194)=1,1,0),"")</f>
        <v/>
      </c>
      <c r="J2194" s="50" t="str">
        <f>IF(ISNUMBER(H2194),IFERROR(INDEX(Calendrier!$C$2:$C$367,MATCH(H2194,Calendrier!$A$2:$A$367,0)),0),"")</f>
        <v/>
      </c>
      <c r="K2194" s="50" t="str">
        <f t="shared" si="174"/>
        <v/>
      </c>
      <c r="L2194" s="50" t="str">
        <f>IF(D2194="","",IF(COUNTIF(Paramètres!$A$11:$A$40,D2194)&gt;0,1,0))</f>
        <v/>
      </c>
    </row>
    <row r="2195" spans="1:12" hidden="1" x14ac:dyDescent="0.25">
      <c r="A2195" s="49"/>
      <c r="B2195" s="49"/>
      <c r="C2195" s="49"/>
      <c r="D2195" s="50" t="str">
        <f t="shared" si="170"/>
        <v/>
      </c>
      <c r="E2195" s="50" t="str">
        <f t="shared" si="171"/>
        <v/>
      </c>
      <c r="F2195" s="50" t="str">
        <f t="shared" si="172"/>
        <v/>
      </c>
      <c r="G2195" s="50" t="str">
        <f t="shared" si="173"/>
        <v/>
      </c>
      <c r="H2195" s="51" t="str">
        <f>IF($C2195="","",IFERROR(DATE(G2195,VLOOKUP(E2195,Paramètres!$K$11:$L$40,2,FALSE()),F2195),"?"))</f>
        <v/>
      </c>
      <c r="I2195" s="50" t="str">
        <f>IF(ISNUMBER(H2195),IF(COUNTIFS($D$2:D2195,D2195,$H$2:H2195,H2195)=1,1,0),"")</f>
        <v/>
      </c>
      <c r="J2195" s="50" t="str">
        <f>IF(ISNUMBER(H2195),IFERROR(INDEX(Calendrier!$C$2:$C$367,MATCH(H2195,Calendrier!$A$2:$A$367,0)),0),"")</f>
        <v/>
      </c>
      <c r="K2195" s="50" t="str">
        <f t="shared" si="174"/>
        <v/>
      </c>
      <c r="L2195" s="50" t="str">
        <f>IF(D2195="","",IF(COUNTIF(Paramètres!$A$11:$A$40,D2195)&gt;0,1,0))</f>
        <v/>
      </c>
    </row>
    <row r="2196" spans="1:12" hidden="1" x14ac:dyDescent="0.25">
      <c r="A2196" s="49"/>
      <c r="B2196" s="49"/>
      <c r="C2196" s="49"/>
      <c r="D2196" s="50" t="str">
        <f t="shared" si="170"/>
        <v/>
      </c>
      <c r="E2196" s="50" t="str">
        <f t="shared" si="171"/>
        <v/>
      </c>
      <c r="F2196" s="50" t="str">
        <f t="shared" si="172"/>
        <v/>
      </c>
      <c r="G2196" s="50" t="str">
        <f t="shared" si="173"/>
        <v/>
      </c>
      <c r="H2196" s="51" t="str">
        <f>IF($C2196="","",IFERROR(DATE(G2196,VLOOKUP(E2196,Paramètres!$K$11:$L$40,2,FALSE()),F2196),"?"))</f>
        <v/>
      </c>
      <c r="I2196" s="50" t="str">
        <f>IF(ISNUMBER(H2196),IF(COUNTIFS($D$2:D2196,D2196,$H$2:H2196,H2196)=1,1,0),"")</f>
        <v/>
      </c>
      <c r="J2196" s="50" t="str">
        <f>IF(ISNUMBER(H2196),IFERROR(INDEX(Calendrier!$C$2:$C$367,MATCH(H2196,Calendrier!$A$2:$A$367,0)),0),"")</f>
        <v/>
      </c>
      <c r="K2196" s="50" t="str">
        <f t="shared" si="174"/>
        <v/>
      </c>
      <c r="L2196" s="50" t="str">
        <f>IF(D2196="","",IF(COUNTIF(Paramètres!$A$11:$A$40,D2196)&gt;0,1,0))</f>
        <v/>
      </c>
    </row>
    <row r="2197" spans="1:12" hidden="1" x14ac:dyDescent="0.25">
      <c r="A2197" s="49"/>
      <c r="B2197" s="49"/>
      <c r="C2197" s="49"/>
      <c r="D2197" s="50" t="str">
        <f t="shared" si="170"/>
        <v/>
      </c>
      <c r="E2197" s="50" t="str">
        <f t="shared" si="171"/>
        <v/>
      </c>
      <c r="F2197" s="50" t="str">
        <f t="shared" si="172"/>
        <v/>
      </c>
      <c r="G2197" s="50" t="str">
        <f t="shared" si="173"/>
        <v/>
      </c>
      <c r="H2197" s="51" t="str">
        <f>IF($C2197="","",IFERROR(DATE(G2197,VLOOKUP(E2197,Paramètres!$K$11:$L$40,2,FALSE()),F2197),"?"))</f>
        <v/>
      </c>
      <c r="I2197" s="50" t="str">
        <f>IF(ISNUMBER(H2197),IF(COUNTIFS($D$2:D2197,D2197,$H$2:H2197,H2197)=1,1,0),"")</f>
        <v/>
      </c>
      <c r="J2197" s="50" t="str">
        <f>IF(ISNUMBER(H2197),IFERROR(INDEX(Calendrier!$C$2:$C$367,MATCH(H2197,Calendrier!$A$2:$A$367,0)),0),"")</f>
        <v/>
      </c>
      <c r="K2197" s="50" t="str">
        <f t="shared" si="174"/>
        <v/>
      </c>
      <c r="L2197" s="50" t="str">
        <f>IF(D2197="","",IF(COUNTIF(Paramètres!$A$11:$A$40,D2197)&gt;0,1,0))</f>
        <v/>
      </c>
    </row>
    <row r="2198" spans="1:12" hidden="1" x14ac:dyDescent="0.25">
      <c r="A2198" s="49"/>
      <c r="B2198" s="49"/>
      <c r="C2198" s="49"/>
      <c r="D2198" s="50" t="str">
        <f t="shared" si="170"/>
        <v/>
      </c>
      <c r="E2198" s="50" t="str">
        <f t="shared" si="171"/>
        <v/>
      </c>
      <c r="F2198" s="50" t="str">
        <f t="shared" si="172"/>
        <v/>
      </c>
      <c r="G2198" s="50" t="str">
        <f t="shared" si="173"/>
        <v/>
      </c>
      <c r="H2198" s="51" t="str">
        <f>IF($C2198="","",IFERROR(DATE(G2198,VLOOKUP(E2198,Paramètres!$K$11:$L$40,2,FALSE()),F2198),"?"))</f>
        <v/>
      </c>
      <c r="I2198" s="50" t="str">
        <f>IF(ISNUMBER(H2198),IF(COUNTIFS($D$2:D2198,D2198,$H$2:H2198,H2198)=1,1,0),"")</f>
        <v/>
      </c>
      <c r="J2198" s="50" t="str">
        <f>IF(ISNUMBER(H2198),IFERROR(INDEX(Calendrier!$C$2:$C$367,MATCH(H2198,Calendrier!$A$2:$A$367,0)),0),"")</f>
        <v/>
      </c>
      <c r="K2198" s="50" t="str">
        <f t="shared" si="174"/>
        <v/>
      </c>
      <c r="L2198" s="50" t="str">
        <f>IF(D2198="","",IF(COUNTIF(Paramètres!$A$11:$A$40,D2198)&gt;0,1,0))</f>
        <v/>
      </c>
    </row>
    <row r="2199" spans="1:12" hidden="1" x14ac:dyDescent="0.25">
      <c r="A2199" s="49"/>
      <c r="B2199" s="49"/>
      <c r="C2199" s="49"/>
      <c r="D2199" s="50" t="str">
        <f t="shared" si="170"/>
        <v/>
      </c>
      <c r="E2199" s="50" t="str">
        <f t="shared" si="171"/>
        <v/>
      </c>
      <c r="F2199" s="50" t="str">
        <f t="shared" si="172"/>
        <v/>
      </c>
      <c r="G2199" s="50" t="str">
        <f t="shared" si="173"/>
        <v/>
      </c>
      <c r="H2199" s="51" t="str">
        <f>IF($C2199="","",IFERROR(DATE(G2199,VLOOKUP(E2199,Paramètres!$K$11:$L$40,2,FALSE()),F2199),"?"))</f>
        <v/>
      </c>
      <c r="I2199" s="50" t="str">
        <f>IF(ISNUMBER(H2199),IF(COUNTIFS($D$2:D2199,D2199,$H$2:H2199,H2199)=1,1,0),"")</f>
        <v/>
      </c>
      <c r="J2199" s="50" t="str">
        <f>IF(ISNUMBER(H2199),IFERROR(INDEX(Calendrier!$C$2:$C$367,MATCH(H2199,Calendrier!$A$2:$A$367,0)),0),"")</f>
        <v/>
      </c>
      <c r="K2199" s="50" t="str">
        <f t="shared" si="174"/>
        <v/>
      </c>
      <c r="L2199" s="50" t="str">
        <f>IF(D2199="","",IF(COUNTIF(Paramètres!$A$11:$A$40,D2199)&gt;0,1,0))</f>
        <v/>
      </c>
    </row>
    <row r="2200" spans="1:12" hidden="1" x14ac:dyDescent="0.25">
      <c r="A2200" s="49"/>
      <c r="B2200" s="49"/>
      <c r="C2200" s="49"/>
      <c r="D2200" s="50" t="str">
        <f t="shared" si="170"/>
        <v/>
      </c>
      <c r="E2200" s="50" t="str">
        <f t="shared" si="171"/>
        <v/>
      </c>
      <c r="F2200" s="50" t="str">
        <f t="shared" si="172"/>
        <v/>
      </c>
      <c r="G2200" s="50" t="str">
        <f t="shared" si="173"/>
        <v/>
      </c>
      <c r="H2200" s="51" t="str">
        <f>IF($C2200="","",IFERROR(DATE(G2200,VLOOKUP(E2200,Paramètres!$K$11:$L$40,2,FALSE()),F2200),"?"))</f>
        <v/>
      </c>
      <c r="I2200" s="50" t="str">
        <f>IF(ISNUMBER(H2200),IF(COUNTIFS($D$2:D2200,D2200,$H$2:H2200,H2200)=1,1,0),"")</f>
        <v/>
      </c>
      <c r="J2200" s="50" t="str">
        <f>IF(ISNUMBER(H2200),IFERROR(INDEX(Calendrier!$C$2:$C$367,MATCH(H2200,Calendrier!$A$2:$A$367,0)),0),"")</f>
        <v/>
      </c>
      <c r="K2200" s="50" t="str">
        <f t="shared" si="174"/>
        <v/>
      </c>
      <c r="L2200" s="50" t="str">
        <f>IF(D2200="","",IF(COUNTIF(Paramètres!$A$11:$A$40,D2200)&gt;0,1,0))</f>
        <v/>
      </c>
    </row>
    <row r="2201" spans="1:12" hidden="1" x14ac:dyDescent="0.25">
      <c r="A2201" s="49"/>
      <c r="B2201" s="49"/>
      <c r="C2201" s="49"/>
      <c r="D2201" s="50" t="str">
        <f t="shared" si="170"/>
        <v/>
      </c>
      <c r="E2201" s="50" t="str">
        <f t="shared" si="171"/>
        <v/>
      </c>
      <c r="F2201" s="50" t="str">
        <f t="shared" si="172"/>
        <v/>
      </c>
      <c r="G2201" s="50" t="str">
        <f t="shared" si="173"/>
        <v/>
      </c>
      <c r="H2201" s="51" t="str">
        <f>IF($C2201="","",IFERROR(DATE(G2201,VLOOKUP(E2201,Paramètres!$K$11:$L$40,2,FALSE()),F2201),"?"))</f>
        <v/>
      </c>
      <c r="I2201" s="50" t="str">
        <f>IF(ISNUMBER(H2201),IF(COUNTIFS($D$2:D2201,D2201,$H$2:H2201,H2201)=1,1,0),"")</f>
        <v/>
      </c>
      <c r="J2201" s="50" t="str">
        <f>IF(ISNUMBER(H2201),IFERROR(INDEX(Calendrier!$C$2:$C$367,MATCH(H2201,Calendrier!$A$2:$A$367,0)),0),"")</f>
        <v/>
      </c>
      <c r="K2201" s="50" t="str">
        <f t="shared" si="174"/>
        <v/>
      </c>
      <c r="L2201" s="50" t="str">
        <f>IF(D2201="","",IF(COUNTIF(Paramètres!$A$11:$A$40,D2201)&gt;0,1,0))</f>
        <v/>
      </c>
    </row>
    <row r="2202" spans="1:12" hidden="1" x14ac:dyDescent="0.25">
      <c r="A2202" s="49"/>
      <c r="B2202" s="49"/>
      <c r="C2202" s="49"/>
      <c r="D2202" s="50" t="str">
        <f t="shared" si="170"/>
        <v/>
      </c>
      <c r="E2202" s="50" t="str">
        <f t="shared" si="171"/>
        <v/>
      </c>
      <c r="F2202" s="50" t="str">
        <f t="shared" si="172"/>
        <v/>
      </c>
      <c r="G2202" s="50" t="str">
        <f t="shared" si="173"/>
        <v/>
      </c>
      <c r="H2202" s="51" t="str">
        <f>IF($C2202="","",IFERROR(DATE(G2202,VLOOKUP(E2202,Paramètres!$K$11:$L$40,2,FALSE()),F2202),"?"))</f>
        <v/>
      </c>
      <c r="I2202" s="50" t="str">
        <f>IF(ISNUMBER(H2202),IF(COUNTIFS($D$2:D2202,D2202,$H$2:H2202,H2202)=1,1,0),"")</f>
        <v/>
      </c>
      <c r="J2202" s="50" t="str">
        <f>IF(ISNUMBER(H2202),IFERROR(INDEX(Calendrier!$C$2:$C$367,MATCH(H2202,Calendrier!$A$2:$A$367,0)),0),"")</f>
        <v/>
      </c>
      <c r="K2202" s="50" t="str">
        <f t="shared" si="174"/>
        <v/>
      </c>
      <c r="L2202" s="50" t="str">
        <f>IF(D2202="","",IF(COUNTIF(Paramètres!$A$11:$A$40,D2202)&gt;0,1,0))</f>
        <v/>
      </c>
    </row>
    <row r="2203" spans="1:12" hidden="1" x14ac:dyDescent="0.25">
      <c r="A2203" s="49"/>
      <c r="B2203" s="49"/>
      <c r="C2203" s="49"/>
      <c r="D2203" s="50" t="str">
        <f t="shared" si="170"/>
        <v/>
      </c>
      <c r="E2203" s="50" t="str">
        <f t="shared" si="171"/>
        <v/>
      </c>
      <c r="F2203" s="50" t="str">
        <f t="shared" si="172"/>
        <v/>
      </c>
      <c r="G2203" s="50" t="str">
        <f t="shared" si="173"/>
        <v/>
      </c>
      <c r="H2203" s="51" t="str">
        <f>IF($C2203="","",IFERROR(DATE(G2203,VLOOKUP(E2203,Paramètres!$K$11:$L$40,2,FALSE()),F2203),"?"))</f>
        <v/>
      </c>
      <c r="I2203" s="50" t="str">
        <f>IF(ISNUMBER(H2203),IF(COUNTIFS($D$2:D2203,D2203,$H$2:H2203,H2203)=1,1,0),"")</f>
        <v/>
      </c>
      <c r="J2203" s="50" t="str">
        <f>IF(ISNUMBER(H2203),IFERROR(INDEX(Calendrier!$C$2:$C$367,MATCH(H2203,Calendrier!$A$2:$A$367,0)),0),"")</f>
        <v/>
      </c>
      <c r="K2203" s="50" t="str">
        <f t="shared" si="174"/>
        <v/>
      </c>
      <c r="L2203" s="50" t="str">
        <f>IF(D2203="","",IF(COUNTIF(Paramètres!$A$11:$A$40,D2203)&gt;0,1,0))</f>
        <v/>
      </c>
    </row>
    <row r="2204" spans="1:12" hidden="1" x14ac:dyDescent="0.25">
      <c r="A2204" s="49"/>
      <c r="B2204" s="49"/>
      <c r="C2204" s="49"/>
      <c r="D2204" s="50" t="str">
        <f t="shared" si="170"/>
        <v/>
      </c>
      <c r="E2204" s="50" t="str">
        <f t="shared" si="171"/>
        <v/>
      </c>
      <c r="F2204" s="50" t="str">
        <f t="shared" si="172"/>
        <v/>
      </c>
      <c r="G2204" s="50" t="str">
        <f t="shared" si="173"/>
        <v/>
      </c>
      <c r="H2204" s="51" t="str">
        <f>IF($C2204="","",IFERROR(DATE(G2204,VLOOKUP(E2204,Paramètres!$K$11:$L$40,2,FALSE()),F2204),"?"))</f>
        <v/>
      </c>
      <c r="I2204" s="50" t="str">
        <f>IF(ISNUMBER(H2204),IF(COUNTIFS($D$2:D2204,D2204,$H$2:H2204,H2204)=1,1,0),"")</f>
        <v/>
      </c>
      <c r="J2204" s="50" t="str">
        <f>IF(ISNUMBER(H2204),IFERROR(INDEX(Calendrier!$C$2:$C$367,MATCH(H2204,Calendrier!$A$2:$A$367,0)),0),"")</f>
        <v/>
      </c>
      <c r="K2204" s="50" t="str">
        <f t="shared" si="174"/>
        <v/>
      </c>
      <c r="L2204" s="50" t="str">
        <f>IF(D2204="","",IF(COUNTIF(Paramètres!$A$11:$A$40,D2204)&gt;0,1,0))</f>
        <v/>
      </c>
    </row>
    <row r="2205" spans="1:12" hidden="1" x14ac:dyDescent="0.25">
      <c r="A2205" s="49"/>
      <c r="B2205" s="49"/>
      <c r="C2205" s="49"/>
      <c r="D2205" s="50" t="str">
        <f t="shared" si="170"/>
        <v/>
      </c>
      <c r="E2205" s="50" t="str">
        <f t="shared" si="171"/>
        <v/>
      </c>
      <c r="F2205" s="50" t="str">
        <f t="shared" si="172"/>
        <v/>
      </c>
      <c r="G2205" s="50" t="str">
        <f t="shared" si="173"/>
        <v/>
      </c>
      <c r="H2205" s="51" t="str">
        <f>IF($C2205="","",IFERROR(DATE(G2205,VLOOKUP(E2205,Paramètres!$K$11:$L$40,2,FALSE()),F2205),"?"))</f>
        <v/>
      </c>
      <c r="I2205" s="50" t="str">
        <f>IF(ISNUMBER(H2205),IF(COUNTIFS($D$2:D2205,D2205,$H$2:H2205,H2205)=1,1,0),"")</f>
        <v/>
      </c>
      <c r="J2205" s="50" t="str">
        <f>IF(ISNUMBER(H2205),IFERROR(INDEX(Calendrier!$C$2:$C$367,MATCH(H2205,Calendrier!$A$2:$A$367,0)),0),"")</f>
        <v/>
      </c>
      <c r="K2205" s="50" t="str">
        <f t="shared" si="174"/>
        <v/>
      </c>
      <c r="L2205" s="50" t="str">
        <f>IF(D2205="","",IF(COUNTIF(Paramètres!$A$11:$A$40,D2205)&gt;0,1,0))</f>
        <v/>
      </c>
    </row>
    <row r="2206" spans="1:12" hidden="1" x14ac:dyDescent="0.25">
      <c r="A2206" s="49"/>
      <c r="B2206" s="49"/>
      <c r="C2206" s="49"/>
      <c r="D2206" s="50" t="str">
        <f t="shared" si="170"/>
        <v/>
      </c>
      <c r="E2206" s="50" t="str">
        <f t="shared" si="171"/>
        <v/>
      </c>
      <c r="F2206" s="50" t="str">
        <f t="shared" si="172"/>
        <v/>
      </c>
      <c r="G2206" s="50" t="str">
        <f t="shared" si="173"/>
        <v/>
      </c>
      <c r="H2206" s="51" t="str">
        <f>IF($C2206="","",IFERROR(DATE(G2206,VLOOKUP(E2206,Paramètres!$K$11:$L$40,2,FALSE()),F2206),"?"))</f>
        <v/>
      </c>
      <c r="I2206" s="50" t="str">
        <f>IF(ISNUMBER(H2206),IF(COUNTIFS($D$2:D2206,D2206,$H$2:H2206,H2206)=1,1,0),"")</f>
        <v/>
      </c>
      <c r="J2206" s="50" t="str">
        <f>IF(ISNUMBER(H2206),IFERROR(INDEX(Calendrier!$C$2:$C$367,MATCH(H2206,Calendrier!$A$2:$A$367,0)),0),"")</f>
        <v/>
      </c>
      <c r="K2206" s="50" t="str">
        <f t="shared" si="174"/>
        <v/>
      </c>
      <c r="L2206" s="50" t="str">
        <f>IF(D2206="","",IF(COUNTIF(Paramètres!$A$11:$A$40,D2206)&gt;0,1,0))</f>
        <v/>
      </c>
    </row>
    <row r="2207" spans="1:12" hidden="1" x14ac:dyDescent="0.25">
      <c r="A2207" s="49"/>
      <c r="B2207" s="49"/>
      <c r="C2207" s="49"/>
      <c r="D2207" s="50" t="str">
        <f t="shared" si="170"/>
        <v/>
      </c>
      <c r="E2207" s="50" t="str">
        <f t="shared" si="171"/>
        <v/>
      </c>
      <c r="F2207" s="50" t="str">
        <f t="shared" si="172"/>
        <v/>
      </c>
      <c r="G2207" s="50" t="str">
        <f t="shared" si="173"/>
        <v/>
      </c>
      <c r="H2207" s="51" t="str">
        <f>IF($C2207="","",IFERROR(DATE(G2207,VLOOKUP(E2207,Paramètres!$K$11:$L$40,2,FALSE()),F2207),"?"))</f>
        <v/>
      </c>
      <c r="I2207" s="50" t="str">
        <f>IF(ISNUMBER(H2207),IF(COUNTIFS($D$2:D2207,D2207,$H$2:H2207,H2207)=1,1,0),"")</f>
        <v/>
      </c>
      <c r="J2207" s="50" t="str">
        <f>IF(ISNUMBER(H2207),IFERROR(INDEX(Calendrier!$C$2:$C$367,MATCH(H2207,Calendrier!$A$2:$A$367,0)),0),"")</f>
        <v/>
      </c>
      <c r="K2207" s="50" t="str">
        <f t="shared" si="174"/>
        <v/>
      </c>
      <c r="L2207" s="50" t="str">
        <f>IF(D2207="","",IF(COUNTIF(Paramètres!$A$11:$A$40,D2207)&gt;0,1,0))</f>
        <v/>
      </c>
    </row>
    <row r="2208" spans="1:12" hidden="1" x14ac:dyDescent="0.25">
      <c r="A2208" s="49"/>
      <c r="B2208" s="49"/>
      <c r="C2208" s="49"/>
      <c r="D2208" s="50" t="str">
        <f t="shared" si="170"/>
        <v/>
      </c>
      <c r="E2208" s="50" t="str">
        <f t="shared" si="171"/>
        <v/>
      </c>
      <c r="F2208" s="50" t="str">
        <f t="shared" si="172"/>
        <v/>
      </c>
      <c r="G2208" s="50" t="str">
        <f t="shared" si="173"/>
        <v/>
      </c>
      <c r="H2208" s="51" t="str">
        <f>IF($C2208="","",IFERROR(DATE(G2208,VLOOKUP(E2208,Paramètres!$K$11:$L$40,2,FALSE()),F2208),"?"))</f>
        <v/>
      </c>
      <c r="I2208" s="50" t="str">
        <f>IF(ISNUMBER(H2208),IF(COUNTIFS($D$2:D2208,D2208,$H$2:H2208,H2208)=1,1,0),"")</f>
        <v/>
      </c>
      <c r="J2208" s="50" t="str">
        <f>IF(ISNUMBER(H2208),IFERROR(INDEX(Calendrier!$C$2:$C$367,MATCH(H2208,Calendrier!$A$2:$A$367,0)),0),"")</f>
        <v/>
      </c>
      <c r="K2208" s="50" t="str">
        <f t="shared" si="174"/>
        <v/>
      </c>
      <c r="L2208" s="50" t="str">
        <f>IF(D2208="","",IF(COUNTIF(Paramètres!$A$11:$A$40,D2208)&gt;0,1,0))</f>
        <v/>
      </c>
    </row>
    <row r="2209" spans="1:12" hidden="1" x14ac:dyDescent="0.25">
      <c r="A2209" s="49"/>
      <c r="B2209" s="49"/>
      <c r="C2209" s="49"/>
      <c r="D2209" s="50" t="str">
        <f t="shared" si="170"/>
        <v/>
      </c>
      <c r="E2209" s="50" t="str">
        <f t="shared" si="171"/>
        <v/>
      </c>
      <c r="F2209" s="50" t="str">
        <f t="shared" si="172"/>
        <v/>
      </c>
      <c r="G2209" s="50" t="str">
        <f t="shared" si="173"/>
        <v/>
      </c>
      <c r="H2209" s="51" t="str">
        <f>IF($C2209="","",IFERROR(DATE(G2209,VLOOKUP(E2209,Paramètres!$K$11:$L$40,2,FALSE()),F2209),"?"))</f>
        <v/>
      </c>
      <c r="I2209" s="50" t="str">
        <f>IF(ISNUMBER(H2209),IF(COUNTIFS($D$2:D2209,D2209,$H$2:H2209,H2209)=1,1,0),"")</f>
        <v/>
      </c>
      <c r="J2209" s="50" t="str">
        <f>IF(ISNUMBER(H2209),IFERROR(INDEX(Calendrier!$C$2:$C$367,MATCH(H2209,Calendrier!$A$2:$A$367,0)),0),"")</f>
        <v/>
      </c>
      <c r="K2209" s="50" t="str">
        <f t="shared" si="174"/>
        <v/>
      </c>
      <c r="L2209" s="50" t="str">
        <f>IF(D2209="","",IF(COUNTIF(Paramètres!$A$11:$A$40,D2209)&gt;0,1,0))</f>
        <v/>
      </c>
    </row>
    <row r="2210" spans="1:12" hidden="1" x14ac:dyDescent="0.25">
      <c r="A2210" s="49"/>
      <c r="B2210" s="49"/>
      <c r="C2210" s="49"/>
      <c r="D2210" s="50" t="str">
        <f t="shared" si="170"/>
        <v/>
      </c>
      <c r="E2210" s="50" t="str">
        <f t="shared" si="171"/>
        <v/>
      </c>
      <c r="F2210" s="50" t="str">
        <f t="shared" si="172"/>
        <v/>
      </c>
      <c r="G2210" s="50" t="str">
        <f t="shared" si="173"/>
        <v/>
      </c>
      <c r="H2210" s="51" t="str">
        <f>IF($C2210="","",IFERROR(DATE(G2210,VLOOKUP(E2210,Paramètres!$K$11:$L$40,2,FALSE()),F2210),"?"))</f>
        <v/>
      </c>
      <c r="I2210" s="50" t="str">
        <f>IF(ISNUMBER(H2210),IF(COUNTIFS($D$2:D2210,D2210,$H$2:H2210,H2210)=1,1,0),"")</f>
        <v/>
      </c>
      <c r="J2210" s="50" t="str">
        <f>IF(ISNUMBER(H2210),IFERROR(INDEX(Calendrier!$C$2:$C$367,MATCH(H2210,Calendrier!$A$2:$A$367,0)),0),"")</f>
        <v/>
      </c>
      <c r="K2210" s="50" t="str">
        <f t="shared" si="174"/>
        <v/>
      </c>
      <c r="L2210" s="50" t="str">
        <f>IF(D2210="","",IF(COUNTIF(Paramètres!$A$11:$A$40,D2210)&gt;0,1,0))</f>
        <v/>
      </c>
    </row>
    <row r="2211" spans="1:12" hidden="1" x14ac:dyDescent="0.25">
      <c r="A2211" s="49"/>
      <c r="B2211" s="49"/>
      <c r="C2211" s="49"/>
      <c r="D2211" s="50" t="str">
        <f t="shared" si="170"/>
        <v/>
      </c>
      <c r="E2211" s="50" t="str">
        <f t="shared" si="171"/>
        <v/>
      </c>
      <c r="F2211" s="50" t="str">
        <f t="shared" si="172"/>
        <v/>
      </c>
      <c r="G2211" s="50" t="str">
        <f t="shared" si="173"/>
        <v/>
      </c>
      <c r="H2211" s="51" t="str">
        <f>IF($C2211="","",IFERROR(DATE(G2211,VLOOKUP(E2211,Paramètres!$K$11:$L$40,2,FALSE()),F2211),"?"))</f>
        <v/>
      </c>
      <c r="I2211" s="50" t="str">
        <f>IF(ISNUMBER(H2211),IF(COUNTIFS($D$2:D2211,D2211,$H$2:H2211,H2211)=1,1,0),"")</f>
        <v/>
      </c>
      <c r="J2211" s="50" t="str">
        <f>IF(ISNUMBER(H2211),IFERROR(INDEX(Calendrier!$C$2:$C$367,MATCH(H2211,Calendrier!$A$2:$A$367,0)),0),"")</f>
        <v/>
      </c>
      <c r="K2211" s="50" t="str">
        <f t="shared" si="174"/>
        <v/>
      </c>
      <c r="L2211" s="50" t="str">
        <f>IF(D2211="","",IF(COUNTIF(Paramètres!$A$11:$A$40,D2211)&gt;0,1,0))</f>
        <v/>
      </c>
    </row>
    <row r="2212" spans="1:12" hidden="1" x14ac:dyDescent="0.25">
      <c r="A2212" s="49"/>
      <c r="B2212" s="49"/>
      <c r="C2212" s="49"/>
      <c r="D2212" s="50" t="str">
        <f t="shared" si="170"/>
        <v/>
      </c>
      <c r="E2212" s="50" t="str">
        <f t="shared" si="171"/>
        <v/>
      </c>
      <c r="F2212" s="50" t="str">
        <f t="shared" si="172"/>
        <v/>
      </c>
      <c r="G2212" s="50" t="str">
        <f t="shared" si="173"/>
        <v/>
      </c>
      <c r="H2212" s="51" t="str">
        <f>IF($C2212="","",IFERROR(DATE(G2212,VLOOKUP(E2212,Paramètres!$K$11:$L$40,2,FALSE()),F2212),"?"))</f>
        <v/>
      </c>
      <c r="I2212" s="50" t="str">
        <f>IF(ISNUMBER(H2212),IF(COUNTIFS($D$2:D2212,D2212,$H$2:H2212,H2212)=1,1,0),"")</f>
        <v/>
      </c>
      <c r="J2212" s="50" t="str">
        <f>IF(ISNUMBER(H2212),IFERROR(INDEX(Calendrier!$C$2:$C$367,MATCH(H2212,Calendrier!$A$2:$A$367,0)),0),"")</f>
        <v/>
      </c>
      <c r="K2212" s="50" t="str">
        <f t="shared" si="174"/>
        <v/>
      </c>
      <c r="L2212" s="50" t="str">
        <f>IF(D2212="","",IF(COUNTIF(Paramètres!$A$11:$A$40,D2212)&gt;0,1,0))</f>
        <v/>
      </c>
    </row>
    <row r="2213" spans="1:12" hidden="1" x14ac:dyDescent="0.25">
      <c r="A2213" s="49"/>
      <c r="B2213" s="49"/>
      <c r="C2213" s="49"/>
      <c r="D2213" s="50" t="str">
        <f t="shared" si="170"/>
        <v/>
      </c>
      <c r="E2213" s="50" t="str">
        <f t="shared" si="171"/>
        <v/>
      </c>
      <c r="F2213" s="50" t="str">
        <f t="shared" si="172"/>
        <v/>
      </c>
      <c r="G2213" s="50" t="str">
        <f t="shared" si="173"/>
        <v/>
      </c>
      <c r="H2213" s="51" t="str">
        <f>IF($C2213="","",IFERROR(DATE(G2213,VLOOKUP(E2213,Paramètres!$K$11:$L$40,2,FALSE()),F2213),"?"))</f>
        <v/>
      </c>
      <c r="I2213" s="50" t="str">
        <f>IF(ISNUMBER(H2213),IF(COUNTIFS($D$2:D2213,D2213,$H$2:H2213,H2213)=1,1,0),"")</f>
        <v/>
      </c>
      <c r="J2213" s="50" t="str">
        <f>IF(ISNUMBER(H2213),IFERROR(INDEX(Calendrier!$C$2:$C$367,MATCH(H2213,Calendrier!$A$2:$A$367,0)),0),"")</f>
        <v/>
      </c>
      <c r="K2213" s="50" t="str">
        <f t="shared" si="174"/>
        <v/>
      </c>
      <c r="L2213" s="50" t="str">
        <f>IF(D2213="","",IF(COUNTIF(Paramètres!$A$11:$A$40,D2213)&gt;0,1,0))</f>
        <v/>
      </c>
    </row>
    <row r="2214" spans="1:12" hidden="1" x14ac:dyDescent="0.25">
      <c r="A2214" s="49"/>
      <c r="B2214" s="49"/>
      <c r="C2214" s="49"/>
      <c r="D2214" s="50" t="str">
        <f t="shared" si="170"/>
        <v/>
      </c>
      <c r="E2214" s="50" t="str">
        <f t="shared" si="171"/>
        <v/>
      </c>
      <c r="F2214" s="50" t="str">
        <f t="shared" si="172"/>
        <v/>
      </c>
      <c r="G2214" s="50" t="str">
        <f t="shared" si="173"/>
        <v/>
      </c>
      <c r="H2214" s="51" t="str">
        <f>IF($C2214="","",IFERROR(DATE(G2214,VLOOKUP(E2214,Paramètres!$K$11:$L$40,2,FALSE()),F2214),"?"))</f>
        <v/>
      </c>
      <c r="I2214" s="50" t="str">
        <f>IF(ISNUMBER(H2214),IF(COUNTIFS($D$2:D2214,D2214,$H$2:H2214,H2214)=1,1,0),"")</f>
        <v/>
      </c>
      <c r="J2214" s="50" t="str">
        <f>IF(ISNUMBER(H2214),IFERROR(INDEX(Calendrier!$C$2:$C$367,MATCH(H2214,Calendrier!$A$2:$A$367,0)),0),"")</f>
        <v/>
      </c>
      <c r="K2214" s="50" t="str">
        <f t="shared" si="174"/>
        <v/>
      </c>
      <c r="L2214" s="50" t="str">
        <f>IF(D2214="","",IF(COUNTIF(Paramètres!$A$11:$A$40,D2214)&gt;0,1,0))</f>
        <v/>
      </c>
    </row>
    <row r="2215" spans="1:12" hidden="1" x14ac:dyDescent="0.25">
      <c r="A2215" s="49"/>
      <c r="B2215" s="49"/>
      <c r="C2215" s="49"/>
      <c r="D2215" s="50" t="str">
        <f t="shared" si="170"/>
        <v/>
      </c>
      <c r="E2215" s="50" t="str">
        <f t="shared" si="171"/>
        <v/>
      </c>
      <c r="F2215" s="50" t="str">
        <f t="shared" si="172"/>
        <v/>
      </c>
      <c r="G2215" s="50" t="str">
        <f t="shared" si="173"/>
        <v/>
      </c>
      <c r="H2215" s="51" t="str">
        <f>IF($C2215="","",IFERROR(DATE(G2215,VLOOKUP(E2215,Paramètres!$K$11:$L$40,2,FALSE()),F2215),"?"))</f>
        <v/>
      </c>
      <c r="I2215" s="50" t="str">
        <f>IF(ISNUMBER(H2215),IF(COUNTIFS($D$2:D2215,D2215,$H$2:H2215,H2215)=1,1,0),"")</f>
        <v/>
      </c>
      <c r="J2215" s="50" t="str">
        <f>IF(ISNUMBER(H2215),IFERROR(INDEX(Calendrier!$C$2:$C$367,MATCH(H2215,Calendrier!$A$2:$A$367,0)),0),"")</f>
        <v/>
      </c>
      <c r="K2215" s="50" t="str">
        <f t="shared" si="174"/>
        <v/>
      </c>
      <c r="L2215" s="50" t="str">
        <f>IF(D2215="","",IF(COUNTIF(Paramètres!$A$11:$A$40,D2215)&gt;0,1,0))</f>
        <v/>
      </c>
    </row>
    <row r="2216" spans="1:12" hidden="1" x14ac:dyDescent="0.25">
      <c r="A2216" s="49"/>
      <c r="B2216" s="49"/>
      <c r="C2216" s="49"/>
      <c r="D2216" s="50" t="str">
        <f t="shared" si="170"/>
        <v/>
      </c>
      <c r="E2216" s="50" t="str">
        <f t="shared" si="171"/>
        <v/>
      </c>
      <c r="F2216" s="50" t="str">
        <f t="shared" si="172"/>
        <v/>
      </c>
      <c r="G2216" s="50" t="str">
        <f t="shared" si="173"/>
        <v/>
      </c>
      <c r="H2216" s="51" t="str">
        <f>IF($C2216="","",IFERROR(DATE(G2216,VLOOKUP(E2216,Paramètres!$K$11:$L$40,2,FALSE()),F2216),"?"))</f>
        <v/>
      </c>
      <c r="I2216" s="50" t="str">
        <f>IF(ISNUMBER(H2216),IF(COUNTIFS($D$2:D2216,D2216,$H$2:H2216,H2216)=1,1,0),"")</f>
        <v/>
      </c>
      <c r="J2216" s="50" t="str">
        <f>IF(ISNUMBER(H2216),IFERROR(INDEX(Calendrier!$C$2:$C$367,MATCH(H2216,Calendrier!$A$2:$A$367,0)),0),"")</f>
        <v/>
      </c>
      <c r="K2216" s="50" t="str">
        <f t="shared" si="174"/>
        <v/>
      </c>
      <c r="L2216" s="50" t="str">
        <f>IF(D2216="","",IF(COUNTIF(Paramètres!$A$11:$A$40,D2216)&gt;0,1,0))</f>
        <v/>
      </c>
    </row>
    <row r="2217" spans="1:12" hidden="1" x14ac:dyDescent="0.25">
      <c r="A2217" s="49"/>
      <c r="B2217" s="49"/>
      <c r="C2217" s="49"/>
      <c r="D2217" s="50" t="str">
        <f t="shared" si="170"/>
        <v/>
      </c>
      <c r="E2217" s="50" t="str">
        <f t="shared" si="171"/>
        <v/>
      </c>
      <c r="F2217" s="50" t="str">
        <f t="shared" si="172"/>
        <v/>
      </c>
      <c r="G2217" s="50" t="str">
        <f t="shared" si="173"/>
        <v/>
      </c>
      <c r="H2217" s="51" t="str">
        <f>IF($C2217="","",IFERROR(DATE(G2217,VLOOKUP(E2217,Paramètres!$K$11:$L$40,2,FALSE()),F2217),"?"))</f>
        <v/>
      </c>
      <c r="I2217" s="50" t="str">
        <f>IF(ISNUMBER(H2217),IF(COUNTIFS($D$2:D2217,D2217,$H$2:H2217,H2217)=1,1,0),"")</f>
        <v/>
      </c>
      <c r="J2217" s="50" t="str">
        <f>IF(ISNUMBER(H2217),IFERROR(INDEX(Calendrier!$C$2:$C$367,MATCH(H2217,Calendrier!$A$2:$A$367,0)),0),"")</f>
        <v/>
      </c>
      <c r="K2217" s="50" t="str">
        <f t="shared" si="174"/>
        <v/>
      </c>
      <c r="L2217" s="50" t="str">
        <f>IF(D2217="","",IF(COUNTIF(Paramètres!$A$11:$A$40,D2217)&gt;0,1,0))</f>
        <v/>
      </c>
    </row>
    <row r="2218" spans="1:12" hidden="1" x14ac:dyDescent="0.25">
      <c r="A2218" s="49"/>
      <c r="B2218" s="49"/>
      <c r="C2218" s="49"/>
      <c r="D2218" s="50" t="str">
        <f t="shared" si="170"/>
        <v/>
      </c>
      <c r="E2218" s="50" t="str">
        <f t="shared" si="171"/>
        <v/>
      </c>
      <c r="F2218" s="50" t="str">
        <f t="shared" si="172"/>
        <v/>
      </c>
      <c r="G2218" s="50" t="str">
        <f t="shared" si="173"/>
        <v/>
      </c>
      <c r="H2218" s="51" t="str">
        <f>IF($C2218="","",IFERROR(DATE(G2218,VLOOKUP(E2218,Paramètres!$K$11:$L$40,2,FALSE()),F2218),"?"))</f>
        <v/>
      </c>
      <c r="I2218" s="50" t="str">
        <f>IF(ISNUMBER(H2218),IF(COUNTIFS($D$2:D2218,D2218,$H$2:H2218,H2218)=1,1,0),"")</f>
        <v/>
      </c>
      <c r="J2218" s="50" t="str">
        <f>IF(ISNUMBER(H2218),IFERROR(INDEX(Calendrier!$C$2:$C$367,MATCH(H2218,Calendrier!$A$2:$A$367,0)),0),"")</f>
        <v/>
      </c>
      <c r="K2218" s="50" t="str">
        <f t="shared" si="174"/>
        <v/>
      </c>
      <c r="L2218" s="50" t="str">
        <f>IF(D2218="","",IF(COUNTIF(Paramètres!$A$11:$A$40,D2218)&gt;0,1,0))</f>
        <v/>
      </c>
    </row>
    <row r="2219" spans="1:12" hidden="1" x14ac:dyDescent="0.25">
      <c r="A2219" s="49"/>
      <c r="B2219" s="49"/>
      <c r="C2219" s="49"/>
      <c r="D2219" s="50" t="str">
        <f t="shared" si="170"/>
        <v/>
      </c>
      <c r="E2219" s="50" t="str">
        <f t="shared" si="171"/>
        <v/>
      </c>
      <c r="F2219" s="50" t="str">
        <f t="shared" si="172"/>
        <v/>
      </c>
      <c r="G2219" s="50" t="str">
        <f t="shared" si="173"/>
        <v/>
      </c>
      <c r="H2219" s="51" t="str">
        <f>IF($C2219="","",IFERROR(DATE(G2219,VLOOKUP(E2219,Paramètres!$K$11:$L$40,2,FALSE()),F2219),"?"))</f>
        <v/>
      </c>
      <c r="I2219" s="50" t="str">
        <f>IF(ISNUMBER(H2219),IF(COUNTIFS($D$2:D2219,D2219,$H$2:H2219,H2219)=1,1,0),"")</f>
        <v/>
      </c>
      <c r="J2219" s="50" t="str">
        <f>IF(ISNUMBER(H2219),IFERROR(INDEX(Calendrier!$C$2:$C$367,MATCH(H2219,Calendrier!$A$2:$A$367,0)),0),"")</f>
        <v/>
      </c>
      <c r="K2219" s="50" t="str">
        <f t="shared" si="174"/>
        <v/>
      </c>
      <c r="L2219" s="50" t="str">
        <f>IF(D2219="","",IF(COUNTIF(Paramètres!$A$11:$A$40,D2219)&gt;0,1,0))</f>
        <v/>
      </c>
    </row>
    <row r="2220" spans="1:12" hidden="1" x14ac:dyDescent="0.25">
      <c r="A2220" s="49"/>
      <c r="B2220" s="49"/>
      <c r="C2220" s="49"/>
      <c r="D2220" s="50" t="str">
        <f t="shared" si="170"/>
        <v/>
      </c>
      <c r="E2220" s="50" t="str">
        <f t="shared" si="171"/>
        <v/>
      </c>
      <c r="F2220" s="50" t="str">
        <f t="shared" si="172"/>
        <v/>
      </c>
      <c r="G2220" s="50" t="str">
        <f t="shared" si="173"/>
        <v/>
      </c>
      <c r="H2220" s="51" t="str">
        <f>IF($C2220="","",IFERROR(DATE(G2220,VLOOKUP(E2220,Paramètres!$K$11:$L$40,2,FALSE()),F2220),"?"))</f>
        <v/>
      </c>
      <c r="I2220" s="50" t="str">
        <f>IF(ISNUMBER(H2220),IF(COUNTIFS($D$2:D2220,D2220,$H$2:H2220,H2220)=1,1,0),"")</f>
        <v/>
      </c>
      <c r="J2220" s="50" t="str">
        <f>IF(ISNUMBER(H2220),IFERROR(INDEX(Calendrier!$C$2:$C$367,MATCH(H2220,Calendrier!$A$2:$A$367,0)),0),"")</f>
        <v/>
      </c>
      <c r="K2220" s="50" t="str">
        <f t="shared" si="174"/>
        <v/>
      </c>
      <c r="L2220" s="50" t="str">
        <f>IF(D2220="","",IF(COUNTIF(Paramètres!$A$11:$A$40,D2220)&gt;0,1,0))</f>
        <v/>
      </c>
    </row>
    <row r="2221" spans="1:12" hidden="1" x14ac:dyDescent="0.25">
      <c r="A2221" s="49"/>
      <c r="B2221" s="49"/>
      <c r="C2221" s="49"/>
      <c r="D2221" s="50" t="str">
        <f t="shared" si="170"/>
        <v/>
      </c>
      <c r="E2221" s="50" t="str">
        <f t="shared" si="171"/>
        <v/>
      </c>
      <c r="F2221" s="50" t="str">
        <f t="shared" si="172"/>
        <v/>
      </c>
      <c r="G2221" s="50" t="str">
        <f t="shared" si="173"/>
        <v/>
      </c>
      <c r="H2221" s="51" t="str">
        <f>IF($C2221="","",IFERROR(DATE(G2221,VLOOKUP(E2221,Paramètres!$K$11:$L$40,2,FALSE()),F2221),"?"))</f>
        <v/>
      </c>
      <c r="I2221" s="50" t="str">
        <f>IF(ISNUMBER(H2221),IF(COUNTIFS($D$2:D2221,D2221,$H$2:H2221,H2221)=1,1,0),"")</f>
        <v/>
      </c>
      <c r="J2221" s="50" t="str">
        <f>IF(ISNUMBER(H2221),IFERROR(INDEX(Calendrier!$C$2:$C$367,MATCH(H2221,Calendrier!$A$2:$A$367,0)),0),"")</f>
        <v/>
      </c>
      <c r="K2221" s="50" t="str">
        <f t="shared" si="174"/>
        <v/>
      </c>
      <c r="L2221" s="50" t="str">
        <f>IF(D2221="","",IF(COUNTIF(Paramètres!$A$11:$A$40,D2221)&gt;0,1,0))</f>
        <v/>
      </c>
    </row>
    <row r="2222" spans="1:12" hidden="1" x14ac:dyDescent="0.25">
      <c r="A2222" s="49"/>
      <c r="B2222" s="49"/>
      <c r="C2222" s="49"/>
      <c r="D2222" s="50" t="str">
        <f t="shared" si="170"/>
        <v/>
      </c>
      <c r="E2222" s="50" t="str">
        <f t="shared" si="171"/>
        <v/>
      </c>
      <c r="F2222" s="50" t="str">
        <f t="shared" si="172"/>
        <v/>
      </c>
      <c r="G2222" s="50" t="str">
        <f t="shared" si="173"/>
        <v/>
      </c>
      <c r="H2222" s="51" t="str">
        <f>IF($C2222="","",IFERROR(DATE(G2222,VLOOKUP(E2222,Paramètres!$K$11:$L$40,2,FALSE()),F2222),"?"))</f>
        <v/>
      </c>
      <c r="I2222" s="50" t="str">
        <f>IF(ISNUMBER(H2222),IF(COUNTIFS($D$2:D2222,D2222,$H$2:H2222,H2222)=1,1,0),"")</f>
        <v/>
      </c>
      <c r="J2222" s="50" t="str">
        <f>IF(ISNUMBER(H2222),IFERROR(INDEX(Calendrier!$C$2:$C$367,MATCH(H2222,Calendrier!$A$2:$A$367,0)),0),"")</f>
        <v/>
      </c>
      <c r="K2222" s="50" t="str">
        <f t="shared" si="174"/>
        <v/>
      </c>
      <c r="L2222" s="50" t="str">
        <f>IF(D2222="","",IF(COUNTIF(Paramètres!$A$11:$A$40,D2222)&gt;0,1,0))</f>
        <v/>
      </c>
    </row>
    <row r="2223" spans="1:12" hidden="1" x14ac:dyDescent="0.25">
      <c r="A2223" s="49"/>
      <c r="B2223" s="49"/>
      <c r="C2223" s="49"/>
      <c r="D2223" s="50" t="str">
        <f t="shared" si="170"/>
        <v/>
      </c>
      <c r="E2223" s="50" t="str">
        <f t="shared" si="171"/>
        <v/>
      </c>
      <c r="F2223" s="50" t="str">
        <f t="shared" si="172"/>
        <v/>
      </c>
      <c r="G2223" s="50" t="str">
        <f t="shared" si="173"/>
        <v/>
      </c>
      <c r="H2223" s="51" t="str">
        <f>IF($C2223="","",IFERROR(DATE(G2223,VLOOKUP(E2223,Paramètres!$K$11:$L$40,2,FALSE()),F2223),"?"))</f>
        <v/>
      </c>
      <c r="I2223" s="50" t="str">
        <f>IF(ISNUMBER(H2223),IF(COUNTIFS($D$2:D2223,D2223,$H$2:H2223,H2223)=1,1,0),"")</f>
        <v/>
      </c>
      <c r="J2223" s="50" t="str">
        <f>IF(ISNUMBER(H2223),IFERROR(INDEX(Calendrier!$C$2:$C$367,MATCH(H2223,Calendrier!$A$2:$A$367,0)),0),"")</f>
        <v/>
      </c>
      <c r="K2223" s="50" t="str">
        <f t="shared" si="174"/>
        <v/>
      </c>
      <c r="L2223" s="50" t="str">
        <f>IF(D2223="","",IF(COUNTIF(Paramètres!$A$11:$A$40,D2223)&gt;0,1,0))</f>
        <v/>
      </c>
    </row>
    <row r="2224" spans="1:12" hidden="1" x14ac:dyDescent="0.25">
      <c r="A2224" s="49"/>
      <c r="B2224" s="49"/>
      <c r="C2224" s="49"/>
      <c r="D2224" s="50" t="str">
        <f t="shared" si="170"/>
        <v/>
      </c>
      <c r="E2224" s="50" t="str">
        <f t="shared" si="171"/>
        <v/>
      </c>
      <c r="F2224" s="50" t="str">
        <f t="shared" si="172"/>
        <v/>
      </c>
      <c r="G2224" s="50" t="str">
        <f t="shared" si="173"/>
        <v/>
      </c>
      <c r="H2224" s="51" t="str">
        <f>IF($C2224="","",IFERROR(DATE(G2224,VLOOKUP(E2224,Paramètres!$K$11:$L$40,2,FALSE()),F2224),"?"))</f>
        <v/>
      </c>
      <c r="I2224" s="50" t="str">
        <f>IF(ISNUMBER(H2224),IF(COUNTIFS($D$2:D2224,D2224,$H$2:H2224,H2224)=1,1,0),"")</f>
        <v/>
      </c>
      <c r="J2224" s="50" t="str">
        <f>IF(ISNUMBER(H2224),IFERROR(INDEX(Calendrier!$C$2:$C$367,MATCH(H2224,Calendrier!$A$2:$A$367,0)),0),"")</f>
        <v/>
      </c>
      <c r="K2224" s="50" t="str">
        <f t="shared" si="174"/>
        <v/>
      </c>
      <c r="L2224" s="50" t="str">
        <f>IF(D2224="","",IF(COUNTIF(Paramètres!$A$11:$A$40,D2224)&gt;0,1,0))</f>
        <v/>
      </c>
    </row>
    <row r="2225" spans="1:12" hidden="1" x14ac:dyDescent="0.25">
      <c r="A2225" s="49"/>
      <c r="B2225" s="49"/>
      <c r="C2225" s="49"/>
      <c r="D2225" s="50" t="str">
        <f t="shared" si="170"/>
        <v/>
      </c>
      <c r="E2225" s="50" t="str">
        <f t="shared" si="171"/>
        <v/>
      </c>
      <c r="F2225" s="50" t="str">
        <f t="shared" si="172"/>
        <v/>
      </c>
      <c r="G2225" s="50" t="str">
        <f t="shared" si="173"/>
        <v/>
      </c>
      <c r="H2225" s="51" t="str">
        <f>IF($C2225="","",IFERROR(DATE(G2225,VLOOKUP(E2225,Paramètres!$K$11:$L$40,2,FALSE()),F2225),"?"))</f>
        <v/>
      </c>
      <c r="I2225" s="50" t="str">
        <f>IF(ISNUMBER(H2225),IF(COUNTIFS($D$2:D2225,D2225,$H$2:H2225,H2225)=1,1,0),"")</f>
        <v/>
      </c>
      <c r="J2225" s="50" t="str">
        <f>IF(ISNUMBER(H2225),IFERROR(INDEX(Calendrier!$C$2:$C$367,MATCH(H2225,Calendrier!$A$2:$A$367,0)),0),"")</f>
        <v/>
      </c>
      <c r="K2225" s="50" t="str">
        <f t="shared" si="174"/>
        <v/>
      </c>
      <c r="L2225" s="50" t="str">
        <f>IF(D2225="","",IF(COUNTIF(Paramètres!$A$11:$A$40,D2225)&gt;0,1,0))</f>
        <v/>
      </c>
    </row>
    <row r="2226" spans="1:12" hidden="1" x14ac:dyDescent="0.25">
      <c r="A2226" s="49"/>
      <c r="B2226" s="49"/>
      <c r="C2226" s="49"/>
      <c r="D2226" s="50" t="str">
        <f t="shared" si="170"/>
        <v/>
      </c>
      <c r="E2226" s="50" t="str">
        <f t="shared" si="171"/>
        <v/>
      </c>
      <c r="F2226" s="50" t="str">
        <f t="shared" si="172"/>
        <v/>
      </c>
      <c r="G2226" s="50" t="str">
        <f t="shared" si="173"/>
        <v/>
      </c>
      <c r="H2226" s="51" t="str">
        <f>IF($C2226="","",IFERROR(DATE(G2226,VLOOKUP(E2226,Paramètres!$K$11:$L$40,2,FALSE()),F2226),"?"))</f>
        <v/>
      </c>
      <c r="I2226" s="50" t="str">
        <f>IF(ISNUMBER(H2226),IF(COUNTIFS($D$2:D2226,D2226,$H$2:H2226,H2226)=1,1,0),"")</f>
        <v/>
      </c>
      <c r="J2226" s="50" t="str">
        <f>IF(ISNUMBER(H2226),IFERROR(INDEX(Calendrier!$C$2:$C$367,MATCH(H2226,Calendrier!$A$2:$A$367,0)),0),"")</f>
        <v/>
      </c>
      <c r="K2226" s="50" t="str">
        <f t="shared" si="174"/>
        <v/>
      </c>
      <c r="L2226" s="50" t="str">
        <f>IF(D2226="","",IF(COUNTIF(Paramètres!$A$11:$A$40,D2226)&gt;0,1,0))</f>
        <v/>
      </c>
    </row>
    <row r="2227" spans="1:12" hidden="1" x14ac:dyDescent="0.25">
      <c r="A2227" s="49"/>
      <c r="B2227" s="49"/>
      <c r="C2227" s="49"/>
      <c r="D2227" s="50" t="str">
        <f t="shared" si="170"/>
        <v/>
      </c>
      <c r="E2227" s="50" t="str">
        <f t="shared" si="171"/>
        <v/>
      </c>
      <c r="F2227" s="50" t="str">
        <f t="shared" si="172"/>
        <v/>
      </c>
      <c r="G2227" s="50" t="str">
        <f t="shared" si="173"/>
        <v/>
      </c>
      <c r="H2227" s="51" t="str">
        <f>IF($C2227="","",IFERROR(DATE(G2227,VLOOKUP(E2227,Paramètres!$K$11:$L$40,2,FALSE()),F2227),"?"))</f>
        <v/>
      </c>
      <c r="I2227" s="50" t="str">
        <f>IF(ISNUMBER(H2227),IF(COUNTIFS($D$2:D2227,D2227,$H$2:H2227,H2227)=1,1,0),"")</f>
        <v/>
      </c>
      <c r="J2227" s="50" t="str">
        <f>IF(ISNUMBER(H2227),IFERROR(INDEX(Calendrier!$C$2:$C$367,MATCH(H2227,Calendrier!$A$2:$A$367,0)),0),"")</f>
        <v/>
      </c>
      <c r="K2227" s="50" t="str">
        <f t="shared" si="174"/>
        <v/>
      </c>
      <c r="L2227" s="50" t="str">
        <f>IF(D2227="","",IF(COUNTIF(Paramètres!$A$11:$A$40,D2227)&gt;0,1,0))</f>
        <v/>
      </c>
    </row>
    <row r="2228" spans="1:12" hidden="1" x14ac:dyDescent="0.25">
      <c r="A2228" s="49"/>
      <c r="B2228" s="49"/>
      <c r="C2228" s="49"/>
      <c r="D2228" s="50" t="str">
        <f t="shared" si="170"/>
        <v/>
      </c>
      <c r="E2228" s="50" t="str">
        <f t="shared" si="171"/>
        <v/>
      </c>
      <c r="F2228" s="50" t="str">
        <f t="shared" si="172"/>
        <v/>
      </c>
      <c r="G2228" s="50" t="str">
        <f t="shared" si="173"/>
        <v/>
      </c>
      <c r="H2228" s="51" t="str">
        <f>IF($C2228="","",IFERROR(DATE(G2228,VLOOKUP(E2228,Paramètres!$K$11:$L$40,2,FALSE()),F2228),"?"))</f>
        <v/>
      </c>
      <c r="I2228" s="50" t="str">
        <f>IF(ISNUMBER(H2228),IF(COUNTIFS($D$2:D2228,D2228,$H$2:H2228,H2228)=1,1,0),"")</f>
        <v/>
      </c>
      <c r="J2228" s="50" t="str">
        <f>IF(ISNUMBER(H2228),IFERROR(INDEX(Calendrier!$C$2:$C$367,MATCH(H2228,Calendrier!$A$2:$A$367,0)),0),"")</f>
        <v/>
      </c>
      <c r="K2228" s="50" t="str">
        <f t="shared" si="174"/>
        <v/>
      </c>
      <c r="L2228" s="50" t="str">
        <f>IF(D2228="","",IF(COUNTIF(Paramètres!$A$11:$A$40,D2228)&gt;0,1,0))</f>
        <v/>
      </c>
    </row>
    <row r="2229" spans="1:12" hidden="1" x14ac:dyDescent="0.25">
      <c r="A2229" s="49"/>
      <c r="B2229" s="49"/>
      <c r="C2229" s="49"/>
      <c r="D2229" s="50" t="str">
        <f t="shared" si="170"/>
        <v/>
      </c>
      <c r="E2229" s="50" t="str">
        <f t="shared" si="171"/>
        <v/>
      </c>
      <c r="F2229" s="50" t="str">
        <f t="shared" si="172"/>
        <v/>
      </c>
      <c r="G2229" s="50" t="str">
        <f t="shared" si="173"/>
        <v/>
      </c>
      <c r="H2229" s="51" t="str">
        <f>IF($C2229="","",IFERROR(DATE(G2229,VLOOKUP(E2229,Paramètres!$K$11:$L$40,2,FALSE()),F2229),"?"))</f>
        <v/>
      </c>
      <c r="I2229" s="50" t="str">
        <f>IF(ISNUMBER(H2229),IF(COUNTIFS($D$2:D2229,D2229,$H$2:H2229,H2229)=1,1,0),"")</f>
        <v/>
      </c>
      <c r="J2229" s="50" t="str">
        <f>IF(ISNUMBER(H2229),IFERROR(INDEX(Calendrier!$C$2:$C$367,MATCH(H2229,Calendrier!$A$2:$A$367,0)),0),"")</f>
        <v/>
      </c>
      <c r="K2229" s="50" t="str">
        <f t="shared" si="174"/>
        <v/>
      </c>
      <c r="L2229" s="50" t="str">
        <f>IF(D2229="","",IF(COUNTIF(Paramètres!$A$11:$A$40,D2229)&gt;0,1,0))</f>
        <v/>
      </c>
    </row>
    <row r="2230" spans="1:12" hidden="1" x14ac:dyDescent="0.25">
      <c r="A2230" s="49"/>
      <c r="B2230" s="49"/>
      <c r="C2230" s="49"/>
      <c r="D2230" s="50" t="str">
        <f t="shared" si="170"/>
        <v/>
      </c>
      <c r="E2230" s="50" t="str">
        <f t="shared" si="171"/>
        <v/>
      </c>
      <c r="F2230" s="50" t="str">
        <f t="shared" si="172"/>
        <v/>
      </c>
      <c r="G2230" s="50" t="str">
        <f t="shared" si="173"/>
        <v/>
      </c>
      <c r="H2230" s="51" t="str">
        <f>IF($C2230="","",IFERROR(DATE(G2230,VLOOKUP(E2230,Paramètres!$K$11:$L$40,2,FALSE()),F2230),"?"))</f>
        <v/>
      </c>
      <c r="I2230" s="50" t="str">
        <f>IF(ISNUMBER(H2230),IF(COUNTIFS($D$2:D2230,D2230,$H$2:H2230,H2230)=1,1,0),"")</f>
        <v/>
      </c>
      <c r="J2230" s="50" t="str">
        <f>IF(ISNUMBER(H2230),IFERROR(INDEX(Calendrier!$C$2:$C$367,MATCH(H2230,Calendrier!$A$2:$A$367,0)),0),"")</f>
        <v/>
      </c>
      <c r="K2230" s="50" t="str">
        <f t="shared" si="174"/>
        <v/>
      </c>
      <c r="L2230" s="50" t="str">
        <f>IF(D2230="","",IF(COUNTIF(Paramètres!$A$11:$A$40,D2230)&gt;0,1,0))</f>
        <v/>
      </c>
    </row>
    <row r="2231" spans="1:12" hidden="1" x14ac:dyDescent="0.25">
      <c r="A2231" s="49"/>
      <c r="B2231" s="49"/>
      <c r="C2231" s="49"/>
      <c r="D2231" s="50" t="str">
        <f t="shared" si="170"/>
        <v/>
      </c>
      <c r="E2231" s="50" t="str">
        <f t="shared" si="171"/>
        <v/>
      </c>
      <c r="F2231" s="50" t="str">
        <f t="shared" si="172"/>
        <v/>
      </c>
      <c r="G2231" s="50" t="str">
        <f t="shared" si="173"/>
        <v/>
      </c>
      <c r="H2231" s="51" t="str">
        <f>IF($C2231="","",IFERROR(DATE(G2231,VLOOKUP(E2231,Paramètres!$K$11:$L$40,2,FALSE()),F2231),"?"))</f>
        <v/>
      </c>
      <c r="I2231" s="50" t="str">
        <f>IF(ISNUMBER(H2231),IF(COUNTIFS($D$2:D2231,D2231,$H$2:H2231,H2231)=1,1,0),"")</f>
        <v/>
      </c>
      <c r="J2231" s="50" t="str">
        <f>IF(ISNUMBER(H2231),IFERROR(INDEX(Calendrier!$C$2:$C$367,MATCH(H2231,Calendrier!$A$2:$A$367,0)),0),"")</f>
        <v/>
      </c>
      <c r="K2231" s="50" t="str">
        <f t="shared" si="174"/>
        <v/>
      </c>
      <c r="L2231" s="50" t="str">
        <f>IF(D2231="","",IF(COUNTIF(Paramètres!$A$11:$A$40,D2231)&gt;0,1,0))</f>
        <v/>
      </c>
    </row>
    <row r="2232" spans="1:12" hidden="1" x14ac:dyDescent="0.25">
      <c r="A2232" s="49"/>
      <c r="B2232" s="49"/>
      <c r="C2232" s="49"/>
      <c r="D2232" s="50" t="str">
        <f t="shared" si="170"/>
        <v/>
      </c>
      <c r="E2232" s="50" t="str">
        <f t="shared" si="171"/>
        <v/>
      </c>
      <c r="F2232" s="50" t="str">
        <f t="shared" si="172"/>
        <v/>
      </c>
      <c r="G2232" s="50" t="str">
        <f t="shared" si="173"/>
        <v/>
      </c>
      <c r="H2232" s="51" t="str">
        <f>IF($C2232="","",IFERROR(DATE(G2232,VLOOKUP(E2232,Paramètres!$K$11:$L$40,2,FALSE()),F2232),"?"))</f>
        <v/>
      </c>
      <c r="I2232" s="50" t="str">
        <f>IF(ISNUMBER(H2232),IF(COUNTIFS($D$2:D2232,D2232,$H$2:H2232,H2232)=1,1,0),"")</f>
        <v/>
      </c>
      <c r="J2232" s="50" t="str">
        <f>IF(ISNUMBER(H2232),IFERROR(INDEX(Calendrier!$C$2:$C$367,MATCH(H2232,Calendrier!$A$2:$A$367,0)),0),"")</f>
        <v/>
      </c>
      <c r="K2232" s="50" t="str">
        <f t="shared" si="174"/>
        <v/>
      </c>
      <c r="L2232" s="50" t="str">
        <f>IF(D2232="","",IF(COUNTIF(Paramètres!$A$11:$A$40,D2232)&gt;0,1,0))</f>
        <v/>
      </c>
    </row>
    <row r="2233" spans="1:12" hidden="1" x14ac:dyDescent="0.25">
      <c r="A2233" s="49"/>
      <c r="B2233" s="49"/>
      <c r="C2233" s="49"/>
      <c r="D2233" s="50" t="str">
        <f t="shared" si="170"/>
        <v/>
      </c>
      <c r="E2233" s="50" t="str">
        <f t="shared" si="171"/>
        <v/>
      </c>
      <c r="F2233" s="50" t="str">
        <f t="shared" si="172"/>
        <v/>
      </c>
      <c r="G2233" s="50" t="str">
        <f t="shared" si="173"/>
        <v/>
      </c>
      <c r="H2233" s="51" t="str">
        <f>IF($C2233="","",IFERROR(DATE(G2233,VLOOKUP(E2233,Paramètres!$K$11:$L$40,2,FALSE()),F2233),"?"))</f>
        <v/>
      </c>
      <c r="I2233" s="50" t="str">
        <f>IF(ISNUMBER(H2233),IF(COUNTIFS($D$2:D2233,D2233,$H$2:H2233,H2233)=1,1,0),"")</f>
        <v/>
      </c>
      <c r="J2233" s="50" t="str">
        <f>IF(ISNUMBER(H2233),IFERROR(INDEX(Calendrier!$C$2:$C$367,MATCH(H2233,Calendrier!$A$2:$A$367,0)),0),"")</f>
        <v/>
      </c>
      <c r="K2233" s="50" t="str">
        <f t="shared" si="174"/>
        <v/>
      </c>
      <c r="L2233" s="50" t="str">
        <f>IF(D2233="","",IF(COUNTIF(Paramètres!$A$11:$A$40,D2233)&gt;0,1,0))</f>
        <v/>
      </c>
    </row>
    <row r="2234" spans="1:12" hidden="1" x14ac:dyDescent="0.25">
      <c r="A2234" s="49"/>
      <c r="B2234" s="49"/>
      <c r="C2234" s="49"/>
      <c r="D2234" s="50" t="str">
        <f t="shared" si="170"/>
        <v/>
      </c>
      <c r="E2234" s="50" t="str">
        <f t="shared" si="171"/>
        <v/>
      </c>
      <c r="F2234" s="50" t="str">
        <f t="shared" si="172"/>
        <v/>
      </c>
      <c r="G2234" s="50" t="str">
        <f t="shared" si="173"/>
        <v/>
      </c>
      <c r="H2234" s="51" t="str">
        <f>IF($C2234="","",IFERROR(DATE(G2234,VLOOKUP(E2234,Paramètres!$K$11:$L$40,2,FALSE()),F2234),"?"))</f>
        <v/>
      </c>
      <c r="I2234" s="50" t="str">
        <f>IF(ISNUMBER(H2234),IF(COUNTIFS($D$2:D2234,D2234,$H$2:H2234,H2234)=1,1,0),"")</f>
        <v/>
      </c>
      <c r="J2234" s="50" t="str">
        <f>IF(ISNUMBER(H2234),IFERROR(INDEX(Calendrier!$C$2:$C$367,MATCH(H2234,Calendrier!$A$2:$A$367,0)),0),"")</f>
        <v/>
      </c>
      <c r="K2234" s="50" t="str">
        <f t="shared" si="174"/>
        <v/>
      </c>
      <c r="L2234" s="50" t="str">
        <f>IF(D2234="","",IF(COUNTIF(Paramètres!$A$11:$A$40,D2234)&gt;0,1,0))</f>
        <v/>
      </c>
    </row>
    <row r="2235" spans="1:12" hidden="1" x14ac:dyDescent="0.25">
      <c r="A2235" s="49"/>
      <c r="B2235" s="49"/>
      <c r="C2235" s="49"/>
      <c r="D2235" s="50" t="str">
        <f t="shared" si="170"/>
        <v/>
      </c>
      <c r="E2235" s="50" t="str">
        <f t="shared" si="171"/>
        <v/>
      </c>
      <c r="F2235" s="50" t="str">
        <f t="shared" si="172"/>
        <v/>
      </c>
      <c r="G2235" s="50" t="str">
        <f t="shared" si="173"/>
        <v/>
      </c>
      <c r="H2235" s="51" t="str">
        <f>IF($C2235="","",IFERROR(DATE(G2235,VLOOKUP(E2235,Paramètres!$K$11:$L$40,2,FALSE()),F2235),"?"))</f>
        <v/>
      </c>
      <c r="I2235" s="50" t="str">
        <f>IF(ISNUMBER(H2235),IF(COUNTIFS($D$2:D2235,D2235,$H$2:H2235,H2235)=1,1,0),"")</f>
        <v/>
      </c>
      <c r="J2235" s="50" t="str">
        <f>IF(ISNUMBER(H2235),IFERROR(INDEX(Calendrier!$C$2:$C$367,MATCH(H2235,Calendrier!$A$2:$A$367,0)),0),"")</f>
        <v/>
      </c>
      <c r="K2235" s="50" t="str">
        <f t="shared" si="174"/>
        <v/>
      </c>
      <c r="L2235" s="50" t="str">
        <f>IF(D2235="","",IF(COUNTIF(Paramètres!$A$11:$A$40,D2235)&gt;0,1,0))</f>
        <v/>
      </c>
    </row>
    <row r="2236" spans="1:12" hidden="1" x14ac:dyDescent="0.25">
      <c r="A2236" s="49"/>
      <c r="B2236" s="49"/>
      <c r="C2236" s="49"/>
      <c r="D2236" s="50" t="str">
        <f t="shared" si="170"/>
        <v/>
      </c>
      <c r="E2236" s="50" t="str">
        <f t="shared" si="171"/>
        <v/>
      </c>
      <c r="F2236" s="50" t="str">
        <f t="shared" si="172"/>
        <v/>
      </c>
      <c r="G2236" s="50" t="str">
        <f t="shared" si="173"/>
        <v/>
      </c>
      <c r="H2236" s="51" t="str">
        <f>IF($C2236="","",IFERROR(DATE(G2236,VLOOKUP(E2236,Paramètres!$K$11:$L$40,2,FALSE()),F2236),"?"))</f>
        <v/>
      </c>
      <c r="I2236" s="50" t="str">
        <f>IF(ISNUMBER(H2236),IF(COUNTIFS($D$2:D2236,D2236,$H$2:H2236,H2236)=1,1,0),"")</f>
        <v/>
      </c>
      <c r="J2236" s="50" t="str">
        <f>IF(ISNUMBER(H2236),IFERROR(INDEX(Calendrier!$C$2:$C$367,MATCH(H2236,Calendrier!$A$2:$A$367,0)),0),"")</f>
        <v/>
      </c>
      <c r="K2236" s="50" t="str">
        <f t="shared" si="174"/>
        <v/>
      </c>
      <c r="L2236" s="50" t="str">
        <f>IF(D2236="","",IF(COUNTIF(Paramètres!$A$11:$A$40,D2236)&gt;0,1,0))</f>
        <v/>
      </c>
    </row>
    <row r="2237" spans="1:12" hidden="1" x14ac:dyDescent="0.25">
      <c r="A2237" s="49"/>
      <c r="B2237" s="49"/>
      <c r="C2237" s="49"/>
      <c r="D2237" s="50" t="str">
        <f t="shared" si="170"/>
        <v/>
      </c>
      <c r="E2237" s="50" t="str">
        <f t="shared" si="171"/>
        <v/>
      </c>
      <c r="F2237" s="50" t="str">
        <f t="shared" si="172"/>
        <v/>
      </c>
      <c r="G2237" s="50" t="str">
        <f t="shared" si="173"/>
        <v/>
      </c>
      <c r="H2237" s="51" t="str">
        <f>IF($C2237="","",IFERROR(DATE(G2237,VLOOKUP(E2237,Paramètres!$K$11:$L$40,2,FALSE()),F2237),"?"))</f>
        <v/>
      </c>
      <c r="I2237" s="50" t="str">
        <f>IF(ISNUMBER(H2237),IF(COUNTIFS($D$2:D2237,D2237,$H$2:H2237,H2237)=1,1,0),"")</f>
        <v/>
      </c>
      <c r="J2237" s="50" t="str">
        <f>IF(ISNUMBER(H2237),IFERROR(INDEX(Calendrier!$C$2:$C$367,MATCH(H2237,Calendrier!$A$2:$A$367,0)),0),"")</f>
        <v/>
      </c>
      <c r="K2237" s="50" t="str">
        <f t="shared" si="174"/>
        <v/>
      </c>
      <c r="L2237" s="50" t="str">
        <f>IF(D2237="","",IF(COUNTIF(Paramètres!$A$11:$A$40,D2237)&gt;0,1,0))</f>
        <v/>
      </c>
    </row>
    <row r="2238" spans="1:12" hidden="1" x14ac:dyDescent="0.25">
      <c r="A2238" s="49"/>
      <c r="B2238" s="49"/>
      <c r="C2238" s="49"/>
      <c r="D2238" s="50" t="str">
        <f t="shared" si="170"/>
        <v/>
      </c>
      <c r="E2238" s="50" t="str">
        <f t="shared" si="171"/>
        <v/>
      </c>
      <c r="F2238" s="50" t="str">
        <f t="shared" si="172"/>
        <v/>
      </c>
      <c r="G2238" s="50" t="str">
        <f t="shared" si="173"/>
        <v/>
      </c>
      <c r="H2238" s="51" t="str">
        <f>IF($C2238="","",IFERROR(DATE(G2238,VLOOKUP(E2238,Paramètres!$K$11:$L$40,2,FALSE()),F2238),"?"))</f>
        <v/>
      </c>
      <c r="I2238" s="50" t="str">
        <f>IF(ISNUMBER(H2238),IF(COUNTIFS($D$2:D2238,D2238,$H$2:H2238,H2238)=1,1,0),"")</f>
        <v/>
      </c>
      <c r="J2238" s="50" t="str">
        <f>IF(ISNUMBER(H2238),IFERROR(INDEX(Calendrier!$C$2:$C$367,MATCH(H2238,Calendrier!$A$2:$A$367,0)),0),"")</f>
        <v/>
      </c>
      <c r="K2238" s="50" t="str">
        <f t="shared" si="174"/>
        <v/>
      </c>
      <c r="L2238" s="50" t="str">
        <f>IF(D2238="","",IF(COUNTIF(Paramètres!$A$11:$A$40,D2238)&gt;0,1,0))</f>
        <v/>
      </c>
    </row>
    <row r="2239" spans="1:12" hidden="1" x14ac:dyDescent="0.25">
      <c r="A2239" s="49"/>
      <c r="B2239" s="49"/>
      <c r="C2239" s="49"/>
      <c r="D2239" s="50" t="str">
        <f t="shared" si="170"/>
        <v/>
      </c>
      <c r="E2239" s="50" t="str">
        <f t="shared" si="171"/>
        <v/>
      </c>
      <c r="F2239" s="50" t="str">
        <f t="shared" si="172"/>
        <v/>
      </c>
      <c r="G2239" s="50" t="str">
        <f t="shared" si="173"/>
        <v/>
      </c>
      <c r="H2239" s="51" t="str">
        <f>IF($C2239="","",IFERROR(DATE(G2239,VLOOKUP(E2239,Paramètres!$K$11:$L$40,2,FALSE()),F2239),"?"))</f>
        <v/>
      </c>
      <c r="I2239" s="50" t="str">
        <f>IF(ISNUMBER(H2239),IF(COUNTIFS($D$2:D2239,D2239,$H$2:H2239,H2239)=1,1,0),"")</f>
        <v/>
      </c>
      <c r="J2239" s="50" t="str">
        <f>IF(ISNUMBER(H2239),IFERROR(INDEX(Calendrier!$C$2:$C$367,MATCH(H2239,Calendrier!$A$2:$A$367,0)),0),"")</f>
        <v/>
      </c>
      <c r="K2239" s="50" t="str">
        <f t="shared" si="174"/>
        <v/>
      </c>
      <c r="L2239" s="50" t="str">
        <f>IF(D2239="","",IF(COUNTIF(Paramètres!$A$11:$A$40,D2239)&gt;0,1,0))</f>
        <v/>
      </c>
    </row>
    <row r="2240" spans="1:12" hidden="1" x14ac:dyDescent="0.25">
      <c r="A2240" s="49"/>
      <c r="B2240" s="49"/>
      <c r="C2240" s="49"/>
      <c r="D2240" s="50" t="str">
        <f t="shared" si="170"/>
        <v/>
      </c>
      <c r="E2240" s="50" t="str">
        <f t="shared" si="171"/>
        <v/>
      </c>
      <c r="F2240" s="50" t="str">
        <f t="shared" si="172"/>
        <v/>
      </c>
      <c r="G2240" s="50" t="str">
        <f t="shared" si="173"/>
        <v/>
      </c>
      <c r="H2240" s="51" t="str">
        <f>IF($C2240="","",IFERROR(DATE(G2240,VLOOKUP(E2240,Paramètres!$K$11:$L$40,2,FALSE()),F2240),"?"))</f>
        <v/>
      </c>
      <c r="I2240" s="50" t="str">
        <f>IF(ISNUMBER(H2240),IF(COUNTIFS($D$2:D2240,D2240,$H$2:H2240,H2240)=1,1,0),"")</f>
        <v/>
      </c>
      <c r="J2240" s="50" t="str">
        <f>IF(ISNUMBER(H2240),IFERROR(INDEX(Calendrier!$C$2:$C$367,MATCH(H2240,Calendrier!$A$2:$A$367,0)),0),"")</f>
        <v/>
      </c>
      <c r="K2240" s="50" t="str">
        <f t="shared" si="174"/>
        <v/>
      </c>
      <c r="L2240" s="50" t="str">
        <f>IF(D2240="","",IF(COUNTIF(Paramètres!$A$11:$A$40,D2240)&gt;0,1,0))</f>
        <v/>
      </c>
    </row>
    <row r="2241" spans="1:12" hidden="1" x14ac:dyDescent="0.25">
      <c r="A2241" s="49"/>
      <c r="B2241" s="49"/>
      <c r="C2241" s="49"/>
      <c r="D2241" s="50" t="str">
        <f t="shared" si="170"/>
        <v/>
      </c>
      <c r="E2241" s="50" t="str">
        <f t="shared" si="171"/>
        <v/>
      </c>
      <c r="F2241" s="50" t="str">
        <f t="shared" si="172"/>
        <v/>
      </c>
      <c r="G2241" s="50" t="str">
        <f t="shared" si="173"/>
        <v/>
      </c>
      <c r="H2241" s="51" t="str">
        <f>IF($C2241="","",IFERROR(DATE(G2241,VLOOKUP(E2241,Paramètres!$K$11:$L$40,2,FALSE()),F2241),"?"))</f>
        <v/>
      </c>
      <c r="I2241" s="50" t="str">
        <f>IF(ISNUMBER(H2241),IF(COUNTIFS($D$2:D2241,D2241,$H$2:H2241,H2241)=1,1,0),"")</f>
        <v/>
      </c>
      <c r="J2241" s="50" t="str">
        <f>IF(ISNUMBER(H2241),IFERROR(INDEX(Calendrier!$C$2:$C$367,MATCH(H2241,Calendrier!$A$2:$A$367,0)),0),"")</f>
        <v/>
      </c>
      <c r="K2241" s="50" t="str">
        <f t="shared" si="174"/>
        <v/>
      </c>
      <c r="L2241" s="50" t="str">
        <f>IF(D2241="","",IF(COUNTIF(Paramètres!$A$11:$A$40,D2241)&gt;0,1,0))</f>
        <v/>
      </c>
    </row>
    <row r="2242" spans="1:12" hidden="1" x14ac:dyDescent="0.25">
      <c r="A2242" s="49"/>
      <c r="B2242" s="49"/>
      <c r="C2242" s="49"/>
      <c r="D2242" s="50" t="str">
        <f t="shared" ref="D2242:D2305" si="175">IF(B2242="","",TRIM(B2242))</f>
        <v/>
      </c>
      <c r="E2242" s="50" t="str">
        <f t="shared" ref="E2242:E2305" si="176">IF($C2242="","",LEFT($C2242,FIND(" ",$C2242)-1))</f>
        <v/>
      </c>
      <c r="F2242" s="50" t="str">
        <f t="shared" ref="F2242:F2305" si="177">IF($C2242="","",IFERROR(VALUE(LEFT(MID($C2242,FIND(" ",$C2242)+1,20),FIND(" ",MID($C2242,FIND(" ",$C2242)+1,20))-1)),"?"))</f>
        <v/>
      </c>
      <c r="G2242" s="50" t="str">
        <f t="shared" ref="G2242:G2305" si="178">IF($C2242="","",IFERROR(VALUE(MID(MID($C2242,FIND(" ",$C2242)+1,20),FIND(" ",MID($C2242,FIND(" ",$C2242)+1,20))+1,4)),"?"))</f>
        <v/>
      </c>
      <c r="H2242" s="51" t="str">
        <f>IF($C2242="","",IFERROR(DATE(G2242,VLOOKUP(E2242,Paramètres!$K$11:$L$40,2,FALSE()),F2242),"?"))</f>
        <v/>
      </c>
      <c r="I2242" s="50" t="str">
        <f>IF(ISNUMBER(H2242),IF(COUNTIFS($D$2:D2242,D2242,$H$2:H2242,H2242)=1,1,0),"")</f>
        <v/>
      </c>
      <c r="J2242" s="50" t="str">
        <f>IF(ISNUMBER(H2242),IFERROR(INDEX(Calendrier!$C$2:$C$367,MATCH(H2242,Calendrier!$A$2:$A$367,0)),0),"")</f>
        <v/>
      </c>
      <c r="K2242" s="50" t="str">
        <f t="shared" ref="K2242:K2305" si="179">IF(ISNUMBER(H2242),I2242*J2242,"")</f>
        <v/>
      </c>
      <c r="L2242" s="50" t="str">
        <f>IF(D2242="","",IF(COUNTIF(Paramètres!$A$11:$A$40,D2242)&gt;0,1,0))</f>
        <v/>
      </c>
    </row>
    <row r="2243" spans="1:12" hidden="1" x14ac:dyDescent="0.25">
      <c r="A2243" s="49"/>
      <c r="B2243" s="49"/>
      <c r="C2243" s="49"/>
      <c r="D2243" s="50" t="str">
        <f t="shared" si="175"/>
        <v/>
      </c>
      <c r="E2243" s="50" t="str">
        <f t="shared" si="176"/>
        <v/>
      </c>
      <c r="F2243" s="50" t="str">
        <f t="shared" si="177"/>
        <v/>
      </c>
      <c r="G2243" s="50" t="str">
        <f t="shared" si="178"/>
        <v/>
      </c>
      <c r="H2243" s="51" t="str">
        <f>IF($C2243="","",IFERROR(DATE(G2243,VLOOKUP(E2243,Paramètres!$K$11:$L$40,2,FALSE()),F2243),"?"))</f>
        <v/>
      </c>
      <c r="I2243" s="50" t="str">
        <f>IF(ISNUMBER(H2243),IF(COUNTIFS($D$2:D2243,D2243,$H$2:H2243,H2243)=1,1,0),"")</f>
        <v/>
      </c>
      <c r="J2243" s="50" t="str">
        <f>IF(ISNUMBER(H2243),IFERROR(INDEX(Calendrier!$C$2:$C$367,MATCH(H2243,Calendrier!$A$2:$A$367,0)),0),"")</f>
        <v/>
      </c>
      <c r="K2243" s="50" t="str">
        <f t="shared" si="179"/>
        <v/>
      </c>
      <c r="L2243" s="50" t="str">
        <f>IF(D2243="","",IF(COUNTIF(Paramètres!$A$11:$A$40,D2243)&gt;0,1,0))</f>
        <v/>
      </c>
    </row>
    <row r="2244" spans="1:12" hidden="1" x14ac:dyDescent="0.25">
      <c r="A2244" s="49"/>
      <c r="B2244" s="49"/>
      <c r="C2244" s="49"/>
      <c r="D2244" s="50" t="str">
        <f t="shared" si="175"/>
        <v/>
      </c>
      <c r="E2244" s="50" t="str">
        <f t="shared" si="176"/>
        <v/>
      </c>
      <c r="F2244" s="50" t="str">
        <f t="shared" si="177"/>
        <v/>
      </c>
      <c r="G2244" s="50" t="str">
        <f t="shared" si="178"/>
        <v/>
      </c>
      <c r="H2244" s="51" t="str">
        <f>IF($C2244="","",IFERROR(DATE(G2244,VLOOKUP(E2244,Paramètres!$K$11:$L$40,2,FALSE()),F2244),"?"))</f>
        <v/>
      </c>
      <c r="I2244" s="50" t="str">
        <f>IF(ISNUMBER(H2244),IF(COUNTIFS($D$2:D2244,D2244,$H$2:H2244,H2244)=1,1,0),"")</f>
        <v/>
      </c>
      <c r="J2244" s="50" t="str">
        <f>IF(ISNUMBER(H2244),IFERROR(INDEX(Calendrier!$C$2:$C$367,MATCH(H2244,Calendrier!$A$2:$A$367,0)),0),"")</f>
        <v/>
      </c>
      <c r="K2244" s="50" t="str">
        <f t="shared" si="179"/>
        <v/>
      </c>
      <c r="L2244" s="50" t="str">
        <f>IF(D2244="","",IF(COUNTIF(Paramètres!$A$11:$A$40,D2244)&gt;0,1,0))</f>
        <v/>
      </c>
    </row>
    <row r="2245" spans="1:12" hidden="1" x14ac:dyDescent="0.25">
      <c r="A2245" s="49"/>
      <c r="B2245" s="49"/>
      <c r="C2245" s="49"/>
      <c r="D2245" s="50" t="str">
        <f t="shared" si="175"/>
        <v/>
      </c>
      <c r="E2245" s="50" t="str">
        <f t="shared" si="176"/>
        <v/>
      </c>
      <c r="F2245" s="50" t="str">
        <f t="shared" si="177"/>
        <v/>
      </c>
      <c r="G2245" s="50" t="str">
        <f t="shared" si="178"/>
        <v/>
      </c>
      <c r="H2245" s="51" t="str">
        <f>IF($C2245="","",IFERROR(DATE(G2245,VLOOKUP(E2245,Paramètres!$K$11:$L$40,2,FALSE()),F2245),"?"))</f>
        <v/>
      </c>
      <c r="I2245" s="50" t="str">
        <f>IF(ISNUMBER(H2245),IF(COUNTIFS($D$2:D2245,D2245,$H$2:H2245,H2245)=1,1,0),"")</f>
        <v/>
      </c>
      <c r="J2245" s="50" t="str">
        <f>IF(ISNUMBER(H2245),IFERROR(INDEX(Calendrier!$C$2:$C$367,MATCH(H2245,Calendrier!$A$2:$A$367,0)),0),"")</f>
        <v/>
      </c>
      <c r="K2245" s="50" t="str">
        <f t="shared" si="179"/>
        <v/>
      </c>
      <c r="L2245" s="50" t="str">
        <f>IF(D2245="","",IF(COUNTIF(Paramètres!$A$11:$A$40,D2245)&gt;0,1,0))</f>
        <v/>
      </c>
    </row>
    <row r="2246" spans="1:12" hidden="1" x14ac:dyDescent="0.25">
      <c r="A2246" s="49"/>
      <c r="B2246" s="49"/>
      <c r="C2246" s="49"/>
      <c r="D2246" s="50" t="str">
        <f t="shared" si="175"/>
        <v/>
      </c>
      <c r="E2246" s="50" t="str">
        <f t="shared" si="176"/>
        <v/>
      </c>
      <c r="F2246" s="50" t="str">
        <f t="shared" si="177"/>
        <v/>
      </c>
      <c r="G2246" s="50" t="str">
        <f t="shared" si="178"/>
        <v/>
      </c>
      <c r="H2246" s="51" t="str">
        <f>IF($C2246="","",IFERROR(DATE(G2246,VLOOKUP(E2246,Paramètres!$K$11:$L$40,2,FALSE()),F2246),"?"))</f>
        <v/>
      </c>
      <c r="I2246" s="50" t="str">
        <f>IF(ISNUMBER(H2246),IF(COUNTIFS($D$2:D2246,D2246,$H$2:H2246,H2246)=1,1,0),"")</f>
        <v/>
      </c>
      <c r="J2246" s="50" t="str">
        <f>IF(ISNUMBER(H2246),IFERROR(INDEX(Calendrier!$C$2:$C$367,MATCH(H2246,Calendrier!$A$2:$A$367,0)),0),"")</f>
        <v/>
      </c>
      <c r="K2246" s="50" t="str">
        <f t="shared" si="179"/>
        <v/>
      </c>
      <c r="L2246" s="50" t="str">
        <f>IF(D2246="","",IF(COUNTIF(Paramètres!$A$11:$A$40,D2246)&gt;0,1,0))</f>
        <v/>
      </c>
    </row>
    <row r="2247" spans="1:12" hidden="1" x14ac:dyDescent="0.25">
      <c r="A2247" s="49"/>
      <c r="B2247" s="49"/>
      <c r="C2247" s="49"/>
      <c r="D2247" s="50" t="str">
        <f t="shared" si="175"/>
        <v/>
      </c>
      <c r="E2247" s="50" t="str">
        <f t="shared" si="176"/>
        <v/>
      </c>
      <c r="F2247" s="50" t="str">
        <f t="shared" si="177"/>
        <v/>
      </c>
      <c r="G2247" s="50" t="str">
        <f t="shared" si="178"/>
        <v/>
      </c>
      <c r="H2247" s="51" t="str">
        <f>IF($C2247="","",IFERROR(DATE(G2247,VLOOKUP(E2247,Paramètres!$K$11:$L$40,2,FALSE()),F2247),"?"))</f>
        <v/>
      </c>
      <c r="I2247" s="50" t="str">
        <f>IF(ISNUMBER(H2247),IF(COUNTIFS($D$2:D2247,D2247,$H$2:H2247,H2247)=1,1,0),"")</f>
        <v/>
      </c>
      <c r="J2247" s="50" t="str">
        <f>IF(ISNUMBER(H2247),IFERROR(INDEX(Calendrier!$C$2:$C$367,MATCH(H2247,Calendrier!$A$2:$A$367,0)),0),"")</f>
        <v/>
      </c>
      <c r="K2247" s="50" t="str">
        <f t="shared" si="179"/>
        <v/>
      </c>
      <c r="L2247" s="50" t="str">
        <f>IF(D2247="","",IF(COUNTIF(Paramètres!$A$11:$A$40,D2247)&gt;0,1,0))</f>
        <v/>
      </c>
    </row>
    <row r="2248" spans="1:12" hidden="1" x14ac:dyDescent="0.25">
      <c r="A2248" s="49"/>
      <c r="B2248" s="49"/>
      <c r="C2248" s="49"/>
      <c r="D2248" s="50" t="str">
        <f t="shared" si="175"/>
        <v/>
      </c>
      <c r="E2248" s="50" t="str">
        <f t="shared" si="176"/>
        <v/>
      </c>
      <c r="F2248" s="50" t="str">
        <f t="shared" si="177"/>
        <v/>
      </c>
      <c r="G2248" s="50" t="str">
        <f t="shared" si="178"/>
        <v/>
      </c>
      <c r="H2248" s="51" t="str">
        <f>IF($C2248="","",IFERROR(DATE(G2248,VLOOKUP(E2248,Paramètres!$K$11:$L$40,2,FALSE()),F2248),"?"))</f>
        <v/>
      </c>
      <c r="I2248" s="50" t="str">
        <f>IF(ISNUMBER(H2248),IF(COUNTIFS($D$2:D2248,D2248,$H$2:H2248,H2248)=1,1,0),"")</f>
        <v/>
      </c>
      <c r="J2248" s="50" t="str">
        <f>IF(ISNUMBER(H2248),IFERROR(INDEX(Calendrier!$C$2:$C$367,MATCH(H2248,Calendrier!$A$2:$A$367,0)),0),"")</f>
        <v/>
      </c>
      <c r="K2248" s="50" t="str">
        <f t="shared" si="179"/>
        <v/>
      </c>
      <c r="L2248" s="50" t="str">
        <f>IF(D2248="","",IF(COUNTIF(Paramètres!$A$11:$A$40,D2248)&gt;0,1,0))</f>
        <v/>
      </c>
    </row>
    <row r="2249" spans="1:12" hidden="1" x14ac:dyDescent="0.25">
      <c r="A2249" s="49"/>
      <c r="B2249" s="49"/>
      <c r="C2249" s="49"/>
      <c r="D2249" s="50" t="str">
        <f t="shared" si="175"/>
        <v/>
      </c>
      <c r="E2249" s="50" t="str">
        <f t="shared" si="176"/>
        <v/>
      </c>
      <c r="F2249" s="50" t="str">
        <f t="shared" si="177"/>
        <v/>
      </c>
      <c r="G2249" s="50" t="str">
        <f t="shared" si="178"/>
        <v/>
      </c>
      <c r="H2249" s="51" t="str">
        <f>IF($C2249="","",IFERROR(DATE(G2249,VLOOKUP(E2249,Paramètres!$K$11:$L$40,2,FALSE()),F2249),"?"))</f>
        <v/>
      </c>
      <c r="I2249" s="50" t="str">
        <f>IF(ISNUMBER(H2249),IF(COUNTIFS($D$2:D2249,D2249,$H$2:H2249,H2249)=1,1,0),"")</f>
        <v/>
      </c>
      <c r="J2249" s="50" t="str">
        <f>IF(ISNUMBER(H2249),IFERROR(INDEX(Calendrier!$C$2:$C$367,MATCH(H2249,Calendrier!$A$2:$A$367,0)),0),"")</f>
        <v/>
      </c>
      <c r="K2249" s="50" t="str">
        <f t="shared" si="179"/>
        <v/>
      </c>
      <c r="L2249" s="50" t="str">
        <f>IF(D2249="","",IF(COUNTIF(Paramètres!$A$11:$A$40,D2249)&gt;0,1,0))</f>
        <v/>
      </c>
    </row>
    <row r="2250" spans="1:12" hidden="1" x14ac:dyDescent="0.25">
      <c r="A2250" s="49"/>
      <c r="B2250" s="49"/>
      <c r="C2250" s="49"/>
      <c r="D2250" s="50" t="str">
        <f t="shared" si="175"/>
        <v/>
      </c>
      <c r="E2250" s="50" t="str">
        <f t="shared" si="176"/>
        <v/>
      </c>
      <c r="F2250" s="50" t="str">
        <f t="shared" si="177"/>
        <v/>
      </c>
      <c r="G2250" s="50" t="str">
        <f t="shared" si="178"/>
        <v/>
      </c>
      <c r="H2250" s="51" t="str">
        <f>IF($C2250="","",IFERROR(DATE(G2250,VLOOKUP(E2250,Paramètres!$K$11:$L$40,2,FALSE()),F2250),"?"))</f>
        <v/>
      </c>
      <c r="I2250" s="50" t="str">
        <f>IF(ISNUMBER(H2250),IF(COUNTIFS($D$2:D2250,D2250,$H$2:H2250,H2250)=1,1,0),"")</f>
        <v/>
      </c>
      <c r="J2250" s="50" t="str">
        <f>IF(ISNUMBER(H2250),IFERROR(INDEX(Calendrier!$C$2:$C$367,MATCH(H2250,Calendrier!$A$2:$A$367,0)),0),"")</f>
        <v/>
      </c>
      <c r="K2250" s="50" t="str">
        <f t="shared" si="179"/>
        <v/>
      </c>
      <c r="L2250" s="50" t="str">
        <f>IF(D2250="","",IF(COUNTIF(Paramètres!$A$11:$A$40,D2250)&gt;0,1,0))</f>
        <v/>
      </c>
    </row>
    <row r="2251" spans="1:12" hidden="1" x14ac:dyDescent="0.25">
      <c r="A2251" s="49"/>
      <c r="B2251" s="49"/>
      <c r="C2251" s="49"/>
      <c r="D2251" s="50" t="str">
        <f t="shared" si="175"/>
        <v/>
      </c>
      <c r="E2251" s="50" t="str">
        <f t="shared" si="176"/>
        <v/>
      </c>
      <c r="F2251" s="50" t="str">
        <f t="shared" si="177"/>
        <v/>
      </c>
      <c r="G2251" s="50" t="str">
        <f t="shared" si="178"/>
        <v/>
      </c>
      <c r="H2251" s="51" t="str">
        <f>IF($C2251="","",IFERROR(DATE(G2251,VLOOKUP(E2251,Paramètres!$K$11:$L$40,2,FALSE()),F2251),"?"))</f>
        <v/>
      </c>
      <c r="I2251" s="50" t="str">
        <f>IF(ISNUMBER(H2251),IF(COUNTIFS($D$2:D2251,D2251,$H$2:H2251,H2251)=1,1,0),"")</f>
        <v/>
      </c>
      <c r="J2251" s="50" t="str">
        <f>IF(ISNUMBER(H2251),IFERROR(INDEX(Calendrier!$C$2:$C$367,MATCH(H2251,Calendrier!$A$2:$A$367,0)),0),"")</f>
        <v/>
      </c>
      <c r="K2251" s="50" t="str">
        <f t="shared" si="179"/>
        <v/>
      </c>
      <c r="L2251" s="50" t="str">
        <f>IF(D2251="","",IF(COUNTIF(Paramètres!$A$11:$A$40,D2251)&gt;0,1,0))</f>
        <v/>
      </c>
    </row>
    <row r="2252" spans="1:12" hidden="1" x14ac:dyDescent="0.25">
      <c r="A2252" s="49"/>
      <c r="B2252" s="49"/>
      <c r="C2252" s="49"/>
      <c r="D2252" s="50" t="str">
        <f t="shared" si="175"/>
        <v/>
      </c>
      <c r="E2252" s="50" t="str">
        <f t="shared" si="176"/>
        <v/>
      </c>
      <c r="F2252" s="50" t="str">
        <f t="shared" si="177"/>
        <v/>
      </c>
      <c r="G2252" s="50" t="str">
        <f t="shared" si="178"/>
        <v/>
      </c>
      <c r="H2252" s="51" t="str">
        <f>IF($C2252="","",IFERROR(DATE(G2252,VLOOKUP(E2252,Paramètres!$K$11:$L$40,2,FALSE()),F2252),"?"))</f>
        <v/>
      </c>
      <c r="I2252" s="50" t="str">
        <f>IF(ISNUMBER(H2252),IF(COUNTIFS($D$2:D2252,D2252,$H$2:H2252,H2252)=1,1,0),"")</f>
        <v/>
      </c>
      <c r="J2252" s="50" t="str">
        <f>IF(ISNUMBER(H2252),IFERROR(INDEX(Calendrier!$C$2:$C$367,MATCH(H2252,Calendrier!$A$2:$A$367,0)),0),"")</f>
        <v/>
      </c>
      <c r="K2252" s="50" t="str">
        <f t="shared" si="179"/>
        <v/>
      </c>
      <c r="L2252" s="50" t="str">
        <f>IF(D2252="","",IF(COUNTIF(Paramètres!$A$11:$A$40,D2252)&gt;0,1,0))</f>
        <v/>
      </c>
    </row>
    <row r="2253" spans="1:12" hidden="1" x14ac:dyDescent="0.25">
      <c r="A2253" s="49"/>
      <c r="B2253" s="49"/>
      <c r="C2253" s="49"/>
      <c r="D2253" s="50" t="str">
        <f t="shared" si="175"/>
        <v/>
      </c>
      <c r="E2253" s="50" t="str">
        <f t="shared" si="176"/>
        <v/>
      </c>
      <c r="F2253" s="50" t="str">
        <f t="shared" si="177"/>
        <v/>
      </c>
      <c r="G2253" s="50" t="str">
        <f t="shared" si="178"/>
        <v/>
      </c>
      <c r="H2253" s="51" t="str">
        <f>IF($C2253="","",IFERROR(DATE(G2253,VLOOKUP(E2253,Paramètres!$K$11:$L$40,2,FALSE()),F2253),"?"))</f>
        <v/>
      </c>
      <c r="I2253" s="50" t="str">
        <f>IF(ISNUMBER(H2253),IF(COUNTIFS($D$2:D2253,D2253,$H$2:H2253,H2253)=1,1,0),"")</f>
        <v/>
      </c>
      <c r="J2253" s="50" t="str">
        <f>IF(ISNUMBER(H2253),IFERROR(INDEX(Calendrier!$C$2:$C$367,MATCH(H2253,Calendrier!$A$2:$A$367,0)),0),"")</f>
        <v/>
      </c>
      <c r="K2253" s="50" t="str">
        <f t="shared" si="179"/>
        <v/>
      </c>
      <c r="L2253" s="50" t="str">
        <f>IF(D2253="","",IF(COUNTIF(Paramètres!$A$11:$A$40,D2253)&gt;0,1,0))</f>
        <v/>
      </c>
    </row>
    <row r="2254" spans="1:12" hidden="1" x14ac:dyDescent="0.25">
      <c r="A2254" s="49"/>
      <c r="B2254" s="49"/>
      <c r="C2254" s="49"/>
      <c r="D2254" s="50" t="str">
        <f t="shared" si="175"/>
        <v/>
      </c>
      <c r="E2254" s="50" t="str">
        <f t="shared" si="176"/>
        <v/>
      </c>
      <c r="F2254" s="50" t="str">
        <f t="shared" si="177"/>
        <v/>
      </c>
      <c r="G2254" s="50" t="str">
        <f t="shared" si="178"/>
        <v/>
      </c>
      <c r="H2254" s="51" t="str">
        <f>IF($C2254="","",IFERROR(DATE(G2254,VLOOKUP(E2254,Paramètres!$K$11:$L$40,2,FALSE()),F2254),"?"))</f>
        <v/>
      </c>
      <c r="I2254" s="50" t="str">
        <f>IF(ISNUMBER(H2254),IF(COUNTIFS($D$2:D2254,D2254,$H$2:H2254,H2254)=1,1,0),"")</f>
        <v/>
      </c>
      <c r="J2254" s="50" t="str">
        <f>IF(ISNUMBER(H2254),IFERROR(INDEX(Calendrier!$C$2:$C$367,MATCH(H2254,Calendrier!$A$2:$A$367,0)),0),"")</f>
        <v/>
      </c>
      <c r="K2254" s="50" t="str">
        <f t="shared" si="179"/>
        <v/>
      </c>
      <c r="L2254" s="50" t="str">
        <f>IF(D2254="","",IF(COUNTIF(Paramètres!$A$11:$A$40,D2254)&gt;0,1,0))</f>
        <v/>
      </c>
    </row>
    <row r="2255" spans="1:12" hidden="1" x14ac:dyDescent="0.25">
      <c r="A2255" s="49"/>
      <c r="B2255" s="49"/>
      <c r="C2255" s="49"/>
      <c r="D2255" s="50" t="str">
        <f t="shared" si="175"/>
        <v/>
      </c>
      <c r="E2255" s="50" t="str">
        <f t="shared" si="176"/>
        <v/>
      </c>
      <c r="F2255" s="50" t="str">
        <f t="shared" si="177"/>
        <v/>
      </c>
      <c r="G2255" s="50" t="str">
        <f t="shared" si="178"/>
        <v/>
      </c>
      <c r="H2255" s="51" t="str">
        <f>IF($C2255="","",IFERROR(DATE(G2255,VLOOKUP(E2255,Paramètres!$K$11:$L$40,2,FALSE()),F2255),"?"))</f>
        <v/>
      </c>
      <c r="I2255" s="50" t="str">
        <f>IF(ISNUMBER(H2255),IF(COUNTIFS($D$2:D2255,D2255,$H$2:H2255,H2255)=1,1,0),"")</f>
        <v/>
      </c>
      <c r="J2255" s="50" t="str">
        <f>IF(ISNUMBER(H2255),IFERROR(INDEX(Calendrier!$C$2:$C$367,MATCH(H2255,Calendrier!$A$2:$A$367,0)),0),"")</f>
        <v/>
      </c>
      <c r="K2255" s="50" t="str">
        <f t="shared" si="179"/>
        <v/>
      </c>
      <c r="L2255" s="50" t="str">
        <f>IF(D2255="","",IF(COUNTIF(Paramètres!$A$11:$A$40,D2255)&gt;0,1,0))</f>
        <v/>
      </c>
    </row>
    <row r="2256" spans="1:12" hidden="1" x14ac:dyDescent="0.25">
      <c r="A2256" s="49"/>
      <c r="B2256" s="49"/>
      <c r="C2256" s="49"/>
      <c r="D2256" s="50" t="str">
        <f t="shared" si="175"/>
        <v/>
      </c>
      <c r="E2256" s="50" t="str">
        <f t="shared" si="176"/>
        <v/>
      </c>
      <c r="F2256" s="50" t="str">
        <f t="shared" si="177"/>
        <v/>
      </c>
      <c r="G2256" s="50" t="str">
        <f t="shared" si="178"/>
        <v/>
      </c>
      <c r="H2256" s="51" t="str">
        <f>IF($C2256="","",IFERROR(DATE(G2256,VLOOKUP(E2256,Paramètres!$K$11:$L$40,2,FALSE()),F2256),"?"))</f>
        <v/>
      </c>
      <c r="I2256" s="50" t="str">
        <f>IF(ISNUMBER(H2256),IF(COUNTIFS($D$2:D2256,D2256,$H$2:H2256,H2256)=1,1,0),"")</f>
        <v/>
      </c>
      <c r="J2256" s="50" t="str">
        <f>IF(ISNUMBER(H2256),IFERROR(INDEX(Calendrier!$C$2:$C$367,MATCH(H2256,Calendrier!$A$2:$A$367,0)),0),"")</f>
        <v/>
      </c>
      <c r="K2256" s="50" t="str">
        <f t="shared" si="179"/>
        <v/>
      </c>
      <c r="L2256" s="50" t="str">
        <f>IF(D2256="","",IF(COUNTIF(Paramètres!$A$11:$A$40,D2256)&gt;0,1,0))</f>
        <v/>
      </c>
    </row>
    <row r="2257" spans="1:12" hidden="1" x14ac:dyDescent="0.25">
      <c r="A2257" s="49"/>
      <c r="B2257" s="49"/>
      <c r="C2257" s="49"/>
      <c r="D2257" s="50" t="str">
        <f t="shared" si="175"/>
        <v/>
      </c>
      <c r="E2257" s="50" t="str">
        <f t="shared" si="176"/>
        <v/>
      </c>
      <c r="F2257" s="50" t="str">
        <f t="shared" si="177"/>
        <v/>
      </c>
      <c r="G2257" s="50" t="str">
        <f t="shared" si="178"/>
        <v/>
      </c>
      <c r="H2257" s="51" t="str">
        <f>IF($C2257="","",IFERROR(DATE(G2257,VLOOKUP(E2257,Paramètres!$K$11:$L$40,2,FALSE()),F2257),"?"))</f>
        <v/>
      </c>
      <c r="I2257" s="50" t="str">
        <f>IF(ISNUMBER(H2257),IF(COUNTIFS($D$2:D2257,D2257,$H$2:H2257,H2257)=1,1,0),"")</f>
        <v/>
      </c>
      <c r="J2257" s="50" t="str">
        <f>IF(ISNUMBER(H2257),IFERROR(INDEX(Calendrier!$C$2:$C$367,MATCH(H2257,Calendrier!$A$2:$A$367,0)),0),"")</f>
        <v/>
      </c>
      <c r="K2257" s="50" t="str">
        <f t="shared" si="179"/>
        <v/>
      </c>
      <c r="L2257" s="50" t="str">
        <f>IF(D2257="","",IF(COUNTIF(Paramètres!$A$11:$A$40,D2257)&gt;0,1,0))</f>
        <v/>
      </c>
    </row>
    <row r="2258" spans="1:12" hidden="1" x14ac:dyDescent="0.25">
      <c r="A2258" s="49"/>
      <c r="B2258" s="49"/>
      <c r="C2258" s="49"/>
      <c r="D2258" s="50" t="str">
        <f t="shared" si="175"/>
        <v/>
      </c>
      <c r="E2258" s="50" t="str">
        <f t="shared" si="176"/>
        <v/>
      </c>
      <c r="F2258" s="50" t="str">
        <f t="shared" si="177"/>
        <v/>
      </c>
      <c r="G2258" s="50" t="str">
        <f t="shared" si="178"/>
        <v/>
      </c>
      <c r="H2258" s="51" t="str">
        <f>IF($C2258="","",IFERROR(DATE(G2258,VLOOKUP(E2258,Paramètres!$K$11:$L$40,2,FALSE()),F2258),"?"))</f>
        <v/>
      </c>
      <c r="I2258" s="50" t="str">
        <f>IF(ISNUMBER(H2258),IF(COUNTIFS($D$2:D2258,D2258,$H$2:H2258,H2258)=1,1,0),"")</f>
        <v/>
      </c>
      <c r="J2258" s="50" t="str">
        <f>IF(ISNUMBER(H2258),IFERROR(INDEX(Calendrier!$C$2:$C$367,MATCH(H2258,Calendrier!$A$2:$A$367,0)),0),"")</f>
        <v/>
      </c>
      <c r="K2258" s="50" t="str">
        <f t="shared" si="179"/>
        <v/>
      </c>
      <c r="L2258" s="50" t="str">
        <f>IF(D2258="","",IF(COUNTIF(Paramètres!$A$11:$A$40,D2258)&gt;0,1,0))</f>
        <v/>
      </c>
    </row>
    <row r="2259" spans="1:12" hidden="1" x14ac:dyDescent="0.25">
      <c r="A2259" s="49"/>
      <c r="B2259" s="49"/>
      <c r="C2259" s="49"/>
      <c r="D2259" s="50" t="str">
        <f t="shared" si="175"/>
        <v/>
      </c>
      <c r="E2259" s="50" t="str">
        <f t="shared" si="176"/>
        <v/>
      </c>
      <c r="F2259" s="50" t="str">
        <f t="shared" si="177"/>
        <v/>
      </c>
      <c r="G2259" s="50" t="str">
        <f t="shared" si="178"/>
        <v/>
      </c>
      <c r="H2259" s="51" t="str">
        <f>IF($C2259="","",IFERROR(DATE(G2259,VLOOKUP(E2259,Paramètres!$K$11:$L$40,2,FALSE()),F2259),"?"))</f>
        <v/>
      </c>
      <c r="I2259" s="50" t="str">
        <f>IF(ISNUMBER(H2259),IF(COUNTIFS($D$2:D2259,D2259,$H$2:H2259,H2259)=1,1,0),"")</f>
        <v/>
      </c>
      <c r="J2259" s="50" t="str">
        <f>IF(ISNUMBER(H2259),IFERROR(INDEX(Calendrier!$C$2:$C$367,MATCH(H2259,Calendrier!$A$2:$A$367,0)),0),"")</f>
        <v/>
      </c>
      <c r="K2259" s="50" t="str">
        <f t="shared" si="179"/>
        <v/>
      </c>
      <c r="L2259" s="50" t="str">
        <f>IF(D2259="","",IF(COUNTIF(Paramètres!$A$11:$A$40,D2259)&gt;0,1,0))</f>
        <v/>
      </c>
    </row>
    <row r="2260" spans="1:12" hidden="1" x14ac:dyDescent="0.25">
      <c r="A2260" s="49"/>
      <c r="B2260" s="49"/>
      <c r="C2260" s="49"/>
      <c r="D2260" s="50" t="str">
        <f t="shared" si="175"/>
        <v/>
      </c>
      <c r="E2260" s="50" t="str">
        <f t="shared" si="176"/>
        <v/>
      </c>
      <c r="F2260" s="50" t="str">
        <f t="shared" si="177"/>
        <v/>
      </c>
      <c r="G2260" s="50" t="str">
        <f t="shared" si="178"/>
        <v/>
      </c>
      <c r="H2260" s="51" t="str">
        <f>IF($C2260="","",IFERROR(DATE(G2260,VLOOKUP(E2260,Paramètres!$K$11:$L$40,2,FALSE()),F2260),"?"))</f>
        <v/>
      </c>
      <c r="I2260" s="50" t="str">
        <f>IF(ISNUMBER(H2260),IF(COUNTIFS($D$2:D2260,D2260,$H$2:H2260,H2260)=1,1,0),"")</f>
        <v/>
      </c>
      <c r="J2260" s="50" t="str">
        <f>IF(ISNUMBER(H2260),IFERROR(INDEX(Calendrier!$C$2:$C$367,MATCH(H2260,Calendrier!$A$2:$A$367,0)),0),"")</f>
        <v/>
      </c>
      <c r="K2260" s="50" t="str">
        <f t="shared" si="179"/>
        <v/>
      </c>
      <c r="L2260" s="50" t="str">
        <f>IF(D2260="","",IF(COUNTIF(Paramètres!$A$11:$A$40,D2260)&gt;0,1,0))</f>
        <v/>
      </c>
    </row>
    <row r="2261" spans="1:12" hidden="1" x14ac:dyDescent="0.25">
      <c r="A2261" s="49"/>
      <c r="B2261" s="49"/>
      <c r="C2261" s="49"/>
      <c r="D2261" s="50" t="str">
        <f t="shared" si="175"/>
        <v/>
      </c>
      <c r="E2261" s="50" t="str">
        <f t="shared" si="176"/>
        <v/>
      </c>
      <c r="F2261" s="50" t="str">
        <f t="shared" si="177"/>
        <v/>
      </c>
      <c r="G2261" s="50" t="str">
        <f t="shared" si="178"/>
        <v/>
      </c>
      <c r="H2261" s="51" t="str">
        <f>IF($C2261="","",IFERROR(DATE(G2261,VLOOKUP(E2261,Paramètres!$K$11:$L$40,2,FALSE()),F2261),"?"))</f>
        <v/>
      </c>
      <c r="I2261" s="50" t="str">
        <f>IF(ISNUMBER(H2261),IF(COUNTIFS($D$2:D2261,D2261,$H$2:H2261,H2261)=1,1,0),"")</f>
        <v/>
      </c>
      <c r="J2261" s="50" t="str">
        <f>IF(ISNUMBER(H2261),IFERROR(INDEX(Calendrier!$C$2:$C$367,MATCH(H2261,Calendrier!$A$2:$A$367,0)),0),"")</f>
        <v/>
      </c>
      <c r="K2261" s="50" t="str">
        <f t="shared" si="179"/>
        <v/>
      </c>
      <c r="L2261" s="50" t="str">
        <f>IF(D2261="","",IF(COUNTIF(Paramètres!$A$11:$A$40,D2261)&gt;0,1,0))</f>
        <v/>
      </c>
    </row>
    <row r="2262" spans="1:12" hidden="1" x14ac:dyDescent="0.25">
      <c r="A2262" s="49"/>
      <c r="B2262" s="49"/>
      <c r="C2262" s="49"/>
      <c r="D2262" s="50" t="str">
        <f t="shared" si="175"/>
        <v/>
      </c>
      <c r="E2262" s="50" t="str">
        <f t="shared" si="176"/>
        <v/>
      </c>
      <c r="F2262" s="50" t="str">
        <f t="shared" si="177"/>
        <v/>
      </c>
      <c r="G2262" s="50" t="str">
        <f t="shared" si="178"/>
        <v/>
      </c>
      <c r="H2262" s="51" t="str">
        <f>IF($C2262="","",IFERROR(DATE(G2262,VLOOKUP(E2262,Paramètres!$K$11:$L$40,2,FALSE()),F2262),"?"))</f>
        <v/>
      </c>
      <c r="I2262" s="50" t="str">
        <f>IF(ISNUMBER(H2262),IF(COUNTIFS($D$2:D2262,D2262,$H$2:H2262,H2262)=1,1,0),"")</f>
        <v/>
      </c>
      <c r="J2262" s="50" t="str">
        <f>IF(ISNUMBER(H2262),IFERROR(INDEX(Calendrier!$C$2:$C$367,MATCH(H2262,Calendrier!$A$2:$A$367,0)),0),"")</f>
        <v/>
      </c>
      <c r="K2262" s="50" t="str">
        <f t="shared" si="179"/>
        <v/>
      </c>
      <c r="L2262" s="50" t="str">
        <f>IF(D2262="","",IF(COUNTIF(Paramètres!$A$11:$A$40,D2262)&gt;0,1,0))</f>
        <v/>
      </c>
    </row>
    <row r="2263" spans="1:12" hidden="1" x14ac:dyDescent="0.25">
      <c r="A2263" s="49"/>
      <c r="B2263" s="49"/>
      <c r="C2263" s="49"/>
      <c r="D2263" s="50" t="str">
        <f t="shared" si="175"/>
        <v/>
      </c>
      <c r="E2263" s="50" t="str">
        <f t="shared" si="176"/>
        <v/>
      </c>
      <c r="F2263" s="50" t="str">
        <f t="shared" si="177"/>
        <v/>
      </c>
      <c r="G2263" s="50" t="str">
        <f t="shared" si="178"/>
        <v/>
      </c>
      <c r="H2263" s="51" t="str">
        <f>IF($C2263="","",IFERROR(DATE(G2263,VLOOKUP(E2263,Paramètres!$K$11:$L$40,2,FALSE()),F2263),"?"))</f>
        <v/>
      </c>
      <c r="I2263" s="50" t="str">
        <f>IF(ISNUMBER(H2263),IF(COUNTIFS($D$2:D2263,D2263,$H$2:H2263,H2263)=1,1,0),"")</f>
        <v/>
      </c>
      <c r="J2263" s="50" t="str">
        <f>IF(ISNUMBER(H2263),IFERROR(INDEX(Calendrier!$C$2:$C$367,MATCH(H2263,Calendrier!$A$2:$A$367,0)),0),"")</f>
        <v/>
      </c>
      <c r="K2263" s="50" t="str">
        <f t="shared" si="179"/>
        <v/>
      </c>
      <c r="L2263" s="50" t="str">
        <f>IF(D2263="","",IF(COUNTIF(Paramètres!$A$11:$A$40,D2263)&gt;0,1,0))</f>
        <v/>
      </c>
    </row>
    <row r="2264" spans="1:12" hidden="1" x14ac:dyDescent="0.25">
      <c r="A2264" s="49"/>
      <c r="B2264" s="49"/>
      <c r="C2264" s="49"/>
      <c r="D2264" s="50" t="str">
        <f t="shared" si="175"/>
        <v/>
      </c>
      <c r="E2264" s="50" t="str">
        <f t="shared" si="176"/>
        <v/>
      </c>
      <c r="F2264" s="50" t="str">
        <f t="shared" si="177"/>
        <v/>
      </c>
      <c r="G2264" s="50" t="str">
        <f t="shared" si="178"/>
        <v/>
      </c>
      <c r="H2264" s="51" t="str">
        <f>IF($C2264="","",IFERROR(DATE(G2264,VLOOKUP(E2264,Paramètres!$K$11:$L$40,2,FALSE()),F2264),"?"))</f>
        <v/>
      </c>
      <c r="I2264" s="50" t="str">
        <f>IF(ISNUMBER(H2264),IF(COUNTIFS($D$2:D2264,D2264,$H$2:H2264,H2264)=1,1,0),"")</f>
        <v/>
      </c>
      <c r="J2264" s="50" t="str">
        <f>IF(ISNUMBER(H2264),IFERROR(INDEX(Calendrier!$C$2:$C$367,MATCH(H2264,Calendrier!$A$2:$A$367,0)),0),"")</f>
        <v/>
      </c>
      <c r="K2264" s="50" t="str">
        <f t="shared" si="179"/>
        <v/>
      </c>
      <c r="L2264" s="50" t="str">
        <f>IF(D2264="","",IF(COUNTIF(Paramètres!$A$11:$A$40,D2264)&gt;0,1,0))</f>
        <v/>
      </c>
    </row>
    <row r="2265" spans="1:12" hidden="1" x14ac:dyDescent="0.25">
      <c r="A2265" s="49"/>
      <c r="B2265" s="49"/>
      <c r="C2265" s="49"/>
      <c r="D2265" s="50" t="str">
        <f t="shared" si="175"/>
        <v/>
      </c>
      <c r="E2265" s="50" t="str">
        <f t="shared" si="176"/>
        <v/>
      </c>
      <c r="F2265" s="50" t="str">
        <f t="shared" si="177"/>
        <v/>
      </c>
      <c r="G2265" s="50" t="str">
        <f t="shared" si="178"/>
        <v/>
      </c>
      <c r="H2265" s="51" t="str">
        <f>IF($C2265="","",IFERROR(DATE(G2265,VLOOKUP(E2265,Paramètres!$K$11:$L$40,2,FALSE()),F2265),"?"))</f>
        <v/>
      </c>
      <c r="I2265" s="50" t="str">
        <f>IF(ISNUMBER(H2265),IF(COUNTIFS($D$2:D2265,D2265,$H$2:H2265,H2265)=1,1,0),"")</f>
        <v/>
      </c>
      <c r="J2265" s="50" t="str">
        <f>IF(ISNUMBER(H2265),IFERROR(INDEX(Calendrier!$C$2:$C$367,MATCH(H2265,Calendrier!$A$2:$A$367,0)),0),"")</f>
        <v/>
      </c>
      <c r="K2265" s="50" t="str">
        <f t="shared" si="179"/>
        <v/>
      </c>
      <c r="L2265" s="50" t="str">
        <f>IF(D2265="","",IF(COUNTIF(Paramètres!$A$11:$A$40,D2265)&gt;0,1,0))</f>
        <v/>
      </c>
    </row>
    <row r="2266" spans="1:12" hidden="1" x14ac:dyDescent="0.25">
      <c r="A2266" s="49"/>
      <c r="B2266" s="49"/>
      <c r="C2266" s="49"/>
      <c r="D2266" s="50" t="str">
        <f t="shared" si="175"/>
        <v/>
      </c>
      <c r="E2266" s="50" t="str">
        <f t="shared" si="176"/>
        <v/>
      </c>
      <c r="F2266" s="50" t="str">
        <f t="shared" si="177"/>
        <v/>
      </c>
      <c r="G2266" s="50" t="str">
        <f t="shared" si="178"/>
        <v/>
      </c>
      <c r="H2266" s="51" t="str">
        <f>IF($C2266="","",IFERROR(DATE(G2266,VLOOKUP(E2266,Paramètres!$K$11:$L$40,2,FALSE()),F2266),"?"))</f>
        <v/>
      </c>
      <c r="I2266" s="50" t="str">
        <f>IF(ISNUMBER(H2266),IF(COUNTIFS($D$2:D2266,D2266,$H$2:H2266,H2266)=1,1,0),"")</f>
        <v/>
      </c>
      <c r="J2266" s="50" t="str">
        <f>IF(ISNUMBER(H2266),IFERROR(INDEX(Calendrier!$C$2:$C$367,MATCH(H2266,Calendrier!$A$2:$A$367,0)),0),"")</f>
        <v/>
      </c>
      <c r="K2266" s="50" t="str">
        <f t="shared" si="179"/>
        <v/>
      </c>
      <c r="L2266" s="50" t="str">
        <f>IF(D2266="","",IF(COUNTIF(Paramètres!$A$11:$A$40,D2266)&gt;0,1,0))</f>
        <v/>
      </c>
    </row>
    <row r="2267" spans="1:12" hidden="1" x14ac:dyDescent="0.25">
      <c r="A2267" s="49"/>
      <c r="B2267" s="49"/>
      <c r="C2267" s="49"/>
      <c r="D2267" s="50" t="str">
        <f t="shared" si="175"/>
        <v/>
      </c>
      <c r="E2267" s="50" t="str">
        <f t="shared" si="176"/>
        <v/>
      </c>
      <c r="F2267" s="50" t="str">
        <f t="shared" si="177"/>
        <v/>
      </c>
      <c r="G2267" s="50" t="str">
        <f t="shared" si="178"/>
        <v/>
      </c>
      <c r="H2267" s="51" t="str">
        <f>IF($C2267="","",IFERROR(DATE(G2267,VLOOKUP(E2267,Paramètres!$K$11:$L$40,2,FALSE()),F2267),"?"))</f>
        <v/>
      </c>
      <c r="I2267" s="50" t="str">
        <f>IF(ISNUMBER(H2267),IF(COUNTIFS($D$2:D2267,D2267,$H$2:H2267,H2267)=1,1,0),"")</f>
        <v/>
      </c>
      <c r="J2267" s="50" t="str">
        <f>IF(ISNUMBER(H2267),IFERROR(INDEX(Calendrier!$C$2:$C$367,MATCH(H2267,Calendrier!$A$2:$A$367,0)),0),"")</f>
        <v/>
      </c>
      <c r="K2267" s="50" t="str">
        <f t="shared" si="179"/>
        <v/>
      </c>
      <c r="L2267" s="50" t="str">
        <f>IF(D2267="","",IF(COUNTIF(Paramètres!$A$11:$A$40,D2267)&gt;0,1,0))</f>
        <v/>
      </c>
    </row>
    <row r="2268" spans="1:12" hidden="1" x14ac:dyDescent="0.25">
      <c r="A2268" s="49"/>
      <c r="B2268" s="49"/>
      <c r="C2268" s="49"/>
      <c r="D2268" s="50" t="str">
        <f t="shared" si="175"/>
        <v/>
      </c>
      <c r="E2268" s="50" t="str">
        <f t="shared" si="176"/>
        <v/>
      </c>
      <c r="F2268" s="50" t="str">
        <f t="shared" si="177"/>
        <v/>
      </c>
      <c r="G2268" s="50" t="str">
        <f t="shared" si="178"/>
        <v/>
      </c>
      <c r="H2268" s="51" t="str">
        <f>IF($C2268="","",IFERROR(DATE(G2268,VLOOKUP(E2268,Paramètres!$K$11:$L$40,2,FALSE()),F2268),"?"))</f>
        <v/>
      </c>
      <c r="I2268" s="50" t="str">
        <f>IF(ISNUMBER(H2268),IF(COUNTIFS($D$2:D2268,D2268,$H$2:H2268,H2268)=1,1,0),"")</f>
        <v/>
      </c>
      <c r="J2268" s="50" t="str">
        <f>IF(ISNUMBER(H2268),IFERROR(INDEX(Calendrier!$C$2:$C$367,MATCH(H2268,Calendrier!$A$2:$A$367,0)),0),"")</f>
        <v/>
      </c>
      <c r="K2268" s="50" t="str">
        <f t="shared" si="179"/>
        <v/>
      </c>
      <c r="L2268" s="50" t="str">
        <f>IF(D2268="","",IF(COUNTIF(Paramètres!$A$11:$A$40,D2268)&gt;0,1,0))</f>
        <v/>
      </c>
    </row>
    <row r="2269" spans="1:12" hidden="1" x14ac:dyDescent="0.25">
      <c r="A2269" s="49"/>
      <c r="B2269" s="49"/>
      <c r="C2269" s="49"/>
      <c r="D2269" s="50" t="str">
        <f t="shared" si="175"/>
        <v/>
      </c>
      <c r="E2269" s="50" t="str">
        <f t="shared" si="176"/>
        <v/>
      </c>
      <c r="F2269" s="50" t="str">
        <f t="shared" si="177"/>
        <v/>
      </c>
      <c r="G2269" s="50" t="str">
        <f t="shared" si="178"/>
        <v/>
      </c>
      <c r="H2269" s="51" t="str">
        <f>IF($C2269="","",IFERROR(DATE(G2269,VLOOKUP(E2269,Paramètres!$K$11:$L$40,2,FALSE()),F2269),"?"))</f>
        <v/>
      </c>
      <c r="I2269" s="50" t="str">
        <f>IF(ISNUMBER(H2269),IF(COUNTIFS($D$2:D2269,D2269,$H$2:H2269,H2269)=1,1,0),"")</f>
        <v/>
      </c>
      <c r="J2269" s="50" t="str">
        <f>IF(ISNUMBER(H2269),IFERROR(INDEX(Calendrier!$C$2:$C$367,MATCH(H2269,Calendrier!$A$2:$A$367,0)),0),"")</f>
        <v/>
      </c>
      <c r="K2269" s="50" t="str">
        <f t="shared" si="179"/>
        <v/>
      </c>
      <c r="L2269" s="50" t="str">
        <f>IF(D2269="","",IF(COUNTIF(Paramètres!$A$11:$A$40,D2269)&gt;0,1,0))</f>
        <v/>
      </c>
    </row>
    <row r="2270" spans="1:12" hidden="1" x14ac:dyDescent="0.25">
      <c r="A2270" s="49"/>
      <c r="B2270" s="49"/>
      <c r="C2270" s="49"/>
      <c r="D2270" s="50" t="str">
        <f t="shared" si="175"/>
        <v/>
      </c>
      <c r="E2270" s="50" t="str">
        <f t="shared" si="176"/>
        <v/>
      </c>
      <c r="F2270" s="50" t="str">
        <f t="shared" si="177"/>
        <v/>
      </c>
      <c r="G2270" s="50" t="str">
        <f t="shared" si="178"/>
        <v/>
      </c>
      <c r="H2270" s="51" t="str">
        <f>IF($C2270="","",IFERROR(DATE(G2270,VLOOKUP(E2270,Paramètres!$K$11:$L$40,2,FALSE()),F2270),"?"))</f>
        <v/>
      </c>
      <c r="I2270" s="50" t="str">
        <f>IF(ISNUMBER(H2270),IF(COUNTIFS($D$2:D2270,D2270,$H$2:H2270,H2270)=1,1,0),"")</f>
        <v/>
      </c>
      <c r="J2270" s="50" t="str">
        <f>IF(ISNUMBER(H2270),IFERROR(INDEX(Calendrier!$C$2:$C$367,MATCH(H2270,Calendrier!$A$2:$A$367,0)),0),"")</f>
        <v/>
      </c>
      <c r="K2270" s="50" t="str">
        <f t="shared" si="179"/>
        <v/>
      </c>
      <c r="L2270" s="50" t="str">
        <f>IF(D2270="","",IF(COUNTIF(Paramètres!$A$11:$A$40,D2270)&gt;0,1,0))</f>
        <v/>
      </c>
    </row>
    <row r="2271" spans="1:12" hidden="1" x14ac:dyDescent="0.25">
      <c r="A2271" s="49"/>
      <c r="B2271" s="49"/>
      <c r="C2271" s="49"/>
      <c r="D2271" s="50" t="str">
        <f t="shared" si="175"/>
        <v/>
      </c>
      <c r="E2271" s="50" t="str">
        <f t="shared" si="176"/>
        <v/>
      </c>
      <c r="F2271" s="50" t="str">
        <f t="shared" si="177"/>
        <v/>
      </c>
      <c r="G2271" s="50" t="str">
        <f t="shared" si="178"/>
        <v/>
      </c>
      <c r="H2271" s="51" t="str">
        <f>IF($C2271="","",IFERROR(DATE(G2271,VLOOKUP(E2271,Paramètres!$K$11:$L$40,2,FALSE()),F2271),"?"))</f>
        <v/>
      </c>
      <c r="I2271" s="50" t="str">
        <f>IF(ISNUMBER(H2271),IF(COUNTIFS($D$2:D2271,D2271,$H$2:H2271,H2271)=1,1,0),"")</f>
        <v/>
      </c>
      <c r="J2271" s="50" t="str">
        <f>IF(ISNUMBER(H2271),IFERROR(INDEX(Calendrier!$C$2:$C$367,MATCH(H2271,Calendrier!$A$2:$A$367,0)),0),"")</f>
        <v/>
      </c>
      <c r="K2271" s="50" t="str">
        <f t="shared" si="179"/>
        <v/>
      </c>
      <c r="L2271" s="50" t="str">
        <f>IF(D2271="","",IF(COUNTIF(Paramètres!$A$11:$A$40,D2271)&gt;0,1,0))</f>
        <v/>
      </c>
    </row>
    <row r="2272" spans="1:12" hidden="1" x14ac:dyDescent="0.25">
      <c r="A2272" s="49"/>
      <c r="B2272" s="49"/>
      <c r="C2272" s="49"/>
      <c r="D2272" s="50" t="str">
        <f t="shared" si="175"/>
        <v/>
      </c>
      <c r="E2272" s="50" t="str">
        <f t="shared" si="176"/>
        <v/>
      </c>
      <c r="F2272" s="50" t="str">
        <f t="shared" si="177"/>
        <v/>
      </c>
      <c r="G2272" s="50" t="str">
        <f t="shared" si="178"/>
        <v/>
      </c>
      <c r="H2272" s="51" t="str">
        <f>IF($C2272="","",IFERROR(DATE(G2272,VLOOKUP(E2272,Paramètres!$K$11:$L$40,2,FALSE()),F2272),"?"))</f>
        <v/>
      </c>
      <c r="I2272" s="50" t="str">
        <f>IF(ISNUMBER(H2272),IF(COUNTIFS($D$2:D2272,D2272,$H$2:H2272,H2272)=1,1,0),"")</f>
        <v/>
      </c>
      <c r="J2272" s="50" t="str">
        <f>IF(ISNUMBER(H2272),IFERROR(INDEX(Calendrier!$C$2:$C$367,MATCH(H2272,Calendrier!$A$2:$A$367,0)),0),"")</f>
        <v/>
      </c>
      <c r="K2272" s="50" t="str">
        <f t="shared" si="179"/>
        <v/>
      </c>
      <c r="L2272" s="50" t="str">
        <f>IF(D2272="","",IF(COUNTIF(Paramètres!$A$11:$A$40,D2272)&gt;0,1,0))</f>
        <v/>
      </c>
    </row>
    <row r="2273" spans="1:12" hidden="1" x14ac:dyDescent="0.25">
      <c r="A2273" s="49"/>
      <c r="B2273" s="49"/>
      <c r="C2273" s="49"/>
      <c r="D2273" s="50" t="str">
        <f t="shared" si="175"/>
        <v/>
      </c>
      <c r="E2273" s="50" t="str">
        <f t="shared" si="176"/>
        <v/>
      </c>
      <c r="F2273" s="50" t="str">
        <f t="shared" si="177"/>
        <v/>
      </c>
      <c r="G2273" s="50" t="str">
        <f t="shared" si="178"/>
        <v/>
      </c>
      <c r="H2273" s="51" t="str">
        <f>IF($C2273="","",IFERROR(DATE(G2273,VLOOKUP(E2273,Paramètres!$K$11:$L$40,2,FALSE()),F2273),"?"))</f>
        <v/>
      </c>
      <c r="I2273" s="50" t="str">
        <f>IF(ISNUMBER(H2273),IF(COUNTIFS($D$2:D2273,D2273,$H$2:H2273,H2273)=1,1,0),"")</f>
        <v/>
      </c>
      <c r="J2273" s="50" t="str">
        <f>IF(ISNUMBER(H2273),IFERROR(INDEX(Calendrier!$C$2:$C$367,MATCH(H2273,Calendrier!$A$2:$A$367,0)),0),"")</f>
        <v/>
      </c>
      <c r="K2273" s="50" t="str">
        <f t="shared" si="179"/>
        <v/>
      </c>
      <c r="L2273" s="50" t="str">
        <f>IF(D2273="","",IF(COUNTIF(Paramètres!$A$11:$A$40,D2273)&gt;0,1,0))</f>
        <v/>
      </c>
    </row>
    <row r="2274" spans="1:12" hidden="1" x14ac:dyDescent="0.25">
      <c r="A2274" s="49"/>
      <c r="B2274" s="49"/>
      <c r="C2274" s="49"/>
      <c r="D2274" s="50" t="str">
        <f t="shared" si="175"/>
        <v/>
      </c>
      <c r="E2274" s="50" t="str">
        <f t="shared" si="176"/>
        <v/>
      </c>
      <c r="F2274" s="50" t="str">
        <f t="shared" si="177"/>
        <v/>
      </c>
      <c r="G2274" s="50" t="str">
        <f t="shared" si="178"/>
        <v/>
      </c>
      <c r="H2274" s="51" t="str">
        <f>IF($C2274="","",IFERROR(DATE(G2274,VLOOKUP(E2274,Paramètres!$K$11:$L$40,2,FALSE()),F2274),"?"))</f>
        <v/>
      </c>
      <c r="I2274" s="50" t="str">
        <f>IF(ISNUMBER(H2274),IF(COUNTIFS($D$2:D2274,D2274,$H$2:H2274,H2274)=1,1,0),"")</f>
        <v/>
      </c>
      <c r="J2274" s="50" t="str">
        <f>IF(ISNUMBER(H2274),IFERROR(INDEX(Calendrier!$C$2:$C$367,MATCH(H2274,Calendrier!$A$2:$A$367,0)),0),"")</f>
        <v/>
      </c>
      <c r="K2274" s="50" t="str">
        <f t="shared" si="179"/>
        <v/>
      </c>
      <c r="L2274" s="50" t="str">
        <f>IF(D2274="","",IF(COUNTIF(Paramètres!$A$11:$A$40,D2274)&gt;0,1,0))</f>
        <v/>
      </c>
    </row>
    <row r="2275" spans="1:12" hidden="1" x14ac:dyDescent="0.25">
      <c r="A2275" s="49"/>
      <c r="B2275" s="49"/>
      <c r="C2275" s="49"/>
      <c r="D2275" s="50" t="str">
        <f t="shared" si="175"/>
        <v/>
      </c>
      <c r="E2275" s="50" t="str">
        <f t="shared" si="176"/>
        <v/>
      </c>
      <c r="F2275" s="50" t="str">
        <f t="shared" si="177"/>
        <v/>
      </c>
      <c r="G2275" s="50" t="str">
        <f t="shared" si="178"/>
        <v/>
      </c>
      <c r="H2275" s="51" t="str">
        <f>IF($C2275="","",IFERROR(DATE(G2275,VLOOKUP(E2275,Paramètres!$K$11:$L$40,2,FALSE()),F2275),"?"))</f>
        <v/>
      </c>
      <c r="I2275" s="50" t="str">
        <f>IF(ISNUMBER(H2275),IF(COUNTIFS($D$2:D2275,D2275,$H$2:H2275,H2275)=1,1,0),"")</f>
        <v/>
      </c>
      <c r="J2275" s="50" t="str">
        <f>IF(ISNUMBER(H2275),IFERROR(INDEX(Calendrier!$C$2:$C$367,MATCH(H2275,Calendrier!$A$2:$A$367,0)),0),"")</f>
        <v/>
      </c>
      <c r="K2275" s="50" t="str">
        <f t="shared" si="179"/>
        <v/>
      </c>
      <c r="L2275" s="50" t="str">
        <f>IF(D2275="","",IF(COUNTIF(Paramètres!$A$11:$A$40,D2275)&gt;0,1,0))</f>
        <v/>
      </c>
    </row>
    <row r="2276" spans="1:12" hidden="1" x14ac:dyDescent="0.25">
      <c r="A2276" s="49"/>
      <c r="B2276" s="49"/>
      <c r="C2276" s="49"/>
      <c r="D2276" s="50" t="str">
        <f t="shared" si="175"/>
        <v/>
      </c>
      <c r="E2276" s="50" t="str">
        <f t="shared" si="176"/>
        <v/>
      </c>
      <c r="F2276" s="50" t="str">
        <f t="shared" si="177"/>
        <v/>
      </c>
      <c r="G2276" s="50" t="str">
        <f t="shared" si="178"/>
        <v/>
      </c>
      <c r="H2276" s="51" t="str">
        <f>IF($C2276="","",IFERROR(DATE(G2276,VLOOKUP(E2276,Paramètres!$K$11:$L$40,2,FALSE()),F2276),"?"))</f>
        <v/>
      </c>
      <c r="I2276" s="50" t="str">
        <f>IF(ISNUMBER(H2276),IF(COUNTIFS($D$2:D2276,D2276,$H$2:H2276,H2276)=1,1,0),"")</f>
        <v/>
      </c>
      <c r="J2276" s="50" t="str">
        <f>IF(ISNUMBER(H2276),IFERROR(INDEX(Calendrier!$C$2:$C$367,MATCH(H2276,Calendrier!$A$2:$A$367,0)),0),"")</f>
        <v/>
      </c>
      <c r="K2276" s="50" t="str">
        <f t="shared" si="179"/>
        <v/>
      </c>
      <c r="L2276" s="50" t="str">
        <f>IF(D2276="","",IF(COUNTIF(Paramètres!$A$11:$A$40,D2276)&gt;0,1,0))</f>
        <v/>
      </c>
    </row>
    <row r="2277" spans="1:12" hidden="1" x14ac:dyDescent="0.25">
      <c r="A2277" s="49"/>
      <c r="B2277" s="49"/>
      <c r="C2277" s="49"/>
      <c r="D2277" s="50" t="str">
        <f t="shared" si="175"/>
        <v/>
      </c>
      <c r="E2277" s="50" t="str">
        <f t="shared" si="176"/>
        <v/>
      </c>
      <c r="F2277" s="50" t="str">
        <f t="shared" si="177"/>
        <v/>
      </c>
      <c r="G2277" s="50" t="str">
        <f t="shared" si="178"/>
        <v/>
      </c>
      <c r="H2277" s="51" t="str">
        <f>IF($C2277="","",IFERROR(DATE(G2277,VLOOKUP(E2277,Paramètres!$K$11:$L$40,2,FALSE()),F2277),"?"))</f>
        <v/>
      </c>
      <c r="I2277" s="50" t="str">
        <f>IF(ISNUMBER(H2277),IF(COUNTIFS($D$2:D2277,D2277,$H$2:H2277,H2277)=1,1,0),"")</f>
        <v/>
      </c>
      <c r="J2277" s="50" t="str">
        <f>IF(ISNUMBER(H2277),IFERROR(INDEX(Calendrier!$C$2:$C$367,MATCH(H2277,Calendrier!$A$2:$A$367,0)),0),"")</f>
        <v/>
      </c>
      <c r="K2277" s="50" t="str">
        <f t="shared" si="179"/>
        <v/>
      </c>
      <c r="L2277" s="50" t="str">
        <f>IF(D2277="","",IF(COUNTIF(Paramètres!$A$11:$A$40,D2277)&gt;0,1,0))</f>
        <v/>
      </c>
    </row>
    <row r="2278" spans="1:12" hidden="1" x14ac:dyDescent="0.25">
      <c r="A2278" s="49"/>
      <c r="B2278" s="49"/>
      <c r="C2278" s="49"/>
      <c r="D2278" s="50" t="str">
        <f t="shared" si="175"/>
        <v/>
      </c>
      <c r="E2278" s="50" t="str">
        <f t="shared" si="176"/>
        <v/>
      </c>
      <c r="F2278" s="50" t="str">
        <f t="shared" si="177"/>
        <v/>
      </c>
      <c r="G2278" s="50" t="str">
        <f t="shared" si="178"/>
        <v/>
      </c>
      <c r="H2278" s="51" t="str">
        <f>IF($C2278="","",IFERROR(DATE(G2278,VLOOKUP(E2278,Paramètres!$K$11:$L$40,2,FALSE()),F2278),"?"))</f>
        <v/>
      </c>
      <c r="I2278" s="50" t="str">
        <f>IF(ISNUMBER(H2278),IF(COUNTIFS($D$2:D2278,D2278,$H$2:H2278,H2278)=1,1,0),"")</f>
        <v/>
      </c>
      <c r="J2278" s="50" t="str">
        <f>IF(ISNUMBER(H2278),IFERROR(INDEX(Calendrier!$C$2:$C$367,MATCH(H2278,Calendrier!$A$2:$A$367,0)),0),"")</f>
        <v/>
      </c>
      <c r="K2278" s="50" t="str">
        <f t="shared" si="179"/>
        <v/>
      </c>
      <c r="L2278" s="50" t="str">
        <f>IF(D2278="","",IF(COUNTIF(Paramètres!$A$11:$A$40,D2278)&gt;0,1,0))</f>
        <v/>
      </c>
    </row>
    <row r="2279" spans="1:12" hidden="1" x14ac:dyDescent="0.25">
      <c r="A2279" s="49"/>
      <c r="B2279" s="49"/>
      <c r="C2279" s="49"/>
      <c r="D2279" s="50" t="str">
        <f t="shared" si="175"/>
        <v/>
      </c>
      <c r="E2279" s="50" t="str">
        <f t="shared" si="176"/>
        <v/>
      </c>
      <c r="F2279" s="50" t="str">
        <f t="shared" si="177"/>
        <v/>
      </c>
      <c r="G2279" s="50" t="str">
        <f t="shared" si="178"/>
        <v/>
      </c>
      <c r="H2279" s="51" t="str">
        <f>IF($C2279="","",IFERROR(DATE(G2279,VLOOKUP(E2279,Paramètres!$K$11:$L$40,2,FALSE()),F2279),"?"))</f>
        <v/>
      </c>
      <c r="I2279" s="50" t="str">
        <f>IF(ISNUMBER(H2279),IF(COUNTIFS($D$2:D2279,D2279,$H$2:H2279,H2279)=1,1,0),"")</f>
        <v/>
      </c>
      <c r="J2279" s="50" t="str">
        <f>IF(ISNUMBER(H2279),IFERROR(INDEX(Calendrier!$C$2:$C$367,MATCH(H2279,Calendrier!$A$2:$A$367,0)),0),"")</f>
        <v/>
      </c>
      <c r="K2279" s="50" t="str">
        <f t="shared" si="179"/>
        <v/>
      </c>
      <c r="L2279" s="50" t="str">
        <f>IF(D2279="","",IF(COUNTIF(Paramètres!$A$11:$A$40,D2279)&gt;0,1,0))</f>
        <v/>
      </c>
    </row>
    <row r="2280" spans="1:12" hidden="1" x14ac:dyDescent="0.25">
      <c r="A2280" s="49"/>
      <c r="B2280" s="49"/>
      <c r="C2280" s="49"/>
      <c r="D2280" s="50" t="str">
        <f t="shared" si="175"/>
        <v/>
      </c>
      <c r="E2280" s="50" t="str">
        <f t="shared" si="176"/>
        <v/>
      </c>
      <c r="F2280" s="50" t="str">
        <f t="shared" si="177"/>
        <v/>
      </c>
      <c r="G2280" s="50" t="str">
        <f t="shared" si="178"/>
        <v/>
      </c>
      <c r="H2280" s="51" t="str">
        <f>IF($C2280="","",IFERROR(DATE(G2280,VLOOKUP(E2280,Paramètres!$K$11:$L$40,2,FALSE()),F2280),"?"))</f>
        <v/>
      </c>
      <c r="I2280" s="50" t="str">
        <f>IF(ISNUMBER(H2280),IF(COUNTIFS($D$2:D2280,D2280,$H$2:H2280,H2280)=1,1,0),"")</f>
        <v/>
      </c>
      <c r="J2280" s="50" t="str">
        <f>IF(ISNUMBER(H2280),IFERROR(INDEX(Calendrier!$C$2:$C$367,MATCH(H2280,Calendrier!$A$2:$A$367,0)),0),"")</f>
        <v/>
      </c>
      <c r="K2280" s="50" t="str">
        <f t="shared" si="179"/>
        <v/>
      </c>
      <c r="L2280" s="50" t="str">
        <f>IF(D2280="","",IF(COUNTIF(Paramètres!$A$11:$A$40,D2280)&gt;0,1,0))</f>
        <v/>
      </c>
    </row>
    <row r="2281" spans="1:12" hidden="1" x14ac:dyDescent="0.25">
      <c r="A2281" s="49"/>
      <c r="B2281" s="49"/>
      <c r="C2281" s="49"/>
      <c r="D2281" s="50" t="str">
        <f t="shared" si="175"/>
        <v/>
      </c>
      <c r="E2281" s="50" t="str">
        <f t="shared" si="176"/>
        <v/>
      </c>
      <c r="F2281" s="50" t="str">
        <f t="shared" si="177"/>
        <v/>
      </c>
      <c r="G2281" s="50" t="str">
        <f t="shared" si="178"/>
        <v/>
      </c>
      <c r="H2281" s="51" t="str">
        <f>IF($C2281="","",IFERROR(DATE(G2281,VLOOKUP(E2281,Paramètres!$K$11:$L$40,2,FALSE()),F2281),"?"))</f>
        <v/>
      </c>
      <c r="I2281" s="50" t="str">
        <f>IF(ISNUMBER(H2281),IF(COUNTIFS($D$2:D2281,D2281,$H$2:H2281,H2281)=1,1,0),"")</f>
        <v/>
      </c>
      <c r="J2281" s="50" t="str">
        <f>IF(ISNUMBER(H2281),IFERROR(INDEX(Calendrier!$C$2:$C$367,MATCH(H2281,Calendrier!$A$2:$A$367,0)),0),"")</f>
        <v/>
      </c>
      <c r="K2281" s="50" t="str">
        <f t="shared" si="179"/>
        <v/>
      </c>
      <c r="L2281" s="50" t="str">
        <f>IF(D2281="","",IF(COUNTIF(Paramètres!$A$11:$A$40,D2281)&gt;0,1,0))</f>
        <v/>
      </c>
    </row>
    <row r="2282" spans="1:12" hidden="1" x14ac:dyDescent="0.25">
      <c r="A2282" s="49"/>
      <c r="B2282" s="49"/>
      <c r="C2282" s="49"/>
      <c r="D2282" s="50" t="str">
        <f t="shared" si="175"/>
        <v/>
      </c>
      <c r="E2282" s="50" t="str">
        <f t="shared" si="176"/>
        <v/>
      </c>
      <c r="F2282" s="50" t="str">
        <f t="shared" si="177"/>
        <v/>
      </c>
      <c r="G2282" s="50" t="str">
        <f t="shared" si="178"/>
        <v/>
      </c>
      <c r="H2282" s="51" t="str">
        <f>IF($C2282="","",IFERROR(DATE(G2282,VLOOKUP(E2282,Paramètres!$K$11:$L$40,2,FALSE()),F2282),"?"))</f>
        <v/>
      </c>
      <c r="I2282" s="50" t="str">
        <f>IF(ISNUMBER(H2282),IF(COUNTIFS($D$2:D2282,D2282,$H$2:H2282,H2282)=1,1,0),"")</f>
        <v/>
      </c>
      <c r="J2282" s="50" t="str">
        <f>IF(ISNUMBER(H2282),IFERROR(INDEX(Calendrier!$C$2:$C$367,MATCH(H2282,Calendrier!$A$2:$A$367,0)),0),"")</f>
        <v/>
      </c>
      <c r="K2282" s="50" t="str">
        <f t="shared" si="179"/>
        <v/>
      </c>
      <c r="L2282" s="50" t="str">
        <f>IF(D2282="","",IF(COUNTIF(Paramètres!$A$11:$A$40,D2282)&gt;0,1,0))</f>
        <v/>
      </c>
    </row>
    <row r="2283" spans="1:12" hidden="1" x14ac:dyDescent="0.25">
      <c r="A2283" s="49"/>
      <c r="B2283" s="49"/>
      <c r="C2283" s="49"/>
      <c r="D2283" s="50" t="str">
        <f t="shared" si="175"/>
        <v/>
      </c>
      <c r="E2283" s="50" t="str">
        <f t="shared" si="176"/>
        <v/>
      </c>
      <c r="F2283" s="50" t="str">
        <f t="shared" si="177"/>
        <v/>
      </c>
      <c r="G2283" s="50" t="str">
        <f t="shared" si="178"/>
        <v/>
      </c>
      <c r="H2283" s="51" t="str">
        <f>IF($C2283="","",IFERROR(DATE(G2283,VLOOKUP(E2283,Paramètres!$K$11:$L$40,2,FALSE()),F2283),"?"))</f>
        <v/>
      </c>
      <c r="I2283" s="50" t="str">
        <f>IF(ISNUMBER(H2283),IF(COUNTIFS($D$2:D2283,D2283,$H$2:H2283,H2283)=1,1,0),"")</f>
        <v/>
      </c>
      <c r="J2283" s="50" t="str">
        <f>IF(ISNUMBER(H2283),IFERROR(INDEX(Calendrier!$C$2:$C$367,MATCH(H2283,Calendrier!$A$2:$A$367,0)),0),"")</f>
        <v/>
      </c>
      <c r="K2283" s="50" t="str">
        <f t="shared" si="179"/>
        <v/>
      </c>
      <c r="L2283" s="50" t="str">
        <f>IF(D2283="","",IF(COUNTIF(Paramètres!$A$11:$A$40,D2283)&gt;0,1,0))</f>
        <v/>
      </c>
    </row>
    <row r="2284" spans="1:12" hidden="1" x14ac:dyDescent="0.25">
      <c r="A2284" s="49"/>
      <c r="B2284" s="49"/>
      <c r="C2284" s="49"/>
      <c r="D2284" s="50" t="str">
        <f t="shared" si="175"/>
        <v/>
      </c>
      <c r="E2284" s="50" t="str">
        <f t="shared" si="176"/>
        <v/>
      </c>
      <c r="F2284" s="50" t="str">
        <f t="shared" si="177"/>
        <v/>
      </c>
      <c r="G2284" s="50" t="str">
        <f t="shared" si="178"/>
        <v/>
      </c>
      <c r="H2284" s="51" t="str">
        <f>IF($C2284="","",IFERROR(DATE(G2284,VLOOKUP(E2284,Paramètres!$K$11:$L$40,2,FALSE()),F2284),"?"))</f>
        <v/>
      </c>
      <c r="I2284" s="50" t="str">
        <f>IF(ISNUMBER(H2284),IF(COUNTIFS($D$2:D2284,D2284,$H$2:H2284,H2284)=1,1,0),"")</f>
        <v/>
      </c>
      <c r="J2284" s="50" t="str">
        <f>IF(ISNUMBER(H2284),IFERROR(INDEX(Calendrier!$C$2:$C$367,MATCH(H2284,Calendrier!$A$2:$A$367,0)),0),"")</f>
        <v/>
      </c>
      <c r="K2284" s="50" t="str">
        <f t="shared" si="179"/>
        <v/>
      </c>
      <c r="L2284" s="50" t="str">
        <f>IF(D2284="","",IF(COUNTIF(Paramètres!$A$11:$A$40,D2284)&gt;0,1,0))</f>
        <v/>
      </c>
    </row>
    <row r="2285" spans="1:12" hidden="1" x14ac:dyDescent="0.25">
      <c r="A2285" s="49"/>
      <c r="B2285" s="49"/>
      <c r="C2285" s="49"/>
      <c r="D2285" s="50" t="str">
        <f t="shared" si="175"/>
        <v/>
      </c>
      <c r="E2285" s="50" t="str">
        <f t="shared" si="176"/>
        <v/>
      </c>
      <c r="F2285" s="50" t="str">
        <f t="shared" si="177"/>
        <v/>
      </c>
      <c r="G2285" s="50" t="str">
        <f t="shared" si="178"/>
        <v/>
      </c>
      <c r="H2285" s="51" t="str">
        <f>IF($C2285="","",IFERROR(DATE(G2285,VLOOKUP(E2285,Paramètres!$K$11:$L$40,2,FALSE()),F2285),"?"))</f>
        <v/>
      </c>
      <c r="I2285" s="50" t="str">
        <f>IF(ISNUMBER(H2285),IF(COUNTIFS($D$2:D2285,D2285,$H$2:H2285,H2285)=1,1,0),"")</f>
        <v/>
      </c>
      <c r="J2285" s="50" t="str">
        <f>IF(ISNUMBER(H2285),IFERROR(INDEX(Calendrier!$C$2:$C$367,MATCH(H2285,Calendrier!$A$2:$A$367,0)),0),"")</f>
        <v/>
      </c>
      <c r="K2285" s="50" t="str">
        <f t="shared" si="179"/>
        <v/>
      </c>
      <c r="L2285" s="50" t="str">
        <f>IF(D2285="","",IF(COUNTIF(Paramètres!$A$11:$A$40,D2285)&gt;0,1,0))</f>
        <v/>
      </c>
    </row>
    <row r="2286" spans="1:12" hidden="1" x14ac:dyDescent="0.25">
      <c r="A2286" s="49"/>
      <c r="B2286" s="49"/>
      <c r="C2286" s="49"/>
      <c r="D2286" s="50" t="str">
        <f t="shared" si="175"/>
        <v/>
      </c>
      <c r="E2286" s="50" t="str">
        <f t="shared" si="176"/>
        <v/>
      </c>
      <c r="F2286" s="50" t="str">
        <f t="shared" si="177"/>
        <v/>
      </c>
      <c r="G2286" s="50" t="str">
        <f t="shared" si="178"/>
        <v/>
      </c>
      <c r="H2286" s="51" t="str">
        <f>IF($C2286="","",IFERROR(DATE(G2286,VLOOKUP(E2286,Paramètres!$K$11:$L$40,2,FALSE()),F2286),"?"))</f>
        <v/>
      </c>
      <c r="I2286" s="50" t="str">
        <f>IF(ISNUMBER(H2286),IF(COUNTIFS($D$2:D2286,D2286,$H$2:H2286,H2286)=1,1,0),"")</f>
        <v/>
      </c>
      <c r="J2286" s="50" t="str">
        <f>IF(ISNUMBER(H2286),IFERROR(INDEX(Calendrier!$C$2:$C$367,MATCH(H2286,Calendrier!$A$2:$A$367,0)),0),"")</f>
        <v/>
      </c>
      <c r="K2286" s="50" t="str">
        <f t="shared" si="179"/>
        <v/>
      </c>
      <c r="L2286" s="50" t="str">
        <f>IF(D2286="","",IF(COUNTIF(Paramètres!$A$11:$A$40,D2286)&gt;0,1,0))</f>
        <v/>
      </c>
    </row>
    <row r="2287" spans="1:12" hidden="1" x14ac:dyDescent="0.25">
      <c r="A2287" s="49"/>
      <c r="B2287" s="49"/>
      <c r="C2287" s="49"/>
      <c r="D2287" s="50" t="str">
        <f t="shared" si="175"/>
        <v/>
      </c>
      <c r="E2287" s="50" t="str">
        <f t="shared" si="176"/>
        <v/>
      </c>
      <c r="F2287" s="50" t="str">
        <f t="shared" si="177"/>
        <v/>
      </c>
      <c r="G2287" s="50" t="str">
        <f t="shared" si="178"/>
        <v/>
      </c>
      <c r="H2287" s="51" t="str">
        <f>IF($C2287="","",IFERROR(DATE(G2287,VLOOKUP(E2287,Paramètres!$K$11:$L$40,2,FALSE()),F2287),"?"))</f>
        <v/>
      </c>
      <c r="I2287" s="50" t="str">
        <f>IF(ISNUMBER(H2287),IF(COUNTIFS($D$2:D2287,D2287,$H$2:H2287,H2287)=1,1,0),"")</f>
        <v/>
      </c>
      <c r="J2287" s="50" t="str">
        <f>IF(ISNUMBER(H2287),IFERROR(INDEX(Calendrier!$C$2:$C$367,MATCH(H2287,Calendrier!$A$2:$A$367,0)),0),"")</f>
        <v/>
      </c>
      <c r="K2287" s="50" t="str">
        <f t="shared" si="179"/>
        <v/>
      </c>
      <c r="L2287" s="50" t="str">
        <f>IF(D2287="","",IF(COUNTIF(Paramètres!$A$11:$A$40,D2287)&gt;0,1,0))</f>
        <v/>
      </c>
    </row>
    <row r="2288" spans="1:12" hidden="1" x14ac:dyDescent="0.25">
      <c r="A2288" s="49"/>
      <c r="B2288" s="49"/>
      <c r="C2288" s="49"/>
      <c r="D2288" s="50" t="str">
        <f t="shared" si="175"/>
        <v/>
      </c>
      <c r="E2288" s="50" t="str">
        <f t="shared" si="176"/>
        <v/>
      </c>
      <c r="F2288" s="50" t="str">
        <f t="shared" si="177"/>
        <v/>
      </c>
      <c r="G2288" s="50" t="str">
        <f t="shared" si="178"/>
        <v/>
      </c>
      <c r="H2288" s="51" t="str">
        <f>IF($C2288="","",IFERROR(DATE(G2288,VLOOKUP(E2288,Paramètres!$K$11:$L$40,2,FALSE()),F2288),"?"))</f>
        <v/>
      </c>
      <c r="I2288" s="50" t="str">
        <f>IF(ISNUMBER(H2288),IF(COUNTIFS($D$2:D2288,D2288,$H$2:H2288,H2288)=1,1,0),"")</f>
        <v/>
      </c>
      <c r="J2288" s="50" t="str">
        <f>IF(ISNUMBER(H2288),IFERROR(INDEX(Calendrier!$C$2:$C$367,MATCH(H2288,Calendrier!$A$2:$A$367,0)),0),"")</f>
        <v/>
      </c>
      <c r="K2288" s="50" t="str">
        <f t="shared" si="179"/>
        <v/>
      </c>
      <c r="L2288" s="50" t="str">
        <f>IF(D2288="","",IF(COUNTIF(Paramètres!$A$11:$A$40,D2288)&gt;0,1,0))</f>
        <v/>
      </c>
    </row>
    <row r="2289" spans="1:12" hidden="1" x14ac:dyDescent="0.25">
      <c r="A2289" s="49"/>
      <c r="B2289" s="49"/>
      <c r="C2289" s="49"/>
      <c r="D2289" s="50" t="str">
        <f t="shared" si="175"/>
        <v/>
      </c>
      <c r="E2289" s="50" t="str">
        <f t="shared" si="176"/>
        <v/>
      </c>
      <c r="F2289" s="50" t="str">
        <f t="shared" si="177"/>
        <v/>
      </c>
      <c r="G2289" s="50" t="str">
        <f t="shared" si="178"/>
        <v/>
      </c>
      <c r="H2289" s="51" t="str">
        <f>IF($C2289="","",IFERROR(DATE(G2289,VLOOKUP(E2289,Paramètres!$K$11:$L$40,2,FALSE()),F2289),"?"))</f>
        <v/>
      </c>
      <c r="I2289" s="50" t="str">
        <f>IF(ISNUMBER(H2289),IF(COUNTIFS($D$2:D2289,D2289,$H$2:H2289,H2289)=1,1,0),"")</f>
        <v/>
      </c>
      <c r="J2289" s="50" t="str">
        <f>IF(ISNUMBER(H2289),IFERROR(INDEX(Calendrier!$C$2:$C$367,MATCH(H2289,Calendrier!$A$2:$A$367,0)),0),"")</f>
        <v/>
      </c>
      <c r="K2289" s="50" t="str">
        <f t="shared" si="179"/>
        <v/>
      </c>
      <c r="L2289" s="50" t="str">
        <f>IF(D2289="","",IF(COUNTIF(Paramètres!$A$11:$A$40,D2289)&gt;0,1,0))</f>
        <v/>
      </c>
    </row>
    <row r="2290" spans="1:12" hidden="1" x14ac:dyDescent="0.25">
      <c r="A2290" s="49"/>
      <c r="B2290" s="49"/>
      <c r="C2290" s="49"/>
      <c r="D2290" s="50" t="str">
        <f t="shared" si="175"/>
        <v/>
      </c>
      <c r="E2290" s="50" t="str">
        <f t="shared" si="176"/>
        <v/>
      </c>
      <c r="F2290" s="50" t="str">
        <f t="shared" si="177"/>
        <v/>
      </c>
      <c r="G2290" s="50" t="str">
        <f t="shared" si="178"/>
        <v/>
      </c>
      <c r="H2290" s="51" t="str">
        <f>IF($C2290="","",IFERROR(DATE(G2290,VLOOKUP(E2290,Paramètres!$K$11:$L$40,2,FALSE()),F2290),"?"))</f>
        <v/>
      </c>
      <c r="I2290" s="50" t="str">
        <f>IF(ISNUMBER(H2290),IF(COUNTIFS($D$2:D2290,D2290,$H$2:H2290,H2290)=1,1,0),"")</f>
        <v/>
      </c>
      <c r="J2290" s="50" t="str">
        <f>IF(ISNUMBER(H2290),IFERROR(INDEX(Calendrier!$C$2:$C$367,MATCH(H2290,Calendrier!$A$2:$A$367,0)),0),"")</f>
        <v/>
      </c>
      <c r="K2290" s="50" t="str">
        <f t="shared" si="179"/>
        <v/>
      </c>
      <c r="L2290" s="50" t="str">
        <f>IF(D2290="","",IF(COUNTIF(Paramètres!$A$11:$A$40,D2290)&gt;0,1,0))</f>
        <v/>
      </c>
    </row>
    <row r="2291" spans="1:12" hidden="1" x14ac:dyDescent="0.25">
      <c r="A2291" s="49"/>
      <c r="B2291" s="49"/>
      <c r="C2291" s="49"/>
      <c r="D2291" s="50" t="str">
        <f t="shared" si="175"/>
        <v/>
      </c>
      <c r="E2291" s="50" t="str">
        <f t="shared" si="176"/>
        <v/>
      </c>
      <c r="F2291" s="50" t="str">
        <f t="shared" si="177"/>
        <v/>
      </c>
      <c r="G2291" s="50" t="str">
        <f t="shared" si="178"/>
        <v/>
      </c>
      <c r="H2291" s="51" t="str">
        <f>IF($C2291="","",IFERROR(DATE(G2291,VLOOKUP(E2291,Paramètres!$K$11:$L$40,2,FALSE()),F2291),"?"))</f>
        <v/>
      </c>
      <c r="I2291" s="50" t="str">
        <f>IF(ISNUMBER(H2291),IF(COUNTIFS($D$2:D2291,D2291,$H$2:H2291,H2291)=1,1,0),"")</f>
        <v/>
      </c>
      <c r="J2291" s="50" t="str">
        <f>IF(ISNUMBER(H2291),IFERROR(INDEX(Calendrier!$C$2:$C$367,MATCH(H2291,Calendrier!$A$2:$A$367,0)),0),"")</f>
        <v/>
      </c>
      <c r="K2291" s="50" t="str">
        <f t="shared" si="179"/>
        <v/>
      </c>
      <c r="L2291" s="50" t="str">
        <f>IF(D2291="","",IF(COUNTIF(Paramètres!$A$11:$A$40,D2291)&gt;0,1,0))</f>
        <v/>
      </c>
    </row>
    <row r="2292" spans="1:12" hidden="1" x14ac:dyDescent="0.25">
      <c r="A2292" s="49"/>
      <c r="B2292" s="49"/>
      <c r="C2292" s="49"/>
      <c r="D2292" s="50" t="str">
        <f t="shared" si="175"/>
        <v/>
      </c>
      <c r="E2292" s="50" t="str">
        <f t="shared" si="176"/>
        <v/>
      </c>
      <c r="F2292" s="50" t="str">
        <f t="shared" si="177"/>
        <v/>
      </c>
      <c r="G2292" s="50" t="str">
        <f t="shared" si="178"/>
        <v/>
      </c>
      <c r="H2292" s="51" t="str">
        <f>IF($C2292="","",IFERROR(DATE(G2292,VLOOKUP(E2292,Paramètres!$K$11:$L$40,2,FALSE()),F2292),"?"))</f>
        <v/>
      </c>
      <c r="I2292" s="50" t="str">
        <f>IF(ISNUMBER(H2292),IF(COUNTIFS($D$2:D2292,D2292,$H$2:H2292,H2292)=1,1,0),"")</f>
        <v/>
      </c>
      <c r="J2292" s="50" t="str">
        <f>IF(ISNUMBER(H2292),IFERROR(INDEX(Calendrier!$C$2:$C$367,MATCH(H2292,Calendrier!$A$2:$A$367,0)),0),"")</f>
        <v/>
      </c>
      <c r="K2292" s="50" t="str">
        <f t="shared" si="179"/>
        <v/>
      </c>
      <c r="L2292" s="50" t="str">
        <f>IF(D2292="","",IF(COUNTIF(Paramètres!$A$11:$A$40,D2292)&gt;0,1,0))</f>
        <v/>
      </c>
    </row>
    <row r="2293" spans="1:12" hidden="1" x14ac:dyDescent="0.25">
      <c r="A2293" s="49"/>
      <c r="B2293" s="49"/>
      <c r="C2293" s="49"/>
      <c r="D2293" s="50" t="str">
        <f t="shared" si="175"/>
        <v/>
      </c>
      <c r="E2293" s="50" t="str">
        <f t="shared" si="176"/>
        <v/>
      </c>
      <c r="F2293" s="50" t="str">
        <f t="shared" si="177"/>
        <v/>
      </c>
      <c r="G2293" s="50" t="str">
        <f t="shared" si="178"/>
        <v/>
      </c>
      <c r="H2293" s="51" t="str">
        <f>IF($C2293="","",IFERROR(DATE(G2293,VLOOKUP(E2293,Paramètres!$K$11:$L$40,2,FALSE()),F2293),"?"))</f>
        <v/>
      </c>
      <c r="I2293" s="50" t="str">
        <f>IF(ISNUMBER(H2293),IF(COUNTIFS($D$2:D2293,D2293,$H$2:H2293,H2293)=1,1,0),"")</f>
        <v/>
      </c>
      <c r="J2293" s="50" t="str">
        <f>IF(ISNUMBER(H2293),IFERROR(INDEX(Calendrier!$C$2:$C$367,MATCH(H2293,Calendrier!$A$2:$A$367,0)),0),"")</f>
        <v/>
      </c>
      <c r="K2293" s="50" t="str">
        <f t="shared" si="179"/>
        <v/>
      </c>
      <c r="L2293" s="50" t="str">
        <f>IF(D2293="","",IF(COUNTIF(Paramètres!$A$11:$A$40,D2293)&gt;0,1,0))</f>
        <v/>
      </c>
    </row>
    <row r="2294" spans="1:12" hidden="1" x14ac:dyDescent="0.25">
      <c r="A2294" s="49"/>
      <c r="B2294" s="49"/>
      <c r="C2294" s="49"/>
      <c r="D2294" s="50" t="str">
        <f t="shared" si="175"/>
        <v/>
      </c>
      <c r="E2294" s="50" t="str">
        <f t="shared" si="176"/>
        <v/>
      </c>
      <c r="F2294" s="50" t="str">
        <f t="shared" si="177"/>
        <v/>
      </c>
      <c r="G2294" s="50" t="str">
        <f t="shared" si="178"/>
        <v/>
      </c>
      <c r="H2294" s="51" t="str">
        <f>IF($C2294="","",IFERROR(DATE(G2294,VLOOKUP(E2294,Paramètres!$K$11:$L$40,2,FALSE()),F2294),"?"))</f>
        <v/>
      </c>
      <c r="I2294" s="50" t="str">
        <f>IF(ISNUMBER(H2294),IF(COUNTIFS($D$2:D2294,D2294,$H$2:H2294,H2294)=1,1,0),"")</f>
        <v/>
      </c>
      <c r="J2294" s="50" t="str">
        <f>IF(ISNUMBER(H2294),IFERROR(INDEX(Calendrier!$C$2:$C$367,MATCH(H2294,Calendrier!$A$2:$A$367,0)),0),"")</f>
        <v/>
      </c>
      <c r="K2294" s="50" t="str">
        <f t="shared" si="179"/>
        <v/>
      </c>
      <c r="L2294" s="50" t="str">
        <f>IF(D2294="","",IF(COUNTIF(Paramètres!$A$11:$A$40,D2294)&gt;0,1,0))</f>
        <v/>
      </c>
    </row>
    <row r="2295" spans="1:12" hidden="1" x14ac:dyDescent="0.25">
      <c r="A2295" s="49"/>
      <c r="B2295" s="49"/>
      <c r="C2295" s="49"/>
      <c r="D2295" s="50" t="str">
        <f t="shared" si="175"/>
        <v/>
      </c>
      <c r="E2295" s="50" t="str">
        <f t="shared" si="176"/>
        <v/>
      </c>
      <c r="F2295" s="50" t="str">
        <f t="shared" si="177"/>
        <v/>
      </c>
      <c r="G2295" s="50" t="str">
        <f t="shared" si="178"/>
        <v/>
      </c>
      <c r="H2295" s="51" t="str">
        <f>IF($C2295="","",IFERROR(DATE(G2295,VLOOKUP(E2295,Paramètres!$K$11:$L$40,2,FALSE()),F2295),"?"))</f>
        <v/>
      </c>
      <c r="I2295" s="50" t="str">
        <f>IF(ISNUMBER(H2295),IF(COUNTIFS($D$2:D2295,D2295,$H$2:H2295,H2295)=1,1,0),"")</f>
        <v/>
      </c>
      <c r="J2295" s="50" t="str">
        <f>IF(ISNUMBER(H2295),IFERROR(INDEX(Calendrier!$C$2:$C$367,MATCH(H2295,Calendrier!$A$2:$A$367,0)),0),"")</f>
        <v/>
      </c>
      <c r="K2295" s="50" t="str">
        <f t="shared" si="179"/>
        <v/>
      </c>
      <c r="L2295" s="50" t="str">
        <f>IF(D2295="","",IF(COUNTIF(Paramètres!$A$11:$A$40,D2295)&gt;0,1,0))</f>
        <v/>
      </c>
    </row>
    <row r="2296" spans="1:12" hidden="1" x14ac:dyDescent="0.25">
      <c r="A2296" s="49"/>
      <c r="B2296" s="49"/>
      <c r="C2296" s="49"/>
      <c r="D2296" s="50" t="str">
        <f t="shared" si="175"/>
        <v/>
      </c>
      <c r="E2296" s="50" t="str">
        <f t="shared" si="176"/>
        <v/>
      </c>
      <c r="F2296" s="50" t="str">
        <f t="shared" si="177"/>
        <v/>
      </c>
      <c r="G2296" s="50" t="str">
        <f t="shared" si="178"/>
        <v/>
      </c>
      <c r="H2296" s="51" t="str">
        <f>IF($C2296="","",IFERROR(DATE(G2296,VLOOKUP(E2296,Paramètres!$K$11:$L$40,2,FALSE()),F2296),"?"))</f>
        <v/>
      </c>
      <c r="I2296" s="50" t="str">
        <f>IF(ISNUMBER(H2296),IF(COUNTIFS($D$2:D2296,D2296,$H$2:H2296,H2296)=1,1,0),"")</f>
        <v/>
      </c>
      <c r="J2296" s="50" t="str">
        <f>IF(ISNUMBER(H2296),IFERROR(INDEX(Calendrier!$C$2:$C$367,MATCH(H2296,Calendrier!$A$2:$A$367,0)),0),"")</f>
        <v/>
      </c>
      <c r="K2296" s="50" t="str">
        <f t="shared" si="179"/>
        <v/>
      </c>
      <c r="L2296" s="50" t="str">
        <f>IF(D2296="","",IF(COUNTIF(Paramètres!$A$11:$A$40,D2296)&gt;0,1,0))</f>
        <v/>
      </c>
    </row>
    <row r="2297" spans="1:12" hidden="1" x14ac:dyDescent="0.25">
      <c r="A2297" s="49"/>
      <c r="B2297" s="49"/>
      <c r="C2297" s="49"/>
      <c r="D2297" s="50" t="str">
        <f t="shared" si="175"/>
        <v/>
      </c>
      <c r="E2297" s="50" t="str">
        <f t="shared" si="176"/>
        <v/>
      </c>
      <c r="F2297" s="50" t="str">
        <f t="shared" si="177"/>
        <v/>
      </c>
      <c r="G2297" s="50" t="str">
        <f t="shared" si="178"/>
        <v/>
      </c>
      <c r="H2297" s="51" t="str">
        <f>IF($C2297="","",IFERROR(DATE(G2297,VLOOKUP(E2297,Paramètres!$K$11:$L$40,2,FALSE()),F2297),"?"))</f>
        <v/>
      </c>
      <c r="I2297" s="50" t="str">
        <f>IF(ISNUMBER(H2297),IF(COUNTIFS($D$2:D2297,D2297,$H$2:H2297,H2297)=1,1,0),"")</f>
        <v/>
      </c>
      <c r="J2297" s="50" t="str">
        <f>IF(ISNUMBER(H2297),IFERROR(INDEX(Calendrier!$C$2:$C$367,MATCH(H2297,Calendrier!$A$2:$A$367,0)),0),"")</f>
        <v/>
      </c>
      <c r="K2297" s="50" t="str">
        <f t="shared" si="179"/>
        <v/>
      </c>
      <c r="L2297" s="50" t="str">
        <f>IF(D2297="","",IF(COUNTIF(Paramètres!$A$11:$A$40,D2297)&gt;0,1,0))</f>
        <v/>
      </c>
    </row>
    <row r="2298" spans="1:12" hidden="1" x14ac:dyDescent="0.25">
      <c r="A2298" s="49"/>
      <c r="B2298" s="49"/>
      <c r="C2298" s="49"/>
      <c r="D2298" s="50" t="str">
        <f t="shared" si="175"/>
        <v/>
      </c>
      <c r="E2298" s="50" t="str">
        <f t="shared" si="176"/>
        <v/>
      </c>
      <c r="F2298" s="50" t="str">
        <f t="shared" si="177"/>
        <v/>
      </c>
      <c r="G2298" s="50" t="str">
        <f t="shared" si="178"/>
        <v/>
      </c>
      <c r="H2298" s="51" t="str">
        <f>IF($C2298="","",IFERROR(DATE(G2298,VLOOKUP(E2298,Paramètres!$K$11:$L$40,2,FALSE()),F2298),"?"))</f>
        <v/>
      </c>
      <c r="I2298" s="50" t="str">
        <f>IF(ISNUMBER(H2298),IF(COUNTIFS($D$2:D2298,D2298,$H$2:H2298,H2298)=1,1,0),"")</f>
        <v/>
      </c>
      <c r="J2298" s="50" t="str">
        <f>IF(ISNUMBER(H2298),IFERROR(INDEX(Calendrier!$C$2:$C$367,MATCH(H2298,Calendrier!$A$2:$A$367,0)),0),"")</f>
        <v/>
      </c>
      <c r="K2298" s="50" t="str">
        <f t="shared" si="179"/>
        <v/>
      </c>
      <c r="L2298" s="50" t="str">
        <f>IF(D2298="","",IF(COUNTIF(Paramètres!$A$11:$A$40,D2298)&gt;0,1,0))</f>
        <v/>
      </c>
    </row>
    <row r="2299" spans="1:12" hidden="1" x14ac:dyDescent="0.25">
      <c r="A2299" s="49"/>
      <c r="B2299" s="49"/>
      <c r="C2299" s="49"/>
      <c r="D2299" s="50" t="str">
        <f t="shared" si="175"/>
        <v/>
      </c>
      <c r="E2299" s="50" t="str">
        <f t="shared" si="176"/>
        <v/>
      </c>
      <c r="F2299" s="50" t="str">
        <f t="shared" si="177"/>
        <v/>
      </c>
      <c r="G2299" s="50" t="str">
        <f t="shared" si="178"/>
        <v/>
      </c>
      <c r="H2299" s="51" t="str">
        <f>IF($C2299="","",IFERROR(DATE(G2299,VLOOKUP(E2299,Paramètres!$K$11:$L$40,2,FALSE()),F2299),"?"))</f>
        <v/>
      </c>
      <c r="I2299" s="50" t="str">
        <f>IF(ISNUMBER(H2299),IF(COUNTIFS($D$2:D2299,D2299,$H$2:H2299,H2299)=1,1,0),"")</f>
        <v/>
      </c>
      <c r="J2299" s="50" t="str">
        <f>IF(ISNUMBER(H2299),IFERROR(INDEX(Calendrier!$C$2:$C$367,MATCH(H2299,Calendrier!$A$2:$A$367,0)),0),"")</f>
        <v/>
      </c>
      <c r="K2299" s="50" t="str">
        <f t="shared" si="179"/>
        <v/>
      </c>
      <c r="L2299" s="50" t="str">
        <f>IF(D2299="","",IF(COUNTIF(Paramètres!$A$11:$A$40,D2299)&gt;0,1,0))</f>
        <v/>
      </c>
    </row>
    <row r="2300" spans="1:12" hidden="1" x14ac:dyDescent="0.25">
      <c r="A2300" s="49"/>
      <c r="B2300" s="49"/>
      <c r="C2300" s="49"/>
      <c r="D2300" s="50" t="str">
        <f t="shared" si="175"/>
        <v/>
      </c>
      <c r="E2300" s="50" t="str">
        <f t="shared" si="176"/>
        <v/>
      </c>
      <c r="F2300" s="50" t="str">
        <f t="shared" si="177"/>
        <v/>
      </c>
      <c r="G2300" s="50" t="str">
        <f t="shared" si="178"/>
        <v/>
      </c>
      <c r="H2300" s="51" t="str">
        <f>IF($C2300="","",IFERROR(DATE(G2300,VLOOKUP(E2300,Paramètres!$K$11:$L$40,2,FALSE()),F2300),"?"))</f>
        <v/>
      </c>
      <c r="I2300" s="50" t="str">
        <f>IF(ISNUMBER(H2300),IF(COUNTIFS($D$2:D2300,D2300,$H$2:H2300,H2300)=1,1,0),"")</f>
        <v/>
      </c>
      <c r="J2300" s="50" t="str">
        <f>IF(ISNUMBER(H2300),IFERROR(INDEX(Calendrier!$C$2:$C$367,MATCH(H2300,Calendrier!$A$2:$A$367,0)),0),"")</f>
        <v/>
      </c>
      <c r="K2300" s="50" t="str">
        <f t="shared" si="179"/>
        <v/>
      </c>
      <c r="L2300" s="50" t="str">
        <f>IF(D2300="","",IF(COUNTIF(Paramètres!$A$11:$A$40,D2300)&gt;0,1,0))</f>
        <v/>
      </c>
    </row>
    <row r="2301" spans="1:12" hidden="1" x14ac:dyDescent="0.25">
      <c r="A2301" s="49"/>
      <c r="B2301" s="49"/>
      <c r="C2301" s="49"/>
      <c r="D2301" s="50" t="str">
        <f t="shared" si="175"/>
        <v/>
      </c>
      <c r="E2301" s="50" t="str">
        <f t="shared" si="176"/>
        <v/>
      </c>
      <c r="F2301" s="50" t="str">
        <f t="shared" si="177"/>
        <v/>
      </c>
      <c r="G2301" s="50" t="str">
        <f t="shared" si="178"/>
        <v/>
      </c>
      <c r="H2301" s="51" t="str">
        <f>IF($C2301="","",IFERROR(DATE(G2301,VLOOKUP(E2301,Paramètres!$K$11:$L$40,2,FALSE()),F2301),"?"))</f>
        <v/>
      </c>
      <c r="I2301" s="50" t="str">
        <f>IF(ISNUMBER(H2301),IF(COUNTIFS($D$2:D2301,D2301,$H$2:H2301,H2301)=1,1,0),"")</f>
        <v/>
      </c>
      <c r="J2301" s="50" t="str">
        <f>IF(ISNUMBER(H2301),IFERROR(INDEX(Calendrier!$C$2:$C$367,MATCH(H2301,Calendrier!$A$2:$A$367,0)),0),"")</f>
        <v/>
      </c>
      <c r="K2301" s="50" t="str">
        <f t="shared" si="179"/>
        <v/>
      </c>
      <c r="L2301" s="50" t="str">
        <f>IF(D2301="","",IF(COUNTIF(Paramètres!$A$11:$A$40,D2301)&gt;0,1,0))</f>
        <v/>
      </c>
    </row>
    <row r="2302" spans="1:12" hidden="1" x14ac:dyDescent="0.25">
      <c r="A2302" s="49"/>
      <c r="B2302" s="49"/>
      <c r="C2302" s="49"/>
      <c r="D2302" s="50" t="str">
        <f t="shared" si="175"/>
        <v/>
      </c>
      <c r="E2302" s="50" t="str">
        <f t="shared" si="176"/>
        <v/>
      </c>
      <c r="F2302" s="50" t="str">
        <f t="shared" si="177"/>
        <v/>
      </c>
      <c r="G2302" s="50" t="str">
        <f t="shared" si="178"/>
        <v/>
      </c>
      <c r="H2302" s="51" t="str">
        <f>IF($C2302="","",IFERROR(DATE(G2302,VLOOKUP(E2302,Paramètres!$K$11:$L$40,2,FALSE()),F2302),"?"))</f>
        <v/>
      </c>
      <c r="I2302" s="50" t="str">
        <f>IF(ISNUMBER(H2302),IF(COUNTIFS($D$2:D2302,D2302,$H$2:H2302,H2302)=1,1,0),"")</f>
        <v/>
      </c>
      <c r="J2302" s="50" t="str">
        <f>IF(ISNUMBER(H2302),IFERROR(INDEX(Calendrier!$C$2:$C$367,MATCH(H2302,Calendrier!$A$2:$A$367,0)),0),"")</f>
        <v/>
      </c>
      <c r="K2302" s="50" t="str">
        <f t="shared" si="179"/>
        <v/>
      </c>
      <c r="L2302" s="50" t="str">
        <f>IF(D2302="","",IF(COUNTIF(Paramètres!$A$11:$A$40,D2302)&gt;0,1,0))</f>
        <v/>
      </c>
    </row>
    <row r="2303" spans="1:12" hidden="1" x14ac:dyDescent="0.25">
      <c r="A2303" s="49"/>
      <c r="B2303" s="49"/>
      <c r="C2303" s="49"/>
      <c r="D2303" s="50" t="str">
        <f t="shared" si="175"/>
        <v/>
      </c>
      <c r="E2303" s="50" t="str">
        <f t="shared" si="176"/>
        <v/>
      </c>
      <c r="F2303" s="50" t="str">
        <f t="shared" si="177"/>
        <v/>
      </c>
      <c r="G2303" s="50" t="str">
        <f t="shared" si="178"/>
        <v/>
      </c>
      <c r="H2303" s="51" t="str">
        <f>IF($C2303="","",IFERROR(DATE(G2303,VLOOKUP(E2303,Paramètres!$K$11:$L$40,2,FALSE()),F2303),"?"))</f>
        <v/>
      </c>
      <c r="I2303" s="50" t="str">
        <f>IF(ISNUMBER(H2303),IF(COUNTIFS($D$2:D2303,D2303,$H$2:H2303,H2303)=1,1,0),"")</f>
        <v/>
      </c>
      <c r="J2303" s="50" t="str">
        <f>IF(ISNUMBER(H2303),IFERROR(INDEX(Calendrier!$C$2:$C$367,MATCH(H2303,Calendrier!$A$2:$A$367,0)),0),"")</f>
        <v/>
      </c>
      <c r="K2303" s="50" t="str">
        <f t="shared" si="179"/>
        <v/>
      </c>
      <c r="L2303" s="50" t="str">
        <f>IF(D2303="","",IF(COUNTIF(Paramètres!$A$11:$A$40,D2303)&gt;0,1,0))</f>
        <v/>
      </c>
    </row>
    <row r="2304" spans="1:12" hidden="1" x14ac:dyDescent="0.25">
      <c r="A2304" s="49"/>
      <c r="B2304" s="49"/>
      <c r="C2304" s="49"/>
      <c r="D2304" s="50" t="str">
        <f t="shared" si="175"/>
        <v/>
      </c>
      <c r="E2304" s="50" t="str">
        <f t="shared" si="176"/>
        <v/>
      </c>
      <c r="F2304" s="50" t="str">
        <f t="shared" si="177"/>
        <v/>
      </c>
      <c r="G2304" s="50" t="str">
        <f t="shared" si="178"/>
        <v/>
      </c>
      <c r="H2304" s="51" t="str">
        <f>IF($C2304="","",IFERROR(DATE(G2304,VLOOKUP(E2304,Paramètres!$K$11:$L$40,2,FALSE()),F2304),"?"))</f>
        <v/>
      </c>
      <c r="I2304" s="50" t="str">
        <f>IF(ISNUMBER(H2304),IF(COUNTIFS($D$2:D2304,D2304,$H$2:H2304,H2304)=1,1,0),"")</f>
        <v/>
      </c>
      <c r="J2304" s="50" t="str">
        <f>IF(ISNUMBER(H2304),IFERROR(INDEX(Calendrier!$C$2:$C$367,MATCH(H2304,Calendrier!$A$2:$A$367,0)),0),"")</f>
        <v/>
      </c>
      <c r="K2304" s="50" t="str">
        <f t="shared" si="179"/>
        <v/>
      </c>
      <c r="L2304" s="50" t="str">
        <f>IF(D2304="","",IF(COUNTIF(Paramètres!$A$11:$A$40,D2304)&gt;0,1,0))</f>
        <v/>
      </c>
    </row>
    <row r="2305" spans="1:12" hidden="1" x14ac:dyDescent="0.25">
      <c r="A2305" s="49"/>
      <c r="B2305" s="49"/>
      <c r="C2305" s="49"/>
      <c r="D2305" s="50" t="str">
        <f t="shared" si="175"/>
        <v/>
      </c>
      <c r="E2305" s="50" t="str">
        <f t="shared" si="176"/>
        <v/>
      </c>
      <c r="F2305" s="50" t="str">
        <f t="shared" si="177"/>
        <v/>
      </c>
      <c r="G2305" s="50" t="str">
        <f t="shared" si="178"/>
        <v/>
      </c>
      <c r="H2305" s="51" t="str">
        <f>IF($C2305="","",IFERROR(DATE(G2305,VLOOKUP(E2305,Paramètres!$K$11:$L$40,2,FALSE()),F2305),"?"))</f>
        <v/>
      </c>
      <c r="I2305" s="50" t="str">
        <f>IF(ISNUMBER(H2305),IF(COUNTIFS($D$2:D2305,D2305,$H$2:H2305,H2305)=1,1,0),"")</f>
        <v/>
      </c>
      <c r="J2305" s="50" t="str">
        <f>IF(ISNUMBER(H2305),IFERROR(INDEX(Calendrier!$C$2:$C$367,MATCH(H2305,Calendrier!$A$2:$A$367,0)),0),"")</f>
        <v/>
      </c>
      <c r="K2305" s="50" t="str">
        <f t="shared" si="179"/>
        <v/>
      </c>
      <c r="L2305" s="50" t="str">
        <f>IF(D2305="","",IF(COUNTIF(Paramètres!$A$11:$A$40,D2305)&gt;0,1,0))</f>
        <v/>
      </c>
    </row>
    <row r="2306" spans="1:12" hidden="1" x14ac:dyDescent="0.25">
      <c r="A2306" s="49"/>
      <c r="B2306" s="49"/>
      <c r="C2306" s="49"/>
      <c r="D2306" s="50" t="str">
        <f t="shared" ref="D2306:D2369" si="180">IF(B2306="","",TRIM(B2306))</f>
        <v/>
      </c>
      <c r="E2306" s="50" t="str">
        <f t="shared" ref="E2306:E2369" si="181">IF($C2306="","",LEFT($C2306,FIND(" ",$C2306)-1))</f>
        <v/>
      </c>
      <c r="F2306" s="50" t="str">
        <f t="shared" ref="F2306:F2369" si="182">IF($C2306="","",IFERROR(VALUE(LEFT(MID($C2306,FIND(" ",$C2306)+1,20),FIND(" ",MID($C2306,FIND(" ",$C2306)+1,20))-1)),"?"))</f>
        <v/>
      </c>
      <c r="G2306" s="50" t="str">
        <f t="shared" ref="G2306:G2369" si="183">IF($C2306="","",IFERROR(VALUE(MID(MID($C2306,FIND(" ",$C2306)+1,20),FIND(" ",MID($C2306,FIND(" ",$C2306)+1,20))+1,4)),"?"))</f>
        <v/>
      </c>
      <c r="H2306" s="51" t="str">
        <f>IF($C2306="","",IFERROR(DATE(G2306,VLOOKUP(E2306,Paramètres!$K$11:$L$40,2,FALSE()),F2306),"?"))</f>
        <v/>
      </c>
      <c r="I2306" s="50" t="str">
        <f>IF(ISNUMBER(H2306),IF(COUNTIFS($D$2:D2306,D2306,$H$2:H2306,H2306)=1,1,0),"")</f>
        <v/>
      </c>
      <c r="J2306" s="50" t="str">
        <f>IF(ISNUMBER(H2306),IFERROR(INDEX(Calendrier!$C$2:$C$367,MATCH(H2306,Calendrier!$A$2:$A$367,0)),0),"")</f>
        <v/>
      </c>
      <c r="K2306" s="50" t="str">
        <f t="shared" ref="K2306:K2369" si="184">IF(ISNUMBER(H2306),I2306*J2306,"")</f>
        <v/>
      </c>
      <c r="L2306" s="50" t="str">
        <f>IF(D2306="","",IF(COUNTIF(Paramètres!$A$11:$A$40,D2306)&gt;0,1,0))</f>
        <v/>
      </c>
    </row>
    <row r="2307" spans="1:12" hidden="1" x14ac:dyDescent="0.25">
      <c r="A2307" s="49"/>
      <c r="B2307" s="49"/>
      <c r="C2307" s="49"/>
      <c r="D2307" s="50" t="str">
        <f t="shared" si="180"/>
        <v/>
      </c>
      <c r="E2307" s="50" t="str">
        <f t="shared" si="181"/>
        <v/>
      </c>
      <c r="F2307" s="50" t="str">
        <f t="shared" si="182"/>
        <v/>
      </c>
      <c r="G2307" s="50" t="str">
        <f t="shared" si="183"/>
        <v/>
      </c>
      <c r="H2307" s="51" t="str">
        <f>IF($C2307="","",IFERROR(DATE(G2307,VLOOKUP(E2307,Paramètres!$K$11:$L$40,2,FALSE()),F2307),"?"))</f>
        <v/>
      </c>
      <c r="I2307" s="50" t="str">
        <f>IF(ISNUMBER(H2307),IF(COUNTIFS($D$2:D2307,D2307,$H$2:H2307,H2307)=1,1,0),"")</f>
        <v/>
      </c>
      <c r="J2307" s="50" t="str">
        <f>IF(ISNUMBER(H2307),IFERROR(INDEX(Calendrier!$C$2:$C$367,MATCH(H2307,Calendrier!$A$2:$A$367,0)),0),"")</f>
        <v/>
      </c>
      <c r="K2307" s="50" t="str">
        <f t="shared" si="184"/>
        <v/>
      </c>
      <c r="L2307" s="50" t="str">
        <f>IF(D2307="","",IF(COUNTIF(Paramètres!$A$11:$A$40,D2307)&gt;0,1,0))</f>
        <v/>
      </c>
    </row>
    <row r="2308" spans="1:12" hidden="1" x14ac:dyDescent="0.25">
      <c r="A2308" s="49"/>
      <c r="B2308" s="49"/>
      <c r="C2308" s="49"/>
      <c r="D2308" s="50" t="str">
        <f t="shared" si="180"/>
        <v/>
      </c>
      <c r="E2308" s="50" t="str">
        <f t="shared" si="181"/>
        <v/>
      </c>
      <c r="F2308" s="50" t="str">
        <f t="shared" si="182"/>
        <v/>
      </c>
      <c r="G2308" s="50" t="str">
        <f t="shared" si="183"/>
        <v/>
      </c>
      <c r="H2308" s="51" t="str">
        <f>IF($C2308="","",IFERROR(DATE(G2308,VLOOKUP(E2308,Paramètres!$K$11:$L$40,2,FALSE()),F2308),"?"))</f>
        <v/>
      </c>
      <c r="I2308" s="50" t="str">
        <f>IF(ISNUMBER(H2308),IF(COUNTIFS($D$2:D2308,D2308,$H$2:H2308,H2308)=1,1,0),"")</f>
        <v/>
      </c>
      <c r="J2308" s="50" t="str">
        <f>IF(ISNUMBER(H2308),IFERROR(INDEX(Calendrier!$C$2:$C$367,MATCH(H2308,Calendrier!$A$2:$A$367,0)),0),"")</f>
        <v/>
      </c>
      <c r="K2308" s="50" t="str">
        <f t="shared" si="184"/>
        <v/>
      </c>
      <c r="L2308" s="50" t="str">
        <f>IF(D2308="","",IF(COUNTIF(Paramètres!$A$11:$A$40,D2308)&gt;0,1,0))</f>
        <v/>
      </c>
    </row>
    <row r="2309" spans="1:12" hidden="1" x14ac:dyDescent="0.25">
      <c r="A2309" s="49"/>
      <c r="B2309" s="49"/>
      <c r="C2309" s="49"/>
      <c r="D2309" s="50" t="str">
        <f t="shared" si="180"/>
        <v/>
      </c>
      <c r="E2309" s="50" t="str">
        <f t="shared" si="181"/>
        <v/>
      </c>
      <c r="F2309" s="50" t="str">
        <f t="shared" si="182"/>
        <v/>
      </c>
      <c r="G2309" s="50" t="str">
        <f t="shared" si="183"/>
        <v/>
      </c>
      <c r="H2309" s="51" t="str">
        <f>IF($C2309="","",IFERROR(DATE(G2309,VLOOKUP(E2309,Paramètres!$K$11:$L$40,2,FALSE()),F2309),"?"))</f>
        <v/>
      </c>
      <c r="I2309" s="50" t="str">
        <f>IF(ISNUMBER(H2309),IF(COUNTIFS($D$2:D2309,D2309,$H$2:H2309,H2309)=1,1,0),"")</f>
        <v/>
      </c>
      <c r="J2309" s="50" t="str">
        <f>IF(ISNUMBER(H2309),IFERROR(INDEX(Calendrier!$C$2:$C$367,MATCH(H2309,Calendrier!$A$2:$A$367,0)),0),"")</f>
        <v/>
      </c>
      <c r="K2309" s="50" t="str">
        <f t="shared" si="184"/>
        <v/>
      </c>
      <c r="L2309" s="50" t="str">
        <f>IF(D2309="","",IF(COUNTIF(Paramètres!$A$11:$A$40,D2309)&gt;0,1,0))</f>
        <v/>
      </c>
    </row>
    <row r="2310" spans="1:12" hidden="1" x14ac:dyDescent="0.25">
      <c r="A2310" s="49"/>
      <c r="B2310" s="49"/>
      <c r="C2310" s="49"/>
      <c r="D2310" s="50" t="str">
        <f t="shared" si="180"/>
        <v/>
      </c>
      <c r="E2310" s="50" t="str">
        <f t="shared" si="181"/>
        <v/>
      </c>
      <c r="F2310" s="50" t="str">
        <f t="shared" si="182"/>
        <v/>
      </c>
      <c r="G2310" s="50" t="str">
        <f t="shared" si="183"/>
        <v/>
      </c>
      <c r="H2310" s="51" t="str">
        <f>IF($C2310="","",IFERROR(DATE(G2310,VLOOKUP(E2310,Paramètres!$K$11:$L$40,2,FALSE()),F2310),"?"))</f>
        <v/>
      </c>
      <c r="I2310" s="50" t="str">
        <f>IF(ISNUMBER(H2310),IF(COUNTIFS($D$2:D2310,D2310,$H$2:H2310,H2310)=1,1,0),"")</f>
        <v/>
      </c>
      <c r="J2310" s="50" t="str">
        <f>IF(ISNUMBER(H2310),IFERROR(INDEX(Calendrier!$C$2:$C$367,MATCH(H2310,Calendrier!$A$2:$A$367,0)),0),"")</f>
        <v/>
      </c>
      <c r="K2310" s="50" t="str">
        <f t="shared" si="184"/>
        <v/>
      </c>
      <c r="L2310" s="50" t="str">
        <f>IF(D2310="","",IF(COUNTIF(Paramètres!$A$11:$A$40,D2310)&gt;0,1,0))</f>
        <v/>
      </c>
    </row>
    <row r="2311" spans="1:12" hidden="1" x14ac:dyDescent="0.25">
      <c r="A2311" s="49"/>
      <c r="B2311" s="49"/>
      <c r="C2311" s="49"/>
      <c r="D2311" s="50" t="str">
        <f t="shared" si="180"/>
        <v/>
      </c>
      <c r="E2311" s="50" t="str">
        <f t="shared" si="181"/>
        <v/>
      </c>
      <c r="F2311" s="50" t="str">
        <f t="shared" si="182"/>
        <v/>
      </c>
      <c r="G2311" s="50" t="str">
        <f t="shared" si="183"/>
        <v/>
      </c>
      <c r="H2311" s="51" t="str">
        <f>IF($C2311="","",IFERROR(DATE(G2311,VLOOKUP(E2311,Paramètres!$K$11:$L$40,2,FALSE()),F2311),"?"))</f>
        <v/>
      </c>
      <c r="I2311" s="50" t="str">
        <f>IF(ISNUMBER(H2311),IF(COUNTIFS($D$2:D2311,D2311,$H$2:H2311,H2311)=1,1,0),"")</f>
        <v/>
      </c>
      <c r="J2311" s="50" t="str">
        <f>IF(ISNUMBER(H2311),IFERROR(INDEX(Calendrier!$C$2:$C$367,MATCH(H2311,Calendrier!$A$2:$A$367,0)),0),"")</f>
        <v/>
      </c>
      <c r="K2311" s="50" t="str">
        <f t="shared" si="184"/>
        <v/>
      </c>
      <c r="L2311" s="50" t="str">
        <f>IF(D2311="","",IF(COUNTIF(Paramètres!$A$11:$A$40,D2311)&gt;0,1,0))</f>
        <v/>
      </c>
    </row>
    <row r="2312" spans="1:12" hidden="1" x14ac:dyDescent="0.25">
      <c r="A2312" s="49"/>
      <c r="B2312" s="49"/>
      <c r="C2312" s="49"/>
      <c r="D2312" s="50" t="str">
        <f t="shared" si="180"/>
        <v/>
      </c>
      <c r="E2312" s="50" t="str">
        <f t="shared" si="181"/>
        <v/>
      </c>
      <c r="F2312" s="50" t="str">
        <f t="shared" si="182"/>
        <v/>
      </c>
      <c r="G2312" s="50" t="str">
        <f t="shared" si="183"/>
        <v/>
      </c>
      <c r="H2312" s="51" t="str">
        <f>IF($C2312="","",IFERROR(DATE(G2312,VLOOKUP(E2312,Paramètres!$K$11:$L$40,2,FALSE()),F2312),"?"))</f>
        <v/>
      </c>
      <c r="I2312" s="50" t="str">
        <f>IF(ISNUMBER(H2312),IF(COUNTIFS($D$2:D2312,D2312,$H$2:H2312,H2312)=1,1,0),"")</f>
        <v/>
      </c>
      <c r="J2312" s="50" t="str">
        <f>IF(ISNUMBER(H2312),IFERROR(INDEX(Calendrier!$C$2:$C$367,MATCH(H2312,Calendrier!$A$2:$A$367,0)),0),"")</f>
        <v/>
      </c>
      <c r="K2312" s="50" t="str">
        <f t="shared" si="184"/>
        <v/>
      </c>
      <c r="L2312" s="50" t="str">
        <f>IF(D2312="","",IF(COUNTIF(Paramètres!$A$11:$A$40,D2312)&gt;0,1,0))</f>
        <v/>
      </c>
    </row>
    <row r="2313" spans="1:12" hidden="1" x14ac:dyDescent="0.25">
      <c r="A2313" s="49"/>
      <c r="B2313" s="49"/>
      <c r="C2313" s="49"/>
      <c r="D2313" s="50" t="str">
        <f t="shared" si="180"/>
        <v/>
      </c>
      <c r="E2313" s="50" t="str">
        <f t="shared" si="181"/>
        <v/>
      </c>
      <c r="F2313" s="50" t="str">
        <f t="shared" si="182"/>
        <v/>
      </c>
      <c r="G2313" s="50" t="str">
        <f t="shared" si="183"/>
        <v/>
      </c>
      <c r="H2313" s="51" t="str">
        <f>IF($C2313="","",IFERROR(DATE(G2313,VLOOKUP(E2313,Paramètres!$K$11:$L$40,2,FALSE()),F2313),"?"))</f>
        <v/>
      </c>
      <c r="I2313" s="50" t="str">
        <f>IF(ISNUMBER(H2313),IF(COUNTIFS($D$2:D2313,D2313,$H$2:H2313,H2313)=1,1,0),"")</f>
        <v/>
      </c>
      <c r="J2313" s="50" t="str">
        <f>IF(ISNUMBER(H2313),IFERROR(INDEX(Calendrier!$C$2:$C$367,MATCH(H2313,Calendrier!$A$2:$A$367,0)),0),"")</f>
        <v/>
      </c>
      <c r="K2313" s="50" t="str">
        <f t="shared" si="184"/>
        <v/>
      </c>
      <c r="L2313" s="50" t="str">
        <f>IF(D2313="","",IF(COUNTIF(Paramètres!$A$11:$A$40,D2313)&gt;0,1,0))</f>
        <v/>
      </c>
    </row>
    <row r="2314" spans="1:12" hidden="1" x14ac:dyDescent="0.25">
      <c r="A2314" s="49"/>
      <c r="B2314" s="49"/>
      <c r="C2314" s="49"/>
      <c r="D2314" s="50" t="str">
        <f t="shared" si="180"/>
        <v/>
      </c>
      <c r="E2314" s="50" t="str">
        <f t="shared" si="181"/>
        <v/>
      </c>
      <c r="F2314" s="50" t="str">
        <f t="shared" si="182"/>
        <v/>
      </c>
      <c r="G2314" s="50" t="str">
        <f t="shared" si="183"/>
        <v/>
      </c>
      <c r="H2314" s="51" t="str">
        <f>IF($C2314="","",IFERROR(DATE(G2314,VLOOKUP(E2314,Paramètres!$K$11:$L$40,2,FALSE()),F2314),"?"))</f>
        <v/>
      </c>
      <c r="I2314" s="50" t="str">
        <f>IF(ISNUMBER(H2314),IF(COUNTIFS($D$2:D2314,D2314,$H$2:H2314,H2314)=1,1,0),"")</f>
        <v/>
      </c>
      <c r="J2314" s="50" t="str">
        <f>IF(ISNUMBER(H2314),IFERROR(INDEX(Calendrier!$C$2:$C$367,MATCH(H2314,Calendrier!$A$2:$A$367,0)),0),"")</f>
        <v/>
      </c>
      <c r="K2314" s="50" t="str">
        <f t="shared" si="184"/>
        <v/>
      </c>
      <c r="L2314" s="50" t="str">
        <f>IF(D2314="","",IF(COUNTIF(Paramètres!$A$11:$A$40,D2314)&gt;0,1,0))</f>
        <v/>
      </c>
    </row>
    <row r="2315" spans="1:12" hidden="1" x14ac:dyDescent="0.25">
      <c r="A2315" s="49"/>
      <c r="B2315" s="49"/>
      <c r="C2315" s="49"/>
      <c r="D2315" s="50" t="str">
        <f t="shared" si="180"/>
        <v/>
      </c>
      <c r="E2315" s="50" t="str">
        <f t="shared" si="181"/>
        <v/>
      </c>
      <c r="F2315" s="50" t="str">
        <f t="shared" si="182"/>
        <v/>
      </c>
      <c r="G2315" s="50" t="str">
        <f t="shared" si="183"/>
        <v/>
      </c>
      <c r="H2315" s="51" t="str">
        <f>IF($C2315="","",IFERROR(DATE(G2315,VLOOKUP(E2315,Paramètres!$K$11:$L$40,2,FALSE()),F2315),"?"))</f>
        <v/>
      </c>
      <c r="I2315" s="50" t="str">
        <f>IF(ISNUMBER(H2315),IF(COUNTIFS($D$2:D2315,D2315,$H$2:H2315,H2315)=1,1,0),"")</f>
        <v/>
      </c>
      <c r="J2315" s="50" t="str">
        <f>IF(ISNUMBER(H2315),IFERROR(INDEX(Calendrier!$C$2:$C$367,MATCH(H2315,Calendrier!$A$2:$A$367,0)),0),"")</f>
        <v/>
      </c>
      <c r="K2315" s="50" t="str">
        <f t="shared" si="184"/>
        <v/>
      </c>
      <c r="L2315" s="50" t="str">
        <f>IF(D2315="","",IF(COUNTIF(Paramètres!$A$11:$A$40,D2315)&gt;0,1,0))</f>
        <v/>
      </c>
    </row>
    <row r="2316" spans="1:12" hidden="1" x14ac:dyDescent="0.25">
      <c r="A2316" s="49"/>
      <c r="B2316" s="49"/>
      <c r="C2316" s="49"/>
      <c r="D2316" s="50" t="str">
        <f t="shared" si="180"/>
        <v/>
      </c>
      <c r="E2316" s="50" t="str">
        <f t="shared" si="181"/>
        <v/>
      </c>
      <c r="F2316" s="50" t="str">
        <f t="shared" si="182"/>
        <v/>
      </c>
      <c r="G2316" s="50" t="str">
        <f t="shared" si="183"/>
        <v/>
      </c>
      <c r="H2316" s="51" t="str">
        <f>IF($C2316="","",IFERROR(DATE(G2316,VLOOKUP(E2316,Paramètres!$K$11:$L$40,2,FALSE()),F2316),"?"))</f>
        <v/>
      </c>
      <c r="I2316" s="50" t="str">
        <f>IF(ISNUMBER(H2316),IF(COUNTIFS($D$2:D2316,D2316,$H$2:H2316,H2316)=1,1,0),"")</f>
        <v/>
      </c>
      <c r="J2316" s="50" t="str">
        <f>IF(ISNUMBER(H2316),IFERROR(INDEX(Calendrier!$C$2:$C$367,MATCH(H2316,Calendrier!$A$2:$A$367,0)),0),"")</f>
        <v/>
      </c>
      <c r="K2316" s="50" t="str">
        <f t="shared" si="184"/>
        <v/>
      </c>
      <c r="L2316" s="50" t="str">
        <f>IF(D2316="","",IF(COUNTIF(Paramètres!$A$11:$A$40,D2316)&gt;0,1,0))</f>
        <v/>
      </c>
    </row>
    <row r="2317" spans="1:12" hidden="1" x14ac:dyDescent="0.25">
      <c r="A2317" s="49"/>
      <c r="B2317" s="49"/>
      <c r="C2317" s="49"/>
      <c r="D2317" s="50" t="str">
        <f t="shared" si="180"/>
        <v/>
      </c>
      <c r="E2317" s="50" t="str">
        <f t="shared" si="181"/>
        <v/>
      </c>
      <c r="F2317" s="50" t="str">
        <f t="shared" si="182"/>
        <v/>
      </c>
      <c r="G2317" s="50" t="str">
        <f t="shared" si="183"/>
        <v/>
      </c>
      <c r="H2317" s="51" t="str">
        <f>IF($C2317="","",IFERROR(DATE(G2317,VLOOKUP(E2317,Paramètres!$K$11:$L$40,2,FALSE()),F2317),"?"))</f>
        <v/>
      </c>
      <c r="I2317" s="50" t="str">
        <f>IF(ISNUMBER(H2317),IF(COUNTIFS($D$2:D2317,D2317,$H$2:H2317,H2317)=1,1,0),"")</f>
        <v/>
      </c>
      <c r="J2317" s="50" t="str">
        <f>IF(ISNUMBER(H2317),IFERROR(INDEX(Calendrier!$C$2:$C$367,MATCH(H2317,Calendrier!$A$2:$A$367,0)),0),"")</f>
        <v/>
      </c>
      <c r="K2317" s="50" t="str">
        <f t="shared" si="184"/>
        <v/>
      </c>
      <c r="L2317" s="50" t="str">
        <f>IF(D2317="","",IF(COUNTIF(Paramètres!$A$11:$A$40,D2317)&gt;0,1,0))</f>
        <v/>
      </c>
    </row>
    <row r="2318" spans="1:12" hidden="1" x14ac:dyDescent="0.25">
      <c r="A2318" s="49"/>
      <c r="B2318" s="49"/>
      <c r="C2318" s="49"/>
      <c r="D2318" s="50" t="str">
        <f t="shared" si="180"/>
        <v/>
      </c>
      <c r="E2318" s="50" t="str">
        <f t="shared" si="181"/>
        <v/>
      </c>
      <c r="F2318" s="50" t="str">
        <f t="shared" si="182"/>
        <v/>
      </c>
      <c r="G2318" s="50" t="str">
        <f t="shared" si="183"/>
        <v/>
      </c>
      <c r="H2318" s="51" t="str">
        <f>IF($C2318="","",IFERROR(DATE(G2318,VLOOKUP(E2318,Paramètres!$K$11:$L$40,2,FALSE()),F2318),"?"))</f>
        <v/>
      </c>
      <c r="I2318" s="50" t="str">
        <f>IF(ISNUMBER(H2318),IF(COUNTIFS($D$2:D2318,D2318,$H$2:H2318,H2318)=1,1,0),"")</f>
        <v/>
      </c>
      <c r="J2318" s="50" t="str">
        <f>IF(ISNUMBER(H2318),IFERROR(INDEX(Calendrier!$C$2:$C$367,MATCH(H2318,Calendrier!$A$2:$A$367,0)),0),"")</f>
        <v/>
      </c>
      <c r="K2318" s="50" t="str">
        <f t="shared" si="184"/>
        <v/>
      </c>
      <c r="L2318" s="50" t="str">
        <f>IF(D2318="","",IF(COUNTIF(Paramètres!$A$11:$A$40,D2318)&gt;0,1,0))</f>
        <v/>
      </c>
    </row>
    <row r="2319" spans="1:12" hidden="1" x14ac:dyDescent="0.25">
      <c r="A2319" s="49"/>
      <c r="B2319" s="49"/>
      <c r="C2319" s="49"/>
      <c r="D2319" s="50" t="str">
        <f t="shared" si="180"/>
        <v/>
      </c>
      <c r="E2319" s="50" t="str">
        <f t="shared" si="181"/>
        <v/>
      </c>
      <c r="F2319" s="50" t="str">
        <f t="shared" si="182"/>
        <v/>
      </c>
      <c r="G2319" s="50" t="str">
        <f t="shared" si="183"/>
        <v/>
      </c>
      <c r="H2319" s="51" t="str">
        <f>IF($C2319="","",IFERROR(DATE(G2319,VLOOKUP(E2319,Paramètres!$K$11:$L$40,2,FALSE()),F2319),"?"))</f>
        <v/>
      </c>
      <c r="I2319" s="50" t="str">
        <f>IF(ISNUMBER(H2319),IF(COUNTIFS($D$2:D2319,D2319,$H$2:H2319,H2319)=1,1,0),"")</f>
        <v/>
      </c>
      <c r="J2319" s="50" t="str">
        <f>IF(ISNUMBER(H2319),IFERROR(INDEX(Calendrier!$C$2:$C$367,MATCH(H2319,Calendrier!$A$2:$A$367,0)),0),"")</f>
        <v/>
      </c>
      <c r="K2319" s="50" t="str">
        <f t="shared" si="184"/>
        <v/>
      </c>
      <c r="L2319" s="50" t="str">
        <f>IF(D2319="","",IF(COUNTIF(Paramètres!$A$11:$A$40,D2319)&gt;0,1,0))</f>
        <v/>
      </c>
    </row>
    <row r="2320" spans="1:12" hidden="1" x14ac:dyDescent="0.25">
      <c r="A2320" s="49"/>
      <c r="B2320" s="49"/>
      <c r="C2320" s="49"/>
      <c r="D2320" s="50" t="str">
        <f t="shared" si="180"/>
        <v/>
      </c>
      <c r="E2320" s="50" t="str">
        <f t="shared" si="181"/>
        <v/>
      </c>
      <c r="F2320" s="50" t="str">
        <f t="shared" si="182"/>
        <v/>
      </c>
      <c r="G2320" s="50" t="str">
        <f t="shared" si="183"/>
        <v/>
      </c>
      <c r="H2320" s="51" t="str">
        <f>IF($C2320="","",IFERROR(DATE(G2320,VLOOKUP(E2320,Paramètres!$K$11:$L$40,2,FALSE()),F2320),"?"))</f>
        <v/>
      </c>
      <c r="I2320" s="50" t="str">
        <f>IF(ISNUMBER(H2320),IF(COUNTIFS($D$2:D2320,D2320,$H$2:H2320,H2320)=1,1,0),"")</f>
        <v/>
      </c>
      <c r="J2320" s="50" t="str">
        <f>IF(ISNUMBER(H2320),IFERROR(INDEX(Calendrier!$C$2:$C$367,MATCH(H2320,Calendrier!$A$2:$A$367,0)),0),"")</f>
        <v/>
      </c>
      <c r="K2320" s="50" t="str">
        <f t="shared" si="184"/>
        <v/>
      </c>
      <c r="L2320" s="50" t="str">
        <f>IF(D2320="","",IF(COUNTIF(Paramètres!$A$11:$A$40,D2320)&gt;0,1,0))</f>
        <v/>
      </c>
    </row>
    <row r="2321" spans="1:12" hidden="1" x14ac:dyDescent="0.25">
      <c r="A2321" s="49"/>
      <c r="B2321" s="49"/>
      <c r="C2321" s="49"/>
      <c r="D2321" s="50" t="str">
        <f t="shared" si="180"/>
        <v/>
      </c>
      <c r="E2321" s="50" t="str">
        <f t="shared" si="181"/>
        <v/>
      </c>
      <c r="F2321" s="50" t="str">
        <f t="shared" si="182"/>
        <v/>
      </c>
      <c r="G2321" s="50" t="str">
        <f t="shared" si="183"/>
        <v/>
      </c>
      <c r="H2321" s="51" t="str">
        <f>IF($C2321="","",IFERROR(DATE(G2321,VLOOKUP(E2321,Paramètres!$K$11:$L$40,2,FALSE()),F2321),"?"))</f>
        <v/>
      </c>
      <c r="I2321" s="50" t="str">
        <f>IF(ISNUMBER(H2321),IF(COUNTIFS($D$2:D2321,D2321,$H$2:H2321,H2321)=1,1,0),"")</f>
        <v/>
      </c>
      <c r="J2321" s="50" t="str">
        <f>IF(ISNUMBER(H2321),IFERROR(INDEX(Calendrier!$C$2:$C$367,MATCH(H2321,Calendrier!$A$2:$A$367,0)),0),"")</f>
        <v/>
      </c>
      <c r="K2321" s="50" t="str">
        <f t="shared" si="184"/>
        <v/>
      </c>
      <c r="L2321" s="50" t="str">
        <f>IF(D2321="","",IF(COUNTIF(Paramètres!$A$11:$A$40,D2321)&gt;0,1,0))</f>
        <v/>
      </c>
    </row>
    <row r="2322" spans="1:12" hidden="1" x14ac:dyDescent="0.25">
      <c r="A2322" s="49"/>
      <c r="B2322" s="49"/>
      <c r="C2322" s="49"/>
      <c r="D2322" s="50" t="str">
        <f t="shared" si="180"/>
        <v/>
      </c>
      <c r="E2322" s="50" t="str">
        <f t="shared" si="181"/>
        <v/>
      </c>
      <c r="F2322" s="50" t="str">
        <f t="shared" si="182"/>
        <v/>
      </c>
      <c r="G2322" s="50" t="str">
        <f t="shared" si="183"/>
        <v/>
      </c>
      <c r="H2322" s="51" t="str">
        <f>IF($C2322="","",IFERROR(DATE(G2322,VLOOKUP(E2322,Paramètres!$K$11:$L$40,2,FALSE()),F2322),"?"))</f>
        <v/>
      </c>
      <c r="I2322" s="50" t="str">
        <f>IF(ISNUMBER(H2322),IF(COUNTIFS($D$2:D2322,D2322,$H$2:H2322,H2322)=1,1,0),"")</f>
        <v/>
      </c>
      <c r="J2322" s="50" t="str">
        <f>IF(ISNUMBER(H2322),IFERROR(INDEX(Calendrier!$C$2:$C$367,MATCH(H2322,Calendrier!$A$2:$A$367,0)),0),"")</f>
        <v/>
      </c>
      <c r="K2322" s="50" t="str">
        <f t="shared" si="184"/>
        <v/>
      </c>
      <c r="L2322" s="50" t="str">
        <f>IF(D2322="","",IF(COUNTIF(Paramètres!$A$11:$A$40,D2322)&gt;0,1,0))</f>
        <v/>
      </c>
    </row>
    <row r="2323" spans="1:12" hidden="1" x14ac:dyDescent="0.25">
      <c r="A2323" s="49"/>
      <c r="B2323" s="49"/>
      <c r="C2323" s="49"/>
      <c r="D2323" s="50" t="str">
        <f t="shared" si="180"/>
        <v/>
      </c>
      <c r="E2323" s="50" t="str">
        <f t="shared" si="181"/>
        <v/>
      </c>
      <c r="F2323" s="50" t="str">
        <f t="shared" si="182"/>
        <v/>
      </c>
      <c r="G2323" s="50" t="str">
        <f t="shared" si="183"/>
        <v/>
      </c>
      <c r="H2323" s="51" t="str">
        <f>IF($C2323="","",IFERROR(DATE(G2323,VLOOKUP(E2323,Paramètres!$K$11:$L$40,2,FALSE()),F2323),"?"))</f>
        <v/>
      </c>
      <c r="I2323" s="50" t="str">
        <f>IF(ISNUMBER(H2323),IF(COUNTIFS($D$2:D2323,D2323,$H$2:H2323,H2323)=1,1,0),"")</f>
        <v/>
      </c>
      <c r="J2323" s="50" t="str">
        <f>IF(ISNUMBER(H2323),IFERROR(INDEX(Calendrier!$C$2:$C$367,MATCH(H2323,Calendrier!$A$2:$A$367,0)),0),"")</f>
        <v/>
      </c>
      <c r="K2323" s="50" t="str">
        <f t="shared" si="184"/>
        <v/>
      </c>
      <c r="L2323" s="50" t="str">
        <f>IF(D2323="","",IF(COUNTIF(Paramètres!$A$11:$A$40,D2323)&gt;0,1,0))</f>
        <v/>
      </c>
    </row>
    <row r="2324" spans="1:12" hidden="1" x14ac:dyDescent="0.25">
      <c r="A2324" s="49"/>
      <c r="B2324" s="49"/>
      <c r="C2324" s="49"/>
      <c r="D2324" s="50" t="str">
        <f t="shared" si="180"/>
        <v/>
      </c>
      <c r="E2324" s="50" t="str">
        <f t="shared" si="181"/>
        <v/>
      </c>
      <c r="F2324" s="50" t="str">
        <f t="shared" si="182"/>
        <v/>
      </c>
      <c r="G2324" s="50" t="str">
        <f t="shared" si="183"/>
        <v/>
      </c>
      <c r="H2324" s="51" t="str">
        <f>IF($C2324="","",IFERROR(DATE(G2324,VLOOKUP(E2324,Paramètres!$K$11:$L$40,2,FALSE()),F2324),"?"))</f>
        <v/>
      </c>
      <c r="I2324" s="50" t="str">
        <f>IF(ISNUMBER(H2324),IF(COUNTIFS($D$2:D2324,D2324,$H$2:H2324,H2324)=1,1,0),"")</f>
        <v/>
      </c>
      <c r="J2324" s="50" t="str">
        <f>IF(ISNUMBER(H2324),IFERROR(INDEX(Calendrier!$C$2:$C$367,MATCH(H2324,Calendrier!$A$2:$A$367,0)),0),"")</f>
        <v/>
      </c>
      <c r="K2324" s="50" t="str">
        <f t="shared" si="184"/>
        <v/>
      </c>
      <c r="L2324" s="50" t="str">
        <f>IF(D2324="","",IF(COUNTIF(Paramètres!$A$11:$A$40,D2324)&gt;0,1,0))</f>
        <v/>
      </c>
    </row>
    <row r="2325" spans="1:12" hidden="1" x14ac:dyDescent="0.25">
      <c r="A2325" s="49"/>
      <c r="B2325" s="49"/>
      <c r="C2325" s="49"/>
      <c r="D2325" s="50" t="str">
        <f t="shared" si="180"/>
        <v/>
      </c>
      <c r="E2325" s="50" t="str">
        <f t="shared" si="181"/>
        <v/>
      </c>
      <c r="F2325" s="50" t="str">
        <f t="shared" si="182"/>
        <v/>
      </c>
      <c r="G2325" s="50" t="str">
        <f t="shared" si="183"/>
        <v/>
      </c>
      <c r="H2325" s="51" t="str">
        <f>IF($C2325="","",IFERROR(DATE(G2325,VLOOKUP(E2325,Paramètres!$K$11:$L$40,2,FALSE()),F2325),"?"))</f>
        <v/>
      </c>
      <c r="I2325" s="50" t="str">
        <f>IF(ISNUMBER(H2325),IF(COUNTIFS($D$2:D2325,D2325,$H$2:H2325,H2325)=1,1,0),"")</f>
        <v/>
      </c>
      <c r="J2325" s="50" t="str">
        <f>IF(ISNUMBER(H2325),IFERROR(INDEX(Calendrier!$C$2:$C$367,MATCH(H2325,Calendrier!$A$2:$A$367,0)),0),"")</f>
        <v/>
      </c>
      <c r="K2325" s="50" t="str">
        <f t="shared" si="184"/>
        <v/>
      </c>
      <c r="L2325" s="50" t="str">
        <f>IF(D2325="","",IF(COUNTIF(Paramètres!$A$11:$A$40,D2325)&gt;0,1,0))</f>
        <v/>
      </c>
    </row>
    <row r="2326" spans="1:12" hidden="1" x14ac:dyDescent="0.25">
      <c r="A2326" s="49"/>
      <c r="B2326" s="49"/>
      <c r="C2326" s="49"/>
      <c r="D2326" s="50" t="str">
        <f t="shared" si="180"/>
        <v/>
      </c>
      <c r="E2326" s="50" t="str">
        <f t="shared" si="181"/>
        <v/>
      </c>
      <c r="F2326" s="50" t="str">
        <f t="shared" si="182"/>
        <v/>
      </c>
      <c r="G2326" s="50" t="str">
        <f t="shared" si="183"/>
        <v/>
      </c>
      <c r="H2326" s="51" t="str">
        <f>IF($C2326="","",IFERROR(DATE(G2326,VLOOKUP(E2326,Paramètres!$K$11:$L$40,2,FALSE()),F2326),"?"))</f>
        <v/>
      </c>
      <c r="I2326" s="50" t="str">
        <f>IF(ISNUMBER(H2326),IF(COUNTIFS($D$2:D2326,D2326,$H$2:H2326,H2326)=1,1,0),"")</f>
        <v/>
      </c>
      <c r="J2326" s="50" t="str">
        <f>IF(ISNUMBER(H2326),IFERROR(INDEX(Calendrier!$C$2:$C$367,MATCH(H2326,Calendrier!$A$2:$A$367,0)),0),"")</f>
        <v/>
      </c>
      <c r="K2326" s="50" t="str">
        <f t="shared" si="184"/>
        <v/>
      </c>
      <c r="L2326" s="50" t="str">
        <f>IF(D2326="","",IF(COUNTIF(Paramètres!$A$11:$A$40,D2326)&gt;0,1,0))</f>
        <v/>
      </c>
    </row>
    <row r="2327" spans="1:12" hidden="1" x14ac:dyDescent="0.25">
      <c r="A2327" s="49"/>
      <c r="B2327" s="49"/>
      <c r="C2327" s="49"/>
      <c r="D2327" s="50" t="str">
        <f t="shared" si="180"/>
        <v/>
      </c>
      <c r="E2327" s="50" t="str">
        <f t="shared" si="181"/>
        <v/>
      </c>
      <c r="F2327" s="50" t="str">
        <f t="shared" si="182"/>
        <v/>
      </c>
      <c r="G2327" s="50" t="str">
        <f t="shared" si="183"/>
        <v/>
      </c>
      <c r="H2327" s="51" t="str">
        <f>IF($C2327="","",IFERROR(DATE(G2327,VLOOKUP(E2327,Paramètres!$K$11:$L$40,2,FALSE()),F2327),"?"))</f>
        <v/>
      </c>
      <c r="I2327" s="50" t="str">
        <f>IF(ISNUMBER(H2327),IF(COUNTIFS($D$2:D2327,D2327,$H$2:H2327,H2327)=1,1,0),"")</f>
        <v/>
      </c>
      <c r="J2327" s="50" t="str">
        <f>IF(ISNUMBER(H2327),IFERROR(INDEX(Calendrier!$C$2:$C$367,MATCH(H2327,Calendrier!$A$2:$A$367,0)),0),"")</f>
        <v/>
      </c>
      <c r="K2327" s="50" t="str">
        <f t="shared" si="184"/>
        <v/>
      </c>
      <c r="L2327" s="50" t="str">
        <f>IF(D2327="","",IF(COUNTIF(Paramètres!$A$11:$A$40,D2327)&gt;0,1,0))</f>
        <v/>
      </c>
    </row>
    <row r="2328" spans="1:12" hidden="1" x14ac:dyDescent="0.25">
      <c r="A2328" s="49"/>
      <c r="B2328" s="49"/>
      <c r="C2328" s="49"/>
      <c r="D2328" s="50" t="str">
        <f t="shared" si="180"/>
        <v/>
      </c>
      <c r="E2328" s="50" t="str">
        <f t="shared" si="181"/>
        <v/>
      </c>
      <c r="F2328" s="50" t="str">
        <f t="shared" si="182"/>
        <v/>
      </c>
      <c r="G2328" s="50" t="str">
        <f t="shared" si="183"/>
        <v/>
      </c>
      <c r="H2328" s="51" t="str">
        <f>IF($C2328="","",IFERROR(DATE(G2328,VLOOKUP(E2328,Paramètres!$K$11:$L$40,2,FALSE()),F2328),"?"))</f>
        <v/>
      </c>
      <c r="I2328" s="50" t="str">
        <f>IF(ISNUMBER(H2328),IF(COUNTIFS($D$2:D2328,D2328,$H$2:H2328,H2328)=1,1,0),"")</f>
        <v/>
      </c>
      <c r="J2328" s="50" t="str">
        <f>IF(ISNUMBER(H2328),IFERROR(INDEX(Calendrier!$C$2:$C$367,MATCH(H2328,Calendrier!$A$2:$A$367,0)),0),"")</f>
        <v/>
      </c>
      <c r="K2328" s="50" t="str">
        <f t="shared" si="184"/>
        <v/>
      </c>
      <c r="L2328" s="50" t="str">
        <f>IF(D2328="","",IF(COUNTIF(Paramètres!$A$11:$A$40,D2328)&gt;0,1,0))</f>
        <v/>
      </c>
    </row>
    <row r="2329" spans="1:12" hidden="1" x14ac:dyDescent="0.25">
      <c r="A2329" s="49"/>
      <c r="B2329" s="49"/>
      <c r="C2329" s="49"/>
      <c r="D2329" s="50" t="str">
        <f t="shared" si="180"/>
        <v/>
      </c>
      <c r="E2329" s="50" t="str">
        <f t="shared" si="181"/>
        <v/>
      </c>
      <c r="F2329" s="50" t="str">
        <f t="shared" si="182"/>
        <v/>
      </c>
      <c r="G2329" s="50" t="str">
        <f t="shared" si="183"/>
        <v/>
      </c>
      <c r="H2329" s="51" t="str">
        <f>IF($C2329="","",IFERROR(DATE(G2329,VLOOKUP(E2329,Paramètres!$K$11:$L$40,2,FALSE()),F2329),"?"))</f>
        <v/>
      </c>
      <c r="I2329" s="50" t="str">
        <f>IF(ISNUMBER(H2329),IF(COUNTIFS($D$2:D2329,D2329,$H$2:H2329,H2329)=1,1,0),"")</f>
        <v/>
      </c>
      <c r="J2329" s="50" t="str">
        <f>IF(ISNUMBER(H2329),IFERROR(INDEX(Calendrier!$C$2:$C$367,MATCH(H2329,Calendrier!$A$2:$A$367,0)),0),"")</f>
        <v/>
      </c>
      <c r="K2329" s="50" t="str">
        <f t="shared" si="184"/>
        <v/>
      </c>
      <c r="L2329" s="50" t="str">
        <f>IF(D2329="","",IF(COUNTIF(Paramètres!$A$11:$A$40,D2329)&gt;0,1,0))</f>
        <v/>
      </c>
    </row>
    <row r="2330" spans="1:12" hidden="1" x14ac:dyDescent="0.25">
      <c r="A2330" s="49"/>
      <c r="B2330" s="49"/>
      <c r="C2330" s="49"/>
      <c r="D2330" s="50" t="str">
        <f t="shared" si="180"/>
        <v/>
      </c>
      <c r="E2330" s="50" t="str">
        <f t="shared" si="181"/>
        <v/>
      </c>
      <c r="F2330" s="50" t="str">
        <f t="shared" si="182"/>
        <v/>
      </c>
      <c r="G2330" s="50" t="str">
        <f t="shared" si="183"/>
        <v/>
      </c>
      <c r="H2330" s="51" t="str">
        <f>IF($C2330="","",IFERROR(DATE(G2330,VLOOKUP(E2330,Paramètres!$K$11:$L$40,2,FALSE()),F2330),"?"))</f>
        <v/>
      </c>
      <c r="I2330" s="50" t="str">
        <f>IF(ISNUMBER(H2330),IF(COUNTIFS($D$2:D2330,D2330,$H$2:H2330,H2330)=1,1,0),"")</f>
        <v/>
      </c>
      <c r="J2330" s="50" t="str">
        <f>IF(ISNUMBER(H2330),IFERROR(INDEX(Calendrier!$C$2:$C$367,MATCH(H2330,Calendrier!$A$2:$A$367,0)),0),"")</f>
        <v/>
      </c>
      <c r="K2330" s="50" t="str">
        <f t="shared" si="184"/>
        <v/>
      </c>
      <c r="L2330" s="50" t="str">
        <f>IF(D2330="","",IF(COUNTIF(Paramètres!$A$11:$A$40,D2330)&gt;0,1,0))</f>
        <v/>
      </c>
    </row>
    <row r="2331" spans="1:12" hidden="1" x14ac:dyDescent="0.25">
      <c r="A2331" s="49"/>
      <c r="B2331" s="49"/>
      <c r="C2331" s="49"/>
      <c r="D2331" s="50" t="str">
        <f t="shared" si="180"/>
        <v/>
      </c>
      <c r="E2331" s="50" t="str">
        <f t="shared" si="181"/>
        <v/>
      </c>
      <c r="F2331" s="50" t="str">
        <f t="shared" si="182"/>
        <v/>
      </c>
      <c r="G2331" s="50" t="str">
        <f t="shared" si="183"/>
        <v/>
      </c>
      <c r="H2331" s="51" t="str">
        <f>IF($C2331="","",IFERROR(DATE(G2331,VLOOKUP(E2331,Paramètres!$K$11:$L$40,2,FALSE()),F2331),"?"))</f>
        <v/>
      </c>
      <c r="I2331" s="50" t="str">
        <f>IF(ISNUMBER(H2331),IF(COUNTIFS($D$2:D2331,D2331,$H$2:H2331,H2331)=1,1,0),"")</f>
        <v/>
      </c>
      <c r="J2331" s="50" t="str">
        <f>IF(ISNUMBER(H2331),IFERROR(INDEX(Calendrier!$C$2:$C$367,MATCH(H2331,Calendrier!$A$2:$A$367,0)),0),"")</f>
        <v/>
      </c>
      <c r="K2331" s="50" t="str">
        <f t="shared" si="184"/>
        <v/>
      </c>
      <c r="L2331" s="50" t="str">
        <f>IF(D2331="","",IF(COUNTIF(Paramètres!$A$11:$A$40,D2331)&gt;0,1,0))</f>
        <v/>
      </c>
    </row>
    <row r="2332" spans="1:12" hidden="1" x14ac:dyDescent="0.25">
      <c r="A2332" s="49"/>
      <c r="B2332" s="49"/>
      <c r="C2332" s="49"/>
      <c r="D2332" s="50" t="str">
        <f t="shared" si="180"/>
        <v/>
      </c>
      <c r="E2332" s="50" t="str">
        <f t="shared" si="181"/>
        <v/>
      </c>
      <c r="F2332" s="50" t="str">
        <f t="shared" si="182"/>
        <v/>
      </c>
      <c r="G2332" s="50" t="str">
        <f t="shared" si="183"/>
        <v/>
      </c>
      <c r="H2332" s="51" t="str">
        <f>IF($C2332="","",IFERROR(DATE(G2332,VLOOKUP(E2332,Paramètres!$K$11:$L$40,2,FALSE()),F2332),"?"))</f>
        <v/>
      </c>
      <c r="I2332" s="50" t="str">
        <f>IF(ISNUMBER(H2332),IF(COUNTIFS($D$2:D2332,D2332,$H$2:H2332,H2332)=1,1,0),"")</f>
        <v/>
      </c>
      <c r="J2332" s="50" t="str">
        <f>IF(ISNUMBER(H2332),IFERROR(INDEX(Calendrier!$C$2:$C$367,MATCH(H2332,Calendrier!$A$2:$A$367,0)),0),"")</f>
        <v/>
      </c>
      <c r="K2332" s="50" t="str">
        <f t="shared" si="184"/>
        <v/>
      </c>
      <c r="L2332" s="50" t="str">
        <f>IF(D2332="","",IF(COUNTIF(Paramètres!$A$11:$A$40,D2332)&gt;0,1,0))</f>
        <v/>
      </c>
    </row>
    <row r="2333" spans="1:12" hidden="1" x14ac:dyDescent="0.25">
      <c r="A2333" s="49"/>
      <c r="B2333" s="49"/>
      <c r="C2333" s="49"/>
      <c r="D2333" s="50" t="str">
        <f t="shared" si="180"/>
        <v/>
      </c>
      <c r="E2333" s="50" t="str">
        <f t="shared" si="181"/>
        <v/>
      </c>
      <c r="F2333" s="50" t="str">
        <f t="shared" si="182"/>
        <v/>
      </c>
      <c r="G2333" s="50" t="str">
        <f t="shared" si="183"/>
        <v/>
      </c>
      <c r="H2333" s="51" t="str">
        <f>IF($C2333="","",IFERROR(DATE(G2333,VLOOKUP(E2333,Paramètres!$K$11:$L$40,2,FALSE()),F2333),"?"))</f>
        <v/>
      </c>
      <c r="I2333" s="50" t="str">
        <f>IF(ISNUMBER(H2333),IF(COUNTIFS($D$2:D2333,D2333,$H$2:H2333,H2333)=1,1,0),"")</f>
        <v/>
      </c>
      <c r="J2333" s="50" t="str">
        <f>IF(ISNUMBER(H2333),IFERROR(INDEX(Calendrier!$C$2:$C$367,MATCH(H2333,Calendrier!$A$2:$A$367,0)),0),"")</f>
        <v/>
      </c>
      <c r="K2333" s="50" t="str">
        <f t="shared" si="184"/>
        <v/>
      </c>
      <c r="L2333" s="50" t="str">
        <f>IF(D2333="","",IF(COUNTIF(Paramètres!$A$11:$A$40,D2333)&gt;0,1,0))</f>
        <v/>
      </c>
    </row>
    <row r="2334" spans="1:12" hidden="1" x14ac:dyDescent="0.25">
      <c r="A2334" s="49"/>
      <c r="B2334" s="49"/>
      <c r="C2334" s="49"/>
      <c r="D2334" s="50" t="str">
        <f t="shared" si="180"/>
        <v/>
      </c>
      <c r="E2334" s="50" t="str">
        <f t="shared" si="181"/>
        <v/>
      </c>
      <c r="F2334" s="50" t="str">
        <f t="shared" si="182"/>
        <v/>
      </c>
      <c r="G2334" s="50" t="str">
        <f t="shared" si="183"/>
        <v/>
      </c>
      <c r="H2334" s="51" t="str">
        <f>IF($C2334="","",IFERROR(DATE(G2334,VLOOKUP(E2334,Paramètres!$K$11:$L$40,2,FALSE()),F2334),"?"))</f>
        <v/>
      </c>
      <c r="I2334" s="50" t="str">
        <f>IF(ISNUMBER(H2334),IF(COUNTIFS($D$2:D2334,D2334,$H$2:H2334,H2334)=1,1,0),"")</f>
        <v/>
      </c>
      <c r="J2334" s="50" t="str">
        <f>IF(ISNUMBER(H2334),IFERROR(INDEX(Calendrier!$C$2:$C$367,MATCH(H2334,Calendrier!$A$2:$A$367,0)),0),"")</f>
        <v/>
      </c>
      <c r="K2334" s="50" t="str">
        <f t="shared" si="184"/>
        <v/>
      </c>
      <c r="L2334" s="50" t="str">
        <f>IF(D2334="","",IF(COUNTIF(Paramètres!$A$11:$A$40,D2334)&gt;0,1,0))</f>
        <v/>
      </c>
    </row>
    <row r="2335" spans="1:12" hidden="1" x14ac:dyDescent="0.25">
      <c r="A2335" s="49"/>
      <c r="B2335" s="49"/>
      <c r="C2335" s="49"/>
      <c r="D2335" s="50" t="str">
        <f t="shared" si="180"/>
        <v/>
      </c>
      <c r="E2335" s="50" t="str">
        <f t="shared" si="181"/>
        <v/>
      </c>
      <c r="F2335" s="50" t="str">
        <f t="shared" si="182"/>
        <v/>
      </c>
      <c r="G2335" s="50" t="str">
        <f t="shared" si="183"/>
        <v/>
      </c>
      <c r="H2335" s="51" t="str">
        <f>IF($C2335="","",IFERROR(DATE(G2335,VLOOKUP(E2335,Paramètres!$K$11:$L$40,2,FALSE()),F2335),"?"))</f>
        <v/>
      </c>
      <c r="I2335" s="50" t="str">
        <f>IF(ISNUMBER(H2335),IF(COUNTIFS($D$2:D2335,D2335,$H$2:H2335,H2335)=1,1,0),"")</f>
        <v/>
      </c>
      <c r="J2335" s="50" t="str">
        <f>IF(ISNUMBER(H2335),IFERROR(INDEX(Calendrier!$C$2:$C$367,MATCH(H2335,Calendrier!$A$2:$A$367,0)),0),"")</f>
        <v/>
      </c>
      <c r="K2335" s="50" t="str">
        <f t="shared" si="184"/>
        <v/>
      </c>
      <c r="L2335" s="50" t="str">
        <f>IF(D2335="","",IF(COUNTIF(Paramètres!$A$11:$A$40,D2335)&gt;0,1,0))</f>
        <v/>
      </c>
    </row>
    <row r="2336" spans="1:12" hidden="1" x14ac:dyDescent="0.25">
      <c r="A2336" s="49"/>
      <c r="B2336" s="49"/>
      <c r="C2336" s="49"/>
      <c r="D2336" s="50" t="str">
        <f t="shared" si="180"/>
        <v/>
      </c>
      <c r="E2336" s="50" t="str">
        <f t="shared" si="181"/>
        <v/>
      </c>
      <c r="F2336" s="50" t="str">
        <f t="shared" si="182"/>
        <v/>
      </c>
      <c r="G2336" s="50" t="str">
        <f t="shared" si="183"/>
        <v/>
      </c>
      <c r="H2336" s="51" t="str">
        <f>IF($C2336="","",IFERROR(DATE(G2336,VLOOKUP(E2336,Paramètres!$K$11:$L$40,2,FALSE()),F2336),"?"))</f>
        <v/>
      </c>
      <c r="I2336" s="50" t="str">
        <f>IF(ISNUMBER(H2336),IF(COUNTIFS($D$2:D2336,D2336,$H$2:H2336,H2336)=1,1,0),"")</f>
        <v/>
      </c>
      <c r="J2336" s="50" t="str">
        <f>IF(ISNUMBER(H2336),IFERROR(INDEX(Calendrier!$C$2:$C$367,MATCH(H2336,Calendrier!$A$2:$A$367,0)),0),"")</f>
        <v/>
      </c>
      <c r="K2336" s="50" t="str">
        <f t="shared" si="184"/>
        <v/>
      </c>
      <c r="L2336" s="50" t="str">
        <f>IF(D2336="","",IF(COUNTIF(Paramètres!$A$11:$A$40,D2336)&gt;0,1,0))</f>
        <v/>
      </c>
    </row>
    <row r="2337" spans="1:12" hidden="1" x14ac:dyDescent="0.25">
      <c r="A2337" s="49"/>
      <c r="B2337" s="49"/>
      <c r="C2337" s="49"/>
      <c r="D2337" s="50" t="str">
        <f t="shared" si="180"/>
        <v/>
      </c>
      <c r="E2337" s="50" t="str">
        <f t="shared" si="181"/>
        <v/>
      </c>
      <c r="F2337" s="50" t="str">
        <f t="shared" si="182"/>
        <v/>
      </c>
      <c r="G2337" s="50" t="str">
        <f t="shared" si="183"/>
        <v/>
      </c>
      <c r="H2337" s="51" t="str">
        <f>IF($C2337="","",IFERROR(DATE(G2337,VLOOKUP(E2337,Paramètres!$K$11:$L$40,2,FALSE()),F2337),"?"))</f>
        <v/>
      </c>
      <c r="I2337" s="50" t="str">
        <f>IF(ISNUMBER(H2337),IF(COUNTIFS($D$2:D2337,D2337,$H$2:H2337,H2337)=1,1,0),"")</f>
        <v/>
      </c>
      <c r="J2337" s="50" t="str">
        <f>IF(ISNUMBER(H2337),IFERROR(INDEX(Calendrier!$C$2:$C$367,MATCH(H2337,Calendrier!$A$2:$A$367,0)),0),"")</f>
        <v/>
      </c>
      <c r="K2337" s="50" t="str">
        <f t="shared" si="184"/>
        <v/>
      </c>
      <c r="L2337" s="50" t="str">
        <f>IF(D2337="","",IF(COUNTIF(Paramètres!$A$11:$A$40,D2337)&gt;0,1,0))</f>
        <v/>
      </c>
    </row>
    <row r="2338" spans="1:12" hidden="1" x14ac:dyDescent="0.25">
      <c r="A2338" s="49"/>
      <c r="B2338" s="49"/>
      <c r="C2338" s="49"/>
      <c r="D2338" s="50" t="str">
        <f t="shared" si="180"/>
        <v/>
      </c>
      <c r="E2338" s="50" t="str">
        <f t="shared" si="181"/>
        <v/>
      </c>
      <c r="F2338" s="50" t="str">
        <f t="shared" si="182"/>
        <v/>
      </c>
      <c r="G2338" s="50" t="str">
        <f t="shared" si="183"/>
        <v/>
      </c>
      <c r="H2338" s="51" t="str">
        <f>IF($C2338="","",IFERROR(DATE(G2338,VLOOKUP(E2338,Paramètres!$K$11:$L$40,2,FALSE()),F2338),"?"))</f>
        <v/>
      </c>
      <c r="I2338" s="50" t="str">
        <f>IF(ISNUMBER(H2338),IF(COUNTIFS($D$2:D2338,D2338,$H$2:H2338,H2338)=1,1,0),"")</f>
        <v/>
      </c>
      <c r="J2338" s="50" t="str">
        <f>IF(ISNUMBER(H2338),IFERROR(INDEX(Calendrier!$C$2:$C$367,MATCH(H2338,Calendrier!$A$2:$A$367,0)),0),"")</f>
        <v/>
      </c>
      <c r="K2338" s="50" t="str">
        <f t="shared" si="184"/>
        <v/>
      </c>
      <c r="L2338" s="50" t="str">
        <f>IF(D2338="","",IF(COUNTIF(Paramètres!$A$11:$A$40,D2338)&gt;0,1,0))</f>
        <v/>
      </c>
    </row>
    <row r="2339" spans="1:12" hidden="1" x14ac:dyDescent="0.25">
      <c r="A2339" s="49"/>
      <c r="B2339" s="49"/>
      <c r="C2339" s="49"/>
      <c r="D2339" s="50" t="str">
        <f t="shared" si="180"/>
        <v/>
      </c>
      <c r="E2339" s="50" t="str">
        <f t="shared" si="181"/>
        <v/>
      </c>
      <c r="F2339" s="50" t="str">
        <f t="shared" si="182"/>
        <v/>
      </c>
      <c r="G2339" s="50" t="str">
        <f t="shared" si="183"/>
        <v/>
      </c>
      <c r="H2339" s="51" t="str">
        <f>IF($C2339="","",IFERROR(DATE(G2339,VLOOKUP(E2339,Paramètres!$K$11:$L$40,2,FALSE()),F2339),"?"))</f>
        <v/>
      </c>
      <c r="I2339" s="50" t="str">
        <f>IF(ISNUMBER(H2339),IF(COUNTIFS($D$2:D2339,D2339,$H$2:H2339,H2339)=1,1,0),"")</f>
        <v/>
      </c>
      <c r="J2339" s="50" t="str">
        <f>IF(ISNUMBER(H2339),IFERROR(INDEX(Calendrier!$C$2:$C$367,MATCH(H2339,Calendrier!$A$2:$A$367,0)),0),"")</f>
        <v/>
      </c>
      <c r="K2339" s="50" t="str">
        <f t="shared" si="184"/>
        <v/>
      </c>
      <c r="L2339" s="50" t="str">
        <f>IF(D2339="","",IF(COUNTIF(Paramètres!$A$11:$A$40,D2339)&gt;0,1,0))</f>
        <v/>
      </c>
    </row>
    <row r="2340" spans="1:12" hidden="1" x14ac:dyDescent="0.25">
      <c r="A2340" s="49"/>
      <c r="B2340" s="49"/>
      <c r="C2340" s="49"/>
      <c r="D2340" s="50" t="str">
        <f t="shared" si="180"/>
        <v/>
      </c>
      <c r="E2340" s="50" t="str">
        <f t="shared" si="181"/>
        <v/>
      </c>
      <c r="F2340" s="50" t="str">
        <f t="shared" si="182"/>
        <v/>
      </c>
      <c r="G2340" s="50" t="str">
        <f t="shared" si="183"/>
        <v/>
      </c>
      <c r="H2340" s="51" t="str">
        <f>IF($C2340="","",IFERROR(DATE(G2340,VLOOKUP(E2340,Paramètres!$K$11:$L$40,2,FALSE()),F2340),"?"))</f>
        <v/>
      </c>
      <c r="I2340" s="50" t="str">
        <f>IF(ISNUMBER(H2340),IF(COUNTIFS($D$2:D2340,D2340,$H$2:H2340,H2340)=1,1,0),"")</f>
        <v/>
      </c>
      <c r="J2340" s="50" t="str">
        <f>IF(ISNUMBER(H2340),IFERROR(INDEX(Calendrier!$C$2:$C$367,MATCH(H2340,Calendrier!$A$2:$A$367,0)),0),"")</f>
        <v/>
      </c>
      <c r="K2340" s="50" t="str">
        <f t="shared" si="184"/>
        <v/>
      </c>
      <c r="L2340" s="50" t="str">
        <f>IF(D2340="","",IF(COUNTIF(Paramètres!$A$11:$A$40,D2340)&gt;0,1,0))</f>
        <v/>
      </c>
    </row>
    <row r="2341" spans="1:12" hidden="1" x14ac:dyDescent="0.25">
      <c r="A2341" s="49"/>
      <c r="B2341" s="49"/>
      <c r="C2341" s="49"/>
      <c r="D2341" s="50" t="str">
        <f t="shared" si="180"/>
        <v/>
      </c>
      <c r="E2341" s="50" t="str">
        <f t="shared" si="181"/>
        <v/>
      </c>
      <c r="F2341" s="50" t="str">
        <f t="shared" si="182"/>
        <v/>
      </c>
      <c r="G2341" s="50" t="str">
        <f t="shared" si="183"/>
        <v/>
      </c>
      <c r="H2341" s="51" t="str">
        <f>IF($C2341="","",IFERROR(DATE(G2341,VLOOKUP(E2341,Paramètres!$K$11:$L$40,2,FALSE()),F2341),"?"))</f>
        <v/>
      </c>
      <c r="I2341" s="50" t="str">
        <f>IF(ISNUMBER(H2341),IF(COUNTIFS($D$2:D2341,D2341,$H$2:H2341,H2341)=1,1,0),"")</f>
        <v/>
      </c>
      <c r="J2341" s="50" t="str">
        <f>IF(ISNUMBER(H2341),IFERROR(INDEX(Calendrier!$C$2:$C$367,MATCH(H2341,Calendrier!$A$2:$A$367,0)),0),"")</f>
        <v/>
      </c>
      <c r="K2341" s="50" t="str">
        <f t="shared" si="184"/>
        <v/>
      </c>
      <c r="L2341" s="50" t="str">
        <f>IF(D2341="","",IF(COUNTIF(Paramètres!$A$11:$A$40,D2341)&gt;0,1,0))</f>
        <v/>
      </c>
    </row>
    <row r="2342" spans="1:12" hidden="1" x14ac:dyDescent="0.25">
      <c r="A2342" s="49"/>
      <c r="B2342" s="49"/>
      <c r="C2342" s="49"/>
      <c r="D2342" s="50" t="str">
        <f t="shared" si="180"/>
        <v/>
      </c>
      <c r="E2342" s="50" t="str">
        <f t="shared" si="181"/>
        <v/>
      </c>
      <c r="F2342" s="50" t="str">
        <f t="shared" si="182"/>
        <v/>
      </c>
      <c r="G2342" s="50" t="str">
        <f t="shared" si="183"/>
        <v/>
      </c>
      <c r="H2342" s="51" t="str">
        <f>IF($C2342="","",IFERROR(DATE(G2342,VLOOKUP(E2342,Paramètres!$K$11:$L$40,2,FALSE()),F2342),"?"))</f>
        <v/>
      </c>
      <c r="I2342" s="50" t="str">
        <f>IF(ISNUMBER(H2342),IF(COUNTIFS($D$2:D2342,D2342,$H$2:H2342,H2342)=1,1,0),"")</f>
        <v/>
      </c>
      <c r="J2342" s="50" t="str">
        <f>IF(ISNUMBER(H2342),IFERROR(INDEX(Calendrier!$C$2:$C$367,MATCH(H2342,Calendrier!$A$2:$A$367,0)),0),"")</f>
        <v/>
      </c>
      <c r="K2342" s="50" t="str">
        <f t="shared" si="184"/>
        <v/>
      </c>
      <c r="L2342" s="50" t="str">
        <f>IF(D2342="","",IF(COUNTIF(Paramètres!$A$11:$A$40,D2342)&gt;0,1,0))</f>
        <v/>
      </c>
    </row>
    <row r="2343" spans="1:12" hidden="1" x14ac:dyDescent="0.25">
      <c r="A2343" s="49"/>
      <c r="B2343" s="49"/>
      <c r="C2343" s="49"/>
      <c r="D2343" s="50" t="str">
        <f t="shared" si="180"/>
        <v/>
      </c>
      <c r="E2343" s="50" t="str">
        <f t="shared" si="181"/>
        <v/>
      </c>
      <c r="F2343" s="50" t="str">
        <f t="shared" si="182"/>
        <v/>
      </c>
      <c r="G2343" s="50" t="str">
        <f t="shared" si="183"/>
        <v/>
      </c>
      <c r="H2343" s="51" t="str">
        <f>IF($C2343="","",IFERROR(DATE(G2343,VLOOKUP(E2343,Paramètres!$K$11:$L$40,2,FALSE()),F2343),"?"))</f>
        <v/>
      </c>
      <c r="I2343" s="50" t="str">
        <f>IF(ISNUMBER(H2343),IF(COUNTIFS($D$2:D2343,D2343,$H$2:H2343,H2343)=1,1,0),"")</f>
        <v/>
      </c>
      <c r="J2343" s="50" t="str">
        <f>IF(ISNUMBER(H2343),IFERROR(INDEX(Calendrier!$C$2:$C$367,MATCH(H2343,Calendrier!$A$2:$A$367,0)),0),"")</f>
        <v/>
      </c>
      <c r="K2343" s="50" t="str">
        <f t="shared" si="184"/>
        <v/>
      </c>
      <c r="L2343" s="50" t="str">
        <f>IF(D2343="","",IF(COUNTIF(Paramètres!$A$11:$A$40,D2343)&gt;0,1,0))</f>
        <v/>
      </c>
    </row>
    <row r="2344" spans="1:12" hidden="1" x14ac:dyDescent="0.25">
      <c r="A2344" s="49"/>
      <c r="B2344" s="49"/>
      <c r="C2344" s="49"/>
      <c r="D2344" s="50" t="str">
        <f t="shared" si="180"/>
        <v/>
      </c>
      <c r="E2344" s="50" t="str">
        <f t="shared" si="181"/>
        <v/>
      </c>
      <c r="F2344" s="50" t="str">
        <f t="shared" si="182"/>
        <v/>
      </c>
      <c r="G2344" s="50" t="str">
        <f t="shared" si="183"/>
        <v/>
      </c>
      <c r="H2344" s="51" t="str">
        <f>IF($C2344="","",IFERROR(DATE(G2344,VLOOKUP(E2344,Paramètres!$K$11:$L$40,2,FALSE()),F2344),"?"))</f>
        <v/>
      </c>
      <c r="I2344" s="50" t="str">
        <f>IF(ISNUMBER(H2344),IF(COUNTIFS($D$2:D2344,D2344,$H$2:H2344,H2344)=1,1,0),"")</f>
        <v/>
      </c>
      <c r="J2344" s="50" t="str">
        <f>IF(ISNUMBER(H2344),IFERROR(INDEX(Calendrier!$C$2:$C$367,MATCH(H2344,Calendrier!$A$2:$A$367,0)),0),"")</f>
        <v/>
      </c>
      <c r="K2344" s="50" t="str">
        <f t="shared" si="184"/>
        <v/>
      </c>
      <c r="L2344" s="50" t="str">
        <f>IF(D2344="","",IF(COUNTIF(Paramètres!$A$11:$A$40,D2344)&gt;0,1,0))</f>
        <v/>
      </c>
    </row>
    <row r="2345" spans="1:12" hidden="1" x14ac:dyDescent="0.25">
      <c r="A2345" s="49"/>
      <c r="B2345" s="49"/>
      <c r="C2345" s="49"/>
      <c r="D2345" s="50" t="str">
        <f t="shared" si="180"/>
        <v/>
      </c>
      <c r="E2345" s="50" t="str">
        <f t="shared" si="181"/>
        <v/>
      </c>
      <c r="F2345" s="50" t="str">
        <f t="shared" si="182"/>
        <v/>
      </c>
      <c r="G2345" s="50" t="str">
        <f t="shared" si="183"/>
        <v/>
      </c>
      <c r="H2345" s="51" t="str">
        <f>IF($C2345="","",IFERROR(DATE(G2345,VLOOKUP(E2345,Paramètres!$K$11:$L$40,2,FALSE()),F2345),"?"))</f>
        <v/>
      </c>
      <c r="I2345" s="50" t="str">
        <f>IF(ISNUMBER(H2345),IF(COUNTIFS($D$2:D2345,D2345,$H$2:H2345,H2345)=1,1,0),"")</f>
        <v/>
      </c>
      <c r="J2345" s="50" t="str">
        <f>IF(ISNUMBER(H2345),IFERROR(INDEX(Calendrier!$C$2:$C$367,MATCH(H2345,Calendrier!$A$2:$A$367,0)),0),"")</f>
        <v/>
      </c>
      <c r="K2345" s="50" t="str">
        <f t="shared" si="184"/>
        <v/>
      </c>
      <c r="L2345" s="50" t="str">
        <f>IF(D2345="","",IF(COUNTIF(Paramètres!$A$11:$A$40,D2345)&gt;0,1,0))</f>
        <v/>
      </c>
    </row>
    <row r="2346" spans="1:12" hidden="1" x14ac:dyDescent="0.25">
      <c r="A2346" s="49"/>
      <c r="B2346" s="49"/>
      <c r="C2346" s="49"/>
      <c r="D2346" s="50" t="str">
        <f t="shared" si="180"/>
        <v/>
      </c>
      <c r="E2346" s="50" t="str">
        <f t="shared" si="181"/>
        <v/>
      </c>
      <c r="F2346" s="50" t="str">
        <f t="shared" si="182"/>
        <v/>
      </c>
      <c r="G2346" s="50" t="str">
        <f t="shared" si="183"/>
        <v/>
      </c>
      <c r="H2346" s="51" t="str">
        <f>IF($C2346="","",IFERROR(DATE(G2346,VLOOKUP(E2346,Paramètres!$K$11:$L$40,2,FALSE()),F2346),"?"))</f>
        <v/>
      </c>
      <c r="I2346" s="50" t="str">
        <f>IF(ISNUMBER(H2346),IF(COUNTIFS($D$2:D2346,D2346,$H$2:H2346,H2346)=1,1,0),"")</f>
        <v/>
      </c>
      <c r="J2346" s="50" t="str">
        <f>IF(ISNUMBER(H2346),IFERROR(INDEX(Calendrier!$C$2:$C$367,MATCH(H2346,Calendrier!$A$2:$A$367,0)),0),"")</f>
        <v/>
      </c>
      <c r="K2346" s="50" t="str">
        <f t="shared" si="184"/>
        <v/>
      </c>
      <c r="L2346" s="50" t="str">
        <f>IF(D2346="","",IF(COUNTIF(Paramètres!$A$11:$A$40,D2346)&gt;0,1,0))</f>
        <v/>
      </c>
    </row>
    <row r="2347" spans="1:12" hidden="1" x14ac:dyDescent="0.25">
      <c r="A2347" s="49"/>
      <c r="B2347" s="49"/>
      <c r="C2347" s="49"/>
      <c r="D2347" s="50" t="str">
        <f t="shared" si="180"/>
        <v/>
      </c>
      <c r="E2347" s="50" t="str">
        <f t="shared" si="181"/>
        <v/>
      </c>
      <c r="F2347" s="50" t="str">
        <f t="shared" si="182"/>
        <v/>
      </c>
      <c r="G2347" s="50" t="str">
        <f t="shared" si="183"/>
        <v/>
      </c>
      <c r="H2347" s="51" t="str">
        <f>IF($C2347="","",IFERROR(DATE(G2347,VLOOKUP(E2347,Paramètres!$K$11:$L$40,2,FALSE()),F2347),"?"))</f>
        <v/>
      </c>
      <c r="I2347" s="50" t="str">
        <f>IF(ISNUMBER(H2347),IF(COUNTIFS($D$2:D2347,D2347,$H$2:H2347,H2347)=1,1,0),"")</f>
        <v/>
      </c>
      <c r="J2347" s="50" t="str">
        <f>IF(ISNUMBER(H2347),IFERROR(INDEX(Calendrier!$C$2:$C$367,MATCH(H2347,Calendrier!$A$2:$A$367,0)),0),"")</f>
        <v/>
      </c>
      <c r="K2347" s="50" t="str">
        <f t="shared" si="184"/>
        <v/>
      </c>
      <c r="L2347" s="50" t="str">
        <f>IF(D2347="","",IF(COUNTIF(Paramètres!$A$11:$A$40,D2347)&gt;0,1,0))</f>
        <v/>
      </c>
    </row>
    <row r="2348" spans="1:12" hidden="1" x14ac:dyDescent="0.25">
      <c r="A2348" s="49"/>
      <c r="B2348" s="49"/>
      <c r="C2348" s="49"/>
      <c r="D2348" s="50" t="str">
        <f t="shared" si="180"/>
        <v/>
      </c>
      <c r="E2348" s="50" t="str">
        <f t="shared" si="181"/>
        <v/>
      </c>
      <c r="F2348" s="50" t="str">
        <f t="shared" si="182"/>
        <v/>
      </c>
      <c r="G2348" s="50" t="str">
        <f t="shared" si="183"/>
        <v/>
      </c>
      <c r="H2348" s="51" t="str">
        <f>IF($C2348="","",IFERROR(DATE(G2348,VLOOKUP(E2348,Paramètres!$K$11:$L$40,2,FALSE()),F2348),"?"))</f>
        <v/>
      </c>
      <c r="I2348" s="50" t="str">
        <f>IF(ISNUMBER(H2348),IF(COUNTIFS($D$2:D2348,D2348,$H$2:H2348,H2348)=1,1,0),"")</f>
        <v/>
      </c>
      <c r="J2348" s="50" t="str">
        <f>IF(ISNUMBER(H2348),IFERROR(INDEX(Calendrier!$C$2:$C$367,MATCH(H2348,Calendrier!$A$2:$A$367,0)),0),"")</f>
        <v/>
      </c>
      <c r="K2348" s="50" t="str">
        <f t="shared" si="184"/>
        <v/>
      </c>
      <c r="L2348" s="50" t="str">
        <f>IF(D2348="","",IF(COUNTIF(Paramètres!$A$11:$A$40,D2348)&gt;0,1,0))</f>
        <v/>
      </c>
    </row>
    <row r="2349" spans="1:12" hidden="1" x14ac:dyDescent="0.25">
      <c r="A2349" s="49"/>
      <c r="B2349" s="49"/>
      <c r="C2349" s="49"/>
      <c r="D2349" s="50" t="str">
        <f t="shared" si="180"/>
        <v/>
      </c>
      <c r="E2349" s="50" t="str">
        <f t="shared" si="181"/>
        <v/>
      </c>
      <c r="F2349" s="50" t="str">
        <f t="shared" si="182"/>
        <v/>
      </c>
      <c r="G2349" s="50" t="str">
        <f t="shared" si="183"/>
        <v/>
      </c>
      <c r="H2349" s="51" t="str">
        <f>IF($C2349="","",IFERROR(DATE(G2349,VLOOKUP(E2349,Paramètres!$K$11:$L$40,2,FALSE()),F2349),"?"))</f>
        <v/>
      </c>
      <c r="I2349" s="50" t="str">
        <f>IF(ISNUMBER(H2349),IF(COUNTIFS($D$2:D2349,D2349,$H$2:H2349,H2349)=1,1,0),"")</f>
        <v/>
      </c>
      <c r="J2349" s="50" t="str">
        <f>IF(ISNUMBER(H2349),IFERROR(INDEX(Calendrier!$C$2:$C$367,MATCH(H2349,Calendrier!$A$2:$A$367,0)),0),"")</f>
        <v/>
      </c>
      <c r="K2349" s="50" t="str">
        <f t="shared" si="184"/>
        <v/>
      </c>
      <c r="L2349" s="50" t="str">
        <f>IF(D2349="","",IF(COUNTIF(Paramètres!$A$11:$A$40,D2349)&gt;0,1,0))</f>
        <v/>
      </c>
    </row>
    <row r="2350" spans="1:12" hidden="1" x14ac:dyDescent="0.25">
      <c r="A2350" s="49"/>
      <c r="B2350" s="49"/>
      <c r="C2350" s="49"/>
      <c r="D2350" s="50" t="str">
        <f t="shared" si="180"/>
        <v/>
      </c>
      <c r="E2350" s="50" t="str">
        <f t="shared" si="181"/>
        <v/>
      </c>
      <c r="F2350" s="50" t="str">
        <f t="shared" si="182"/>
        <v/>
      </c>
      <c r="G2350" s="50" t="str">
        <f t="shared" si="183"/>
        <v/>
      </c>
      <c r="H2350" s="51" t="str">
        <f>IF($C2350="","",IFERROR(DATE(G2350,VLOOKUP(E2350,Paramètres!$K$11:$L$40,2,FALSE()),F2350),"?"))</f>
        <v/>
      </c>
      <c r="I2350" s="50" t="str">
        <f>IF(ISNUMBER(H2350),IF(COUNTIFS($D$2:D2350,D2350,$H$2:H2350,H2350)=1,1,0),"")</f>
        <v/>
      </c>
      <c r="J2350" s="50" t="str">
        <f>IF(ISNUMBER(H2350),IFERROR(INDEX(Calendrier!$C$2:$C$367,MATCH(H2350,Calendrier!$A$2:$A$367,0)),0),"")</f>
        <v/>
      </c>
      <c r="K2350" s="50" t="str">
        <f t="shared" si="184"/>
        <v/>
      </c>
      <c r="L2350" s="50" t="str">
        <f>IF(D2350="","",IF(COUNTIF(Paramètres!$A$11:$A$40,D2350)&gt;0,1,0))</f>
        <v/>
      </c>
    </row>
    <row r="2351" spans="1:12" hidden="1" x14ac:dyDescent="0.25">
      <c r="A2351" s="49"/>
      <c r="B2351" s="49"/>
      <c r="C2351" s="49"/>
      <c r="D2351" s="50" t="str">
        <f t="shared" si="180"/>
        <v/>
      </c>
      <c r="E2351" s="50" t="str">
        <f t="shared" si="181"/>
        <v/>
      </c>
      <c r="F2351" s="50" t="str">
        <f t="shared" si="182"/>
        <v/>
      </c>
      <c r="G2351" s="50" t="str">
        <f t="shared" si="183"/>
        <v/>
      </c>
      <c r="H2351" s="51" t="str">
        <f>IF($C2351="","",IFERROR(DATE(G2351,VLOOKUP(E2351,Paramètres!$K$11:$L$40,2,FALSE()),F2351),"?"))</f>
        <v/>
      </c>
      <c r="I2351" s="50" t="str">
        <f>IF(ISNUMBER(H2351),IF(COUNTIFS($D$2:D2351,D2351,$H$2:H2351,H2351)=1,1,0),"")</f>
        <v/>
      </c>
      <c r="J2351" s="50" t="str">
        <f>IF(ISNUMBER(H2351),IFERROR(INDEX(Calendrier!$C$2:$C$367,MATCH(H2351,Calendrier!$A$2:$A$367,0)),0),"")</f>
        <v/>
      </c>
      <c r="K2351" s="50" t="str">
        <f t="shared" si="184"/>
        <v/>
      </c>
      <c r="L2351" s="50" t="str">
        <f>IF(D2351="","",IF(COUNTIF(Paramètres!$A$11:$A$40,D2351)&gt;0,1,0))</f>
        <v/>
      </c>
    </row>
    <row r="2352" spans="1:12" hidden="1" x14ac:dyDescent="0.25">
      <c r="A2352" s="49"/>
      <c r="B2352" s="49"/>
      <c r="C2352" s="49"/>
      <c r="D2352" s="50" t="str">
        <f t="shared" si="180"/>
        <v/>
      </c>
      <c r="E2352" s="50" t="str">
        <f t="shared" si="181"/>
        <v/>
      </c>
      <c r="F2352" s="50" t="str">
        <f t="shared" si="182"/>
        <v/>
      </c>
      <c r="G2352" s="50" t="str">
        <f t="shared" si="183"/>
        <v/>
      </c>
      <c r="H2352" s="51" t="str">
        <f>IF($C2352="","",IFERROR(DATE(G2352,VLOOKUP(E2352,Paramètres!$K$11:$L$40,2,FALSE()),F2352),"?"))</f>
        <v/>
      </c>
      <c r="I2352" s="50" t="str">
        <f>IF(ISNUMBER(H2352),IF(COUNTIFS($D$2:D2352,D2352,$H$2:H2352,H2352)=1,1,0),"")</f>
        <v/>
      </c>
      <c r="J2352" s="50" t="str">
        <f>IF(ISNUMBER(H2352),IFERROR(INDEX(Calendrier!$C$2:$C$367,MATCH(H2352,Calendrier!$A$2:$A$367,0)),0),"")</f>
        <v/>
      </c>
      <c r="K2352" s="50" t="str">
        <f t="shared" si="184"/>
        <v/>
      </c>
      <c r="L2352" s="50" t="str">
        <f>IF(D2352="","",IF(COUNTIF(Paramètres!$A$11:$A$40,D2352)&gt;0,1,0))</f>
        <v/>
      </c>
    </row>
    <row r="2353" spans="1:12" hidden="1" x14ac:dyDescent="0.25">
      <c r="A2353" s="49"/>
      <c r="B2353" s="49"/>
      <c r="C2353" s="49"/>
      <c r="D2353" s="50" t="str">
        <f t="shared" si="180"/>
        <v/>
      </c>
      <c r="E2353" s="50" t="str">
        <f t="shared" si="181"/>
        <v/>
      </c>
      <c r="F2353" s="50" t="str">
        <f t="shared" si="182"/>
        <v/>
      </c>
      <c r="G2353" s="50" t="str">
        <f t="shared" si="183"/>
        <v/>
      </c>
      <c r="H2353" s="51" t="str">
        <f>IF($C2353="","",IFERROR(DATE(G2353,VLOOKUP(E2353,Paramètres!$K$11:$L$40,2,FALSE()),F2353),"?"))</f>
        <v/>
      </c>
      <c r="I2353" s="50" t="str">
        <f>IF(ISNUMBER(H2353),IF(COUNTIFS($D$2:D2353,D2353,$H$2:H2353,H2353)=1,1,0),"")</f>
        <v/>
      </c>
      <c r="J2353" s="50" t="str">
        <f>IF(ISNUMBER(H2353),IFERROR(INDEX(Calendrier!$C$2:$C$367,MATCH(H2353,Calendrier!$A$2:$A$367,0)),0),"")</f>
        <v/>
      </c>
      <c r="K2353" s="50" t="str">
        <f t="shared" si="184"/>
        <v/>
      </c>
      <c r="L2353" s="50" t="str">
        <f>IF(D2353="","",IF(COUNTIF(Paramètres!$A$11:$A$40,D2353)&gt;0,1,0))</f>
        <v/>
      </c>
    </row>
    <row r="2354" spans="1:12" hidden="1" x14ac:dyDescent="0.25">
      <c r="A2354" s="49"/>
      <c r="B2354" s="49"/>
      <c r="C2354" s="49"/>
      <c r="D2354" s="50" t="str">
        <f t="shared" si="180"/>
        <v/>
      </c>
      <c r="E2354" s="50" t="str">
        <f t="shared" si="181"/>
        <v/>
      </c>
      <c r="F2354" s="50" t="str">
        <f t="shared" si="182"/>
        <v/>
      </c>
      <c r="G2354" s="50" t="str">
        <f t="shared" si="183"/>
        <v/>
      </c>
      <c r="H2354" s="51" t="str">
        <f>IF($C2354="","",IFERROR(DATE(G2354,VLOOKUP(E2354,Paramètres!$K$11:$L$40,2,FALSE()),F2354),"?"))</f>
        <v/>
      </c>
      <c r="I2354" s="50" t="str">
        <f>IF(ISNUMBER(H2354),IF(COUNTIFS($D$2:D2354,D2354,$H$2:H2354,H2354)=1,1,0),"")</f>
        <v/>
      </c>
      <c r="J2354" s="50" t="str">
        <f>IF(ISNUMBER(H2354),IFERROR(INDEX(Calendrier!$C$2:$C$367,MATCH(H2354,Calendrier!$A$2:$A$367,0)),0),"")</f>
        <v/>
      </c>
      <c r="K2354" s="50" t="str">
        <f t="shared" si="184"/>
        <v/>
      </c>
      <c r="L2354" s="50" t="str">
        <f>IF(D2354="","",IF(COUNTIF(Paramètres!$A$11:$A$40,D2354)&gt;0,1,0))</f>
        <v/>
      </c>
    </row>
    <row r="2355" spans="1:12" hidden="1" x14ac:dyDescent="0.25">
      <c r="A2355" s="49"/>
      <c r="B2355" s="49"/>
      <c r="C2355" s="49"/>
      <c r="D2355" s="50" t="str">
        <f t="shared" si="180"/>
        <v/>
      </c>
      <c r="E2355" s="50" t="str">
        <f t="shared" si="181"/>
        <v/>
      </c>
      <c r="F2355" s="50" t="str">
        <f t="shared" si="182"/>
        <v/>
      </c>
      <c r="G2355" s="50" t="str">
        <f t="shared" si="183"/>
        <v/>
      </c>
      <c r="H2355" s="51" t="str">
        <f>IF($C2355="","",IFERROR(DATE(G2355,VLOOKUP(E2355,Paramètres!$K$11:$L$40,2,FALSE()),F2355),"?"))</f>
        <v/>
      </c>
      <c r="I2355" s="50" t="str">
        <f>IF(ISNUMBER(H2355),IF(COUNTIFS($D$2:D2355,D2355,$H$2:H2355,H2355)=1,1,0),"")</f>
        <v/>
      </c>
      <c r="J2355" s="50" t="str">
        <f>IF(ISNUMBER(H2355),IFERROR(INDEX(Calendrier!$C$2:$C$367,MATCH(H2355,Calendrier!$A$2:$A$367,0)),0),"")</f>
        <v/>
      </c>
      <c r="K2355" s="50" t="str">
        <f t="shared" si="184"/>
        <v/>
      </c>
      <c r="L2355" s="50" t="str">
        <f>IF(D2355="","",IF(COUNTIF(Paramètres!$A$11:$A$40,D2355)&gt;0,1,0))</f>
        <v/>
      </c>
    </row>
    <row r="2356" spans="1:12" hidden="1" x14ac:dyDescent="0.25">
      <c r="A2356" s="49"/>
      <c r="B2356" s="49"/>
      <c r="C2356" s="49"/>
      <c r="D2356" s="50" t="str">
        <f t="shared" si="180"/>
        <v/>
      </c>
      <c r="E2356" s="50" t="str">
        <f t="shared" si="181"/>
        <v/>
      </c>
      <c r="F2356" s="50" t="str">
        <f t="shared" si="182"/>
        <v/>
      </c>
      <c r="G2356" s="50" t="str">
        <f t="shared" si="183"/>
        <v/>
      </c>
      <c r="H2356" s="51" t="str">
        <f>IF($C2356="","",IFERROR(DATE(G2356,VLOOKUP(E2356,Paramètres!$K$11:$L$40,2,FALSE()),F2356),"?"))</f>
        <v/>
      </c>
      <c r="I2356" s="50" t="str">
        <f>IF(ISNUMBER(H2356),IF(COUNTIFS($D$2:D2356,D2356,$H$2:H2356,H2356)=1,1,0),"")</f>
        <v/>
      </c>
      <c r="J2356" s="50" t="str">
        <f>IF(ISNUMBER(H2356),IFERROR(INDEX(Calendrier!$C$2:$C$367,MATCH(H2356,Calendrier!$A$2:$A$367,0)),0),"")</f>
        <v/>
      </c>
      <c r="K2356" s="50" t="str">
        <f t="shared" si="184"/>
        <v/>
      </c>
      <c r="L2356" s="50" t="str">
        <f>IF(D2356="","",IF(COUNTIF(Paramètres!$A$11:$A$40,D2356)&gt;0,1,0))</f>
        <v/>
      </c>
    </row>
    <row r="2357" spans="1:12" hidden="1" x14ac:dyDescent="0.25">
      <c r="A2357" s="49"/>
      <c r="B2357" s="49"/>
      <c r="C2357" s="49"/>
      <c r="D2357" s="50" t="str">
        <f t="shared" si="180"/>
        <v/>
      </c>
      <c r="E2357" s="50" t="str">
        <f t="shared" si="181"/>
        <v/>
      </c>
      <c r="F2357" s="50" t="str">
        <f t="shared" si="182"/>
        <v/>
      </c>
      <c r="G2357" s="50" t="str">
        <f t="shared" si="183"/>
        <v/>
      </c>
      <c r="H2357" s="51" t="str">
        <f>IF($C2357="","",IFERROR(DATE(G2357,VLOOKUP(E2357,Paramètres!$K$11:$L$40,2,FALSE()),F2357),"?"))</f>
        <v/>
      </c>
      <c r="I2357" s="50" t="str">
        <f>IF(ISNUMBER(H2357),IF(COUNTIFS($D$2:D2357,D2357,$H$2:H2357,H2357)=1,1,0),"")</f>
        <v/>
      </c>
      <c r="J2357" s="50" t="str">
        <f>IF(ISNUMBER(H2357),IFERROR(INDEX(Calendrier!$C$2:$C$367,MATCH(H2357,Calendrier!$A$2:$A$367,0)),0),"")</f>
        <v/>
      </c>
      <c r="K2357" s="50" t="str">
        <f t="shared" si="184"/>
        <v/>
      </c>
      <c r="L2357" s="50" t="str">
        <f>IF(D2357="","",IF(COUNTIF(Paramètres!$A$11:$A$40,D2357)&gt;0,1,0))</f>
        <v/>
      </c>
    </row>
    <row r="2358" spans="1:12" hidden="1" x14ac:dyDescent="0.25">
      <c r="A2358" s="49"/>
      <c r="B2358" s="49"/>
      <c r="C2358" s="49"/>
      <c r="D2358" s="50" t="str">
        <f t="shared" si="180"/>
        <v/>
      </c>
      <c r="E2358" s="50" t="str">
        <f t="shared" si="181"/>
        <v/>
      </c>
      <c r="F2358" s="50" t="str">
        <f t="shared" si="182"/>
        <v/>
      </c>
      <c r="G2358" s="50" t="str">
        <f t="shared" si="183"/>
        <v/>
      </c>
      <c r="H2358" s="51" t="str">
        <f>IF($C2358="","",IFERROR(DATE(G2358,VLOOKUP(E2358,Paramètres!$K$11:$L$40,2,FALSE()),F2358),"?"))</f>
        <v/>
      </c>
      <c r="I2358" s="50" t="str">
        <f>IF(ISNUMBER(H2358),IF(COUNTIFS($D$2:D2358,D2358,$H$2:H2358,H2358)=1,1,0),"")</f>
        <v/>
      </c>
      <c r="J2358" s="50" t="str">
        <f>IF(ISNUMBER(H2358),IFERROR(INDEX(Calendrier!$C$2:$C$367,MATCH(H2358,Calendrier!$A$2:$A$367,0)),0),"")</f>
        <v/>
      </c>
      <c r="K2358" s="50" t="str">
        <f t="shared" si="184"/>
        <v/>
      </c>
      <c r="L2358" s="50" t="str">
        <f>IF(D2358="","",IF(COUNTIF(Paramètres!$A$11:$A$40,D2358)&gt;0,1,0))</f>
        <v/>
      </c>
    </row>
    <row r="2359" spans="1:12" hidden="1" x14ac:dyDescent="0.25">
      <c r="A2359" s="49"/>
      <c r="B2359" s="49"/>
      <c r="C2359" s="49"/>
      <c r="D2359" s="50" t="str">
        <f t="shared" si="180"/>
        <v/>
      </c>
      <c r="E2359" s="50" t="str">
        <f t="shared" si="181"/>
        <v/>
      </c>
      <c r="F2359" s="50" t="str">
        <f t="shared" si="182"/>
        <v/>
      </c>
      <c r="G2359" s="50" t="str">
        <f t="shared" si="183"/>
        <v/>
      </c>
      <c r="H2359" s="51" t="str">
        <f>IF($C2359="","",IFERROR(DATE(G2359,VLOOKUP(E2359,Paramètres!$K$11:$L$40,2,FALSE()),F2359),"?"))</f>
        <v/>
      </c>
      <c r="I2359" s="50" t="str">
        <f>IF(ISNUMBER(H2359),IF(COUNTIFS($D$2:D2359,D2359,$H$2:H2359,H2359)=1,1,0),"")</f>
        <v/>
      </c>
      <c r="J2359" s="50" t="str">
        <f>IF(ISNUMBER(H2359),IFERROR(INDEX(Calendrier!$C$2:$C$367,MATCH(H2359,Calendrier!$A$2:$A$367,0)),0),"")</f>
        <v/>
      </c>
      <c r="K2359" s="50" t="str">
        <f t="shared" si="184"/>
        <v/>
      </c>
      <c r="L2359" s="50" t="str">
        <f>IF(D2359="","",IF(COUNTIF(Paramètres!$A$11:$A$40,D2359)&gt;0,1,0))</f>
        <v/>
      </c>
    </row>
    <row r="2360" spans="1:12" hidden="1" x14ac:dyDescent="0.25">
      <c r="A2360" s="49"/>
      <c r="B2360" s="49"/>
      <c r="C2360" s="49"/>
      <c r="D2360" s="50" t="str">
        <f t="shared" si="180"/>
        <v/>
      </c>
      <c r="E2360" s="50" t="str">
        <f t="shared" si="181"/>
        <v/>
      </c>
      <c r="F2360" s="50" t="str">
        <f t="shared" si="182"/>
        <v/>
      </c>
      <c r="G2360" s="50" t="str">
        <f t="shared" si="183"/>
        <v/>
      </c>
      <c r="H2360" s="51" t="str">
        <f>IF($C2360="","",IFERROR(DATE(G2360,VLOOKUP(E2360,Paramètres!$K$11:$L$40,2,FALSE()),F2360),"?"))</f>
        <v/>
      </c>
      <c r="I2360" s="50" t="str">
        <f>IF(ISNUMBER(H2360),IF(COUNTIFS($D$2:D2360,D2360,$H$2:H2360,H2360)=1,1,0),"")</f>
        <v/>
      </c>
      <c r="J2360" s="50" t="str">
        <f>IF(ISNUMBER(H2360),IFERROR(INDEX(Calendrier!$C$2:$C$367,MATCH(H2360,Calendrier!$A$2:$A$367,0)),0),"")</f>
        <v/>
      </c>
      <c r="K2360" s="50" t="str">
        <f t="shared" si="184"/>
        <v/>
      </c>
      <c r="L2360" s="50" t="str">
        <f>IF(D2360="","",IF(COUNTIF(Paramètres!$A$11:$A$40,D2360)&gt;0,1,0))</f>
        <v/>
      </c>
    </row>
    <row r="2361" spans="1:12" hidden="1" x14ac:dyDescent="0.25">
      <c r="A2361" s="49"/>
      <c r="B2361" s="49"/>
      <c r="C2361" s="49"/>
      <c r="D2361" s="50" t="str">
        <f t="shared" si="180"/>
        <v/>
      </c>
      <c r="E2361" s="50" t="str">
        <f t="shared" si="181"/>
        <v/>
      </c>
      <c r="F2361" s="50" t="str">
        <f t="shared" si="182"/>
        <v/>
      </c>
      <c r="G2361" s="50" t="str">
        <f t="shared" si="183"/>
        <v/>
      </c>
      <c r="H2361" s="51" t="str">
        <f>IF($C2361="","",IFERROR(DATE(G2361,VLOOKUP(E2361,Paramètres!$K$11:$L$40,2,FALSE()),F2361),"?"))</f>
        <v/>
      </c>
      <c r="I2361" s="50" t="str">
        <f>IF(ISNUMBER(H2361),IF(COUNTIFS($D$2:D2361,D2361,$H$2:H2361,H2361)=1,1,0),"")</f>
        <v/>
      </c>
      <c r="J2361" s="50" t="str">
        <f>IF(ISNUMBER(H2361),IFERROR(INDEX(Calendrier!$C$2:$C$367,MATCH(H2361,Calendrier!$A$2:$A$367,0)),0),"")</f>
        <v/>
      </c>
      <c r="K2361" s="50" t="str">
        <f t="shared" si="184"/>
        <v/>
      </c>
      <c r="L2361" s="50" t="str">
        <f>IF(D2361="","",IF(COUNTIF(Paramètres!$A$11:$A$40,D2361)&gt;0,1,0))</f>
        <v/>
      </c>
    </row>
    <row r="2362" spans="1:12" hidden="1" x14ac:dyDescent="0.25">
      <c r="A2362" s="49"/>
      <c r="B2362" s="49"/>
      <c r="C2362" s="49"/>
      <c r="D2362" s="50" t="str">
        <f t="shared" si="180"/>
        <v/>
      </c>
      <c r="E2362" s="50" t="str">
        <f t="shared" si="181"/>
        <v/>
      </c>
      <c r="F2362" s="50" t="str">
        <f t="shared" si="182"/>
        <v/>
      </c>
      <c r="G2362" s="50" t="str">
        <f t="shared" si="183"/>
        <v/>
      </c>
      <c r="H2362" s="51" t="str">
        <f>IF($C2362="","",IFERROR(DATE(G2362,VLOOKUP(E2362,Paramètres!$K$11:$L$40,2,FALSE()),F2362),"?"))</f>
        <v/>
      </c>
      <c r="I2362" s="50" t="str">
        <f>IF(ISNUMBER(H2362),IF(COUNTIFS($D$2:D2362,D2362,$H$2:H2362,H2362)=1,1,0),"")</f>
        <v/>
      </c>
      <c r="J2362" s="50" t="str">
        <f>IF(ISNUMBER(H2362),IFERROR(INDEX(Calendrier!$C$2:$C$367,MATCH(H2362,Calendrier!$A$2:$A$367,0)),0),"")</f>
        <v/>
      </c>
      <c r="K2362" s="50" t="str">
        <f t="shared" si="184"/>
        <v/>
      </c>
      <c r="L2362" s="50" t="str">
        <f>IF(D2362="","",IF(COUNTIF(Paramètres!$A$11:$A$40,D2362)&gt;0,1,0))</f>
        <v/>
      </c>
    </row>
    <row r="2363" spans="1:12" hidden="1" x14ac:dyDescent="0.25">
      <c r="A2363" s="49"/>
      <c r="B2363" s="49"/>
      <c r="C2363" s="49"/>
      <c r="D2363" s="50" t="str">
        <f t="shared" si="180"/>
        <v/>
      </c>
      <c r="E2363" s="50" t="str">
        <f t="shared" si="181"/>
        <v/>
      </c>
      <c r="F2363" s="50" t="str">
        <f t="shared" si="182"/>
        <v/>
      </c>
      <c r="G2363" s="50" t="str">
        <f t="shared" si="183"/>
        <v/>
      </c>
      <c r="H2363" s="51" t="str">
        <f>IF($C2363="","",IFERROR(DATE(G2363,VLOOKUP(E2363,Paramètres!$K$11:$L$40,2,FALSE()),F2363),"?"))</f>
        <v/>
      </c>
      <c r="I2363" s="50" t="str">
        <f>IF(ISNUMBER(H2363),IF(COUNTIFS($D$2:D2363,D2363,$H$2:H2363,H2363)=1,1,0),"")</f>
        <v/>
      </c>
      <c r="J2363" s="50" t="str">
        <f>IF(ISNUMBER(H2363),IFERROR(INDEX(Calendrier!$C$2:$C$367,MATCH(H2363,Calendrier!$A$2:$A$367,0)),0),"")</f>
        <v/>
      </c>
      <c r="K2363" s="50" t="str">
        <f t="shared" si="184"/>
        <v/>
      </c>
      <c r="L2363" s="50" t="str">
        <f>IF(D2363="","",IF(COUNTIF(Paramètres!$A$11:$A$40,D2363)&gt;0,1,0))</f>
        <v/>
      </c>
    </row>
    <row r="2364" spans="1:12" hidden="1" x14ac:dyDescent="0.25">
      <c r="A2364" s="49"/>
      <c r="B2364" s="49"/>
      <c r="C2364" s="49"/>
      <c r="D2364" s="50" t="str">
        <f t="shared" si="180"/>
        <v/>
      </c>
      <c r="E2364" s="50" t="str">
        <f t="shared" si="181"/>
        <v/>
      </c>
      <c r="F2364" s="50" t="str">
        <f t="shared" si="182"/>
        <v/>
      </c>
      <c r="G2364" s="50" t="str">
        <f t="shared" si="183"/>
        <v/>
      </c>
      <c r="H2364" s="51" t="str">
        <f>IF($C2364="","",IFERROR(DATE(G2364,VLOOKUP(E2364,Paramètres!$K$11:$L$40,2,FALSE()),F2364),"?"))</f>
        <v/>
      </c>
      <c r="I2364" s="50" t="str">
        <f>IF(ISNUMBER(H2364),IF(COUNTIFS($D$2:D2364,D2364,$H$2:H2364,H2364)=1,1,0),"")</f>
        <v/>
      </c>
      <c r="J2364" s="50" t="str">
        <f>IF(ISNUMBER(H2364),IFERROR(INDEX(Calendrier!$C$2:$C$367,MATCH(H2364,Calendrier!$A$2:$A$367,0)),0),"")</f>
        <v/>
      </c>
      <c r="K2364" s="50" t="str">
        <f t="shared" si="184"/>
        <v/>
      </c>
      <c r="L2364" s="50" t="str">
        <f>IF(D2364="","",IF(COUNTIF(Paramètres!$A$11:$A$40,D2364)&gt;0,1,0))</f>
        <v/>
      </c>
    </row>
    <row r="2365" spans="1:12" hidden="1" x14ac:dyDescent="0.25">
      <c r="A2365" s="49"/>
      <c r="B2365" s="49"/>
      <c r="C2365" s="49"/>
      <c r="D2365" s="50" t="str">
        <f t="shared" si="180"/>
        <v/>
      </c>
      <c r="E2365" s="50" t="str">
        <f t="shared" si="181"/>
        <v/>
      </c>
      <c r="F2365" s="50" t="str">
        <f t="shared" si="182"/>
        <v/>
      </c>
      <c r="G2365" s="50" t="str">
        <f t="shared" si="183"/>
        <v/>
      </c>
      <c r="H2365" s="51" t="str">
        <f>IF($C2365="","",IFERROR(DATE(G2365,VLOOKUP(E2365,Paramètres!$K$11:$L$40,2,FALSE()),F2365),"?"))</f>
        <v/>
      </c>
      <c r="I2365" s="50" t="str">
        <f>IF(ISNUMBER(H2365),IF(COUNTIFS($D$2:D2365,D2365,$H$2:H2365,H2365)=1,1,0),"")</f>
        <v/>
      </c>
      <c r="J2365" s="50" t="str">
        <f>IF(ISNUMBER(H2365),IFERROR(INDEX(Calendrier!$C$2:$C$367,MATCH(H2365,Calendrier!$A$2:$A$367,0)),0),"")</f>
        <v/>
      </c>
      <c r="K2365" s="50" t="str">
        <f t="shared" si="184"/>
        <v/>
      </c>
      <c r="L2365" s="50" t="str">
        <f>IF(D2365="","",IF(COUNTIF(Paramètres!$A$11:$A$40,D2365)&gt;0,1,0))</f>
        <v/>
      </c>
    </row>
    <row r="2366" spans="1:12" hidden="1" x14ac:dyDescent="0.25">
      <c r="A2366" s="49"/>
      <c r="B2366" s="49"/>
      <c r="C2366" s="49"/>
      <c r="D2366" s="50" t="str">
        <f t="shared" si="180"/>
        <v/>
      </c>
      <c r="E2366" s="50" t="str">
        <f t="shared" si="181"/>
        <v/>
      </c>
      <c r="F2366" s="50" t="str">
        <f t="shared" si="182"/>
        <v/>
      </c>
      <c r="G2366" s="50" t="str">
        <f t="shared" si="183"/>
        <v/>
      </c>
      <c r="H2366" s="51" t="str">
        <f>IF($C2366="","",IFERROR(DATE(G2366,VLOOKUP(E2366,Paramètres!$K$11:$L$40,2,FALSE()),F2366),"?"))</f>
        <v/>
      </c>
      <c r="I2366" s="50" t="str">
        <f>IF(ISNUMBER(H2366),IF(COUNTIFS($D$2:D2366,D2366,$H$2:H2366,H2366)=1,1,0),"")</f>
        <v/>
      </c>
      <c r="J2366" s="50" t="str">
        <f>IF(ISNUMBER(H2366),IFERROR(INDEX(Calendrier!$C$2:$C$367,MATCH(H2366,Calendrier!$A$2:$A$367,0)),0),"")</f>
        <v/>
      </c>
      <c r="K2366" s="50" t="str">
        <f t="shared" si="184"/>
        <v/>
      </c>
      <c r="L2366" s="50" t="str">
        <f>IF(D2366="","",IF(COUNTIF(Paramètres!$A$11:$A$40,D2366)&gt;0,1,0))</f>
        <v/>
      </c>
    </row>
    <row r="2367" spans="1:12" hidden="1" x14ac:dyDescent="0.25">
      <c r="A2367" s="49"/>
      <c r="B2367" s="49"/>
      <c r="C2367" s="49"/>
      <c r="D2367" s="50" t="str">
        <f t="shared" si="180"/>
        <v/>
      </c>
      <c r="E2367" s="50" t="str">
        <f t="shared" si="181"/>
        <v/>
      </c>
      <c r="F2367" s="50" t="str">
        <f t="shared" si="182"/>
        <v/>
      </c>
      <c r="G2367" s="50" t="str">
        <f t="shared" si="183"/>
        <v/>
      </c>
      <c r="H2367" s="51" t="str">
        <f>IF($C2367="","",IFERROR(DATE(G2367,VLOOKUP(E2367,Paramètres!$K$11:$L$40,2,FALSE()),F2367),"?"))</f>
        <v/>
      </c>
      <c r="I2367" s="50" t="str">
        <f>IF(ISNUMBER(H2367),IF(COUNTIFS($D$2:D2367,D2367,$H$2:H2367,H2367)=1,1,0),"")</f>
        <v/>
      </c>
      <c r="J2367" s="50" t="str">
        <f>IF(ISNUMBER(H2367),IFERROR(INDEX(Calendrier!$C$2:$C$367,MATCH(H2367,Calendrier!$A$2:$A$367,0)),0),"")</f>
        <v/>
      </c>
      <c r="K2367" s="50" t="str">
        <f t="shared" si="184"/>
        <v/>
      </c>
      <c r="L2367" s="50" t="str">
        <f>IF(D2367="","",IF(COUNTIF(Paramètres!$A$11:$A$40,D2367)&gt;0,1,0))</f>
        <v/>
      </c>
    </row>
    <row r="2368" spans="1:12" hidden="1" x14ac:dyDescent="0.25">
      <c r="A2368" s="49"/>
      <c r="B2368" s="49"/>
      <c r="C2368" s="49"/>
      <c r="D2368" s="50" t="str">
        <f t="shared" si="180"/>
        <v/>
      </c>
      <c r="E2368" s="50" t="str">
        <f t="shared" si="181"/>
        <v/>
      </c>
      <c r="F2368" s="50" t="str">
        <f t="shared" si="182"/>
        <v/>
      </c>
      <c r="G2368" s="50" t="str">
        <f t="shared" si="183"/>
        <v/>
      </c>
      <c r="H2368" s="51" t="str">
        <f>IF($C2368="","",IFERROR(DATE(G2368,VLOOKUP(E2368,Paramètres!$K$11:$L$40,2,FALSE()),F2368),"?"))</f>
        <v/>
      </c>
      <c r="I2368" s="50" t="str">
        <f>IF(ISNUMBER(H2368),IF(COUNTIFS($D$2:D2368,D2368,$H$2:H2368,H2368)=1,1,0),"")</f>
        <v/>
      </c>
      <c r="J2368" s="50" t="str">
        <f>IF(ISNUMBER(H2368),IFERROR(INDEX(Calendrier!$C$2:$C$367,MATCH(H2368,Calendrier!$A$2:$A$367,0)),0),"")</f>
        <v/>
      </c>
      <c r="K2368" s="50" t="str">
        <f t="shared" si="184"/>
        <v/>
      </c>
      <c r="L2368" s="50" t="str">
        <f>IF(D2368="","",IF(COUNTIF(Paramètres!$A$11:$A$40,D2368)&gt;0,1,0))</f>
        <v/>
      </c>
    </row>
    <row r="2369" spans="1:12" hidden="1" x14ac:dyDescent="0.25">
      <c r="A2369" s="49"/>
      <c r="B2369" s="49"/>
      <c r="C2369" s="49"/>
      <c r="D2369" s="50" t="str">
        <f t="shared" si="180"/>
        <v/>
      </c>
      <c r="E2369" s="50" t="str">
        <f t="shared" si="181"/>
        <v/>
      </c>
      <c r="F2369" s="50" t="str">
        <f t="shared" si="182"/>
        <v/>
      </c>
      <c r="G2369" s="50" t="str">
        <f t="shared" si="183"/>
        <v/>
      </c>
      <c r="H2369" s="51" t="str">
        <f>IF($C2369="","",IFERROR(DATE(G2369,VLOOKUP(E2369,Paramètres!$K$11:$L$40,2,FALSE()),F2369),"?"))</f>
        <v/>
      </c>
      <c r="I2369" s="50" t="str">
        <f>IF(ISNUMBER(H2369),IF(COUNTIFS($D$2:D2369,D2369,$H$2:H2369,H2369)=1,1,0),"")</f>
        <v/>
      </c>
      <c r="J2369" s="50" t="str">
        <f>IF(ISNUMBER(H2369),IFERROR(INDEX(Calendrier!$C$2:$C$367,MATCH(H2369,Calendrier!$A$2:$A$367,0)),0),"")</f>
        <v/>
      </c>
      <c r="K2369" s="50" t="str">
        <f t="shared" si="184"/>
        <v/>
      </c>
      <c r="L2369" s="50" t="str">
        <f>IF(D2369="","",IF(COUNTIF(Paramètres!$A$11:$A$40,D2369)&gt;0,1,0))</f>
        <v/>
      </c>
    </row>
    <row r="2370" spans="1:12" hidden="1" x14ac:dyDescent="0.25">
      <c r="A2370" s="49"/>
      <c r="B2370" s="49"/>
      <c r="C2370" s="49"/>
      <c r="D2370" s="50" t="str">
        <f t="shared" ref="D2370:D2433" si="185">IF(B2370="","",TRIM(B2370))</f>
        <v/>
      </c>
      <c r="E2370" s="50" t="str">
        <f t="shared" ref="E2370:E2433" si="186">IF($C2370="","",LEFT($C2370,FIND(" ",$C2370)-1))</f>
        <v/>
      </c>
      <c r="F2370" s="50" t="str">
        <f t="shared" ref="F2370:F2433" si="187">IF($C2370="","",IFERROR(VALUE(LEFT(MID($C2370,FIND(" ",$C2370)+1,20),FIND(" ",MID($C2370,FIND(" ",$C2370)+1,20))-1)),"?"))</f>
        <v/>
      </c>
      <c r="G2370" s="50" t="str">
        <f t="shared" ref="G2370:G2433" si="188">IF($C2370="","",IFERROR(VALUE(MID(MID($C2370,FIND(" ",$C2370)+1,20),FIND(" ",MID($C2370,FIND(" ",$C2370)+1,20))+1,4)),"?"))</f>
        <v/>
      </c>
      <c r="H2370" s="51" t="str">
        <f>IF($C2370="","",IFERROR(DATE(G2370,VLOOKUP(E2370,Paramètres!$K$11:$L$40,2,FALSE()),F2370),"?"))</f>
        <v/>
      </c>
      <c r="I2370" s="50" t="str">
        <f>IF(ISNUMBER(H2370),IF(COUNTIFS($D$2:D2370,D2370,$H$2:H2370,H2370)=1,1,0),"")</f>
        <v/>
      </c>
      <c r="J2370" s="50" t="str">
        <f>IF(ISNUMBER(H2370),IFERROR(INDEX(Calendrier!$C$2:$C$367,MATCH(H2370,Calendrier!$A$2:$A$367,0)),0),"")</f>
        <v/>
      </c>
      <c r="K2370" s="50" t="str">
        <f t="shared" ref="K2370:K2433" si="189">IF(ISNUMBER(H2370),I2370*J2370,"")</f>
        <v/>
      </c>
      <c r="L2370" s="50" t="str">
        <f>IF(D2370="","",IF(COUNTIF(Paramètres!$A$11:$A$40,D2370)&gt;0,1,0))</f>
        <v/>
      </c>
    </row>
    <row r="2371" spans="1:12" hidden="1" x14ac:dyDescent="0.25">
      <c r="A2371" s="49"/>
      <c r="B2371" s="49"/>
      <c r="C2371" s="49"/>
      <c r="D2371" s="50" t="str">
        <f t="shared" si="185"/>
        <v/>
      </c>
      <c r="E2371" s="50" t="str">
        <f t="shared" si="186"/>
        <v/>
      </c>
      <c r="F2371" s="50" t="str">
        <f t="shared" si="187"/>
        <v/>
      </c>
      <c r="G2371" s="50" t="str">
        <f t="shared" si="188"/>
        <v/>
      </c>
      <c r="H2371" s="51" t="str">
        <f>IF($C2371="","",IFERROR(DATE(G2371,VLOOKUP(E2371,Paramètres!$K$11:$L$40,2,FALSE()),F2371),"?"))</f>
        <v/>
      </c>
      <c r="I2371" s="50" t="str">
        <f>IF(ISNUMBER(H2371),IF(COUNTIFS($D$2:D2371,D2371,$H$2:H2371,H2371)=1,1,0),"")</f>
        <v/>
      </c>
      <c r="J2371" s="50" t="str">
        <f>IF(ISNUMBER(H2371),IFERROR(INDEX(Calendrier!$C$2:$C$367,MATCH(H2371,Calendrier!$A$2:$A$367,0)),0),"")</f>
        <v/>
      </c>
      <c r="K2371" s="50" t="str">
        <f t="shared" si="189"/>
        <v/>
      </c>
      <c r="L2371" s="50" t="str">
        <f>IF(D2371="","",IF(COUNTIF(Paramètres!$A$11:$A$40,D2371)&gt;0,1,0))</f>
        <v/>
      </c>
    </row>
    <row r="2372" spans="1:12" hidden="1" x14ac:dyDescent="0.25">
      <c r="A2372" s="49"/>
      <c r="B2372" s="49"/>
      <c r="C2372" s="49"/>
      <c r="D2372" s="50" t="str">
        <f t="shared" si="185"/>
        <v/>
      </c>
      <c r="E2372" s="50" t="str">
        <f t="shared" si="186"/>
        <v/>
      </c>
      <c r="F2372" s="50" t="str">
        <f t="shared" si="187"/>
        <v/>
      </c>
      <c r="G2372" s="50" t="str">
        <f t="shared" si="188"/>
        <v/>
      </c>
      <c r="H2372" s="51" t="str">
        <f>IF($C2372="","",IFERROR(DATE(G2372,VLOOKUP(E2372,Paramètres!$K$11:$L$40,2,FALSE()),F2372),"?"))</f>
        <v/>
      </c>
      <c r="I2372" s="50" t="str">
        <f>IF(ISNUMBER(H2372),IF(COUNTIFS($D$2:D2372,D2372,$H$2:H2372,H2372)=1,1,0),"")</f>
        <v/>
      </c>
      <c r="J2372" s="50" t="str">
        <f>IF(ISNUMBER(H2372),IFERROR(INDEX(Calendrier!$C$2:$C$367,MATCH(H2372,Calendrier!$A$2:$A$367,0)),0),"")</f>
        <v/>
      </c>
      <c r="K2372" s="50" t="str">
        <f t="shared" si="189"/>
        <v/>
      </c>
      <c r="L2372" s="50" t="str">
        <f>IF(D2372="","",IF(COUNTIF(Paramètres!$A$11:$A$40,D2372)&gt;0,1,0))</f>
        <v/>
      </c>
    </row>
    <row r="2373" spans="1:12" hidden="1" x14ac:dyDescent="0.25">
      <c r="A2373" s="49"/>
      <c r="B2373" s="49"/>
      <c r="C2373" s="49"/>
      <c r="D2373" s="50" t="str">
        <f t="shared" si="185"/>
        <v/>
      </c>
      <c r="E2373" s="50" t="str">
        <f t="shared" si="186"/>
        <v/>
      </c>
      <c r="F2373" s="50" t="str">
        <f t="shared" si="187"/>
        <v/>
      </c>
      <c r="G2373" s="50" t="str">
        <f t="shared" si="188"/>
        <v/>
      </c>
      <c r="H2373" s="51" t="str">
        <f>IF($C2373="","",IFERROR(DATE(G2373,VLOOKUP(E2373,Paramètres!$K$11:$L$40,2,FALSE()),F2373),"?"))</f>
        <v/>
      </c>
      <c r="I2373" s="50" t="str">
        <f>IF(ISNUMBER(H2373),IF(COUNTIFS($D$2:D2373,D2373,$H$2:H2373,H2373)=1,1,0),"")</f>
        <v/>
      </c>
      <c r="J2373" s="50" t="str">
        <f>IF(ISNUMBER(H2373),IFERROR(INDEX(Calendrier!$C$2:$C$367,MATCH(H2373,Calendrier!$A$2:$A$367,0)),0),"")</f>
        <v/>
      </c>
      <c r="K2373" s="50" t="str">
        <f t="shared" si="189"/>
        <v/>
      </c>
      <c r="L2373" s="50" t="str">
        <f>IF(D2373="","",IF(COUNTIF(Paramètres!$A$11:$A$40,D2373)&gt;0,1,0))</f>
        <v/>
      </c>
    </row>
    <row r="2374" spans="1:12" hidden="1" x14ac:dyDescent="0.25">
      <c r="A2374" s="49"/>
      <c r="B2374" s="49"/>
      <c r="C2374" s="49"/>
      <c r="D2374" s="50" t="str">
        <f t="shared" si="185"/>
        <v/>
      </c>
      <c r="E2374" s="50" t="str">
        <f t="shared" si="186"/>
        <v/>
      </c>
      <c r="F2374" s="50" t="str">
        <f t="shared" si="187"/>
        <v/>
      </c>
      <c r="G2374" s="50" t="str">
        <f t="shared" si="188"/>
        <v/>
      </c>
      <c r="H2374" s="51" t="str">
        <f>IF($C2374="","",IFERROR(DATE(G2374,VLOOKUP(E2374,Paramètres!$K$11:$L$40,2,FALSE()),F2374),"?"))</f>
        <v/>
      </c>
      <c r="I2374" s="50" t="str">
        <f>IF(ISNUMBER(H2374),IF(COUNTIFS($D$2:D2374,D2374,$H$2:H2374,H2374)=1,1,0),"")</f>
        <v/>
      </c>
      <c r="J2374" s="50" t="str">
        <f>IF(ISNUMBER(H2374),IFERROR(INDEX(Calendrier!$C$2:$C$367,MATCH(H2374,Calendrier!$A$2:$A$367,0)),0),"")</f>
        <v/>
      </c>
      <c r="K2374" s="50" t="str">
        <f t="shared" si="189"/>
        <v/>
      </c>
      <c r="L2374" s="50" t="str">
        <f>IF(D2374="","",IF(COUNTIF(Paramètres!$A$11:$A$40,D2374)&gt;0,1,0))</f>
        <v/>
      </c>
    </row>
    <row r="2375" spans="1:12" hidden="1" x14ac:dyDescent="0.25">
      <c r="A2375" s="49"/>
      <c r="B2375" s="49"/>
      <c r="C2375" s="49"/>
      <c r="D2375" s="50" t="str">
        <f t="shared" si="185"/>
        <v/>
      </c>
      <c r="E2375" s="50" t="str">
        <f t="shared" si="186"/>
        <v/>
      </c>
      <c r="F2375" s="50" t="str">
        <f t="shared" si="187"/>
        <v/>
      </c>
      <c r="G2375" s="50" t="str">
        <f t="shared" si="188"/>
        <v/>
      </c>
      <c r="H2375" s="51" t="str">
        <f>IF($C2375="","",IFERROR(DATE(G2375,VLOOKUP(E2375,Paramètres!$K$11:$L$40,2,FALSE()),F2375),"?"))</f>
        <v/>
      </c>
      <c r="I2375" s="50" t="str">
        <f>IF(ISNUMBER(H2375),IF(COUNTIFS($D$2:D2375,D2375,$H$2:H2375,H2375)=1,1,0),"")</f>
        <v/>
      </c>
      <c r="J2375" s="50" t="str">
        <f>IF(ISNUMBER(H2375),IFERROR(INDEX(Calendrier!$C$2:$C$367,MATCH(H2375,Calendrier!$A$2:$A$367,0)),0),"")</f>
        <v/>
      </c>
      <c r="K2375" s="50" t="str">
        <f t="shared" si="189"/>
        <v/>
      </c>
      <c r="L2375" s="50" t="str">
        <f>IF(D2375="","",IF(COUNTIF(Paramètres!$A$11:$A$40,D2375)&gt;0,1,0))</f>
        <v/>
      </c>
    </row>
    <row r="2376" spans="1:12" hidden="1" x14ac:dyDescent="0.25">
      <c r="A2376" s="49"/>
      <c r="B2376" s="49"/>
      <c r="C2376" s="49"/>
      <c r="D2376" s="50" t="str">
        <f t="shared" si="185"/>
        <v/>
      </c>
      <c r="E2376" s="50" t="str">
        <f t="shared" si="186"/>
        <v/>
      </c>
      <c r="F2376" s="50" t="str">
        <f t="shared" si="187"/>
        <v/>
      </c>
      <c r="G2376" s="50" t="str">
        <f t="shared" si="188"/>
        <v/>
      </c>
      <c r="H2376" s="51" t="str">
        <f>IF($C2376="","",IFERROR(DATE(G2376,VLOOKUP(E2376,Paramètres!$K$11:$L$40,2,FALSE()),F2376),"?"))</f>
        <v/>
      </c>
      <c r="I2376" s="50" t="str">
        <f>IF(ISNUMBER(H2376),IF(COUNTIFS($D$2:D2376,D2376,$H$2:H2376,H2376)=1,1,0),"")</f>
        <v/>
      </c>
      <c r="J2376" s="50" t="str">
        <f>IF(ISNUMBER(H2376),IFERROR(INDEX(Calendrier!$C$2:$C$367,MATCH(H2376,Calendrier!$A$2:$A$367,0)),0),"")</f>
        <v/>
      </c>
      <c r="K2376" s="50" t="str">
        <f t="shared" si="189"/>
        <v/>
      </c>
      <c r="L2376" s="50" t="str">
        <f>IF(D2376="","",IF(COUNTIF(Paramètres!$A$11:$A$40,D2376)&gt;0,1,0))</f>
        <v/>
      </c>
    </row>
    <row r="2377" spans="1:12" hidden="1" x14ac:dyDescent="0.25">
      <c r="A2377" s="49"/>
      <c r="B2377" s="49"/>
      <c r="C2377" s="49"/>
      <c r="D2377" s="50" t="str">
        <f t="shared" si="185"/>
        <v/>
      </c>
      <c r="E2377" s="50" t="str">
        <f t="shared" si="186"/>
        <v/>
      </c>
      <c r="F2377" s="50" t="str">
        <f t="shared" si="187"/>
        <v/>
      </c>
      <c r="G2377" s="50" t="str">
        <f t="shared" si="188"/>
        <v/>
      </c>
      <c r="H2377" s="51" t="str">
        <f>IF($C2377="","",IFERROR(DATE(G2377,VLOOKUP(E2377,Paramètres!$K$11:$L$40,2,FALSE()),F2377),"?"))</f>
        <v/>
      </c>
      <c r="I2377" s="50" t="str">
        <f>IF(ISNUMBER(H2377),IF(COUNTIFS($D$2:D2377,D2377,$H$2:H2377,H2377)=1,1,0),"")</f>
        <v/>
      </c>
      <c r="J2377" s="50" t="str">
        <f>IF(ISNUMBER(H2377),IFERROR(INDEX(Calendrier!$C$2:$C$367,MATCH(H2377,Calendrier!$A$2:$A$367,0)),0),"")</f>
        <v/>
      </c>
      <c r="K2377" s="50" t="str">
        <f t="shared" si="189"/>
        <v/>
      </c>
      <c r="L2377" s="50" t="str">
        <f>IF(D2377="","",IF(COUNTIF(Paramètres!$A$11:$A$40,D2377)&gt;0,1,0))</f>
        <v/>
      </c>
    </row>
    <row r="2378" spans="1:12" hidden="1" x14ac:dyDescent="0.25">
      <c r="A2378" s="49"/>
      <c r="B2378" s="49"/>
      <c r="C2378" s="49"/>
      <c r="D2378" s="50" t="str">
        <f t="shared" si="185"/>
        <v/>
      </c>
      <c r="E2378" s="50" t="str">
        <f t="shared" si="186"/>
        <v/>
      </c>
      <c r="F2378" s="50" t="str">
        <f t="shared" si="187"/>
        <v/>
      </c>
      <c r="G2378" s="50" t="str">
        <f t="shared" si="188"/>
        <v/>
      </c>
      <c r="H2378" s="51" t="str">
        <f>IF($C2378="","",IFERROR(DATE(G2378,VLOOKUP(E2378,Paramètres!$K$11:$L$40,2,FALSE()),F2378),"?"))</f>
        <v/>
      </c>
      <c r="I2378" s="50" t="str">
        <f>IF(ISNUMBER(H2378),IF(COUNTIFS($D$2:D2378,D2378,$H$2:H2378,H2378)=1,1,0),"")</f>
        <v/>
      </c>
      <c r="J2378" s="50" t="str">
        <f>IF(ISNUMBER(H2378),IFERROR(INDEX(Calendrier!$C$2:$C$367,MATCH(H2378,Calendrier!$A$2:$A$367,0)),0),"")</f>
        <v/>
      </c>
      <c r="K2378" s="50" t="str">
        <f t="shared" si="189"/>
        <v/>
      </c>
      <c r="L2378" s="50" t="str">
        <f>IF(D2378="","",IF(COUNTIF(Paramètres!$A$11:$A$40,D2378)&gt;0,1,0))</f>
        <v/>
      </c>
    </row>
    <row r="2379" spans="1:12" hidden="1" x14ac:dyDescent="0.25">
      <c r="A2379" s="49"/>
      <c r="B2379" s="49"/>
      <c r="C2379" s="49"/>
      <c r="D2379" s="50" t="str">
        <f t="shared" si="185"/>
        <v/>
      </c>
      <c r="E2379" s="50" t="str">
        <f t="shared" si="186"/>
        <v/>
      </c>
      <c r="F2379" s="50" t="str">
        <f t="shared" si="187"/>
        <v/>
      </c>
      <c r="G2379" s="50" t="str">
        <f t="shared" si="188"/>
        <v/>
      </c>
      <c r="H2379" s="51" t="str">
        <f>IF($C2379="","",IFERROR(DATE(G2379,VLOOKUP(E2379,Paramètres!$K$11:$L$40,2,FALSE()),F2379),"?"))</f>
        <v/>
      </c>
      <c r="I2379" s="50" t="str">
        <f>IF(ISNUMBER(H2379),IF(COUNTIFS($D$2:D2379,D2379,$H$2:H2379,H2379)=1,1,0),"")</f>
        <v/>
      </c>
      <c r="J2379" s="50" t="str">
        <f>IF(ISNUMBER(H2379),IFERROR(INDEX(Calendrier!$C$2:$C$367,MATCH(H2379,Calendrier!$A$2:$A$367,0)),0),"")</f>
        <v/>
      </c>
      <c r="K2379" s="50" t="str">
        <f t="shared" si="189"/>
        <v/>
      </c>
      <c r="L2379" s="50" t="str">
        <f>IF(D2379="","",IF(COUNTIF(Paramètres!$A$11:$A$40,D2379)&gt;0,1,0))</f>
        <v/>
      </c>
    </row>
    <row r="2380" spans="1:12" hidden="1" x14ac:dyDescent="0.25">
      <c r="A2380" s="49"/>
      <c r="B2380" s="49"/>
      <c r="C2380" s="49"/>
      <c r="D2380" s="50" t="str">
        <f t="shared" si="185"/>
        <v/>
      </c>
      <c r="E2380" s="50" t="str">
        <f t="shared" si="186"/>
        <v/>
      </c>
      <c r="F2380" s="50" t="str">
        <f t="shared" si="187"/>
        <v/>
      </c>
      <c r="G2380" s="50" t="str">
        <f t="shared" si="188"/>
        <v/>
      </c>
      <c r="H2380" s="51" t="str">
        <f>IF($C2380="","",IFERROR(DATE(G2380,VLOOKUP(E2380,Paramètres!$K$11:$L$40,2,FALSE()),F2380),"?"))</f>
        <v/>
      </c>
      <c r="I2380" s="50" t="str">
        <f>IF(ISNUMBER(H2380),IF(COUNTIFS($D$2:D2380,D2380,$H$2:H2380,H2380)=1,1,0),"")</f>
        <v/>
      </c>
      <c r="J2380" s="50" t="str">
        <f>IF(ISNUMBER(H2380),IFERROR(INDEX(Calendrier!$C$2:$C$367,MATCH(H2380,Calendrier!$A$2:$A$367,0)),0),"")</f>
        <v/>
      </c>
      <c r="K2380" s="50" t="str">
        <f t="shared" si="189"/>
        <v/>
      </c>
      <c r="L2380" s="50" t="str">
        <f>IF(D2380="","",IF(COUNTIF(Paramètres!$A$11:$A$40,D2380)&gt;0,1,0))</f>
        <v/>
      </c>
    </row>
    <row r="2381" spans="1:12" hidden="1" x14ac:dyDescent="0.25">
      <c r="A2381" s="49"/>
      <c r="B2381" s="49"/>
      <c r="C2381" s="49"/>
      <c r="D2381" s="50" t="str">
        <f t="shared" si="185"/>
        <v/>
      </c>
      <c r="E2381" s="50" t="str">
        <f t="shared" si="186"/>
        <v/>
      </c>
      <c r="F2381" s="50" t="str">
        <f t="shared" si="187"/>
        <v/>
      </c>
      <c r="G2381" s="50" t="str">
        <f t="shared" si="188"/>
        <v/>
      </c>
      <c r="H2381" s="51" t="str">
        <f>IF($C2381="","",IFERROR(DATE(G2381,VLOOKUP(E2381,Paramètres!$K$11:$L$40,2,FALSE()),F2381),"?"))</f>
        <v/>
      </c>
      <c r="I2381" s="50" t="str">
        <f>IF(ISNUMBER(H2381),IF(COUNTIFS($D$2:D2381,D2381,$H$2:H2381,H2381)=1,1,0),"")</f>
        <v/>
      </c>
      <c r="J2381" s="50" t="str">
        <f>IF(ISNUMBER(H2381),IFERROR(INDEX(Calendrier!$C$2:$C$367,MATCH(H2381,Calendrier!$A$2:$A$367,0)),0),"")</f>
        <v/>
      </c>
      <c r="K2381" s="50" t="str">
        <f t="shared" si="189"/>
        <v/>
      </c>
      <c r="L2381" s="50" t="str">
        <f>IF(D2381="","",IF(COUNTIF(Paramètres!$A$11:$A$40,D2381)&gt;0,1,0))</f>
        <v/>
      </c>
    </row>
    <row r="2382" spans="1:12" hidden="1" x14ac:dyDescent="0.25">
      <c r="A2382" s="49"/>
      <c r="B2382" s="49"/>
      <c r="C2382" s="49"/>
      <c r="D2382" s="50" t="str">
        <f t="shared" si="185"/>
        <v/>
      </c>
      <c r="E2382" s="50" t="str">
        <f t="shared" si="186"/>
        <v/>
      </c>
      <c r="F2382" s="50" t="str">
        <f t="shared" si="187"/>
        <v/>
      </c>
      <c r="G2382" s="50" t="str">
        <f t="shared" si="188"/>
        <v/>
      </c>
      <c r="H2382" s="51" t="str">
        <f>IF($C2382="","",IFERROR(DATE(G2382,VLOOKUP(E2382,Paramètres!$K$11:$L$40,2,FALSE()),F2382),"?"))</f>
        <v/>
      </c>
      <c r="I2382" s="50" t="str">
        <f>IF(ISNUMBER(H2382),IF(COUNTIFS($D$2:D2382,D2382,$H$2:H2382,H2382)=1,1,0),"")</f>
        <v/>
      </c>
      <c r="J2382" s="50" t="str">
        <f>IF(ISNUMBER(H2382),IFERROR(INDEX(Calendrier!$C$2:$C$367,MATCH(H2382,Calendrier!$A$2:$A$367,0)),0),"")</f>
        <v/>
      </c>
      <c r="K2382" s="50" t="str">
        <f t="shared" si="189"/>
        <v/>
      </c>
      <c r="L2382" s="50" t="str">
        <f>IF(D2382="","",IF(COUNTIF(Paramètres!$A$11:$A$40,D2382)&gt;0,1,0))</f>
        <v/>
      </c>
    </row>
    <row r="2383" spans="1:12" hidden="1" x14ac:dyDescent="0.25">
      <c r="A2383" s="49"/>
      <c r="B2383" s="49"/>
      <c r="C2383" s="49"/>
      <c r="D2383" s="50" t="str">
        <f t="shared" si="185"/>
        <v/>
      </c>
      <c r="E2383" s="50" t="str">
        <f t="shared" si="186"/>
        <v/>
      </c>
      <c r="F2383" s="50" t="str">
        <f t="shared" si="187"/>
        <v/>
      </c>
      <c r="G2383" s="50" t="str">
        <f t="shared" si="188"/>
        <v/>
      </c>
      <c r="H2383" s="51" t="str">
        <f>IF($C2383="","",IFERROR(DATE(G2383,VLOOKUP(E2383,Paramètres!$K$11:$L$40,2,FALSE()),F2383),"?"))</f>
        <v/>
      </c>
      <c r="I2383" s="50" t="str">
        <f>IF(ISNUMBER(H2383),IF(COUNTIFS($D$2:D2383,D2383,$H$2:H2383,H2383)=1,1,0),"")</f>
        <v/>
      </c>
      <c r="J2383" s="50" t="str">
        <f>IF(ISNUMBER(H2383),IFERROR(INDEX(Calendrier!$C$2:$C$367,MATCH(H2383,Calendrier!$A$2:$A$367,0)),0),"")</f>
        <v/>
      </c>
      <c r="K2383" s="50" t="str">
        <f t="shared" si="189"/>
        <v/>
      </c>
      <c r="L2383" s="50" t="str">
        <f>IF(D2383="","",IF(COUNTIF(Paramètres!$A$11:$A$40,D2383)&gt;0,1,0))</f>
        <v/>
      </c>
    </row>
    <row r="2384" spans="1:12" hidden="1" x14ac:dyDescent="0.25">
      <c r="A2384" s="49"/>
      <c r="B2384" s="49"/>
      <c r="C2384" s="49"/>
      <c r="D2384" s="50" t="str">
        <f t="shared" si="185"/>
        <v/>
      </c>
      <c r="E2384" s="50" t="str">
        <f t="shared" si="186"/>
        <v/>
      </c>
      <c r="F2384" s="50" t="str">
        <f t="shared" si="187"/>
        <v/>
      </c>
      <c r="G2384" s="50" t="str">
        <f t="shared" si="188"/>
        <v/>
      </c>
      <c r="H2384" s="51" t="str">
        <f>IF($C2384="","",IFERROR(DATE(G2384,VLOOKUP(E2384,Paramètres!$K$11:$L$40,2,FALSE()),F2384),"?"))</f>
        <v/>
      </c>
      <c r="I2384" s="50" t="str">
        <f>IF(ISNUMBER(H2384),IF(COUNTIFS($D$2:D2384,D2384,$H$2:H2384,H2384)=1,1,0),"")</f>
        <v/>
      </c>
      <c r="J2384" s="50" t="str">
        <f>IF(ISNUMBER(H2384),IFERROR(INDEX(Calendrier!$C$2:$C$367,MATCH(H2384,Calendrier!$A$2:$A$367,0)),0),"")</f>
        <v/>
      </c>
      <c r="K2384" s="50" t="str">
        <f t="shared" si="189"/>
        <v/>
      </c>
      <c r="L2384" s="50" t="str">
        <f>IF(D2384="","",IF(COUNTIF(Paramètres!$A$11:$A$40,D2384)&gt;0,1,0))</f>
        <v/>
      </c>
    </row>
    <row r="2385" spans="1:12" hidden="1" x14ac:dyDescent="0.25">
      <c r="A2385" s="49"/>
      <c r="B2385" s="49"/>
      <c r="C2385" s="49"/>
      <c r="D2385" s="50" t="str">
        <f t="shared" si="185"/>
        <v/>
      </c>
      <c r="E2385" s="50" t="str">
        <f t="shared" si="186"/>
        <v/>
      </c>
      <c r="F2385" s="50" t="str">
        <f t="shared" si="187"/>
        <v/>
      </c>
      <c r="G2385" s="50" t="str">
        <f t="shared" si="188"/>
        <v/>
      </c>
      <c r="H2385" s="51" t="str">
        <f>IF($C2385="","",IFERROR(DATE(G2385,VLOOKUP(E2385,Paramètres!$K$11:$L$40,2,FALSE()),F2385),"?"))</f>
        <v/>
      </c>
      <c r="I2385" s="50" t="str">
        <f>IF(ISNUMBER(H2385),IF(COUNTIFS($D$2:D2385,D2385,$H$2:H2385,H2385)=1,1,0),"")</f>
        <v/>
      </c>
      <c r="J2385" s="50" t="str">
        <f>IF(ISNUMBER(H2385),IFERROR(INDEX(Calendrier!$C$2:$C$367,MATCH(H2385,Calendrier!$A$2:$A$367,0)),0),"")</f>
        <v/>
      </c>
      <c r="K2385" s="50" t="str">
        <f t="shared" si="189"/>
        <v/>
      </c>
      <c r="L2385" s="50" t="str">
        <f>IF(D2385="","",IF(COUNTIF(Paramètres!$A$11:$A$40,D2385)&gt;0,1,0))</f>
        <v/>
      </c>
    </row>
    <row r="2386" spans="1:12" hidden="1" x14ac:dyDescent="0.25">
      <c r="A2386" s="49"/>
      <c r="B2386" s="49"/>
      <c r="C2386" s="49"/>
      <c r="D2386" s="50" t="str">
        <f t="shared" si="185"/>
        <v/>
      </c>
      <c r="E2386" s="50" t="str">
        <f t="shared" si="186"/>
        <v/>
      </c>
      <c r="F2386" s="50" t="str">
        <f t="shared" si="187"/>
        <v/>
      </c>
      <c r="G2386" s="50" t="str">
        <f t="shared" si="188"/>
        <v/>
      </c>
      <c r="H2386" s="51" t="str">
        <f>IF($C2386="","",IFERROR(DATE(G2386,VLOOKUP(E2386,Paramètres!$K$11:$L$40,2,FALSE()),F2386),"?"))</f>
        <v/>
      </c>
      <c r="I2386" s="50" t="str">
        <f>IF(ISNUMBER(H2386),IF(COUNTIFS($D$2:D2386,D2386,$H$2:H2386,H2386)=1,1,0),"")</f>
        <v/>
      </c>
      <c r="J2386" s="50" t="str">
        <f>IF(ISNUMBER(H2386),IFERROR(INDEX(Calendrier!$C$2:$C$367,MATCH(H2386,Calendrier!$A$2:$A$367,0)),0),"")</f>
        <v/>
      </c>
      <c r="K2386" s="50" t="str">
        <f t="shared" si="189"/>
        <v/>
      </c>
      <c r="L2386" s="50" t="str">
        <f>IF(D2386="","",IF(COUNTIF(Paramètres!$A$11:$A$40,D2386)&gt;0,1,0))</f>
        <v/>
      </c>
    </row>
    <row r="2387" spans="1:12" hidden="1" x14ac:dyDescent="0.25">
      <c r="A2387" s="49"/>
      <c r="B2387" s="49"/>
      <c r="C2387" s="49"/>
      <c r="D2387" s="50" t="str">
        <f t="shared" si="185"/>
        <v/>
      </c>
      <c r="E2387" s="50" t="str">
        <f t="shared" si="186"/>
        <v/>
      </c>
      <c r="F2387" s="50" t="str">
        <f t="shared" si="187"/>
        <v/>
      </c>
      <c r="G2387" s="50" t="str">
        <f t="shared" si="188"/>
        <v/>
      </c>
      <c r="H2387" s="51" t="str">
        <f>IF($C2387="","",IFERROR(DATE(G2387,VLOOKUP(E2387,Paramètres!$K$11:$L$40,2,FALSE()),F2387),"?"))</f>
        <v/>
      </c>
      <c r="I2387" s="50" t="str">
        <f>IF(ISNUMBER(H2387),IF(COUNTIFS($D$2:D2387,D2387,$H$2:H2387,H2387)=1,1,0),"")</f>
        <v/>
      </c>
      <c r="J2387" s="50" t="str">
        <f>IF(ISNUMBER(H2387),IFERROR(INDEX(Calendrier!$C$2:$C$367,MATCH(H2387,Calendrier!$A$2:$A$367,0)),0),"")</f>
        <v/>
      </c>
      <c r="K2387" s="50" t="str">
        <f t="shared" si="189"/>
        <v/>
      </c>
      <c r="L2387" s="50" t="str">
        <f>IF(D2387="","",IF(COUNTIF(Paramètres!$A$11:$A$40,D2387)&gt;0,1,0))</f>
        <v/>
      </c>
    </row>
    <row r="2388" spans="1:12" hidden="1" x14ac:dyDescent="0.25">
      <c r="A2388" s="49"/>
      <c r="B2388" s="49"/>
      <c r="C2388" s="49"/>
      <c r="D2388" s="50" t="str">
        <f t="shared" si="185"/>
        <v/>
      </c>
      <c r="E2388" s="50" t="str">
        <f t="shared" si="186"/>
        <v/>
      </c>
      <c r="F2388" s="50" t="str">
        <f t="shared" si="187"/>
        <v/>
      </c>
      <c r="G2388" s="50" t="str">
        <f t="shared" si="188"/>
        <v/>
      </c>
      <c r="H2388" s="51" t="str">
        <f>IF($C2388="","",IFERROR(DATE(G2388,VLOOKUP(E2388,Paramètres!$K$11:$L$40,2,FALSE()),F2388),"?"))</f>
        <v/>
      </c>
      <c r="I2388" s="50" t="str">
        <f>IF(ISNUMBER(H2388),IF(COUNTIFS($D$2:D2388,D2388,$H$2:H2388,H2388)=1,1,0),"")</f>
        <v/>
      </c>
      <c r="J2388" s="50" t="str">
        <f>IF(ISNUMBER(H2388),IFERROR(INDEX(Calendrier!$C$2:$C$367,MATCH(H2388,Calendrier!$A$2:$A$367,0)),0),"")</f>
        <v/>
      </c>
      <c r="K2388" s="50" t="str">
        <f t="shared" si="189"/>
        <v/>
      </c>
      <c r="L2388" s="50" t="str">
        <f>IF(D2388="","",IF(COUNTIF(Paramètres!$A$11:$A$40,D2388)&gt;0,1,0))</f>
        <v/>
      </c>
    </row>
    <row r="2389" spans="1:12" hidden="1" x14ac:dyDescent="0.25">
      <c r="A2389" s="49"/>
      <c r="B2389" s="49"/>
      <c r="C2389" s="49"/>
      <c r="D2389" s="50" t="str">
        <f t="shared" si="185"/>
        <v/>
      </c>
      <c r="E2389" s="50" t="str">
        <f t="shared" si="186"/>
        <v/>
      </c>
      <c r="F2389" s="50" t="str">
        <f t="shared" si="187"/>
        <v/>
      </c>
      <c r="G2389" s="50" t="str">
        <f t="shared" si="188"/>
        <v/>
      </c>
      <c r="H2389" s="51" t="str">
        <f>IF($C2389="","",IFERROR(DATE(G2389,VLOOKUP(E2389,Paramètres!$K$11:$L$40,2,FALSE()),F2389),"?"))</f>
        <v/>
      </c>
      <c r="I2389" s="50" t="str">
        <f>IF(ISNUMBER(H2389),IF(COUNTIFS($D$2:D2389,D2389,$H$2:H2389,H2389)=1,1,0),"")</f>
        <v/>
      </c>
      <c r="J2389" s="50" t="str">
        <f>IF(ISNUMBER(H2389),IFERROR(INDEX(Calendrier!$C$2:$C$367,MATCH(H2389,Calendrier!$A$2:$A$367,0)),0),"")</f>
        <v/>
      </c>
      <c r="K2389" s="50" t="str">
        <f t="shared" si="189"/>
        <v/>
      </c>
      <c r="L2389" s="50" t="str">
        <f>IF(D2389="","",IF(COUNTIF(Paramètres!$A$11:$A$40,D2389)&gt;0,1,0))</f>
        <v/>
      </c>
    </row>
    <row r="2390" spans="1:12" hidden="1" x14ac:dyDescent="0.25">
      <c r="A2390" s="49"/>
      <c r="B2390" s="49"/>
      <c r="C2390" s="49"/>
      <c r="D2390" s="50" t="str">
        <f t="shared" si="185"/>
        <v/>
      </c>
      <c r="E2390" s="50" t="str">
        <f t="shared" si="186"/>
        <v/>
      </c>
      <c r="F2390" s="50" t="str">
        <f t="shared" si="187"/>
        <v/>
      </c>
      <c r="G2390" s="50" t="str">
        <f t="shared" si="188"/>
        <v/>
      </c>
      <c r="H2390" s="51" t="str">
        <f>IF($C2390="","",IFERROR(DATE(G2390,VLOOKUP(E2390,Paramètres!$K$11:$L$40,2,FALSE()),F2390),"?"))</f>
        <v/>
      </c>
      <c r="I2390" s="50" t="str">
        <f>IF(ISNUMBER(H2390),IF(COUNTIFS($D$2:D2390,D2390,$H$2:H2390,H2390)=1,1,0),"")</f>
        <v/>
      </c>
      <c r="J2390" s="50" t="str">
        <f>IF(ISNUMBER(H2390),IFERROR(INDEX(Calendrier!$C$2:$C$367,MATCH(H2390,Calendrier!$A$2:$A$367,0)),0),"")</f>
        <v/>
      </c>
      <c r="K2390" s="50" t="str">
        <f t="shared" si="189"/>
        <v/>
      </c>
      <c r="L2390" s="50" t="str">
        <f>IF(D2390="","",IF(COUNTIF(Paramètres!$A$11:$A$40,D2390)&gt;0,1,0))</f>
        <v/>
      </c>
    </row>
    <row r="2391" spans="1:12" hidden="1" x14ac:dyDescent="0.25">
      <c r="A2391" s="49"/>
      <c r="B2391" s="49"/>
      <c r="C2391" s="49"/>
      <c r="D2391" s="50" t="str">
        <f t="shared" si="185"/>
        <v/>
      </c>
      <c r="E2391" s="50" t="str">
        <f t="shared" si="186"/>
        <v/>
      </c>
      <c r="F2391" s="50" t="str">
        <f t="shared" si="187"/>
        <v/>
      </c>
      <c r="G2391" s="50" t="str">
        <f t="shared" si="188"/>
        <v/>
      </c>
      <c r="H2391" s="51" t="str">
        <f>IF($C2391="","",IFERROR(DATE(G2391,VLOOKUP(E2391,Paramètres!$K$11:$L$40,2,FALSE()),F2391),"?"))</f>
        <v/>
      </c>
      <c r="I2391" s="50" t="str">
        <f>IF(ISNUMBER(H2391),IF(COUNTIFS($D$2:D2391,D2391,$H$2:H2391,H2391)=1,1,0),"")</f>
        <v/>
      </c>
      <c r="J2391" s="50" t="str">
        <f>IF(ISNUMBER(H2391),IFERROR(INDEX(Calendrier!$C$2:$C$367,MATCH(H2391,Calendrier!$A$2:$A$367,0)),0),"")</f>
        <v/>
      </c>
      <c r="K2391" s="50" t="str">
        <f t="shared" si="189"/>
        <v/>
      </c>
      <c r="L2391" s="50" t="str">
        <f>IF(D2391="","",IF(COUNTIF(Paramètres!$A$11:$A$40,D2391)&gt;0,1,0))</f>
        <v/>
      </c>
    </row>
    <row r="2392" spans="1:12" hidden="1" x14ac:dyDescent="0.25">
      <c r="A2392" s="49"/>
      <c r="B2392" s="49"/>
      <c r="C2392" s="49"/>
      <c r="D2392" s="50" t="str">
        <f t="shared" si="185"/>
        <v/>
      </c>
      <c r="E2392" s="50" t="str">
        <f t="shared" si="186"/>
        <v/>
      </c>
      <c r="F2392" s="50" t="str">
        <f t="shared" si="187"/>
        <v/>
      </c>
      <c r="G2392" s="50" t="str">
        <f t="shared" si="188"/>
        <v/>
      </c>
      <c r="H2392" s="51" t="str">
        <f>IF($C2392="","",IFERROR(DATE(G2392,VLOOKUP(E2392,Paramètres!$K$11:$L$40,2,FALSE()),F2392),"?"))</f>
        <v/>
      </c>
      <c r="I2392" s="50" t="str">
        <f>IF(ISNUMBER(H2392),IF(COUNTIFS($D$2:D2392,D2392,$H$2:H2392,H2392)=1,1,0),"")</f>
        <v/>
      </c>
      <c r="J2392" s="50" t="str">
        <f>IF(ISNUMBER(H2392),IFERROR(INDEX(Calendrier!$C$2:$C$367,MATCH(H2392,Calendrier!$A$2:$A$367,0)),0),"")</f>
        <v/>
      </c>
      <c r="K2392" s="50" t="str">
        <f t="shared" si="189"/>
        <v/>
      </c>
      <c r="L2392" s="50" t="str">
        <f>IF(D2392="","",IF(COUNTIF(Paramètres!$A$11:$A$40,D2392)&gt;0,1,0))</f>
        <v/>
      </c>
    </row>
    <row r="2393" spans="1:12" hidden="1" x14ac:dyDescent="0.25">
      <c r="A2393" s="49"/>
      <c r="B2393" s="49"/>
      <c r="C2393" s="49"/>
      <c r="D2393" s="50" t="str">
        <f t="shared" si="185"/>
        <v/>
      </c>
      <c r="E2393" s="50" t="str">
        <f t="shared" si="186"/>
        <v/>
      </c>
      <c r="F2393" s="50" t="str">
        <f t="shared" si="187"/>
        <v/>
      </c>
      <c r="G2393" s="50" t="str">
        <f t="shared" si="188"/>
        <v/>
      </c>
      <c r="H2393" s="51" t="str">
        <f>IF($C2393="","",IFERROR(DATE(G2393,VLOOKUP(E2393,Paramètres!$K$11:$L$40,2,FALSE()),F2393),"?"))</f>
        <v/>
      </c>
      <c r="I2393" s="50" t="str">
        <f>IF(ISNUMBER(H2393),IF(COUNTIFS($D$2:D2393,D2393,$H$2:H2393,H2393)=1,1,0),"")</f>
        <v/>
      </c>
      <c r="J2393" s="50" t="str">
        <f>IF(ISNUMBER(H2393),IFERROR(INDEX(Calendrier!$C$2:$C$367,MATCH(H2393,Calendrier!$A$2:$A$367,0)),0),"")</f>
        <v/>
      </c>
      <c r="K2393" s="50" t="str">
        <f t="shared" si="189"/>
        <v/>
      </c>
      <c r="L2393" s="50" t="str">
        <f>IF(D2393="","",IF(COUNTIF(Paramètres!$A$11:$A$40,D2393)&gt;0,1,0))</f>
        <v/>
      </c>
    </row>
    <row r="2394" spans="1:12" hidden="1" x14ac:dyDescent="0.25">
      <c r="A2394" s="49"/>
      <c r="B2394" s="49"/>
      <c r="C2394" s="49"/>
      <c r="D2394" s="50" t="str">
        <f t="shared" si="185"/>
        <v/>
      </c>
      <c r="E2394" s="50" t="str">
        <f t="shared" si="186"/>
        <v/>
      </c>
      <c r="F2394" s="50" t="str">
        <f t="shared" si="187"/>
        <v/>
      </c>
      <c r="G2394" s="50" t="str">
        <f t="shared" si="188"/>
        <v/>
      </c>
      <c r="H2394" s="51" t="str">
        <f>IF($C2394="","",IFERROR(DATE(G2394,VLOOKUP(E2394,Paramètres!$K$11:$L$40,2,FALSE()),F2394),"?"))</f>
        <v/>
      </c>
      <c r="I2394" s="50" t="str">
        <f>IF(ISNUMBER(H2394),IF(COUNTIFS($D$2:D2394,D2394,$H$2:H2394,H2394)=1,1,0),"")</f>
        <v/>
      </c>
      <c r="J2394" s="50" t="str">
        <f>IF(ISNUMBER(H2394),IFERROR(INDEX(Calendrier!$C$2:$C$367,MATCH(H2394,Calendrier!$A$2:$A$367,0)),0),"")</f>
        <v/>
      </c>
      <c r="K2394" s="50" t="str">
        <f t="shared" si="189"/>
        <v/>
      </c>
      <c r="L2394" s="50" t="str">
        <f>IF(D2394="","",IF(COUNTIF(Paramètres!$A$11:$A$40,D2394)&gt;0,1,0))</f>
        <v/>
      </c>
    </row>
    <row r="2395" spans="1:12" hidden="1" x14ac:dyDescent="0.25">
      <c r="A2395" s="49"/>
      <c r="B2395" s="49"/>
      <c r="C2395" s="49"/>
      <c r="D2395" s="50" t="str">
        <f t="shared" si="185"/>
        <v/>
      </c>
      <c r="E2395" s="50" t="str">
        <f t="shared" si="186"/>
        <v/>
      </c>
      <c r="F2395" s="50" t="str">
        <f t="shared" si="187"/>
        <v/>
      </c>
      <c r="G2395" s="50" t="str">
        <f t="shared" si="188"/>
        <v/>
      </c>
      <c r="H2395" s="51" t="str">
        <f>IF($C2395="","",IFERROR(DATE(G2395,VLOOKUP(E2395,Paramètres!$K$11:$L$40,2,FALSE()),F2395),"?"))</f>
        <v/>
      </c>
      <c r="I2395" s="50" t="str">
        <f>IF(ISNUMBER(H2395),IF(COUNTIFS($D$2:D2395,D2395,$H$2:H2395,H2395)=1,1,0),"")</f>
        <v/>
      </c>
      <c r="J2395" s="50" t="str">
        <f>IF(ISNUMBER(H2395),IFERROR(INDEX(Calendrier!$C$2:$C$367,MATCH(H2395,Calendrier!$A$2:$A$367,0)),0),"")</f>
        <v/>
      </c>
      <c r="K2395" s="50" t="str">
        <f t="shared" si="189"/>
        <v/>
      </c>
      <c r="L2395" s="50" t="str">
        <f>IF(D2395="","",IF(COUNTIF(Paramètres!$A$11:$A$40,D2395)&gt;0,1,0))</f>
        <v/>
      </c>
    </row>
    <row r="2396" spans="1:12" hidden="1" x14ac:dyDescent="0.25">
      <c r="A2396" s="49"/>
      <c r="B2396" s="49"/>
      <c r="C2396" s="49"/>
      <c r="D2396" s="50" t="str">
        <f t="shared" si="185"/>
        <v/>
      </c>
      <c r="E2396" s="50" t="str">
        <f t="shared" si="186"/>
        <v/>
      </c>
      <c r="F2396" s="50" t="str">
        <f t="shared" si="187"/>
        <v/>
      </c>
      <c r="G2396" s="50" t="str">
        <f t="shared" si="188"/>
        <v/>
      </c>
      <c r="H2396" s="51" t="str">
        <f>IF($C2396="","",IFERROR(DATE(G2396,VLOOKUP(E2396,Paramètres!$K$11:$L$40,2,FALSE()),F2396),"?"))</f>
        <v/>
      </c>
      <c r="I2396" s="50" t="str">
        <f>IF(ISNUMBER(H2396),IF(COUNTIFS($D$2:D2396,D2396,$H$2:H2396,H2396)=1,1,0),"")</f>
        <v/>
      </c>
      <c r="J2396" s="50" t="str">
        <f>IF(ISNUMBER(H2396),IFERROR(INDEX(Calendrier!$C$2:$C$367,MATCH(H2396,Calendrier!$A$2:$A$367,0)),0),"")</f>
        <v/>
      </c>
      <c r="K2396" s="50" t="str">
        <f t="shared" si="189"/>
        <v/>
      </c>
      <c r="L2396" s="50" t="str">
        <f>IF(D2396="","",IF(COUNTIF(Paramètres!$A$11:$A$40,D2396)&gt;0,1,0))</f>
        <v/>
      </c>
    </row>
    <row r="2397" spans="1:12" hidden="1" x14ac:dyDescent="0.25">
      <c r="A2397" s="49"/>
      <c r="B2397" s="49"/>
      <c r="C2397" s="49"/>
      <c r="D2397" s="50" t="str">
        <f t="shared" si="185"/>
        <v/>
      </c>
      <c r="E2397" s="50" t="str">
        <f t="shared" si="186"/>
        <v/>
      </c>
      <c r="F2397" s="50" t="str">
        <f t="shared" si="187"/>
        <v/>
      </c>
      <c r="G2397" s="50" t="str">
        <f t="shared" si="188"/>
        <v/>
      </c>
      <c r="H2397" s="51" t="str">
        <f>IF($C2397="","",IFERROR(DATE(G2397,VLOOKUP(E2397,Paramètres!$K$11:$L$40,2,FALSE()),F2397),"?"))</f>
        <v/>
      </c>
      <c r="I2397" s="50" t="str">
        <f>IF(ISNUMBER(H2397),IF(COUNTIFS($D$2:D2397,D2397,$H$2:H2397,H2397)=1,1,0),"")</f>
        <v/>
      </c>
      <c r="J2397" s="50" t="str">
        <f>IF(ISNUMBER(H2397),IFERROR(INDEX(Calendrier!$C$2:$C$367,MATCH(H2397,Calendrier!$A$2:$A$367,0)),0),"")</f>
        <v/>
      </c>
      <c r="K2397" s="50" t="str">
        <f t="shared" si="189"/>
        <v/>
      </c>
      <c r="L2397" s="50" t="str">
        <f>IF(D2397="","",IF(COUNTIF(Paramètres!$A$11:$A$40,D2397)&gt;0,1,0))</f>
        <v/>
      </c>
    </row>
    <row r="2398" spans="1:12" hidden="1" x14ac:dyDescent="0.25">
      <c r="A2398" s="49"/>
      <c r="B2398" s="49"/>
      <c r="C2398" s="49"/>
      <c r="D2398" s="50" t="str">
        <f t="shared" si="185"/>
        <v/>
      </c>
      <c r="E2398" s="50" t="str">
        <f t="shared" si="186"/>
        <v/>
      </c>
      <c r="F2398" s="50" t="str">
        <f t="shared" si="187"/>
        <v/>
      </c>
      <c r="G2398" s="50" t="str">
        <f t="shared" si="188"/>
        <v/>
      </c>
      <c r="H2398" s="51" t="str">
        <f>IF($C2398="","",IFERROR(DATE(G2398,VLOOKUP(E2398,Paramètres!$K$11:$L$40,2,FALSE()),F2398),"?"))</f>
        <v/>
      </c>
      <c r="I2398" s="50" t="str">
        <f>IF(ISNUMBER(H2398),IF(COUNTIFS($D$2:D2398,D2398,$H$2:H2398,H2398)=1,1,0),"")</f>
        <v/>
      </c>
      <c r="J2398" s="50" t="str">
        <f>IF(ISNUMBER(H2398),IFERROR(INDEX(Calendrier!$C$2:$C$367,MATCH(H2398,Calendrier!$A$2:$A$367,0)),0),"")</f>
        <v/>
      </c>
      <c r="K2398" s="50" t="str">
        <f t="shared" si="189"/>
        <v/>
      </c>
      <c r="L2398" s="50" t="str">
        <f>IF(D2398="","",IF(COUNTIF(Paramètres!$A$11:$A$40,D2398)&gt;0,1,0))</f>
        <v/>
      </c>
    </row>
    <row r="2399" spans="1:12" hidden="1" x14ac:dyDescent="0.25">
      <c r="A2399" s="49"/>
      <c r="B2399" s="49"/>
      <c r="C2399" s="49"/>
      <c r="D2399" s="50" t="str">
        <f t="shared" si="185"/>
        <v/>
      </c>
      <c r="E2399" s="50" t="str">
        <f t="shared" si="186"/>
        <v/>
      </c>
      <c r="F2399" s="50" t="str">
        <f t="shared" si="187"/>
        <v/>
      </c>
      <c r="G2399" s="50" t="str">
        <f t="shared" si="188"/>
        <v/>
      </c>
      <c r="H2399" s="51" t="str">
        <f>IF($C2399="","",IFERROR(DATE(G2399,VLOOKUP(E2399,Paramètres!$K$11:$L$40,2,FALSE()),F2399),"?"))</f>
        <v/>
      </c>
      <c r="I2399" s="50" t="str">
        <f>IF(ISNUMBER(H2399),IF(COUNTIFS($D$2:D2399,D2399,$H$2:H2399,H2399)=1,1,0),"")</f>
        <v/>
      </c>
      <c r="J2399" s="50" t="str">
        <f>IF(ISNUMBER(H2399),IFERROR(INDEX(Calendrier!$C$2:$C$367,MATCH(H2399,Calendrier!$A$2:$A$367,0)),0),"")</f>
        <v/>
      </c>
      <c r="K2399" s="50" t="str">
        <f t="shared" si="189"/>
        <v/>
      </c>
      <c r="L2399" s="50" t="str">
        <f>IF(D2399="","",IF(COUNTIF(Paramètres!$A$11:$A$40,D2399)&gt;0,1,0))</f>
        <v/>
      </c>
    </row>
    <row r="2400" spans="1:12" hidden="1" x14ac:dyDescent="0.25">
      <c r="A2400" s="49"/>
      <c r="B2400" s="49"/>
      <c r="C2400" s="49"/>
      <c r="D2400" s="50" t="str">
        <f t="shared" si="185"/>
        <v/>
      </c>
      <c r="E2400" s="50" t="str">
        <f t="shared" si="186"/>
        <v/>
      </c>
      <c r="F2400" s="50" t="str">
        <f t="shared" si="187"/>
        <v/>
      </c>
      <c r="G2400" s="50" t="str">
        <f t="shared" si="188"/>
        <v/>
      </c>
      <c r="H2400" s="51" t="str">
        <f>IF($C2400="","",IFERROR(DATE(G2400,VLOOKUP(E2400,Paramètres!$K$11:$L$40,2,FALSE()),F2400),"?"))</f>
        <v/>
      </c>
      <c r="I2400" s="50" t="str">
        <f>IF(ISNUMBER(H2400),IF(COUNTIFS($D$2:D2400,D2400,$H$2:H2400,H2400)=1,1,0),"")</f>
        <v/>
      </c>
      <c r="J2400" s="50" t="str">
        <f>IF(ISNUMBER(H2400),IFERROR(INDEX(Calendrier!$C$2:$C$367,MATCH(H2400,Calendrier!$A$2:$A$367,0)),0),"")</f>
        <v/>
      </c>
      <c r="K2400" s="50" t="str">
        <f t="shared" si="189"/>
        <v/>
      </c>
      <c r="L2400" s="50" t="str">
        <f>IF(D2400="","",IF(COUNTIF(Paramètres!$A$11:$A$40,D2400)&gt;0,1,0))</f>
        <v/>
      </c>
    </row>
    <row r="2401" spans="1:12" hidden="1" x14ac:dyDescent="0.25">
      <c r="A2401" s="49"/>
      <c r="B2401" s="49"/>
      <c r="C2401" s="49"/>
      <c r="D2401" s="50" t="str">
        <f t="shared" si="185"/>
        <v/>
      </c>
      <c r="E2401" s="50" t="str">
        <f t="shared" si="186"/>
        <v/>
      </c>
      <c r="F2401" s="50" t="str">
        <f t="shared" si="187"/>
        <v/>
      </c>
      <c r="G2401" s="50" t="str">
        <f t="shared" si="188"/>
        <v/>
      </c>
      <c r="H2401" s="51" t="str">
        <f>IF($C2401="","",IFERROR(DATE(G2401,VLOOKUP(E2401,Paramètres!$K$11:$L$40,2,FALSE()),F2401),"?"))</f>
        <v/>
      </c>
      <c r="I2401" s="50" t="str">
        <f>IF(ISNUMBER(H2401),IF(COUNTIFS($D$2:D2401,D2401,$H$2:H2401,H2401)=1,1,0),"")</f>
        <v/>
      </c>
      <c r="J2401" s="50" t="str">
        <f>IF(ISNUMBER(H2401),IFERROR(INDEX(Calendrier!$C$2:$C$367,MATCH(H2401,Calendrier!$A$2:$A$367,0)),0),"")</f>
        <v/>
      </c>
      <c r="K2401" s="50" t="str">
        <f t="shared" si="189"/>
        <v/>
      </c>
      <c r="L2401" s="50" t="str">
        <f>IF(D2401="","",IF(COUNTIF(Paramètres!$A$11:$A$40,D2401)&gt;0,1,0))</f>
        <v/>
      </c>
    </row>
    <row r="2402" spans="1:12" hidden="1" x14ac:dyDescent="0.25">
      <c r="A2402" s="49"/>
      <c r="B2402" s="49"/>
      <c r="C2402" s="49"/>
      <c r="D2402" s="50" t="str">
        <f t="shared" si="185"/>
        <v/>
      </c>
      <c r="E2402" s="50" t="str">
        <f t="shared" si="186"/>
        <v/>
      </c>
      <c r="F2402" s="50" t="str">
        <f t="shared" si="187"/>
        <v/>
      </c>
      <c r="G2402" s="50" t="str">
        <f t="shared" si="188"/>
        <v/>
      </c>
      <c r="H2402" s="51" t="str">
        <f>IF($C2402="","",IFERROR(DATE(G2402,VLOOKUP(E2402,Paramètres!$K$11:$L$40,2,FALSE()),F2402),"?"))</f>
        <v/>
      </c>
      <c r="I2402" s="50" t="str">
        <f>IF(ISNUMBER(H2402),IF(COUNTIFS($D$2:D2402,D2402,$H$2:H2402,H2402)=1,1,0),"")</f>
        <v/>
      </c>
      <c r="J2402" s="50" t="str">
        <f>IF(ISNUMBER(H2402),IFERROR(INDEX(Calendrier!$C$2:$C$367,MATCH(H2402,Calendrier!$A$2:$A$367,0)),0),"")</f>
        <v/>
      </c>
      <c r="K2402" s="50" t="str">
        <f t="shared" si="189"/>
        <v/>
      </c>
      <c r="L2402" s="50" t="str">
        <f>IF(D2402="","",IF(COUNTIF(Paramètres!$A$11:$A$40,D2402)&gt;0,1,0))</f>
        <v/>
      </c>
    </row>
    <row r="2403" spans="1:12" hidden="1" x14ac:dyDescent="0.25">
      <c r="A2403" s="49"/>
      <c r="B2403" s="49"/>
      <c r="C2403" s="49"/>
      <c r="D2403" s="50" t="str">
        <f t="shared" si="185"/>
        <v/>
      </c>
      <c r="E2403" s="50" t="str">
        <f t="shared" si="186"/>
        <v/>
      </c>
      <c r="F2403" s="50" t="str">
        <f t="shared" si="187"/>
        <v/>
      </c>
      <c r="G2403" s="50" t="str">
        <f t="shared" si="188"/>
        <v/>
      </c>
      <c r="H2403" s="51" t="str">
        <f>IF($C2403="","",IFERROR(DATE(G2403,VLOOKUP(E2403,Paramètres!$K$11:$L$40,2,FALSE()),F2403),"?"))</f>
        <v/>
      </c>
      <c r="I2403" s="50" t="str">
        <f>IF(ISNUMBER(H2403),IF(COUNTIFS($D$2:D2403,D2403,$H$2:H2403,H2403)=1,1,0),"")</f>
        <v/>
      </c>
      <c r="J2403" s="50" t="str">
        <f>IF(ISNUMBER(H2403),IFERROR(INDEX(Calendrier!$C$2:$C$367,MATCH(H2403,Calendrier!$A$2:$A$367,0)),0),"")</f>
        <v/>
      </c>
      <c r="K2403" s="50" t="str">
        <f t="shared" si="189"/>
        <v/>
      </c>
      <c r="L2403" s="50" t="str">
        <f>IF(D2403="","",IF(COUNTIF(Paramètres!$A$11:$A$40,D2403)&gt;0,1,0))</f>
        <v/>
      </c>
    </row>
    <row r="2404" spans="1:12" hidden="1" x14ac:dyDescent="0.25">
      <c r="A2404" s="49"/>
      <c r="B2404" s="49"/>
      <c r="C2404" s="49"/>
      <c r="D2404" s="50" t="str">
        <f t="shared" si="185"/>
        <v/>
      </c>
      <c r="E2404" s="50" t="str">
        <f t="shared" si="186"/>
        <v/>
      </c>
      <c r="F2404" s="50" t="str">
        <f t="shared" si="187"/>
        <v/>
      </c>
      <c r="G2404" s="50" t="str">
        <f t="shared" si="188"/>
        <v/>
      </c>
      <c r="H2404" s="51" t="str">
        <f>IF($C2404="","",IFERROR(DATE(G2404,VLOOKUP(E2404,Paramètres!$K$11:$L$40,2,FALSE()),F2404),"?"))</f>
        <v/>
      </c>
      <c r="I2404" s="50" t="str">
        <f>IF(ISNUMBER(H2404),IF(COUNTIFS($D$2:D2404,D2404,$H$2:H2404,H2404)=1,1,0),"")</f>
        <v/>
      </c>
      <c r="J2404" s="50" t="str">
        <f>IF(ISNUMBER(H2404),IFERROR(INDEX(Calendrier!$C$2:$C$367,MATCH(H2404,Calendrier!$A$2:$A$367,0)),0),"")</f>
        <v/>
      </c>
      <c r="K2404" s="50" t="str">
        <f t="shared" si="189"/>
        <v/>
      </c>
      <c r="L2404" s="50" t="str">
        <f>IF(D2404="","",IF(COUNTIF(Paramètres!$A$11:$A$40,D2404)&gt;0,1,0))</f>
        <v/>
      </c>
    </row>
    <row r="2405" spans="1:12" hidden="1" x14ac:dyDescent="0.25">
      <c r="A2405" s="49"/>
      <c r="B2405" s="49"/>
      <c r="C2405" s="49"/>
      <c r="D2405" s="50" t="str">
        <f t="shared" si="185"/>
        <v/>
      </c>
      <c r="E2405" s="50" t="str">
        <f t="shared" si="186"/>
        <v/>
      </c>
      <c r="F2405" s="50" t="str">
        <f t="shared" si="187"/>
        <v/>
      </c>
      <c r="G2405" s="50" t="str">
        <f t="shared" si="188"/>
        <v/>
      </c>
      <c r="H2405" s="51" t="str">
        <f>IF($C2405="","",IFERROR(DATE(G2405,VLOOKUP(E2405,Paramètres!$K$11:$L$40,2,FALSE()),F2405),"?"))</f>
        <v/>
      </c>
      <c r="I2405" s="50" t="str">
        <f>IF(ISNUMBER(H2405),IF(COUNTIFS($D$2:D2405,D2405,$H$2:H2405,H2405)=1,1,0),"")</f>
        <v/>
      </c>
      <c r="J2405" s="50" t="str">
        <f>IF(ISNUMBER(H2405),IFERROR(INDEX(Calendrier!$C$2:$C$367,MATCH(H2405,Calendrier!$A$2:$A$367,0)),0),"")</f>
        <v/>
      </c>
      <c r="K2405" s="50" t="str">
        <f t="shared" si="189"/>
        <v/>
      </c>
      <c r="L2405" s="50" t="str">
        <f>IF(D2405="","",IF(COUNTIF(Paramètres!$A$11:$A$40,D2405)&gt;0,1,0))</f>
        <v/>
      </c>
    </row>
    <row r="2406" spans="1:12" hidden="1" x14ac:dyDescent="0.25">
      <c r="A2406" s="49"/>
      <c r="B2406" s="49"/>
      <c r="C2406" s="49"/>
      <c r="D2406" s="50" t="str">
        <f t="shared" si="185"/>
        <v/>
      </c>
      <c r="E2406" s="50" t="str">
        <f t="shared" si="186"/>
        <v/>
      </c>
      <c r="F2406" s="50" t="str">
        <f t="shared" si="187"/>
        <v/>
      </c>
      <c r="G2406" s="50" t="str">
        <f t="shared" si="188"/>
        <v/>
      </c>
      <c r="H2406" s="51" t="str">
        <f>IF($C2406="","",IFERROR(DATE(G2406,VLOOKUP(E2406,Paramètres!$K$11:$L$40,2,FALSE()),F2406),"?"))</f>
        <v/>
      </c>
      <c r="I2406" s="50" t="str">
        <f>IF(ISNUMBER(H2406),IF(COUNTIFS($D$2:D2406,D2406,$H$2:H2406,H2406)=1,1,0),"")</f>
        <v/>
      </c>
      <c r="J2406" s="50" t="str">
        <f>IF(ISNUMBER(H2406),IFERROR(INDEX(Calendrier!$C$2:$C$367,MATCH(H2406,Calendrier!$A$2:$A$367,0)),0),"")</f>
        <v/>
      </c>
      <c r="K2406" s="50" t="str">
        <f t="shared" si="189"/>
        <v/>
      </c>
      <c r="L2406" s="50" t="str">
        <f>IF(D2406="","",IF(COUNTIF(Paramètres!$A$11:$A$40,D2406)&gt;0,1,0))</f>
        <v/>
      </c>
    </row>
    <row r="2407" spans="1:12" hidden="1" x14ac:dyDescent="0.25">
      <c r="A2407" s="49"/>
      <c r="B2407" s="49"/>
      <c r="C2407" s="49"/>
      <c r="D2407" s="50" t="str">
        <f t="shared" si="185"/>
        <v/>
      </c>
      <c r="E2407" s="50" t="str">
        <f t="shared" si="186"/>
        <v/>
      </c>
      <c r="F2407" s="50" t="str">
        <f t="shared" si="187"/>
        <v/>
      </c>
      <c r="G2407" s="50" t="str">
        <f t="shared" si="188"/>
        <v/>
      </c>
      <c r="H2407" s="51" t="str">
        <f>IF($C2407="","",IFERROR(DATE(G2407,VLOOKUP(E2407,Paramètres!$K$11:$L$40,2,FALSE()),F2407),"?"))</f>
        <v/>
      </c>
      <c r="I2407" s="50" t="str">
        <f>IF(ISNUMBER(H2407),IF(COUNTIFS($D$2:D2407,D2407,$H$2:H2407,H2407)=1,1,0),"")</f>
        <v/>
      </c>
      <c r="J2407" s="50" t="str">
        <f>IF(ISNUMBER(H2407),IFERROR(INDEX(Calendrier!$C$2:$C$367,MATCH(H2407,Calendrier!$A$2:$A$367,0)),0),"")</f>
        <v/>
      </c>
      <c r="K2407" s="50" t="str">
        <f t="shared" si="189"/>
        <v/>
      </c>
      <c r="L2407" s="50" t="str">
        <f>IF(D2407="","",IF(COUNTIF(Paramètres!$A$11:$A$40,D2407)&gt;0,1,0))</f>
        <v/>
      </c>
    </row>
    <row r="2408" spans="1:12" hidden="1" x14ac:dyDescent="0.25">
      <c r="A2408" s="49"/>
      <c r="B2408" s="49"/>
      <c r="C2408" s="49"/>
      <c r="D2408" s="50" t="str">
        <f t="shared" si="185"/>
        <v/>
      </c>
      <c r="E2408" s="50" t="str">
        <f t="shared" si="186"/>
        <v/>
      </c>
      <c r="F2408" s="50" t="str">
        <f t="shared" si="187"/>
        <v/>
      </c>
      <c r="G2408" s="50" t="str">
        <f t="shared" si="188"/>
        <v/>
      </c>
      <c r="H2408" s="51" t="str">
        <f>IF($C2408="","",IFERROR(DATE(G2408,VLOOKUP(E2408,Paramètres!$K$11:$L$40,2,FALSE()),F2408),"?"))</f>
        <v/>
      </c>
      <c r="I2408" s="50" t="str">
        <f>IF(ISNUMBER(H2408),IF(COUNTIFS($D$2:D2408,D2408,$H$2:H2408,H2408)=1,1,0),"")</f>
        <v/>
      </c>
      <c r="J2408" s="50" t="str">
        <f>IF(ISNUMBER(H2408),IFERROR(INDEX(Calendrier!$C$2:$C$367,MATCH(H2408,Calendrier!$A$2:$A$367,0)),0),"")</f>
        <v/>
      </c>
      <c r="K2408" s="50" t="str">
        <f t="shared" si="189"/>
        <v/>
      </c>
      <c r="L2408" s="50" t="str">
        <f>IF(D2408="","",IF(COUNTIF(Paramètres!$A$11:$A$40,D2408)&gt;0,1,0))</f>
        <v/>
      </c>
    </row>
    <row r="2409" spans="1:12" hidden="1" x14ac:dyDescent="0.25">
      <c r="A2409" s="49"/>
      <c r="B2409" s="49"/>
      <c r="C2409" s="49"/>
      <c r="D2409" s="50" t="str">
        <f t="shared" si="185"/>
        <v/>
      </c>
      <c r="E2409" s="50" t="str">
        <f t="shared" si="186"/>
        <v/>
      </c>
      <c r="F2409" s="50" t="str">
        <f t="shared" si="187"/>
        <v/>
      </c>
      <c r="G2409" s="50" t="str">
        <f t="shared" si="188"/>
        <v/>
      </c>
      <c r="H2409" s="51" t="str">
        <f>IF($C2409="","",IFERROR(DATE(G2409,VLOOKUP(E2409,Paramètres!$K$11:$L$40,2,FALSE()),F2409),"?"))</f>
        <v/>
      </c>
      <c r="I2409" s="50" t="str">
        <f>IF(ISNUMBER(H2409),IF(COUNTIFS($D$2:D2409,D2409,$H$2:H2409,H2409)=1,1,0),"")</f>
        <v/>
      </c>
      <c r="J2409" s="50" t="str">
        <f>IF(ISNUMBER(H2409),IFERROR(INDEX(Calendrier!$C$2:$C$367,MATCH(H2409,Calendrier!$A$2:$A$367,0)),0),"")</f>
        <v/>
      </c>
      <c r="K2409" s="50" t="str">
        <f t="shared" si="189"/>
        <v/>
      </c>
      <c r="L2409" s="50" t="str">
        <f>IF(D2409="","",IF(COUNTIF(Paramètres!$A$11:$A$40,D2409)&gt;0,1,0))</f>
        <v/>
      </c>
    </row>
    <row r="2410" spans="1:12" hidden="1" x14ac:dyDescent="0.25">
      <c r="A2410" s="49"/>
      <c r="B2410" s="49"/>
      <c r="C2410" s="49"/>
      <c r="D2410" s="50" t="str">
        <f t="shared" si="185"/>
        <v/>
      </c>
      <c r="E2410" s="50" t="str">
        <f t="shared" si="186"/>
        <v/>
      </c>
      <c r="F2410" s="50" t="str">
        <f t="shared" si="187"/>
        <v/>
      </c>
      <c r="G2410" s="50" t="str">
        <f t="shared" si="188"/>
        <v/>
      </c>
      <c r="H2410" s="51" t="str">
        <f>IF($C2410="","",IFERROR(DATE(G2410,VLOOKUP(E2410,Paramètres!$K$11:$L$40,2,FALSE()),F2410),"?"))</f>
        <v/>
      </c>
      <c r="I2410" s="50" t="str">
        <f>IF(ISNUMBER(H2410),IF(COUNTIFS($D$2:D2410,D2410,$H$2:H2410,H2410)=1,1,0),"")</f>
        <v/>
      </c>
      <c r="J2410" s="50" t="str">
        <f>IF(ISNUMBER(H2410),IFERROR(INDEX(Calendrier!$C$2:$C$367,MATCH(H2410,Calendrier!$A$2:$A$367,0)),0),"")</f>
        <v/>
      </c>
      <c r="K2410" s="50" t="str">
        <f t="shared" si="189"/>
        <v/>
      </c>
      <c r="L2410" s="50" t="str">
        <f>IF(D2410="","",IF(COUNTIF(Paramètres!$A$11:$A$40,D2410)&gt;0,1,0))</f>
        <v/>
      </c>
    </row>
    <row r="2411" spans="1:12" hidden="1" x14ac:dyDescent="0.25">
      <c r="A2411" s="49"/>
      <c r="B2411" s="49"/>
      <c r="C2411" s="49"/>
      <c r="D2411" s="50" t="str">
        <f t="shared" si="185"/>
        <v/>
      </c>
      <c r="E2411" s="50" t="str">
        <f t="shared" si="186"/>
        <v/>
      </c>
      <c r="F2411" s="50" t="str">
        <f t="shared" si="187"/>
        <v/>
      </c>
      <c r="G2411" s="50" t="str">
        <f t="shared" si="188"/>
        <v/>
      </c>
      <c r="H2411" s="51" t="str">
        <f>IF($C2411="","",IFERROR(DATE(G2411,VLOOKUP(E2411,Paramètres!$K$11:$L$40,2,FALSE()),F2411),"?"))</f>
        <v/>
      </c>
      <c r="I2411" s="50" t="str">
        <f>IF(ISNUMBER(H2411),IF(COUNTIFS($D$2:D2411,D2411,$H$2:H2411,H2411)=1,1,0),"")</f>
        <v/>
      </c>
      <c r="J2411" s="50" t="str">
        <f>IF(ISNUMBER(H2411),IFERROR(INDEX(Calendrier!$C$2:$C$367,MATCH(H2411,Calendrier!$A$2:$A$367,0)),0),"")</f>
        <v/>
      </c>
      <c r="K2411" s="50" t="str">
        <f t="shared" si="189"/>
        <v/>
      </c>
      <c r="L2411" s="50" t="str">
        <f>IF(D2411="","",IF(COUNTIF(Paramètres!$A$11:$A$40,D2411)&gt;0,1,0))</f>
        <v/>
      </c>
    </row>
    <row r="2412" spans="1:12" hidden="1" x14ac:dyDescent="0.25">
      <c r="A2412" s="49"/>
      <c r="B2412" s="49"/>
      <c r="C2412" s="49"/>
      <c r="D2412" s="50" t="str">
        <f t="shared" si="185"/>
        <v/>
      </c>
      <c r="E2412" s="50" t="str">
        <f t="shared" si="186"/>
        <v/>
      </c>
      <c r="F2412" s="50" t="str">
        <f t="shared" si="187"/>
        <v/>
      </c>
      <c r="G2412" s="50" t="str">
        <f t="shared" si="188"/>
        <v/>
      </c>
      <c r="H2412" s="51" t="str">
        <f>IF($C2412="","",IFERROR(DATE(G2412,VLOOKUP(E2412,Paramètres!$K$11:$L$40,2,FALSE()),F2412),"?"))</f>
        <v/>
      </c>
      <c r="I2412" s="50" t="str">
        <f>IF(ISNUMBER(H2412),IF(COUNTIFS($D$2:D2412,D2412,$H$2:H2412,H2412)=1,1,0),"")</f>
        <v/>
      </c>
      <c r="J2412" s="50" t="str">
        <f>IF(ISNUMBER(H2412),IFERROR(INDEX(Calendrier!$C$2:$C$367,MATCH(H2412,Calendrier!$A$2:$A$367,0)),0),"")</f>
        <v/>
      </c>
      <c r="K2412" s="50" t="str">
        <f t="shared" si="189"/>
        <v/>
      </c>
      <c r="L2412" s="50" t="str">
        <f>IF(D2412="","",IF(COUNTIF(Paramètres!$A$11:$A$40,D2412)&gt;0,1,0))</f>
        <v/>
      </c>
    </row>
    <row r="2413" spans="1:12" hidden="1" x14ac:dyDescent="0.25">
      <c r="A2413" s="49"/>
      <c r="B2413" s="49"/>
      <c r="C2413" s="49"/>
      <c r="D2413" s="50" t="str">
        <f t="shared" si="185"/>
        <v/>
      </c>
      <c r="E2413" s="50" t="str">
        <f t="shared" si="186"/>
        <v/>
      </c>
      <c r="F2413" s="50" t="str">
        <f t="shared" si="187"/>
        <v/>
      </c>
      <c r="G2413" s="50" t="str">
        <f t="shared" si="188"/>
        <v/>
      </c>
      <c r="H2413" s="51" t="str">
        <f>IF($C2413="","",IFERROR(DATE(G2413,VLOOKUP(E2413,Paramètres!$K$11:$L$40,2,FALSE()),F2413),"?"))</f>
        <v/>
      </c>
      <c r="I2413" s="50" t="str">
        <f>IF(ISNUMBER(H2413),IF(COUNTIFS($D$2:D2413,D2413,$H$2:H2413,H2413)=1,1,0),"")</f>
        <v/>
      </c>
      <c r="J2413" s="50" t="str">
        <f>IF(ISNUMBER(H2413),IFERROR(INDEX(Calendrier!$C$2:$C$367,MATCH(H2413,Calendrier!$A$2:$A$367,0)),0),"")</f>
        <v/>
      </c>
      <c r="K2413" s="50" t="str">
        <f t="shared" si="189"/>
        <v/>
      </c>
      <c r="L2413" s="50" t="str">
        <f>IF(D2413="","",IF(COUNTIF(Paramètres!$A$11:$A$40,D2413)&gt;0,1,0))</f>
        <v/>
      </c>
    </row>
    <row r="2414" spans="1:12" hidden="1" x14ac:dyDescent="0.25">
      <c r="A2414" s="49"/>
      <c r="B2414" s="49"/>
      <c r="C2414" s="49"/>
      <c r="D2414" s="50" t="str">
        <f t="shared" si="185"/>
        <v/>
      </c>
      <c r="E2414" s="50" t="str">
        <f t="shared" si="186"/>
        <v/>
      </c>
      <c r="F2414" s="50" t="str">
        <f t="shared" si="187"/>
        <v/>
      </c>
      <c r="G2414" s="50" t="str">
        <f t="shared" si="188"/>
        <v/>
      </c>
      <c r="H2414" s="51" t="str">
        <f>IF($C2414="","",IFERROR(DATE(G2414,VLOOKUP(E2414,Paramètres!$K$11:$L$40,2,FALSE()),F2414),"?"))</f>
        <v/>
      </c>
      <c r="I2414" s="50" t="str">
        <f>IF(ISNUMBER(H2414),IF(COUNTIFS($D$2:D2414,D2414,$H$2:H2414,H2414)=1,1,0),"")</f>
        <v/>
      </c>
      <c r="J2414" s="50" t="str">
        <f>IF(ISNUMBER(H2414),IFERROR(INDEX(Calendrier!$C$2:$C$367,MATCH(H2414,Calendrier!$A$2:$A$367,0)),0),"")</f>
        <v/>
      </c>
      <c r="K2414" s="50" t="str">
        <f t="shared" si="189"/>
        <v/>
      </c>
      <c r="L2414" s="50" t="str">
        <f>IF(D2414="","",IF(COUNTIF(Paramètres!$A$11:$A$40,D2414)&gt;0,1,0))</f>
        <v/>
      </c>
    </row>
    <row r="2415" spans="1:12" hidden="1" x14ac:dyDescent="0.25">
      <c r="A2415" s="49"/>
      <c r="B2415" s="49"/>
      <c r="C2415" s="49"/>
      <c r="D2415" s="50" t="str">
        <f t="shared" si="185"/>
        <v/>
      </c>
      <c r="E2415" s="50" t="str">
        <f t="shared" si="186"/>
        <v/>
      </c>
      <c r="F2415" s="50" t="str">
        <f t="shared" si="187"/>
        <v/>
      </c>
      <c r="G2415" s="50" t="str">
        <f t="shared" si="188"/>
        <v/>
      </c>
      <c r="H2415" s="51" t="str">
        <f>IF($C2415="","",IFERROR(DATE(G2415,VLOOKUP(E2415,Paramètres!$K$11:$L$40,2,FALSE()),F2415),"?"))</f>
        <v/>
      </c>
      <c r="I2415" s="50" t="str">
        <f>IF(ISNUMBER(H2415),IF(COUNTIFS($D$2:D2415,D2415,$H$2:H2415,H2415)=1,1,0),"")</f>
        <v/>
      </c>
      <c r="J2415" s="50" t="str">
        <f>IF(ISNUMBER(H2415),IFERROR(INDEX(Calendrier!$C$2:$C$367,MATCH(H2415,Calendrier!$A$2:$A$367,0)),0),"")</f>
        <v/>
      </c>
      <c r="K2415" s="50" t="str">
        <f t="shared" si="189"/>
        <v/>
      </c>
      <c r="L2415" s="50" t="str">
        <f>IF(D2415="","",IF(COUNTIF(Paramètres!$A$11:$A$40,D2415)&gt;0,1,0))</f>
        <v/>
      </c>
    </row>
    <row r="2416" spans="1:12" hidden="1" x14ac:dyDescent="0.25">
      <c r="A2416" s="49"/>
      <c r="B2416" s="49"/>
      <c r="C2416" s="49"/>
      <c r="D2416" s="50" t="str">
        <f t="shared" si="185"/>
        <v/>
      </c>
      <c r="E2416" s="50" t="str">
        <f t="shared" si="186"/>
        <v/>
      </c>
      <c r="F2416" s="50" t="str">
        <f t="shared" si="187"/>
        <v/>
      </c>
      <c r="G2416" s="50" t="str">
        <f t="shared" si="188"/>
        <v/>
      </c>
      <c r="H2416" s="51" t="str">
        <f>IF($C2416="","",IFERROR(DATE(G2416,VLOOKUP(E2416,Paramètres!$K$11:$L$40,2,FALSE()),F2416),"?"))</f>
        <v/>
      </c>
      <c r="I2416" s="50" t="str">
        <f>IF(ISNUMBER(H2416),IF(COUNTIFS($D$2:D2416,D2416,$H$2:H2416,H2416)=1,1,0),"")</f>
        <v/>
      </c>
      <c r="J2416" s="50" t="str">
        <f>IF(ISNUMBER(H2416),IFERROR(INDEX(Calendrier!$C$2:$C$367,MATCH(H2416,Calendrier!$A$2:$A$367,0)),0),"")</f>
        <v/>
      </c>
      <c r="K2416" s="50" t="str">
        <f t="shared" si="189"/>
        <v/>
      </c>
      <c r="L2416" s="50" t="str">
        <f>IF(D2416="","",IF(COUNTIF(Paramètres!$A$11:$A$40,D2416)&gt;0,1,0))</f>
        <v/>
      </c>
    </row>
    <row r="2417" spans="1:12" hidden="1" x14ac:dyDescent="0.25">
      <c r="A2417" s="49"/>
      <c r="B2417" s="49"/>
      <c r="C2417" s="49"/>
      <c r="D2417" s="50" t="str">
        <f t="shared" si="185"/>
        <v/>
      </c>
      <c r="E2417" s="50" t="str">
        <f t="shared" si="186"/>
        <v/>
      </c>
      <c r="F2417" s="50" t="str">
        <f t="shared" si="187"/>
        <v/>
      </c>
      <c r="G2417" s="50" t="str">
        <f t="shared" si="188"/>
        <v/>
      </c>
      <c r="H2417" s="51" t="str">
        <f>IF($C2417="","",IFERROR(DATE(G2417,VLOOKUP(E2417,Paramètres!$K$11:$L$40,2,FALSE()),F2417),"?"))</f>
        <v/>
      </c>
      <c r="I2417" s="50" t="str">
        <f>IF(ISNUMBER(H2417),IF(COUNTIFS($D$2:D2417,D2417,$H$2:H2417,H2417)=1,1,0),"")</f>
        <v/>
      </c>
      <c r="J2417" s="50" t="str">
        <f>IF(ISNUMBER(H2417),IFERROR(INDEX(Calendrier!$C$2:$C$367,MATCH(H2417,Calendrier!$A$2:$A$367,0)),0),"")</f>
        <v/>
      </c>
      <c r="K2417" s="50" t="str">
        <f t="shared" si="189"/>
        <v/>
      </c>
      <c r="L2417" s="50" t="str">
        <f>IF(D2417="","",IF(COUNTIF(Paramètres!$A$11:$A$40,D2417)&gt;0,1,0))</f>
        <v/>
      </c>
    </row>
    <row r="2418" spans="1:12" hidden="1" x14ac:dyDescent="0.25">
      <c r="A2418" s="49"/>
      <c r="B2418" s="49"/>
      <c r="C2418" s="49"/>
      <c r="D2418" s="50" t="str">
        <f t="shared" si="185"/>
        <v/>
      </c>
      <c r="E2418" s="50" t="str">
        <f t="shared" si="186"/>
        <v/>
      </c>
      <c r="F2418" s="50" t="str">
        <f t="shared" si="187"/>
        <v/>
      </c>
      <c r="G2418" s="50" t="str">
        <f t="shared" si="188"/>
        <v/>
      </c>
      <c r="H2418" s="51" t="str">
        <f>IF($C2418="","",IFERROR(DATE(G2418,VLOOKUP(E2418,Paramètres!$K$11:$L$40,2,FALSE()),F2418),"?"))</f>
        <v/>
      </c>
      <c r="I2418" s="50" t="str">
        <f>IF(ISNUMBER(H2418),IF(COUNTIFS($D$2:D2418,D2418,$H$2:H2418,H2418)=1,1,0),"")</f>
        <v/>
      </c>
      <c r="J2418" s="50" t="str">
        <f>IF(ISNUMBER(H2418),IFERROR(INDEX(Calendrier!$C$2:$C$367,MATCH(H2418,Calendrier!$A$2:$A$367,0)),0),"")</f>
        <v/>
      </c>
      <c r="K2418" s="50" t="str">
        <f t="shared" si="189"/>
        <v/>
      </c>
      <c r="L2418" s="50" t="str">
        <f>IF(D2418="","",IF(COUNTIF(Paramètres!$A$11:$A$40,D2418)&gt;0,1,0))</f>
        <v/>
      </c>
    </row>
    <row r="2419" spans="1:12" hidden="1" x14ac:dyDescent="0.25">
      <c r="A2419" s="49"/>
      <c r="B2419" s="49"/>
      <c r="C2419" s="49"/>
      <c r="D2419" s="50" t="str">
        <f t="shared" si="185"/>
        <v/>
      </c>
      <c r="E2419" s="50" t="str">
        <f t="shared" si="186"/>
        <v/>
      </c>
      <c r="F2419" s="50" t="str">
        <f t="shared" si="187"/>
        <v/>
      </c>
      <c r="G2419" s="50" t="str">
        <f t="shared" si="188"/>
        <v/>
      </c>
      <c r="H2419" s="51" t="str">
        <f>IF($C2419="","",IFERROR(DATE(G2419,VLOOKUP(E2419,Paramètres!$K$11:$L$40,2,FALSE()),F2419),"?"))</f>
        <v/>
      </c>
      <c r="I2419" s="50" t="str">
        <f>IF(ISNUMBER(H2419),IF(COUNTIFS($D$2:D2419,D2419,$H$2:H2419,H2419)=1,1,0),"")</f>
        <v/>
      </c>
      <c r="J2419" s="50" t="str">
        <f>IF(ISNUMBER(H2419),IFERROR(INDEX(Calendrier!$C$2:$C$367,MATCH(H2419,Calendrier!$A$2:$A$367,0)),0),"")</f>
        <v/>
      </c>
      <c r="K2419" s="50" t="str">
        <f t="shared" si="189"/>
        <v/>
      </c>
      <c r="L2419" s="50" t="str">
        <f>IF(D2419="","",IF(COUNTIF(Paramètres!$A$11:$A$40,D2419)&gt;0,1,0))</f>
        <v/>
      </c>
    </row>
    <row r="2420" spans="1:12" hidden="1" x14ac:dyDescent="0.25">
      <c r="A2420" s="49"/>
      <c r="B2420" s="49"/>
      <c r="C2420" s="49"/>
      <c r="D2420" s="50" t="str">
        <f t="shared" si="185"/>
        <v/>
      </c>
      <c r="E2420" s="50" t="str">
        <f t="shared" si="186"/>
        <v/>
      </c>
      <c r="F2420" s="50" t="str">
        <f t="shared" si="187"/>
        <v/>
      </c>
      <c r="G2420" s="50" t="str">
        <f t="shared" si="188"/>
        <v/>
      </c>
      <c r="H2420" s="51" t="str">
        <f>IF($C2420="","",IFERROR(DATE(G2420,VLOOKUP(E2420,Paramètres!$K$11:$L$40,2,FALSE()),F2420),"?"))</f>
        <v/>
      </c>
      <c r="I2420" s="50" t="str">
        <f>IF(ISNUMBER(H2420),IF(COUNTIFS($D$2:D2420,D2420,$H$2:H2420,H2420)=1,1,0),"")</f>
        <v/>
      </c>
      <c r="J2420" s="50" t="str">
        <f>IF(ISNUMBER(H2420),IFERROR(INDEX(Calendrier!$C$2:$C$367,MATCH(H2420,Calendrier!$A$2:$A$367,0)),0),"")</f>
        <v/>
      </c>
      <c r="K2420" s="50" t="str">
        <f t="shared" si="189"/>
        <v/>
      </c>
      <c r="L2420" s="50" t="str">
        <f>IF(D2420="","",IF(COUNTIF(Paramètres!$A$11:$A$40,D2420)&gt;0,1,0))</f>
        <v/>
      </c>
    </row>
    <row r="2421" spans="1:12" hidden="1" x14ac:dyDescent="0.25">
      <c r="A2421" s="49"/>
      <c r="B2421" s="49"/>
      <c r="C2421" s="49"/>
      <c r="D2421" s="50" t="str">
        <f t="shared" si="185"/>
        <v/>
      </c>
      <c r="E2421" s="50" t="str">
        <f t="shared" si="186"/>
        <v/>
      </c>
      <c r="F2421" s="50" t="str">
        <f t="shared" si="187"/>
        <v/>
      </c>
      <c r="G2421" s="50" t="str">
        <f t="shared" si="188"/>
        <v/>
      </c>
      <c r="H2421" s="51" t="str">
        <f>IF($C2421="","",IFERROR(DATE(G2421,VLOOKUP(E2421,Paramètres!$K$11:$L$40,2,FALSE()),F2421),"?"))</f>
        <v/>
      </c>
      <c r="I2421" s="50" t="str">
        <f>IF(ISNUMBER(H2421),IF(COUNTIFS($D$2:D2421,D2421,$H$2:H2421,H2421)=1,1,0),"")</f>
        <v/>
      </c>
      <c r="J2421" s="50" t="str">
        <f>IF(ISNUMBER(H2421),IFERROR(INDEX(Calendrier!$C$2:$C$367,MATCH(H2421,Calendrier!$A$2:$A$367,0)),0),"")</f>
        <v/>
      </c>
      <c r="K2421" s="50" t="str">
        <f t="shared" si="189"/>
        <v/>
      </c>
      <c r="L2421" s="50" t="str">
        <f>IF(D2421="","",IF(COUNTIF(Paramètres!$A$11:$A$40,D2421)&gt;0,1,0))</f>
        <v/>
      </c>
    </row>
    <row r="2422" spans="1:12" hidden="1" x14ac:dyDescent="0.25">
      <c r="A2422" s="49"/>
      <c r="B2422" s="49"/>
      <c r="C2422" s="49"/>
      <c r="D2422" s="50" t="str">
        <f t="shared" si="185"/>
        <v/>
      </c>
      <c r="E2422" s="50" t="str">
        <f t="shared" si="186"/>
        <v/>
      </c>
      <c r="F2422" s="50" t="str">
        <f t="shared" si="187"/>
        <v/>
      </c>
      <c r="G2422" s="50" t="str">
        <f t="shared" si="188"/>
        <v/>
      </c>
      <c r="H2422" s="51" t="str">
        <f>IF($C2422="","",IFERROR(DATE(G2422,VLOOKUP(E2422,Paramètres!$K$11:$L$40,2,FALSE()),F2422),"?"))</f>
        <v/>
      </c>
      <c r="I2422" s="50" t="str">
        <f>IF(ISNUMBER(H2422),IF(COUNTIFS($D$2:D2422,D2422,$H$2:H2422,H2422)=1,1,0),"")</f>
        <v/>
      </c>
      <c r="J2422" s="50" t="str">
        <f>IF(ISNUMBER(H2422),IFERROR(INDEX(Calendrier!$C$2:$C$367,MATCH(H2422,Calendrier!$A$2:$A$367,0)),0),"")</f>
        <v/>
      </c>
      <c r="K2422" s="50" t="str">
        <f t="shared" si="189"/>
        <v/>
      </c>
      <c r="L2422" s="50" t="str">
        <f>IF(D2422="","",IF(COUNTIF(Paramètres!$A$11:$A$40,D2422)&gt;0,1,0))</f>
        <v/>
      </c>
    </row>
    <row r="2423" spans="1:12" hidden="1" x14ac:dyDescent="0.25">
      <c r="A2423" s="49"/>
      <c r="B2423" s="49"/>
      <c r="C2423" s="49"/>
      <c r="D2423" s="50" t="str">
        <f t="shared" si="185"/>
        <v/>
      </c>
      <c r="E2423" s="50" t="str">
        <f t="shared" si="186"/>
        <v/>
      </c>
      <c r="F2423" s="50" t="str">
        <f t="shared" si="187"/>
        <v/>
      </c>
      <c r="G2423" s="50" t="str">
        <f t="shared" si="188"/>
        <v/>
      </c>
      <c r="H2423" s="51" t="str">
        <f>IF($C2423="","",IFERROR(DATE(G2423,VLOOKUP(E2423,Paramètres!$K$11:$L$40,2,FALSE()),F2423),"?"))</f>
        <v/>
      </c>
      <c r="I2423" s="50" t="str">
        <f>IF(ISNUMBER(H2423),IF(COUNTIFS($D$2:D2423,D2423,$H$2:H2423,H2423)=1,1,0),"")</f>
        <v/>
      </c>
      <c r="J2423" s="50" t="str">
        <f>IF(ISNUMBER(H2423),IFERROR(INDEX(Calendrier!$C$2:$C$367,MATCH(H2423,Calendrier!$A$2:$A$367,0)),0),"")</f>
        <v/>
      </c>
      <c r="K2423" s="50" t="str">
        <f t="shared" si="189"/>
        <v/>
      </c>
      <c r="L2423" s="50" t="str">
        <f>IF(D2423="","",IF(COUNTIF(Paramètres!$A$11:$A$40,D2423)&gt;0,1,0))</f>
        <v/>
      </c>
    </row>
    <row r="2424" spans="1:12" hidden="1" x14ac:dyDescent="0.25">
      <c r="A2424" s="49"/>
      <c r="B2424" s="49"/>
      <c r="C2424" s="49"/>
      <c r="D2424" s="50" t="str">
        <f t="shared" si="185"/>
        <v/>
      </c>
      <c r="E2424" s="50" t="str">
        <f t="shared" si="186"/>
        <v/>
      </c>
      <c r="F2424" s="50" t="str">
        <f t="shared" si="187"/>
        <v/>
      </c>
      <c r="G2424" s="50" t="str">
        <f t="shared" si="188"/>
        <v/>
      </c>
      <c r="H2424" s="51" t="str">
        <f>IF($C2424="","",IFERROR(DATE(G2424,VLOOKUP(E2424,Paramètres!$K$11:$L$40,2,FALSE()),F2424),"?"))</f>
        <v/>
      </c>
      <c r="I2424" s="50" t="str">
        <f>IF(ISNUMBER(H2424),IF(COUNTIFS($D$2:D2424,D2424,$H$2:H2424,H2424)=1,1,0),"")</f>
        <v/>
      </c>
      <c r="J2424" s="50" t="str">
        <f>IF(ISNUMBER(H2424),IFERROR(INDEX(Calendrier!$C$2:$C$367,MATCH(H2424,Calendrier!$A$2:$A$367,0)),0),"")</f>
        <v/>
      </c>
      <c r="K2424" s="50" t="str">
        <f t="shared" si="189"/>
        <v/>
      </c>
      <c r="L2424" s="50" t="str">
        <f>IF(D2424="","",IF(COUNTIF(Paramètres!$A$11:$A$40,D2424)&gt;0,1,0))</f>
        <v/>
      </c>
    </row>
    <row r="2425" spans="1:12" hidden="1" x14ac:dyDescent="0.25">
      <c r="A2425" s="49"/>
      <c r="B2425" s="49"/>
      <c r="C2425" s="49"/>
      <c r="D2425" s="50" t="str">
        <f t="shared" si="185"/>
        <v/>
      </c>
      <c r="E2425" s="50" t="str">
        <f t="shared" si="186"/>
        <v/>
      </c>
      <c r="F2425" s="50" t="str">
        <f t="shared" si="187"/>
        <v/>
      </c>
      <c r="G2425" s="50" t="str">
        <f t="shared" si="188"/>
        <v/>
      </c>
      <c r="H2425" s="51" t="str">
        <f>IF($C2425="","",IFERROR(DATE(G2425,VLOOKUP(E2425,Paramètres!$K$11:$L$40,2,FALSE()),F2425),"?"))</f>
        <v/>
      </c>
      <c r="I2425" s="50" t="str">
        <f>IF(ISNUMBER(H2425),IF(COUNTIFS($D$2:D2425,D2425,$H$2:H2425,H2425)=1,1,0),"")</f>
        <v/>
      </c>
      <c r="J2425" s="50" t="str">
        <f>IF(ISNUMBER(H2425),IFERROR(INDEX(Calendrier!$C$2:$C$367,MATCH(H2425,Calendrier!$A$2:$A$367,0)),0),"")</f>
        <v/>
      </c>
      <c r="K2425" s="50" t="str">
        <f t="shared" si="189"/>
        <v/>
      </c>
      <c r="L2425" s="50" t="str">
        <f>IF(D2425="","",IF(COUNTIF(Paramètres!$A$11:$A$40,D2425)&gt;0,1,0))</f>
        <v/>
      </c>
    </row>
    <row r="2426" spans="1:12" hidden="1" x14ac:dyDescent="0.25">
      <c r="A2426" s="49"/>
      <c r="B2426" s="49"/>
      <c r="C2426" s="49"/>
      <c r="D2426" s="50" t="str">
        <f t="shared" si="185"/>
        <v/>
      </c>
      <c r="E2426" s="50" t="str">
        <f t="shared" si="186"/>
        <v/>
      </c>
      <c r="F2426" s="50" t="str">
        <f t="shared" si="187"/>
        <v/>
      </c>
      <c r="G2426" s="50" t="str">
        <f t="shared" si="188"/>
        <v/>
      </c>
      <c r="H2426" s="51" t="str">
        <f>IF($C2426="","",IFERROR(DATE(G2426,VLOOKUP(E2426,Paramètres!$K$11:$L$40,2,FALSE()),F2426),"?"))</f>
        <v/>
      </c>
      <c r="I2426" s="50" t="str">
        <f>IF(ISNUMBER(H2426),IF(COUNTIFS($D$2:D2426,D2426,$H$2:H2426,H2426)=1,1,0),"")</f>
        <v/>
      </c>
      <c r="J2426" s="50" t="str">
        <f>IF(ISNUMBER(H2426),IFERROR(INDEX(Calendrier!$C$2:$C$367,MATCH(H2426,Calendrier!$A$2:$A$367,0)),0),"")</f>
        <v/>
      </c>
      <c r="K2426" s="50" t="str">
        <f t="shared" si="189"/>
        <v/>
      </c>
      <c r="L2426" s="50" t="str">
        <f>IF(D2426="","",IF(COUNTIF(Paramètres!$A$11:$A$40,D2426)&gt;0,1,0))</f>
        <v/>
      </c>
    </row>
    <row r="2427" spans="1:12" hidden="1" x14ac:dyDescent="0.25">
      <c r="A2427" s="49"/>
      <c r="B2427" s="49"/>
      <c r="C2427" s="49"/>
      <c r="D2427" s="50" t="str">
        <f t="shared" si="185"/>
        <v/>
      </c>
      <c r="E2427" s="50" t="str">
        <f t="shared" si="186"/>
        <v/>
      </c>
      <c r="F2427" s="50" t="str">
        <f t="shared" si="187"/>
        <v/>
      </c>
      <c r="G2427" s="50" t="str">
        <f t="shared" si="188"/>
        <v/>
      </c>
      <c r="H2427" s="51" t="str">
        <f>IF($C2427="","",IFERROR(DATE(G2427,VLOOKUP(E2427,Paramètres!$K$11:$L$40,2,FALSE()),F2427),"?"))</f>
        <v/>
      </c>
      <c r="I2427" s="50" t="str">
        <f>IF(ISNUMBER(H2427),IF(COUNTIFS($D$2:D2427,D2427,$H$2:H2427,H2427)=1,1,0),"")</f>
        <v/>
      </c>
      <c r="J2427" s="50" t="str">
        <f>IF(ISNUMBER(H2427),IFERROR(INDEX(Calendrier!$C$2:$C$367,MATCH(H2427,Calendrier!$A$2:$A$367,0)),0),"")</f>
        <v/>
      </c>
      <c r="K2427" s="50" t="str">
        <f t="shared" si="189"/>
        <v/>
      </c>
      <c r="L2427" s="50" t="str">
        <f>IF(D2427="","",IF(COUNTIF(Paramètres!$A$11:$A$40,D2427)&gt;0,1,0))</f>
        <v/>
      </c>
    </row>
    <row r="2428" spans="1:12" hidden="1" x14ac:dyDescent="0.25">
      <c r="A2428" s="49"/>
      <c r="B2428" s="49"/>
      <c r="C2428" s="49"/>
      <c r="D2428" s="50" t="str">
        <f t="shared" si="185"/>
        <v/>
      </c>
      <c r="E2428" s="50" t="str">
        <f t="shared" si="186"/>
        <v/>
      </c>
      <c r="F2428" s="50" t="str">
        <f t="shared" si="187"/>
        <v/>
      </c>
      <c r="G2428" s="50" t="str">
        <f t="shared" si="188"/>
        <v/>
      </c>
      <c r="H2428" s="51" t="str">
        <f>IF($C2428="","",IFERROR(DATE(G2428,VLOOKUP(E2428,Paramètres!$K$11:$L$40,2,FALSE()),F2428),"?"))</f>
        <v/>
      </c>
      <c r="I2428" s="50" t="str">
        <f>IF(ISNUMBER(H2428),IF(COUNTIFS($D$2:D2428,D2428,$H$2:H2428,H2428)=1,1,0),"")</f>
        <v/>
      </c>
      <c r="J2428" s="50" t="str">
        <f>IF(ISNUMBER(H2428),IFERROR(INDEX(Calendrier!$C$2:$C$367,MATCH(H2428,Calendrier!$A$2:$A$367,0)),0),"")</f>
        <v/>
      </c>
      <c r="K2428" s="50" t="str">
        <f t="shared" si="189"/>
        <v/>
      </c>
      <c r="L2428" s="50" t="str">
        <f>IF(D2428="","",IF(COUNTIF(Paramètres!$A$11:$A$40,D2428)&gt;0,1,0))</f>
        <v/>
      </c>
    </row>
    <row r="2429" spans="1:12" hidden="1" x14ac:dyDescent="0.25">
      <c r="A2429" s="49"/>
      <c r="B2429" s="49"/>
      <c r="C2429" s="49"/>
      <c r="D2429" s="50" t="str">
        <f t="shared" si="185"/>
        <v/>
      </c>
      <c r="E2429" s="50" t="str">
        <f t="shared" si="186"/>
        <v/>
      </c>
      <c r="F2429" s="50" t="str">
        <f t="shared" si="187"/>
        <v/>
      </c>
      <c r="G2429" s="50" t="str">
        <f t="shared" si="188"/>
        <v/>
      </c>
      <c r="H2429" s="51" t="str">
        <f>IF($C2429="","",IFERROR(DATE(G2429,VLOOKUP(E2429,Paramètres!$K$11:$L$40,2,FALSE()),F2429),"?"))</f>
        <v/>
      </c>
      <c r="I2429" s="50" t="str">
        <f>IF(ISNUMBER(H2429),IF(COUNTIFS($D$2:D2429,D2429,$H$2:H2429,H2429)=1,1,0),"")</f>
        <v/>
      </c>
      <c r="J2429" s="50" t="str">
        <f>IF(ISNUMBER(H2429),IFERROR(INDEX(Calendrier!$C$2:$C$367,MATCH(H2429,Calendrier!$A$2:$A$367,0)),0),"")</f>
        <v/>
      </c>
      <c r="K2429" s="50" t="str">
        <f t="shared" si="189"/>
        <v/>
      </c>
      <c r="L2429" s="50" t="str">
        <f>IF(D2429="","",IF(COUNTIF(Paramètres!$A$11:$A$40,D2429)&gt;0,1,0))</f>
        <v/>
      </c>
    </row>
    <row r="2430" spans="1:12" hidden="1" x14ac:dyDescent="0.25">
      <c r="A2430" s="49"/>
      <c r="B2430" s="49"/>
      <c r="C2430" s="49"/>
      <c r="D2430" s="50" t="str">
        <f t="shared" si="185"/>
        <v/>
      </c>
      <c r="E2430" s="50" t="str">
        <f t="shared" si="186"/>
        <v/>
      </c>
      <c r="F2430" s="50" t="str">
        <f t="shared" si="187"/>
        <v/>
      </c>
      <c r="G2430" s="50" t="str">
        <f t="shared" si="188"/>
        <v/>
      </c>
      <c r="H2430" s="51" t="str">
        <f>IF($C2430="","",IFERROR(DATE(G2430,VLOOKUP(E2430,Paramètres!$K$11:$L$40,2,FALSE()),F2430),"?"))</f>
        <v/>
      </c>
      <c r="I2430" s="50" t="str">
        <f>IF(ISNUMBER(H2430),IF(COUNTIFS($D$2:D2430,D2430,$H$2:H2430,H2430)=1,1,0),"")</f>
        <v/>
      </c>
      <c r="J2430" s="50" t="str">
        <f>IF(ISNUMBER(H2430),IFERROR(INDEX(Calendrier!$C$2:$C$367,MATCH(H2430,Calendrier!$A$2:$A$367,0)),0),"")</f>
        <v/>
      </c>
      <c r="K2430" s="50" t="str">
        <f t="shared" si="189"/>
        <v/>
      </c>
      <c r="L2430" s="50" t="str">
        <f>IF(D2430="","",IF(COUNTIF(Paramètres!$A$11:$A$40,D2430)&gt;0,1,0))</f>
        <v/>
      </c>
    </row>
    <row r="2431" spans="1:12" hidden="1" x14ac:dyDescent="0.25">
      <c r="A2431" s="49"/>
      <c r="B2431" s="49"/>
      <c r="C2431" s="49"/>
      <c r="D2431" s="50" t="str">
        <f t="shared" si="185"/>
        <v/>
      </c>
      <c r="E2431" s="50" t="str">
        <f t="shared" si="186"/>
        <v/>
      </c>
      <c r="F2431" s="50" t="str">
        <f t="shared" si="187"/>
        <v/>
      </c>
      <c r="G2431" s="50" t="str">
        <f t="shared" si="188"/>
        <v/>
      </c>
      <c r="H2431" s="51" t="str">
        <f>IF($C2431="","",IFERROR(DATE(G2431,VLOOKUP(E2431,Paramètres!$K$11:$L$40,2,FALSE()),F2431),"?"))</f>
        <v/>
      </c>
      <c r="I2431" s="50" t="str">
        <f>IF(ISNUMBER(H2431),IF(COUNTIFS($D$2:D2431,D2431,$H$2:H2431,H2431)=1,1,0),"")</f>
        <v/>
      </c>
      <c r="J2431" s="50" t="str">
        <f>IF(ISNUMBER(H2431),IFERROR(INDEX(Calendrier!$C$2:$C$367,MATCH(H2431,Calendrier!$A$2:$A$367,0)),0),"")</f>
        <v/>
      </c>
      <c r="K2431" s="50" t="str">
        <f t="shared" si="189"/>
        <v/>
      </c>
      <c r="L2431" s="50" t="str">
        <f>IF(D2431="","",IF(COUNTIF(Paramètres!$A$11:$A$40,D2431)&gt;0,1,0))</f>
        <v/>
      </c>
    </row>
    <row r="2432" spans="1:12" hidden="1" x14ac:dyDescent="0.25">
      <c r="A2432" s="49"/>
      <c r="B2432" s="49"/>
      <c r="C2432" s="49"/>
      <c r="D2432" s="50" t="str">
        <f t="shared" si="185"/>
        <v/>
      </c>
      <c r="E2432" s="50" t="str">
        <f t="shared" si="186"/>
        <v/>
      </c>
      <c r="F2432" s="50" t="str">
        <f t="shared" si="187"/>
        <v/>
      </c>
      <c r="G2432" s="50" t="str">
        <f t="shared" si="188"/>
        <v/>
      </c>
      <c r="H2432" s="51" t="str">
        <f>IF($C2432="","",IFERROR(DATE(G2432,VLOOKUP(E2432,Paramètres!$K$11:$L$40,2,FALSE()),F2432),"?"))</f>
        <v/>
      </c>
      <c r="I2432" s="50" t="str">
        <f>IF(ISNUMBER(H2432),IF(COUNTIFS($D$2:D2432,D2432,$H$2:H2432,H2432)=1,1,0),"")</f>
        <v/>
      </c>
      <c r="J2432" s="50" t="str">
        <f>IF(ISNUMBER(H2432),IFERROR(INDEX(Calendrier!$C$2:$C$367,MATCH(H2432,Calendrier!$A$2:$A$367,0)),0),"")</f>
        <v/>
      </c>
      <c r="K2432" s="50" t="str">
        <f t="shared" si="189"/>
        <v/>
      </c>
      <c r="L2432" s="50" t="str">
        <f>IF(D2432="","",IF(COUNTIF(Paramètres!$A$11:$A$40,D2432)&gt;0,1,0))</f>
        <v/>
      </c>
    </row>
    <row r="2433" spans="1:12" hidden="1" x14ac:dyDescent="0.25">
      <c r="A2433" s="49"/>
      <c r="B2433" s="49"/>
      <c r="C2433" s="49"/>
      <c r="D2433" s="50" t="str">
        <f t="shared" si="185"/>
        <v/>
      </c>
      <c r="E2433" s="50" t="str">
        <f t="shared" si="186"/>
        <v/>
      </c>
      <c r="F2433" s="50" t="str">
        <f t="shared" si="187"/>
        <v/>
      </c>
      <c r="G2433" s="50" t="str">
        <f t="shared" si="188"/>
        <v/>
      </c>
      <c r="H2433" s="51" t="str">
        <f>IF($C2433="","",IFERROR(DATE(G2433,VLOOKUP(E2433,Paramètres!$K$11:$L$40,2,FALSE()),F2433),"?"))</f>
        <v/>
      </c>
      <c r="I2433" s="50" t="str">
        <f>IF(ISNUMBER(H2433),IF(COUNTIFS($D$2:D2433,D2433,$H$2:H2433,H2433)=1,1,0),"")</f>
        <v/>
      </c>
      <c r="J2433" s="50" t="str">
        <f>IF(ISNUMBER(H2433),IFERROR(INDEX(Calendrier!$C$2:$C$367,MATCH(H2433,Calendrier!$A$2:$A$367,0)),0),"")</f>
        <v/>
      </c>
      <c r="K2433" s="50" t="str">
        <f t="shared" si="189"/>
        <v/>
      </c>
      <c r="L2433" s="50" t="str">
        <f>IF(D2433="","",IF(COUNTIF(Paramètres!$A$11:$A$40,D2433)&gt;0,1,0))</f>
        <v/>
      </c>
    </row>
    <row r="2434" spans="1:12" hidden="1" x14ac:dyDescent="0.25">
      <c r="A2434" s="49"/>
      <c r="B2434" s="49"/>
      <c r="C2434" s="49"/>
      <c r="D2434" s="50" t="str">
        <f t="shared" ref="D2434:D2497" si="190">IF(B2434="","",TRIM(B2434))</f>
        <v/>
      </c>
      <c r="E2434" s="50" t="str">
        <f t="shared" ref="E2434:E2497" si="191">IF($C2434="","",LEFT($C2434,FIND(" ",$C2434)-1))</f>
        <v/>
      </c>
      <c r="F2434" s="50" t="str">
        <f t="shared" ref="F2434:F2497" si="192">IF($C2434="","",IFERROR(VALUE(LEFT(MID($C2434,FIND(" ",$C2434)+1,20),FIND(" ",MID($C2434,FIND(" ",$C2434)+1,20))-1)),"?"))</f>
        <v/>
      </c>
      <c r="G2434" s="50" t="str">
        <f t="shared" ref="G2434:G2497" si="193">IF($C2434="","",IFERROR(VALUE(MID(MID($C2434,FIND(" ",$C2434)+1,20),FIND(" ",MID($C2434,FIND(" ",$C2434)+1,20))+1,4)),"?"))</f>
        <v/>
      </c>
      <c r="H2434" s="51" t="str">
        <f>IF($C2434="","",IFERROR(DATE(G2434,VLOOKUP(E2434,Paramètres!$K$11:$L$40,2,FALSE()),F2434),"?"))</f>
        <v/>
      </c>
      <c r="I2434" s="50" t="str">
        <f>IF(ISNUMBER(H2434),IF(COUNTIFS($D$2:D2434,D2434,$H$2:H2434,H2434)=1,1,0),"")</f>
        <v/>
      </c>
      <c r="J2434" s="50" t="str">
        <f>IF(ISNUMBER(H2434),IFERROR(INDEX(Calendrier!$C$2:$C$367,MATCH(H2434,Calendrier!$A$2:$A$367,0)),0),"")</f>
        <v/>
      </c>
      <c r="K2434" s="50" t="str">
        <f t="shared" ref="K2434:K2497" si="194">IF(ISNUMBER(H2434),I2434*J2434,"")</f>
        <v/>
      </c>
      <c r="L2434" s="50" t="str">
        <f>IF(D2434="","",IF(COUNTIF(Paramètres!$A$11:$A$40,D2434)&gt;0,1,0))</f>
        <v/>
      </c>
    </row>
    <row r="2435" spans="1:12" hidden="1" x14ac:dyDescent="0.25">
      <c r="A2435" s="49"/>
      <c r="B2435" s="49"/>
      <c r="C2435" s="49"/>
      <c r="D2435" s="50" t="str">
        <f t="shared" si="190"/>
        <v/>
      </c>
      <c r="E2435" s="50" t="str">
        <f t="shared" si="191"/>
        <v/>
      </c>
      <c r="F2435" s="50" t="str">
        <f t="shared" si="192"/>
        <v/>
      </c>
      <c r="G2435" s="50" t="str">
        <f t="shared" si="193"/>
        <v/>
      </c>
      <c r="H2435" s="51" t="str">
        <f>IF($C2435="","",IFERROR(DATE(G2435,VLOOKUP(E2435,Paramètres!$K$11:$L$40,2,FALSE()),F2435),"?"))</f>
        <v/>
      </c>
      <c r="I2435" s="50" t="str">
        <f>IF(ISNUMBER(H2435),IF(COUNTIFS($D$2:D2435,D2435,$H$2:H2435,H2435)=1,1,0),"")</f>
        <v/>
      </c>
      <c r="J2435" s="50" t="str">
        <f>IF(ISNUMBER(H2435),IFERROR(INDEX(Calendrier!$C$2:$C$367,MATCH(H2435,Calendrier!$A$2:$A$367,0)),0),"")</f>
        <v/>
      </c>
      <c r="K2435" s="50" t="str">
        <f t="shared" si="194"/>
        <v/>
      </c>
      <c r="L2435" s="50" t="str">
        <f>IF(D2435="","",IF(COUNTIF(Paramètres!$A$11:$A$40,D2435)&gt;0,1,0))</f>
        <v/>
      </c>
    </row>
    <row r="2436" spans="1:12" hidden="1" x14ac:dyDescent="0.25">
      <c r="A2436" s="49"/>
      <c r="B2436" s="49"/>
      <c r="C2436" s="49"/>
      <c r="D2436" s="50" t="str">
        <f t="shared" si="190"/>
        <v/>
      </c>
      <c r="E2436" s="50" t="str">
        <f t="shared" si="191"/>
        <v/>
      </c>
      <c r="F2436" s="50" t="str">
        <f t="shared" si="192"/>
        <v/>
      </c>
      <c r="G2436" s="50" t="str">
        <f t="shared" si="193"/>
        <v/>
      </c>
      <c r="H2436" s="51" t="str">
        <f>IF($C2436="","",IFERROR(DATE(G2436,VLOOKUP(E2436,Paramètres!$K$11:$L$40,2,FALSE()),F2436),"?"))</f>
        <v/>
      </c>
      <c r="I2436" s="50" t="str">
        <f>IF(ISNUMBER(H2436),IF(COUNTIFS($D$2:D2436,D2436,$H$2:H2436,H2436)=1,1,0),"")</f>
        <v/>
      </c>
      <c r="J2436" s="50" t="str">
        <f>IF(ISNUMBER(H2436),IFERROR(INDEX(Calendrier!$C$2:$C$367,MATCH(H2436,Calendrier!$A$2:$A$367,0)),0),"")</f>
        <v/>
      </c>
      <c r="K2436" s="50" t="str">
        <f t="shared" si="194"/>
        <v/>
      </c>
      <c r="L2436" s="50" t="str">
        <f>IF(D2436="","",IF(COUNTIF(Paramètres!$A$11:$A$40,D2436)&gt;0,1,0))</f>
        <v/>
      </c>
    </row>
    <row r="2437" spans="1:12" hidden="1" x14ac:dyDescent="0.25">
      <c r="A2437" s="49"/>
      <c r="B2437" s="49"/>
      <c r="C2437" s="49"/>
      <c r="D2437" s="50" t="str">
        <f t="shared" si="190"/>
        <v/>
      </c>
      <c r="E2437" s="50" t="str">
        <f t="shared" si="191"/>
        <v/>
      </c>
      <c r="F2437" s="50" t="str">
        <f t="shared" si="192"/>
        <v/>
      </c>
      <c r="G2437" s="50" t="str">
        <f t="shared" si="193"/>
        <v/>
      </c>
      <c r="H2437" s="51" t="str">
        <f>IF($C2437="","",IFERROR(DATE(G2437,VLOOKUP(E2437,Paramètres!$K$11:$L$40,2,FALSE()),F2437),"?"))</f>
        <v/>
      </c>
      <c r="I2437" s="50" t="str">
        <f>IF(ISNUMBER(H2437),IF(COUNTIFS($D$2:D2437,D2437,$H$2:H2437,H2437)=1,1,0),"")</f>
        <v/>
      </c>
      <c r="J2437" s="50" t="str">
        <f>IF(ISNUMBER(H2437),IFERROR(INDEX(Calendrier!$C$2:$C$367,MATCH(H2437,Calendrier!$A$2:$A$367,0)),0),"")</f>
        <v/>
      </c>
      <c r="K2437" s="50" t="str">
        <f t="shared" si="194"/>
        <v/>
      </c>
      <c r="L2437" s="50" t="str">
        <f>IF(D2437="","",IF(COUNTIF(Paramètres!$A$11:$A$40,D2437)&gt;0,1,0))</f>
        <v/>
      </c>
    </row>
    <row r="2438" spans="1:12" hidden="1" x14ac:dyDescent="0.25">
      <c r="A2438" s="49"/>
      <c r="B2438" s="49"/>
      <c r="C2438" s="49"/>
      <c r="D2438" s="50" t="str">
        <f t="shared" si="190"/>
        <v/>
      </c>
      <c r="E2438" s="50" t="str">
        <f t="shared" si="191"/>
        <v/>
      </c>
      <c r="F2438" s="50" t="str">
        <f t="shared" si="192"/>
        <v/>
      </c>
      <c r="G2438" s="50" t="str">
        <f t="shared" si="193"/>
        <v/>
      </c>
      <c r="H2438" s="51" t="str">
        <f>IF($C2438="","",IFERROR(DATE(G2438,VLOOKUP(E2438,Paramètres!$K$11:$L$40,2,FALSE()),F2438),"?"))</f>
        <v/>
      </c>
      <c r="I2438" s="50" t="str">
        <f>IF(ISNUMBER(H2438),IF(COUNTIFS($D$2:D2438,D2438,$H$2:H2438,H2438)=1,1,0),"")</f>
        <v/>
      </c>
      <c r="J2438" s="50" t="str">
        <f>IF(ISNUMBER(H2438),IFERROR(INDEX(Calendrier!$C$2:$C$367,MATCH(H2438,Calendrier!$A$2:$A$367,0)),0),"")</f>
        <v/>
      </c>
      <c r="K2438" s="50" t="str">
        <f t="shared" si="194"/>
        <v/>
      </c>
      <c r="L2438" s="50" t="str">
        <f>IF(D2438="","",IF(COUNTIF(Paramètres!$A$11:$A$40,D2438)&gt;0,1,0))</f>
        <v/>
      </c>
    </row>
    <row r="2439" spans="1:12" hidden="1" x14ac:dyDescent="0.25">
      <c r="A2439" s="49"/>
      <c r="B2439" s="49"/>
      <c r="C2439" s="49"/>
      <c r="D2439" s="50" t="str">
        <f t="shared" si="190"/>
        <v/>
      </c>
      <c r="E2439" s="50" t="str">
        <f t="shared" si="191"/>
        <v/>
      </c>
      <c r="F2439" s="50" t="str">
        <f t="shared" si="192"/>
        <v/>
      </c>
      <c r="G2439" s="50" t="str">
        <f t="shared" si="193"/>
        <v/>
      </c>
      <c r="H2439" s="51" t="str">
        <f>IF($C2439="","",IFERROR(DATE(G2439,VLOOKUP(E2439,Paramètres!$K$11:$L$40,2,FALSE()),F2439),"?"))</f>
        <v/>
      </c>
      <c r="I2439" s="50" t="str">
        <f>IF(ISNUMBER(H2439),IF(COUNTIFS($D$2:D2439,D2439,$H$2:H2439,H2439)=1,1,0),"")</f>
        <v/>
      </c>
      <c r="J2439" s="50" t="str">
        <f>IF(ISNUMBER(H2439),IFERROR(INDEX(Calendrier!$C$2:$C$367,MATCH(H2439,Calendrier!$A$2:$A$367,0)),0),"")</f>
        <v/>
      </c>
      <c r="K2439" s="50" t="str">
        <f t="shared" si="194"/>
        <v/>
      </c>
      <c r="L2439" s="50" t="str">
        <f>IF(D2439="","",IF(COUNTIF(Paramètres!$A$11:$A$40,D2439)&gt;0,1,0))</f>
        <v/>
      </c>
    </row>
    <row r="2440" spans="1:12" hidden="1" x14ac:dyDescent="0.25">
      <c r="A2440" s="49"/>
      <c r="B2440" s="49"/>
      <c r="C2440" s="49"/>
      <c r="D2440" s="50" t="str">
        <f t="shared" si="190"/>
        <v/>
      </c>
      <c r="E2440" s="50" t="str">
        <f t="shared" si="191"/>
        <v/>
      </c>
      <c r="F2440" s="50" t="str">
        <f t="shared" si="192"/>
        <v/>
      </c>
      <c r="G2440" s="50" t="str">
        <f t="shared" si="193"/>
        <v/>
      </c>
      <c r="H2440" s="51" t="str">
        <f>IF($C2440="","",IFERROR(DATE(G2440,VLOOKUP(E2440,Paramètres!$K$11:$L$40,2,FALSE()),F2440),"?"))</f>
        <v/>
      </c>
      <c r="I2440" s="50" t="str">
        <f>IF(ISNUMBER(H2440),IF(COUNTIFS($D$2:D2440,D2440,$H$2:H2440,H2440)=1,1,0),"")</f>
        <v/>
      </c>
      <c r="J2440" s="50" t="str">
        <f>IF(ISNUMBER(H2440),IFERROR(INDEX(Calendrier!$C$2:$C$367,MATCH(H2440,Calendrier!$A$2:$A$367,0)),0),"")</f>
        <v/>
      </c>
      <c r="K2440" s="50" t="str">
        <f t="shared" si="194"/>
        <v/>
      </c>
      <c r="L2440" s="50" t="str">
        <f>IF(D2440="","",IF(COUNTIF(Paramètres!$A$11:$A$40,D2440)&gt;0,1,0))</f>
        <v/>
      </c>
    </row>
    <row r="2441" spans="1:12" hidden="1" x14ac:dyDescent="0.25">
      <c r="A2441" s="49"/>
      <c r="B2441" s="49"/>
      <c r="C2441" s="49"/>
      <c r="D2441" s="50" t="str">
        <f t="shared" si="190"/>
        <v/>
      </c>
      <c r="E2441" s="50" t="str">
        <f t="shared" si="191"/>
        <v/>
      </c>
      <c r="F2441" s="50" t="str">
        <f t="shared" si="192"/>
        <v/>
      </c>
      <c r="G2441" s="50" t="str">
        <f t="shared" si="193"/>
        <v/>
      </c>
      <c r="H2441" s="51" t="str">
        <f>IF($C2441="","",IFERROR(DATE(G2441,VLOOKUP(E2441,Paramètres!$K$11:$L$40,2,FALSE()),F2441),"?"))</f>
        <v/>
      </c>
      <c r="I2441" s="50" t="str">
        <f>IF(ISNUMBER(H2441),IF(COUNTIFS($D$2:D2441,D2441,$H$2:H2441,H2441)=1,1,0),"")</f>
        <v/>
      </c>
      <c r="J2441" s="50" t="str">
        <f>IF(ISNUMBER(H2441),IFERROR(INDEX(Calendrier!$C$2:$C$367,MATCH(H2441,Calendrier!$A$2:$A$367,0)),0),"")</f>
        <v/>
      </c>
      <c r="K2441" s="50" t="str">
        <f t="shared" si="194"/>
        <v/>
      </c>
      <c r="L2441" s="50" t="str">
        <f>IF(D2441="","",IF(COUNTIF(Paramètres!$A$11:$A$40,D2441)&gt;0,1,0))</f>
        <v/>
      </c>
    </row>
    <row r="2442" spans="1:12" hidden="1" x14ac:dyDescent="0.25">
      <c r="A2442" s="49"/>
      <c r="B2442" s="49"/>
      <c r="C2442" s="49"/>
      <c r="D2442" s="50" t="str">
        <f t="shared" si="190"/>
        <v/>
      </c>
      <c r="E2442" s="50" t="str">
        <f t="shared" si="191"/>
        <v/>
      </c>
      <c r="F2442" s="50" t="str">
        <f t="shared" si="192"/>
        <v/>
      </c>
      <c r="G2442" s="50" t="str">
        <f t="shared" si="193"/>
        <v/>
      </c>
      <c r="H2442" s="51" t="str">
        <f>IF($C2442="","",IFERROR(DATE(G2442,VLOOKUP(E2442,Paramètres!$K$11:$L$40,2,FALSE()),F2442),"?"))</f>
        <v/>
      </c>
      <c r="I2442" s="50" t="str">
        <f>IF(ISNUMBER(H2442),IF(COUNTIFS($D$2:D2442,D2442,$H$2:H2442,H2442)=1,1,0),"")</f>
        <v/>
      </c>
      <c r="J2442" s="50" t="str">
        <f>IF(ISNUMBER(H2442),IFERROR(INDEX(Calendrier!$C$2:$C$367,MATCH(H2442,Calendrier!$A$2:$A$367,0)),0),"")</f>
        <v/>
      </c>
      <c r="K2442" s="50" t="str">
        <f t="shared" si="194"/>
        <v/>
      </c>
      <c r="L2442" s="50" t="str">
        <f>IF(D2442="","",IF(COUNTIF(Paramètres!$A$11:$A$40,D2442)&gt;0,1,0))</f>
        <v/>
      </c>
    </row>
    <row r="2443" spans="1:12" hidden="1" x14ac:dyDescent="0.25">
      <c r="A2443" s="49"/>
      <c r="B2443" s="49"/>
      <c r="C2443" s="49"/>
      <c r="D2443" s="50" t="str">
        <f t="shared" si="190"/>
        <v/>
      </c>
      <c r="E2443" s="50" t="str">
        <f t="shared" si="191"/>
        <v/>
      </c>
      <c r="F2443" s="50" t="str">
        <f t="shared" si="192"/>
        <v/>
      </c>
      <c r="G2443" s="50" t="str">
        <f t="shared" si="193"/>
        <v/>
      </c>
      <c r="H2443" s="51" t="str">
        <f>IF($C2443="","",IFERROR(DATE(G2443,VLOOKUP(E2443,Paramètres!$K$11:$L$40,2,FALSE()),F2443),"?"))</f>
        <v/>
      </c>
      <c r="I2443" s="50" t="str">
        <f>IF(ISNUMBER(H2443),IF(COUNTIFS($D$2:D2443,D2443,$H$2:H2443,H2443)=1,1,0),"")</f>
        <v/>
      </c>
      <c r="J2443" s="50" t="str">
        <f>IF(ISNUMBER(H2443),IFERROR(INDEX(Calendrier!$C$2:$C$367,MATCH(H2443,Calendrier!$A$2:$A$367,0)),0),"")</f>
        <v/>
      </c>
      <c r="K2443" s="50" t="str">
        <f t="shared" si="194"/>
        <v/>
      </c>
      <c r="L2443" s="50" t="str">
        <f>IF(D2443="","",IF(COUNTIF(Paramètres!$A$11:$A$40,D2443)&gt;0,1,0))</f>
        <v/>
      </c>
    </row>
    <row r="2444" spans="1:12" hidden="1" x14ac:dyDescent="0.25">
      <c r="A2444" s="49"/>
      <c r="B2444" s="49"/>
      <c r="C2444" s="49"/>
      <c r="D2444" s="50" t="str">
        <f t="shared" si="190"/>
        <v/>
      </c>
      <c r="E2444" s="50" t="str">
        <f t="shared" si="191"/>
        <v/>
      </c>
      <c r="F2444" s="50" t="str">
        <f t="shared" si="192"/>
        <v/>
      </c>
      <c r="G2444" s="50" t="str">
        <f t="shared" si="193"/>
        <v/>
      </c>
      <c r="H2444" s="51" t="str">
        <f>IF($C2444="","",IFERROR(DATE(G2444,VLOOKUP(E2444,Paramètres!$K$11:$L$40,2,FALSE()),F2444),"?"))</f>
        <v/>
      </c>
      <c r="I2444" s="50" t="str">
        <f>IF(ISNUMBER(H2444),IF(COUNTIFS($D$2:D2444,D2444,$H$2:H2444,H2444)=1,1,0),"")</f>
        <v/>
      </c>
      <c r="J2444" s="50" t="str">
        <f>IF(ISNUMBER(H2444),IFERROR(INDEX(Calendrier!$C$2:$C$367,MATCH(H2444,Calendrier!$A$2:$A$367,0)),0),"")</f>
        <v/>
      </c>
      <c r="K2444" s="50" t="str">
        <f t="shared" si="194"/>
        <v/>
      </c>
      <c r="L2444" s="50" t="str">
        <f>IF(D2444="","",IF(COUNTIF(Paramètres!$A$11:$A$40,D2444)&gt;0,1,0))</f>
        <v/>
      </c>
    </row>
    <row r="2445" spans="1:12" hidden="1" x14ac:dyDescent="0.25">
      <c r="A2445" s="49"/>
      <c r="B2445" s="49"/>
      <c r="C2445" s="49"/>
      <c r="D2445" s="50" t="str">
        <f t="shared" si="190"/>
        <v/>
      </c>
      <c r="E2445" s="50" t="str">
        <f t="shared" si="191"/>
        <v/>
      </c>
      <c r="F2445" s="50" t="str">
        <f t="shared" si="192"/>
        <v/>
      </c>
      <c r="G2445" s="50" t="str">
        <f t="shared" si="193"/>
        <v/>
      </c>
      <c r="H2445" s="51" t="str">
        <f>IF($C2445="","",IFERROR(DATE(G2445,VLOOKUP(E2445,Paramètres!$K$11:$L$40,2,FALSE()),F2445),"?"))</f>
        <v/>
      </c>
      <c r="I2445" s="50" t="str">
        <f>IF(ISNUMBER(H2445),IF(COUNTIFS($D$2:D2445,D2445,$H$2:H2445,H2445)=1,1,0),"")</f>
        <v/>
      </c>
      <c r="J2445" s="50" t="str">
        <f>IF(ISNUMBER(H2445),IFERROR(INDEX(Calendrier!$C$2:$C$367,MATCH(H2445,Calendrier!$A$2:$A$367,0)),0),"")</f>
        <v/>
      </c>
      <c r="K2445" s="50" t="str">
        <f t="shared" si="194"/>
        <v/>
      </c>
      <c r="L2445" s="50" t="str">
        <f>IF(D2445="","",IF(COUNTIF(Paramètres!$A$11:$A$40,D2445)&gt;0,1,0))</f>
        <v/>
      </c>
    </row>
    <row r="2446" spans="1:12" hidden="1" x14ac:dyDescent="0.25">
      <c r="A2446" s="49"/>
      <c r="B2446" s="49"/>
      <c r="C2446" s="49"/>
      <c r="D2446" s="50" t="str">
        <f t="shared" si="190"/>
        <v/>
      </c>
      <c r="E2446" s="50" t="str">
        <f t="shared" si="191"/>
        <v/>
      </c>
      <c r="F2446" s="50" t="str">
        <f t="shared" si="192"/>
        <v/>
      </c>
      <c r="G2446" s="50" t="str">
        <f t="shared" si="193"/>
        <v/>
      </c>
      <c r="H2446" s="51" t="str">
        <f>IF($C2446="","",IFERROR(DATE(G2446,VLOOKUP(E2446,Paramètres!$K$11:$L$40,2,FALSE()),F2446),"?"))</f>
        <v/>
      </c>
      <c r="I2446" s="50" t="str">
        <f>IF(ISNUMBER(H2446),IF(COUNTIFS($D$2:D2446,D2446,$H$2:H2446,H2446)=1,1,0),"")</f>
        <v/>
      </c>
      <c r="J2446" s="50" t="str">
        <f>IF(ISNUMBER(H2446),IFERROR(INDEX(Calendrier!$C$2:$C$367,MATCH(H2446,Calendrier!$A$2:$A$367,0)),0),"")</f>
        <v/>
      </c>
      <c r="K2446" s="50" t="str">
        <f t="shared" si="194"/>
        <v/>
      </c>
      <c r="L2446" s="50" t="str">
        <f>IF(D2446="","",IF(COUNTIF(Paramètres!$A$11:$A$40,D2446)&gt;0,1,0))</f>
        <v/>
      </c>
    </row>
    <row r="2447" spans="1:12" hidden="1" x14ac:dyDescent="0.25">
      <c r="A2447" s="49"/>
      <c r="B2447" s="49"/>
      <c r="C2447" s="49"/>
      <c r="D2447" s="50" t="str">
        <f t="shared" si="190"/>
        <v/>
      </c>
      <c r="E2447" s="50" t="str">
        <f t="shared" si="191"/>
        <v/>
      </c>
      <c r="F2447" s="50" t="str">
        <f t="shared" si="192"/>
        <v/>
      </c>
      <c r="G2447" s="50" t="str">
        <f t="shared" si="193"/>
        <v/>
      </c>
      <c r="H2447" s="51" t="str">
        <f>IF($C2447="","",IFERROR(DATE(G2447,VLOOKUP(E2447,Paramètres!$K$11:$L$40,2,FALSE()),F2447),"?"))</f>
        <v/>
      </c>
      <c r="I2447" s="50" t="str">
        <f>IF(ISNUMBER(H2447),IF(COUNTIFS($D$2:D2447,D2447,$H$2:H2447,H2447)=1,1,0),"")</f>
        <v/>
      </c>
      <c r="J2447" s="50" t="str">
        <f>IF(ISNUMBER(H2447),IFERROR(INDEX(Calendrier!$C$2:$C$367,MATCH(H2447,Calendrier!$A$2:$A$367,0)),0),"")</f>
        <v/>
      </c>
      <c r="K2447" s="50" t="str">
        <f t="shared" si="194"/>
        <v/>
      </c>
      <c r="L2447" s="50" t="str">
        <f>IF(D2447="","",IF(COUNTIF(Paramètres!$A$11:$A$40,D2447)&gt;0,1,0))</f>
        <v/>
      </c>
    </row>
    <row r="2448" spans="1:12" hidden="1" x14ac:dyDescent="0.25">
      <c r="A2448" s="49"/>
      <c r="B2448" s="49"/>
      <c r="C2448" s="49"/>
      <c r="D2448" s="50" t="str">
        <f t="shared" si="190"/>
        <v/>
      </c>
      <c r="E2448" s="50" t="str">
        <f t="shared" si="191"/>
        <v/>
      </c>
      <c r="F2448" s="50" t="str">
        <f t="shared" si="192"/>
        <v/>
      </c>
      <c r="G2448" s="50" t="str">
        <f t="shared" si="193"/>
        <v/>
      </c>
      <c r="H2448" s="51" t="str">
        <f>IF($C2448="","",IFERROR(DATE(G2448,VLOOKUP(E2448,Paramètres!$K$11:$L$40,2,FALSE()),F2448),"?"))</f>
        <v/>
      </c>
      <c r="I2448" s="50" t="str">
        <f>IF(ISNUMBER(H2448),IF(COUNTIFS($D$2:D2448,D2448,$H$2:H2448,H2448)=1,1,0),"")</f>
        <v/>
      </c>
      <c r="J2448" s="50" t="str">
        <f>IF(ISNUMBER(H2448),IFERROR(INDEX(Calendrier!$C$2:$C$367,MATCH(H2448,Calendrier!$A$2:$A$367,0)),0),"")</f>
        <v/>
      </c>
      <c r="K2448" s="50" t="str">
        <f t="shared" si="194"/>
        <v/>
      </c>
      <c r="L2448" s="50" t="str">
        <f>IF(D2448="","",IF(COUNTIF(Paramètres!$A$11:$A$40,D2448)&gt;0,1,0))</f>
        <v/>
      </c>
    </row>
    <row r="2449" spans="1:12" hidden="1" x14ac:dyDescent="0.25">
      <c r="A2449" s="49"/>
      <c r="B2449" s="49"/>
      <c r="C2449" s="49"/>
      <c r="D2449" s="50" t="str">
        <f t="shared" si="190"/>
        <v/>
      </c>
      <c r="E2449" s="50" t="str">
        <f t="shared" si="191"/>
        <v/>
      </c>
      <c r="F2449" s="50" t="str">
        <f t="shared" si="192"/>
        <v/>
      </c>
      <c r="G2449" s="50" t="str">
        <f t="shared" si="193"/>
        <v/>
      </c>
      <c r="H2449" s="51" t="str">
        <f>IF($C2449="","",IFERROR(DATE(G2449,VLOOKUP(E2449,Paramètres!$K$11:$L$40,2,FALSE()),F2449),"?"))</f>
        <v/>
      </c>
      <c r="I2449" s="50" t="str">
        <f>IF(ISNUMBER(H2449),IF(COUNTIFS($D$2:D2449,D2449,$H$2:H2449,H2449)=1,1,0),"")</f>
        <v/>
      </c>
      <c r="J2449" s="50" t="str">
        <f>IF(ISNUMBER(H2449),IFERROR(INDEX(Calendrier!$C$2:$C$367,MATCH(H2449,Calendrier!$A$2:$A$367,0)),0),"")</f>
        <v/>
      </c>
      <c r="K2449" s="50" t="str">
        <f t="shared" si="194"/>
        <v/>
      </c>
      <c r="L2449" s="50" t="str">
        <f>IF(D2449="","",IF(COUNTIF(Paramètres!$A$11:$A$40,D2449)&gt;0,1,0))</f>
        <v/>
      </c>
    </row>
    <row r="2450" spans="1:12" hidden="1" x14ac:dyDescent="0.25">
      <c r="A2450" s="49"/>
      <c r="B2450" s="49"/>
      <c r="C2450" s="49"/>
      <c r="D2450" s="50" t="str">
        <f t="shared" si="190"/>
        <v/>
      </c>
      <c r="E2450" s="50" t="str">
        <f t="shared" si="191"/>
        <v/>
      </c>
      <c r="F2450" s="50" t="str">
        <f t="shared" si="192"/>
        <v/>
      </c>
      <c r="G2450" s="50" t="str">
        <f t="shared" si="193"/>
        <v/>
      </c>
      <c r="H2450" s="51" t="str">
        <f>IF($C2450="","",IFERROR(DATE(G2450,VLOOKUP(E2450,Paramètres!$K$11:$L$40,2,FALSE()),F2450),"?"))</f>
        <v/>
      </c>
      <c r="I2450" s="50" t="str">
        <f>IF(ISNUMBER(H2450),IF(COUNTIFS($D$2:D2450,D2450,$H$2:H2450,H2450)=1,1,0),"")</f>
        <v/>
      </c>
      <c r="J2450" s="50" t="str">
        <f>IF(ISNUMBER(H2450),IFERROR(INDEX(Calendrier!$C$2:$C$367,MATCH(H2450,Calendrier!$A$2:$A$367,0)),0),"")</f>
        <v/>
      </c>
      <c r="K2450" s="50" t="str">
        <f t="shared" si="194"/>
        <v/>
      </c>
      <c r="L2450" s="50" t="str">
        <f>IF(D2450="","",IF(COUNTIF(Paramètres!$A$11:$A$40,D2450)&gt;0,1,0))</f>
        <v/>
      </c>
    </row>
    <row r="2451" spans="1:12" hidden="1" x14ac:dyDescent="0.25">
      <c r="A2451" s="49"/>
      <c r="B2451" s="49"/>
      <c r="C2451" s="49"/>
      <c r="D2451" s="50" t="str">
        <f t="shared" si="190"/>
        <v/>
      </c>
      <c r="E2451" s="50" t="str">
        <f t="shared" si="191"/>
        <v/>
      </c>
      <c r="F2451" s="50" t="str">
        <f t="shared" si="192"/>
        <v/>
      </c>
      <c r="G2451" s="50" t="str">
        <f t="shared" si="193"/>
        <v/>
      </c>
      <c r="H2451" s="51" t="str">
        <f>IF($C2451="","",IFERROR(DATE(G2451,VLOOKUP(E2451,Paramètres!$K$11:$L$40,2,FALSE()),F2451),"?"))</f>
        <v/>
      </c>
      <c r="I2451" s="50" t="str">
        <f>IF(ISNUMBER(H2451),IF(COUNTIFS($D$2:D2451,D2451,$H$2:H2451,H2451)=1,1,0),"")</f>
        <v/>
      </c>
      <c r="J2451" s="50" t="str">
        <f>IF(ISNUMBER(H2451),IFERROR(INDEX(Calendrier!$C$2:$C$367,MATCH(H2451,Calendrier!$A$2:$A$367,0)),0),"")</f>
        <v/>
      </c>
      <c r="K2451" s="50" t="str">
        <f t="shared" si="194"/>
        <v/>
      </c>
      <c r="L2451" s="50" t="str">
        <f>IF(D2451="","",IF(COUNTIF(Paramètres!$A$11:$A$40,D2451)&gt;0,1,0))</f>
        <v/>
      </c>
    </row>
    <row r="2452" spans="1:12" hidden="1" x14ac:dyDescent="0.25">
      <c r="A2452" s="49"/>
      <c r="B2452" s="49"/>
      <c r="C2452" s="49"/>
      <c r="D2452" s="50" t="str">
        <f t="shared" si="190"/>
        <v/>
      </c>
      <c r="E2452" s="50" t="str">
        <f t="shared" si="191"/>
        <v/>
      </c>
      <c r="F2452" s="50" t="str">
        <f t="shared" si="192"/>
        <v/>
      </c>
      <c r="G2452" s="50" t="str">
        <f t="shared" si="193"/>
        <v/>
      </c>
      <c r="H2452" s="51" t="str">
        <f>IF($C2452="","",IFERROR(DATE(G2452,VLOOKUP(E2452,Paramètres!$K$11:$L$40,2,FALSE()),F2452),"?"))</f>
        <v/>
      </c>
      <c r="I2452" s="50" t="str">
        <f>IF(ISNUMBER(H2452),IF(COUNTIFS($D$2:D2452,D2452,$H$2:H2452,H2452)=1,1,0),"")</f>
        <v/>
      </c>
      <c r="J2452" s="50" t="str">
        <f>IF(ISNUMBER(H2452),IFERROR(INDEX(Calendrier!$C$2:$C$367,MATCH(H2452,Calendrier!$A$2:$A$367,0)),0),"")</f>
        <v/>
      </c>
      <c r="K2452" s="50" t="str">
        <f t="shared" si="194"/>
        <v/>
      </c>
      <c r="L2452" s="50" t="str">
        <f>IF(D2452="","",IF(COUNTIF(Paramètres!$A$11:$A$40,D2452)&gt;0,1,0))</f>
        <v/>
      </c>
    </row>
    <row r="2453" spans="1:12" hidden="1" x14ac:dyDescent="0.25">
      <c r="A2453" s="49"/>
      <c r="B2453" s="49"/>
      <c r="C2453" s="49"/>
      <c r="D2453" s="50" t="str">
        <f t="shared" si="190"/>
        <v/>
      </c>
      <c r="E2453" s="50" t="str">
        <f t="shared" si="191"/>
        <v/>
      </c>
      <c r="F2453" s="50" t="str">
        <f t="shared" si="192"/>
        <v/>
      </c>
      <c r="G2453" s="50" t="str">
        <f t="shared" si="193"/>
        <v/>
      </c>
      <c r="H2453" s="51" t="str">
        <f>IF($C2453="","",IFERROR(DATE(G2453,VLOOKUP(E2453,Paramètres!$K$11:$L$40,2,FALSE()),F2453),"?"))</f>
        <v/>
      </c>
      <c r="I2453" s="50" t="str">
        <f>IF(ISNUMBER(H2453),IF(COUNTIFS($D$2:D2453,D2453,$H$2:H2453,H2453)=1,1,0),"")</f>
        <v/>
      </c>
      <c r="J2453" s="50" t="str">
        <f>IF(ISNUMBER(H2453),IFERROR(INDEX(Calendrier!$C$2:$C$367,MATCH(H2453,Calendrier!$A$2:$A$367,0)),0),"")</f>
        <v/>
      </c>
      <c r="K2453" s="50" t="str">
        <f t="shared" si="194"/>
        <v/>
      </c>
      <c r="L2453" s="50" t="str">
        <f>IF(D2453="","",IF(COUNTIF(Paramètres!$A$11:$A$40,D2453)&gt;0,1,0))</f>
        <v/>
      </c>
    </row>
    <row r="2454" spans="1:12" hidden="1" x14ac:dyDescent="0.25">
      <c r="A2454" s="49"/>
      <c r="B2454" s="49"/>
      <c r="C2454" s="49"/>
      <c r="D2454" s="50" t="str">
        <f t="shared" si="190"/>
        <v/>
      </c>
      <c r="E2454" s="50" t="str">
        <f t="shared" si="191"/>
        <v/>
      </c>
      <c r="F2454" s="50" t="str">
        <f t="shared" si="192"/>
        <v/>
      </c>
      <c r="G2454" s="50" t="str">
        <f t="shared" si="193"/>
        <v/>
      </c>
      <c r="H2454" s="51" t="str">
        <f>IF($C2454="","",IFERROR(DATE(G2454,VLOOKUP(E2454,Paramètres!$K$11:$L$40,2,FALSE()),F2454),"?"))</f>
        <v/>
      </c>
      <c r="I2454" s="50" t="str">
        <f>IF(ISNUMBER(H2454),IF(COUNTIFS($D$2:D2454,D2454,$H$2:H2454,H2454)=1,1,0),"")</f>
        <v/>
      </c>
      <c r="J2454" s="50" t="str">
        <f>IF(ISNUMBER(H2454),IFERROR(INDEX(Calendrier!$C$2:$C$367,MATCH(H2454,Calendrier!$A$2:$A$367,0)),0),"")</f>
        <v/>
      </c>
      <c r="K2454" s="50" t="str">
        <f t="shared" si="194"/>
        <v/>
      </c>
      <c r="L2454" s="50" t="str">
        <f>IF(D2454="","",IF(COUNTIF(Paramètres!$A$11:$A$40,D2454)&gt;0,1,0))</f>
        <v/>
      </c>
    </row>
    <row r="2455" spans="1:12" hidden="1" x14ac:dyDescent="0.25">
      <c r="A2455" s="49"/>
      <c r="B2455" s="49"/>
      <c r="C2455" s="49"/>
      <c r="D2455" s="50" t="str">
        <f t="shared" si="190"/>
        <v/>
      </c>
      <c r="E2455" s="50" t="str">
        <f t="shared" si="191"/>
        <v/>
      </c>
      <c r="F2455" s="50" t="str">
        <f t="shared" si="192"/>
        <v/>
      </c>
      <c r="G2455" s="50" t="str">
        <f t="shared" si="193"/>
        <v/>
      </c>
      <c r="H2455" s="51" t="str">
        <f>IF($C2455="","",IFERROR(DATE(G2455,VLOOKUP(E2455,Paramètres!$K$11:$L$40,2,FALSE()),F2455),"?"))</f>
        <v/>
      </c>
      <c r="I2455" s="50" t="str">
        <f>IF(ISNUMBER(H2455),IF(COUNTIFS($D$2:D2455,D2455,$H$2:H2455,H2455)=1,1,0),"")</f>
        <v/>
      </c>
      <c r="J2455" s="50" t="str">
        <f>IF(ISNUMBER(H2455),IFERROR(INDEX(Calendrier!$C$2:$C$367,MATCH(H2455,Calendrier!$A$2:$A$367,0)),0),"")</f>
        <v/>
      </c>
      <c r="K2455" s="50" t="str">
        <f t="shared" si="194"/>
        <v/>
      </c>
      <c r="L2455" s="50" t="str">
        <f>IF(D2455="","",IF(COUNTIF(Paramètres!$A$11:$A$40,D2455)&gt;0,1,0))</f>
        <v/>
      </c>
    </row>
    <row r="2456" spans="1:12" hidden="1" x14ac:dyDescent="0.25">
      <c r="A2456" s="49"/>
      <c r="B2456" s="49"/>
      <c r="C2456" s="49"/>
      <c r="D2456" s="50" t="str">
        <f t="shared" si="190"/>
        <v/>
      </c>
      <c r="E2456" s="50" t="str">
        <f t="shared" si="191"/>
        <v/>
      </c>
      <c r="F2456" s="50" t="str">
        <f t="shared" si="192"/>
        <v/>
      </c>
      <c r="G2456" s="50" t="str">
        <f t="shared" si="193"/>
        <v/>
      </c>
      <c r="H2456" s="51" t="str">
        <f>IF($C2456="","",IFERROR(DATE(G2456,VLOOKUP(E2456,Paramètres!$K$11:$L$40,2,FALSE()),F2456),"?"))</f>
        <v/>
      </c>
      <c r="I2456" s="50" t="str">
        <f>IF(ISNUMBER(H2456),IF(COUNTIFS($D$2:D2456,D2456,$H$2:H2456,H2456)=1,1,0),"")</f>
        <v/>
      </c>
      <c r="J2456" s="50" t="str">
        <f>IF(ISNUMBER(H2456),IFERROR(INDEX(Calendrier!$C$2:$C$367,MATCH(H2456,Calendrier!$A$2:$A$367,0)),0),"")</f>
        <v/>
      </c>
      <c r="K2456" s="50" t="str">
        <f t="shared" si="194"/>
        <v/>
      </c>
      <c r="L2456" s="50" t="str">
        <f>IF(D2456="","",IF(COUNTIF(Paramètres!$A$11:$A$40,D2456)&gt;0,1,0))</f>
        <v/>
      </c>
    </row>
    <row r="2457" spans="1:12" hidden="1" x14ac:dyDescent="0.25">
      <c r="A2457" s="49"/>
      <c r="B2457" s="49"/>
      <c r="C2457" s="49"/>
      <c r="D2457" s="50" t="str">
        <f t="shared" si="190"/>
        <v/>
      </c>
      <c r="E2457" s="50" t="str">
        <f t="shared" si="191"/>
        <v/>
      </c>
      <c r="F2457" s="50" t="str">
        <f t="shared" si="192"/>
        <v/>
      </c>
      <c r="G2457" s="50" t="str">
        <f t="shared" si="193"/>
        <v/>
      </c>
      <c r="H2457" s="51" t="str">
        <f>IF($C2457="","",IFERROR(DATE(G2457,VLOOKUP(E2457,Paramètres!$K$11:$L$40,2,FALSE()),F2457),"?"))</f>
        <v/>
      </c>
      <c r="I2457" s="50" t="str">
        <f>IF(ISNUMBER(H2457),IF(COUNTIFS($D$2:D2457,D2457,$H$2:H2457,H2457)=1,1,0),"")</f>
        <v/>
      </c>
      <c r="J2457" s="50" t="str">
        <f>IF(ISNUMBER(H2457),IFERROR(INDEX(Calendrier!$C$2:$C$367,MATCH(H2457,Calendrier!$A$2:$A$367,0)),0),"")</f>
        <v/>
      </c>
      <c r="K2457" s="50" t="str">
        <f t="shared" si="194"/>
        <v/>
      </c>
      <c r="L2457" s="50" t="str">
        <f>IF(D2457="","",IF(COUNTIF(Paramètres!$A$11:$A$40,D2457)&gt;0,1,0))</f>
        <v/>
      </c>
    </row>
    <row r="2458" spans="1:12" hidden="1" x14ac:dyDescent="0.25">
      <c r="A2458" s="49"/>
      <c r="B2458" s="49"/>
      <c r="C2458" s="49"/>
      <c r="D2458" s="50" t="str">
        <f t="shared" si="190"/>
        <v/>
      </c>
      <c r="E2458" s="50" t="str">
        <f t="shared" si="191"/>
        <v/>
      </c>
      <c r="F2458" s="50" t="str">
        <f t="shared" si="192"/>
        <v/>
      </c>
      <c r="G2458" s="50" t="str">
        <f t="shared" si="193"/>
        <v/>
      </c>
      <c r="H2458" s="51" t="str">
        <f>IF($C2458="","",IFERROR(DATE(G2458,VLOOKUP(E2458,Paramètres!$K$11:$L$40,2,FALSE()),F2458),"?"))</f>
        <v/>
      </c>
      <c r="I2458" s="50" t="str">
        <f>IF(ISNUMBER(H2458),IF(COUNTIFS($D$2:D2458,D2458,$H$2:H2458,H2458)=1,1,0),"")</f>
        <v/>
      </c>
      <c r="J2458" s="50" t="str">
        <f>IF(ISNUMBER(H2458),IFERROR(INDEX(Calendrier!$C$2:$C$367,MATCH(H2458,Calendrier!$A$2:$A$367,0)),0),"")</f>
        <v/>
      </c>
      <c r="K2458" s="50" t="str">
        <f t="shared" si="194"/>
        <v/>
      </c>
      <c r="L2458" s="50" t="str">
        <f>IF(D2458="","",IF(COUNTIF(Paramètres!$A$11:$A$40,D2458)&gt;0,1,0))</f>
        <v/>
      </c>
    </row>
    <row r="2459" spans="1:12" hidden="1" x14ac:dyDescent="0.25">
      <c r="A2459" s="49"/>
      <c r="B2459" s="49"/>
      <c r="C2459" s="49"/>
      <c r="D2459" s="50" t="str">
        <f t="shared" si="190"/>
        <v/>
      </c>
      <c r="E2459" s="50" t="str">
        <f t="shared" si="191"/>
        <v/>
      </c>
      <c r="F2459" s="50" t="str">
        <f t="shared" si="192"/>
        <v/>
      </c>
      <c r="G2459" s="50" t="str">
        <f t="shared" si="193"/>
        <v/>
      </c>
      <c r="H2459" s="51" t="str">
        <f>IF($C2459="","",IFERROR(DATE(G2459,VLOOKUP(E2459,Paramètres!$K$11:$L$40,2,FALSE()),F2459),"?"))</f>
        <v/>
      </c>
      <c r="I2459" s="50" t="str">
        <f>IF(ISNUMBER(H2459),IF(COUNTIFS($D$2:D2459,D2459,$H$2:H2459,H2459)=1,1,0),"")</f>
        <v/>
      </c>
      <c r="J2459" s="50" t="str">
        <f>IF(ISNUMBER(H2459),IFERROR(INDEX(Calendrier!$C$2:$C$367,MATCH(H2459,Calendrier!$A$2:$A$367,0)),0),"")</f>
        <v/>
      </c>
      <c r="K2459" s="50" t="str">
        <f t="shared" si="194"/>
        <v/>
      </c>
      <c r="L2459" s="50" t="str">
        <f>IF(D2459="","",IF(COUNTIF(Paramètres!$A$11:$A$40,D2459)&gt;0,1,0))</f>
        <v/>
      </c>
    </row>
    <row r="2460" spans="1:12" hidden="1" x14ac:dyDescent="0.25">
      <c r="A2460" s="49"/>
      <c r="B2460" s="49"/>
      <c r="C2460" s="49"/>
      <c r="D2460" s="50" t="str">
        <f t="shared" si="190"/>
        <v/>
      </c>
      <c r="E2460" s="50" t="str">
        <f t="shared" si="191"/>
        <v/>
      </c>
      <c r="F2460" s="50" t="str">
        <f t="shared" si="192"/>
        <v/>
      </c>
      <c r="G2460" s="50" t="str">
        <f t="shared" si="193"/>
        <v/>
      </c>
      <c r="H2460" s="51" t="str">
        <f>IF($C2460="","",IFERROR(DATE(G2460,VLOOKUP(E2460,Paramètres!$K$11:$L$40,2,FALSE()),F2460),"?"))</f>
        <v/>
      </c>
      <c r="I2460" s="50" t="str">
        <f>IF(ISNUMBER(H2460),IF(COUNTIFS($D$2:D2460,D2460,$H$2:H2460,H2460)=1,1,0),"")</f>
        <v/>
      </c>
      <c r="J2460" s="50" t="str">
        <f>IF(ISNUMBER(H2460),IFERROR(INDEX(Calendrier!$C$2:$C$367,MATCH(H2460,Calendrier!$A$2:$A$367,0)),0),"")</f>
        <v/>
      </c>
      <c r="K2460" s="50" t="str">
        <f t="shared" si="194"/>
        <v/>
      </c>
      <c r="L2460" s="50" t="str">
        <f>IF(D2460="","",IF(COUNTIF(Paramètres!$A$11:$A$40,D2460)&gt;0,1,0))</f>
        <v/>
      </c>
    </row>
    <row r="2461" spans="1:12" hidden="1" x14ac:dyDescent="0.25">
      <c r="A2461" s="49"/>
      <c r="B2461" s="49"/>
      <c r="C2461" s="49"/>
      <c r="D2461" s="50" t="str">
        <f t="shared" si="190"/>
        <v/>
      </c>
      <c r="E2461" s="50" t="str">
        <f t="shared" si="191"/>
        <v/>
      </c>
      <c r="F2461" s="50" t="str">
        <f t="shared" si="192"/>
        <v/>
      </c>
      <c r="G2461" s="50" t="str">
        <f t="shared" si="193"/>
        <v/>
      </c>
      <c r="H2461" s="51" t="str">
        <f>IF($C2461="","",IFERROR(DATE(G2461,VLOOKUP(E2461,Paramètres!$K$11:$L$40,2,FALSE()),F2461),"?"))</f>
        <v/>
      </c>
      <c r="I2461" s="50" t="str">
        <f>IF(ISNUMBER(H2461),IF(COUNTIFS($D$2:D2461,D2461,$H$2:H2461,H2461)=1,1,0),"")</f>
        <v/>
      </c>
      <c r="J2461" s="50" t="str">
        <f>IF(ISNUMBER(H2461),IFERROR(INDEX(Calendrier!$C$2:$C$367,MATCH(H2461,Calendrier!$A$2:$A$367,0)),0),"")</f>
        <v/>
      </c>
      <c r="K2461" s="50" t="str">
        <f t="shared" si="194"/>
        <v/>
      </c>
      <c r="L2461" s="50" t="str">
        <f>IF(D2461="","",IF(COUNTIF(Paramètres!$A$11:$A$40,D2461)&gt;0,1,0))</f>
        <v/>
      </c>
    </row>
    <row r="2462" spans="1:12" hidden="1" x14ac:dyDescent="0.25">
      <c r="A2462" s="49"/>
      <c r="B2462" s="49"/>
      <c r="C2462" s="49"/>
      <c r="D2462" s="50" t="str">
        <f t="shared" si="190"/>
        <v/>
      </c>
      <c r="E2462" s="50" t="str">
        <f t="shared" si="191"/>
        <v/>
      </c>
      <c r="F2462" s="50" t="str">
        <f t="shared" si="192"/>
        <v/>
      </c>
      <c r="G2462" s="50" t="str">
        <f t="shared" si="193"/>
        <v/>
      </c>
      <c r="H2462" s="51" t="str">
        <f>IF($C2462="","",IFERROR(DATE(G2462,VLOOKUP(E2462,Paramètres!$K$11:$L$40,2,FALSE()),F2462),"?"))</f>
        <v/>
      </c>
      <c r="I2462" s="50" t="str">
        <f>IF(ISNUMBER(H2462),IF(COUNTIFS($D$2:D2462,D2462,$H$2:H2462,H2462)=1,1,0),"")</f>
        <v/>
      </c>
      <c r="J2462" s="50" t="str">
        <f>IF(ISNUMBER(H2462),IFERROR(INDEX(Calendrier!$C$2:$C$367,MATCH(H2462,Calendrier!$A$2:$A$367,0)),0),"")</f>
        <v/>
      </c>
      <c r="K2462" s="50" t="str">
        <f t="shared" si="194"/>
        <v/>
      </c>
      <c r="L2462" s="50" t="str">
        <f>IF(D2462="","",IF(COUNTIF(Paramètres!$A$11:$A$40,D2462)&gt;0,1,0))</f>
        <v/>
      </c>
    </row>
    <row r="2463" spans="1:12" hidden="1" x14ac:dyDescent="0.25">
      <c r="A2463" s="49"/>
      <c r="B2463" s="49"/>
      <c r="C2463" s="49"/>
      <c r="D2463" s="50" t="str">
        <f t="shared" si="190"/>
        <v/>
      </c>
      <c r="E2463" s="50" t="str">
        <f t="shared" si="191"/>
        <v/>
      </c>
      <c r="F2463" s="50" t="str">
        <f t="shared" si="192"/>
        <v/>
      </c>
      <c r="G2463" s="50" t="str">
        <f t="shared" si="193"/>
        <v/>
      </c>
      <c r="H2463" s="51" t="str">
        <f>IF($C2463="","",IFERROR(DATE(G2463,VLOOKUP(E2463,Paramètres!$K$11:$L$40,2,FALSE()),F2463),"?"))</f>
        <v/>
      </c>
      <c r="I2463" s="50" t="str">
        <f>IF(ISNUMBER(H2463),IF(COUNTIFS($D$2:D2463,D2463,$H$2:H2463,H2463)=1,1,0),"")</f>
        <v/>
      </c>
      <c r="J2463" s="50" t="str">
        <f>IF(ISNUMBER(H2463),IFERROR(INDEX(Calendrier!$C$2:$C$367,MATCH(H2463,Calendrier!$A$2:$A$367,0)),0),"")</f>
        <v/>
      </c>
      <c r="K2463" s="50" t="str">
        <f t="shared" si="194"/>
        <v/>
      </c>
      <c r="L2463" s="50" t="str">
        <f>IF(D2463="","",IF(COUNTIF(Paramètres!$A$11:$A$40,D2463)&gt;0,1,0))</f>
        <v/>
      </c>
    </row>
    <row r="2464" spans="1:12" hidden="1" x14ac:dyDescent="0.25">
      <c r="A2464" s="49"/>
      <c r="B2464" s="49"/>
      <c r="C2464" s="49"/>
      <c r="D2464" s="50" t="str">
        <f t="shared" si="190"/>
        <v/>
      </c>
      <c r="E2464" s="50" t="str">
        <f t="shared" si="191"/>
        <v/>
      </c>
      <c r="F2464" s="50" t="str">
        <f t="shared" si="192"/>
        <v/>
      </c>
      <c r="G2464" s="50" t="str">
        <f t="shared" si="193"/>
        <v/>
      </c>
      <c r="H2464" s="51" t="str">
        <f>IF($C2464="","",IFERROR(DATE(G2464,VLOOKUP(E2464,Paramètres!$K$11:$L$40,2,FALSE()),F2464),"?"))</f>
        <v/>
      </c>
      <c r="I2464" s="50" t="str">
        <f>IF(ISNUMBER(H2464),IF(COUNTIFS($D$2:D2464,D2464,$H$2:H2464,H2464)=1,1,0),"")</f>
        <v/>
      </c>
      <c r="J2464" s="50" t="str">
        <f>IF(ISNUMBER(H2464),IFERROR(INDEX(Calendrier!$C$2:$C$367,MATCH(H2464,Calendrier!$A$2:$A$367,0)),0),"")</f>
        <v/>
      </c>
      <c r="K2464" s="50" t="str">
        <f t="shared" si="194"/>
        <v/>
      </c>
      <c r="L2464" s="50" t="str">
        <f>IF(D2464="","",IF(COUNTIF(Paramètres!$A$11:$A$40,D2464)&gt;0,1,0))</f>
        <v/>
      </c>
    </row>
    <row r="2465" spans="1:12" hidden="1" x14ac:dyDescent="0.25">
      <c r="A2465" s="49"/>
      <c r="B2465" s="49"/>
      <c r="C2465" s="49"/>
      <c r="D2465" s="50" t="str">
        <f t="shared" si="190"/>
        <v/>
      </c>
      <c r="E2465" s="50" t="str">
        <f t="shared" si="191"/>
        <v/>
      </c>
      <c r="F2465" s="50" t="str">
        <f t="shared" si="192"/>
        <v/>
      </c>
      <c r="G2465" s="50" t="str">
        <f t="shared" si="193"/>
        <v/>
      </c>
      <c r="H2465" s="51" t="str">
        <f>IF($C2465="","",IFERROR(DATE(G2465,VLOOKUP(E2465,Paramètres!$K$11:$L$40,2,FALSE()),F2465),"?"))</f>
        <v/>
      </c>
      <c r="I2465" s="50" t="str">
        <f>IF(ISNUMBER(H2465),IF(COUNTIFS($D$2:D2465,D2465,$H$2:H2465,H2465)=1,1,0),"")</f>
        <v/>
      </c>
      <c r="J2465" s="50" t="str">
        <f>IF(ISNUMBER(H2465),IFERROR(INDEX(Calendrier!$C$2:$C$367,MATCH(H2465,Calendrier!$A$2:$A$367,0)),0),"")</f>
        <v/>
      </c>
      <c r="K2465" s="50" t="str">
        <f t="shared" si="194"/>
        <v/>
      </c>
      <c r="L2465" s="50" t="str">
        <f>IF(D2465="","",IF(COUNTIF(Paramètres!$A$11:$A$40,D2465)&gt;0,1,0))</f>
        <v/>
      </c>
    </row>
    <row r="2466" spans="1:12" hidden="1" x14ac:dyDescent="0.25">
      <c r="A2466" s="49"/>
      <c r="B2466" s="49"/>
      <c r="C2466" s="49"/>
      <c r="D2466" s="50" t="str">
        <f t="shared" si="190"/>
        <v/>
      </c>
      <c r="E2466" s="50" t="str">
        <f t="shared" si="191"/>
        <v/>
      </c>
      <c r="F2466" s="50" t="str">
        <f t="shared" si="192"/>
        <v/>
      </c>
      <c r="G2466" s="50" t="str">
        <f t="shared" si="193"/>
        <v/>
      </c>
      <c r="H2466" s="51" t="str">
        <f>IF($C2466="","",IFERROR(DATE(G2466,VLOOKUP(E2466,Paramètres!$K$11:$L$40,2,FALSE()),F2466),"?"))</f>
        <v/>
      </c>
      <c r="I2466" s="50" t="str">
        <f>IF(ISNUMBER(H2466),IF(COUNTIFS($D$2:D2466,D2466,$H$2:H2466,H2466)=1,1,0),"")</f>
        <v/>
      </c>
      <c r="J2466" s="50" t="str">
        <f>IF(ISNUMBER(H2466),IFERROR(INDEX(Calendrier!$C$2:$C$367,MATCH(H2466,Calendrier!$A$2:$A$367,0)),0),"")</f>
        <v/>
      </c>
      <c r="K2466" s="50" t="str">
        <f t="shared" si="194"/>
        <v/>
      </c>
      <c r="L2466" s="50" t="str">
        <f>IF(D2466="","",IF(COUNTIF(Paramètres!$A$11:$A$40,D2466)&gt;0,1,0))</f>
        <v/>
      </c>
    </row>
    <row r="2467" spans="1:12" hidden="1" x14ac:dyDescent="0.25">
      <c r="A2467" s="49"/>
      <c r="B2467" s="49"/>
      <c r="C2467" s="49"/>
      <c r="D2467" s="50" t="str">
        <f t="shared" si="190"/>
        <v/>
      </c>
      <c r="E2467" s="50" t="str">
        <f t="shared" si="191"/>
        <v/>
      </c>
      <c r="F2467" s="50" t="str">
        <f t="shared" si="192"/>
        <v/>
      </c>
      <c r="G2467" s="50" t="str">
        <f t="shared" si="193"/>
        <v/>
      </c>
      <c r="H2467" s="51" t="str">
        <f>IF($C2467="","",IFERROR(DATE(G2467,VLOOKUP(E2467,Paramètres!$K$11:$L$40,2,FALSE()),F2467),"?"))</f>
        <v/>
      </c>
      <c r="I2467" s="50" t="str">
        <f>IF(ISNUMBER(H2467),IF(COUNTIFS($D$2:D2467,D2467,$H$2:H2467,H2467)=1,1,0),"")</f>
        <v/>
      </c>
      <c r="J2467" s="50" t="str">
        <f>IF(ISNUMBER(H2467),IFERROR(INDEX(Calendrier!$C$2:$C$367,MATCH(H2467,Calendrier!$A$2:$A$367,0)),0),"")</f>
        <v/>
      </c>
      <c r="K2467" s="50" t="str">
        <f t="shared" si="194"/>
        <v/>
      </c>
      <c r="L2467" s="50" t="str">
        <f>IF(D2467="","",IF(COUNTIF(Paramètres!$A$11:$A$40,D2467)&gt;0,1,0))</f>
        <v/>
      </c>
    </row>
    <row r="2468" spans="1:12" hidden="1" x14ac:dyDescent="0.25">
      <c r="A2468" s="49"/>
      <c r="B2468" s="49"/>
      <c r="C2468" s="49"/>
      <c r="D2468" s="50" t="str">
        <f t="shared" si="190"/>
        <v/>
      </c>
      <c r="E2468" s="50" t="str">
        <f t="shared" si="191"/>
        <v/>
      </c>
      <c r="F2468" s="50" t="str">
        <f t="shared" si="192"/>
        <v/>
      </c>
      <c r="G2468" s="50" t="str">
        <f t="shared" si="193"/>
        <v/>
      </c>
      <c r="H2468" s="51" t="str">
        <f>IF($C2468="","",IFERROR(DATE(G2468,VLOOKUP(E2468,Paramètres!$K$11:$L$40,2,FALSE()),F2468),"?"))</f>
        <v/>
      </c>
      <c r="I2468" s="50" t="str">
        <f>IF(ISNUMBER(H2468),IF(COUNTIFS($D$2:D2468,D2468,$H$2:H2468,H2468)=1,1,0),"")</f>
        <v/>
      </c>
      <c r="J2468" s="50" t="str">
        <f>IF(ISNUMBER(H2468),IFERROR(INDEX(Calendrier!$C$2:$C$367,MATCH(H2468,Calendrier!$A$2:$A$367,0)),0),"")</f>
        <v/>
      </c>
      <c r="K2468" s="50" t="str">
        <f t="shared" si="194"/>
        <v/>
      </c>
      <c r="L2468" s="50" t="str">
        <f>IF(D2468="","",IF(COUNTIF(Paramètres!$A$11:$A$40,D2468)&gt;0,1,0))</f>
        <v/>
      </c>
    </row>
    <row r="2469" spans="1:12" hidden="1" x14ac:dyDescent="0.25">
      <c r="A2469" s="49"/>
      <c r="B2469" s="49"/>
      <c r="C2469" s="49"/>
      <c r="D2469" s="50" t="str">
        <f t="shared" si="190"/>
        <v/>
      </c>
      <c r="E2469" s="50" t="str">
        <f t="shared" si="191"/>
        <v/>
      </c>
      <c r="F2469" s="50" t="str">
        <f t="shared" si="192"/>
        <v/>
      </c>
      <c r="G2469" s="50" t="str">
        <f t="shared" si="193"/>
        <v/>
      </c>
      <c r="H2469" s="51" t="str">
        <f>IF($C2469="","",IFERROR(DATE(G2469,VLOOKUP(E2469,Paramètres!$K$11:$L$40,2,FALSE()),F2469),"?"))</f>
        <v/>
      </c>
      <c r="I2469" s="50" t="str">
        <f>IF(ISNUMBER(H2469),IF(COUNTIFS($D$2:D2469,D2469,$H$2:H2469,H2469)=1,1,0),"")</f>
        <v/>
      </c>
      <c r="J2469" s="50" t="str">
        <f>IF(ISNUMBER(H2469),IFERROR(INDEX(Calendrier!$C$2:$C$367,MATCH(H2469,Calendrier!$A$2:$A$367,0)),0),"")</f>
        <v/>
      </c>
      <c r="K2469" s="50" t="str">
        <f t="shared" si="194"/>
        <v/>
      </c>
      <c r="L2469" s="50" t="str">
        <f>IF(D2469="","",IF(COUNTIF(Paramètres!$A$11:$A$40,D2469)&gt;0,1,0))</f>
        <v/>
      </c>
    </row>
    <row r="2470" spans="1:12" hidden="1" x14ac:dyDescent="0.25">
      <c r="A2470" s="49"/>
      <c r="B2470" s="49"/>
      <c r="C2470" s="49"/>
      <c r="D2470" s="50" t="str">
        <f t="shared" si="190"/>
        <v/>
      </c>
      <c r="E2470" s="50" t="str">
        <f t="shared" si="191"/>
        <v/>
      </c>
      <c r="F2470" s="50" t="str">
        <f t="shared" si="192"/>
        <v/>
      </c>
      <c r="G2470" s="50" t="str">
        <f t="shared" si="193"/>
        <v/>
      </c>
      <c r="H2470" s="51" t="str">
        <f>IF($C2470="","",IFERROR(DATE(G2470,VLOOKUP(E2470,Paramètres!$K$11:$L$40,2,FALSE()),F2470),"?"))</f>
        <v/>
      </c>
      <c r="I2470" s="50" t="str">
        <f>IF(ISNUMBER(H2470),IF(COUNTIFS($D$2:D2470,D2470,$H$2:H2470,H2470)=1,1,0),"")</f>
        <v/>
      </c>
      <c r="J2470" s="50" t="str">
        <f>IF(ISNUMBER(H2470),IFERROR(INDEX(Calendrier!$C$2:$C$367,MATCH(H2470,Calendrier!$A$2:$A$367,0)),0),"")</f>
        <v/>
      </c>
      <c r="K2470" s="50" t="str">
        <f t="shared" si="194"/>
        <v/>
      </c>
      <c r="L2470" s="50" t="str">
        <f>IF(D2470="","",IF(COUNTIF(Paramètres!$A$11:$A$40,D2470)&gt;0,1,0))</f>
        <v/>
      </c>
    </row>
    <row r="2471" spans="1:12" hidden="1" x14ac:dyDescent="0.25">
      <c r="A2471" s="49"/>
      <c r="B2471" s="49"/>
      <c r="C2471" s="49"/>
      <c r="D2471" s="50" t="str">
        <f t="shared" si="190"/>
        <v/>
      </c>
      <c r="E2471" s="50" t="str">
        <f t="shared" si="191"/>
        <v/>
      </c>
      <c r="F2471" s="50" t="str">
        <f t="shared" si="192"/>
        <v/>
      </c>
      <c r="G2471" s="50" t="str">
        <f t="shared" si="193"/>
        <v/>
      </c>
      <c r="H2471" s="51" t="str">
        <f>IF($C2471="","",IFERROR(DATE(G2471,VLOOKUP(E2471,Paramètres!$K$11:$L$40,2,FALSE()),F2471),"?"))</f>
        <v/>
      </c>
      <c r="I2471" s="50" t="str">
        <f>IF(ISNUMBER(H2471),IF(COUNTIFS($D$2:D2471,D2471,$H$2:H2471,H2471)=1,1,0),"")</f>
        <v/>
      </c>
      <c r="J2471" s="50" t="str">
        <f>IF(ISNUMBER(H2471),IFERROR(INDEX(Calendrier!$C$2:$C$367,MATCH(H2471,Calendrier!$A$2:$A$367,0)),0),"")</f>
        <v/>
      </c>
      <c r="K2471" s="50" t="str">
        <f t="shared" si="194"/>
        <v/>
      </c>
      <c r="L2471" s="50" t="str">
        <f>IF(D2471="","",IF(COUNTIF(Paramètres!$A$11:$A$40,D2471)&gt;0,1,0))</f>
        <v/>
      </c>
    </row>
    <row r="2472" spans="1:12" hidden="1" x14ac:dyDescent="0.25">
      <c r="A2472" s="49"/>
      <c r="B2472" s="49"/>
      <c r="C2472" s="49"/>
      <c r="D2472" s="50" t="str">
        <f t="shared" si="190"/>
        <v/>
      </c>
      <c r="E2472" s="50" t="str">
        <f t="shared" si="191"/>
        <v/>
      </c>
      <c r="F2472" s="50" t="str">
        <f t="shared" si="192"/>
        <v/>
      </c>
      <c r="G2472" s="50" t="str">
        <f t="shared" si="193"/>
        <v/>
      </c>
      <c r="H2472" s="51" t="str">
        <f>IF($C2472="","",IFERROR(DATE(G2472,VLOOKUP(E2472,Paramètres!$K$11:$L$40,2,FALSE()),F2472),"?"))</f>
        <v/>
      </c>
      <c r="I2472" s="50" t="str">
        <f>IF(ISNUMBER(H2472),IF(COUNTIFS($D$2:D2472,D2472,$H$2:H2472,H2472)=1,1,0),"")</f>
        <v/>
      </c>
      <c r="J2472" s="50" t="str">
        <f>IF(ISNUMBER(H2472),IFERROR(INDEX(Calendrier!$C$2:$C$367,MATCH(H2472,Calendrier!$A$2:$A$367,0)),0),"")</f>
        <v/>
      </c>
      <c r="K2472" s="50" t="str">
        <f t="shared" si="194"/>
        <v/>
      </c>
      <c r="L2472" s="50" t="str">
        <f>IF(D2472="","",IF(COUNTIF(Paramètres!$A$11:$A$40,D2472)&gt;0,1,0))</f>
        <v/>
      </c>
    </row>
    <row r="2473" spans="1:12" hidden="1" x14ac:dyDescent="0.25">
      <c r="A2473" s="49"/>
      <c r="B2473" s="49"/>
      <c r="C2473" s="49"/>
      <c r="D2473" s="50" t="str">
        <f t="shared" si="190"/>
        <v/>
      </c>
      <c r="E2473" s="50" t="str">
        <f t="shared" si="191"/>
        <v/>
      </c>
      <c r="F2473" s="50" t="str">
        <f t="shared" si="192"/>
        <v/>
      </c>
      <c r="G2473" s="50" t="str">
        <f t="shared" si="193"/>
        <v/>
      </c>
      <c r="H2473" s="51" t="str">
        <f>IF($C2473="","",IFERROR(DATE(G2473,VLOOKUP(E2473,Paramètres!$K$11:$L$40,2,FALSE()),F2473),"?"))</f>
        <v/>
      </c>
      <c r="I2473" s="50" t="str">
        <f>IF(ISNUMBER(H2473),IF(COUNTIFS($D$2:D2473,D2473,$H$2:H2473,H2473)=1,1,0),"")</f>
        <v/>
      </c>
      <c r="J2473" s="50" t="str">
        <f>IF(ISNUMBER(H2473),IFERROR(INDEX(Calendrier!$C$2:$C$367,MATCH(H2473,Calendrier!$A$2:$A$367,0)),0),"")</f>
        <v/>
      </c>
      <c r="K2473" s="50" t="str">
        <f t="shared" si="194"/>
        <v/>
      </c>
      <c r="L2473" s="50" t="str">
        <f>IF(D2473="","",IF(COUNTIF(Paramètres!$A$11:$A$40,D2473)&gt;0,1,0))</f>
        <v/>
      </c>
    </row>
    <row r="2474" spans="1:12" hidden="1" x14ac:dyDescent="0.25">
      <c r="A2474" s="49"/>
      <c r="B2474" s="49"/>
      <c r="C2474" s="49"/>
      <c r="D2474" s="50" t="str">
        <f t="shared" si="190"/>
        <v/>
      </c>
      <c r="E2474" s="50" t="str">
        <f t="shared" si="191"/>
        <v/>
      </c>
      <c r="F2474" s="50" t="str">
        <f t="shared" si="192"/>
        <v/>
      </c>
      <c r="G2474" s="50" t="str">
        <f t="shared" si="193"/>
        <v/>
      </c>
      <c r="H2474" s="51" t="str">
        <f>IF($C2474="","",IFERROR(DATE(G2474,VLOOKUP(E2474,Paramètres!$K$11:$L$40,2,FALSE()),F2474),"?"))</f>
        <v/>
      </c>
      <c r="I2474" s="50" t="str">
        <f>IF(ISNUMBER(H2474),IF(COUNTIFS($D$2:D2474,D2474,$H$2:H2474,H2474)=1,1,0),"")</f>
        <v/>
      </c>
      <c r="J2474" s="50" t="str">
        <f>IF(ISNUMBER(H2474),IFERROR(INDEX(Calendrier!$C$2:$C$367,MATCH(H2474,Calendrier!$A$2:$A$367,0)),0),"")</f>
        <v/>
      </c>
      <c r="K2474" s="50" t="str">
        <f t="shared" si="194"/>
        <v/>
      </c>
      <c r="L2474" s="50" t="str">
        <f>IF(D2474="","",IF(COUNTIF(Paramètres!$A$11:$A$40,D2474)&gt;0,1,0))</f>
        <v/>
      </c>
    </row>
    <row r="2475" spans="1:12" hidden="1" x14ac:dyDescent="0.25">
      <c r="A2475" s="49"/>
      <c r="B2475" s="49"/>
      <c r="C2475" s="49"/>
      <c r="D2475" s="50" t="str">
        <f t="shared" si="190"/>
        <v/>
      </c>
      <c r="E2475" s="50" t="str">
        <f t="shared" si="191"/>
        <v/>
      </c>
      <c r="F2475" s="50" t="str">
        <f t="shared" si="192"/>
        <v/>
      </c>
      <c r="G2475" s="50" t="str">
        <f t="shared" si="193"/>
        <v/>
      </c>
      <c r="H2475" s="51" t="str">
        <f>IF($C2475="","",IFERROR(DATE(G2475,VLOOKUP(E2475,Paramètres!$K$11:$L$40,2,FALSE()),F2475),"?"))</f>
        <v/>
      </c>
      <c r="I2475" s="50" t="str">
        <f>IF(ISNUMBER(H2475),IF(COUNTIFS($D$2:D2475,D2475,$H$2:H2475,H2475)=1,1,0),"")</f>
        <v/>
      </c>
      <c r="J2475" s="50" t="str">
        <f>IF(ISNUMBER(H2475),IFERROR(INDEX(Calendrier!$C$2:$C$367,MATCH(H2475,Calendrier!$A$2:$A$367,0)),0),"")</f>
        <v/>
      </c>
      <c r="K2475" s="50" t="str">
        <f t="shared" si="194"/>
        <v/>
      </c>
      <c r="L2475" s="50" t="str">
        <f>IF(D2475="","",IF(COUNTIF(Paramètres!$A$11:$A$40,D2475)&gt;0,1,0))</f>
        <v/>
      </c>
    </row>
    <row r="2476" spans="1:12" hidden="1" x14ac:dyDescent="0.25">
      <c r="A2476" s="49"/>
      <c r="B2476" s="49"/>
      <c r="C2476" s="49"/>
      <c r="D2476" s="50" t="str">
        <f t="shared" si="190"/>
        <v/>
      </c>
      <c r="E2476" s="50" t="str">
        <f t="shared" si="191"/>
        <v/>
      </c>
      <c r="F2476" s="50" t="str">
        <f t="shared" si="192"/>
        <v/>
      </c>
      <c r="G2476" s="50" t="str">
        <f t="shared" si="193"/>
        <v/>
      </c>
      <c r="H2476" s="51" t="str">
        <f>IF($C2476="","",IFERROR(DATE(G2476,VLOOKUP(E2476,Paramètres!$K$11:$L$40,2,FALSE()),F2476),"?"))</f>
        <v/>
      </c>
      <c r="I2476" s="50" t="str">
        <f>IF(ISNUMBER(H2476),IF(COUNTIFS($D$2:D2476,D2476,$H$2:H2476,H2476)=1,1,0),"")</f>
        <v/>
      </c>
      <c r="J2476" s="50" t="str">
        <f>IF(ISNUMBER(H2476),IFERROR(INDEX(Calendrier!$C$2:$C$367,MATCH(H2476,Calendrier!$A$2:$A$367,0)),0),"")</f>
        <v/>
      </c>
      <c r="K2476" s="50" t="str">
        <f t="shared" si="194"/>
        <v/>
      </c>
      <c r="L2476" s="50" t="str">
        <f>IF(D2476="","",IF(COUNTIF(Paramètres!$A$11:$A$40,D2476)&gt;0,1,0))</f>
        <v/>
      </c>
    </row>
    <row r="2477" spans="1:12" hidden="1" x14ac:dyDescent="0.25">
      <c r="A2477" s="49"/>
      <c r="B2477" s="49"/>
      <c r="C2477" s="49"/>
      <c r="D2477" s="50" t="str">
        <f t="shared" si="190"/>
        <v/>
      </c>
      <c r="E2477" s="50" t="str">
        <f t="shared" si="191"/>
        <v/>
      </c>
      <c r="F2477" s="50" t="str">
        <f t="shared" si="192"/>
        <v/>
      </c>
      <c r="G2477" s="50" t="str">
        <f t="shared" si="193"/>
        <v/>
      </c>
      <c r="H2477" s="51" t="str">
        <f>IF($C2477="","",IFERROR(DATE(G2477,VLOOKUP(E2477,Paramètres!$K$11:$L$40,2,FALSE()),F2477),"?"))</f>
        <v/>
      </c>
      <c r="I2477" s="50" t="str">
        <f>IF(ISNUMBER(H2477),IF(COUNTIFS($D$2:D2477,D2477,$H$2:H2477,H2477)=1,1,0),"")</f>
        <v/>
      </c>
      <c r="J2477" s="50" t="str">
        <f>IF(ISNUMBER(H2477),IFERROR(INDEX(Calendrier!$C$2:$C$367,MATCH(H2477,Calendrier!$A$2:$A$367,0)),0),"")</f>
        <v/>
      </c>
      <c r="K2477" s="50" t="str">
        <f t="shared" si="194"/>
        <v/>
      </c>
      <c r="L2477" s="50" t="str">
        <f>IF(D2477="","",IF(COUNTIF(Paramètres!$A$11:$A$40,D2477)&gt;0,1,0))</f>
        <v/>
      </c>
    </row>
    <row r="2478" spans="1:12" hidden="1" x14ac:dyDescent="0.25">
      <c r="A2478" s="49"/>
      <c r="B2478" s="49"/>
      <c r="C2478" s="49"/>
      <c r="D2478" s="50" t="str">
        <f t="shared" si="190"/>
        <v/>
      </c>
      <c r="E2478" s="50" t="str">
        <f t="shared" si="191"/>
        <v/>
      </c>
      <c r="F2478" s="50" t="str">
        <f t="shared" si="192"/>
        <v/>
      </c>
      <c r="G2478" s="50" t="str">
        <f t="shared" si="193"/>
        <v/>
      </c>
      <c r="H2478" s="51" t="str">
        <f>IF($C2478="","",IFERROR(DATE(G2478,VLOOKUP(E2478,Paramètres!$K$11:$L$40,2,FALSE()),F2478),"?"))</f>
        <v/>
      </c>
      <c r="I2478" s="50" t="str">
        <f>IF(ISNUMBER(H2478),IF(COUNTIFS($D$2:D2478,D2478,$H$2:H2478,H2478)=1,1,0),"")</f>
        <v/>
      </c>
      <c r="J2478" s="50" t="str">
        <f>IF(ISNUMBER(H2478),IFERROR(INDEX(Calendrier!$C$2:$C$367,MATCH(H2478,Calendrier!$A$2:$A$367,0)),0),"")</f>
        <v/>
      </c>
      <c r="K2478" s="50" t="str">
        <f t="shared" si="194"/>
        <v/>
      </c>
      <c r="L2478" s="50" t="str">
        <f>IF(D2478="","",IF(COUNTIF(Paramètres!$A$11:$A$40,D2478)&gt;0,1,0))</f>
        <v/>
      </c>
    </row>
    <row r="2479" spans="1:12" hidden="1" x14ac:dyDescent="0.25">
      <c r="A2479" s="49"/>
      <c r="B2479" s="49"/>
      <c r="C2479" s="49"/>
      <c r="D2479" s="50" t="str">
        <f t="shared" si="190"/>
        <v/>
      </c>
      <c r="E2479" s="50" t="str">
        <f t="shared" si="191"/>
        <v/>
      </c>
      <c r="F2479" s="50" t="str">
        <f t="shared" si="192"/>
        <v/>
      </c>
      <c r="G2479" s="50" t="str">
        <f t="shared" si="193"/>
        <v/>
      </c>
      <c r="H2479" s="51" t="str">
        <f>IF($C2479="","",IFERROR(DATE(G2479,VLOOKUP(E2479,Paramètres!$K$11:$L$40,2,FALSE()),F2479),"?"))</f>
        <v/>
      </c>
      <c r="I2479" s="50" t="str">
        <f>IF(ISNUMBER(H2479),IF(COUNTIFS($D$2:D2479,D2479,$H$2:H2479,H2479)=1,1,0),"")</f>
        <v/>
      </c>
      <c r="J2479" s="50" t="str">
        <f>IF(ISNUMBER(H2479),IFERROR(INDEX(Calendrier!$C$2:$C$367,MATCH(H2479,Calendrier!$A$2:$A$367,0)),0),"")</f>
        <v/>
      </c>
      <c r="K2479" s="50" t="str">
        <f t="shared" si="194"/>
        <v/>
      </c>
      <c r="L2479" s="50" t="str">
        <f>IF(D2479="","",IF(COUNTIF(Paramètres!$A$11:$A$40,D2479)&gt;0,1,0))</f>
        <v/>
      </c>
    </row>
    <row r="2480" spans="1:12" hidden="1" x14ac:dyDescent="0.25">
      <c r="A2480" s="49"/>
      <c r="B2480" s="49"/>
      <c r="C2480" s="49"/>
      <c r="D2480" s="50" t="str">
        <f t="shared" si="190"/>
        <v/>
      </c>
      <c r="E2480" s="50" t="str">
        <f t="shared" si="191"/>
        <v/>
      </c>
      <c r="F2480" s="50" t="str">
        <f t="shared" si="192"/>
        <v/>
      </c>
      <c r="G2480" s="50" t="str">
        <f t="shared" si="193"/>
        <v/>
      </c>
      <c r="H2480" s="51" t="str">
        <f>IF($C2480="","",IFERROR(DATE(G2480,VLOOKUP(E2480,Paramètres!$K$11:$L$40,2,FALSE()),F2480),"?"))</f>
        <v/>
      </c>
      <c r="I2480" s="50" t="str">
        <f>IF(ISNUMBER(H2480),IF(COUNTIFS($D$2:D2480,D2480,$H$2:H2480,H2480)=1,1,0),"")</f>
        <v/>
      </c>
      <c r="J2480" s="50" t="str">
        <f>IF(ISNUMBER(H2480),IFERROR(INDEX(Calendrier!$C$2:$C$367,MATCH(H2480,Calendrier!$A$2:$A$367,0)),0),"")</f>
        <v/>
      </c>
      <c r="K2480" s="50" t="str">
        <f t="shared" si="194"/>
        <v/>
      </c>
      <c r="L2480" s="50" t="str">
        <f>IF(D2480="","",IF(COUNTIF(Paramètres!$A$11:$A$40,D2480)&gt;0,1,0))</f>
        <v/>
      </c>
    </row>
    <row r="2481" spans="1:12" hidden="1" x14ac:dyDescent="0.25">
      <c r="A2481" s="49"/>
      <c r="B2481" s="49"/>
      <c r="C2481" s="49"/>
      <c r="D2481" s="50" t="str">
        <f t="shared" si="190"/>
        <v/>
      </c>
      <c r="E2481" s="50" t="str">
        <f t="shared" si="191"/>
        <v/>
      </c>
      <c r="F2481" s="50" t="str">
        <f t="shared" si="192"/>
        <v/>
      </c>
      <c r="G2481" s="50" t="str">
        <f t="shared" si="193"/>
        <v/>
      </c>
      <c r="H2481" s="51" t="str">
        <f>IF($C2481="","",IFERROR(DATE(G2481,VLOOKUP(E2481,Paramètres!$K$11:$L$40,2,FALSE()),F2481),"?"))</f>
        <v/>
      </c>
      <c r="I2481" s="50" t="str">
        <f>IF(ISNUMBER(H2481),IF(COUNTIFS($D$2:D2481,D2481,$H$2:H2481,H2481)=1,1,0),"")</f>
        <v/>
      </c>
      <c r="J2481" s="50" t="str">
        <f>IF(ISNUMBER(H2481),IFERROR(INDEX(Calendrier!$C$2:$C$367,MATCH(H2481,Calendrier!$A$2:$A$367,0)),0),"")</f>
        <v/>
      </c>
      <c r="K2481" s="50" t="str">
        <f t="shared" si="194"/>
        <v/>
      </c>
      <c r="L2481" s="50" t="str">
        <f>IF(D2481="","",IF(COUNTIF(Paramètres!$A$11:$A$40,D2481)&gt;0,1,0))</f>
        <v/>
      </c>
    </row>
    <row r="2482" spans="1:12" hidden="1" x14ac:dyDescent="0.25">
      <c r="A2482" s="49"/>
      <c r="B2482" s="49"/>
      <c r="C2482" s="49"/>
      <c r="D2482" s="50" t="str">
        <f t="shared" si="190"/>
        <v/>
      </c>
      <c r="E2482" s="50" t="str">
        <f t="shared" si="191"/>
        <v/>
      </c>
      <c r="F2482" s="50" t="str">
        <f t="shared" si="192"/>
        <v/>
      </c>
      <c r="G2482" s="50" t="str">
        <f t="shared" si="193"/>
        <v/>
      </c>
      <c r="H2482" s="51" t="str">
        <f>IF($C2482="","",IFERROR(DATE(G2482,VLOOKUP(E2482,Paramètres!$K$11:$L$40,2,FALSE()),F2482),"?"))</f>
        <v/>
      </c>
      <c r="I2482" s="50" t="str">
        <f>IF(ISNUMBER(H2482),IF(COUNTIFS($D$2:D2482,D2482,$H$2:H2482,H2482)=1,1,0),"")</f>
        <v/>
      </c>
      <c r="J2482" s="50" t="str">
        <f>IF(ISNUMBER(H2482),IFERROR(INDEX(Calendrier!$C$2:$C$367,MATCH(H2482,Calendrier!$A$2:$A$367,0)),0),"")</f>
        <v/>
      </c>
      <c r="K2482" s="50" t="str">
        <f t="shared" si="194"/>
        <v/>
      </c>
      <c r="L2482" s="50" t="str">
        <f>IF(D2482="","",IF(COUNTIF(Paramètres!$A$11:$A$40,D2482)&gt;0,1,0))</f>
        <v/>
      </c>
    </row>
    <row r="2483" spans="1:12" hidden="1" x14ac:dyDescent="0.25">
      <c r="A2483" s="49"/>
      <c r="B2483" s="49"/>
      <c r="C2483" s="49"/>
      <c r="D2483" s="50" t="str">
        <f t="shared" si="190"/>
        <v/>
      </c>
      <c r="E2483" s="50" t="str">
        <f t="shared" si="191"/>
        <v/>
      </c>
      <c r="F2483" s="50" t="str">
        <f t="shared" si="192"/>
        <v/>
      </c>
      <c r="G2483" s="50" t="str">
        <f t="shared" si="193"/>
        <v/>
      </c>
      <c r="H2483" s="51" t="str">
        <f>IF($C2483="","",IFERROR(DATE(G2483,VLOOKUP(E2483,Paramètres!$K$11:$L$40,2,FALSE()),F2483),"?"))</f>
        <v/>
      </c>
      <c r="I2483" s="50" t="str">
        <f>IF(ISNUMBER(H2483),IF(COUNTIFS($D$2:D2483,D2483,$H$2:H2483,H2483)=1,1,0),"")</f>
        <v/>
      </c>
      <c r="J2483" s="50" t="str">
        <f>IF(ISNUMBER(H2483),IFERROR(INDEX(Calendrier!$C$2:$C$367,MATCH(H2483,Calendrier!$A$2:$A$367,0)),0),"")</f>
        <v/>
      </c>
      <c r="K2483" s="50" t="str">
        <f t="shared" si="194"/>
        <v/>
      </c>
      <c r="L2483" s="50" t="str">
        <f>IF(D2483="","",IF(COUNTIF(Paramètres!$A$11:$A$40,D2483)&gt;0,1,0))</f>
        <v/>
      </c>
    </row>
    <row r="2484" spans="1:12" hidden="1" x14ac:dyDescent="0.25">
      <c r="A2484" s="49"/>
      <c r="B2484" s="49"/>
      <c r="C2484" s="49"/>
      <c r="D2484" s="50" t="str">
        <f t="shared" si="190"/>
        <v/>
      </c>
      <c r="E2484" s="50" t="str">
        <f t="shared" si="191"/>
        <v/>
      </c>
      <c r="F2484" s="50" t="str">
        <f t="shared" si="192"/>
        <v/>
      </c>
      <c r="G2484" s="50" t="str">
        <f t="shared" si="193"/>
        <v/>
      </c>
      <c r="H2484" s="51" t="str">
        <f>IF($C2484="","",IFERROR(DATE(G2484,VLOOKUP(E2484,Paramètres!$K$11:$L$40,2,FALSE()),F2484),"?"))</f>
        <v/>
      </c>
      <c r="I2484" s="50" t="str">
        <f>IF(ISNUMBER(H2484),IF(COUNTIFS($D$2:D2484,D2484,$H$2:H2484,H2484)=1,1,0),"")</f>
        <v/>
      </c>
      <c r="J2484" s="50" t="str">
        <f>IF(ISNUMBER(H2484),IFERROR(INDEX(Calendrier!$C$2:$C$367,MATCH(H2484,Calendrier!$A$2:$A$367,0)),0),"")</f>
        <v/>
      </c>
      <c r="K2484" s="50" t="str">
        <f t="shared" si="194"/>
        <v/>
      </c>
      <c r="L2484" s="50" t="str">
        <f>IF(D2484="","",IF(COUNTIF(Paramètres!$A$11:$A$40,D2484)&gt;0,1,0))</f>
        <v/>
      </c>
    </row>
    <row r="2485" spans="1:12" hidden="1" x14ac:dyDescent="0.25">
      <c r="A2485" s="49"/>
      <c r="B2485" s="49"/>
      <c r="C2485" s="49"/>
      <c r="D2485" s="50" t="str">
        <f t="shared" si="190"/>
        <v/>
      </c>
      <c r="E2485" s="50" t="str">
        <f t="shared" si="191"/>
        <v/>
      </c>
      <c r="F2485" s="50" t="str">
        <f t="shared" si="192"/>
        <v/>
      </c>
      <c r="G2485" s="50" t="str">
        <f t="shared" si="193"/>
        <v/>
      </c>
      <c r="H2485" s="51" t="str">
        <f>IF($C2485="","",IFERROR(DATE(G2485,VLOOKUP(E2485,Paramètres!$K$11:$L$40,2,FALSE()),F2485),"?"))</f>
        <v/>
      </c>
      <c r="I2485" s="50" t="str">
        <f>IF(ISNUMBER(H2485),IF(COUNTIFS($D$2:D2485,D2485,$H$2:H2485,H2485)=1,1,0),"")</f>
        <v/>
      </c>
      <c r="J2485" s="50" t="str">
        <f>IF(ISNUMBER(H2485),IFERROR(INDEX(Calendrier!$C$2:$C$367,MATCH(H2485,Calendrier!$A$2:$A$367,0)),0),"")</f>
        <v/>
      </c>
      <c r="K2485" s="50" t="str">
        <f t="shared" si="194"/>
        <v/>
      </c>
      <c r="L2485" s="50" t="str">
        <f>IF(D2485="","",IF(COUNTIF(Paramètres!$A$11:$A$40,D2485)&gt;0,1,0))</f>
        <v/>
      </c>
    </row>
    <row r="2486" spans="1:12" hidden="1" x14ac:dyDescent="0.25">
      <c r="A2486" s="49"/>
      <c r="B2486" s="49"/>
      <c r="C2486" s="49"/>
      <c r="D2486" s="50" t="str">
        <f t="shared" si="190"/>
        <v/>
      </c>
      <c r="E2486" s="50" t="str">
        <f t="shared" si="191"/>
        <v/>
      </c>
      <c r="F2486" s="50" t="str">
        <f t="shared" si="192"/>
        <v/>
      </c>
      <c r="G2486" s="50" t="str">
        <f t="shared" si="193"/>
        <v/>
      </c>
      <c r="H2486" s="51" t="str">
        <f>IF($C2486="","",IFERROR(DATE(G2486,VLOOKUP(E2486,Paramètres!$K$11:$L$40,2,FALSE()),F2486),"?"))</f>
        <v/>
      </c>
      <c r="I2486" s="50" t="str">
        <f>IF(ISNUMBER(H2486),IF(COUNTIFS($D$2:D2486,D2486,$H$2:H2486,H2486)=1,1,0),"")</f>
        <v/>
      </c>
      <c r="J2486" s="50" t="str">
        <f>IF(ISNUMBER(H2486),IFERROR(INDEX(Calendrier!$C$2:$C$367,MATCH(H2486,Calendrier!$A$2:$A$367,0)),0),"")</f>
        <v/>
      </c>
      <c r="K2486" s="50" t="str">
        <f t="shared" si="194"/>
        <v/>
      </c>
      <c r="L2486" s="50" t="str">
        <f>IF(D2486="","",IF(COUNTIF(Paramètres!$A$11:$A$40,D2486)&gt;0,1,0))</f>
        <v/>
      </c>
    </row>
    <row r="2487" spans="1:12" hidden="1" x14ac:dyDescent="0.25">
      <c r="A2487" s="49"/>
      <c r="B2487" s="49"/>
      <c r="C2487" s="49"/>
      <c r="D2487" s="50" t="str">
        <f t="shared" si="190"/>
        <v/>
      </c>
      <c r="E2487" s="50" t="str">
        <f t="shared" si="191"/>
        <v/>
      </c>
      <c r="F2487" s="50" t="str">
        <f t="shared" si="192"/>
        <v/>
      </c>
      <c r="G2487" s="50" t="str">
        <f t="shared" si="193"/>
        <v/>
      </c>
      <c r="H2487" s="51" t="str">
        <f>IF($C2487="","",IFERROR(DATE(G2487,VLOOKUP(E2487,Paramètres!$K$11:$L$40,2,FALSE()),F2487),"?"))</f>
        <v/>
      </c>
      <c r="I2487" s="50" t="str">
        <f>IF(ISNUMBER(H2487),IF(COUNTIFS($D$2:D2487,D2487,$H$2:H2487,H2487)=1,1,0),"")</f>
        <v/>
      </c>
      <c r="J2487" s="50" t="str">
        <f>IF(ISNUMBER(H2487),IFERROR(INDEX(Calendrier!$C$2:$C$367,MATCH(H2487,Calendrier!$A$2:$A$367,0)),0),"")</f>
        <v/>
      </c>
      <c r="K2487" s="50" t="str">
        <f t="shared" si="194"/>
        <v/>
      </c>
      <c r="L2487" s="50" t="str">
        <f>IF(D2487="","",IF(COUNTIF(Paramètres!$A$11:$A$40,D2487)&gt;0,1,0))</f>
        <v/>
      </c>
    </row>
    <row r="2488" spans="1:12" hidden="1" x14ac:dyDescent="0.25">
      <c r="A2488" s="49"/>
      <c r="B2488" s="49"/>
      <c r="C2488" s="49"/>
      <c r="D2488" s="50" t="str">
        <f t="shared" si="190"/>
        <v/>
      </c>
      <c r="E2488" s="50" t="str">
        <f t="shared" si="191"/>
        <v/>
      </c>
      <c r="F2488" s="50" t="str">
        <f t="shared" si="192"/>
        <v/>
      </c>
      <c r="G2488" s="50" t="str">
        <f t="shared" si="193"/>
        <v/>
      </c>
      <c r="H2488" s="51" t="str">
        <f>IF($C2488="","",IFERROR(DATE(G2488,VLOOKUP(E2488,Paramètres!$K$11:$L$40,2,FALSE()),F2488),"?"))</f>
        <v/>
      </c>
      <c r="I2488" s="50" t="str">
        <f>IF(ISNUMBER(H2488),IF(COUNTIFS($D$2:D2488,D2488,$H$2:H2488,H2488)=1,1,0),"")</f>
        <v/>
      </c>
      <c r="J2488" s="50" t="str">
        <f>IF(ISNUMBER(H2488),IFERROR(INDEX(Calendrier!$C$2:$C$367,MATCH(H2488,Calendrier!$A$2:$A$367,0)),0),"")</f>
        <v/>
      </c>
      <c r="K2488" s="50" t="str">
        <f t="shared" si="194"/>
        <v/>
      </c>
      <c r="L2488" s="50" t="str">
        <f>IF(D2488="","",IF(COUNTIF(Paramètres!$A$11:$A$40,D2488)&gt;0,1,0))</f>
        <v/>
      </c>
    </row>
    <row r="2489" spans="1:12" hidden="1" x14ac:dyDescent="0.25">
      <c r="A2489" s="49"/>
      <c r="B2489" s="49"/>
      <c r="C2489" s="49"/>
      <c r="D2489" s="50" t="str">
        <f t="shared" si="190"/>
        <v/>
      </c>
      <c r="E2489" s="50" t="str">
        <f t="shared" si="191"/>
        <v/>
      </c>
      <c r="F2489" s="50" t="str">
        <f t="shared" si="192"/>
        <v/>
      </c>
      <c r="G2489" s="50" t="str">
        <f t="shared" si="193"/>
        <v/>
      </c>
      <c r="H2489" s="51" t="str">
        <f>IF($C2489="","",IFERROR(DATE(G2489,VLOOKUP(E2489,Paramètres!$K$11:$L$40,2,FALSE()),F2489),"?"))</f>
        <v/>
      </c>
      <c r="I2489" s="50" t="str">
        <f>IF(ISNUMBER(H2489),IF(COUNTIFS($D$2:D2489,D2489,$H$2:H2489,H2489)=1,1,0),"")</f>
        <v/>
      </c>
      <c r="J2489" s="50" t="str">
        <f>IF(ISNUMBER(H2489),IFERROR(INDEX(Calendrier!$C$2:$C$367,MATCH(H2489,Calendrier!$A$2:$A$367,0)),0),"")</f>
        <v/>
      </c>
      <c r="K2489" s="50" t="str">
        <f t="shared" si="194"/>
        <v/>
      </c>
      <c r="L2489" s="50" t="str">
        <f>IF(D2489="","",IF(COUNTIF(Paramètres!$A$11:$A$40,D2489)&gt;0,1,0))</f>
        <v/>
      </c>
    </row>
    <row r="2490" spans="1:12" hidden="1" x14ac:dyDescent="0.25">
      <c r="A2490" s="49"/>
      <c r="B2490" s="49"/>
      <c r="C2490" s="49"/>
      <c r="D2490" s="50" t="str">
        <f t="shared" si="190"/>
        <v/>
      </c>
      <c r="E2490" s="50" t="str">
        <f t="shared" si="191"/>
        <v/>
      </c>
      <c r="F2490" s="50" t="str">
        <f t="shared" si="192"/>
        <v/>
      </c>
      <c r="G2490" s="50" t="str">
        <f t="shared" si="193"/>
        <v/>
      </c>
      <c r="H2490" s="51" t="str">
        <f>IF($C2490="","",IFERROR(DATE(G2490,VLOOKUP(E2490,Paramètres!$K$11:$L$40,2,FALSE()),F2490),"?"))</f>
        <v/>
      </c>
      <c r="I2490" s="50" t="str">
        <f>IF(ISNUMBER(H2490),IF(COUNTIFS($D$2:D2490,D2490,$H$2:H2490,H2490)=1,1,0),"")</f>
        <v/>
      </c>
      <c r="J2490" s="50" t="str">
        <f>IF(ISNUMBER(H2490),IFERROR(INDEX(Calendrier!$C$2:$C$367,MATCH(H2490,Calendrier!$A$2:$A$367,0)),0),"")</f>
        <v/>
      </c>
      <c r="K2490" s="50" t="str">
        <f t="shared" si="194"/>
        <v/>
      </c>
      <c r="L2490" s="50" t="str">
        <f>IF(D2490="","",IF(COUNTIF(Paramètres!$A$11:$A$40,D2490)&gt;0,1,0))</f>
        <v/>
      </c>
    </row>
    <row r="2491" spans="1:12" hidden="1" x14ac:dyDescent="0.25">
      <c r="A2491" s="49"/>
      <c r="B2491" s="49"/>
      <c r="C2491" s="49"/>
      <c r="D2491" s="50" t="str">
        <f t="shared" si="190"/>
        <v/>
      </c>
      <c r="E2491" s="50" t="str">
        <f t="shared" si="191"/>
        <v/>
      </c>
      <c r="F2491" s="50" t="str">
        <f t="shared" si="192"/>
        <v/>
      </c>
      <c r="G2491" s="50" t="str">
        <f t="shared" si="193"/>
        <v/>
      </c>
      <c r="H2491" s="51" t="str">
        <f>IF($C2491="","",IFERROR(DATE(G2491,VLOOKUP(E2491,Paramètres!$K$11:$L$40,2,FALSE()),F2491),"?"))</f>
        <v/>
      </c>
      <c r="I2491" s="50" t="str">
        <f>IF(ISNUMBER(H2491),IF(COUNTIFS($D$2:D2491,D2491,$H$2:H2491,H2491)=1,1,0),"")</f>
        <v/>
      </c>
      <c r="J2491" s="50" t="str">
        <f>IF(ISNUMBER(H2491),IFERROR(INDEX(Calendrier!$C$2:$C$367,MATCH(H2491,Calendrier!$A$2:$A$367,0)),0),"")</f>
        <v/>
      </c>
      <c r="K2491" s="50" t="str">
        <f t="shared" si="194"/>
        <v/>
      </c>
      <c r="L2491" s="50" t="str">
        <f>IF(D2491="","",IF(COUNTIF(Paramètres!$A$11:$A$40,D2491)&gt;0,1,0))</f>
        <v/>
      </c>
    </row>
    <row r="2492" spans="1:12" hidden="1" x14ac:dyDescent="0.25">
      <c r="A2492" s="49"/>
      <c r="B2492" s="49"/>
      <c r="C2492" s="49"/>
      <c r="D2492" s="50" t="str">
        <f t="shared" si="190"/>
        <v/>
      </c>
      <c r="E2492" s="50" t="str">
        <f t="shared" si="191"/>
        <v/>
      </c>
      <c r="F2492" s="50" t="str">
        <f t="shared" si="192"/>
        <v/>
      </c>
      <c r="G2492" s="50" t="str">
        <f t="shared" si="193"/>
        <v/>
      </c>
      <c r="H2492" s="51" t="str">
        <f>IF($C2492="","",IFERROR(DATE(G2492,VLOOKUP(E2492,Paramètres!$K$11:$L$40,2,FALSE()),F2492),"?"))</f>
        <v/>
      </c>
      <c r="I2492" s="50" t="str">
        <f>IF(ISNUMBER(H2492),IF(COUNTIFS($D$2:D2492,D2492,$H$2:H2492,H2492)=1,1,0),"")</f>
        <v/>
      </c>
      <c r="J2492" s="50" t="str">
        <f>IF(ISNUMBER(H2492),IFERROR(INDEX(Calendrier!$C$2:$C$367,MATCH(H2492,Calendrier!$A$2:$A$367,0)),0),"")</f>
        <v/>
      </c>
      <c r="K2492" s="50" t="str">
        <f t="shared" si="194"/>
        <v/>
      </c>
      <c r="L2492" s="50" t="str">
        <f>IF(D2492="","",IF(COUNTIF(Paramètres!$A$11:$A$40,D2492)&gt;0,1,0))</f>
        <v/>
      </c>
    </row>
    <row r="2493" spans="1:12" hidden="1" x14ac:dyDescent="0.25">
      <c r="A2493" s="49"/>
      <c r="B2493" s="49"/>
      <c r="C2493" s="49"/>
      <c r="D2493" s="50" t="str">
        <f t="shared" si="190"/>
        <v/>
      </c>
      <c r="E2493" s="50" t="str">
        <f t="shared" si="191"/>
        <v/>
      </c>
      <c r="F2493" s="50" t="str">
        <f t="shared" si="192"/>
        <v/>
      </c>
      <c r="G2493" s="50" t="str">
        <f t="shared" si="193"/>
        <v/>
      </c>
      <c r="H2493" s="51" t="str">
        <f>IF($C2493="","",IFERROR(DATE(G2493,VLOOKUP(E2493,Paramètres!$K$11:$L$40,2,FALSE()),F2493),"?"))</f>
        <v/>
      </c>
      <c r="I2493" s="50" t="str">
        <f>IF(ISNUMBER(H2493),IF(COUNTIFS($D$2:D2493,D2493,$H$2:H2493,H2493)=1,1,0),"")</f>
        <v/>
      </c>
      <c r="J2493" s="50" t="str">
        <f>IF(ISNUMBER(H2493),IFERROR(INDEX(Calendrier!$C$2:$C$367,MATCH(H2493,Calendrier!$A$2:$A$367,0)),0),"")</f>
        <v/>
      </c>
      <c r="K2493" s="50" t="str">
        <f t="shared" si="194"/>
        <v/>
      </c>
      <c r="L2493" s="50" t="str">
        <f>IF(D2493="","",IF(COUNTIF(Paramètres!$A$11:$A$40,D2493)&gt;0,1,0))</f>
        <v/>
      </c>
    </row>
    <row r="2494" spans="1:12" hidden="1" x14ac:dyDescent="0.25">
      <c r="A2494" s="49"/>
      <c r="B2494" s="49"/>
      <c r="C2494" s="49"/>
      <c r="D2494" s="50" t="str">
        <f t="shared" si="190"/>
        <v/>
      </c>
      <c r="E2494" s="50" t="str">
        <f t="shared" si="191"/>
        <v/>
      </c>
      <c r="F2494" s="50" t="str">
        <f t="shared" si="192"/>
        <v/>
      </c>
      <c r="G2494" s="50" t="str">
        <f t="shared" si="193"/>
        <v/>
      </c>
      <c r="H2494" s="51" t="str">
        <f>IF($C2494="","",IFERROR(DATE(G2494,VLOOKUP(E2494,Paramètres!$K$11:$L$40,2,FALSE()),F2494),"?"))</f>
        <v/>
      </c>
      <c r="I2494" s="50" t="str">
        <f>IF(ISNUMBER(H2494),IF(COUNTIFS($D$2:D2494,D2494,$H$2:H2494,H2494)=1,1,0),"")</f>
        <v/>
      </c>
      <c r="J2494" s="50" t="str">
        <f>IF(ISNUMBER(H2494),IFERROR(INDEX(Calendrier!$C$2:$C$367,MATCH(H2494,Calendrier!$A$2:$A$367,0)),0),"")</f>
        <v/>
      </c>
      <c r="K2494" s="50" t="str">
        <f t="shared" si="194"/>
        <v/>
      </c>
      <c r="L2494" s="50" t="str">
        <f>IF(D2494="","",IF(COUNTIF(Paramètres!$A$11:$A$40,D2494)&gt;0,1,0))</f>
        <v/>
      </c>
    </row>
    <row r="2495" spans="1:12" hidden="1" x14ac:dyDescent="0.25">
      <c r="A2495" s="49"/>
      <c r="B2495" s="49"/>
      <c r="C2495" s="49"/>
      <c r="D2495" s="50" t="str">
        <f t="shared" si="190"/>
        <v/>
      </c>
      <c r="E2495" s="50" t="str">
        <f t="shared" si="191"/>
        <v/>
      </c>
      <c r="F2495" s="50" t="str">
        <f t="shared" si="192"/>
        <v/>
      </c>
      <c r="G2495" s="50" t="str">
        <f t="shared" si="193"/>
        <v/>
      </c>
      <c r="H2495" s="51" t="str">
        <f>IF($C2495="","",IFERROR(DATE(G2495,VLOOKUP(E2495,Paramètres!$K$11:$L$40,2,FALSE()),F2495),"?"))</f>
        <v/>
      </c>
      <c r="I2495" s="50" t="str">
        <f>IF(ISNUMBER(H2495),IF(COUNTIFS($D$2:D2495,D2495,$H$2:H2495,H2495)=1,1,0),"")</f>
        <v/>
      </c>
      <c r="J2495" s="50" t="str">
        <f>IF(ISNUMBER(H2495),IFERROR(INDEX(Calendrier!$C$2:$C$367,MATCH(H2495,Calendrier!$A$2:$A$367,0)),0),"")</f>
        <v/>
      </c>
      <c r="K2495" s="50" t="str">
        <f t="shared" si="194"/>
        <v/>
      </c>
      <c r="L2495" s="50" t="str">
        <f>IF(D2495="","",IF(COUNTIF(Paramètres!$A$11:$A$40,D2495)&gt;0,1,0))</f>
        <v/>
      </c>
    </row>
    <row r="2496" spans="1:12" hidden="1" x14ac:dyDescent="0.25">
      <c r="A2496" s="49"/>
      <c r="B2496" s="49"/>
      <c r="C2496" s="49"/>
      <c r="D2496" s="50" t="str">
        <f t="shared" si="190"/>
        <v/>
      </c>
      <c r="E2496" s="50" t="str">
        <f t="shared" si="191"/>
        <v/>
      </c>
      <c r="F2496" s="50" t="str">
        <f t="shared" si="192"/>
        <v/>
      </c>
      <c r="G2496" s="50" t="str">
        <f t="shared" si="193"/>
        <v/>
      </c>
      <c r="H2496" s="51" t="str">
        <f>IF($C2496="","",IFERROR(DATE(G2496,VLOOKUP(E2496,Paramètres!$K$11:$L$40,2,FALSE()),F2496),"?"))</f>
        <v/>
      </c>
      <c r="I2496" s="50" t="str">
        <f>IF(ISNUMBER(H2496),IF(COUNTIFS($D$2:D2496,D2496,$H$2:H2496,H2496)=1,1,0),"")</f>
        <v/>
      </c>
      <c r="J2496" s="50" t="str">
        <f>IF(ISNUMBER(H2496),IFERROR(INDEX(Calendrier!$C$2:$C$367,MATCH(H2496,Calendrier!$A$2:$A$367,0)),0),"")</f>
        <v/>
      </c>
      <c r="K2496" s="50" t="str">
        <f t="shared" si="194"/>
        <v/>
      </c>
      <c r="L2496" s="50" t="str">
        <f>IF(D2496="","",IF(COUNTIF(Paramètres!$A$11:$A$40,D2496)&gt;0,1,0))</f>
        <v/>
      </c>
    </row>
    <row r="2497" spans="1:12" hidden="1" x14ac:dyDescent="0.25">
      <c r="A2497" s="49"/>
      <c r="B2497" s="49"/>
      <c r="C2497" s="49"/>
      <c r="D2497" s="50" t="str">
        <f t="shared" si="190"/>
        <v/>
      </c>
      <c r="E2497" s="50" t="str">
        <f t="shared" si="191"/>
        <v/>
      </c>
      <c r="F2497" s="50" t="str">
        <f t="shared" si="192"/>
        <v/>
      </c>
      <c r="G2497" s="50" t="str">
        <f t="shared" si="193"/>
        <v/>
      </c>
      <c r="H2497" s="51" t="str">
        <f>IF($C2497="","",IFERROR(DATE(G2497,VLOOKUP(E2497,Paramètres!$K$11:$L$40,2,FALSE()),F2497),"?"))</f>
        <v/>
      </c>
      <c r="I2497" s="50" t="str">
        <f>IF(ISNUMBER(H2497),IF(COUNTIFS($D$2:D2497,D2497,$H$2:H2497,H2497)=1,1,0),"")</f>
        <v/>
      </c>
      <c r="J2497" s="50" t="str">
        <f>IF(ISNUMBER(H2497),IFERROR(INDEX(Calendrier!$C$2:$C$367,MATCH(H2497,Calendrier!$A$2:$A$367,0)),0),"")</f>
        <v/>
      </c>
      <c r="K2497" s="50" t="str">
        <f t="shared" si="194"/>
        <v/>
      </c>
      <c r="L2497" s="50" t="str">
        <f>IF(D2497="","",IF(COUNTIF(Paramètres!$A$11:$A$40,D2497)&gt;0,1,0))</f>
        <v/>
      </c>
    </row>
    <row r="2498" spans="1:12" hidden="1" x14ac:dyDescent="0.25">
      <c r="A2498" s="49"/>
      <c r="B2498" s="49"/>
      <c r="C2498" s="49"/>
      <c r="D2498" s="50" t="str">
        <f t="shared" ref="D2498:D2561" si="195">IF(B2498="","",TRIM(B2498))</f>
        <v/>
      </c>
      <c r="E2498" s="50" t="str">
        <f t="shared" ref="E2498:E2561" si="196">IF($C2498="","",LEFT($C2498,FIND(" ",$C2498)-1))</f>
        <v/>
      </c>
      <c r="F2498" s="50" t="str">
        <f t="shared" ref="F2498:F2561" si="197">IF($C2498="","",IFERROR(VALUE(LEFT(MID($C2498,FIND(" ",$C2498)+1,20),FIND(" ",MID($C2498,FIND(" ",$C2498)+1,20))-1)),"?"))</f>
        <v/>
      </c>
      <c r="G2498" s="50" t="str">
        <f t="shared" ref="G2498:G2561" si="198">IF($C2498="","",IFERROR(VALUE(MID(MID($C2498,FIND(" ",$C2498)+1,20),FIND(" ",MID($C2498,FIND(" ",$C2498)+1,20))+1,4)),"?"))</f>
        <v/>
      </c>
      <c r="H2498" s="51" t="str">
        <f>IF($C2498="","",IFERROR(DATE(G2498,VLOOKUP(E2498,Paramètres!$K$11:$L$40,2,FALSE()),F2498),"?"))</f>
        <v/>
      </c>
      <c r="I2498" s="50" t="str">
        <f>IF(ISNUMBER(H2498),IF(COUNTIFS($D$2:D2498,D2498,$H$2:H2498,H2498)=1,1,0),"")</f>
        <v/>
      </c>
      <c r="J2498" s="50" t="str">
        <f>IF(ISNUMBER(H2498),IFERROR(INDEX(Calendrier!$C$2:$C$367,MATCH(H2498,Calendrier!$A$2:$A$367,0)),0),"")</f>
        <v/>
      </c>
      <c r="K2498" s="50" t="str">
        <f t="shared" ref="K2498:K2561" si="199">IF(ISNUMBER(H2498),I2498*J2498,"")</f>
        <v/>
      </c>
      <c r="L2498" s="50" t="str">
        <f>IF(D2498="","",IF(COUNTIF(Paramètres!$A$11:$A$40,D2498)&gt;0,1,0))</f>
        <v/>
      </c>
    </row>
    <row r="2499" spans="1:12" hidden="1" x14ac:dyDescent="0.25">
      <c r="A2499" s="49"/>
      <c r="B2499" s="49"/>
      <c r="C2499" s="49"/>
      <c r="D2499" s="50" t="str">
        <f t="shared" si="195"/>
        <v/>
      </c>
      <c r="E2499" s="50" t="str">
        <f t="shared" si="196"/>
        <v/>
      </c>
      <c r="F2499" s="50" t="str">
        <f t="shared" si="197"/>
        <v/>
      </c>
      <c r="G2499" s="50" t="str">
        <f t="shared" si="198"/>
        <v/>
      </c>
      <c r="H2499" s="51" t="str">
        <f>IF($C2499="","",IFERROR(DATE(G2499,VLOOKUP(E2499,Paramètres!$K$11:$L$40,2,FALSE()),F2499),"?"))</f>
        <v/>
      </c>
      <c r="I2499" s="50" t="str">
        <f>IF(ISNUMBER(H2499),IF(COUNTIFS($D$2:D2499,D2499,$H$2:H2499,H2499)=1,1,0),"")</f>
        <v/>
      </c>
      <c r="J2499" s="50" t="str">
        <f>IF(ISNUMBER(H2499),IFERROR(INDEX(Calendrier!$C$2:$C$367,MATCH(H2499,Calendrier!$A$2:$A$367,0)),0),"")</f>
        <v/>
      </c>
      <c r="K2499" s="50" t="str">
        <f t="shared" si="199"/>
        <v/>
      </c>
      <c r="L2499" s="50" t="str">
        <f>IF(D2499="","",IF(COUNTIF(Paramètres!$A$11:$A$40,D2499)&gt;0,1,0))</f>
        <v/>
      </c>
    </row>
    <row r="2500" spans="1:12" hidden="1" x14ac:dyDescent="0.25">
      <c r="A2500" s="49"/>
      <c r="B2500" s="49"/>
      <c r="C2500" s="49"/>
      <c r="D2500" s="50" t="str">
        <f t="shared" si="195"/>
        <v/>
      </c>
      <c r="E2500" s="50" t="str">
        <f t="shared" si="196"/>
        <v/>
      </c>
      <c r="F2500" s="50" t="str">
        <f t="shared" si="197"/>
        <v/>
      </c>
      <c r="G2500" s="50" t="str">
        <f t="shared" si="198"/>
        <v/>
      </c>
      <c r="H2500" s="51" t="str">
        <f>IF($C2500="","",IFERROR(DATE(G2500,VLOOKUP(E2500,Paramètres!$K$11:$L$40,2,FALSE()),F2500),"?"))</f>
        <v/>
      </c>
      <c r="I2500" s="50" t="str">
        <f>IF(ISNUMBER(H2500),IF(COUNTIFS($D$2:D2500,D2500,$H$2:H2500,H2500)=1,1,0),"")</f>
        <v/>
      </c>
      <c r="J2500" s="50" t="str">
        <f>IF(ISNUMBER(H2500),IFERROR(INDEX(Calendrier!$C$2:$C$367,MATCH(H2500,Calendrier!$A$2:$A$367,0)),0),"")</f>
        <v/>
      </c>
      <c r="K2500" s="50" t="str">
        <f t="shared" si="199"/>
        <v/>
      </c>
      <c r="L2500" s="50" t="str">
        <f>IF(D2500="","",IF(COUNTIF(Paramètres!$A$11:$A$40,D2500)&gt;0,1,0))</f>
        <v/>
      </c>
    </row>
    <row r="2501" spans="1:12" hidden="1" x14ac:dyDescent="0.25">
      <c r="A2501" s="49"/>
      <c r="B2501" s="49"/>
      <c r="C2501" s="49"/>
      <c r="D2501" s="50" t="str">
        <f t="shared" si="195"/>
        <v/>
      </c>
      <c r="E2501" s="50" t="str">
        <f t="shared" si="196"/>
        <v/>
      </c>
      <c r="F2501" s="50" t="str">
        <f t="shared" si="197"/>
        <v/>
      </c>
      <c r="G2501" s="50" t="str">
        <f t="shared" si="198"/>
        <v/>
      </c>
      <c r="H2501" s="51" t="str">
        <f>IF($C2501="","",IFERROR(DATE(G2501,VLOOKUP(E2501,Paramètres!$K$11:$L$40,2,FALSE()),F2501),"?"))</f>
        <v/>
      </c>
      <c r="I2501" s="50" t="str">
        <f>IF(ISNUMBER(H2501),IF(COUNTIFS($D$2:D2501,D2501,$H$2:H2501,H2501)=1,1,0),"")</f>
        <v/>
      </c>
      <c r="J2501" s="50" t="str">
        <f>IF(ISNUMBER(H2501),IFERROR(INDEX(Calendrier!$C$2:$C$367,MATCH(H2501,Calendrier!$A$2:$A$367,0)),0),"")</f>
        <v/>
      </c>
      <c r="K2501" s="50" t="str">
        <f t="shared" si="199"/>
        <v/>
      </c>
      <c r="L2501" s="50" t="str">
        <f>IF(D2501="","",IF(COUNTIF(Paramètres!$A$11:$A$40,D2501)&gt;0,1,0))</f>
        <v/>
      </c>
    </row>
    <row r="2502" spans="1:12" hidden="1" x14ac:dyDescent="0.25">
      <c r="A2502" s="49"/>
      <c r="B2502" s="49"/>
      <c r="C2502" s="49"/>
      <c r="D2502" s="50" t="str">
        <f t="shared" si="195"/>
        <v/>
      </c>
      <c r="E2502" s="50" t="str">
        <f t="shared" si="196"/>
        <v/>
      </c>
      <c r="F2502" s="50" t="str">
        <f t="shared" si="197"/>
        <v/>
      </c>
      <c r="G2502" s="50" t="str">
        <f t="shared" si="198"/>
        <v/>
      </c>
      <c r="H2502" s="51" t="str">
        <f>IF($C2502="","",IFERROR(DATE(G2502,VLOOKUP(E2502,Paramètres!$K$11:$L$40,2,FALSE()),F2502),"?"))</f>
        <v/>
      </c>
      <c r="I2502" s="50" t="str">
        <f>IF(ISNUMBER(H2502),IF(COUNTIFS($D$2:D2502,D2502,$H$2:H2502,H2502)=1,1,0),"")</f>
        <v/>
      </c>
      <c r="J2502" s="50" t="str">
        <f>IF(ISNUMBER(H2502),IFERROR(INDEX(Calendrier!$C$2:$C$367,MATCH(H2502,Calendrier!$A$2:$A$367,0)),0),"")</f>
        <v/>
      </c>
      <c r="K2502" s="50" t="str">
        <f t="shared" si="199"/>
        <v/>
      </c>
      <c r="L2502" s="50" t="str">
        <f>IF(D2502="","",IF(COUNTIF(Paramètres!$A$11:$A$40,D2502)&gt;0,1,0))</f>
        <v/>
      </c>
    </row>
    <row r="2503" spans="1:12" hidden="1" x14ac:dyDescent="0.25">
      <c r="A2503" s="49"/>
      <c r="B2503" s="49"/>
      <c r="C2503" s="49"/>
      <c r="D2503" s="50" t="str">
        <f t="shared" si="195"/>
        <v/>
      </c>
      <c r="E2503" s="50" t="str">
        <f t="shared" si="196"/>
        <v/>
      </c>
      <c r="F2503" s="50" t="str">
        <f t="shared" si="197"/>
        <v/>
      </c>
      <c r="G2503" s="50" t="str">
        <f t="shared" si="198"/>
        <v/>
      </c>
      <c r="H2503" s="51" t="str">
        <f>IF($C2503="","",IFERROR(DATE(G2503,VLOOKUP(E2503,Paramètres!$K$11:$L$40,2,FALSE()),F2503),"?"))</f>
        <v/>
      </c>
      <c r="I2503" s="50" t="str">
        <f>IF(ISNUMBER(H2503),IF(COUNTIFS($D$2:D2503,D2503,$H$2:H2503,H2503)=1,1,0),"")</f>
        <v/>
      </c>
      <c r="J2503" s="50" t="str">
        <f>IF(ISNUMBER(H2503),IFERROR(INDEX(Calendrier!$C$2:$C$367,MATCH(H2503,Calendrier!$A$2:$A$367,0)),0),"")</f>
        <v/>
      </c>
      <c r="K2503" s="50" t="str">
        <f t="shared" si="199"/>
        <v/>
      </c>
      <c r="L2503" s="50" t="str">
        <f>IF(D2503="","",IF(COUNTIF(Paramètres!$A$11:$A$40,D2503)&gt;0,1,0))</f>
        <v/>
      </c>
    </row>
    <row r="2504" spans="1:12" hidden="1" x14ac:dyDescent="0.25">
      <c r="A2504" s="49"/>
      <c r="B2504" s="49"/>
      <c r="C2504" s="49"/>
      <c r="D2504" s="50" t="str">
        <f t="shared" si="195"/>
        <v/>
      </c>
      <c r="E2504" s="50" t="str">
        <f t="shared" si="196"/>
        <v/>
      </c>
      <c r="F2504" s="50" t="str">
        <f t="shared" si="197"/>
        <v/>
      </c>
      <c r="G2504" s="50" t="str">
        <f t="shared" si="198"/>
        <v/>
      </c>
      <c r="H2504" s="51" t="str">
        <f>IF($C2504="","",IFERROR(DATE(G2504,VLOOKUP(E2504,Paramètres!$K$11:$L$40,2,FALSE()),F2504),"?"))</f>
        <v/>
      </c>
      <c r="I2504" s="50" t="str">
        <f>IF(ISNUMBER(H2504),IF(COUNTIFS($D$2:D2504,D2504,$H$2:H2504,H2504)=1,1,0),"")</f>
        <v/>
      </c>
      <c r="J2504" s="50" t="str">
        <f>IF(ISNUMBER(H2504),IFERROR(INDEX(Calendrier!$C$2:$C$367,MATCH(H2504,Calendrier!$A$2:$A$367,0)),0),"")</f>
        <v/>
      </c>
      <c r="K2504" s="50" t="str">
        <f t="shared" si="199"/>
        <v/>
      </c>
      <c r="L2504" s="50" t="str">
        <f>IF(D2504="","",IF(COUNTIF(Paramètres!$A$11:$A$40,D2504)&gt;0,1,0))</f>
        <v/>
      </c>
    </row>
    <row r="2505" spans="1:12" hidden="1" x14ac:dyDescent="0.25">
      <c r="A2505" s="49"/>
      <c r="B2505" s="49"/>
      <c r="C2505" s="49"/>
      <c r="D2505" s="50" t="str">
        <f t="shared" si="195"/>
        <v/>
      </c>
      <c r="E2505" s="50" t="str">
        <f t="shared" si="196"/>
        <v/>
      </c>
      <c r="F2505" s="50" t="str">
        <f t="shared" si="197"/>
        <v/>
      </c>
      <c r="G2505" s="50" t="str">
        <f t="shared" si="198"/>
        <v/>
      </c>
      <c r="H2505" s="51" t="str">
        <f>IF($C2505="","",IFERROR(DATE(G2505,VLOOKUP(E2505,Paramètres!$K$11:$L$40,2,FALSE()),F2505),"?"))</f>
        <v/>
      </c>
      <c r="I2505" s="50" t="str">
        <f>IF(ISNUMBER(H2505),IF(COUNTIFS($D$2:D2505,D2505,$H$2:H2505,H2505)=1,1,0),"")</f>
        <v/>
      </c>
      <c r="J2505" s="50" t="str">
        <f>IF(ISNUMBER(H2505),IFERROR(INDEX(Calendrier!$C$2:$C$367,MATCH(H2505,Calendrier!$A$2:$A$367,0)),0),"")</f>
        <v/>
      </c>
      <c r="K2505" s="50" t="str">
        <f t="shared" si="199"/>
        <v/>
      </c>
      <c r="L2505" s="50" t="str">
        <f>IF(D2505="","",IF(COUNTIF(Paramètres!$A$11:$A$40,D2505)&gt;0,1,0))</f>
        <v/>
      </c>
    </row>
    <row r="2506" spans="1:12" hidden="1" x14ac:dyDescent="0.25">
      <c r="A2506" s="49"/>
      <c r="B2506" s="49"/>
      <c r="C2506" s="49"/>
      <c r="D2506" s="50" t="str">
        <f t="shared" si="195"/>
        <v/>
      </c>
      <c r="E2506" s="50" t="str">
        <f t="shared" si="196"/>
        <v/>
      </c>
      <c r="F2506" s="50" t="str">
        <f t="shared" si="197"/>
        <v/>
      </c>
      <c r="G2506" s="50" t="str">
        <f t="shared" si="198"/>
        <v/>
      </c>
      <c r="H2506" s="51" t="str">
        <f>IF($C2506="","",IFERROR(DATE(G2506,VLOOKUP(E2506,Paramètres!$K$11:$L$40,2,FALSE()),F2506),"?"))</f>
        <v/>
      </c>
      <c r="I2506" s="50" t="str">
        <f>IF(ISNUMBER(H2506),IF(COUNTIFS($D$2:D2506,D2506,$H$2:H2506,H2506)=1,1,0),"")</f>
        <v/>
      </c>
      <c r="J2506" s="50" t="str">
        <f>IF(ISNUMBER(H2506),IFERROR(INDEX(Calendrier!$C$2:$C$367,MATCH(H2506,Calendrier!$A$2:$A$367,0)),0),"")</f>
        <v/>
      </c>
      <c r="K2506" s="50" t="str">
        <f t="shared" si="199"/>
        <v/>
      </c>
      <c r="L2506" s="50" t="str">
        <f>IF(D2506="","",IF(COUNTIF(Paramètres!$A$11:$A$40,D2506)&gt;0,1,0))</f>
        <v/>
      </c>
    </row>
    <row r="2507" spans="1:12" hidden="1" x14ac:dyDescent="0.25">
      <c r="A2507" s="49"/>
      <c r="B2507" s="49"/>
      <c r="C2507" s="49"/>
      <c r="D2507" s="50" t="str">
        <f t="shared" si="195"/>
        <v/>
      </c>
      <c r="E2507" s="50" t="str">
        <f t="shared" si="196"/>
        <v/>
      </c>
      <c r="F2507" s="50" t="str">
        <f t="shared" si="197"/>
        <v/>
      </c>
      <c r="G2507" s="50" t="str">
        <f t="shared" si="198"/>
        <v/>
      </c>
      <c r="H2507" s="51" t="str">
        <f>IF($C2507="","",IFERROR(DATE(G2507,VLOOKUP(E2507,Paramètres!$K$11:$L$40,2,FALSE()),F2507),"?"))</f>
        <v/>
      </c>
      <c r="I2507" s="50" t="str">
        <f>IF(ISNUMBER(H2507),IF(COUNTIFS($D$2:D2507,D2507,$H$2:H2507,H2507)=1,1,0),"")</f>
        <v/>
      </c>
      <c r="J2507" s="50" t="str">
        <f>IF(ISNUMBER(H2507),IFERROR(INDEX(Calendrier!$C$2:$C$367,MATCH(H2507,Calendrier!$A$2:$A$367,0)),0),"")</f>
        <v/>
      </c>
      <c r="K2507" s="50" t="str">
        <f t="shared" si="199"/>
        <v/>
      </c>
      <c r="L2507" s="50" t="str">
        <f>IF(D2507="","",IF(COUNTIF(Paramètres!$A$11:$A$40,D2507)&gt;0,1,0))</f>
        <v/>
      </c>
    </row>
    <row r="2508" spans="1:12" hidden="1" x14ac:dyDescent="0.25">
      <c r="A2508" s="49"/>
      <c r="B2508" s="49"/>
      <c r="C2508" s="49"/>
      <c r="D2508" s="50" t="str">
        <f t="shared" si="195"/>
        <v/>
      </c>
      <c r="E2508" s="50" t="str">
        <f t="shared" si="196"/>
        <v/>
      </c>
      <c r="F2508" s="50" t="str">
        <f t="shared" si="197"/>
        <v/>
      </c>
      <c r="G2508" s="50" t="str">
        <f t="shared" si="198"/>
        <v/>
      </c>
      <c r="H2508" s="51" t="str">
        <f>IF($C2508="","",IFERROR(DATE(G2508,VLOOKUP(E2508,Paramètres!$K$11:$L$40,2,FALSE()),F2508),"?"))</f>
        <v/>
      </c>
      <c r="I2508" s="50" t="str">
        <f>IF(ISNUMBER(H2508),IF(COUNTIFS($D$2:D2508,D2508,$H$2:H2508,H2508)=1,1,0),"")</f>
        <v/>
      </c>
      <c r="J2508" s="50" t="str">
        <f>IF(ISNUMBER(H2508),IFERROR(INDEX(Calendrier!$C$2:$C$367,MATCH(H2508,Calendrier!$A$2:$A$367,0)),0),"")</f>
        <v/>
      </c>
      <c r="K2508" s="50" t="str">
        <f t="shared" si="199"/>
        <v/>
      </c>
      <c r="L2508" s="50" t="str">
        <f>IF(D2508="","",IF(COUNTIF(Paramètres!$A$11:$A$40,D2508)&gt;0,1,0))</f>
        <v/>
      </c>
    </row>
    <row r="2509" spans="1:12" hidden="1" x14ac:dyDescent="0.25">
      <c r="A2509" s="49"/>
      <c r="B2509" s="49"/>
      <c r="C2509" s="49"/>
      <c r="D2509" s="50" t="str">
        <f t="shared" si="195"/>
        <v/>
      </c>
      <c r="E2509" s="50" t="str">
        <f t="shared" si="196"/>
        <v/>
      </c>
      <c r="F2509" s="50" t="str">
        <f t="shared" si="197"/>
        <v/>
      </c>
      <c r="G2509" s="50" t="str">
        <f t="shared" si="198"/>
        <v/>
      </c>
      <c r="H2509" s="51" t="str">
        <f>IF($C2509="","",IFERROR(DATE(G2509,VLOOKUP(E2509,Paramètres!$K$11:$L$40,2,FALSE()),F2509),"?"))</f>
        <v/>
      </c>
      <c r="I2509" s="50" t="str">
        <f>IF(ISNUMBER(H2509),IF(COUNTIFS($D$2:D2509,D2509,$H$2:H2509,H2509)=1,1,0),"")</f>
        <v/>
      </c>
      <c r="J2509" s="50" t="str">
        <f>IF(ISNUMBER(H2509),IFERROR(INDEX(Calendrier!$C$2:$C$367,MATCH(H2509,Calendrier!$A$2:$A$367,0)),0),"")</f>
        <v/>
      </c>
      <c r="K2509" s="50" t="str">
        <f t="shared" si="199"/>
        <v/>
      </c>
      <c r="L2509" s="50" t="str">
        <f>IF(D2509="","",IF(COUNTIF(Paramètres!$A$11:$A$40,D2509)&gt;0,1,0))</f>
        <v/>
      </c>
    </row>
    <row r="2510" spans="1:12" hidden="1" x14ac:dyDescent="0.25">
      <c r="A2510" s="49"/>
      <c r="B2510" s="49"/>
      <c r="C2510" s="49"/>
      <c r="D2510" s="50" t="str">
        <f t="shared" si="195"/>
        <v/>
      </c>
      <c r="E2510" s="50" t="str">
        <f t="shared" si="196"/>
        <v/>
      </c>
      <c r="F2510" s="50" t="str">
        <f t="shared" si="197"/>
        <v/>
      </c>
      <c r="G2510" s="50" t="str">
        <f t="shared" si="198"/>
        <v/>
      </c>
      <c r="H2510" s="51" t="str">
        <f>IF($C2510="","",IFERROR(DATE(G2510,VLOOKUP(E2510,Paramètres!$K$11:$L$40,2,FALSE()),F2510),"?"))</f>
        <v/>
      </c>
      <c r="I2510" s="50" t="str">
        <f>IF(ISNUMBER(H2510),IF(COUNTIFS($D$2:D2510,D2510,$H$2:H2510,H2510)=1,1,0),"")</f>
        <v/>
      </c>
      <c r="J2510" s="50" t="str">
        <f>IF(ISNUMBER(H2510),IFERROR(INDEX(Calendrier!$C$2:$C$367,MATCH(H2510,Calendrier!$A$2:$A$367,0)),0),"")</f>
        <v/>
      </c>
      <c r="K2510" s="50" t="str">
        <f t="shared" si="199"/>
        <v/>
      </c>
      <c r="L2510" s="50" t="str">
        <f>IF(D2510="","",IF(COUNTIF(Paramètres!$A$11:$A$40,D2510)&gt;0,1,0))</f>
        <v/>
      </c>
    </row>
    <row r="2511" spans="1:12" hidden="1" x14ac:dyDescent="0.25">
      <c r="A2511" s="49"/>
      <c r="B2511" s="49"/>
      <c r="C2511" s="49"/>
      <c r="D2511" s="50" t="str">
        <f t="shared" si="195"/>
        <v/>
      </c>
      <c r="E2511" s="50" t="str">
        <f t="shared" si="196"/>
        <v/>
      </c>
      <c r="F2511" s="50" t="str">
        <f t="shared" si="197"/>
        <v/>
      </c>
      <c r="G2511" s="50" t="str">
        <f t="shared" si="198"/>
        <v/>
      </c>
      <c r="H2511" s="51" t="str">
        <f>IF($C2511="","",IFERROR(DATE(G2511,VLOOKUP(E2511,Paramètres!$K$11:$L$40,2,FALSE()),F2511),"?"))</f>
        <v/>
      </c>
      <c r="I2511" s="50" t="str">
        <f>IF(ISNUMBER(H2511),IF(COUNTIFS($D$2:D2511,D2511,$H$2:H2511,H2511)=1,1,0),"")</f>
        <v/>
      </c>
      <c r="J2511" s="50" t="str">
        <f>IF(ISNUMBER(H2511),IFERROR(INDEX(Calendrier!$C$2:$C$367,MATCH(H2511,Calendrier!$A$2:$A$367,0)),0),"")</f>
        <v/>
      </c>
      <c r="K2511" s="50" t="str">
        <f t="shared" si="199"/>
        <v/>
      </c>
      <c r="L2511" s="50" t="str">
        <f>IF(D2511="","",IF(COUNTIF(Paramètres!$A$11:$A$40,D2511)&gt;0,1,0))</f>
        <v/>
      </c>
    </row>
    <row r="2512" spans="1:12" hidden="1" x14ac:dyDescent="0.25">
      <c r="A2512" s="49"/>
      <c r="B2512" s="49"/>
      <c r="C2512" s="49"/>
      <c r="D2512" s="50" t="str">
        <f t="shared" si="195"/>
        <v/>
      </c>
      <c r="E2512" s="50" t="str">
        <f t="shared" si="196"/>
        <v/>
      </c>
      <c r="F2512" s="50" t="str">
        <f t="shared" si="197"/>
        <v/>
      </c>
      <c r="G2512" s="50" t="str">
        <f t="shared" si="198"/>
        <v/>
      </c>
      <c r="H2512" s="51" t="str">
        <f>IF($C2512="","",IFERROR(DATE(G2512,VLOOKUP(E2512,Paramètres!$K$11:$L$40,2,FALSE()),F2512),"?"))</f>
        <v/>
      </c>
      <c r="I2512" s="50" t="str">
        <f>IF(ISNUMBER(H2512),IF(COUNTIFS($D$2:D2512,D2512,$H$2:H2512,H2512)=1,1,0),"")</f>
        <v/>
      </c>
      <c r="J2512" s="50" t="str">
        <f>IF(ISNUMBER(H2512),IFERROR(INDEX(Calendrier!$C$2:$C$367,MATCH(H2512,Calendrier!$A$2:$A$367,0)),0),"")</f>
        <v/>
      </c>
      <c r="K2512" s="50" t="str">
        <f t="shared" si="199"/>
        <v/>
      </c>
      <c r="L2512" s="50" t="str">
        <f>IF(D2512="","",IF(COUNTIF(Paramètres!$A$11:$A$40,D2512)&gt;0,1,0))</f>
        <v/>
      </c>
    </row>
    <row r="2513" spans="1:12" hidden="1" x14ac:dyDescent="0.25">
      <c r="A2513" s="49"/>
      <c r="B2513" s="49"/>
      <c r="C2513" s="49"/>
      <c r="D2513" s="50" t="str">
        <f t="shared" si="195"/>
        <v/>
      </c>
      <c r="E2513" s="50" t="str">
        <f t="shared" si="196"/>
        <v/>
      </c>
      <c r="F2513" s="50" t="str">
        <f t="shared" si="197"/>
        <v/>
      </c>
      <c r="G2513" s="50" t="str">
        <f t="shared" si="198"/>
        <v/>
      </c>
      <c r="H2513" s="51" t="str">
        <f>IF($C2513="","",IFERROR(DATE(G2513,VLOOKUP(E2513,Paramètres!$K$11:$L$40,2,FALSE()),F2513),"?"))</f>
        <v/>
      </c>
      <c r="I2513" s="50" t="str">
        <f>IF(ISNUMBER(H2513),IF(COUNTIFS($D$2:D2513,D2513,$H$2:H2513,H2513)=1,1,0),"")</f>
        <v/>
      </c>
      <c r="J2513" s="50" t="str">
        <f>IF(ISNUMBER(H2513),IFERROR(INDEX(Calendrier!$C$2:$C$367,MATCH(H2513,Calendrier!$A$2:$A$367,0)),0),"")</f>
        <v/>
      </c>
      <c r="K2513" s="50" t="str">
        <f t="shared" si="199"/>
        <v/>
      </c>
      <c r="L2513" s="50" t="str">
        <f>IF(D2513="","",IF(COUNTIF(Paramètres!$A$11:$A$40,D2513)&gt;0,1,0))</f>
        <v/>
      </c>
    </row>
    <row r="2514" spans="1:12" hidden="1" x14ac:dyDescent="0.25">
      <c r="A2514" s="49"/>
      <c r="B2514" s="49"/>
      <c r="C2514" s="49"/>
      <c r="D2514" s="50" t="str">
        <f t="shared" si="195"/>
        <v/>
      </c>
      <c r="E2514" s="50" t="str">
        <f t="shared" si="196"/>
        <v/>
      </c>
      <c r="F2514" s="50" t="str">
        <f t="shared" si="197"/>
        <v/>
      </c>
      <c r="G2514" s="50" t="str">
        <f t="shared" si="198"/>
        <v/>
      </c>
      <c r="H2514" s="51" t="str">
        <f>IF($C2514="","",IFERROR(DATE(G2514,VLOOKUP(E2514,Paramètres!$K$11:$L$40,2,FALSE()),F2514),"?"))</f>
        <v/>
      </c>
      <c r="I2514" s="50" t="str">
        <f>IF(ISNUMBER(H2514),IF(COUNTIFS($D$2:D2514,D2514,$H$2:H2514,H2514)=1,1,0),"")</f>
        <v/>
      </c>
      <c r="J2514" s="50" t="str">
        <f>IF(ISNUMBER(H2514),IFERROR(INDEX(Calendrier!$C$2:$C$367,MATCH(H2514,Calendrier!$A$2:$A$367,0)),0),"")</f>
        <v/>
      </c>
      <c r="K2514" s="50" t="str">
        <f t="shared" si="199"/>
        <v/>
      </c>
      <c r="L2514" s="50" t="str">
        <f>IF(D2514="","",IF(COUNTIF(Paramètres!$A$11:$A$40,D2514)&gt;0,1,0))</f>
        <v/>
      </c>
    </row>
    <row r="2515" spans="1:12" hidden="1" x14ac:dyDescent="0.25">
      <c r="A2515" s="49"/>
      <c r="B2515" s="49"/>
      <c r="C2515" s="49"/>
      <c r="D2515" s="50" t="str">
        <f t="shared" si="195"/>
        <v/>
      </c>
      <c r="E2515" s="50" t="str">
        <f t="shared" si="196"/>
        <v/>
      </c>
      <c r="F2515" s="50" t="str">
        <f t="shared" si="197"/>
        <v/>
      </c>
      <c r="G2515" s="50" t="str">
        <f t="shared" si="198"/>
        <v/>
      </c>
      <c r="H2515" s="51" t="str">
        <f>IF($C2515="","",IFERROR(DATE(G2515,VLOOKUP(E2515,Paramètres!$K$11:$L$40,2,FALSE()),F2515),"?"))</f>
        <v/>
      </c>
      <c r="I2515" s="50" t="str">
        <f>IF(ISNUMBER(H2515),IF(COUNTIFS($D$2:D2515,D2515,$H$2:H2515,H2515)=1,1,0),"")</f>
        <v/>
      </c>
      <c r="J2515" s="50" t="str">
        <f>IF(ISNUMBER(H2515),IFERROR(INDEX(Calendrier!$C$2:$C$367,MATCH(H2515,Calendrier!$A$2:$A$367,0)),0),"")</f>
        <v/>
      </c>
      <c r="K2515" s="50" t="str">
        <f t="shared" si="199"/>
        <v/>
      </c>
      <c r="L2515" s="50" t="str">
        <f>IF(D2515="","",IF(COUNTIF(Paramètres!$A$11:$A$40,D2515)&gt;0,1,0))</f>
        <v/>
      </c>
    </row>
    <row r="2516" spans="1:12" hidden="1" x14ac:dyDescent="0.25">
      <c r="A2516" s="49"/>
      <c r="B2516" s="49"/>
      <c r="C2516" s="49"/>
      <c r="D2516" s="50" t="str">
        <f t="shared" si="195"/>
        <v/>
      </c>
      <c r="E2516" s="50" t="str">
        <f t="shared" si="196"/>
        <v/>
      </c>
      <c r="F2516" s="50" t="str">
        <f t="shared" si="197"/>
        <v/>
      </c>
      <c r="G2516" s="50" t="str">
        <f t="shared" si="198"/>
        <v/>
      </c>
      <c r="H2516" s="51" t="str">
        <f>IF($C2516="","",IFERROR(DATE(G2516,VLOOKUP(E2516,Paramètres!$K$11:$L$40,2,FALSE()),F2516),"?"))</f>
        <v/>
      </c>
      <c r="I2516" s="50" t="str">
        <f>IF(ISNUMBER(H2516),IF(COUNTIFS($D$2:D2516,D2516,$H$2:H2516,H2516)=1,1,0),"")</f>
        <v/>
      </c>
      <c r="J2516" s="50" t="str">
        <f>IF(ISNUMBER(H2516),IFERROR(INDEX(Calendrier!$C$2:$C$367,MATCH(H2516,Calendrier!$A$2:$A$367,0)),0),"")</f>
        <v/>
      </c>
      <c r="K2516" s="50" t="str">
        <f t="shared" si="199"/>
        <v/>
      </c>
      <c r="L2516" s="50" t="str">
        <f>IF(D2516="","",IF(COUNTIF(Paramètres!$A$11:$A$40,D2516)&gt;0,1,0))</f>
        <v/>
      </c>
    </row>
    <row r="2517" spans="1:12" hidden="1" x14ac:dyDescent="0.25">
      <c r="A2517" s="49"/>
      <c r="B2517" s="49"/>
      <c r="C2517" s="49"/>
      <c r="D2517" s="50" t="str">
        <f t="shared" si="195"/>
        <v/>
      </c>
      <c r="E2517" s="50" t="str">
        <f t="shared" si="196"/>
        <v/>
      </c>
      <c r="F2517" s="50" t="str">
        <f t="shared" si="197"/>
        <v/>
      </c>
      <c r="G2517" s="50" t="str">
        <f t="shared" si="198"/>
        <v/>
      </c>
      <c r="H2517" s="51" t="str">
        <f>IF($C2517="","",IFERROR(DATE(G2517,VLOOKUP(E2517,Paramètres!$K$11:$L$40,2,FALSE()),F2517),"?"))</f>
        <v/>
      </c>
      <c r="I2517" s="50" t="str">
        <f>IF(ISNUMBER(H2517),IF(COUNTIFS($D$2:D2517,D2517,$H$2:H2517,H2517)=1,1,0),"")</f>
        <v/>
      </c>
      <c r="J2517" s="50" t="str">
        <f>IF(ISNUMBER(H2517),IFERROR(INDEX(Calendrier!$C$2:$C$367,MATCH(H2517,Calendrier!$A$2:$A$367,0)),0),"")</f>
        <v/>
      </c>
      <c r="K2517" s="50" t="str">
        <f t="shared" si="199"/>
        <v/>
      </c>
      <c r="L2517" s="50" t="str">
        <f>IF(D2517="","",IF(COUNTIF(Paramètres!$A$11:$A$40,D2517)&gt;0,1,0))</f>
        <v/>
      </c>
    </row>
    <row r="2518" spans="1:12" hidden="1" x14ac:dyDescent="0.25">
      <c r="A2518" s="49"/>
      <c r="B2518" s="49"/>
      <c r="C2518" s="49"/>
      <c r="D2518" s="50" t="str">
        <f t="shared" si="195"/>
        <v/>
      </c>
      <c r="E2518" s="50" t="str">
        <f t="shared" si="196"/>
        <v/>
      </c>
      <c r="F2518" s="50" t="str">
        <f t="shared" si="197"/>
        <v/>
      </c>
      <c r="G2518" s="50" t="str">
        <f t="shared" si="198"/>
        <v/>
      </c>
      <c r="H2518" s="51" t="str">
        <f>IF($C2518="","",IFERROR(DATE(G2518,VLOOKUP(E2518,Paramètres!$K$11:$L$40,2,FALSE()),F2518),"?"))</f>
        <v/>
      </c>
      <c r="I2518" s="50" t="str">
        <f>IF(ISNUMBER(H2518),IF(COUNTIFS($D$2:D2518,D2518,$H$2:H2518,H2518)=1,1,0),"")</f>
        <v/>
      </c>
      <c r="J2518" s="50" t="str">
        <f>IF(ISNUMBER(H2518),IFERROR(INDEX(Calendrier!$C$2:$C$367,MATCH(H2518,Calendrier!$A$2:$A$367,0)),0),"")</f>
        <v/>
      </c>
      <c r="K2518" s="50" t="str">
        <f t="shared" si="199"/>
        <v/>
      </c>
      <c r="L2518" s="50" t="str">
        <f>IF(D2518="","",IF(COUNTIF(Paramètres!$A$11:$A$40,D2518)&gt;0,1,0))</f>
        <v/>
      </c>
    </row>
    <row r="2519" spans="1:12" hidden="1" x14ac:dyDescent="0.25">
      <c r="A2519" s="49"/>
      <c r="B2519" s="49"/>
      <c r="C2519" s="49"/>
      <c r="D2519" s="50" t="str">
        <f t="shared" si="195"/>
        <v/>
      </c>
      <c r="E2519" s="50" t="str">
        <f t="shared" si="196"/>
        <v/>
      </c>
      <c r="F2519" s="50" t="str">
        <f t="shared" si="197"/>
        <v/>
      </c>
      <c r="G2519" s="50" t="str">
        <f t="shared" si="198"/>
        <v/>
      </c>
      <c r="H2519" s="51" t="str">
        <f>IF($C2519="","",IFERROR(DATE(G2519,VLOOKUP(E2519,Paramètres!$K$11:$L$40,2,FALSE()),F2519),"?"))</f>
        <v/>
      </c>
      <c r="I2519" s="50" t="str">
        <f>IF(ISNUMBER(H2519),IF(COUNTIFS($D$2:D2519,D2519,$H$2:H2519,H2519)=1,1,0),"")</f>
        <v/>
      </c>
      <c r="J2519" s="50" t="str">
        <f>IF(ISNUMBER(H2519),IFERROR(INDEX(Calendrier!$C$2:$C$367,MATCH(H2519,Calendrier!$A$2:$A$367,0)),0),"")</f>
        <v/>
      </c>
      <c r="K2519" s="50" t="str">
        <f t="shared" si="199"/>
        <v/>
      </c>
      <c r="L2519" s="50" t="str">
        <f>IF(D2519="","",IF(COUNTIF(Paramètres!$A$11:$A$40,D2519)&gt;0,1,0))</f>
        <v/>
      </c>
    </row>
    <row r="2520" spans="1:12" hidden="1" x14ac:dyDescent="0.25">
      <c r="A2520" s="49"/>
      <c r="B2520" s="49"/>
      <c r="C2520" s="49"/>
      <c r="D2520" s="50" t="str">
        <f t="shared" si="195"/>
        <v/>
      </c>
      <c r="E2520" s="50" t="str">
        <f t="shared" si="196"/>
        <v/>
      </c>
      <c r="F2520" s="50" t="str">
        <f t="shared" si="197"/>
        <v/>
      </c>
      <c r="G2520" s="50" t="str">
        <f t="shared" si="198"/>
        <v/>
      </c>
      <c r="H2520" s="51" t="str">
        <f>IF($C2520="","",IFERROR(DATE(G2520,VLOOKUP(E2520,Paramètres!$K$11:$L$40,2,FALSE()),F2520),"?"))</f>
        <v/>
      </c>
      <c r="I2520" s="50" t="str">
        <f>IF(ISNUMBER(H2520),IF(COUNTIFS($D$2:D2520,D2520,$H$2:H2520,H2520)=1,1,0),"")</f>
        <v/>
      </c>
      <c r="J2520" s="50" t="str">
        <f>IF(ISNUMBER(H2520),IFERROR(INDEX(Calendrier!$C$2:$C$367,MATCH(H2520,Calendrier!$A$2:$A$367,0)),0),"")</f>
        <v/>
      </c>
      <c r="K2520" s="50" t="str">
        <f t="shared" si="199"/>
        <v/>
      </c>
      <c r="L2520" s="50" t="str">
        <f>IF(D2520="","",IF(COUNTIF(Paramètres!$A$11:$A$40,D2520)&gt;0,1,0))</f>
        <v/>
      </c>
    </row>
    <row r="2521" spans="1:12" hidden="1" x14ac:dyDescent="0.25">
      <c r="A2521" s="49"/>
      <c r="B2521" s="49"/>
      <c r="C2521" s="49"/>
      <c r="D2521" s="50" t="str">
        <f t="shared" si="195"/>
        <v/>
      </c>
      <c r="E2521" s="50" t="str">
        <f t="shared" si="196"/>
        <v/>
      </c>
      <c r="F2521" s="50" t="str">
        <f t="shared" si="197"/>
        <v/>
      </c>
      <c r="G2521" s="50" t="str">
        <f t="shared" si="198"/>
        <v/>
      </c>
      <c r="H2521" s="51" t="str">
        <f>IF($C2521="","",IFERROR(DATE(G2521,VLOOKUP(E2521,Paramètres!$K$11:$L$40,2,FALSE()),F2521),"?"))</f>
        <v/>
      </c>
      <c r="I2521" s="50" t="str">
        <f>IF(ISNUMBER(H2521),IF(COUNTIFS($D$2:D2521,D2521,$H$2:H2521,H2521)=1,1,0),"")</f>
        <v/>
      </c>
      <c r="J2521" s="50" t="str">
        <f>IF(ISNUMBER(H2521),IFERROR(INDEX(Calendrier!$C$2:$C$367,MATCH(H2521,Calendrier!$A$2:$A$367,0)),0),"")</f>
        <v/>
      </c>
      <c r="K2521" s="50" t="str">
        <f t="shared" si="199"/>
        <v/>
      </c>
      <c r="L2521" s="50" t="str">
        <f>IF(D2521="","",IF(COUNTIF(Paramètres!$A$11:$A$40,D2521)&gt;0,1,0))</f>
        <v/>
      </c>
    </row>
    <row r="2522" spans="1:12" hidden="1" x14ac:dyDescent="0.25">
      <c r="A2522" s="49"/>
      <c r="B2522" s="49"/>
      <c r="C2522" s="49"/>
      <c r="D2522" s="50" t="str">
        <f t="shared" si="195"/>
        <v/>
      </c>
      <c r="E2522" s="50" t="str">
        <f t="shared" si="196"/>
        <v/>
      </c>
      <c r="F2522" s="50" t="str">
        <f t="shared" si="197"/>
        <v/>
      </c>
      <c r="G2522" s="50" t="str">
        <f t="shared" si="198"/>
        <v/>
      </c>
      <c r="H2522" s="51" t="str">
        <f>IF($C2522="","",IFERROR(DATE(G2522,VLOOKUP(E2522,Paramètres!$K$11:$L$40,2,FALSE()),F2522),"?"))</f>
        <v/>
      </c>
      <c r="I2522" s="50" t="str">
        <f>IF(ISNUMBER(H2522),IF(COUNTIFS($D$2:D2522,D2522,$H$2:H2522,H2522)=1,1,0),"")</f>
        <v/>
      </c>
      <c r="J2522" s="50" t="str">
        <f>IF(ISNUMBER(H2522),IFERROR(INDEX(Calendrier!$C$2:$C$367,MATCH(H2522,Calendrier!$A$2:$A$367,0)),0),"")</f>
        <v/>
      </c>
      <c r="K2522" s="50" t="str">
        <f t="shared" si="199"/>
        <v/>
      </c>
      <c r="L2522" s="50" t="str">
        <f>IF(D2522="","",IF(COUNTIF(Paramètres!$A$11:$A$40,D2522)&gt;0,1,0))</f>
        <v/>
      </c>
    </row>
    <row r="2523" spans="1:12" hidden="1" x14ac:dyDescent="0.25">
      <c r="A2523" s="49"/>
      <c r="B2523" s="49"/>
      <c r="C2523" s="49"/>
      <c r="D2523" s="50" t="str">
        <f t="shared" si="195"/>
        <v/>
      </c>
      <c r="E2523" s="50" t="str">
        <f t="shared" si="196"/>
        <v/>
      </c>
      <c r="F2523" s="50" t="str">
        <f t="shared" si="197"/>
        <v/>
      </c>
      <c r="G2523" s="50" t="str">
        <f t="shared" si="198"/>
        <v/>
      </c>
      <c r="H2523" s="51" t="str">
        <f>IF($C2523="","",IFERROR(DATE(G2523,VLOOKUP(E2523,Paramètres!$K$11:$L$40,2,FALSE()),F2523),"?"))</f>
        <v/>
      </c>
      <c r="I2523" s="50" t="str">
        <f>IF(ISNUMBER(H2523),IF(COUNTIFS($D$2:D2523,D2523,$H$2:H2523,H2523)=1,1,0),"")</f>
        <v/>
      </c>
      <c r="J2523" s="50" t="str">
        <f>IF(ISNUMBER(H2523),IFERROR(INDEX(Calendrier!$C$2:$C$367,MATCH(H2523,Calendrier!$A$2:$A$367,0)),0),"")</f>
        <v/>
      </c>
      <c r="K2523" s="50" t="str">
        <f t="shared" si="199"/>
        <v/>
      </c>
      <c r="L2523" s="50" t="str">
        <f>IF(D2523="","",IF(COUNTIF(Paramètres!$A$11:$A$40,D2523)&gt;0,1,0))</f>
        <v/>
      </c>
    </row>
    <row r="2524" spans="1:12" hidden="1" x14ac:dyDescent="0.25">
      <c r="A2524" s="49"/>
      <c r="B2524" s="49"/>
      <c r="C2524" s="49"/>
      <c r="D2524" s="50" t="str">
        <f t="shared" si="195"/>
        <v/>
      </c>
      <c r="E2524" s="50" t="str">
        <f t="shared" si="196"/>
        <v/>
      </c>
      <c r="F2524" s="50" t="str">
        <f t="shared" si="197"/>
        <v/>
      </c>
      <c r="G2524" s="50" t="str">
        <f t="shared" si="198"/>
        <v/>
      </c>
      <c r="H2524" s="51" t="str">
        <f>IF($C2524="","",IFERROR(DATE(G2524,VLOOKUP(E2524,Paramètres!$K$11:$L$40,2,FALSE()),F2524),"?"))</f>
        <v/>
      </c>
      <c r="I2524" s="50" t="str">
        <f>IF(ISNUMBER(H2524),IF(COUNTIFS($D$2:D2524,D2524,$H$2:H2524,H2524)=1,1,0),"")</f>
        <v/>
      </c>
      <c r="J2524" s="50" t="str">
        <f>IF(ISNUMBER(H2524),IFERROR(INDEX(Calendrier!$C$2:$C$367,MATCH(H2524,Calendrier!$A$2:$A$367,0)),0),"")</f>
        <v/>
      </c>
      <c r="K2524" s="50" t="str">
        <f t="shared" si="199"/>
        <v/>
      </c>
      <c r="L2524" s="50" t="str">
        <f>IF(D2524="","",IF(COUNTIF(Paramètres!$A$11:$A$40,D2524)&gt;0,1,0))</f>
        <v/>
      </c>
    </row>
    <row r="2525" spans="1:12" hidden="1" x14ac:dyDescent="0.25">
      <c r="A2525" s="49"/>
      <c r="B2525" s="49"/>
      <c r="C2525" s="49"/>
      <c r="D2525" s="50" t="str">
        <f t="shared" si="195"/>
        <v/>
      </c>
      <c r="E2525" s="50" t="str">
        <f t="shared" si="196"/>
        <v/>
      </c>
      <c r="F2525" s="50" t="str">
        <f t="shared" si="197"/>
        <v/>
      </c>
      <c r="G2525" s="50" t="str">
        <f t="shared" si="198"/>
        <v/>
      </c>
      <c r="H2525" s="51" t="str">
        <f>IF($C2525="","",IFERROR(DATE(G2525,VLOOKUP(E2525,Paramètres!$K$11:$L$40,2,FALSE()),F2525),"?"))</f>
        <v/>
      </c>
      <c r="I2525" s="50" t="str">
        <f>IF(ISNUMBER(H2525),IF(COUNTIFS($D$2:D2525,D2525,$H$2:H2525,H2525)=1,1,0),"")</f>
        <v/>
      </c>
      <c r="J2525" s="50" t="str">
        <f>IF(ISNUMBER(H2525),IFERROR(INDEX(Calendrier!$C$2:$C$367,MATCH(H2525,Calendrier!$A$2:$A$367,0)),0),"")</f>
        <v/>
      </c>
      <c r="K2525" s="50" t="str">
        <f t="shared" si="199"/>
        <v/>
      </c>
      <c r="L2525" s="50" t="str">
        <f>IF(D2525="","",IF(COUNTIF(Paramètres!$A$11:$A$40,D2525)&gt;0,1,0))</f>
        <v/>
      </c>
    </row>
    <row r="2526" spans="1:12" hidden="1" x14ac:dyDescent="0.25">
      <c r="A2526" s="49"/>
      <c r="B2526" s="49"/>
      <c r="C2526" s="49"/>
      <c r="D2526" s="50" t="str">
        <f t="shared" si="195"/>
        <v/>
      </c>
      <c r="E2526" s="50" t="str">
        <f t="shared" si="196"/>
        <v/>
      </c>
      <c r="F2526" s="50" t="str">
        <f t="shared" si="197"/>
        <v/>
      </c>
      <c r="G2526" s="50" t="str">
        <f t="shared" si="198"/>
        <v/>
      </c>
      <c r="H2526" s="51" t="str">
        <f>IF($C2526="","",IFERROR(DATE(G2526,VLOOKUP(E2526,Paramètres!$K$11:$L$40,2,FALSE()),F2526),"?"))</f>
        <v/>
      </c>
      <c r="I2526" s="50" t="str">
        <f>IF(ISNUMBER(H2526),IF(COUNTIFS($D$2:D2526,D2526,$H$2:H2526,H2526)=1,1,0),"")</f>
        <v/>
      </c>
      <c r="J2526" s="50" t="str">
        <f>IF(ISNUMBER(H2526),IFERROR(INDEX(Calendrier!$C$2:$C$367,MATCH(H2526,Calendrier!$A$2:$A$367,0)),0),"")</f>
        <v/>
      </c>
      <c r="K2526" s="50" t="str">
        <f t="shared" si="199"/>
        <v/>
      </c>
      <c r="L2526" s="50" t="str">
        <f>IF(D2526="","",IF(COUNTIF(Paramètres!$A$11:$A$40,D2526)&gt;0,1,0))</f>
        <v/>
      </c>
    </row>
    <row r="2527" spans="1:12" hidden="1" x14ac:dyDescent="0.25">
      <c r="A2527" s="49"/>
      <c r="B2527" s="49"/>
      <c r="C2527" s="49"/>
      <c r="D2527" s="50" t="str">
        <f t="shared" si="195"/>
        <v/>
      </c>
      <c r="E2527" s="50" t="str">
        <f t="shared" si="196"/>
        <v/>
      </c>
      <c r="F2527" s="50" t="str">
        <f t="shared" si="197"/>
        <v/>
      </c>
      <c r="G2527" s="50" t="str">
        <f t="shared" si="198"/>
        <v/>
      </c>
      <c r="H2527" s="51" t="str">
        <f>IF($C2527="","",IFERROR(DATE(G2527,VLOOKUP(E2527,Paramètres!$K$11:$L$40,2,FALSE()),F2527),"?"))</f>
        <v/>
      </c>
      <c r="I2527" s="50" t="str">
        <f>IF(ISNUMBER(H2527),IF(COUNTIFS($D$2:D2527,D2527,$H$2:H2527,H2527)=1,1,0),"")</f>
        <v/>
      </c>
      <c r="J2527" s="50" t="str">
        <f>IF(ISNUMBER(H2527),IFERROR(INDEX(Calendrier!$C$2:$C$367,MATCH(H2527,Calendrier!$A$2:$A$367,0)),0),"")</f>
        <v/>
      </c>
      <c r="K2527" s="50" t="str">
        <f t="shared" si="199"/>
        <v/>
      </c>
      <c r="L2527" s="50" t="str">
        <f>IF(D2527="","",IF(COUNTIF(Paramètres!$A$11:$A$40,D2527)&gt;0,1,0))</f>
        <v/>
      </c>
    </row>
    <row r="2528" spans="1:12" hidden="1" x14ac:dyDescent="0.25">
      <c r="A2528" s="49"/>
      <c r="B2528" s="49"/>
      <c r="C2528" s="49"/>
      <c r="D2528" s="50" t="str">
        <f t="shared" si="195"/>
        <v/>
      </c>
      <c r="E2528" s="50" t="str">
        <f t="shared" si="196"/>
        <v/>
      </c>
      <c r="F2528" s="50" t="str">
        <f t="shared" si="197"/>
        <v/>
      </c>
      <c r="G2528" s="50" t="str">
        <f t="shared" si="198"/>
        <v/>
      </c>
      <c r="H2528" s="51" t="str">
        <f>IF($C2528="","",IFERROR(DATE(G2528,VLOOKUP(E2528,Paramètres!$K$11:$L$40,2,FALSE()),F2528),"?"))</f>
        <v/>
      </c>
      <c r="I2528" s="50" t="str">
        <f>IF(ISNUMBER(H2528),IF(COUNTIFS($D$2:D2528,D2528,$H$2:H2528,H2528)=1,1,0),"")</f>
        <v/>
      </c>
      <c r="J2528" s="50" t="str">
        <f>IF(ISNUMBER(H2528),IFERROR(INDEX(Calendrier!$C$2:$C$367,MATCH(H2528,Calendrier!$A$2:$A$367,0)),0),"")</f>
        <v/>
      </c>
      <c r="K2528" s="50" t="str">
        <f t="shared" si="199"/>
        <v/>
      </c>
      <c r="L2528" s="50" t="str">
        <f>IF(D2528="","",IF(COUNTIF(Paramètres!$A$11:$A$40,D2528)&gt;0,1,0))</f>
        <v/>
      </c>
    </row>
    <row r="2529" spans="1:12" hidden="1" x14ac:dyDescent="0.25">
      <c r="A2529" s="49"/>
      <c r="B2529" s="49"/>
      <c r="C2529" s="49"/>
      <c r="D2529" s="50" t="str">
        <f t="shared" si="195"/>
        <v/>
      </c>
      <c r="E2529" s="50" t="str">
        <f t="shared" si="196"/>
        <v/>
      </c>
      <c r="F2529" s="50" t="str">
        <f t="shared" si="197"/>
        <v/>
      </c>
      <c r="G2529" s="50" t="str">
        <f t="shared" si="198"/>
        <v/>
      </c>
      <c r="H2529" s="51" t="str">
        <f>IF($C2529="","",IFERROR(DATE(G2529,VLOOKUP(E2529,Paramètres!$K$11:$L$40,2,FALSE()),F2529),"?"))</f>
        <v/>
      </c>
      <c r="I2529" s="50" t="str">
        <f>IF(ISNUMBER(H2529),IF(COUNTIFS($D$2:D2529,D2529,$H$2:H2529,H2529)=1,1,0),"")</f>
        <v/>
      </c>
      <c r="J2529" s="50" t="str">
        <f>IF(ISNUMBER(H2529),IFERROR(INDEX(Calendrier!$C$2:$C$367,MATCH(H2529,Calendrier!$A$2:$A$367,0)),0),"")</f>
        <v/>
      </c>
      <c r="K2529" s="50" t="str">
        <f t="shared" si="199"/>
        <v/>
      </c>
      <c r="L2529" s="50" t="str">
        <f>IF(D2529="","",IF(COUNTIF(Paramètres!$A$11:$A$40,D2529)&gt;0,1,0))</f>
        <v/>
      </c>
    </row>
    <row r="2530" spans="1:12" hidden="1" x14ac:dyDescent="0.25">
      <c r="A2530" s="49"/>
      <c r="B2530" s="49"/>
      <c r="C2530" s="49"/>
      <c r="D2530" s="50" t="str">
        <f t="shared" si="195"/>
        <v/>
      </c>
      <c r="E2530" s="50" t="str">
        <f t="shared" si="196"/>
        <v/>
      </c>
      <c r="F2530" s="50" t="str">
        <f t="shared" si="197"/>
        <v/>
      </c>
      <c r="G2530" s="50" t="str">
        <f t="shared" si="198"/>
        <v/>
      </c>
      <c r="H2530" s="51" t="str">
        <f>IF($C2530="","",IFERROR(DATE(G2530,VLOOKUP(E2530,Paramètres!$K$11:$L$40,2,FALSE()),F2530),"?"))</f>
        <v/>
      </c>
      <c r="I2530" s="50" t="str">
        <f>IF(ISNUMBER(H2530),IF(COUNTIFS($D$2:D2530,D2530,$H$2:H2530,H2530)=1,1,0),"")</f>
        <v/>
      </c>
      <c r="J2530" s="50" t="str">
        <f>IF(ISNUMBER(H2530),IFERROR(INDEX(Calendrier!$C$2:$C$367,MATCH(H2530,Calendrier!$A$2:$A$367,0)),0),"")</f>
        <v/>
      </c>
      <c r="K2530" s="50" t="str">
        <f t="shared" si="199"/>
        <v/>
      </c>
      <c r="L2530" s="50" t="str">
        <f>IF(D2530="","",IF(COUNTIF(Paramètres!$A$11:$A$40,D2530)&gt;0,1,0))</f>
        <v/>
      </c>
    </row>
    <row r="2531" spans="1:12" hidden="1" x14ac:dyDescent="0.25">
      <c r="A2531" s="49"/>
      <c r="B2531" s="49"/>
      <c r="C2531" s="49"/>
      <c r="D2531" s="50" t="str">
        <f t="shared" si="195"/>
        <v/>
      </c>
      <c r="E2531" s="50" t="str">
        <f t="shared" si="196"/>
        <v/>
      </c>
      <c r="F2531" s="50" t="str">
        <f t="shared" si="197"/>
        <v/>
      </c>
      <c r="G2531" s="50" t="str">
        <f t="shared" si="198"/>
        <v/>
      </c>
      <c r="H2531" s="51" t="str">
        <f>IF($C2531="","",IFERROR(DATE(G2531,VLOOKUP(E2531,Paramètres!$K$11:$L$40,2,FALSE()),F2531),"?"))</f>
        <v/>
      </c>
      <c r="I2531" s="50" t="str">
        <f>IF(ISNUMBER(H2531),IF(COUNTIFS($D$2:D2531,D2531,$H$2:H2531,H2531)=1,1,0),"")</f>
        <v/>
      </c>
      <c r="J2531" s="50" t="str">
        <f>IF(ISNUMBER(H2531),IFERROR(INDEX(Calendrier!$C$2:$C$367,MATCH(H2531,Calendrier!$A$2:$A$367,0)),0),"")</f>
        <v/>
      </c>
      <c r="K2531" s="50" t="str">
        <f t="shared" si="199"/>
        <v/>
      </c>
      <c r="L2531" s="50" t="str">
        <f>IF(D2531="","",IF(COUNTIF(Paramètres!$A$11:$A$40,D2531)&gt;0,1,0))</f>
        <v/>
      </c>
    </row>
    <row r="2532" spans="1:12" hidden="1" x14ac:dyDescent="0.25">
      <c r="A2532" s="49"/>
      <c r="B2532" s="49"/>
      <c r="C2532" s="49"/>
      <c r="D2532" s="50" t="str">
        <f t="shared" si="195"/>
        <v/>
      </c>
      <c r="E2532" s="50" t="str">
        <f t="shared" si="196"/>
        <v/>
      </c>
      <c r="F2532" s="50" t="str">
        <f t="shared" si="197"/>
        <v/>
      </c>
      <c r="G2532" s="50" t="str">
        <f t="shared" si="198"/>
        <v/>
      </c>
      <c r="H2532" s="51" t="str">
        <f>IF($C2532="","",IFERROR(DATE(G2532,VLOOKUP(E2532,Paramètres!$K$11:$L$40,2,FALSE()),F2532),"?"))</f>
        <v/>
      </c>
      <c r="I2532" s="50" t="str">
        <f>IF(ISNUMBER(H2532),IF(COUNTIFS($D$2:D2532,D2532,$H$2:H2532,H2532)=1,1,0),"")</f>
        <v/>
      </c>
      <c r="J2532" s="50" t="str">
        <f>IF(ISNUMBER(H2532),IFERROR(INDEX(Calendrier!$C$2:$C$367,MATCH(H2532,Calendrier!$A$2:$A$367,0)),0),"")</f>
        <v/>
      </c>
      <c r="K2532" s="50" t="str">
        <f t="shared" si="199"/>
        <v/>
      </c>
      <c r="L2532" s="50" t="str">
        <f>IF(D2532="","",IF(COUNTIF(Paramètres!$A$11:$A$40,D2532)&gt;0,1,0))</f>
        <v/>
      </c>
    </row>
    <row r="2533" spans="1:12" hidden="1" x14ac:dyDescent="0.25">
      <c r="A2533" s="49"/>
      <c r="B2533" s="49"/>
      <c r="C2533" s="49"/>
      <c r="D2533" s="50" t="str">
        <f t="shared" si="195"/>
        <v/>
      </c>
      <c r="E2533" s="50" t="str">
        <f t="shared" si="196"/>
        <v/>
      </c>
      <c r="F2533" s="50" t="str">
        <f t="shared" si="197"/>
        <v/>
      </c>
      <c r="G2533" s="50" t="str">
        <f t="shared" si="198"/>
        <v/>
      </c>
      <c r="H2533" s="51" t="str">
        <f>IF($C2533="","",IFERROR(DATE(G2533,VLOOKUP(E2533,Paramètres!$K$11:$L$40,2,FALSE()),F2533),"?"))</f>
        <v/>
      </c>
      <c r="I2533" s="50" t="str">
        <f>IF(ISNUMBER(H2533),IF(COUNTIFS($D$2:D2533,D2533,$H$2:H2533,H2533)=1,1,0),"")</f>
        <v/>
      </c>
      <c r="J2533" s="50" t="str">
        <f>IF(ISNUMBER(H2533),IFERROR(INDEX(Calendrier!$C$2:$C$367,MATCH(H2533,Calendrier!$A$2:$A$367,0)),0),"")</f>
        <v/>
      </c>
      <c r="K2533" s="50" t="str">
        <f t="shared" si="199"/>
        <v/>
      </c>
      <c r="L2533" s="50" t="str">
        <f>IF(D2533="","",IF(COUNTIF(Paramètres!$A$11:$A$40,D2533)&gt;0,1,0))</f>
        <v/>
      </c>
    </row>
    <row r="2534" spans="1:12" hidden="1" x14ac:dyDescent="0.25">
      <c r="A2534" s="49"/>
      <c r="B2534" s="49"/>
      <c r="C2534" s="49"/>
      <c r="D2534" s="50" t="str">
        <f t="shared" si="195"/>
        <v/>
      </c>
      <c r="E2534" s="50" t="str">
        <f t="shared" si="196"/>
        <v/>
      </c>
      <c r="F2534" s="50" t="str">
        <f t="shared" si="197"/>
        <v/>
      </c>
      <c r="G2534" s="50" t="str">
        <f t="shared" si="198"/>
        <v/>
      </c>
      <c r="H2534" s="51" t="str">
        <f>IF($C2534="","",IFERROR(DATE(G2534,VLOOKUP(E2534,Paramètres!$K$11:$L$40,2,FALSE()),F2534),"?"))</f>
        <v/>
      </c>
      <c r="I2534" s="50" t="str">
        <f>IF(ISNUMBER(H2534),IF(COUNTIFS($D$2:D2534,D2534,$H$2:H2534,H2534)=1,1,0),"")</f>
        <v/>
      </c>
      <c r="J2534" s="50" t="str">
        <f>IF(ISNUMBER(H2534),IFERROR(INDEX(Calendrier!$C$2:$C$367,MATCH(H2534,Calendrier!$A$2:$A$367,0)),0),"")</f>
        <v/>
      </c>
      <c r="K2534" s="50" t="str">
        <f t="shared" si="199"/>
        <v/>
      </c>
      <c r="L2534" s="50" t="str">
        <f>IF(D2534="","",IF(COUNTIF(Paramètres!$A$11:$A$40,D2534)&gt;0,1,0))</f>
        <v/>
      </c>
    </row>
    <row r="2535" spans="1:12" hidden="1" x14ac:dyDescent="0.25">
      <c r="A2535" s="49"/>
      <c r="B2535" s="49"/>
      <c r="C2535" s="49"/>
      <c r="D2535" s="50" t="str">
        <f t="shared" si="195"/>
        <v/>
      </c>
      <c r="E2535" s="50" t="str">
        <f t="shared" si="196"/>
        <v/>
      </c>
      <c r="F2535" s="50" t="str">
        <f t="shared" si="197"/>
        <v/>
      </c>
      <c r="G2535" s="50" t="str">
        <f t="shared" si="198"/>
        <v/>
      </c>
      <c r="H2535" s="51" t="str">
        <f>IF($C2535="","",IFERROR(DATE(G2535,VLOOKUP(E2535,Paramètres!$K$11:$L$40,2,FALSE()),F2535),"?"))</f>
        <v/>
      </c>
      <c r="I2535" s="50" t="str">
        <f>IF(ISNUMBER(H2535),IF(COUNTIFS($D$2:D2535,D2535,$H$2:H2535,H2535)=1,1,0),"")</f>
        <v/>
      </c>
      <c r="J2535" s="50" t="str">
        <f>IF(ISNUMBER(H2535),IFERROR(INDEX(Calendrier!$C$2:$C$367,MATCH(H2535,Calendrier!$A$2:$A$367,0)),0),"")</f>
        <v/>
      </c>
      <c r="K2535" s="50" t="str">
        <f t="shared" si="199"/>
        <v/>
      </c>
      <c r="L2535" s="50" t="str">
        <f>IF(D2535="","",IF(COUNTIF(Paramètres!$A$11:$A$40,D2535)&gt;0,1,0))</f>
        <v/>
      </c>
    </row>
    <row r="2536" spans="1:12" hidden="1" x14ac:dyDescent="0.25">
      <c r="A2536" s="49"/>
      <c r="B2536" s="49"/>
      <c r="C2536" s="49"/>
      <c r="D2536" s="50" t="str">
        <f t="shared" si="195"/>
        <v/>
      </c>
      <c r="E2536" s="50" t="str">
        <f t="shared" si="196"/>
        <v/>
      </c>
      <c r="F2536" s="50" t="str">
        <f t="shared" si="197"/>
        <v/>
      </c>
      <c r="G2536" s="50" t="str">
        <f t="shared" si="198"/>
        <v/>
      </c>
      <c r="H2536" s="51" t="str">
        <f>IF($C2536="","",IFERROR(DATE(G2536,VLOOKUP(E2536,Paramètres!$K$11:$L$40,2,FALSE()),F2536),"?"))</f>
        <v/>
      </c>
      <c r="I2536" s="50" t="str">
        <f>IF(ISNUMBER(H2536),IF(COUNTIFS($D$2:D2536,D2536,$H$2:H2536,H2536)=1,1,0),"")</f>
        <v/>
      </c>
      <c r="J2536" s="50" t="str">
        <f>IF(ISNUMBER(H2536),IFERROR(INDEX(Calendrier!$C$2:$C$367,MATCH(H2536,Calendrier!$A$2:$A$367,0)),0),"")</f>
        <v/>
      </c>
      <c r="K2536" s="50" t="str">
        <f t="shared" si="199"/>
        <v/>
      </c>
      <c r="L2536" s="50" t="str">
        <f>IF(D2536="","",IF(COUNTIF(Paramètres!$A$11:$A$40,D2536)&gt;0,1,0))</f>
        <v/>
      </c>
    </row>
    <row r="2537" spans="1:12" hidden="1" x14ac:dyDescent="0.25">
      <c r="A2537" s="49"/>
      <c r="B2537" s="49"/>
      <c r="C2537" s="49"/>
      <c r="D2537" s="50" t="str">
        <f t="shared" si="195"/>
        <v/>
      </c>
      <c r="E2537" s="50" t="str">
        <f t="shared" si="196"/>
        <v/>
      </c>
      <c r="F2537" s="50" t="str">
        <f t="shared" si="197"/>
        <v/>
      </c>
      <c r="G2537" s="50" t="str">
        <f t="shared" si="198"/>
        <v/>
      </c>
      <c r="H2537" s="51" t="str">
        <f>IF($C2537="","",IFERROR(DATE(G2537,VLOOKUP(E2537,Paramètres!$K$11:$L$40,2,FALSE()),F2537),"?"))</f>
        <v/>
      </c>
      <c r="I2537" s="50" t="str">
        <f>IF(ISNUMBER(H2537),IF(COUNTIFS($D$2:D2537,D2537,$H$2:H2537,H2537)=1,1,0),"")</f>
        <v/>
      </c>
      <c r="J2537" s="50" t="str">
        <f>IF(ISNUMBER(H2537),IFERROR(INDEX(Calendrier!$C$2:$C$367,MATCH(H2537,Calendrier!$A$2:$A$367,0)),0),"")</f>
        <v/>
      </c>
      <c r="K2537" s="50" t="str">
        <f t="shared" si="199"/>
        <v/>
      </c>
      <c r="L2537" s="50" t="str">
        <f>IF(D2537="","",IF(COUNTIF(Paramètres!$A$11:$A$40,D2537)&gt;0,1,0))</f>
        <v/>
      </c>
    </row>
    <row r="2538" spans="1:12" hidden="1" x14ac:dyDescent="0.25">
      <c r="A2538" s="49"/>
      <c r="B2538" s="49"/>
      <c r="C2538" s="49"/>
      <c r="D2538" s="50" t="str">
        <f t="shared" si="195"/>
        <v/>
      </c>
      <c r="E2538" s="50" t="str">
        <f t="shared" si="196"/>
        <v/>
      </c>
      <c r="F2538" s="50" t="str">
        <f t="shared" si="197"/>
        <v/>
      </c>
      <c r="G2538" s="50" t="str">
        <f t="shared" si="198"/>
        <v/>
      </c>
      <c r="H2538" s="51" t="str">
        <f>IF($C2538="","",IFERROR(DATE(G2538,VLOOKUP(E2538,Paramètres!$K$11:$L$40,2,FALSE()),F2538),"?"))</f>
        <v/>
      </c>
      <c r="I2538" s="50" t="str">
        <f>IF(ISNUMBER(H2538),IF(COUNTIFS($D$2:D2538,D2538,$H$2:H2538,H2538)=1,1,0),"")</f>
        <v/>
      </c>
      <c r="J2538" s="50" t="str">
        <f>IF(ISNUMBER(H2538),IFERROR(INDEX(Calendrier!$C$2:$C$367,MATCH(H2538,Calendrier!$A$2:$A$367,0)),0),"")</f>
        <v/>
      </c>
      <c r="K2538" s="50" t="str">
        <f t="shared" si="199"/>
        <v/>
      </c>
      <c r="L2538" s="50" t="str">
        <f>IF(D2538="","",IF(COUNTIF(Paramètres!$A$11:$A$40,D2538)&gt;0,1,0))</f>
        <v/>
      </c>
    </row>
    <row r="2539" spans="1:12" hidden="1" x14ac:dyDescent="0.25">
      <c r="A2539" s="49"/>
      <c r="B2539" s="49"/>
      <c r="C2539" s="49"/>
      <c r="D2539" s="50" t="str">
        <f t="shared" si="195"/>
        <v/>
      </c>
      <c r="E2539" s="50" t="str">
        <f t="shared" si="196"/>
        <v/>
      </c>
      <c r="F2539" s="50" t="str">
        <f t="shared" si="197"/>
        <v/>
      </c>
      <c r="G2539" s="50" t="str">
        <f t="shared" si="198"/>
        <v/>
      </c>
      <c r="H2539" s="51" t="str">
        <f>IF($C2539="","",IFERROR(DATE(G2539,VLOOKUP(E2539,Paramètres!$K$11:$L$40,2,FALSE()),F2539),"?"))</f>
        <v/>
      </c>
      <c r="I2539" s="50" t="str">
        <f>IF(ISNUMBER(H2539),IF(COUNTIFS($D$2:D2539,D2539,$H$2:H2539,H2539)=1,1,0),"")</f>
        <v/>
      </c>
      <c r="J2539" s="50" t="str">
        <f>IF(ISNUMBER(H2539),IFERROR(INDEX(Calendrier!$C$2:$C$367,MATCH(H2539,Calendrier!$A$2:$A$367,0)),0),"")</f>
        <v/>
      </c>
      <c r="K2539" s="50" t="str">
        <f t="shared" si="199"/>
        <v/>
      </c>
      <c r="L2539" s="50" t="str">
        <f>IF(D2539="","",IF(COUNTIF(Paramètres!$A$11:$A$40,D2539)&gt;0,1,0))</f>
        <v/>
      </c>
    </row>
    <row r="2540" spans="1:12" hidden="1" x14ac:dyDescent="0.25">
      <c r="A2540" s="49"/>
      <c r="B2540" s="49"/>
      <c r="C2540" s="49"/>
      <c r="D2540" s="50" t="str">
        <f t="shared" si="195"/>
        <v/>
      </c>
      <c r="E2540" s="50" t="str">
        <f t="shared" si="196"/>
        <v/>
      </c>
      <c r="F2540" s="50" t="str">
        <f t="shared" si="197"/>
        <v/>
      </c>
      <c r="G2540" s="50" t="str">
        <f t="shared" si="198"/>
        <v/>
      </c>
      <c r="H2540" s="51" t="str">
        <f>IF($C2540="","",IFERROR(DATE(G2540,VLOOKUP(E2540,Paramètres!$K$11:$L$40,2,FALSE()),F2540),"?"))</f>
        <v/>
      </c>
      <c r="I2540" s="50" t="str">
        <f>IF(ISNUMBER(H2540),IF(COUNTIFS($D$2:D2540,D2540,$H$2:H2540,H2540)=1,1,0),"")</f>
        <v/>
      </c>
      <c r="J2540" s="50" t="str">
        <f>IF(ISNUMBER(H2540),IFERROR(INDEX(Calendrier!$C$2:$C$367,MATCH(H2540,Calendrier!$A$2:$A$367,0)),0),"")</f>
        <v/>
      </c>
      <c r="K2540" s="50" t="str">
        <f t="shared" si="199"/>
        <v/>
      </c>
      <c r="L2540" s="50" t="str">
        <f>IF(D2540="","",IF(COUNTIF(Paramètres!$A$11:$A$40,D2540)&gt;0,1,0))</f>
        <v/>
      </c>
    </row>
    <row r="2541" spans="1:12" hidden="1" x14ac:dyDescent="0.25">
      <c r="A2541" s="49"/>
      <c r="B2541" s="49"/>
      <c r="C2541" s="49"/>
      <c r="D2541" s="50" t="str">
        <f t="shared" si="195"/>
        <v/>
      </c>
      <c r="E2541" s="50" t="str">
        <f t="shared" si="196"/>
        <v/>
      </c>
      <c r="F2541" s="50" t="str">
        <f t="shared" si="197"/>
        <v/>
      </c>
      <c r="G2541" s="50" t="str">
        <f t="shared" si="198"/>
        <v/>
      </c>
      <c r="H2541" s="51" t="str">
        <f>IF($C2541="","",IFERROR(DATE(G2541,VLOOKUP(E2541,Paramètres!$K$11:$L$40,2,FALSE()),F2541),"?"))</f>
        <v/>
      </c>
      <c r="I2541" s="50" t="str">
        <f>IF(ISNUMBER(H2541),IF(COUNTIFS($D$2:D2541,D2541,$H$2:H2541,H2541)=1,1,0),"")</f>
        <v/>
      </c>
      <c r="J2541" s="50" t="str">
        <f>IF(ISNUMBER(H2541),IFERROR(INDEX(Calendrier!$C$2:$C$367,MATCH(H2541,Calendrier!$A$2:$A$367,0)),0),"")</f>
        <v/>
      </c>
      <c r="K2541" s="50" t="str">
        <f t="shared" si="199"/>
        <v/>
      </c>
      <c r="L2541" s="50" t="str">
        <f>IF(D2541="","",IF(COUNTIF(Paramètres!$A$11:$A$40,D2541)&gt;0,1,0))</f>
        <v/>
      </c>
    </row>
    <row r="2542" spans="1:12" hidden="1" x14ac:dyDescent="0.25">
      <c r="A2542" s="49"/>
      <c r="B2542" s="49"/>
      <c r="C2542" s="49"/>
      <c r="D2542" s="50" t="str">
        <f t="shared" si="195"/>
        <v/>
      </c>
      <c r="E2542" s="50" t="str">
        <f t="shared" si="196"/>
        <v/>
      </c>
      <c r="F2542" s="50" t="str">
        <f t="shared" si="197"/>
        <v/>
      </c>
      <c r="G2542" s="50" t="str">
        <f t="shared" si="198"/>
        <v/>
      </c>
      <c r="H2542" s="51" t="str">
        <f>IF($C2542="","",IFERROR(DATE(G2542,VLOOKUP(E2542,Paramètres!$K$11:$L$40,2,FALSE()),F2542),"?"))</f>
        <v/>
      </c>
      <c r="I2542" s="50" t="str">
        <f>IF(ISNUMBER(H2542),IF(COUNTIFS($D$2:D2542,D2542,$H$2:H2542,H2542)=1,1,0),"")</f>
        <v/>
      </c>
      <c r="J2542" s="50" t="str">
        <f>IF(ISNUMBER(H2542),IFERROR(INDEX(Calendrier!$C$2:$C$367,MATCH(H2542,Calendrier!$A$2:$A$367,0)),0),"")</f>
        <v/>
      </c>
      <c r="K2542" s="50" t="str">
        <f t="shared" si="199"/>
        <v/>
      </c>
      <c r="L2542" s="50" t="str">
        <f>IF(D2542="","",IF(COUNTIF(Paramètres!$A$11:$A$40,D2542)&gt;0,1,0))</f>
        <v/>
      </c>
    </row>
    <row r="2543" spans="1:12" hidden="1" x14ac:dyDescent="0.25">
      <c r="A2543" s="49"/>
      <c r="B2543" s="49"/>
      <c r="C2543" s="49"/>
      <c r="D2543" s="50" t="str">
        <f t="shared" si="195"/>
        <v/>
      </c>
      <c r="E2543" s="50" t="str">
        <f t="shared" si="196"/>
        <v/>
      </c>
      <c r="F2543" s="50" t="str">
        <f t="shared" si="197"/>
        <v/>
      </c>
      <c r="G2543" s="50" t="str">
        <f t="shared" si="198"/>
        <v/>
      </c>
      <c r="H2543" s="51" t="str">
        <f>IF($C2543="","",IFERROR(DATE(G2543,VLOOKUP(E2543,Paramètres!$K$11:$L$40,2,FALSE()),F2543),"?"))</f>
        <v/>
      </c>
      <c r="I2543" s="50" t="str">
        <f>IF(ISNUMBER(H2543),IF(COUNTIFS($D$2:D2543,D2543,$H$2:H2543,H2543)=1,1,0),"")</f>
        <v/>
      </c>
      <c r="J2543" s="50" t="str">
        <f>IF(ISNUMBER(H2543),IFERROR(INDEX(Calendrier!$C$2:$C$367,MATCH(H2543,Calendrier!$A$2:$A$367,0)),0),"")</f>
        <v/>
      </c>
      <c r="K2543" s="50" t="str">
        <f t="shared" si="199"/>
        <v/>
      </c>
      <c r="L2543" s="50" t="str">
        <f>IF(D2543="","",IF(COUNTIF(Paramètres!$A$11:$A$40,D2543)&gt;0,1,0))</f>
        <v/>
      </c>
    </row>
    <row r="2544" spans="1:12" hidden="1" x14ac:dyDescent="0.25">
      <c r="A2544" s="49"/>
      <c r="B2544" s="49"/>
      <c r="C2544" s="49"/>
      <c r="D2544" s="50" t="str">
        <f t="shared" si="195"/>
        <v/>
      </c>
      <c r="E2544" s="50" t="str">
        <f t="shared" si="196"/>
        <v/>
      </c>
      <c r="F2544" s="50" t="str">
        <f t="shared" si="197"/>
        <v/>
      </c>
      <c r="G2544" s="50" t="str">
        <f t="shared" si="198"/>
        <v/>
      </c>
      <c r="H2544" s="51" t="str">
        <f>IF($C2544="","",IFERROR(DATE(G2544,VLOOKUP(E2544,Paramètres!$K$11:$L$40,2,FALSE()),F2544),"?"))</f>
        <v/>
      </c>
      <c r="I2544" s="50" t="str">
        <f>IF(ISNUMBER(H2544),IF(COUNTIFS($D$2:D2544,D2544,$H$2:H2544,H2544)=1,1,0),"")</f>
        <v/>
      </c>
      <c r="J2544" s="50" t="str">
        <f>IF(ISNUMBER(H2544),IFERROR(INDEX(Calendrier!$C$2:$C$367,MATCH(H2544,Calendrier!$A$2:$A$367,0)),0),"")</f>
        <v/>
      </c>
      <c r="K2544" s="50" t="str">
        <f t="shared" si="199"/>
        <v/>
      </c>
      <c r="L2544" s="50" t="str">
        <f>IF(D2544="","",IF(COUNTIF(Paramètres!$A$11:$A$40,D2544)&gt;0,1,0))</f>
        <v/>
      </c>
    </row>
    <row r="2545" spans="1:12" hidden="1" x14ac:dyDescent="0.25">
      <c r="A2545" s="49"/>
      <c r="B2545" s="49"/>
      <c r="C2545" s="49"/>
      <c r="D2545" s="50" t="str">
        <f t="shared" si="195"/>
        <v/>
      </c>
      <c r="E2545" s="50" t="str">
        <f t="shared" si="196"/>
        <v/>
      </c>
      <c r="F2545" s="50" t="str">
        <f t="shared" si="197"/>
        <v/>
      </c>
      <c r="G2545" s="50" t="str">
        <f t="shared" si="198"/>
        <v/>
      </c>
      <c r="H2545" s="51" t="str">
        <f>IF($C2545="","",IFERROR(DATE(G2545,VLOOKUP(E2545,Paramètres!$K$11:$L$40,2,FALSE()),F2545),"?"))</f>
        <v/>
      </c>
      <c r="I2545" s="50" t="str">
        <f>IF(ISNUMBER(H2545),IF(COUNTIFS($D$2:D2545,D2545,$H$2:H2545,H2545)=1,1,0),"")</f>
        <v/>
      </c>
      <c r="J2545" s="50" t="str">
        <f>IF(ISNUMBER(H2545),IFERROR(INDEX(Calendrier!$C$2:$C$367,MATCH(H2545,Calendrier!$A$2:$A$367,0)),0),"")</f>
        <v/>
      </c>
      <c r="K2545" s="50" t="str">
        <f t="shared" si="199"/>
        <v/>
      </c>
      <c r="L2545" s="50" t="str">
        <f>IF(D2545="","",IF(COUNTIF(Paramètres!$A$11:$A$40,D2545)&gt;0,1,0))</f>
        <v/>
      </c>
    </row>
    <row r="2546" spans="1:12" hidden="1" x14ac:dyDescent="0.25">
      <c r="A2546" s="49"/>
      <c r="B2546" s="49"/>
      <c r="C2546" s="49"/>
      <c r="D2546" s="50" t="str">
        <f t="shared" si="195"/>
        <v/>
      </c>
      <c r="E2546" s="50" t="str">
        <f t="shared" si="196"/>
        <v/>
      </c>
      <c r="F2546" s="50" t="str">
        <f t="shared" si="197"/>
        <v/>
      </c>
      <c r="G2546" s="50" t="str">
        <f t="shared" si="198"/>
        <v/>
      </c>
      <c r="H2546" s="51" t="str">
        <f>IF($C2546="","",IFERROR(DATE(G2546,VLOOKUP(E2546,Paramètres!$K$11:$L$40,2,FALSE()),F2546),"?"))</f>
        <v/>
      </c>
      <c r="I2546" s="50" t="str">
        <f>IF(ISNUMBER(H2546),IF(COUNTIFS($D$2:D2546,D2546,$H$2:H2546,H2546)=1,1,0),"")</f>
        <v/>
      </c>
      <c r="J2546" s="50" t="str">
        <f>IF(ISNUMBER(H2546),IFERROR(INDEX(Calendrier!$C$2:$C$367,MATCH(H2546,Calendrier!$A$2:$A$367,0)),0),"")</f>
        <v/>
      </c>
      <c r="K2546" s="50" t="str">
        <f t="shared" si="199"/>
        <v/>
      </c>
      <c r="L2546" s="50" t="str">
        <f>IF(D2546="","",IF(COUNTIF(Paramètres!$A$11:$A$40,D2546)&gt;0,1,0))</f>
        <v/>
      </c>
    </row>
    <row r="2547" spans="1:12" hidden="1" x14ac:dyDescent="0.25">
      <c r="A2547" s="49"/>
      <c r="B2547" s="49"/>
      <c r="C2547" s="49"/>
      <c r="D2547" s="50" t="str">
        <f t="shared" si="195"/>
        <v/>
      </c>
      <c r="E2547" s="50" t="str">
        <f t="shared" si="196"/>
        <v/>
      </c>
      <c r="F2547" s="50" t="str">
        <f t="shared" si="197"/>
        <v/>
      </c>
      <c r="G2547" s="50" t="str">
        <f t="shared" si="198"/>
        <v/>
      </c>
      <c r="H2547" s="51" t="str">
        <f>IF($C2547="","",IFERROR(DATE(G2547,VLOOKUP(E2547,Paramètres!$K$11:$L$40,2,FALSE()),F2547),"?"))</f>
        <v/>
      </c>
      <c r="I2547" s="50" t="str">
        <f>IF(ISNUMBER(H2547),IF(COUNTIFS($D$2:D2547,D2547,$H$2:H2547,H2547)=1,1,0),"")</f>
        <v/>
      </c>
      <c r="J2547" s="50" t="str">
        <f>IF(ISNUMBER(H2547),IFERROR(INDEX(Calendrier!$C$2:$C$367,MATCH(H2547,Calendrier!$A$2:$A$367,0)),0),"")</f>
        <v/>
      </c>
      <c r="K2547" s="50" t="str">
        <f t="shared" si="199"/>
        <v/>
      </c>
      <c r="L2547" s="50" t="str">
        <f>IF(D2547="","",IF(COUNTIF(Paramètres!$A$11:$A$40,D2547)&gt;0,1,0))</f>
        <v/>
      </c>
    </row>
    <row r="2548" spans="1:12" hidden="1" x14ac:dyDescent="0.25">
      <c r="A2548" s="49"/>
      <c r="B2548" s="49"/>
      <c r="C2548" s="49"/>
      <c r="D2548" s="50" t="str">
        <f t="shared" si="195"/>
        <v/>
      </c>
      <c r="E2548" s="50" t="str">
        <f t="shared" si="196"/>
        <v/>
      </c>
      <c r="F2548" s="50" t="str">
        <f t="shared" si="197"/>
        <v/>
      </c>
      <c r="G2548" s="50" t="str">
        <f t="shared" si="198"/>
        <v/>
      </c>
      <c r="H2548" s="51" t="str">
        <f>IF($C2548="","",IFERROR(DATE(G2548,VLOOKUP(E2548,Paramètres!$K$11:$L$40,2,FALSE()),F2548),"?"))</f>
        <v/>
      </c>
      <c r="I2548" s="50" t="str">
        <f>IF(ISNUMBER(H2548),IF(COUNTIFS($D$2:D2548,D2548,$H$2:H2548,H2548)=1,1,0),"")</f>
        <v/>
      </c>
      <c r="J2548" s="50" t="str">
        <f>IF(ISNUMBER(H2548),IFERROR(INDEX(Calendrier!$C$2:$C$367,MATCH(H2548,Calendrier!$A$2:$A$367,0)),0),"")</f>
        <v/>
      </c>
      <c r="K2548" s="50" t="str">
        <f t="shared" si="199"/>
        <v/>
      </c>
      <c r="L2548" s="50" t="str">
        <f>IF(D2548="","",IF(COUNTIF(Paramètres!$A$11:$A$40,D2548)&gt;0,1,0))</f>
        <v/>
      </c>
    </row>
    <row r="2549" spans="1:12" hidden="1" x14ac:dyDescent="0.25">
      <c r="A2549" s="49"/>
      <c r="B2549" s="49"/>
      <c r="C2549" s="49"/>
      <c r="D2549" s="50" t="str">
        <f t="shared" si="195"/>
        <v/>
      </c>
      <c r="E2549" s="50" t="str">
        <f t="shared" si="196"/>
        <v/>
      </c>
      <c r="F2549" s="50" t="str">
        <f t="shared" si="197"/>
        <v/>
      </c>
      <c r="G2549" s="50" t="str">
        <f t="shared" si="198"/>
        <v/>
      </c>
      <c r="H2549" s="51" t="str">
        <f>IF($C2549="","",IFERROR(DATE(G2549,VLOOKUP(E2549,Paramètres!$K$11:$L$40,2,FALSE()),F2549),"?"))</f>
        <v/>
      </c>
      <c r="I2549" s="50" t="str">
        <f>IF(ISNUMBER(H2549),IF(COUNTIFS($D$2:D2549,D2549,$H$2:H2549,H2549)=1,1,0),"")</f>
        <v/>
      </c>
      <c r="J2549" s="50" t="str">
        <f>IF(ISNUMBER(H2549),IFERROR(INDEX(Calendrier!$C$2:$C$367,MATCH(H2549,Calendrier!$A$2:$A$367,0)),0),"")</f>
        <v/>
      </c>
      <c r="K2549" s="50" t="str">
        <f t="shared" si="199"/>
        <v/>
      </c>
      <c r="L2549" s="50" t="str">
        <f>IF(D2549="","",IF(COUNTIF(Paramètres!$A$11:$A$40,D2549)&gt;0,1,0))</f>
        <v/>
      </c>
    </row>
    <row r="2550" spans="1:12" hidden="1" x14ac:dyDescent="0.25">
      <c r="A2550" s="49"/>
      <c r="B2550" s="49"/>
      <c r="C2550" s="49"/>
      <c r="D2550" s="50" t="str">
        <f t="shared" si="195"/>
        <v/>
      </c>
      <c r="E2550" s="50" t="str">
        <f t="shared" si="196"/>
        <v/>
      </c>
      <c r="F2550" s="50" t="str">
        <f t="shared" si="197"/>
        <v/>
      </c>
      <c r="G2550" s="50" t="str">
        <f t="shared" si="198"/>
        <v/>
      </c>
      <c r="H2550" s="51" t="str">
        <f>IF($C2550="","",IFERROR(DATE(G2550,VLOOKUP(E2550,Paramètres!$K$11:$L$40,2,FALSE()),F2550),"?"))</f>
        <v/>
      </c>
      <c r="I2550" s="50" t="str">
        <f>IF(ISNUMBER(H2550),IF(COUNTIFS($D$2:D2550,D2550,$H$2:H2550,H2550)=1,1,0),"")</f>
        <v/>
      </c>
      <c r="J2550" s="50" t="str">
        <f>IF(ISNUMBER(H2550),IFERROR(INDEX(Calendrier!$C$2:$C$367,MATCH(H2550,Calendrier!$A$2:$A$367,0)),0),"")</f>
        <v/>
      </c>
      <c r="K2550" s="50" t="str">
        <f t="shared" si="199"/>
        <v/>
      </c>
      <c r="L2550" s="50" t="str">
        <f>IF(D2550="","",IF(COUNTIF(Paramètres!$A$11:$A$40,D2550)&gt;0,1,0))</f>
        <v/>
      </c>
    </row>
    <row r="2551" spans="1:12" hidden="1" x14ac:dyDescent="0.25">
      <c r="A2551" s="49"/>
      <c r="B2551" s="49"/>
      <c r="C2551" s="49"/>
      <c r="D2551" s="50" t="str">
        <f t="shared" si="195"/>
        <v/>
      </c>
      <c r="E2551" s="50" t="str">
        <f t="shared" si="196"/>
        <v/>
      </c>
      <c r="F2551" s="50" t="str">
        <f t="shared" si="197"/>
        <v/>
      </c>
      <c r="G2551" s="50" t="str">
        <f t="shared" si="198"/>
        <v/>
      </c>
      <c r="H2551" s="51" t="str">
        <f>IF($C2551="","",IFERROR(DATE(G2551,VLOOKUP(E2551,Paramètres!$K$11:$L$40,2,FALSE()),F2551),"?"))</f>
        <v/>
      </c>
      <c r="I2551" s="50" t="str">
        <f>IF(ISNUMBER(H2551),IF(COUNTIFS($D$2:D2551,D2551,$H$2:H2551,H2551)=1,1,0),"")</f>
        <v/>
      </c>
      <c r="J2551" s="50" t="str">
        <f>IF(ISNUMBER(H2551),IFERROR(INDEX(Calendrier!$C$2:$C$367,MATCH(H2551,Calendrier!$A$2:$A$367,0)),0),"")</f>
        <v/>
      </c>
      <c r="K2551" s="50" t="str">
        <f t="shared" si="199"/>
        <v/>
      </c>
      <c r="L2551" s="50" t="str">
        <f>IF(D2551="","",IF(COUNTIF(Paramètres!$A$11:$A$40,D2551)&gt;0,1,0))</f>
        <v/>
      </c>
    </row>
    <row r="2552" spans="1:12" hidden="1" x14ac:dyDescent="0.25">
      <c r="A2552" s="49"/>
      <c r="B2552" s="49"/>
      <c r="C2552" s="49"/>
      <c r="D2552" s="50" t="str">
        <f t="shared" si="195"/>
        <v/>
      </c>
      <c r="E2552" s="50" t="str">
        <f t="shared" si="196"/>
        <v/>
      </c>
      <c r="F2552" s="50" t="str">
        <f t="shared" si="197"/>
        <v/>
      </c>
      <c r="G2552" s="50" t="str">
        <f t="shared" si="198"/>
        <v/>
      </c>
      <c r="H2552" s="51" t="str">
        <f>IF($C2552="","",IFERROR(DATE(G2552,VLOOKUP(E2552,Paramètres!$K$11:$L$40,2,FALSE()),F2552),"?"))</f>
        <v/>
      </c>
      <c r="I2552" s="50" t="str">
        <f>IF(ISNUMBER(H2552),IF(COUNTIFS($D$2:D2552,D2552,$H$2:H2552,H2552)=1,1,0),"")</f>
        <v/>
      </c>
      <c r="J2552" s="50" t="str">
        <f>IF(ISNUMBER(H2552),IFERROR(INDEX(Calendrier!$C$2:$C$367,MATCH(H2552,Calendrier!$A$2:$A$367,0)),0),"")</f>
        <v/>
      </c>
      <c r="K2552" s="50" t="str">
        <f t="shared" si="199"/>
        <v/>
      </c>
      <c r="L2552" s="50" t="str">
        <f>IF(D2552="","",IF(COUNTIF(Paramètres!$A$11:$A$40,D2552)&gt;0,1,0))</f>
        <v/>
      </c>
    </row>
    <row r="2553" spans="1:12" hidden="1" x14ac:dyDescent="0.25">
      <c r="A2553" s="49"/>
      <c r="B2553" s="49"/>
      <c r="C2553" s="49"/>
      <c r="D2553" s="50" t="str">
        <f t="shared" si="195"/>
        <v/>
      </c>
      <c r="E2553" s="50" t="str">
        <f t="shared" si="196"/>
        <v/>
      </c>
      <c r="F2553" s="50" t="str">
        <f t="shared" si="197"/>
        <v/>
      </c>
      <c r="G2553" s="50" t="str">
        <f t="shared" si="198"/>
        <v/>
      </c>
      <c r="H2553" s="51" t="str">
        <f>IF($C2553="","",IFERROR(DATE(G2553,VLOOKUP(E2553,Paramètres!$K$11:$L$40,2,FALSE()),F2553),"?"))</f>
        <v/>
      </c>
      <c r="I2553" s="50" t="str">
        <f>IF(ISNUMBER(H2553),IF(COUNTIFS($D$2:D2553,D2553,$H$2:H2553,H2553)=1,1,0),"")</f>
        <v/>
      </c>
      <c r="J2553" s="50" t="str">
        <f>IF(ISNUMBER(H2553),IFERROR(INDEX(Calendrier!$C$2:$C$367,MATCH(H2553,Calendrier!$A$2:$A$367,0)),0),"")</f>
        <v/>
      </c>
      <c r="K2553" s="50" t="str">
        <f t="shared" si="199"/>
        <v/>
      </c>
      <c r="L2553" s="50" t="str">
        <f>IF(D2553="","",IF(COUNTIF(Paramètres!$A$11:$A$40,D2553)&gt;0,1,0))</f>
        <v/>
      </c>
    </row>
    <row r="2554" spans="1:12" hidden="1" x14ac:dyDescent="0.25">
      <c r="A2554" s="49"/>
      <c r="B2554" s="49"/>
      <c r="C2554" s="49"/>
      <c r="D2554" s="50" t="str">
        <f t="shared" si="195"/>
        <v/>
      </c>
      <c r="E2554" s="50" t="str">
        <f t="shared" si="196"/>
        <v/>
      </c>
      <c r="F2554" s="50" t="str">
        <f t="shared" si="197"/>
        <v/>
      </c>
      <c r="G2554" s="50" t="str">
        <f t="shared" si="198"/>
        <v/>
      </c>
      <c r="H2554" s="51" t="str">
        <f>IF($C2554="","",IFERROR(DATE(G2554,VLOOKUP(E2554,Paramètres!$K$11:$L$40,2,FALSE()),F2554),"?"))</f>
        <v/>
      </c>
      <c r="I2554" s="50" t="str">
        <f>IF(ISNUMBER(H2554),IF(COUNTIFS($D$2:D2554,D2554,$H$2:H2554,H2554)=1,1,0),"")</f>
        <v/>
      </c>
      <c r="J2554" s="50" t="str">
        <f>IF(ISNUMBER(H2554),IFERROR(INDEX(Calendrier!$C$2:$C$367,MATCH(H2554,Calendrier!$A$2:$A$367,0)),0),"")</f>
        <v/>
      </c>
      <c r="K2554" s="50" t="str">
        <f t="shared" si="199"/>
        <v/>
      </c>
      <c r="L2554" s="50" t="str">
        <f>IF(D2554="","",IF(COUNTIF(Paramètres!$A$11:$A$40,D2554)&gt;0,1,0))</f>
        <v/>
      </c>
    </row>
    <row r="2555" spans="1:12" hidden="1" x14ac:dyDescent="0.25">
      <c r="A2555" s="49"/>
      <c r="B2555" s="49"/>
      <c r="C2555" s="49"/>
      <c r="D2555" s="50" t="str">
        <f t="shared" si="195"/>
        <v/>
      </c>
      <c r="E2555" s="50" t="str">
        <f t="shared" si="196"/>
        <v/>
      </c>
      <c r="F2555" s="50" t="str">
        <f t="shared" si="197"/>
        <v/>
      </c>
      <c r="G2555" s="50" t="str">
        <f t="shared" si="198"/>
        <v/>
      </c>
      <c r="H2555" s="51" t="str">
        <f>IF($C2555="","",IFERROR(DATE(G2555,VLOOKUP(E2555,Paramètres!$K$11:$L$40,2,FALSE()),F2555),"?"))</f>
        <v/>
      </c>
      <c r="I2555" s="50" t="str">
        <f>IF(ISNUMBER(H2555),IF(COUNTIFS($D$2:D2555,D2555,$H$2:H2555,H2555)=1,1,0),"")</f>
        <v/>
      </c>
      <c r="J2555" s="50" t="str">
        <f>IF(ISNUMBER(H2555),IFERROR(INDEX(Calendrier!$C$2:$C$367,MATCH(H2555,Calendrier!$A$2:$A$367,0)),0),"")</f>
        <v/>
      </c>
      <c r="K2555" s="50" t="str">
        <f t="shared" si="199"/>
        <v/>
      </c>
      <c r="L2555" s="50" t="str">
        <f>IF(D2555="","",IF(COUNTIF(Paramètres!$A$11:$A$40,D2555)&gt;0,1,0))</f>
        <v/>
      </c>
    </row>
    <row r="2556" spans="1:12" hidden="1" x14ac:dyDescent="0.25">
      <c r="A2556" s="49"/>
      <c r="B2556" s="49"/>
      <c r="C2556" s="49"/>
      <c r="D2556" s="50" t="str">
        <f t="shared" si="195"/>
        <v/>
      </c>
      <c r="E2556" s="50" t="str">
        <f t="shared" si="196"/>
        <v/>
      </c>
      <c r="F2556" s="50" t="str">
        <f t="shared" si="197"/>
        <v/>
      </c>
      <c r="G2556" s="50" t="str">
        <f t="shared" si="198"/>
        <v/>
      </c>
      <c r="H2556" s="51" t="str">
        <f>IF($C2556="","",IFERROR(DATE(G2556,VLOOKUP(E2556,Paramètres!$K$11:$L$40,2,FALSE()),F2556),"?"))</f>
        <v/>
      </c>
      <c r="I2556" s="50" t="str">
        <f>IF(ISNUMBER(H2556),IF(COUNTIFS($D$2:D2556,D2556,$H$2:H2556,H2556)=1,1,0),"")</f>
        <v/>
      </c>
      <c r="J2556" s="50" t="str">
        <f>IF(ISNUMBER(H2556),IFERROR(INDEX(Calendrier!$C$2:$C$367,MATCH(H2556,Calendrier!$A$2:$A$367,0)),0),"")</f>
        <v/>
      </c>
      <c r="K2556" s="50" t="str">
        <f t="shared" si="199"/>
        <v/>
      </c>
      <c r="L2556" s="50" t="str">
        <f>IF(D2556="","",IF(COUNTIF(Paramètres!$A$11:$A$40,D2556)&gt;0,1,0))</f>
        <v/>
      </c>
    </row>
    <row r="2557" spans="1:12" hidden="1" x14ac:dyDescent="0.25">
      <c r="A2557" s="49"/>
      <c r="B2557" s="49"/>
      <c r="C2557" s="49"/>
      <c r="D2557" s="50" t="str">
        <f t="shared" si="195"/>
        <v/>
      </c>
      <c r="E2557" s="50" t="str">
        <f t="shared" si="196"/>
        <v/>
      </c>
      <c r="F2557" s="50" t="str">
        <f t="shared" si="197"/>
        <v/>
      </c>
      <c r="G2557" s="50" t="str">
        <f t="shared" si="198"/>
        <v/>
      </c>
      <c r="H2557" s="51" t="str">
        <f>IF($C2557="","",IFERROR(DATE(G2557,VLOOKUP(E2557,Paramètres!$K$11:$L$40,2,FALSE()),F2557),"?"))</f>
        <v/>
      </c>
      <c r="I2557" s="50" t="str">
        <f>IF(ISNUMBER(H2557),IF(COUNTIFS($D$2:D2557,D2557,$H$2:H2557,H2557)=1,1,0),"")</f>
        <v/>
      </c>
      <c r="J2557" s="50" t="str">
        <f>IF(ISNUMBER(H2557),IFERROR(INDEX(Calendrier!$C$2:$C$367,MATCH(H2557,Calendrier!$A$2:$A$367,0)),0),"")</f>
        <v/>
      </c>
      <c r="K2557" s="50" t="str">
        <f t="shared" si="199"/>
        <v/>
      </c>
      <c r="L2557" s="50" t="str">
        <f>IF(D2557="","",IF(COUNTIF(Paramètres!$A$11:$A$40,D2557)&gt;0,1,0))</f>
        <v/>
      </c>
    </row>
    <row r="2558" spans="1:12" hidden="1" x14ac:dyDescent="0.25">
      <c r="A2558" s="49"/>
      <c r="B2558" s="49"/>
      <c r="C2558" s="49"/>
      <c r="D2558" s="50" t="str">
        <f t="shared" si="195"/>
        <v/>
      </c>
      <c r="E2558" s="50" t="str">
        <f t="shared" si="196"/>
        <v/>
      </c>
      <c r="F2558" s="50" t="str">
        <f t="shared" si="197"/>
        <v/>
      </c>
      <c r="G2558" s="50" t="str">
        <f t="shared" si="198"/>
        <v/>
      </c>
      <c r="H2558" s="51" t="str">
        <f>IF($C2558="","",IFERROR(DATE(G2558,VLOOKUP(E2558,Paramètres!$K$11:$L$40,2,FALSE()),F2558),"?"))</f>
        <v/>
      </c>
      <c r="I2558" s="50" t="str">
        <f>IF(ISNUMBER(H2558),IF(COUNTIFS($D$2:D2558,D2558,$H$2:H2558,H2558)=1,1,0),"")</f>
        <v/>
      </c>
      <c r="J2558" s="50" t="str">
        <f>IF(ISNUMBER(H2558),IFERROR(INDEX(Calendrier!$C$2:$C$367,MATCH(H2558,Calendrier!$A$2:$A$367,0)),0),"")</f>
        <v/>
      </c>
      <c r="K2558" s="50" t="str">
        <f t="shared" si="199"/>
        <v/>
      </c>
      <c r="L2558" s="50" t="str">
        <f>IF(D2558="","",IF(COUNTIF(Paramètres!$A$11:$A$40,D2558)&gt;0,1,0))</f>
        <v/>
      </c>
    </row>
    <row r="2559" spans="1:12" hidden="1" x14ac:dyDescent="0.25">
      <c r="A2559" s="49"/>
      <c r="B2559" s="49"/>
      <c r="C2559" s="49"/>
      <c r="D2559" s="50" t="str">
        <f t="shared" si="195"/>
        <v/>
      </c>
      <c r="E2559" s="50" t="str">
        <f t="shared" si="196"/>
        <v/>
      </c>
      <c r="F2559" s="50" t="str">
        <f t="shared" si="197"/>
        <v/>
      </c>
      <c r="G2559" s="50" t="str">
        <f t="shared" si="198"/>
        <v/>
      </c>
      <c r="H2559" s="51" t="str">
        <f>IF($C2559="","",IFERROR(DATE(G2559,VLOOKUP(E2559,Paramètres!$K$11:$L$40,2,FALSE()),F2559),"?"))</f>
        <v/>
      </c>
      <c r="I2559" s="50" t="str">
        <f>IF(ISNUMBER(H2559),IF(COUNTIFS($D$2:D2559,D2559,$H$2:H2559,H2559)=1,1,0),"")</f>
        <v/>
      </c>
      <c r="J2559" s="50" t="str">
        <f>IF(ISNUMBER(H2559),IFERROR(INDEX(Calendrier!$C$2:$C$367,MATCH(H2559,Calendrier!$A$2:$A$367,0)),0),"")</f>
        <v/>
      </c>
      <c r="K2559" s="50" t="str">
        <f t="shared" si="199"/>
        <v/>
      </c>
      <c r="L2559" s="50" t="str">
        <f>IF(D2559="","",IF(COUNTIF(Paramètres!$A$11:$A$40,D2559)&gt;0,1,0))</f>
        <v/>
      </c>
    </row>
    <row r="2560" spans="1:12" hidden="1" x14ac:dyDescent="0.25">
      <c r="A2560" s="49"/>
      <c r="B2560" s="49"/>
      <c r="C2560" s="49"/>
      <c r="D2560" s="50" t="str">
        <f t="shared" si="195"/>
        <v/>
      </c>
      <c r="E2560" s="50" t="str">
        <f t="shared" si="196"/>
        <v/>
      </c>
      <c r="F2560" s="50" t="str">
        <f t="shared" si="197"/>
        <v/>
      </c>
      <c r="G2560" s="50" t="str">
        <f t="shared" si="198"/>
        <v/>
      </c>
      <c r="H2560" s="51" t="str">
        <f>IF($C2560="","",IFERROR(DATE(G2560,VLOOKUP(E2560,Paramètres!$K$11:$L$40,2,FALSE()),F2560),"?"))</f>
        <v/>
      </c>
      <c r="I2560" s="50" t="str">
        <f>IF(ISNUMBER(H2560),IF(COUNTIFS($D$2:D2560,D2560,$H$2:H2560,H2560)=1,1,0),"")</f>
        <v/>
      </c>
      <c r="J2560" s="50" t="str">
        <f>IF(ISNUMBER(H2560),IFERROR(INDEX(Calendrier!$C$2:$C$367,MATCH(H2560,Calendrier!$A$2:$A$367,0)),0),"")</f>
        <v/>
      </c>
      <c r="K2560" s="50" t="str">
        <f t="shared" si="199"/>
        <v/>
      </c>
      <c r="L2560" s="50" t="str">
        <f>IF(D2560="","",IF(COUNTIF(Paramètres!$A$11:$A$40,D2560)&gt;0,1,0))</f>
        <v/>
      </c>
    </row>
    <row r="2561" spans="1:12" hidden="1" x14ac:dyDescent="0.25">
      <c r="A2561" s="49"/>
      <c r="B2561" s="49"/>
      <c r="C2561" s="49"/>
      <c r="D2561" s="50" t="str">
        <f t="shared" si="195"/>
        <v/>
      </c>
      <c r="E2561" s="50" t="str">
        <f t="shared" si="196"/>
        <v/>
      </c>
      <c r="F2561" s="50" t="str">
        <f t="shared" si="197"/>
        <v/>
      </c>
      <c r="G2561" s="50" t="str">
        <f t="shared" si="198"/>
        <v/>
      </c>
      <c r="H2561" s="51" t="str">
        <f>IF($C2561="","",IFERROR(DATE(G2561,VLOOKUP(E2561,Paramètres!$K$11:$L$40,2,FALSE()),F2561),"?"))</f>
        <v/>
      </c>
      <c r="I2561" s="50" t="str">
        <f>IF(ISNUMBER(H2561),IF(COUNTIFS($D$2:D2561,D2561,$H$2:H2561,H2561)=1,1,0),"")</f>
        <v/>
      </c>
      <c r="J2561" s="50" t="str">
        <f>IF(ISNUMBER(H2561),IFERROR(INDEX(Calendrier!$C$2:$C$367,MATCH(H2561,Calendrier!$A$2:$A$367,0)),0),"")</f>
        <v/>
      </c>
      <c r="K2561" s="50" t="str">
        <f t="shared" si="199"/>
        <v/>
      </c>
      <c r="L2561" s="50" t="str">
        <f>IF(D2561="","",IF(COUNTIF(Paramètres!$A$11:$A$40,D2561)&gt;0,1,0))</f>
        <v/>
      </c>
    </row>
    <row r="2562" spans="1:12" hidden="1" x14ac:dyDescent="0.25">
      <c r="A2562" s="49"/>
      <c r="B2562" s="49"/>
      <c r="C2562" s="49"/>
      <c r="D2562" s="50" t="str">
        <f t="shared" ref="D2562:D2625" si="200">IF(B2562="","",TRIM(B2562))</f>
        <v/>
      </c>
      <c r="E2562" s="50" t="str">
        <f t="shared" ref="E2562:E2625" si="201">IF($C2562="","",LEFT($C2562,FIND(" ",$C2562)-1))</f>
        <v/>
      </c>
      <c r="F2562" s="50" t="str">
        <f t="shared" ref="F2562:F2625" si="202">IF($C2562="","",IFERROR(VALUE(LEFT(MID($C2562,FIND(" ",$C2562)+1,20),FIND(" ",MID($C2562,FIND(" ",$C2562)+1,20))-1)),"?"))</f>
        <v/>
      </c>
      <c r="G2562" s="50" t="str">
        <f t="shared" ref="G2562:G2625" si="203">IF($C2562="","",IFERROR(VALUE(MID(MID($C2562,FIND(" ",$C2562)+1,20),FIND(" ",MID($C2562,FIND(" ",$C2562)+1,20))+1,4)),"?"))</f>
        <v/>
      </c>
      <c r="H2562" s="51" t="str">
        <f>IF($C2562="","",IFERROR(DATE(G2562,VLOOKUP(E2562,Paramètres!$K$11:$L$40,2,FALSE()),F2562),"?"))</f>
        <v/>
      </c>
      <c r="I2562" s="50" t="str">
        <f>IF(ISNUMBER(H2562),IF(COUNTIFS($D$2:D2562,D2562,$H$2:H2562,H2562)=1,1,0),"")</f>
        <v/>
      </c>
      <c r="J2562" s="50" t="str">
        <f>IF(ISNUMBER(H2562),IFERROR(INDEX(Calendrier!$C$2:$C$367,MATCH(H2562,Calendrier!$A$2:$A$367,0)),0),"")</f>
        <v/>
      </c>
      <c r="K2562" s="50" t="str">
        <f t="shared" ref="K2562:K2625" si="204">IF(ISNUMBER(H2562),I2562*J2562,"")</f>
        <v/>
      </c>
      <c r="L2562" s="50" t="str">
        <f>IF(D2562="","",IF(COUNTIF(Paramètres!$A$11:$A$40,D2562)&gt;0,1,0))</f>
        <v/>
      </c>
    </row>
    <row r="2563" spans="1:12" hidden="1" x14ac:dyDescent="0.25">
      <c r="A2563" s="49"/>
      <c r="B2563" s="49"/>
      <c r="C2563" s="49"/>
      <c r="D2563" s="50" t="str">
        <f t="shared" si="200"/>
        <v/>
      </c>
      <c r="E2563" s="50" t="str">
        <f t="shared" si="201"/>
        <v/>
      </c>
      <c r="F2563" s="50" t="str">
        <f t="shared" si="202"/>
        <v/>
      </c>
      <c r="G2563" s="50" t="str">
        <f t="shared" si="203"/>
        <v/>
      </c>
      <c r="H2563" s="51" t="str">
        <f>IF($C2563="","",IFERROR(DATE(G2563,VLOOKUP(E2563,Paramètres!$K$11:$L$40,2,FALSE()),F2563),"?"))</f>
        <v/>
      </c>
      <c r="I2563" s="50" t="str">
        <f>IF(ISNUMBER(H2563),IF(COUNTIFS($D$2:D2563,D2563,$H$2:H2563,H2563)=1,1,0),"")</f>
        <v/>
      </c>
      <c r="J2563" s="50" t="str">
        <f>IF(ISNUMBER(H2563),IFERROR(INDEX(Calendrier!$C$2:$C$367,MATCH(H2563,Calendrier!$A$2:$A$367,0)),0),"")</f>
        <v/>
      </c>
      <c r="K2563" s="50" t="str">
        <f t="shared" si="204"/>
        <v/>
      </c>
      <c r="L2563" s="50" t="str">
        <f>IF(D2563="","",IF(COUNTIF(Paramètres!$A$11:$A$40,D2563)&gt;0,1,0))</f>
        <v/>
      </c>
    </row>
    <row r="2564" spans="1:12" hidden="1" x14ac:dyDescent="0.25">
      <c r="A2564" s="49"/>
      <c r="B2564" s="49"/>
      <c r="C2564" s="49"/>
      <c r="D2564" s="50" t="str">
        <f t="shared" si="200"/>
        <v/>
      </c>
      <c r="E2564" s="50" t="str">
        <f t="shared" si="201"/>
        <v/>
      </c>
      <c r="F2564" s="50" t="str">
        <f t="shared" si="202"/>
        <v/>
      </c>
      <c r="G2564" s="50" t="str">
        <f t="shared" si="203"/>
        <v/>
      </c>
      <c r="H2564" s="51" t="str">
        <f>IF($C2564="","",IFERROR(DATE(G2564,VLOOKUP(E2564,Paramètres!$K$11:$L$40,2,FALSE()),F2564),"?"))</f>
        <v/>
      </c>
      <c r="I2564" s="50" t="str">
        <f>IF(ISNUMBER(H2564),IF(COUNTIFS($D$2:D2564,D2564,$H$2:H2564,H2564)=1,1,0),"")</f>
        <v/>
      </c>
      <c r="J2564" s="50" t="str">
        <f>IF(ISNUMBER(H2564),IFERROR(INDEX(Calendrier!$C$2:$C$367,MATCH(H2564,Calendrier!$A$2:$A$367,0)),0),"")</f>
        <v/>
      </c>
      <c r="K2564" s="50" t="str">
        <f t="shared" si="204"/>
        <v/>
      </c>
      <c r="L2564" s="50" t="str">
        <f>IF(D2564="","",IF(COUNTIF(Paramètres!$A$11:$A$40,D2564)&gt;0,1,0))</f>
        <v/>
      </c>
    </row>
    <row r="2565" spans="1:12" hidden="1" x14ac:dyDescent="0.25">
      <c r="A2565" s="49"/>
      <c r="B2565" s="49"/>
      <c r="C2565" s="49"/>
      <c r="D2565" s="50" t="str">
        <f t="shared" si="200"/>
        <v/>
      </c>
      <c r="E2565" s="50" t="str">
        <f t="shared" si="201"/>
        <v/>
      </c>
      <c r="F2565" s="50" t="str">
        <f t="shared" si="202"/>
        <v/>
      </c>
      <c r="G2565" s="50" t="str">
        <f t="shared" si="203"/>
        <v/>
      </c>
      <c r="H2565" s="51" t="str">
        <f>IF($C2565="","",IFERROR(DATE(G2565,VLOOKUP(E2565,Paramètres!$K$11:$L$40,2,FALSE()),F2565),"?"))</f>
        <v/>
      </c>
      <c r="I2565" s="50" t="str">
        <f>IF(ISNUMBER(H2565),IF(COUNTIFS($D$2:D2565,D2565,$H$2:H2565,H2565)=1,1,0),"")</f>
        <v/>
      </c>
      <c r="J2565" s="50" t="str">
        <f>IF(ISNUMBER(H2565),IFERROR(INDEX(Calendrier!$C$2:$C$367,MATCH(H2565,Calendrier!$A$2:$A$367,0)),0),"")</f>
        <v/>
      </c>
      <c r="K2565" s="50" t="str">
        <f t="shared" si="204"/>
        <v/>
      </c>
      <c r="L2565" s="50" t="str">
        <f>IF(D2565="","",IF(COUNTIF(Paramètres!$A$11:$A$40,D2565)&gt;0,1,0))</f>
        <v/>
      </c>
    </row>
    <row r="2566" spans="1:12" hidden="1" x14ac:dyDescent="0.25">
      <c r="A2566" s="49"/>
      <c r="B2566" s="49"/>
      <c r="C2566" s="49"/>
      <c r="D2566" s="50" t="str">
        <f t="shared" si="200"/>
        <v/>
      </c>
      <c r="E2566" s="50" t="str">
        <f t="shared" si="201"/>
        <v/>
      </c>
      <c r="F2566" s="50" t="str">
        <f t="shared" si="202"/>
        <v/>
      </c>
      <c r="G2566" s="50" t="str">
        <f t="shared" si="203"/>
        <v/>
      </c>
      <c r="H2566" s="51" t="str">
        <f>IF($C2566="","",IFERROR(DATE(G2566,VLOOKUP(E2566,Paramètres!$K$11:$L$40,2,FALSE()),F2566),"?"))</f>
        <v/>
      </c>
      <c r="I2566" s="50" t="str">
        <f>IF(ISNUMBER(H2566),IF(COUNTIFS($D$2:D2566,D2566,$H$2:H2566,H2566)=1,1,0),"")</f>
        <v/>
      </c>
      <c r="J2566" s="50" t="str">
        <f>IF(ISNUMBER(H2566),IFERROR(INDEX(Calendrier!$C$2:$C$367,MATCH(H2566,Calendrier!$A$2:$A$367,0)),0),"")</f>
        <v/>
      </c>
      <c r="K2566" s="50" t="str">
        <f t="shared" si="204"/>
        <v/>
      </c>
      <c r="L2566" s="50" t="str">
        <f>IF(D2566="","",IF(COUNTIF(Paramètres!$A$11:$A$40,D2566)&gt;0,1,0))</f>
        <v/>
      </c>
    </row>
    <row r="2567" spans="1:12" hidden="1" x14ac:dyDescent="0.25">
      <c r="A2567" s="49"/>
      <c r="B2567" s="49"/>
      <c r="C2567" s="49"/>
      <c r="D2567" s="50" t="str">
        <f t="shared" si="200"/>
        <v/>
      </c>
      <c r="E2567" s="50" t="str">
        <f t="shared" si="201"/>
        <v/>
      </c>
      <c r="F2567" s="50" t="str">
        <f t="shared" si="202"/>
        <v/>
      </c>
      <c r="G2567" s="50" t="str">
        <f t="shared" si="203"/>
        <v/>
      </c>
      <c r="H2567" s="51" t="str">
        <f>IF($C2567="","",IFERROR(DATE(G2567,VLOOKUP(E2567,Paramètres!$K$11:$L$40,2,FALSE()),F2567),"?"))</f>
        <v/>
      </c>
      <c r="I2567" s="50" t="str">
        <f>IF(ISNUMBER(H2567),IF(COUNTIFS($D$2:D2567,D2567,$H$2:H2567,H2567)=1,1,0),"")</f>
        <v/>
      </c>
      <c r="J2567" s="50" t="str">
        <f>IF(ISNUMBER(H2567),IFERROR(INDEX(Calendrier!$C$2:$C$367,MATCH(H2567,Calendrier!$A$2:$A$367,0)),0),"")</f>
        <v/>
      </c>
      <c r="K2567" s="50" t="str">
        <f t="shared" si="204"/>
        <v/>
      </c>
      <c r="L2567" s="50" t="str">
        <f>IF(D2567="","",IF(COUNTIF(Paramètres!$A$11:$A$40,D2567)&gt;0,1,0))</f>
        <v/>
      </c>
    </row>
    <row r="2568" spans="1:12" hidden="1" x14ac:dyDescent="0.25">
      <c r="A2568" s="49"/>
      <c r="B2568" s="49"/>
      <c r="C2568" s="49"/>
      <c r="D2568" s="50" t="str">
        <f t="shared" si="200"/>
        <v/>
      </c>
      <c r="E2568" s="50" t="str">
        <f t="shared" si="201"/>
        <v/>
      </c>
      <c r="F2568" s="50" t="str">
        <f t="shared" si="202"/>
        <v/>
      </c>
      <c r="G2568" s="50" t="str">
        <f t="shared" si="203"/>
        <v/>
      </c>
      <c r="H2568" s="51" t="str">
        <f>IF($C2568="","",IFERROR(DATE(G2568,VLOOKUP(E2568,Paramètres!$K$11:$L$40,2,FALSE()),F2568),"?"))</f>
        <v/>
      </c>
      <c r="I2568" s="50" t="str">
        <f>IF(ISNUMBER(H2568),IF(COUNTIFS($D$2:D2568,D2568,$H$2:H2568,H2568)=1,1,0),"")</f>
        <v/>
      </c>
      <c r="J2568" s="50" t="str">
        <f>IF(ISNUMBER(H2568),IFERROR(INDEX(Calendrier!$C$2:$C$367,MATCH(H2568,Calendrier!$A$2:$A$367,0)),0),"")</f>
        <v/>
      </c>
      <c r="K2568" s="50" t="str">
        <f t="shared" si="204"/>
        <v/>
      </c>
      <c r="L2568" s="50" t="str">
        <f>IF(D2568="","",IF(COUNTIF(Paramètres!$A$11:$A$40,D2568)&gt;0,1,0))</f>
        <v/>
      </c>
    </row>
    <row r="2569" spans="1:12" hidden="1" x14ac:dyDescent="0.25">
      <c r="A2569" s="49"/>
      <c r="B2569" s="49"/>
      <c r="C2569" s="49"/>
      <c r="D2569" s="50" t="str">
        <f t="shared" si="200"/>
        <v/>
      </c>
      <c r="E2569" s="50" t="str">
        <f t="shared" si="201"/>
        <v/>
      </c>
      <c r="F2569" s="50" t="str">
        <f t="shared" si="202"/>
        <v/>
      </c>
      <c r="G2569" s="50" t="str">
        <f t="shared" si="203"/>
        <v/>
      </c>
      <c r="H2569" s="51" t="str">
        <f>IF($C2569="","",IFERROR(DATE(G2569,VLOOKUP(E2569,Paramètres!$K$11:$L$40,2,FALSE()),F2569),"?"))</f>
        <v/>
      </c>
      <c r="I2569" s="50" t="str">
        <f>IF(ISNUMBER(H2569),IF(COUNTIFS($D$2:D2569,D2569,$H$2:H2569,H2569)=1,1,0),"")</f>
        <v/>
      </c>
      <c r="J2569" s="50" t="str">
        <f>IF(ISNUMBER(H2569),IFERROR(INDEX(Calendrier!$C$2:$C$367,MATCH(H2569,Calendrier!$A$2:$A$367,0)),0),"")</f>
        <v/>
      </c>
      <c r="K2569" s="50" t="str">
        <f t="shared" si="204"/>
        <v/>
      </c>
      <c r="L2569" s="50" t="str">
        <f>IF(D2569="","",IF(COUNTIF(Paramètres!$A$11:$A$40,D2569)&gt;0,1,0))</f>
        <v/>
      </c>
    </row>
    <row r="2570" spans="1:12" hidden="1" x14ac:dyDescent="0.25">
      <c r="A2570" s="49"/>
      <c r="B2570" s="49"/>
      <c r="C2570" s="49"/>
      <c r="D2570" s="50" t="str">
        <f t="shared" si="200"/>
        <v/>
      </c>
      <c r="E2570" s="50" t="str">
        <f t="shared" si="201"/>
        <v/>
      </c>
      <c r="F2570" s="50" t="str">
        <f t="shared" si="202"/>
        <v/>
      </c>
      <c r="G2570" s="50" t="str">
        <f t="shared" si="203"/>
        <v/>
      </c>
      <c r="H2570" s="51" t="str">
        <f>IF($C2570="","",IFERROR(DATE(G2570,VLOOKUP(E2570,Paramètres!$K$11:$L$40,2,FALSE()),F2570),"?"))</f>
        <v/>
      </c>
      <c r="I2570" s="50" t="str">
        <f>IF(ISNUMBER(H2570),IF(COUNTIFS($D$2:D2570,D2570,$H$2:H2570,H2570)=1,1,0),"")</f>
        <v/>
      </c>
      <c r="J2570" s="50" t="str">
        <f>IF(ISNUMBER(H2570),IFERROR(INDEX(Calendrier!$C$2:$C$367,MATCH(H2570,Calendrier!$A$2:$A$367,0)),0),"")</f>
        <v/>
      </c>
      <c r="K2570" s="50" t="str">
        <f t="shared" si="204"/>
        <v/>
      </c>
      <c r="L2570" s="50" t="str">
        <f>IF(D2570="","",IF(COUNTIF(Paramètres!$A$11:$A$40,D2570)&gt;0,1,0))</f>
        <v/>
      </c>
    </row>
    <row r="2571" spans="1:12" hidden="1" x14ac:dyDescent="0.25">
      <c r="A2571" s="49"/>
      <c r="B2571" s="49"/>
      <c r="C2571" s="49"/>
      <c r="D2571" s="50" t="str">
        <f t="shared" si="200"/>
        <v/>
      </c>
      <c r="E2571" s="50" t="str">
        <f t="shared" si="201"/>
        <v/>
      </c>
      <c r="F2571" s="50" t="str">
        <f t="shared" si="202"/>
        <v/>
      </c>
      <c r="G2571" s="50" t="str">
        <f t="shared" si="203"/>
        <v/>
      </c>
      <c r="H2571" s="51" t="str">
        <f>IF($C2571="","",IFERROR(DATE(G2571,VLOOKUP(E2571,Paramètres!$K$11:$L$40,2,FALSE()),F2571),"?"))</f>
        <v/>
      </c>
      <c r="I2571" s="50" t="str">
        <f>IF(ISNUMBER(H2571),IF(COUNTIFS($D$2:D2571,D2571,$H$2:H2571,H2571)=1,1,0),"")</f>
        <v/>
      </c>
      <c r="J2571" s="50" t="str">
        <f>IF(ISNUMBER(H2571),IFERROR(INDEX(Calendrier!$C$2:$C$367,MATCH(H2571,Calendrier!$A$2:$A$367,0)),0),"")</f>
        <v/>
      </c>
      <c r="K2571" s="50" t="str">
        <f t="shared" si="204"/>
        <v/>
      </c>
      <c r="L2571" s="50" t="str">
        <f>IF(D2571="","",IF(COUNTIF(Paramètres!$A$11:$A$40,D2571)&gt;0,1,0))</f>
        <v/>
      </c>
    </row>
    <row r="2572" spans="1:12" hidden="1" x14ac:dyDescent="0.25">
      <c r="A2572" s="49"/>
      <c r="B2572" s="49"/>
      <c r="C2572" s="49"/>
      <c r="D2572" s="50" t="str">
        <f t="shared" si="200"/>
        <v/>
      </c>
      <c r="E2572" s="50" t="str">
        <f t="shared" si="201"/>
        <v/>
      </c>
      <c r="F2572" s="50" t="str">
        <f t="shared" si="202"/>
        <v/>
      </c>
      <c r="G2572" s="50" t="str">
        <f t="shared" si="203"/>
        <v/>
      </c>
      <c r="H2572" s="51" t="str">
        <f>IF($C2572="","",IFERROR(DATE(G2572,VLOOKUP(E2572,Paramètres!$K$11:$L$40,2,FALSE()),F2572),"?"))</f>
        <v/>
      </c>
      <c r="I2572" s="50" t="str">
        <f>IF(ISNUMBER(H2572),IF(COUNTIFS($D$2:D2572,D2572,$H$2:H2572,H2572)=1,1,0),"")</f>
        <v/>
      </c>
      <c r="J2572" s="50" t="str">
        <f>IF(ISNUMBER(H2572),IFERROR(INDEX(Calendrier!$C$2:$C$367,MATCH(H2572,Calendrier!$A$2:$A$367,0)),0),"")</f>
        <v/>
      </c>
      <c r="K2572" s="50" t="str">
        <f t="shared" si="204"/>
        <v/>
      </c>
      <c r="L2572" s="50" t="str">
        <f>IF(D2572="","",IF(COUNTIF(Paramètres!$A$11:$A$40,D2572)&gt;0,1,0))</f>
        <v/>
      </c>
    </row>
    <row r="2573" spans="1:12" hidden="1" x14ac:dyDescent="0.25">
      <c r="A2573" s="49"/>
      <c r="B2573" s="49"/>
      <c r="C2573" s="49"/>
      <c r="D2573" s="50" t="str">
        <f t="shared" si="200"/>
        <v/>
      </c>
      <c r="E2573" s="50" t="str">
        <f t="shared" si="201"/>
        <v/>
      </c>
      <c r="F2573" s="50" t="str">
        <f t="shared" si="202"/>
        <v/>
      </c>
      <c r="G2573" s="50" t="str">
        <f t="shared" si="203"/>
        <v/>
      </c>
      <c r="H2573" s="51" t="str">
        <f>IF($C2573="","",IFERROR(DATE(G2573,VLOOKUP(E2573,Paramètres!$K$11:$L$40,2,FALSE()),F2573),"?"))</f>
        <v/>
      </c>
      <c r="I2573" s="50" t="str">
        <f>IF(ISNUMBER(H2573),IF(COUNTIFS($D$2:D2573,D2573,$H$2:H2573,H2573)=1,1,0),"")</f>
        <v/>
      </c>
      <c r="J2573" s="50" t="str">
        <f>IF(ISNUMBER(H2573),IFERROR(INDEX(Calendrier!$C$2:$C$367,MATCH(H2573,Calendrier!$A$2:$A$367,0)),0),"")</f>
        <v/>
      </c>
      <c r="K2573" s="50" t="str">
        <f t="shared" si="204"/>
        <v/>
      </c>
      <c r="L2573" s="50" t="str">
        <f>IF(D2573="","",IF(COUNTIF(Paramètres!$A$11:$A$40,D2573)&gt;0,1,0))</f>
        <v/>
      </c>
    </row>
    <row r="2574" spans="1:12" hidden="1" x14ac:dyDescent="0.25">
      <c r="A2574" s="49"/>
      <c r="B2574" s="49"/>
      <c r="C2574" s="49"/>
      <c r="D2574" s="50" t="str">
        <f t="shared" si="200"/>
        <v/>
      </c>
      <c r="E2574" s="50" t="str">
        <f t="shared" si="201"/>
        <v/>
      </c>
      <c r="F2574" s="50" t="str">
        <f t="shared" si="202"/>
        <v/>
      </c>
      <c r="G2574" s="50" t="str">
        <f t="shared" si="203"/>
        <v/>
      </c>
      <c r="H2574" s="51" t="str">
        <f>IF($C2574="","",IFERROR(DATE(G2574,VLOOKUP(E2574,Paramètres!$K$11:$L$40,2,FALSE()),F2574),"?"))</f>
        <v/>
      </c>
      <c r="I2574" s="50" t="str">
        <f>IF(ISNUMBER(H2574),IF(COUNTIFS($D$2:D2574,D2574,$H$2:H2574,H2574)=1,1,0),"")</f>
        <v/>
      </c>
      <c r="J2574" s="50" t="str">
        <f>IF(ISNUMBER(H2574),IFERROR(INDEX(Calendrier!$C$2:$C$367,MATCH(H2574,Calendrier!$A$2:$A$367,0)),0),"")</f>
        <v/>
      </c>
      <c r="K2574" s="50" t="str">
        <f t="shared" si="204"/>
        <v/>
      </c>
      <c r="L2574" s="50" t="str">
        <f>IF(D2574="","",IF(COUNTIF(Paramètres!$A$11:$A$40,D2574)&gt;0,1,0))</f>
        <v/>
      </c>
    </row>
    <row r="2575" spans="1:12" hidden="1" x14ac:dyDescent="0.25">
      <c r="A2575" s="49"/>
      <c r="B2575" s="49"/>
      <c r="C2575" s="49"/>
      <c r="D2575" s="50" t="str">
        <f t="shared" si="200"/>
        <v/>
      </c>
      <c r="E2575" s="50" t="str">
        <f t="shared" si="201"/>
        <v/>
      </c>
      <c r="F2575" s="50" t="str">
        <f t="shared" si="202"/>
        <v/>
      </c>
      <c r="G2575" s="50" t="str">
        <f t="shared" si="203"/>
        <v/>
      </c>
      <c r="H2575" s="51" t="str">
        <f>IF($C2575="","",IFERROR(DATE(G2575,VLOOKUP(E2575,Paramètres!$K$11:$L$40,2,FALSE()),F2575),"?"))</f>
        <v/>
      </c>
      <c r="I2575" s="50" t="str">
        <f>IF(ISNUMBER(H2575),IF(COUNTIFS($D$2:D2575,D2575,$H$2:H2575,H2575)=1,1,0),"")</f>
        <v/>
      </c>
      <c r="J2575" s="50" t="str">
        <f>IF(ISNUMBER(H2575),IFERROR(INDEX(Calendrier!$C$2:$C$367,MATCH(H2575,Calendrier!$A$2:$A$367,0)),0),"")</f>
        <v/>
      </c>
      <c r="K2575" s="50" t="str">
        <f t="shared" si="204"/>
        <v/>
      </c>
      <c r="L2575" s="50" t="str">
        <f>IF(D2575="","",IF(COUNTIF(Paramètres!$A$11:$A$40,D2575)&gt;0,1,0))</f>
        <v/>
      </c>
    </row>
    <row r="2576" spans="1:12" hidden="1" x14ac:dyDescent="0.25">
      <c r="A2576" s="49"/>
      <c r="B2576" s="49"/>
      <c r="C2576" s="49"/>
      <c r="D2576" s="50" t="str">
        <f t="shared" si="200"/>
        <v/>
      </c>
      <c r="E2576" s="50" t="str">
        <f t="shared" si="201"/>
        <v/>
      </c>
      <c r="F2576" s="50" t="str">
        <f t="shared" si="202"/>
        <v/>
      </c>
      <c r="G2576" s="50" t="str">
        <f t="shared" si="203"/>
        <v/>
      </c>
      <c r="H2576" s="51" t="str">
        <f>IF($C2576="","",IFERROR(DATE(G2576,VLOOKUP(E2576,Paramètres!$K$11:$L$40,2,FALSE()),F2576),"?"))</f>
        <v/>
      </c>
      <c r="I2576" s="50" t="str">
        <f>IF(ISNUMBER(H2576),IF(COUNTIFS($D$2:D2576,D2576,$H$2:H2576,H2576)=1,1,0),"")</f>
        <v/>
      </c>
      <c r="J2576" s="50" t="str">
        <f>IF(ISNUMBER(H2576),IFERROR(INDEX(Calendrier!$C$2:$C$367,MATCH(H2576,Calendrier!$A$2:$A$367,0)),0),"")</f>
        <v/>
      </c>
      <c r="K2576" s="50" t="str">
        <f t="shared" si="204"/>
        <v/>
      </c>
      <c r="L2576" s="50" t="str">
        <f>IF(D2576="","",IF(COUNTIF(Paramètres!$A$11:$A$40,D2576)&gt;0,1,0))</f>
        <v/>
      </c>
    </row>
    <row r="2577" spans="1:12" hidden="1" x14ac:dyDescent="0.25">
      <c r="A2577" s="49"/>
      <c r="B2577" s="49"/>
      <c r="C2577" s="49"/>
      <c r="D2577" s="50" t="str">
        <f t="shared" si="200"/>
        <v/>
      </c>
      <c r="E2577" s="50" t="str">
        <f t="shared" si="201"/>
        <v/>
      </c>
      <c r="F2577" s="50" t="str">
        <f t="shared" si="202"/>
        <v/>
      </c>
      <c r="G2577" s="50" t="str">
        <f t="shared" si="203"/>
        <v/>
      </c>
      <c r="H2577" s="51" t="str">
        <f>IF($C2577="","",IFERROR(DATE(G2577,VLOOKUP(E2577,Paramètres!$K$11:$L$40,2,FALSE()),F2577),"?"))</f>
        <v/>
      </c>
      <c r="I2577" s="50" t="str">
        <f>IF(ISNUMBER(H2577),IF(COUNTIFS($D$2:D2577,D2577,$H$2:H2577,H2577)=1,1,0),"")</f>
        <v/>
      </c>
      <c r="J2577" s="50" t="str">
        <f>IF(ISNUMBER(H2577),IFERROR(INDEX(Calendrier!$C$2:$C$367,MATCH(H2577,Calendrier!$A$2:$A$367,0)),0),"")</f>
        <v/>
      </c>
      <c r="K2577" s="50" t="str">
        <f t="shared" si="204"/>
        <v/>
      </c>
      <c r="L2577" s="50" t="str">
        <f>IF(D2577="","",IF(COUNTIF(Paramètres!$A$11:$A$40,D2577)&gt;0,1,0))</f>
        <v/>
      </c>
    </row>
    <row r="2578" spans="1:12" hidden="1" x14ac:dyDescent="0.25">
      <c r="A2578" s="49"/>
      <c r="B2578" s="49"/>
      <c r="C2578" s="49"/>
      <c r="D2578" s="50" t="str">
        <f t="shared" si="200"/>
        <v/>
      </c>
      <c r="E2578" s="50" t="str">
        <f t="shared" si="201"/>
        <v/>
      </c>
      <c r="F2578" s="50" t="str">
        <f t="shared" si="202"/>
        <v/>
      </c>
      <c r="G2578" s="50" t="str">
        <f t="shared" si="203"/>
        <v/>
      </c>
      <c r="H2578" s="51" t="str">
        <f>IF($C2578="","",IFERROR(DATE(G2578,VLOOKUP(E2578,Paramètres!$K$11:$L$40,2,FALSE()),F2578),"?"))</f>
        <v/>
      </c>
      <c r="I2578" s="50" t="str">
        <f>IF(ISNUMBER(H2578),IF(COUNTIFS($D$2:D2578,D2578,$H$2:H2578,H2578)=1,1,0),"")</f>
        <v/>
      </c>
      <c r="J2578" s="50" t="str">
        <f>IF(ISNUMBER(H2578),IFERROR(INDEX(Calendrier!$C$2:$C$367,MATCH(H2578,Calendrier!$A$2:$A$367,0)),0),"")</f>
        <v/>
      </c>
      <c r="K2578" s="50" t="str">
        <f t="shared" si="204"/>
        <v/>
      </c>
      <c r="L2578" s="50" t="str">
        <f>IF(D2578="","",IF(COUNTIF(Paramètres!$A$11:$A$40,D2578)&gt;0,1,0))</f>
        <v/>
      </c>
    </row>
    <row r="2579" spans="1:12" hidden="1" x14ac:dyDescent="0.25">
      <c r="A2579" s="49"/>
      <c r="B2579" s="49"/>
      <c r="C2579" s="49"/>
      <c r="D2579" s="50" t="str">
        <f t="shared" si="200"/>
        <v/>
      </c>
      <c r="E2579" s="50" t="str">
        <f t="shared" si="201"/>
        <v/>
      </c>
      <c r="F2579" s="50" t="str">
        <f t="shared" si="202"/>
        <v/>
      </c>
      <c r="G2579" s="50" t="str">
        <f t="shared" si="203"/>
        <v/>
      </c>
      <c r="H2579" s="51" t="str">
        <f>IF($C2579="","",IFERROR(DATE(G2579,VLOOKUP(E2579,Paramètres!$K$11:$L$40,2,FALSE()),F2579),"?"))</f>
        <v/>
      </c>
      <c r="I2579" s="50" t="str">
        <f>IF(ISNUMBER(H2579),IF(COUNTIFS($D$2:D2579,D2579,$H$2:H2579,H2579)=1,1,0),"")</f>
        <v/>
      </c>
      <c r="J2579" s="50" t="str">
        <f>IF(ISNUMBER(H2579),IFERROR(INDEX(Calendrier!$C$2:$C$367,MATCH(H2579,Calendrier!$A$2:$A$367,0)),0),"")</f>
        <v/>
      </c>
      <c r="K2579" s="50" t="str">
        <f t="shared" si="204"/>
        <v/>
      </c>
      <c r="L2579" s="50" t="str">
        <f>IF(D2579="","",IF(COUNTIF(Paramètres!$A$11:$A$40,D2579)&gt;0,1,0))</f>
        <v/>
      </c>
    </row>
    <row r="2580" spans="1:12" hidden="1" x14ac:dyDescent="0.25">
      <c r="A2580" s="49"/>
      <c r="B2580" s="49"/>
      <c r="C2580" s="49"/>
      <c r="D2580" s="50" t="str">
        <f t="shared" si="200"/>
        <v/>
      </c>
      <c r="E2580" s="50" t="str">
        <f t="shared" si="201"/>
        <v/>
      </c>
      <c r="F2580" s="50" t="str">
        <f t="shared" si="202"/>
        <v/>
      </c>
      <c r="G2580" s="50" t="str">
        <f t="shared" si="203"/>
        <v/>
      </c>
      <c r="H2580" s="51" t="str">
        <f>IF($C2580="","",IFERROR(DATE(G2580,VLOOKUP(E2580,Paramètres!$K$11:$L$40,2,FALSE()),F2580),"?"))</f>
        <v/>
      </c>
      <c r="I2580" s="50" t="str">
        <f>IF(ISNUMBER(H2580),IF(COUNTIFS($D$2:D2580,D2580,$H$2:H2580,H2580)=1,1,0),"")</f>
        <v/>
      </c>
      <c r="J2580" s="50" t="str">
        <f>IF(ISNUMBER(H2580),IFERROR(INDEX(Calendrier!$C$2:$C$367,MATCH(H2580,Calendrier!$A$2:$A$367,0)),0),"")</f>
        <v/>
      </c>
      <c r="K2580" s="50" t="str">
        <f t="shared" si="204"/>
        <v/>
      </c>
      <c r="L2580" s="50" t="str">
        <f>IF(D2580="","",IF(COUNTIF(Paramètres!$A$11:$A$40,D2580)&gt;0,1,0))</f>
        <v/>
      </c>
    </row>
    <row r="2581" spans="1:12" hidden="1" x14ac:dyDescent="0.25">
      <c r="A2581" s="49"/>
      <c r="B2581" s="49"/>
      <c r="C2581" s="49"/>
      <c r="D2581" s="50" t="str">
        <f t="shared" si="200"/>
        <v/>
      </c>
      <c r="E2581" s="50" t="str">
        <f t="shared" si="201"/>
        <v/>
      </c>
      <c r="F2581" s="50" t="str">
        <f t="shared" si="202"/>
        <v/>
      </c>
      <c r="G2581" s="50" t="str">
        <f t="shared" si="203"/>
        <v/>
      </c>
      <c r="H2581" s="51" t="str">
        <f>IF($C2581="","",IFERROR(DATE(G2581,VLOOKUP(E2581,Paramètres!$K$11:$L$40,2,FALSE()),F2581),"?"))</f>
        <v/>
      </c>
      <c r="I2581" s="50" t="str">
        <f>IF(ISNUMBER(H2581),IF(COUNTIFS($D$2:D2581,D2581,$H$2:H2581,H2581)=1,1,0),"")</f>
        <v/>
      </c>
      <c r="J2581" s="50" t="str">
        <f>IF(ISNUMBER(H2581),IFERROR(INDEX(Calendrier!$C$2:$C$367,MATCH(H2581,Calendrier!$A$2:$A$367,0)),0),"")</f>
        <v/>
      </c>
      <c r="K2581" s="50" t="str">
        <f t="shared" si="204"/>
        <v/>
      </c>
      <c r="L2581" s="50" t="str">
        <f>IF(D2581="","",IF(COUNTIF(Paramètres!$A$11:$A$40,D2581)&gt;0,1,0))</f>
        <v/>
      </c>
    </row>
    <row r="2582" spans="1:12" hidden="1" x14ac:dyDescent="0.25">
      <c r="A2582" s="49"/>
      <c r="B2582" s="49"/>
      <c r="C2582" s="49"/>
      <c r="D2582" s="50" t="str">
        <f t="shared" si="200"/>
        <v/>
      </c>
      <c r="E2582" s="50" t="str">
        <f t="shared" si="201"/>
        <v/>
      </c>
      <c r="F2582" s="50" t="str">
        <f t="shared" si="202"/>
        <v/>
      </c>
      <c r="G2582" s="50" t="str">
        <f t="shared" si="203"/>
        <v/>
      </c>
      <c r="H2582" s="51" t="str">
        <f>IF($C2582="","",IFERROR(DATE(G2582,VLOOKUP(E2582,Paramètres!$K$11:$L$40,2,FALSE()),F2582),"?"))</f>
        <v/>
      </c>
      <c r="I2582" s="50" t="str">
        <f>IF(ISNUMBER(H2582),IF(COUNTIFS($D$2:D2582,D2582,$H$2:H2582,H2582)=1,1,0),"")</f>
        <v/>
      </c>
      <c r="J2582" s="50" t="str">
        <f>IF(ISNUMBER(H2582),IFERROR(INDEX(Calendrier!$C$2:$C$367,MATCH(H2582,Calendrier!$A$2:$A$367,0)),0),"")</f>
        <v/>
      </c>
      <c r="K2582" s="50" t="str">
        <f t="shared" si="204"/>
        <v/>
      </c>
      <c r="L2582" s="50" t="str">
        <f>IF(D2582="","",IF(COUNTIF(Paramètres!$A$11:$A$40,D2582)&gt;0,1,0))</f>
        <v/>
      </c>
    </row>
    <row r="2583" spans="1:12" hidden="1" x14ac:dyDescent="0.25">
      <c r="A2583" s="49"/>
      <c r="B2583" s="49"/>
      <c r="C2583" s="49"/>
      <c r="D2583" s="50" t="str">
        <f t="shared" si="200"/>
        <v/>
      </c>
      <c r="E2583" s="50" t="str">
        <f t="shared" si="201"/>
        <v/>
      </c>
      <c r="F2583" s="50" t="str">
        <f t="shared" si="202"/>
        <v/>
      </c>
      <c r="G2583" s="50" t="str">
        <f t="shared" si="203"/>
        <v/>
      </c>
      <c r="H2583" s="51" t="str">
        <f>IF($C2583="","",IFERROR(DATE(G2583,VLOOKUP(E2583,Paramètres!$K$11:$L$40,2,FALSE()),F2583),"?"))</f>
        <v/>
      </c>
      <c r="I2583" s="50" t="str">
        <f>IF(ISNUMBER(H2583),IF(COUNTIFS($D$2:D2583,D2583,$H$2:H2583,H2583)=1,1,0),"")</f>
        <v/>
      </c>
      <c r="J2583" s="50" t="str">
        <f>IF(ISNUMBER(H2583),IFERROR(INDEX(Calendrier!$C$2:$C$367,MATCH(H2583,Calendrier!$A$2:$A$367,0)),0),"")</f>
        <v/>
      </c>
      <c r="K2583" s="50" t="str">
        <f t="shared" si="204"/>
        <v/>
      </c>
      <c r="L2583" s="50" t="str">
        <f>IF(D2583="","",IF(COUNTIF(Paramètres!$A$11:$A$40,D2583)&gt;0,1,0))</f>
        <v/>
      </c>
    </row>
    <row r="2584" spans="1:12" hidden="1" x14ac:dyDescent="0.25">
      <c r="A2584" s="49"/>
      <c r="B2584" s="49"/>
      <c r="C2584" s="49"/>
      <c r="D2584" s="50" t="str">
        <f t="shared" si="200"/>
        <v/>
      </c>
      <c r="E2584" s="50" t="str">
        <f t="shared" si="201"/>
        <v/>
      </c>
      <c r="F2584" s="50" t="str">
        <f t="shared" si="202"/>
        <v/>
      </c>
      <c r="G2584" s="50" t="str">
        <f t="shared" si="203"/>
        <v/>
      </c>
      <c r="H2584" s="51" t="str">
        <f>IF($C2584="","",IFERROR(DATE(G2584,VLOOKUP(E2584,Paramètres!$K$11:$L$40,2,FALSE()),F2584),"?"))</f>
        <v/>
      </c>
      <c r="I2584" s="50" t="str">
        <f>IF(ISNUMBER(H2584),IF(COUNTIFS($D$2:D2584,D2584,$H$2:H2584,H2584)=1,1,0),"")</f>
        <v/>
      </c>
      <c r="J2584" s="50" t="str">
        <f>IF(ISNUMBER(H2584),IFERROR(INDEX(Calendrier!$C$2:$C$367,MATCH(H2584,Calendrier!$A$2:$A$367,0)),0),"")</f>
        <v/>
      </c>
      <c r="K2584" s="50" t="str">
        <f t="shared" si="204"/>
        <v/>
      </c>
      <c r="L2584" s="50" t="str">
        <f>IF(D2584="","",IF(COUNTIF(Paramètres!$A$11:$A$40,D2584)&gt;0,1,0))</f>
        <v/>
      </c>
    </row>
    <row r="2585" spans="1:12" hidden="1" x14ac:dyDescent="0.25">
      <c r="A2585" s="49"/>
      <c r="B2585" s="49"/>
      <c r="C2585" s="49"/>
      <c r="D2585" s="50" t="str">
        <f t="shared" si="200"/>
        <v/>
      </c>
      <c r="E2585" s="50" t="str">
        <f t="shared" si="201"/>
        <v/>
      </c>
      <c r="F2585" s="50" t="str">
        <f t="shared" si="202"/>
        <v/>
      </c>
      <c r="G2585" s="50" t="str">
        <f t="shared" si="203"/>
        <v/>
      </c>
      <c r="H2585" s="51" t="str">
        <f>IF($C2585="","",IFERROR(DATE(G2585,VLOOKUP(E2585,Paramètres!$K$11:$L$40,2,FALSE()),F2585),"?"))</f>
        <v/>
      </c>
      <c r="I2585" s="50" t="str">
        <f>IF(ISNUMBER(H2585),IF(COUNTIFS($D$2:D2585,D2585,$H$2:H2585,H2585)=1,1,0),"")</f>
        <v/>
      </c>
      <c r="J2585" s="50" t="str">
        <f>IF(ISNUMBER(H2585),IFERROR(INDEX(Calendrier!$C$2:$C$367,MATCH(H2585,Calendrier!$A$2:$A$367,0)),0),"")</f>
        <v/>
      </c>
      <c r="K2585" s="50" t="str">
        <f t="shared" si="204"/>
        <v/>
      </c>
      <c r="L2585" s="50" t="str">
        <f>IF(D2585="","",IF(COUNTIF(Paramètres!$A$11:$A$40,D2585)&gt;0,1,0))</f>
        <v/>
      </c>
    </row>
    <row r="2586" spans="1:12" hidden="1" x14ac:dyDescent="0.25">
      <c r="A2586" s="49"/>
      <c r="B2586" s="49"/>
      <c r="C2586" s="49"/>
      <c r="D2586" s="50" t="str">
        <f t="shared" si="200"/>
        <v/>
      </c>
      <c r="E2586" s="50" t="str">
        <f t="shared" si="201"/>
        <v/>
      </c>
      <c r="F2586" s="50" t="str">
        <f t="shared" si="202"/>
        <v/>
      </c>
      <c r="G2586" s="50" t="str">
        <f t="shared" si="203"/>
        <v/>
      </c>
      <c r="H2586" s="51" t="str">
        <f>IF($C2586="","",IFERROR(DATE(G2586,VLOOKUP(E2586,Paramètres!$K$11:$L$40,2,FALSE()),F2586),"?"))</f>
        <v/>
      </c>
      <c r="I2586" s="50" t="str">
        <f>IF(ISNUMBER(H2586),IF(COUNTIFS($D$2:D2586,D2586,$H$2:H2586,H2586)=1,1,0),"")</f>
        <v/>
      </c>
      <c r="J2586" s="50" t="str">
        <f>IF(ISNUMBER(H2586),IFERROR(INDEX(Calendrier!$C$2:$C$367,MATCH(H2586,Calendrier!$A$2:$A$367,0)),0),"")</f>
        <v/>
      </c>
      <c r="K2586" s="50" t="str">
        <f t="shared" si="204"/>
        <v/>
      </c>
      <c r="L2586" s="50" t="str">
        <f>IF(D2586="","",IF(COUNTIF(Paramètres!$A$11:$A$40,D2586)&gt;0,1,0))</f>
        <v/>
      </c>
    </row>
    <row r="2587" spans="1:12" hidden="1" x14ac:dyDescent="0.25">
      <c r="A2587" s="49"/>
      <c r="B2587" s="49"/>
      <c r="C2587" s="49"/>
      <c r="D2587" s="50" t="str">
        <f t="shared" si="200"/>
        <v/>
      </c>
      <c r="E2587" s="50" t="str">
        <f t="shared" si="201"/>
        <v/>
      </c>
      <c r="F2587" s="50" t="str">
        <f t="shared" si="202"/>
        <v/>
      </c>
      <c r="G2587" s="50" t="str">
        <f t="shared" si="203"/>
        <v/>
      </c>
      <c r="H2587" s="51" t="str">
        <f>IF($C2587="","",IFERROR(DATE(G2587,VLOOKUP(E2587,Paramètres!$K$11:$L$40,2,FALSE()),F2587),"?"))</f>
        <v/>
      </c>
      <c r="I2587" s="50" t="str">
        <f>IF(ISNUMBER(H2587),IF(COUNTIFS($D$2:D2587,D2587,$H$2:H2587,H2587)=1,1,0),"")</f>
        <v/>
      </c>
      <c r="J2587" s="50" t="str">
        <f>IF(ISNUMBER(H2587),IFERROR(INDEX(Calendrier!$C$2:$C$367,MATCH(H2587,Calendrier!$A$2:$A$367,0)),0),"")</f>
        <v/>
      </c>
      <c r="K2587" s="50" t="str">
        <f t="shared" si="204"/>
        <v/>
      </c>
      <c r="L2587" s="50" t="str">
        <f>IF(D2587="","",IF(COUNTIF(Paramètres!$A$11:$A$40,D2587)&gt;0,1,0))</f>
        <v/>
      </c>
    </row>
    <row r="2588" spans="1:12" hidden="1" x14ac:dyDescent="0.25">
      <c r="A2588" s="49"/>
      <c r="B2588" s="49"/>
      <c r="C2588" s="49"/>
      <c r="D2588" s="50" t="str">
        <f t="shared" si="200"/>
        <v/>
      </c>
      <c r="E2588" s="50" t="str">
        <f t="shared" si="201"/>
        <v/>
      </c>
      <c r="F2588" s="50" t="str">
        <f t="shared" si="202"/>
        <v/>
      </c>
      <c r="G2588" s="50" t="str">
        <f t="shared" si="203"/>
        <v/>
      </c>
      <c r="H2588" s="51" t="str">
        <f>IF($C2588="","",IFERROR(DATE(G2588,VLOOKUP(E2588,Paramètres!$K$11:$L$40,2,FALSE()),F2588),"?"))</f>
        <v/>
      </c>
      <c r="I2588" s="50" t="str">
        <f>IF(ISNUMBER(H2588),IF(COUNTIFS($D$2:D2588,D2588,$H$2:H2588,H2588)=1,1,0),"")</f>
        <v/>
      </c>
      <c r="J2588" s="50" t="str">
        <f>IF(ISNUMBER(H2588),IFERROR(INDEX(Calendrier!$C$2:$C$367,MATCH(H2588,Calendrier!$A$2:$A$367,0)),0),"")</f>
        <v/>
      </c>
      <c r="K2588" s="50" t="str">
        <f t="shared" si="204"/>
        <v/>
      </c>
      <c r="L2588" s="50" t="str">
        <f>IF(D2588="","",IF(COUNTIF(Paramètres!$A$11:$A$40,D2588)&gt;0,1,0))</f>
        <v/>
      </c>
    </row>
    <row r="2589" spans="1:12" hidden="1" x14ac:dyDescent="0.25">
      <c r="A2589" s="49"/>
      <c r="B2589" s="49"/>
      <c r="C2589" s="49"/>
      <c r="D2589" s="50" t="str">
        <f t="shared" si="200"/>
        <v/>
      </c>
      <c r="E2589" s="50" t="str">
        <f t="shared" si="201"/>
        <v/>
      </c>
      <c r="F2589" s="50" t="str">
        <f t="shared" si="202"/>
        <v/>
      </c>
      <c r="G2589" s="50" t="str">
        <f t="shared" si="203"/>
        <v/>
      </c>
      <c r="H2589" s="51" t="str">
        <f>IF($C2589="","",IFERROR(DATE(G2589,VLOOKUP(E2589,Paramètres!$K$11:$L$40,2,FALSE()),F2589),"?"))</f>
        <v/>
      </c>
      <c r="I2589" s="50" t="str">
        <f>IF(ISNUMBER(H2589),IF(COUNTIFS($D$2:D2589,D2589,$H$2:H2589,H2589)=1,1,0),"")</f>
        <v/>
      </c>
      <c r="J2589" s="50" t="str">
        <f>IF(ISNUMBER(H2589),IFERROR(INDEX(Calendrier!$C$2:$C$367,MATCH(H2589,Calendrier!$A$2:$A$367,0)),0),"")</f>
        <v/>
      </c>
      <c r="K2589" s="50" t="str">
        <f t="shared" si="204"/>
        <v/>
      </c>
      <c r="L2589" s="50" t="str">
        <f>IF(D2589="","",IF(COUNTIF(Paramètres!$A$11:$A$40,D2589)&gt;0,1,0))</f>
        <v/>
      </c>
    </row>
    <row r="2590" spans="1:12" hidden="1" x14ac:dyDescent="0.25">
      <c r="A2590" s="49"/>
      <c r="B2590" s="49"/>
      <c r="C2590" s="49"/>
      <c r="D2590" s="50" t="str">
        <f t="shared" si="200"/>
        <v/>
      </c>
      <c r="E2590" s="50" t="str">
        <f t="shared" si="201"/>
        <v/>
      </c>
      <c r="F2590" s="50" t="str">
        <f t="shared" si="202"/>
        <v/>
      </c>
      <c r="G2590" s="50" t="str">
        <f t="shared" si="203"/>
        <v/>
      </c>
      <c r="H2590" s="51" t="str">
        <f>IF($C2590="","",IFERROR(DATE(G2590,VLOOKUP(E2590,Paramètres!$K$11:$L$40,2,FALSE()),F2590),"?"))</f>
        <v/>
      </c>
      <c r="I2590" s="50" t="str">
        <f>IF(ISNUMBER(H2590),IF(COUNTIFS($D$2:D2590,D2590,$H$2:H2590,H2590)=1,1,0),"")</f>
        <v/>
      </c>
      <c r="J2590" s="50" t="str">
        <f>IF(ISNUMBER(H2590),IFERROR(INDEX(Calendrier!$C$2:$C$367,MATCH(H2590,Calendrier!$A$2:$A$367,0)),0),"")</f>
        <v/>
      </c>
      <c r="K2590" s="50" t="str">
        <f t="shared" si="204"/>
        <v/>
      </c>
      <c r="L2590" s="50" t="str">
        <f>IF(D2590="","",IF(COUNTIF(Paramètres!$A$11:$A$40,D2590)&gt;0,1,0))</f>
        <v/>
      </c>
    </row>
    <row r="2591" spans="1:12" hidden="1" x14ac:dyDescent="0.25">
      <c r="A2591" s="49"/>
      <c r="B2591" s="49"/>
      <c r="C2591" s="49"/>
      <c r="D2591" s="50" t="str">
        <f t="shared" si="200"/>
        <v/>
      </c>
      <c r="E2591" s="50" t="str">
        <f t="shared" si="201"/>
        <v/>
      </c>
      <c r="F2591" s="50" t="str">
        <f t="shared" si="202"/>
        <v/>
      </c>
      <c r="G2591" s="50" t="str">
        <f t="shared" si="203"/>
        <v/>
      </c>
      <c r="H2591" s="51" t="str">
        <f>IF($C2591="","",IFERROR(DATE(G2591,VLOOKUP(E2591,Paramètres!$K$11:$L$40,2,FALSE()),F2591),"?"))</f>
        <v/>
      </c>
      <c r="I2591" s="50" t="str">
        <f>IF(ISNUMBER(H2591),IF(COUNTIFS($D$2:D2591,D2591,$H$2:H2591,H2591)=1,1,0),"")</f>
        <v/>
      </c>
      <c r="J2591" s="50" t="str">
        <f>IF(ISNUMBER(H2591),IFERROR(INDEX(Calendrier!$C$2:$C$367,MATCH(H2591,Calendrier!$A$2:$A$367,0)),0),"")</f>
        <v/>
      </c>
      <c r="K2591" s="50" t="str">
        <f t="shared" si="204"/>
        <v/>
      </c>
      <c r="L2591" s="50" t="str">
        <f>IF(D2591="","",IF(COUNTIF(Paramètres!$A$11:$A$40,D2591)&gt;0,1,0))</f>
        <v/>
      </c>
    </row>
    <row r="2592" spans="1:12" hidden="1" x14ac:dyDescent="0.25">
      <c r="A2592" s="49"/>
      <c r="B2592" s="49"/>
      <c r="C2592" s="49"/>
      <c r="D2592" s="50" t="str">
        <f t="shared" si="200"/>
        <v/>
      </c>
      <c r="E2592" s="50" t="str">
        <f t="shared" si="201"/>
        <v/>
      </c>
      <c r="F2592" s="50" t="str">
        <f t="shared" si="202"/>
        <v/>
      </c>
      <c r="G2592" s="50" t="str">
        <f t="shared" si="203"/>
        <v/>
      </c>
      <c r="H2592" s="51" t="str">
        <f>IF($C2592="","",IFERROR(DATE(G2592,VLOOKUP(E2592,Paramètres!$K$11:$L$40,2,FALSE()),F2592),"?"))</f>
        <v/>
      </c>
      <c r="I2592" s="50" t="str">
        <f>IF(ISNUMBER(H2592),IF(COUNTIFS($D$2:D2592,D2592,$H$2:H2592,H2592)=1,1,0),"")</f>
        <v/>
      </c>
      <c r="J2592" s="50" t="str">
        <f>IF(ISNUMBER(H2592),IFERROR(INDEX(Calendrier!$C$2:$C$367,MATCH(H2592,Calendrier!$A$2:$A$367,0)),0),"")</f>
        <v/>
      </c>
      <c r="K2592" s="50" t="str">
        <f t="shared" si="204"/>
        <v/>
      </c>
      <c r="L2592" s="50" t="str">
        <f>IF(D2592="","",IF(COUNTIF(Paramètres!$A$11:$A$40,D2592)&gt;0,1,0))</f>
        <v/>
      </c>
    </row>
    <row r="2593" spans="1:12" hidden="1" x14ac:dyDescent="0.25">
      <c r="A2593" s="49"/>
      <c r="B2593" s="49"/>
      <c r="C2593" s="49"/>
      <c r="D2593" s="50" t="str">
        <f t="shared" si="200"/>
        <v/>
      </c>
      <c r="E2593" s="50" t="str">
        <f t="shared" si="201"/>
        <v/>
      </c>
      <c r="F2593" s="50" t="str">
        <f t="shared" si="202"/>
        <v/>
      </c>
      <c r="G2593" s="50" t="str">
        <f t="shared" si="203"/>
        <v/>
      </c>
      <c r="H2593" s="51" t="str">
        <f>IF($C2593="","",IFERROR(DATE(G2593,VLOOKUP(E2593,Paramètres!$K$11:$L$40,2,FALSE()),F2593),"?"))</f>
        <v/>
      </c>
      <c r="I2593" s="50" t="str">
        <f>IF(ISNUMBER(H2593),IF(COUNTIFS($D$2:D2593,D2593,$H$2:H2593,H2593)=1,1,0),"")</f>
        <v/>
      </c>
      <c r="J2593" s="50" t="str">
        <f>IF(ISNUMBER(H2593),IFERROR(INDEX(Calendrier!$C$2:$C$367,MATCH(H2593,Calendrier!$A$2:$A$367,0)),0),"")</f>
        <v/>
      </c>
      <c r="K2593" s="50" t="str">
        <f t="shared" si="204"/>
        <v/>
      </c>
      <c r="L2593" s="50" t="str">
        <f>IF(D2593="","",IF(COUNTIF(Paramètres!$A$11:$A$40,D2593)&gt;0,1,0))</f>
        <v/>
      </c>
    </row>
    <row r="2594" spans="1:12" hidden="1" x14ac:dyDescent="0.25">
      <c r="A2594" s="49"/>
      <c r="B2594" s="49"/>
      <c r="C2594" s="49"/>
      <c r="D2594" s="50" t="str">
        <f t="shared" si="200"/>
        <v/>
      </c>
      <c r="E2594" s="50" t="str">
        <f t="shared" si="201"/>
        <v/>
      </c>
      <c r="F2594" s="50" t="str">
        <f t="shared" si="202"/>
        <v/>
      </c>
      <c r="G2594" s="50" t="str">
        <f t="shared" si="203"/>
        <v/>
      </c>
      <c r="H2594" s="51" t="str">
        <f>IF($C2594="","",IFERROR(DATE(G2594,VLOOKUP(E2594,Paramètres!$K$11:$L$40,2,FALSE()),F2594),"?"))</f>
        <v/>
      </c>
      <c r="I2594" s="50" t="str">
        <f>IF(ISNUMBER(H2594),IF(COUNTIFS($D$2:D2594,D2594,$H$2:H2594,H2594)=1,1,0),"")</f>
        <v/>
      </c>
      <c r="J2594" s="50" t="str">
        <f>IF(ISNUMBER(H2594),IFERROR(INDEX(Calendrier!$C$2:$C$367,MATCH(H2594,Calendrier!$A$2:$A$367,0)),0),"")</f>
        <v/>
      </c>
      <c r="K2594" s="50" t="str">
        <f t="shared" si="204"/>
        <v/>
      </c>
      <c r="L2594" s="50" t="str">
        <f>IF(D2594="","",IF(COUNTIF(Paramètres!$A$11:$A$40,D2594)&gt;0,1,0))</f>
        <v/>
      </c>
    </row>
    <row r="2595" spans="1:12" hidden="1" x14ac:dyDescent="0.25">
      <c r="A2595" s="49"/>
      <c r="B2595" s="49"/>
      <c r="C2595" s="49"/>
      <c r="D2595" s="50" t="str">
        <f t="shared" si="200"/>
        <v/>
      </c>
      <c r="E2595" s="50" t="str">
        <f t="shared" si="201"/>
        <v/>
      </c>
      <c r="F2595" s="50" t="str">
        <f t="shared" si="202"/>
        <v/>
      </c>
      <c r="G2595" s="50" t="str">
        <f t="shared" si="203"/>
        <v/>
      </c>
      <c r="H2595" s="51" t="str">
        <f>IF($C2595="","",IFERROR(DATE(G2595,VLOOKUP(E2595,Paramètres!$K$11:$L$40,2,FALSE()),F2595),"?"))</f>
        <v/>
      </c>
      <c r="I2595" s="50" t="str">
        <f>IF(ISNUMBER(H2595),IF(COUNTIFS($D$2:D2595,D2595,$H$2:H2595,H2595)=1,1,0),"")</f>
        <v/>
      </c>
      <c r="J2595" s="50" t="str">
        <f>IF(ISNUMBER(H2595),IFERROR(INDEX(Calendrier!$C$2:$C$367,MATCH(H2595,Calendrier!$A$2:$A$367,0)),0),"")</f>
        <v/>
      </c>
      <c r="K2595" s="50" t="str">
        <f t="shared" si="204"/>
        <v/>
      </c>
      <c r="L2595" s="50" t="str">
        <f>IF(D2595="","",IF(COUNTIF(Paramètres!$A$11:$A$40,D2595)&gt;0,1,0))</f>
        <v/>
      </c>
    </row>
    <row r="2596" spans="1:12" hidden="1" x14ac:dyDescent="0.25">
      <c r="A2596" s="49"/>
      <c r="B2596" s="49"/>
      <c r="C2596" s="49"/>
      <c r="D2596" s="50" t="str">
        <f t="shared" si="200"/>
        <v/>
      </c>
      <c r="E2596" s="50" t="str">
        <f t="shared" si="201"/>
        <v/>
      </c>
      <c r="F2596" s="50" t="str">
        <f t="shared" si="202"/>
        <v/>
      </c>
      <c r="G2596" s="50" t="str">
        <f t="shared" si="203"/>
        <v/>
      </c>
      <c r="H2596" s="51" t="str">
        <f>IF($C2596="","",IFERROR(DATE(G2596,VLOOKUP(E2596,Paramètres!$K$11:$L$40,2,FALSE()),F2596),"?"))</f>
        <v/>
      </c>
      <c r="I2596" s="50" t="str">
        <f>IF(ISNUMBER(H2596),IF(COUNTIFS($D$2:D2596,D2596,$H$2:H2596,H2596)=1,1,0),"")</f>
        <v/>
      </c>
      <c r="J2596" s="50" t="str">
        <f>IF(ISNUMBER(H2596),IFERROR(INDEX(Calendrier!$C$2:$C$367,MATCH(H2596,Calendrier!$A$2:$A$367,0)),0),"")</f>
        <v/>
      </c>
      <c r="K2596" s="50" t="str">
        <f t="shared" si="204"/>
        <v/>
      </c>
      <c r="L2596" s="50" t="str">
        <f>IF(D2596="","",IF(COUNTIF(Paramètres!$A$11:$A$40,D2596)&gt;0,1,0))</f>
        <v/>
      </c>
    </row>
    <row r="2597" spans="1:12" hidden="1" x14ac:dyDescent="0.25">
      <c r="A2597" s="49"/>
      <c r="B2597" s="49"/>
      <c r="C2597" s="49"/>
      <c r="D2597" s="50" t="str">
        <f t="shared" si="200"/>
        <v/>
      </c>
      <c r="E2597" s="50" t="str">
        <f t="shared" si="201"/>
        <v/>
      </c>
      <c r="F2597" s="50" t="str">
        <f t="shared" si="202"/>
        <v/>
      </c>
      <c r="G2597" s="50" t="str">
        <f t="shared" si="203"/>
        <v/>
      </c>
      <c r="H2597" s="51" t="str">
        <f>IF($C2597="","",IFERROR(DATE(G2597,VLOOKUP(E2597,Paramètres!$K$11:$L$40,2,FALSE()),F2597),"?"))</f>
        <v/>
      </c>
      <c r="I2597" s="50" t="str">
        <f>IF(ISNUMBER(H2597),IF(COUNTIFS($D$2:D2597,D2597,$H$2:H2597,H2597)=1,1,0),"")</f>
        <v/>
      </c>
      <c r="J2597" s="50" t="str">
        <f>IF(ISNUMBER(H2597),IFERROR(INDEX(Calendrier!$C$2:$C$367,MATCH(H2597,Calendrier!$A$2:$A$367,0)),0),"")</f>
        <v/>
      </c>
      <c r="K2597" s="50" t="str">
        <f t="shared" si="204"/>
        <v/>
      </c>
      <c r="L2597" s="50" t="str">
        <f>IF(D2597="","",IF(COUNTIF(Paramètres!$A$11:$A$40,D2597)&gt;0,1,0))</f>
        <v/>
      </c>
    </row>
    <row r="2598" spans="1:12" hidden="1" x14ac:dyDescent="0.25">
      <c r="A2598" s="49"/>
      <c r="B2598" s="49"/>
      <c r="C2598" s="49"/>
      <c r="D2598" s="50" t="str">
        <f t="shared" si="200"/>
        <v/>
      </c>
      <c r="E2598" s="50" t="str">
        <f t="shared" si="201"/>
        <v/>
      </c>
      <c r="F2598" s="50" t="str">
        <f t="shared" si="202"/>
        <v/>
      </c>
      <c r="G2598" s="50" t="str">
        <f t="shared" si="203"/>
        <v/>
      </c>
      <c r="H2598" s="51" t="str">
        <f>IF($C2598="","",IFERROR(DATE(G2598,VLOOKUP(E2598,Paramètres!$K$11:$L$40,2,FALSE()),F2598),"?"))</f>
        <v/>
      </c>
      <c r="I2598" s="50" t="str">
        <f>IF(ISNUMBER(H2598),IF(COUNTIFS($D$2:D2598,D2598,$H$2:H2598,H2598)=1,1,0),"")</f>
        <v/>
      </c>
      <c r="J2598" s="50" t="str">
        <f>IF(ISNUMBER(H2598),IFERROR(INDEX(Calendrier!$C$2:$C$367,MATCH(H2598,Calendrier!$A$2:$A$367,0)),0),"")</f>
        <v/>
      </c>
      <c r="K2598" s="50" t="str">
        <f t="shared" si="204"/>
        <v/>
      </c>
      <c r="L2598" s="50" t="str">
        <f>IF(D2598="","",IF(COUNTIF(Paramètres!$A$11:$A$40,D2598)&gt;0,1,0))</f>
        <v/>
      </c>
    </row>
    <row r="2599" spans="1:12" hidden="1" x14ac:dyDescent="0.25">
      <c r="A2599" s="49"/>
      <c r="B2599" s="49"/>
      <c r="C2599" s="49"/>
      <c r="D2599" s="50" t="str">
        <f t="shared" si="200"/>
        <v/>
      </c>
      <c r="E2599" s="50" t="str">
        <f t="shared" si="201"/>
        <v/>
      </c>
      <c r="F2599" s="50" t="str">
        <f t="shared" si="202"/>
        <v/>
      </c>
      <c r="G2599" s="50" t="str">
        <f t="shared" si="203"/>
        <v/>
      </c>
      <c r="H2599" s="51" t="str">
        <f>IF($C2599="","",IFERROR(DATE(G2599,VLOOKUP(E2599,Paramètres!$K$11:$L$40,2,FALSE()),F2599),"?"))</f>
        <v/>
      </c>
      <c r="I2599" s="50" t="str">
        <f>IF(ISNUMBER(H2599),IF(COUNTIFS($D$2:D2599,D2599,$H$2:H2599,H2599)=1,1,0),"")</f>
        <v/>
      </c>
      <c r="J2599" s="50" t="str">
        <f>IF(ISNUMBER(H2599),IFERROR(INDEX(Calendrier!$C$2:$C$367,MATCH(H2599,Calendrier!$A$2:$A$367,0)),0),"")</f>
        <v/>
      </c>
      <c r="K2599" s="50" t="str">
        <f t="shared" si="204"/>
        <v/>
      </c>
      <c r="L2599" s="50" t="str">
        <f>IF(D2599="","",IF(COUNTIF(Paramètres!$A$11:$A$40,D2599)&gt;0,1,0))</f>
        <v/>
      </c>
    </row>
    <row r="2600" spans="1:12" hidden="1" x14ac:dyDescent="0.25">
      <c r="A2600" s="49"/>
      <c r="B2600" s="49"/>
      <c r="C2600" s="49"/>
      <c r="D2600" s="50" t="str">
        <f t="shared" si="200"/>
        <v/>
      </c>
      <c r="E2600" s="50" t="str">
        <f t="shared" si="201"/>
        <v/>
      </c>
      <c r="F2600" s="50" t="str">
        <f t="shared" si="202"/>
        <v/>
      </c>
      <c r="G2600" s="50" t="str">
        <f t="shared" si="203"/>
        <v/>
      </c>
      <c r="H2600" s="51" t="str">
        <f>IF($C2600="","",IFERROR(DATE(G2600,VLOOKUP(E2600,Paramètres!$K$11:$L$40,2,FALSE()),F2600),"?"))</f>
        <v/>
      </c>
      <c r="I2600" s="50" t="str">
        <f>IF(ISNUMBER(H2600),IF(COUNTIFS($D$2:D2600,D2600,$H$2:H2600,H2600)=1,1,0),"")</f>
        <v/>
      </c>
      <c r="J2600" s="50" t="str">
        <f>IF(ISNUMBER(H2600),IFERROR(INDEX(Calendrier!$C$2:$C$367,MATCH(H2600,Calendrier!$A$2:$A$367,0)),0),"")</f>
        <v/>
      </c>
      <c r="K2600" s="50" t="str">
        <f t="shared" si="204"/>
        <v/>
      </c>
      <c r="L2600" s="50" t="str">
        <f>IF(D2600="","",IF(COUNTIF(Paramètres!$A$11:$A$40,D2600)&gt;0,1,0))</f>
        <v/>
      </c>
    </row>
    <row r="2601" spans="1:12" hidden="1" x14ac:dyDescent="0.25">
      <c r="A2601" s="49"/>
      <c r="B2601" s="49"/>
      <c r="C2601" s="49"/>
      <c r="D2601" s="50" t="str">
        <f t="shared" si="200"/>
        <v/>
      </c>
      <c r="E2601" s="50" t="str">
        <f t="shared" si="201"/>
        <v/>
      </c>
      <c r="F2601" s="50" t="str">
        <f t="shared" si="202"/>
        <v/>
      </c>
      <c r="G2601" s="50" t="str">
        <f t="shared" si="203"/>
        <v/>
      </c>
      <c r="H2601" s="51" t="str">
        <f>IF($C2601="","",IFERROR(DATE(G2601,VLOOKUP(E2601,Paramètres!$K$11:$L$40,2,FALSE()),F2601),"?"))</f>
        <v/>
      </c>
      <c r="I2601" s="50" t="str">
        <f>IF(ISNUMBER(H2601),IF(COUNTIFS($D$2:D2601,D2601,$H$2:H2601,H2601)=1,1,0),"")</f>
        <v/>
      </c>
      <c r="J2601" s="50" t="str">
        <f>IF(ISNUMBER(H2601),IFERROR(INDEX(Calendrier!$C$2:$C$367,MATCH(H2601,Calendrier!$A$2:$A$367,0)),0),"")</f>
        <v/>
      </c>
      <c r="K2601" s="50" t="str">
        <f t="shared" si="204"/>
        <v/>
      </c>
      <c r="L2601" s="50" t="str">
        <f>IF(D2601="","",IF(COUNTIF(Paramètres!$A$11:$A$40,D2601)&gt;0,1,0))</f>
        <v/>
      </c>
    </row>
    <row r="2602" spans="1:12" hidden="1" x14ac:dyDescent="0.25">
      <c r="A2602" s="49"/>
      <c r="B2602" s="49"/>
      <c r="C2602" s="49"/>
      <c r="D2602" s="50" t="str">
        <f t="shared" si="200"/>
        <v/>
      </c>
      <c r="E2602" s="50" t="str">
        <f t="shared" si="201"/>
        <v/>
      </c>
      <c r="F2602" s="50" t="str">
        <f t="shared" si="202"/>
        <v/>
      </c>
      <c r="G2602" s="50" t="str">
        <f t="shared" si="203"/>
        <v/>
      </c>
      <c r="H2602" s="51" t="str">
        <f>IF($C2602="","",IFERROR(DATE(G2602,VLOOKUP(E2602,Paramètres!$K$11:$L$40,2,FALSE()),F2602),"?"))</f>
        <v/>
      </c>
      <c r="I2602" s="50" t="str">
        <f>IF(ISNUMBER(H2602),IF(COUNTIFS($D$2:D2602,D2602,$H$2:H2602,H2602)=1,1,0),"")</f>
        <v/>
      </c>
      <c r="J2602" s="50" t="str">
        <f>IF(ISNUMBER(H2602),IFERROR(INDEX(Calendrier!$C$2:$C$367,MATCH(H2602,Calendrier!$A$2:$A$367,0)),0),"")</f>
        <v/>
      </c>
      <c r="K2602" s="50" t="str">
        <f t="shared" si="204"/>
        <v/>
      </c>
      <c r="L2602" s="50" t="str">
        <f>IF(D2602="","",IF(COUNTIF(Paramètres!$A$11:$A$40,D2602)&gt;0,1,0))</f>
        <v/>
      </c>
    </row>
    <row r="2603" spans="1:12" hidden="1" x14ac:dyDescent="0.25">
      <c r="A2603" s="49"/>
      <c r="B2603" s="49"/>
      <c r="C2603" s="49"/>
      <c r="D2603" s="50" t="str">
        <f t="shared" si="200"/>
        <v/>
      </c>
      <c r="E2603" s="50" t="str">
        <f t="shared" si="201"/>
        <v/>
      </c>
      <c r="F2603" s="50" t="str">
        <f t="shared" si="202"/>
        <v/>
      </c>
      <c r="G2603" s="50" t="str">
        <f t="shared" si="203"/>
        <v/>
      </c>
      <c r="H2603" s="51" t="str">
        <f>IF($C2603="","",IFERROR(DATE(G2603,VLOOKUP(E2603,Paramètres!$K$11:$L$40,2,FALSE()),F2603),"?"))</f>
        <v/>
      </c>
      <c r="I2603" s="50" t="str">
        <f>IF(ISNUMBER(H2603),IF(COUNTIFS($D$2:D2603,D2603,$H$2:H2603,H2603)=1,1,0),"")</f>
        <v/>
      </c>
      <c r="J2603" s="50" t="str">
        <f>IF(ISNUMBER(H2603),IFERROR(INDEX(Calendrier!$C$2:$C$367,MATCH(H2603,Calendrier!$A$2:$A$367,0)),0),"")</f>
        <v/>
      </c>
      <c r="K2603" s="50" t="str">
        <f t="shared" si="204"/>
        <v/>
      </c>
      <c r="L2603" s="50" t="str">
        <f>IF(D2603="","",IF(COUNTIF(Paramètres!$A$11:$A$40,D2603)&gt;0,1,0))</f>
        <v/>
      </c>
    </row>
    <row r="2604" spans="1:12" hidden="1" x14ac:dyDescent="0.25">
      <c r="A2604" s="49"/>
      <c r="B2604" s="49"/>
      <c r="C2604" s="49"/>
      <c r="D2604" s="50" t="str">
        <f t="shared" si="200"/>
        <v/>
      </c>
      <c r="E2604" s="50" t="str">
        <f t="shared" si="201"/>
        <v/>
      </c>
      <c r="F2604" s="50" t="str">
        <f t="shared" si="202"/>
        <v/>
      </c>
      <c r="G2604" s="50" t="str">
        <f t="shared" si="203"/>
        <v/>
      </c>
      <c r="H2604" s="51" t="str">
        <f>IF($C2604="","",IFERROR(DATE(G2604,VLOOKUP(E2604,Paramètres!$K$11:$L$40,2,FALSE()),F2604),"?"))</f>
        <v/>
      </c>
      <c r="I2604" s="50" t="str">
        <f>IF(ISNUMBER(H2604),IF(COUNTIFS($D$2:D2604,D2604,$H$2:H2604,H2604)=1,1,0),"")</f>
        <v/>
      </c>
      <c r="J2604" s="50" t="str">
        <f>IF(ISNUMBER(H2604),IFERROR(INDEX(Calendrier!$C$2:$C$367,MATCH(H2604,Calendrier!$A$2:$A$367,0)),0),"")</f>
        <v/>
      </c>
      <c r="K2604" s="50" t="str">
        <f t="shared" si="204"/>
        <v/>
      </c>
      <c r="L2604" s="50" t="str">
        <f>IF(D2604="","",IF(COUNTIF(Paramètres!$A$11:$A$40,D2604)&gt;0,1,0))</f>
        <v/>
      </c>
    </row>
    <row r="2605" spans="1:12" hidden="1" x14ac:dyDescent="0.25">
      <c r="A2605" s="49"/>
      <c r="B2605" s="49"/>
      <c r="C2605" s="49"/>
      <c r="D2605" s="50" t="str">
        <f t="shared" si="200"/>
        <v/>
      </c>
      <c r="E2605" s="50" t="str">
        <f t="shared" si="201"/>
        <v/>
      </c>
      <c r="F2605" s="50" t="str">
        <f t="shared" si="202"/>
        <v/>
      </c>
      <c r="G2605" s="50" t="str">
        <f t="shared" si="203"/>
        <v/>
      </c>
      <c r="H2605" s="51" t="str">
        <f>IF($C2605="","",IFERROR(DATE(G2605,VLOOKUP(E2605,Paramètres!$K$11:$L$40,2,FALSE()),F2605),"?"))</f>
        <v/>
      </c>
      <c r="I2605" s="50" t="str">
        <f>IF(ISNUMBER(H2605),IF(COUNTIFS($D$2:D2605,D2605,$H$2:H2605,H2605)=1,1,0),"")</f>
        <v/>
      </c>
      <c r="J2605" s="50" t="str">
        <f>IF(ISNUMBER(H2605),IFERROR(INDEX(Calendrier!$C$2:$C$367,MATCH(H2605,Calendrier!$A$2:$A$367,0)),0),"")</f>
        <v/>
      </c>
      <c r="K2605" s="50" t="str">
        <f t="shared" si="204"/>
        <v/>
      </c>
      <c r="L2605" s="50" t="str">
        <f>IF(D2605="","",IF(COUNTIF(Paramètres!$A$11:$A$40,D2605)&gt;0,1,0))</f>
        <v/>
      </c>
    </row>
    <row r="2606" spans="1:12" hidden="1" x14ac:dyDescent="0.25">
      <c r="A2606" s="49"/>
      <c r="B2606" s="49"/>
      <c r="C2606" s="49"/>
      <c r="D2606" s="50" t="str">
        <f t="shared" si="200"/>
        <v/>
      </c>
      <c r="E2606" s="50" t="str">
        <f t="shared" si="201"/>
        <v/>
      </c>
      <c r="F2606" s="50" t="str">
        <f t="shared" si="202"/>
        <v/>
      </c>
      <c r="G2606" s="50" t="str">
        <f t="shared" si="203"/>
        <v/>
      </c>
      <c r="H2606" s="51" t="str">
        <f>IF($C2606="","",IFERROR(DATE(G2606,VLOOKUP(E2606,Paramètres!$K$11:$L$40,2,FALSE()),F2606),"?"))</f>
        <v/>
      </c>
      <c r="I2606" s="50" t="str">
        <f>IF(ISNUMBER(H2606),IF(COUNTIFS($D$2:D2606,D2606,$H$2:H2606,H2606)=1,1,0),"")</f>
        <v/>
      </c>
      <c r="J2606" s="50" t="str">
        <f>IF(ISNUMBER(H2606),IFERROR(INDEX(Calendrier!$C$2:$C$367,MATCH(H2606,Calendrier!$A$2:$A$367,0)),0),"")</f>
        <v/>
      </c>
      <c r="K2606" s="50" t="str">
        <f t="shared" si="204"/>
        <v/>
      </c>
      <c r="L2606" s="50" t="str">
        <f>IF(D2606="","",IF(COUNTIF(Paramètres!$A$11:$A$40,D2606)&gt;0,1,0))</f>
        <v/>
      </c>
    </row>
    <row r="2607" spans="1:12" hidden="1" x14ac:dyDescent="0.25">
      <c r="A2607" s="49"/>
      <c r="B2607" s="49"/>
      <c r="C2607" s="49"/>
      <c r="D2607" s="50" t="str">
        <f t="shared" si="200"/>
        <v/>
      </c>
      <c r="E2607" s="50" t="str">
        <f t="shared" si="201"/>
        <v/>
      </c>
      <c r="F2607" s="50" t="str">
        <f t="shared" si="202"/>
        <v/>
      </c>
      <c r="G2607" s="50" t="str">
        <f t="shared" si="203"/>
        <v/>
      </c>
      <c r="H2607" s="51" t="str">
        <f>IF($C2607="","",IFERROR(DATE(G2607,VLOOKUP(E2607,Paramètres!$K$11:$L$40,2,FALSE()),F2607),"?"))</f>
        <v/>
      </c>
      <c r="I2607" s="50" t="str">
        <f>IF(ISNUMBER(H2607),IF(COUNTIFS($D$2:D2607,D2607,$H$2:H2607,H2607)=1,1,0),"")</f>
        <v/>
      </c>
      <c r="J2607" s="50" t="str">
        <f>IF(ISNUMBER(H2607),IFERROR(INDEX(Calendrier!$C$2:$C$367,MATCH(H2607,Calendrier!$A$2:$A$367,0)),0),"")</f>
        <v/>
      </c>
      <c r="K2607" s="50" t="str">
        <f t="shared" si="204"/>
        <v/>
      </c>
      <c r="L2607" s="50" t="str">
        <f>IF(D2607="","",IF(COUNTIF(Paramètres!$A$11:$A$40,D2607)&gt;0,1,0))</f>
        <v/>
      </c>
    </row>
    <row r="2608" spans="1:12" hidden="1" x14ac:dyDescent="0.25">
      <c r="A2608" s="49"/>
      <c r="B2608" s="49"/>
      <c r="C2608" s="49"/>
      <c r="D2608" s="50" t="str">
        <f t="shared" si="200"/>
        <v/>
      </c>
      <c r="E2608" s="50" t="str">
        <f t="shared" si="201"/>
        <v/>
      </c>
      <c r="F2608" s="50" t="str">
        <f t="shared" si="202"/>
        <v/>
      </c>
      <c r="G2608" s="50" t="str">
        <f t="shared" si="203"/>
        <v/>
      </c>
      <c r="H2608" s="51" t="str">
        <f>IF($C2608="","",IFERROR(DATE(G2608,VLOOKUP(E2608,Paramètres!$K$11:$L$40,2,FALSE()),F2608),"?"))</f>
        <v/>
      </c>
      <c r="I2608" s="50" t="str">
        <f>IF(ISNUMBER(H2608),IF(COUNTIFS($D$2:D2608,D2608,$H$2:H2608,H2608)=1,1,0),"")</f>
        <v/>
      </c>
      <c r="J2608" s="50" t="str">
        <f>IF(ISNUMBER(H2608),IFERROR(INDEX(Calendrier!$C$2:$C$367,MATCH(H2608,Calendrier!$A$2:$A$367,0)),0),"")</f>
        <v/>
      </c>
      <c r="K2608" s="50" t="str">
        <f t="shared" si="204"/>
        <v/>
      </c>
      <c r="L2608" s="50" t="str">
        <f>IF(D2608="","",IF(COUNTIF(Paramètres!$A$11:$A$40,D2608)&gt;0,1,0))</f>
        <v/>
      </c>
    </row>
    <row r="2609" spans="1:12" hidden="1" x14ac:dyDescent="0.25">
      <c r="A2609" s="49"/>
      <c r="B2609" s="49"/>
      <c r="C2609" s="49"/>
      <c r="D2609" s="50" t="str">
        <f t="shared" si="200"/>
        <v/>
      </c>
      <c r="E2609" s="50" t="str">
        <f t="shared" si="201"/>
        <v/>
      </c>
      <c r="F2609" s="50" t="str">
        <f t="shared" si="202"/>
        <v/>
      </c>
      <c r="G2609" s="50" t="str">
        <f t="shared" si="203"/>
        <v/>
      </c>
      <c r="H2609" s="51" t="str">
        <f>IF($C2609="","",IFERROR(DATE(G2609,VLOOKUP(E2609,Paramètres!$K$11:$L$40,2,FALSE()),F2609),"?"))</f>
        <v/>
      </c>
      <c r="I2609" s="50" t="str">
        <f>IF(ISNUMBER(H2609),IF(COUNTIFS($D$2:D2609,D2609,$H$2:H2609,H2609)=1,1,0),"")</f>
        <v/>
      </c>
      <c r="J2609" s="50" t="str">
        <f>IF(ISNUMBER(H2609),IFERROR(INDEX(Calendrier!$C$2:$C$367,MATCH(H2609,Calendrier!$A$2:$A$367,0)),0),"")</f>
        <v/>
      </c>
      <c r="K2609" s="50" t="str">
        <f t="shared" si="204"/>
        <v/>
      </c>
      <c r="L2609" s="50" t="str">
        <f>IF(D2609="","",IF(COUNTIF(Paramètres!$A$11:$A$40,D2609)&gt;0,1,0))</f>
        <v/>
      </c>
    </row>
    <row r="2610" spans="1:12" hidden="1" x14ac:dyDescent="0.25">
      <c r="A2610" s="49"/>
      <c r="B2610" s="49"/>
      <c r="C2610" s="49"/>
      <c r="D2610" s="50" t="str">
        <f t="shared" si="200"/>
        <v/>
      </c>
      <c r="E2610" s="50" t="str">
        <f t="shared" si="201"/>
        <v/>
      </c>
      <c r="F2610" s="50" t="str">
        <f t="shared" si="202"/>
        <v/>
      </c>
      <c r="G2610" s="50" t="str">
        <f t="shared" si="203"/>
        <v/>
      </c>
      <c r="H2610" s="51" t="str">
        <f>IF($C2610="","",IFERROR(DATE(G2610,VLOOKUP(E2610,Paramètres!$K$11:$L$40,2,FALSE()),F2610),"?"))</f>
        <v/>
      </c>
      <c r="I2610" s="50" t="str">
        <f>IF(ISNUMBER(H2610),IF(COUNTIFS($D$2:D2610,D2610,$H$2:H2610,H2610)=1,1,0),"")</f>
        <v/>
      </c>
      <c r="J2610" s="50" t="str">
        <f>IF(ISNUMBER(H2610),IFERROR(INDEX(Calendrier!$C$2:$C$367,MATCH(H2610,Calendrier!$A$2:$A$367,0)),0),"")</f>
        <v/>
      </c>
      <c r="K2610" s="50" t="str">
        <f t="shared" si="204"/>
        <v/>
      </c>
      <c r="L2610" s="50" t="str">
        <f>IF(D2610="","",IF(COUNTIF(Paramètres!$A$11:$A$40,D2610)&gt;0,1,0))</f>
        <v/>
      </c>
    </row>
    <row r="2611" spans="1:12" hidden="1" x14ac:dyDescent="0.25">
      <c r="A2611" s="49"/>
      <c r="B2611" s="49"/>
      <c r="C2611" s="49"/>
      <c r="D2611" s="50" t="str">
        <f t="shared" si="200"/>
        <v/>
      </c>
      <c r="E2611" s="50" t="str">
        <f t="shared" si="201"/>
        <v/>
      </c>
      <c r="F2611" s="50" t="str">
        <f t="shared" si="202"/>
        <v/>
      </c>
      <c r="G2611" s="50" t="str">
        <f t="shared" si="203"/>
        <v/>
      </c>
      <c r="H2611" s="51" t="str">
        <f>IF($C2611="","",IFERROR(DATE(G2611,VLOOKUP(E2611,Paramètres!$K$11:$L$40,2,FALSE()),F2611),"?"))</f>
        <v/>
      </c>
      <c r="I2611" s="50" t="str">
        <f>IF(ISNUMBER(H2611),IF(COUNTIFS($D$2:D2611,D2611,$H$2:H2611,H2611)=1,1,0),"")</f>
        <v/>
      </c>
      <c r="J2611" s="50" t="str">
        <f>IF(ISNUMBER(H2611),IFERROR(INDEX(Calendrier!$C$2:$C$367,MATCH(H2611,Calendrier!$A$2:$A$367,0)),0),"")</f>
        <v/>
      </c>
      <c r="K2611" s="50" t="str">
        <f t="shared" si="204"/>
        <v/>
      </c>
      <c r="L2611" s="50" t="str">
        <f>IF(D2611="","",IF(COUNTIF(Paramètres!$A$11:$A$40,D2611)&gt;0,1,0))</f>
        <v/>
      </c>
    </row>
    <row r="2612" spans="1:12" hidden="1" x14ac:dyDescent="0.25">
      <c r="A2612" s="49"/>
      <c r="B2612" s="49"/>
      <c r="C2612" s="49"/>
      <c r="D2612" s="50" t="str">
        <f t="shared" si="200"/>
        <v/>
      </c>
      <c r="E2612" s="50" t="str">
        <f t="shared" si="201"/>
        <v/>
      </c>
      <c r="F2612" s="50" t="str">
        <f t="shared" si="202"/>
        <v/>
      </c>
      <c r="G2612" s="50" t="str">
        <f t="shared" si="203"/>
        <v/>
      </c>
      <c r="H2612" s="51" t="str">
        <f>IF($C2612="","",IFERROR(DATE(G2612,VLOOKUP(E2612,Paramètres!$K$11:$L$40,2,FALSE()),F2612),"?"))</f>
        <v/>
      </c>
      <c r="I2612" s="50" t="str">
        <f>IF(ISNUMBER(H2612),IF(COUNTIFS($D$2:D2612,D2612,$H$2:H2612,H2612)=1,1,0),"")</f>
        <v/>
      </c>
      <c r="J2612" s="50" t="str">
        <f>IF(ISNUMBER(H2612),IFERROR(INDEX(Calendrier!$C$2:$C$367,MATCH(H2612,Calendrier!$A$2:$A$367,0)),0),"")</f>
        <v/>
      </c>
      <c r="K2612" s="50" t="str">
        <f t="shared" si="204"/>
        <v/>
      </c>
      <c r="L2612" s="50" t="str">
        <f>IF(D2612="","",IF(COUNTIF(Paramètres!$A$11:$A$40,D2612)&gt;0,1,0))</f>
        <v/>
      </c>
    </row>
    <row r="2613" spans="1:12" hidden="1" x14ac:dyDescent="0.25">
      <c r="A2613" s="49"/>
      <c r="B2613" s="49"/>
      <c r="C2613" s="49"/>
      <c r="D2613" s="50" t="str">
        <f t="shared" si="200"/>
        <v/>
      </c>
      <c r="E2613" s="50" t="str">
        <f t="shared" si="201"/>
        <v/>
      </c>
      <c r="F2613" s="50" t="str">
        <f t="shared" si="202"/>
        <v/>
      </c>
      <c r="G2613" s="50" t="str">
        <f t="shared" si="203"/>
        <v/>
      </c>
      <c r="H2613" s="51" t="str">
        <f>IF($C2613="","",IFERROR(DATE(G2613,VLOOKUP(E2613,Paramètres!$K$11:$L$40,2,FALSE()),F2613),"?"))</f>
        <v/>
      </c>
      <c r="I2613" s="50" t="str">
        <f>IF(ISNUMBER(H2613),IF(COUNTIFS($D$2:D2613,D2613,$H$2:H2613,H2613)=1,1,0),"")</f>
        <v/>
      </c>
      <c r="J2613" s="50" t="str">
        <f>IF(ISNUMBER(H2613),IFERROR(INDEX(Calendrier!$C$2:$C$367,MATCH(H2613,Calendrier!$A$2:$A$367,0)),0),"")</f>
        <v/>
      </c>
      <c r="K2613" s="50" t="str">
        <f t="shared" si="204"/>
        <v/>
      </c>
      <c r="L2613" s="50" t="str">
        <f>IF(D2613="","",IF(COUNTIF(Paramètres!$A$11:$A$40,D2613)&gt;0,1,0))</f>
        <v/>
      </c>
    </row>
    <row r="2614" spans="1:12" hidden="1" x14ac:dyDescent="0.25">
      <c r="A2614" s="49"/>
      <c r="B2614" s="49"/>
      <c r="C2614" s="49"/>
      <c r="D2614" s="50" t="str">
        <f t="shared" si="200"/>
        <v/>
      </c>
      <c r="E2614" s="50" t="str">
        <f t="shared" si="201"/>
        <v/>
      </c>
      <c r="F2614" s="50" t="str">
        <f t="shared" si="202"/>
        <v/>
      </c>
      <c r="G2614" s="50" t="str">
        <f t="shared" si="203"/>
        <v/>
      </c>
      <c r="H2614" s="51" t="str">
        <f>IF($C2614="","",IFERROR(DATE(G2614,VLOOKUP(E2614,Paramètres!$K$11:$L$40,2,FALSE()),F2614),"?"))</f>
        <v/>
      </c>
      <c r="I2614" s="50" t="str">
        <f>IF(ISNUMBER(H2614),IF(COUNTIFS($D$2:D2614,D2614,$H$2:H2614,H2614)=1,1,0),"")</f>
        <v/>
      </c>
      <c r="J2614" s="50" t="str">
        <f>IF(ISNUMBER(H2614),IFERROR(INDEX(Calendrier!$C$2:$C$367,MATCH(H2614,Calendrier!$A$2:$A$367,0)),0),"")</f>
        <v/>
      </c>
      <c r="K2614" s="50" t="str">
        <f t="shared" si="204"/>
        <v/>
      </c>
      <c r="L2614" s="50" t="str">
        <f>IF(D2614="","",IF(COUNTIF(Paramètres!$A$11:$A$40,D2614)&gt;0,1,0))</f>
        <v/>
      </c>
    </row>
    <row r="2615" spans="1:12" hidden="1" x14ac:dyDescent="0.25">
      <c r="A2615" s="49"/>
      <c r="B2615" s="49"/>
      <c r="C2615" s="49"/>
      <c r="D2615" s="50" t="str">
        <f t="shared" si="200"/>
        <v/>
      </c>
      <c r="E2615" s="50" t="str">
        <f t="shared" si="201"/>
        <v/>
      </c>
      <c r="F2615" s="50" t="str">
        <f t="shared" si="202"/>
        <v/>
      </c>
      <c r="G2615" s="50" t="str">
        <f t="shared" si="203"/>
        <v/>
      </c>
      <c r="H2615" s="51" t="str">
        <f>IF($C2615="","",IFERROR(DATE(G2615,VLOOKUP(E2615,Paramètres!$K$11:$L$40,2,FALSE()),F2615),"?"))</f>
        <v/>
      </c>
      <c r="I2615" s="50" t="str">
        <f>IF(ISNUMBER(H2615),IF(COUNTIFS($D$2:D2615,D2615,$H$2:H2615,H2615)=1,1,0),"")</f>
        <v/>
      </c>
      <c r="J2615" s="50" t="str">
        <f>IF(ISNUMBER(H2615),IFERROR(INDEX(Calendrier!$C$2:$C$367,MATCH(H2615,Calendrier!$A$2:$A$367,0)),0),"")</f>
        <v/>
      </c>
      <c r="K2615" s="50" t="str">
        <f t="shared" si="204"/>
        <v/>
      </c>
      <c r="L2615" s="50" t="str">
        <f>IF(D2615="","",IF(COUNTIF(Paramètres!$A$11:$A$40,D2615)&gt;0,1,0))</f>
        <v/>
      </c>
    </row>
    <row r="2616" spans="1:12" hidden="1" x14ac:dyDescent="0.25">
      <c r="A2616" s="49"/>
      <c r="B2616" s="49"/>
      <c r="C2616" s="49"/>
      <c r="D2616" s="50" t="str">
        <f t="shared" si="200"/>
        <v/>
      </c>
      <c r="E2616" s="50" t="str">
        <f t="shared" si="201"/>
        <v/>
      </c>
      <c r="F2616" s="50" t="str">
        <f t="shared" si="202"/>
        <v/>
      </c>
      <c r="G2616" s="50" t="str">
        <f t="shared" si="203"/>
        <v/>
      </c>
      <c r="H2616" s="51" t="str">
        <f>IF($C2616="","",IFERROR(DATE(G2616,VLOOKUP(E2616,Paramètres!$K$11:$L$40,2,FALSE()),F2616),"?"))</f>
        <v/>
      </c>
      <c r="I2616" s="50" t="str">
        <f>IF(ISNUMBER(H2616),IF(COUNTIFS($D$2:D2616,D2616,$H$2:H2616,H2616)=1,1,0),"")</f>
        <v/>
      </c>
      <c r="J2616" s="50" t="str">
        <f>IF(ISNUMBER(H2616),IFERROR(INDEX(Calendrier!$C$2:$C$367,MATCH(H2616,Calendrier!$A$2:$A$367,0)),0),"")</f>
        <v/>
      </c>
      <c r="K2616" s="50" t="str">
        <f t="shared" si="204"/>
        <v/>
      </c>
      <c r="L2616" s="50" t="str">
        <f>IF(D2616="","",IF(COUNTIF(Paramètres!$A$11:$A$40,D2616)&gt;0,1,0))</f>
        <v/>
      </c>
    </row>
    <row r="2617" spans="1:12" hidden="1" x14ac:dyDescent="0.25">
      <c r="A2617" s="49"/>
      <c r="B2617" s="49"/>
      <c r="C2617" s="49"/>
      <c r="D2617" s="50" t="str">
        <f t="shared" si="200"/>
        <v/>
      </c>
      <c r="E2617" s="50" t="str">
        <f t="shared" si="201"/>
        <v/>
      </c>
      <c r="F2617" s="50" t="str">
        <f t="shared" si="202"/>
        <v/>
      </c>
      <c r="G2617" s="50" t="str">
        <f t="shared" si="203"/>
        <v/>
      </c>
      <c r="H2617" s="51" t="str">
        <f>IF($C2617="","",IFERROR(DATE(G2617,VLOOKUP(E2617,Paramètres!$K$11:$L$40,2,FALSE()),F2617),"?"))</f>
        <v/>
      </c>
      <c r="I2617" s="50" t="str">
        <f>IF(ISNUMBER(H2617),IF(COUNTIFS($D$2:D2617,D2617,$H$2:H2617,H2617)=1,1,0),"")</f>
        <v/>
      </c>
      <c r="J2617" s="50" t="str">
        <f>IF(ISNUMBER(H2617),IFERROR(INDEX(Calendrier!$C$2:$C$367,MATCH(H2617,Calendrier!$A$2:$A$367,0)),0),"")</f>
        <v/>
      </c>
      <c r="K2617" s="50" t="str">
        <f t="shared" si="204"/>
        <v/>
      </c>
      <c r="L2617" s="50" t="str">
        <f>IF(D2617="","",IF(COUNTIF(Paramètres!$A$11:$A$40,D2617)&gt;0,1,0))</f>
        <v/>
      </c>
    </row>
    <row r="2618" spans="1:12" hidden="1" x14ac:dyDescent="0.25">
      <c r="A2618" s="49"/>
      <c r="B2618" s="49"/>
      <c r="C2618" s="49"/>
      <c r="D2618" s="50" t="str">
        <f t="shared" si="200"/>
        <v/>
      </c>
      <c r="E2618" s="50" t="str">
        <f t="shared" si="201"/>
        <v/>
      </c>
      <c r="F2618" s="50" t="str">
        <f t="shared" si="202"/>
        <v/>
      </c>
      <c r="G2618" s="50" t="str">
        <f t="shared" si="203"/>
        <v/>
      </c>
      <c r="H2618" s="51" t="str">
        <f>IF($C2618="","",IFERROR(DATE(G2618,VLOOKUP(E2618,Paramètres!$K$11:$L$40,2,FALSE()),F2618),"?"))</f>
        <v/>
      </c>
      <c r="I2618" s="50" t="str">
        <f>IF(ISNUMBER(H2618),IF(COUNTIFS($D$2:D2618,D2618,$H$2:H2618,H2618)=1,1,0),"")</f>
        <v/>
      </c>
      <c r="J2618" s="50" t="str">
        <f>IF(ISNUMBER(H2618),IFERROR(INDEX(Calendrier!$C$2:$C$367,MATCH(H2618,Calendrier!$A$2:$A$367,0)),0),"")</f>
        <v/>
      </c>
      <c r="K2618" s="50" t="str">
        <f t="shared" si="204"/>
        <v/>
      </c>
      <c r="L2618" s="50" t="str">
        <f>IF(D2618="","",IF(COUNTIF(Paramètres!$A$11:$A$40,D2618)&gt;0,1,0))</f>
        <v/>
      </c>
    </row>
    <row r="2619" spans="1:12" hidden="1" x14ac:dyDescent="0.25">
      <c r="A2619" s="49"/>
      <c r="B2619" s="49"/>
      <c r="C2619" s="49"/>
      <c r="D2619" s="50" t="str">
        <f t="shared" si="200"/>
        <v/>
      </c>
      <c r="E2619" s="50" t="str">
        <f t="shared" si="201"/>
        <v/>
      </c>
      <c r="F2619" s="50" t="str">
        <f t="shared" si="202"/>
        <v/>
      </c>
      <c r="G2619" s="50" t="str">
        <f t="shared" si="203"/>
        <v/>
      </c>
      <c r="H2619" s="51" t="str">
        <f>IF($C2619="","",IFERROR(DATE(G2619,VLOOKUP(E2619,Paramètres!$K$11:$L$40,2,FALSE()),F2619),"?"))</f>
        <v/>
      </c>
      <c r="I2619" s="50" t="str">
        <f>IF(ISNUMBER(H2619),IF(COUNTIFS($D$2:D2619,D2619,$H$2:H2619,H2619)=1,1,0),"")</f>
        <v/>
      </c>
      <c r="J2619" s="50" t="str">
        <f>IF(ISNUMBER(H2619),IFERROR(INDEX(Calendrier!$C$2:$C$367,MATCH(H2619,Calendrier!$A$2:$A$367,0)),0),"")</f>
        <v/>
      </c>
      <c r="K2619" s="50" t="str">
        <f t="shared" si="204"/>
        <v/>
      </c>
      <c r="L2619" s="50" t="str">
        <f>IF(D2619="","",IF(COUNTIF(Paramètres!$A$11:$A$40,D2619)&gt;0,1,0))</f>
        <v/>
      </c>
    </row>
    <row r="2620" spans="1:12" hidden="1" x14ac:dyDescent="0.25">
      <c r="A2620" s="49"/>
      <c r="B2620" s="49"/>
      <c r="C2620" s="49"/>
      <c r="D2620" s="50" t="str">
        <f t="shared" si="200"/>
        <v/>
      </c>
      <c r="E2620" s="50" t="str">
        <f t="shared" si="201"/>
        <v/>
      </c>
      <c r="F2620" s="50" t="str">
        <f t="shared" si="202"/>
        <v/>
      </c>
      <c r="G2620" s="50" t="str">
        <f t="shared" si="203"/>
        <v/>
      </c>
      <c r="H2620" s="51" t="str">
        <f>IF($C2620="","",IFERROR(DATE(G2620,VLOOKUP(E2620,Paramètres!$K$11:$L$40,2,FALSE()),F2620),"?"))</f>
        <v/>
      </c>
      <c r="I2620" s="50" t="str">
        <f>IF(ISNUMBER(H2620),IF(COUNTIFS($D$2:D2620,D2620,$H$2:H2620,H2620)=1,1,0),"")</f>
        <v/>
      </c>
      <c r="J2620" s="50" t="str">
        <f>IF(ISNUMBER(H2620),IFERROR(INDEX(Calendrier!$C$2:$C$367,MATCH(H2620,Calendrier!$A$2:$A$367,0)),0),"")</f>
        <v/>
      </c>
      <c r="K2620" s="50" t="str">
        <f t="shared" si="204"/>
        <v/>
      </c>
      <c r="L2620" s="50" t="str">
        <f>IF(D2620="","",IF(COUNTIF(Paramètres!$A$11:$A$40,D2620)&gt;0,1,0))</f>
        <v/>
      </c>
    </row>
    <row r="2621" spans="1:12" hidden="1" x14ac:dyDescent="0.25">
      <c r="A2621" s="49"/>
      <c r="B2621" s="49"/>
      <c r="C2621" s="49"/>
      <c r="D2621" s="50" t="str">
        <f t="shared" si="200"/>
        <v/>
      </c>
      <c r="E2621" s="50" t="str">
        <f t="shared" si="201"/>
        <v/>
      </c>
      <c r="F2621" s="50" t="str">
        <f t="shared" si="202"/>
        <v/>
      </c>
      <c r="G2621" s="50" t="str">
        <f t="shared" si="203"/>
        <v/>
      </c>
      <c r="H2621" s="51" t="str">
        <f>IF($C2621="","",IFERROR(DATE(G2621,VLOOKUP(E2621,Paramètres!$K$11:$L$40,2,FALSE()),F2621),"?"))</f>
        <v/>
      </c>
      <c r="I2621" s="50" t="str">
        <f>IF(ISNUMBER(H2621),IF(COUNTIFS($D$2:D2621,D2621,$H$2:H2621,H2621)=1,1,0),"")</f>
        <v/>
      </c>
      <c r="J2621" s="50" t="str">
        <f>IF(ISNUMBER(H2621),IFERROR(INDEX(Calendrier!$C$2:$C$367,MATCH(H2621,Calendrier!$A$2:$A$367,0)),0),"")</f>
        <v/>
      </c>
      <c r="K2621" s="50" t="str">
        <f t="shared" si="204"/>
        <v/>
      </c>
      <c r="L2621" s="50" t="str">
        <f>IF(D2621="","",IF(COUNTIF(Paramètres!$A$11:$A$40,D2621)&gt;0,1,0))</f>
        <v/>
      </c>
    </row>
    <row r="2622" spans="1:12" hidden="1" x14ac:dyDescent="0.25">
      <c r="A2622" s="49"/>
      <c r="B2622" s="49"/>
      <c r="C2622" s="49"/>
      <c r="D2622" s="50" t="str">
        <f t="shared" si="200"/>
        <v/>
      </c>
      <c r="E2622" s="50" t="str">
        <f t="shared" si="201"/>
        <v/>
      </c>
      <c r="F2622" s="50" t="str">
        <f t="shared" si="202"/>
        <v/>
      </c>
      <c r="G2622" s="50" t="str">
        <f t="shared" si="203"/>
        <v/>
      </c>
      <c r="H2622" s="51" t="str">
        <f>IF($C2622="","",IFERROR(DATE(G2622,VLOOKUP(E2622,Paramètres!$K$11:$L$40,2,FALSE()),F2622),"?"))</f>
        <v/>
      </c>
      <c r="I2622" s="50" t="str">
        <f>IF(ISNUMBER(H2622),IF(COUNTIFS($D$2:D2622,D2622,$H$2:H2622,H2622)=1,1,0),"")</f>
        <v/>
      </c>
      <c r="J2622" s="50" t="str">
        <f>IF(ISNUMBER(H2622),IFERROR(INDEX(Calendrier!$C$2:$C$367,MATCH(H2622,Calendrier!$A$2:$A$367,0)),0),"")</f>
        <v/>
      </c>
      <c r="K2622" s="50" t="str">
        <f t="shared" si="204"/>
        <v/>
      </c>
      <c r="L2622" s="50" t="str">
        <f>IF(D2622="","",IF(COUNTIF(Paramètres!$A$11:$A$40,D2622)&gt;0,1,0))</f>
        <v/>
      </c>
    </row>
    <row r="2623" spans="1:12" hidden="1" x14ac:dyDescent="0.25">
      <c r="A2623" s="49"/>
      <c r="B2623" s="49"/>
      <c r="C2623" s="49"/>
      <c r="D2623" s="50" t="str">
        <f t="shared" si="200"/>
        <v/>
      </c>
      <c r="E2623" s="50" t="str">
        <f t="shared" si="201"/>
        <v/>
      </c>
      <c r="F2623" s="50" t="str">
        <f t="shared" si="202"/>
        <v/>
      </c>
      <c r="G2623" s="50" t="str">
        <f t="shared" si="203"/>
        <v/>
      </c>
      <c r="H2623" s="51" t="str">
        <f>IF($C2623="","",IFERROR(DATE(G2623,VLOOKUP(E2623,Paramètres!$K$11:$L$40,2,FALSE()),F2623),"?"))</f>
        <v/>
      </c>
      <c r="I2623" s="50" t="str">
        <f>IF(ISNUMBER(H2623),IF(COUNTIFS($D$2:D2623,D2623,$H$2:H2623,H2623)=1,1,0),"")</f>
        <v/>
      </c>
      <c r="J2623" s="50" t="str">
        <f>IF(ISNUMBER(H2623),IFERROR(INDEX(Calendrier!$C$2:$C$367,MATCH(H2623,Calendrier!$A$2:$A$367,0)),0),"")</f>
        <v/>
      </c>
      <c r="K2623" s="50" t="str">
        <f t="shared" si="204"/>
        <v/>
      </c>
      <c r="L2623" s="50" t="str">
        <f>IF(D2623="","",IF(COUNTIF(Paramètres!$A$11:$A$40,D2623)&gt;0,1,0))</f>
        <v/>
      </c>
    </row>
    <row r="2624" spans="1:12" hidden="1" x14ac:dyDescent="0.25">
      <c r="A2624" s="49"/>
      <c r="B2624" s="49"/>
      <c r="C2624" s="49"/>
      <c r="D2624" s="50" t="str">
        <f t="shared" si="200"/>
        <v/>
      </c>
      <c r="E2624" s="50" t="str">
        <f t="shared" si="201"/>
        <v/>
      </c>
      <c r="F2624" s="50" t="str">
        <f t="shared" si="202"/>
        <v/>
      </c>
      <c r="G2624" s="50" t="str">
        <f t="shared" si="203"/>
        <v/>
      </c>
      <c r="H2624" s="51" t="str">
        <f>IF($C2624="","",IFERROR(DATE(G2624,VLOOKUP(E2624,Paramètres!$K$11:$L$40,2,FALSE()),F2624),"?"))</f>
        <v/>
      </c>
      <c r="I2624" s="50" t="str">
        <f>IF(ISNUMBER(H2624),IF(COUNTIFS($D$2:D2624,D2624,$H$2:H2624,H2624)=1,1,0),"")</f>
        <v/>
      </c>
      <c r="J2624" s="50" t="str">
        <f>IF(ISNUMBER(H2624),IFERROR(INDEX(Calendrier!$C$2:$C$367,MATCH(H2624,Calendrier!$A$2:$A$367,0)),0),"")</f>
        <v/>
      </c>
      <c r="K2624" s="50" t="str">
        <f t="shared" si="204"/>
        <v/>
      </c>
      <c r="L2624" s="50" t="str">
        <f>IF(D2624="","",IF(COUNTIF(Paramètres!$A$11:$A$40,D2624)&gt;0,1,0))</f>
        <v/>
      </c>
    </row>
    <row r="2625" spans="1:12" hidden="1" x14ac:dyDescent="0.25">
      <c r="A2625" s="49"/>
      <c r="B2625" s="49"/>
      <c r="C2625" s="49"/>
      <c r="D2625" s="50" t="str">
        <f t="shared" si="200"/>
        <v/>
      </c>
      <c r="E2625" s="50" t="str">
        <f t="shared" si="201"/>
        <v/>
      </c>
      <c r="F2625" s="50" t="str">
        <f t="shared" si="202"/>
        <v/>
      </c>
      <c r="G2625" s="50" t="str">
        <f t="shared" si="203"/>
        <v/>
      </c>
      <c r="H2625" s="51" t="str">
        <f>IF($C2625="","",IFERROR(DATE(G2625,VLOOKUP(E2625,Paramètres!$K$11:$L$40,2,FALSE()),F2625),"?"))</f>
        <v/>
      </c>
      <c r="I2625" s="50" t="str">
        <f>IF(ISNUMBER(H2625),IF(COUNTIFS($D$2:D2625,D2625,$H$2:H2625,H2625)=1,1,0),"")</f>
        <v/>
      </c>
      <c r="J2625" s="50" t="str">
        <f>IF(ISNUMBER(H2625),IFERROR(INDEX(Calendrier!$C$2:$C$367,MATCH(H2625,Calendrier!$A$2:$A$367,0)),0),"")</f>
        <v/>
      </c>
      <c r="K2625" s="50" t="str">
        <f t="shared" si="204"/>
        <v/>
      </c>
      <c r="L2625" s="50" t="str">
        <f>IF(D2625="","",IF(COUNTIF(Paramètres!$A$11:$A$40,D2625)&gt;0,1,0))</f>
        <v/>
      </c>
    </row>
    <row r="2626" spans="1:12" hidden="1" x14ac:dyDescent="0.25">
      <c r="A2626" s="49"/>
      <c r="B2626" s="49"/>
      <c r="C2626" s="49"/>
      <c r="D2626" s="50" t="str">
        <f t="shared" ref="D2626:D2689" si="205">IF(B2626="","",TRIM(B2626))</f>
        <v/>
      </c>
      <c r="E2626" s="50" t="str">
        <f t="shared" ref="E2626:E2689" si="206">IF($C2626="","",LEFT($C2626,FIND(" ",$C2626)-1))</f>
        <v/>
      </c>
      <c r="F2626" s="50" t="str">
        <f t="shared" ref="F2626:F2689" si="207">IF($C2626="","",IFERROR(VALUE(LEFT(MID($C2626,FIND(" ",$C2626)+1,20),FIND(" ",MID($C2626,FIND(" ",$C2626)+1,20))-1)),"?"))</f>
        <v/>
      </c>
      <c r="G2626" s="50" t="str">
        <f t="shared" ref="G2626:G2689" si="208">IF($C2626="","",IFERROR(VALUE(MID(MID($C2626,FIND(" ",$C2626)+1,20),FIND(" ",MID($C2626,FIND(" ",$C2626)+1,20))+1,4)),"?"))</f>
        <v/>
      </c>
      <c r="H2626" s="51" t="str">
        <f>IF($C2626="","",IFERROR(DATE(G2626,VLOOKUP(E2626,Paramètres!$K$11:$L$40,2,FALSE()),F2626),"?"))</f>
        <v/>
      </c>
      <c r="I2626" s="50" t="str">
        <f>IF(ISNUMBER(H2626),IF(COUNTIFS($D$2:D2626,D2626,$H$2:H2626,H2626)=1,1,0),"")</f>
        <v/>
      </c>
      <c r="J2626" s="50" t="str">
        <f>IF(ISNUMBER(H2626),IFERROR(INDEX(Calendrier!$C$2:$C$367,MATCH(H2626,Calendrier!$A$2:$A$367,0)),0),"")</f>
        <v/>
      </c>
      <c r="K2626" s="50" t="str">
        <f t="shared" ref="K2626:K2689" si="209">IF(ISNUMBER(H2626),I2626*J2626,"")</f>
        <v/>
      </c>
      <c r="L2626" s="50" t="str">
        <f>IF(D2626="","",IF(COUNTIF(Paramètres!$A$11:$A$40,D2626)&gt;0,1,0))</f>
        <v/>
      </c>
    </row>
    <row r="2627" spans="1:12" hidden="1" x14ac:dyDescent="0.25">
      <c r="A2627" s="49"/>
      <c r="B2627" s="49"/>
      <c r="C2627" s="49"/>
      <c r="D2627" s="50" t="str">
        <f t="shared" si="205"/>
        <v/>
      </c>
      <c r="E2627" s="50" t="str">
        <f t="shared" si="206"/>
        <v/>
      </c>
      <c r="F2627" s="50" t="str">
        <f t="shared" si="207"/>
        <v/>
      </c>
      <c r="G2627" s="50" t="str">
        <f t="shared" si="208"/>
        <v/>
      </c>
      <c r="H2627" s="51" t="str">
        <f>IF($C2627="","",IFERROR(DATE(G2627,VLOOKUP(E2627,Paramètres!$K$11:$L$40,2,FALSE()),F2627),"?"))</f>
        <v/>
      </c>
      <c r="I2627" s="50" t="str">
        <f>IF(ISNUMBER(H2627),IF(COUNTIFS($D$2:D2627,D2627,$H$2:H2627,H2627)=1,1,0),"")</f>
        <v/>
      </c>
      <c r="J2627" s="50" t="str">
        <f>IF(ISNUMBER(H2627),IFERROR(INDEX(Calendrier!$C$2:$C$367,MATCH(H2627,Calendrier!$A$2:$A$367,0)),0),"")</f>
        <v/>
      </c>
      <c r="K2627" s="50" t="str">
        <f t="shared" si="209"/>
        <v/>
      </c>
      <c r="L2627" s="50" t="str">
        <f>IF(D2627="","",IF(COUNTIF(Paramètres!$A$11:$A$40,D2627)&gt;0,1,0))</f>
        <v/>
      </c>
    </row>
    <row r="2628" spans="1:12" hidden="1" x14ac:dyDescent="0.25">
      <c r="A2628" s="49"/>
      <c r="B2628" s="49"/>
      <c r="C2628" s="49"/>
      <c r="D2628" s="50" t="str">
        <f t="shared" si="205"/>
        <v/>
      </c>
      <c r="E2628" s="50" t="str">
        <f t="shared" si="206"/>
        <v/>
      </c>
      <c r="F2628" s="50" t="str">
        <f t="shared" si="207"/>
        <v/>
      </c>
      <c r="G2628" s="50" t="str">
        <f t="shared" si="208"/>
        <v/>
      </c>
      <c r="H2628" s="51" t="str">
        <f>IF($C2628="","",IFERROR(DATE(G2628,VLOOKUP(E2628,Paramètres!$K$11:$L$40,2,FALSE()),F2628),"?"))</f>
        <v/>
      </c>
      <c r="I2628" s="50" t="str">
        <f>IF(ISNUMBER(H2628),IF(COUNTIFS($D$2:D2628,D2628,$H$2:H2628,H2628)=1,1,0),"")</f>
        <v/>
      </c>
      <c r="J2628" s="50" t="str">
        <f>IF(ISNUMBER(H2628),IFERROR(INDEX(Calendrier!$C$2:$C$367,MATCH(H2628,Calendrier!$A$2:$A$367,0)),0),"")</f>
        <v/>
      </c>
      <c r="K2628" s="50" t="str">
        <f t="shared" si="209"/>
        <v/>
      </c>
      <c r="L2628" s="50" t="str">
        <f>IF(D2628="","",IF(COUNTIF(Paramètres!$A$11:$A$40,D2628)&gt;0,1,0))</f>
        <v/>
      </c>
    </row>
    <row r="2629" spans="1:12" hidden="1" x14ac:dyDescent="0.25">
      <c r="A2629" s="49"/>
      <c r="B2629" s="49"/>
      <c r="C2629" s="49"/>
      <c r="D2629" s="50" t="str">
        <f t="shared" si="205"/>
        <v/>
      </c>
      <c r="E2629" s="50" t="str">
        <f t="shared" si="206"/>
        <v/>
      </c>
      <c r="F2629" s="50" t="str">
        <f t="shared" si="207"/>
        <v/>
      </c>
      <c r="G2629" s="50" t="str">
        <f t="shared" si="208"/>
        <v/>
      </c>
      <c r="H2629" s="51" t="str">
        <f>IF($C2629="","",IFERROR(DATE(G2629,VLOOKUP(E2629,Paramètres!$K$11:$L$40,2,FALSE()),F2629),"?"))</f>
        <v/>
      </c>
      <c r="I2629" s="50" t="str">
        <f>IF(ISNUMBER(H2629),IF(COUNTIFS($D$2:D2629,D2629,$H$2:H2629,H2629)=1,1,0),"")</f>
        <v/>
      </c>
      <c r="J2629" s="50" t="str">
        <f>IF(ISNUMBER(H2629),IFERROR(INDEX(Calendrier!$C$2:$C$367,MATCH(H2629,Calendrier!$A$2:$A$367,0)),0),"")</f>
        <v/>
      </c>
      <c r="K2629" s="50" t="str">
        <f t="shared" si="209"/>
        <v/>
      </c>
      <c r="L2629" s="50" t="str">
        <f>IF(D2629="","",IF(COUNTIF(Paramètres!$A$11:$A$40,D2629)&gt;0,1,0))</f>
        <v/>
      </c>
    </row>
    <row r="2630" spans="1:12" hidden="1" x14ac:dyDescent="0.25">
      <c r="A2630" s="49"/>
      <c r="B2630" s="49"/>
      <c r="C2630" s="49"/>
      <c r="D2630" s="50" t="str">
        <f t="shared" si="205"/>
        <v/>
      </c>
      <c r="E2630" s="50" t="str">
        <f t="shared" si="206"/>
        <v/>
      </c>
      <c r="F2630" s="50" t="str">
        <f t="shared" si="207"/>
        <v/>
      </c>
      <c r="G2630" s="50" t="str">
        <f t="shared" si="208"/>
        <v/>
      </c>
      <c r="H2630" s="51" t="str">
        <f>IF($C2630="","",IFERROR(DATE(G2630,VLOOKUP(E2630,Paramètres!$K$11:$L$40,2,FALSE()),F2630),"?"))</f>
        <v/>
      </c>
      <c r="I2630" s="50" t="str">
        <f>IF(ISNUMBER(H2630),IF(COUNTIFS($D$2:D2630,D2630,$H$2:H2630,H2630)=1,1,0),"")</f>
        <v/>
      </c>
      <c r="J2630" s="50" t="str">
        <f>IF(ISNUMBER(H2630),IFERROR(INDEX(Calendrier!$C$2:$C$367,MATCH(H2630,Calendrier!$A$2:$A$367,0)),0),"")</f>
        <v/>
      </c>
      <c r="K2630" s="50" t="str">
        <f t="shared" si="209"/>
        <v/>
      </c>
      <c r="L2630" s="50" t="str">
        <f>IF(D2630="","",IF(COUNTIF(Paramètres!$A$11:$A$40,D2630)&gt;0,1,0))</f>
        <v/>
      </c>
    </row>
    <row r="2631" spans="1:12" hidden="1" x14ac:dyDescent="0.25">
      <c r="A2631" s="49"/>
      <c r="B2631" s="49"/>
      <c r="C2631" s="49"/>
      <c r="D2631" s="50" t="str">
        <f t="shared" si="205"/>
        <v/>
      </c>
      <c r="E2631" s="50" t="str">
        <f t="shared" si="206"/>
        <v/>
      </c>
      <c r="F2631" s="50" t="str">
        <f t="shared" si="207"/>
        <v/>
      </c>
      <c r="G2631" s="50" t="str">
        <f t="shared" si="208"/>
        <v/>
      </c>
      <c r="H2631" s="51" t="str">
        <f>IF($C2631="","",IFERROR(DATE(G2631,VLOOKUP(E2631,Paramètres!$K$11:$L$40,2,FALSE()),F2631),"?"))</f>
        <v/>
      </c>
      <c r="I2631" s="50" t="str">
        <f>IF(ISNUMBER(H2631),IF(COUNTIFS($D$2:D2631,D2631,$H$2:H2631,H2631)=1,1,0),"")</f>
        <v/>
      </c>
      <c r="J2631" s="50" t="str">
        <f>IF(ISNUMBER(H2631),IFERROR(INDEX(Calendrier!$C$2:$C$367,MATCH(H2631,Calendrier!$A$2:$A$367,0)),0),"")</f>
        <v/>
      </c>
      <c r="K2631" s="50" t="str">
        <f t="shared" si="209"/>
        <v/>
      </c>
      <c r="L2631" s="50" t="str">
        <f>IF(D2631="","",IF(COUNTIF(Paramètres!$A$11:$A$40,D2631)&gt;0,1,0))</f>
        <v/>
      </c>
    </row>
    <row r="2632" spans="1:12" hidden="1" x14ac:dyDescent="0.25">
      <c r="A2632" s="49"/>
      <c r="B2632" s="49"/>
      <c r="C2632" s="49"/>
      <c r="D2632" s="50" t="str">
        <f t="shared" si="205"/>
        <v/>
      </c>
      <c r="E2632" s="50" t="str">
        <f t="shared" si="206"/>
        <v/>
      </c>
      <c r="F2632" s="50" t="str">
        <f t="shared" si="207"/>
        <v/>
      </c>
      <c r="G2632" s="50" t="str">
        <f t="shared" si="208"/>
        <v/>
      </c>
      <c r="H2632" s="51" t="str">
        <f>IF($C2632="","",IFERROR(DATE(G2632,VLOOKUP(E2632,Paramètres!$K$11:$L$40,2,FALSE()),F2632),"?"))</f>
        <v/>
      </c>
      <c r="I2632" s="50" t="str">
        <f>IF(ISNUMBER(H2632),IF(COUNTIFS($D$2:D2632,D2632,$H$2:H2632,H2632)=1,1,0),"")</f>
        <v/>
      </c>
      <c r="J2632" s="50" t="str">
        <f>IF(ISNUMBER(H2632),IFERROR(INDEX(Calendrier!$C$2:$C$367,MATCH(H2632,Calendrier!$A$2:$A$367,0)),0),"")</f>
        <v/>
      </c>
      <c r="K2632" s="50" t="str">
        <f t="shared" si="209"/>
        <v/>
      </c>
      <c r="L2632" s="50" t="str">
        <f>IF(D2632="","",IF(COUNTIF(Paramètres!$A$11:$A$40,D2632)&gt;0,1,0))</f>
        <v/>
      </c>
    </row>
    <row r="2633" spans="1:12" hidden="1" x14ac:dyDescent="0.25">
      <c r="A2633" s="49"/>
      <c r="B2633" s="49"/>
      <c r="C2633" s="49"/>
      <c r="D2633" s="50" t="str">
        <f t="shared" si="205"/>
        <v/>
      </c>
      <c r="E2633" s="50" t="str">
        <f t="shared" si="206"/>
        <v/>
      </c>
      <c r="F2633" s="50" t="str">
        <f t="shared" si="207"/>
        <v/>
      </c>
      <c r="G2633" s="50" t="str">
        <f t="shared" si="208"/>
        <v/>
      </c>
      <c r="H2633" s="51" t="str">
        <f>IF($C2633="","",IFERROR(DATE(G2633,VLOOKUP(E2633,Paramètres!$K$11:$L$40,2,FALSE()),F2633),"?"))</f>
        <v/>
      </c>
      <c r="I2633" s="50" t="str">
        <f>IF(ISNUMBER(H2633),IF(COUNTIFS($D$2:D2633,D2633,$H$2:H2633,H2633)=1,1,0),"")</f>
        <v/>
      </c>
      <c r="J2633" s="50" t="str">
        <f>IF(ISNUMBER(H2633),IFERROR(INDEX(Calendrier!$C$2:$C$367,MATCH(H2633,Calendrier!$A$2:$A$367,0)),0),"")</f>
        <v/>
      </c>
      <c r="K2633" s="50" t="str">
        <f t="shared" si="209"/>
        <v/>
      </c>
      <c r="L2633" s="50" t="str">
        <f>IF(D2633="","",IF(COUNTIF(Paramètres!$A$11:$A$40,D2633)&gt;0,1,0))</f>
        <v/>
      </c>
    </row>
    <row r="2634" spans="1:12" hidden="1" x14ac:dyDescent="0.25">
      <c r="A2634" s="49"/>
      <c r="B2634" s="49"/>
      <c r="C2634" s="49"/>
      <c r="D2634" s="50" t="str">
        <f t="shared" si="205"/>
        <v/>
      </c>
      <c r="E2634" s="50" t="str">
        <f t="shared" si="206"/>
        <v/>
      </c>
      <c r="F2634" s="50" t="str">
        <f t="shared" si="207"/>
        <v/>
      </c>
      <c r="G2634" s="50" t="str">
        <f t="shared" si="208"/>
        <v/>
      </c>
      <c r="H2634" s="51" t="str">
        <f>IF($C2634="","",IFERROR(DATE(G2634,VLOOKUP(E2634,Paramètres!$K$11:$L$40,2,FALSE()),F2634),"?"))</f>
        <v/>
      </c>
      <c r="I2634" s="50" t="str">
        <f>IF(ISNUMBER(H2634),IF(COUNTIFS($D$2:D2634,D2634,$H$2:H2634,H2634)=1,1,0),"")</f>
        <v/>
      </c>
      <c r="J2634" s="50" t="str">
        <f>IF(ISNUMBER(H2634),IFERROR(INDEX(Calendrier!$C$2:$C$367,MATCH(H2634,Calendrier!$A$2:$A$367,0)),0),"")</f>
        <v/>
      </c>
      <c r="K2634" s="50" t="str">
        <f t="shared" si="209"/>
        <v/>
      </c>
      <c r="L2634" s="50" t="str">
        <f>IF(D2634="","",IF(COUNTIF(Paramètres!$A$11:$A$40,D2634)&gt;0,1,0))</f>
        <v/>
      </c>
    </row>
    <row r="2635" spans="1:12" hidden="1" x14ac:dyDescent="0.25">
      <c r="A2635" s="49"/>
      <c r="B2635" s="49"/>
      <c r="C2635" s="49"/>
      <c r="D2635" s="50" t="str">
        <f t="shared" si="205"/>
        <v/>
      </c>
      <c r="E2635" s="50" t="str">
        <f t="shared" si="206"/>
        <v/>
      </c>
      <c r="F2635" s="50" t="str">
        <f t="shared" si="207"/>
        <v/>
      </c>
      <c r="G2635" s="50" t="str">
        <f t="shared" si="208"/>
        <v/>
      </c>
      <c r="H2635" s="51" t="str">
        <f>IF($C2635="","",IFERROR(DATE(G2635,VLOOKUP(E2635,Paramètres!$K$11:$L$40,2,FALSE()),F2635),"?"))</f>
        <v/>
      </c>
      <c r="I2635" s="50" t="str">
        <f>IF(ISNUMBER(H2635),IF(COUNTIFS($D$2:D2635,D2635,$H$2:H2635,H2635)=1,1,0),"")</f>
        <v/>
      </c>
      <c r="J2635" s="50" t="str">
        <f>IF(ISNUMBER(H2635),IFERROR(INDEX(Calendrier!$C$2:$C$367,MATCH(H2635,Calendrier!$A$2:$A$367,0)),0),"")</f>
        <v/>
      </c>
      <c r="K2635" s="50" t="str">
        <f t="shared" si="209"/>
        <v/>
      </c>
      <c r="L2635" s="50" t="str">
        <f>IF(D2635="","",IF(COUNTIF(Paramètres!$A$11:$A$40,D2635)&gt;0,1,0))</f>
        <v/>
      </c>
    </row>
    <row r="2636" spans="1:12" hidden="1" x14ac:dyDescent="0.25">
      <c r="A2636" s="49"/>
      <c r="B2636" s="49"/>
      <c r="C2636" s="49"/>
      <c r="D2636" s="50" t="str">
        <f t="shared" si="205"/>
        <v/>
      </c>
      <c r="E2636" s="50" t="str">
        <f t="shared" si="206"/>
        <v/>
      </c>
      <c r="F2636" s="50" t="str">
        <f t="shared" si="207"/>
        <v/>
      </c>
      <c r="G2636" s="50" t="str">
        <f t="shared" si="208"/>
        <v/>
      </c>
      <c r="H2636" s="51" t="str">
        <f>IF($C2636="","",IFERROR(DATE(G2636,VLOOKUP(E2636,Paramètres!$K$11:$L$40,2,FALSE()),F2636),"?"))</f>
        <v/>
      </c>
      <c r="I2636" s="50" t="str">
        <f>IF(ISNUMBER(H2636),IF(COUNTIFS($D$2:D2636,D2636,$H$2:H2636,H2636)=1,1,0),"")</f>
        <v/>
      </c>
      <c r="J2636" s="50" t="str">
        <f>IF(ISNUMBER(H2636),IFERROR(INDEX(Calendrier!$C$2:$C$367,MATCH(H2636,Calendrier!$A$2:$A$367,0)),0),"")</f>
        <v/>
      </c>
      <c r="K2636" s="50" t="str">
        <f t="shared" si="209"/>
        <v/>
      </c>
      <c r="L2636" s="50" t="str">
        <f>IF(D2636="","",IF(COUNTIF(Paramètres!$A$11:$A$40,D2636)&gt;0,1,0))</f>
        <v/>
      </c>
    </row>
    <row r="2637" spans="1:12" hidden="1" x14ac:dyDescent="0.25">
      <c r="A2637" s="49"/>
      <c r="B2637" s="49"/>
      <c r="C2637" s="49"/>
      <c r="D2637" s="50" t="str">
        <f t="shared" si="205"/>
        <v/>
      </c>
      <c r="E2637" s="50" t="str">
        <f t="shared" si="206"/>
        <v/>
      </c>
      <c r="F2637" s="50" t="str">
        <f t="shared" si="207"/>
        <v/>
      </c>
      <c r="G2637" s="50" t="str">
        <f t="shared" si="208"/>
        <v/>
      </c>
      <c r="H2637" s="51" t="str">
        <f>IF($C2637="","",IFERROR(DATE(G2637,VLOOKUP(E2637,Paramètres!$K$11:$L$40,2,FALSE()),F2637),"?"))</f>
        <v/>
      </c>
      <c r="I2637" s="50" t="str">
        <f>IF(ISNUMBER(H2637),IF(COUNTIFS($D$2:D2637,D2637,$H$2:H2637,H2637)=1,1,0),"")</f>
        <v/>
      </c>
      <c r="J2637" s="50" t="str">
        <f>IF(ISNUMBER(H2637),IFERROR(INDEX(Calendrier!$C$2:$C$367,MATCH(H2637,Calendrier!$A$2:$A$367,0)),0),"")</f>
        <v/>
      </c>
      <c r="K2637" s="50" t="str">
        <f t="shared" si="209"/>
        <v/>
      </c>
      <c r="L2637" s="50" t="str">
        <f>IF(D2637="","",IF(COUNTIF(Paramètres!$A$11:$A$40,D2637)&gt;0,1,0))</f>
        <v/>
      </c>
    </row>
    <row r="2638" spans="1:12" hidden="1" x14ac:dyDescent="0.25">
      <c r="A2638" s="49"/>
      <c r="B2638" s="49"/>
      <c r="C2638" s="49"/>
      <c r="D2638" s="50" t="str">
        <f t="shared" si="205"/>
        <v/>
      </c>
      <c r="E2638" s="50" t="str">
        <f t="shared" si="206"/>
        <v/>
      </c>
      <c r="F2638" s="50" t="str">
        <f t="shared" si="207"/>
        <v/>
      </c>
      <c r="G2638" s="50" t="str">
        <f t="shared" si="208"/>
        <v/>
      </c>
      <c r="H2638" s="51" t="str">
        <f>IF($C2638="","",IFERROR(DATE(G2638,VLOOKUP(E2638,Paramètres!$K$11:$L$40,2,FALSE()),F2638),"?"))</f>
        <v/>
      </c>
      <c r="I2638" s="50" t="str">
        <f>IF(ISNUMBER(H2638),IF(COUNTIFS($D$2:D2638,D2638,$H$2:H2638,H2638)=1,1,0),"")</f>
        <v/>
      </c>
      <c r="J2638" s="50" t="str">
        <f>IF(ISNUMBER(H2638),IFERROR(INDEX(Calendrier!$C$2:$C$367,MATCH(H2638,Calendrier!$A$2:$A$367,0)),0),"")</f>
        <v/>
      </c>
      <c r="K2638" s="50" t="str">
        <f t="shared" si="209"/>
        <v/>
      </c>
      <c r="L2638" s="50" t="str">
        <f>IF(D2638="","",IF(COUNTIF(Paramètres!$A$11:$A$40,D2638)&gt;0,1,0))</f>
        <v/>
      </c>
    </row>
    <row r="2639" spans="1:12" hidden="1" x14ac:dyDescent="0.25">
      <c r="A2639" s="49"/>
      <c r="B2639" s="49"/>
      <c r="C2639" s="49"/>
      <c r="D2639" s="50" t="str">
        <f t="shared" si="205"/>
        <v/>
      </c>
      <c r="E2639" s="50" t="str">
        <f t="shared" si="206"/>
        <v/>
      </c>
      <c r="F2639" s="50" t="str">
        <f t="shared" si="207"/>
        <v/>
      </c>
      <c r="G2639" s="50" t="str">
        <f t="shared" si="208"/>
        <v/>
      </c>
      <c r="H2639" s="51" t="str">
        <f>IF($C2639="","",IFERROR(DATE(G2639,VLOOKUP(E2639,Paramètres!$K$11:$L$40,2,FALSE()),F2639),"?"))</f>
        <v/>
      </c>
      <c r="I2639" s="50" t="str">
        <f>IF(ISNUMBER(H2639),IF(COUNTIFS($D$2:D2639,D2639,$H$2:H2639,H2639)=1,1,0),"")</f>
        <v/>
      </c>
      <c r="J2639" s="50" t="str">
        <f>IF(ISNUMBER(H2639),IFERROR(INDEX(Calendrier!$C$2:$C$367,MATCH(H2639,Calendrier!$A$2:$A$367,0)),0),"")</f>
        <v/>
      </c>
      <c r="K2639" s="50" t="str">
        <f t="shared" si="209"/>
        <v/>
      </c>
      <c r="L2639" s="50" t="str">
        <f>IF(D2639="","",IF(COUNTIF(Paramètres!$A$11:$A$40,D2639)&gt;0,1,0))</f>
        <v/>
      </c>
    </row>
    <row r="2640" spans="1:12" hidden="1" x14ac:dyDescent="0.25">
      <c r="A2640" s="49"/>
      <c r="B2640" s="49"/>
      <c r="C2640" s="49"/>
      <c r="D2640" s="50" t="str">
        <f t="shared" si="205"/>
        <v/>
      </c>
      <c r="E2640" s="50" t="str">
        <f t="shared" si="206"/>
        <v/>
      </c>
      <c r="F2640" s="50" t="str">
        <f t="shared" si="207"/>
        <v/>
      </c>
      <c r="G2640" s="50" t="str">
        <f t="shared" si="208"/>
        <v/>
      </c>
      <c r="H2640" s="51" t="str">
        <f>IF($C2640="","",IFERROR(DATE(G2640,VLOOKUP(E2640,Paramètres!$K$11:$L$40,2,FALSE()),F2640),"?"))</f>
        <v/>
      </c>
      <c r="I2640" s="50" t="str">
        <f>IF(ISNUMBER(H2640),IF(COUNTIFS($D$2:D2640,D2640,$H$2:H2640,H2640)=1,1,0),"")</f>
        <v/>
      </c>
      <c r="J2640" s="50" t="str">
        <f>IF(ISNUMBER(H2640),IFERROR(INDEX(Calendrier!$C$2:$C$367,MATCH(H2640,Calendrier!$A$2:$A$367,0)),0),"")</f>
        <v/>
      </c>
      <c r="K2640" s="50" t="str">
        <f t="shared" si="209"/>
        <v/>
      </c>
      <c r="L2640" s="50" t="str">
        <f>IF(D2640="","",IF(COUNTIF(Paramètres!$A$11:$A$40,D2640)&gt;0,1,0))</f>
        <v/>
      </c>
    </row>
    <row r="2641" spans="1:12" hidden="1" x14ac:dyDescent="0.25">
      <c r="A2641" s="49"/>
      <c r="B2641" s="49"/>
      <c r="C2641" s="49"/>
      <c r="D2641" s="50" t="str">
        <f t="shared" si="205"/>
        <v/>
      </c>
      <c r="E2641" s="50" t="str">
        <f t="shared" si="206"/>
        <v/>
      </c>
      <c r="F2641" s="50" t="str">
        <f t="shared" si="207"/>
        <v/>
      </c>
      <c r="G2641" s="50" t="str">
        <f t="shared" si="208"/>
        <v/>
      </c>
      <c r="H2641" s="51" t="str">
        <f>IF($C2641="","",IFERROR(DATE(G2641,VLOOKUP(E2641,Paramètres!$K$11:$L$40,2,FALSE()),F2641),"?"))</f>
        <v/>
      </c>
      <c r="I2641" s="50" t="str">
        <f>IF(ISNUMBER(H2641),IF(COUNTIFS($D$2:D2641,D2641,$H$2:H2641,H2641)=1,1,0),"")</f>
        <v/>
      </c>
      <c r="J2641" s="50" t="str">
        <f>IF(ISNUMBER(H2641),IFERROR(INDEX(Calendrier!$C$2:$C$367,MATCH(H2641,Calendrier!$A$2:$A$367,0)),0),"")</f>
        <v/>
      </c>
      <c r="K2641" s="50" t="str">
        <f t="shared" si="209"/>
        <v/>
      </c>
      <c r="L2641" s="50" t="str">
        <f>IF(D2641="","",IF(COUNTIF(Paramètres!$A$11:$A$40,D2641)&gt;0,1,0))</f>
        <v/>
      </c>
    </row>
    <row r="2642" spans="1:12" hidden="1" x14ac:dyDescent="0.25">
      <c r="A2642" s="49"/>
      <c r="B2642" s="49"/>
      <c r="C2642" s="49"/>
      <c r="D2642" s="50" t="str">
        <f t="shared" si="205"/>
        <v/>
      </c>
      <c r="E2642" s="50" t="str">
        <f t="shared" si="206"/>
        <v/>
      </c>
      <c r="F2642" s="50" t="str">
        <f t="shared" si="207"/>
        <v/>
      </c>
      <c r="G2642" s="50" t="str">
        <f t="shared" si="208"/>
        <v/>
      </c>
      <c r="H2642" s="51" t="str">
        <f>IF($C2642="","",IFERROR(DATE(G2642,VLOOKUP(E2642,Paramètres!$K$11:$L$40,2,FALSE()),F2642),"?"))</f>
        <v/>
      </c>
      <c r="I2642" s="50" t="str">
        <f>IF(ISNUMBER(H2642),IF(COUNTIFS($D$2:D2642,D2642,$H$2:H2642,H2642)=1,1,0),"")</f>
        <v/>
      </c>
      <c r="J2642" s="50" t="str">
        <f>IF(ISNUMBER(H2642),IFERROR(INDEX(Calendrier!$C$2:$C$367,MATCH(H2642,Calendrier!$A$2:$A$367,0)),0),"")</f>
        <v/>
      </c>
      <c r="K2642" s="50" t="str">
        <f t="shared" si="209"/>
        <v/>
      </c>
      <c r="L2642" s="50" t="str">
        <f>IF(D2642="","",IF(COUNTIF(Paramètres!$A$11:$A$40,D2642)&gt;0,1,0))</f>
        <v/>
      </c>
    </row>
    <row r="2643" spans="1:12" hidden="1" x14ac:dyDescent="0.25">
      <c r="A2643" s="49"/>
      <c r="B2643" s="49"/>
      <c r="C2643" s="49"/>
      <c r="D2643" s="50" t="str">
        <f t="shared" si="205"/>
        <v/>
      </c>
      <c r="E2643" s="50" t="str">
        <f t="shared" si="206"/>
        <v/>
      </c>
      <c r="F2643" s="50" t="str">
        <f t="shared" si="207"/>
        <v/>
      </c>
      <c r="G2643" s="50" t="str">
        <f t="shared" si="208"/>
        <v/>
      </c>
      <c r="H2643" s="51" t="str">
        <f>IF($C2643="","",IFERROR(DATE(G2643,VLOOKUP(E2643,Paramètres!$K$11:$L$40,2,FALSE()),F2643),"?"))</f>
        <v/>
      </c>
      <c r="I2643" s="50" t="str">
        <f>IF(ISNUMBER(H2643),IF(COUNTIFS($D$2:D2643,D2643,$H$2:H2643,H2643)=1,1,0),"")</f>
        <v/>
      </c>
      <c r="J2643" s="50" t="str">
        <f>IF(ISNUMBER(H2643),IFERROR(INDEX(Calendrier!$C$2:$C$367,MATCH(H2643,Calendrier!$A$2:$A$367,0)),0),"")</f>
        <v/>
      </c>
      <c r="K2643" s="50" t="str">
        <f t="shared" si="209"/>
        <v/>
      </c>
      <c r="L2643" s="50" t="str">
        <f>IF(D2643="","",IF(COUNTIF(Paramètres!$A$11:$A$40,D2643)&gt;0,1,0))</f>
        <v/>
      </c>
    </row>
    <row r="2644" spans="1:12" hidden="1" x14ac:dyDescent="0.25">
      <c r="A2644" s="49"/>
      <c r="B2644" s="49"/>
      <c r="C2644" s="49"/>
      <c r="D2644" s="50" t="str">
        <f t="shared" si="205"/>
        <v/>
      </c>
      <c r="E2644" s="50" t="str">
        <f t="shared" si="206"/>
        <v/>
      </c>
      <c r="F2644" s="50" t="str">
        <f t="shared" si="207"/>
        <v/>
      </c>
      <c r="G2644" s="50" t="str">
        <f t="shared" si="208"/>
        <v/>
      </c>
      <c r="H2644" s="51" t="str">
        <f>IF($C2644="","",IFERROR(DATE(G2644,VLOOKUP(E2644,Paramètres!$K$11:$L$40,2,FALSE()),F2644),"?"))</f>
        <v/>
      </c>
      <c r="I2644" s="50" t="str">
        <f>IF(ISNUMBER(H2644),IF(COUNTIFS($D$2:D2644,D2644,$H$2:H2644,H2644)=1,1,0),"")</f>
        <v/>
      </c>
      <c r="J2644" s="50" t="str">
        <f>IF(ISNUMBER(H2644),IFERROR(INDEX(Calendrier!$C$2:$C$367,MATCH(H2644,Calendrier!$A$2:$A$367,0)),0),"")</f>
        <v/>
      </c>
      <c r="K2644" s="50" t="str">
        <f t="shared" si="209"/>
        <v/>
      </c>
      <c r="L2644" s="50" t="str">
        <f>IF(D2644="","",IF(COUNTIF(Paramètres!$A$11:$A$40,D2644)&gt;0,1,0))</f>
        <v/>
      </c>
    </row>
    <row r="2645" spans="1:12" hidden="1" x14ac:dyDescent="0.25">
      <c r="A2645" s="49"/>
      <c r="B2645" s="49"/>
      <c r="C2645" s="49"/>
      <c r="D2645" s="50" t="str">
        <f t="shared" si="205"/>
        <v/>
      </c>
      <c r="E2645" s="50" t="str">
        <f t="shared" si="206"/>
        <v/>
      </c>
      <c r="F2645" s="50" t="str">
        <f t="shared" si="207"/>
        <v/>
      </c>
      <c r="G2645" s="50" t="str">
        <f t="shared" si="208"/>
        <v/>
      </c>
      <c r="H2645" s="51" t="str">
        <f>IF($C2645="","",IFERROR(DATE(G2645,VLOOKUP(E2645,Paramètres!$K$11:$L$40,2,FALSE()),F2645),"?"))</f>
        <v/>
      </c>
      <c r="I2645" s="50" t="str">
        <f>IF(ISNUMBER(H2645),IF(COUNTIFS($D$2:D2645,D2645,$H$2:H2645,H2645)=1,1,0),"")</f>
        <v/>
      </c>
      <c r="J2645" s="50" t="str">
        <f>IF(ISNUMBER(H2645),IFERROR(INDEX(Calendrier!$C$2:$C$367,MATCH(H2645,Calendrier!$A$2:$A$367,0)),0),"")</f>
        <v/>
      </c>
      <c r="K2645" s="50" t="str">
        <f t="shared" si="209"/>
        <v/>
      </c>
      <c r="L2645" s="50" t="str">
        <f>IF(D2645="","",IF(COUNTIF(Paramètres!$A$11:$A$40,D2645)&gt;0,1,0))</f>
        <v/>
      </c>
    </row>
    <row r="2646" spans="1:12" hidden="1" x14ac:dyDescent="0.25">
      <c r="A2646" s="49"/>
      <c r="B2646" s="49"/>
      <c r="C2646" s="49"/>
      <c r="D2646" s="50" t="str">
        <f t="shared" si="205"/>
        <v/>
      </c>
      <c r="E2646" s="50" t="str">
        <f t="shared" si="206"/>
        <v/>
      </c>
      <c r="F2646" s="50" t="str">
        <f t="shared" si="207"/>
        <v/>
      </c>
      <c r="G2646" s="50" t="str">
        <f t="shared" si="208"/>
        <v/>
      </c>
      <c r="H2646" s="51" t="str">
        <f>IF($C2646="","",IFERROR(DATE(G2646,VLOOKUP(E2646,Paramètres!$K$11:$L$40,2,FALSE()),F2646),"?"))</f>
        <v/>
      </c>
      <c r="I2646" s="50" t="str">
        <f>IF(ISNUMBER(H2646),IF(COUNTIFS($D$2:D2646,D2646,$H$2:H2646,H2646)=1,1,0),"")</f>
        <v/>
      </c>
      <c r="J2646" s="50" t="str">
        <f>IF(ISNUMBER(H2646),IFERROR(INDEX(Calendrier!$C$2:$C$367,MATCH(H2646,Calendrier!$A$2:$A$367,0)),0),"")</f>
        <v/>
      </c>
      <c r="K2646" s="50" t="str">
        <f t="shared" si="209"/>
        <v/>
      </c>
      <c r="L2646" s="50" t="str">
        <f>IF(D2646="","",IF(COUNTIF(Paramètres!$A$11:$A$40,D2646)&gt;0,1,0))</f>
        <v/>
      </c>
    </row>
    <row r="2647" spans="1:12" hidden="1" x14ac:dyDescent="0.25">
      <c r="A2647" s="49"/>
      <c r="B2647" s="49"/>
      <c r="C2647" s="49"/>
      <c r="D2647" s="50" t="str">
        <f t="shared" si="205"/>
        <v/>
      </c>
      <c r="E2647" s="50" t="str">
        <f t="shared" si="206"/>
        <v/>
      </c>
      <c r="F2647" s="50" t="str">
        <f t="shared" si="207"/>
        <v/>
      </c>
      <c r="G2647" s="50" t="str">
        <f t="shared" si="208"/>
        <v/>
      </c>
      <c r="H2647" s="51" t="str">
        <f>IF($C2647="","",IFERROR(DATE(G2647,VLOOKUP(E2647,Paramètres!$K$11:$L$40,2,FALSE()),F2647),"?"))</f>
        <v/>
      </c>
      <c r="I2647" s="50" t="str">
        <f>IF(ISNUMBER(H2647),IF(COUNTIFS($D$2:D2647,D2647,$H$2:H2647,H2647)=1,1,0),"")</f>
        <v/>
      </c>
      <c r="J2647" s="50" t="str">
        <f>IF(ISNUMBER(H2647),IFERROR(INDEX(Calendrier!$C$2:$C$367,MATCH(H2647,Calendrier!$A$2:$A$367,0)),0),"")</f>
        <v/>
      </c>
      <c r="K2647" s="50" t="str">
        <f t="shared" si="209"/>
        <v/>
      </c>
      <c r="L2647" s="50" t="str">
        <f>IF(D2647="","",IF(COUNTIF(Paramètres!$A$11:$A$40,D2647)&gt;0,1,0))</f>
        <v/>
      </c>
    </row>
    <row r="2648" spans="1:12" hidden="1" x14ac:dyDescent="0.25">
      <c r="A2648" s="49"/>
      <c r="B2648" s="49"/>
      <c r="C2648" s="49"/>
      <c r="D2648" s="50" t="str">
        <f t="shared" si="205"/>
        <v/>
      </c>
      <c r="E2648" s="50" t="str">
        <f t="shared" si="206"/>
        <v/>
      </c>
      <c r="F2648" s="50" t="str">
        <f t="shared" si="207"/>
        <v/>
      </c>
      <c r="G2648" s="50" t="str">
        <f t="shared" si="208"/>
        <v/>
      </c>
      <c r="H2648" s="51" t="str">
        <f>IF($C2648="","",IFERROR(DATE(G2648,VLOOKUP(E2648,Paramètres!$K$11:$L$40,2,FALSE()),F2648),"?"))</f>
        <v/>
      </c>
      <c r="I2648" s="50" t="str">
        <f>IF(ISNUMBER(H2648),IF(COUNTIFS($D$2:D2648,D2648,$H$2:H2648,H2648)=1,1,0),"")</f>
        <v/>
      </c>
      <c r="J2648" s="50" t="str">
        <f>IF(ISNUMBER(H2648),IFERROR(INDEX(Calendrier!$C$2:$C$367,MATCH(H2648,Calendrier!$A$2:$A$367,0)),0),"")</f>
        <v/>
      </c>
      <c r="K2648" s="50" t="str">
        <f t="shared" si="209"/>
        <v/>
      </c>
      <c r="L2648" s="50" t="str">
        <f>IF(D2648="","",IF(COUNTIF(Paramètres!$A$11:$A$40,D2648)&gt;0,1,0))</f>
        <v/>
      </c>
    </row>
    <row r="2649" spans="1:12" hidden="1" x14ac:dyDescent="0.25">
      <c r="A2649" s="49"/>
      <c r="B2649" s="49"/>
      <c r="C2649" s="49"/>
      <c r="D2649" s="50" t="str">
        <f t="shared" si="205"/>
        <v/>
      </c>
      <c r="E2649" s="50" t="str">
        <f t="shared" si="206"/>
        <v/>
      </c>
      <c r="F2649" s="50" t="str">
        <f t="shared" si="207"/>
        <v/>
      </c>
      <c r="G2649" s="50" t="str">
        <f t="shared" si="208"/>
        <v/>
      </c>
      <c r="H2649" s="51" t="str">
        <f>IF($C2649="","",IFERROR(DATE(G2649,VLOOKUP(E2649,Paramètres!$K$11:$L$40,2,FALSE()),F2649),"?"))</f>
        <v/>
      </c>
      <c r="I2649" s="50" t="str">
        <f>IF(ISNUMBER(H2649),IF(COUNTIFS($D$2:D2649,D2649,$H$2:H2649,H2649)=1,1,0),"")</f>
        <v/>
      </c>
      <c r="J2649" s="50" t="str">
        <f>IF(ISNUMBER(H2649),IFERROR(INDEX(Calendrier!$C$2:$C$367,MATCH(H2649,Calendrier!$A$2:$A$367,0)),0),"")</f>
        <v/>
      </c>
      <c r="K2649" s="50" t="str">
        <f t="shared" si="209"/>
        <v/>
      </c>
      <c r="L2649" s="50" t="str">
        <f>IF(D2649="","",IF(COUNTIF(Paramètres!$A$11:$A$40,D2649)&gt;0,1,0))</f>
        <v/>
      </c>
    </row>
    <row r="2650" spans="1:12" hidden="1" x14ac:dyDescent="0.25">
      <c r="A2650" s="49"/>
      <c r="B2650" s="49"/>
      <c r="C2650" s="49"/>
      <c r="D2650" s="50" t="str">
        <f t="shared" si="205"/>
        <v/>
      </c>
      <c r="E2650" s="50" t="str">
        <f t="shared" si="206"/>
        <v/>
      </c>
      <c r="F2650" s="50" t="str">
        <f t="shared" si="207"/>
        <v/>
      </c>
      <c r="G2650" s="50" t="str">
        <f t="shared" si="208"/>
        <v/>
      </c>
      <c r="H2650" s="51" t="str">
        <f>IF($C2650="","",IFERROR(DATE(G2650,VLOOKUP(E2650,Paramètres!$K$11:$L$40,2,FALSE()),F2650),"?"))</f>
        <v/>
      </c>
      <c r="I2650" s="50" t="str">
        <f>IF(ISNUMBER(H2650),IF(COUNTIFS($D$2:D2650,D2650,$H$2:H2650,H2650)=1,1,0),"")</f>
        <v/>
      </c>
      <c r="J2650" s="50" t="str">
        <f>IF(ISNUMBER(H2650),IFERROR(INDEX(Calendrier!$C$2:$C$367,MATCH(H2650,Calendrier!$A$2:$A$367,0)),0),"")</f>
        <v/>
      </c>
      <c r="K2650" s="50" t="str">
        <f t="shared" si="209"/>
        <v/>
      </c>
      <c r="L2650" s="50" t="str">
        <f>IF(D2650="","",IF(COUNTIF(Paramètres!$A$11:$A$40,D2650)&gt;0,1,0))</f>
        <v/>
      </c>
    </row>
    <row r="2651" spans="1:12" hidden="1" x14ac:dyDescent="0.25">
      <c r="A2651" s="49"/>
      <c r="B2651" s="49"/>
      <c r="C2651" s="49"/>
      <c r="D2651" s="50" t="str">
        <f t="shared" si="205"/>
        <v/>
      </c>
      <c r="E2651" s="50" t="str">
        <f t="shared" si="206"/>
        <v/>
      </c>
      <c r="F2651" s="50" t="str">
        <f t="shared" si="207"/>
        <v/>
      </c>
      <c r="G2651" s="50" t="str">
        <f t="shared" si="208"/>
        <v/>
      </c>
      <c r="H2651" s="51" t="str">
        <f>IF($C2651="","",IFERROR(DATE(G2651,VLOOKUP(E2651,Paramètres!$K$11:$L$40,2,FALSE()),F2651),"?"))</f>
        <v/>
      </c>
      <c r="I2651" s="50" t="str">
        <f>IF(ISNUMBER(H2651),IF(COUNTIFS($D$2:D2651,D2651,$H$2:H2651,H2651)=1,1,0),"")</f>
        <v/>
      </c>
      <c r="J2651" s="50" t="str">
        <f>IF(ISNUMBER(H2651),IFERROR(INDEX(Calendrier!$C$2:$C$367,MATCH(H2651,Calendrier!$A$2:$A$367,0)),0),"")</f>
        <v/>
      </c>
      <c r="K2651" s="50" t="str">
        <f t="shared" si="209"/>
        <v/>
      </c>
      <c r="L2651" s="50" t="str">
        <f>IF(D2651="","",IF(COUNTIF(Paramètres!$A$11:$A$40,D2651)&gt;0,1,0))</f>
        <v/>
      </c>
    </row>
    <row r="2652" spans="1:12" hidden="1" x14ac:dyDescent="0.25">
      <c r="A2652" s="49"/>
      <c r="B2652" s="49"/>
      <c r="C2652" s="49"/>
      <c r="D2652" s="50" t="str">
        <f t="shared" si="205"/>
        <v/>
      </c>
      <c r="E2652" s="50" t="str">
        <f t="shared" si="206"/>
        <v/>
      </c>
      <c r="F2652" s="50" t="str">
        <f t="shared" si="207"/>
        <v/>
      </c>
      <c r="G2652" s="50" t="str">
        <f t="shared" si="208"/>
        <v/>
      </c>
      <c r="H2652" s="51" t="str">
        <f>IF($C2652="","",IFERROR(DATE(G2652,VLOOKUP(E2652,Paramètres!$K$11:$L$40,2,FALSE()),F2652),"?"))</f>
        <v/>
      </c>
      <c r="I2652" s="50" t="str">
        <f>IF(ISNUMBER(H2652),IF(COUNTIFS($D$2:D2652,D2652,$H$2:H2652,H2652)=1,1,0),"")</f>
        <v/>
      </c>
      <c r="J2652" s="50" t="str">
        <f>IF(ISNUMBER(H2652),IFERROR(INDEX(Calendrier!$C$2:$C$367,MATCH(H2652,Calendrier!$A$2:$A$367,0)),0),"")</f>
        <v/>
      </c>
      <c r="K2652" s="50" t="str">
        <f t="shared" si="209"/>
        <v/>
      </c>
      <c r="L2652" s="50" t="str">
        <f>IF(D2652="","",IF(COUNTIF(Paramètres!$A$11:$A$40,D2652)&gt;0,1,0))</f>
        <v/>
      </c>
    </row>
    <row r="2653" spans="1:12" hidden="1" x14ac:dyDescent="0.25">
      <c r="A2653" s="49"/>
      <c r="B2653" s="49"/>
      <c r="C2653" s="49"/>
      <c r="D2653" s="50" t="str">
        <f t="shared" si="205"/>
        <v/>
      </c>
      <c r="E2653" s="50" t="str">
        <f t="shared" si="206"/>
        <v/>
      </c>
      <c r="F2653" s="50" t="str">
        <f t="shared" si="207"/>
        <v/>
      </c>
      <c r="G2653" s="50" t="str">
        <f t="shared" si="208"/>
        <v/>
      </c>
      <c r="H2653" s="51" t="str">
        <f>IF($C2653="","",IFERROR(DATE(G2653,VLOOKUP(E2653,Paramètres!$K$11:$L$40,2,FALSE()),F2653),"?"))</f>
        <v/>
      </c>
      <c r="I2653" s="50" t="str">
        <f>IF(ISNUMBER(H2653),IF(COUNTIFS($D$2:D2653,D2653,$H$2:H2653,H2653)=1,1,0),"")</f>
        <v/>
      </c>
      <c r="J2653" s="50" t="str">
        <f>IF(ISNUMBER(H2653),IFERROR(INDEX(Calendrier!$C$2:$C$367,MATCH(H2653,Calendrier!$A$2:$A$367,0)),0),"")</f>
        <v/>
      </c>
      <c r="K2653" s="50" t="str">
        <f t="shared" si="209"/>
        <v/>
      </c>
      <c r="L2653" s="50" t="str">
        <f>IF(D2653="","",IF(COUNTIF(Paramètres!$A$11:$A$40,D2653)&gt;0,1,0))</f>
        <v/>
      </c>
    </row>
    <row r="2654" spans="1:12" hidden="1" x14ac:dyDescent="0.25">
      <c r="A2654" s="49"/>
      <c r="B2654" s="49"/>
      <c r="C2654" s="49"/>
      <c r="D2654" s="50" t="str">
        <f t="shared" si="205"/>
        <v/>
      </c>
      <c r="E2654" s="50" t="str">
        <f t="shared" si="206"/>
        <v/>
      </c>
      <c r="F2654" s="50" t="str">
        <f t="shared" si="207"/>
        <v/>
      </c>
      <c r="G2654" s="50" t="str">
        <f t="shared" si="208"/>
        <v/>
      </c>
      <c r="H2654" s="51" t="str">
        <f>IF($C2654="","",IFERROR(DATE(G2654,VLOOKUP(E2654,Paramètres!$K$11:$L$40,2,FALSE()),F2654),"?"))</f>
        <v/>
      </c>
      <c r="I2654" s="50" t="str">
        <f>IF(ISNUMBER(H2654),IF(COUNTIFS($D$2:D2654,D2654,$H$2:H2654,H2654)=1,1,0),"")</f>
        <v/>
      </c>
      <c r="J2654" s="50" t="str">
        <f>IF(ISNUMBER(H2654),IFERROR(INDEX(Calendrier!$C$2:$C$367,MATCH(H2654,Calendrier!$A$2:$A$367,0)),0),"")</f>
        <v/>
      </c>
      <c r="K2654" s="50" t="str">
        <f t="shared" si="209"/>
        <v/>
      </c>
      <c r="L2654" s="50" t="str">
        <f>IF(D2654="","",IF(COUNTIF(Paramètres!$A$11:$A$40,D2654)&gt;0,1,0))</f>
        <v/>
      </c>
    </row>
    <row r="2655" spans="1:12" hidden="1" x14ac:dyDescent="0.25">
      <c r="A2655" s="49"/>
      <c r="B2655" s="49"/>
      <c r="C2655" s="49"/>
      <c r="D2655" s="50" t="str">
        <f t="shared" si="205"/>
        <v/>
      </c>
      <c r="E2655" s="50" t="str">
        <f t="shared" si="206"/>
        <v/>
      </c>
      <c r="F2655" s="50" t="str">
        <f t="shared" si="207"/>
        <v/>
      </c>
      <c r="G2655" s="50" t="str">
        <f t="shared" si="208"/>
        <v/>
      </c>
      <c r="H2655" s="51" t="str">
        <f>IF($C2655="","",IFERROR(DATE(G2655,VLOOKUP(E2655,Paramètres!$K$11:$L$40,2,FALSE()),F2655),"?"))</f>
        <v/>
      </c>
      <c r="I2655" s="50" t="str">
        <f>IF(ISNUMBER(H2655),IF(COUNTIFS($D$2:D2655,D2655,$H$2:H2655,H2655)=1,1,0),"")</f>
        <v/>
      </c>
      <c r="J2655" s="50" t="str">
        <f>IF(ISNUMBER(H2655),IFERROR(INDEX(Calendrier!$C$2:$C$367,MATCH(H2655,Calendrier!$A$2:$A$367,0)),0),"")</f>
        <v/>
      </c>
      <c r="K2655" s="50" t="str">
        <f t="shared" si="209"/>
        <v/>
      </c>
      <c r="L2655" s="50" t="str">
        <f>IF(D2655="","",IF(COUNTIF(Paramètres!$A$11:$A$40,D2655)&gt;0,1,0))</f>
        <v/>
      </c>
    </row>
    <row r="2656" spans="1:12" hidden="1" x14ac:dyDescent="0.25">
      <c r="A2656" s="49"/>
      <c r="B2656" s="49"/>
      <c r="C2656" s="49"/>
      <c r="D2656" s="50" t="str">
        <f t="shared" si="205"/>
        <v/>
      </c>
      <c r="E2656" s="50" t="str">
        <f t="shared" si="206"/>
        <v/>
      </c>
      <c r="F2656" s="50" t="str">
        <f t="shared" si="207"/>
        <v/>
      </c>
      <c r="G2656" s="50" t="str">
        <f t="shared" si="208"/>
        <v/>
      </c>
      <c r="H2656" s="51" t="str">
        <f>IF($C2656="","",IFERROR(DATE(G2656,VLOOKUP(E2656,Paramètres!$K$11:$L$40,2,FALSE()),F2656),"?"))</f>
        <v/>
      </c>
      <c r="I2656" s="50" t="str">
        <f>IF(ISNUMBER(H2656),IF(COUNTIFS($D$2:D2656,D2656,$H$2:H2656,H2656)=1,1,0),"")</f>
        <v/>
      </c>
      <c r="J2656" s="50" t="str">
        <f>IF(ISNUMBER(H2656),IFERROR(INDEX(Calendrier!$C$2:$C$367,MATCH(H2656,Calendrier!$A$2:$A$367,0)),0),"")</f>
        <v/>
      </c>
      <c r="K2656" s="50" t="str">
        <f t="shared" si="209"/>
        <v/>
      </c>
      <c r="L2656" s="50" t="str">
        <f>IF(D2656="","",IF(COUNTIF(Paramètres!$A$11:$A$40,D2656)&gt;0,1,0))</f>
        <v/>
      </c>
    </row>
    <row r="2657" spans="1:12" hidden="1" x14ac:dyDescent="0.25">
      <c r="A2657" s="49"/>
      <c r="B2657" s="49"/>
      <c r="C2657" s="49"/>
      <c r="D2657" s="50" t="str">
        <f t="shared" si="205"/>
        <v/>
      </c>
      <c r="E2657" s="50" t="str">
        <f t="shared" si="206"/>
        <v/>
      </c>
      <c r="F2657" s="50" t="str">
        <f t="shared" si="207"/>
        <v/>
      </c>
      <c r="G2657" s="50" t="str">
        <f t="shared" si="208"/>
        <v/>
      </c>
      <c r="H2657" s="51" t="str">
        <f>IF($C2657="","",IFERROR(DATE(G2657,VLOOKUP(E2657,Paramètres!$K$11:$L$40,2,FALSE()),F2657),"?"))</f>
        <v/>
      </c>
      <c r="I2657" s="50" t="str">
        <f>IF(ISNUMBER(H2657),IF(COUNTIFS($D$2:D2657,D2657,$H$2:H2657,H2657)=1,1,0),"")</f>
        <v/>
      </c>
      <c r="J2657" s="50" t="str">
        <f>IF(ISNUMBER(H2657),IFERROR(INDEX(Calendrier!$C$2:$C$367,MATCH(H2657,Calendrier!$A$2:$A$367,0)),0),"")</f>
        <v/>
      </c>
      <c r="K2657" s="50" t="str">
        <f t="shared" si="209"/>
        <v/>
      </c>
      <c r="L2657" s="50" t="str">
        <f>IF(D2657="","",IF(COUNTIF(Paramètres!$A$11:$A$40,D2657)&gt;0,1,0))</f>
        <v/>
      </c>
    </row>
    <row r="2658" spans="1:12" hidden="1" x14ac:dyDescent="0.25">
      <c r="A2658" s="49"/>
      <c r="B2658" s="49"/>
      <c r="C2658" s="49"/>
      <c r="D2658" s="50" t="str">
        <f t="shared" si="205"/>
        <v/>
      </c>
      <c r="E2658" s="50" t="str">
        <f t="shared" si="206"/>
        <v/>
      </c>
      <c r="F2658" s="50" t="str">
        <f t="shared" si="207"/>
        <v/>
      </c>
      <c r="G2658" s="50" t="str">
        <f t="shared" si="208"/>
        <v/>
      </c>
      <c r="H2658" s="51" t="str">
        <f>IF($C2658="","",IFERROR(DATE(G2658,VLOOKUP(E2658,Paramètres!$K$11:$L$40,2,FALSE()),F2658),"?"))</f>
        <v/>
      </c>
      <c r="I2658" s="50" t="str">
        <f>IF(ISNUMBER(H2658),IF(COUNTIFS($D$2:D2658,D2658,$H$2:H2658,H2658)=1,1,0),"")</f>
        <v/>
      </c>
      <c r="J2658" s="50" t="str">
        <f>IF(ISNUMBER(H2658),IFERROR(INDEX(Calendrier!$C$2:$C$367,MATCH(H2658,Calendrier!$A$2:$A$367,0)),0),"")</f>
        <v/>
      </c>
      <c r="K2658" s="50" t="str">
        <f t="shared" si="209"/>
        <v/>
      </c>
      <c r="L2658" s="50" t="str">
        <f>IF(D2658="","",IF(COUNTIF(Paramètres!$A$11:$A$40,D2658)&gt;0,1,0))</f>
        <v/>
      </c>
    </row>
    <row r="2659" spans="1:12" hidden="1" x14ac:dyDescent="0.25">
      <c r="A2659" s="49"/>
      <c r="B2659" s="49"/>
      <c r="C2659" s="49"/>
      <c r="D2659" s="50" t="str">
        <f t="shared" si="205"/>
        <v/>
      </c>
      <c r="E2659" s="50" t="str">
        <f t="shared" si="206"/>
        <v/>
      </c>
      <c r="F2659" s="50" t="str">
        <f t="shared" si="207"/>
        <v/>
      </c>
      <c r="G2659" s="50" t="str">
        <f t="shared" si="208"/>
        <v/>
      </c>
      <c r="H2659" s="51" t="str">
        <f>IF($C2659="","",IFERROR(DATE(G2659,VLOOKUP(E2659,Paramètres!$K$11:$L$40,2,FALSE()),F2659),"?"))</f>
        <v/>
      </c>
      <c r="I2659" s="50" t="str">
        <f>IF(ISNUMBER(H2659),IF(COUNTIFS($D$2:D2659,D2659,$H$2:H2659,H2659)=1,1,0),"")</f>
        <v/>
      </c>
      <c r="J2659" s="50" t="str">
        <f>IF(ISNUMBER(H2659),IFERROR(INDEX(Calendrier!$C$2:$C$367,MATCH(H2659,Calendrier!$A$2:$A$367,0)),0),"")</f>
        <v/>
      </c>
      <c r="K2659" s="50" t="str">
        <f t="shared" si="209"/>
        <v/>
      </c>
      <c r="L2659" s="50" t="str">
        <f>IF(D2659="","",IF(COUNTIF(Paramètres!$A$11:$A$40,D2659)&gt;0,1,0))</f>
        <v/>
      </c>
    </row>
    <row r="2660" spans="1:12" hidden="1" x14ac:dyDescent="0.25">
      <c r="A2660" s="49"/>
      <c r="B2660" s="49"/>
      <c r="C2660" s="49"/>
      <c r="D2660" s="50" t="str">
        <f t="shared" si="205"/>
        <v/>
      </c>
      <c r="E2660" s="50" t="str">
        <f t="shared" si="206"/>
        <v/>
      </c>
      <c r="F2660" s="50" t="str">
        <f t="shared" si="207"/>
        <v/>
      </c>
      <c r="G2660" s="50" t="str">
        <f t="shared" si="208"/>
        <v/>
      </c>
      <c r="H2660" s="51" t="str">
        <f>IF($C2660="","",IFERROR(DATE(G2660,VLOOKUP(E2660,Paramètres!$K$11:$L$40,2,FALSE()),F2660),"?"))</f>
        <v/>
      </c>
      <c r="I2660" s="50" t="str">
        <f>IF(ISNUMBER(H2660),IF(COUNTIFS($D$2:D2660,D2660,$H$2:H2660,H2660)=1,1,0),"")</f>
        <v/>
      </c>
      <c r="J2660" s="50" t="str">
        <f>IF(ISNUMBER(H2660),IFERROR(INDEX(Calendrier!$C$2:$C$367,MATCH(H2660,Calendrier!$A$2:$A$367,0)),0),"")</f>
        <v/>
      </c>
      <c r="K2660" s="50" t="str">
        <f t="shared" si="209"/>
        <v/>
      </c>
      <c r="L2660" s="50" t="str">
        <f>IF(D2660="","",IF(COUNTIF(Paramètres!$A$11:$A$40,D2660)&gt;0,1,0))</f>
        <v/>
      </c>
    </row>
    <row r="2661" spans="1:12" hidden="1" x14ac:dyDescent="0.25">
      <c r="A2661" s="49"/>
      <c r="B2661" s="49"/>
      <c r="C2661" s="49"/>
      <c r="D2661" s="50" t="str">
        <f t="shared" si="205"/>
        <v/>
      </c>
      <c r="E2661" s="50" t="str">
        <f t="shared" si="206"/>
        <v/>
      </c>
      <c r="F2661" s="50" t="str">
        <f t="shared" si="207"/>
        <v/>
      </c>
      <c r="G2661" s="50" t="str">
        <f t="shared" si="208"/>
        <v/>
      </c>
      <c r="H2661" s="51" t="str">
        <f>IF($C2661="","",IFERROR(DATE(G2661,VLOOKUP(E2661,Paramètres!$K$11:$L$40,2,FALSE()),F2661),"?"))</f>
        <v/>
      </c>
      <c r="I2661" s="50" t="str">
        <f>IF(ISNUMBER(H2661),IF(COUNTIFS($D$2:D2661,D2661,$H$2:H2661,H2661)=1,1,0),"")</f>
        <v/>
      </c>
      <c r="J2661" s="50" t="str">
        <f>IF(ISNUMBER(H2661),IFERROR(INDEX(Calendrier!$C$2:$C$367,MATCH(H2661,Calendrier!$A$2:$A$367,0)),0),"")</f>
        <v/>
      </c>
      <c r="K2661" s="50" t="str">
        <f t="shared" si="209"/>
        <v/>
      </c>
      <c r="L2661" s="50" t="str">
        <f>IF(D2661="","",IF(COUNTIF(Paramètres!$A$11:$A$40,D2661)&gt;0,1,0))</f>
        <v/>
      </c>
    </row>
    <row r="2662" spans="1:12" hidden="1" x14ac:dyDescent="0.25">
      <c r="A2662" s="49"/>
      <c r="B2662" s="49"/>
      <c r="C2662" s="49"/>
      <c r="D2662" s="50" t="str">
        <f t="shared" si="205"/>
        <v/>
      </c>
      <c r="E2662" s="50" t="str">
        <f t="shared" si="206"/>
        <v/>
      </c>
      <c r="F2662" s="50" t="str">
        <f t="shared" si="207"/>
        <v/>
      </c>
      <c r="G2662" s="50" t="str">
        <f t="shared" si="208"/>
        <v/>
      </c>
      <c r="H2662" s="51" t="str">
        <f>IF($C2662="","",IFERROR(DATE(G2662,VLOOKUP(E2662,Paramètres!$K$11:$L$40,2,FALSE()),F2662),"?"))</f>
        <v/>
      </c>
      <c r="I2662" s="50" t="str">
        <f>IF(ISNUMBER(H2662),IF(COUNTIFS($D$2:D2662,D2662,$H$2:H2662,H2662)=1,1,0),"")</f>
        <v/>
      </c>
      <c r="J2662" s="50" t="str">
        <f>IF(ISNUMBER(H2662),IFERROR(INDEX(Calendrier!$C$2:$C$367,MATCH(H2662,Calendrier!$A$2:$A$367,0)),0),"")</f>
        <v/>
      </c>
      <c r="K2662" s="50" t="str">
        <f t="shared" si="209"/>
        <v/>
      </c>
      <c r="L2662" s="50" t="str">
        <f>IF(D2662="","",IF(COUNTIF(Paramètres!$A$11:$A$40,D2662)&gt;0,1,0))</f>
        <v/>
      </c>
    </row>
    <row r="2663" spans="1:12" hidden="1" x14ac:dyDescent="0.25">
      <c r="A2663" s="49"/>
      <c r="B2663" s="49"/>
      <c r="C2663" s="49"/>
      <c r="D2663" s="50" t="str">
        <f t="shared" si="205"/>
        <v/>
      </c>
      <c r="E2663" s="50" t="str">
        <f t="shared" si="206"/>
        <v/>
      </c>
      <c r="F2663" s="50" t="str">
        <f t="shared" si="207"/>
        <v/>
      </c>
      <c r="G2663" s="50" t="str">
        <f t="shared" si="208"/>
        <v/>
      </c>
      <c r="H2663" s="51" t="str">
        <f>IF($C2663="","",IFERROR(DATE(G2663,VLOOKUP(E2663,Paramètres!$K$11:$L$40,2,FALSE()),F2663),"?"))</f>
        <v/>
      </c>
      <c r="I2663" s="50" t="str">
        <f>IF(ISNUMBER(H2663),IF(COUNTIFS($D$2:D2663,D2663,$H$2:H2663,H2663)=1,1,0),"")</f>
        <v/>
      </c>
      <c r="J2663" s="50" t="str">
        <f>IF(ISNUMBER(H2663),IFERROR(INDEX(Calendrier!$C$2:$C$367,MATCH(H2663,Calendrier!$A$2:$A$367,0)),0),"")</f>
        <v/>
      </c>
      <c r="K2663" s="50" t="str">
        <f t="shared" si="209"/>
        <v/>
      </c>
      <c r="L2663" s="50" t="str">
        <f>IF(D2663="","",IF(COUNTIF(Paramètres!$A$11:$A$40,D2663)&gt;0,1,0))</f>
        <v/>
      </c>
    </row>
    <row r="2664" spans="1:12" hidden="1" x14ac:dyDescent="0.25">
      <c r="A2664" s="49"/>
      <c r="B2664" s="49"/>
      <c r="C2664" s="49"/>
      <c r="D2664" s="50" t="str">
        <f t="shared" si="205"/>
        <v/>
      </c>
      <c r="E2664" s="50" t="str">
        <f t="shared" si="206"/>
        <v/>
      </c>
      <c r="F2664" s="50" t="str">
        <f t="shared" si="207"/>
        <v/>
      </c>
      <c r="G2664" s="50" t="str">
        <f t="shared" si="208"/>
        <v/>
      </c>
      <c r="H2664" s="51" t="str">
        <f>IF($C2664="","",IFERROR(DATE(G2664,VLOOKUP(E2664,Paramètres!$K$11:$L$40,2,FALSE()),F2664),"?"))</f>
        <v/>
      </c>
      <c r="I2664" s="50" t="str">
        <f>IF(ISNUMBER(H2664),IF(COUNTIFS($D$2:D2664,D2664,$H$2:H2664,H2664)=1,1,0),"")</f>
        <v/>
      </c>
      <c r="J2664" s="50" t="str">
        <f>IF(ISNUMBER(H2664),IFERROR(INDEX(Calendrier!$C$2:$C$367,MATCH(H2664,Calendrier!$A$2:$A$367,0)),0),"")</f>
        <v/>
      </c>
      <c r="K2664" s="50" t="str">
        <f t="shared" si="209"/>
        <v/>
      </c>
      <c r="L2664" s="50" t="str">
        <f>IF(D2664="","",IF(COUNTIF(Paramètres!$A$11:$A$40,D2664)&gt;0,1,0))</f>
        <v/>
      </c>
    </row>
    <row r="2665" spans="1:12" hidden="1" x14ac:dyDescent="0.25">
      <c r="A2665" s="49"/>
      <c r="B2665" s="49"/>
      <c r="C2665" s="49"/>
      <c r="D2665" s="50" t="str">
        <f t="shared" si="205"/>
        <v/>
      </c>
      <c r="E2665" s="50" t="str">
        <f t="shared" si="206"/>
        <v/>
      </c>
      <c r="F2665" s="50" t="str">
        <f t="shared" si="207"/>
        <v/>
      </c>
      <c r="G2665" s="50" t="str">
        <f t="shared" si="208"/>
        <v/>
      </c>
      <c r="H2665" s="51" t="str">
        <f>IF($C2665="","",IFERROR(DATE(G2665,VLOOKUP(E2665,Paramètres!$K$11:$L$40,2,FALSE()),F2665),"?"))</f>
        <v/>
      </c>
      <c r="I2665" s="50" t="str">
        <f>IF(ISNUMBER(H2665),IF(COUNTIFS($D$2:D2665,D2665,$H$2:H2665,H2665)=1,1,0),"")</f>
        <v/>
      </c>
      <c r="J2665" s="50" t="str">
        <f>IF(ISNUMBER(H2665),IFERROR(INDEX(Calendrier!$C$2:$C$367,MATCH(H2665,Calendrier!$A$2:$A$367,0)),0),"")</f>
        <v/>
      </c>
      <c r="K2665" s="50" t="str">
        <f t="shared" si="209"/>
        <v/>
      </c>
      <c r="L2665" s="50" t="str">
        <f>IF(D2665="","",IF(COUNTIF(Paramètres!$A$11:$A$40,D2665)&gt;0,1,0))</f>
        <v/>
      </c>
    </row>
    <row r="2666" spans="1:12" hidden="1" x14ac:dyDescent="0.25">
      <c r="A2666" s="49"/>
      <c r="B2666" s="49"/>
      <c r="C2666" s="49"/>
      <c r="D2666" s="50" t="str">
        <f t="shared" si="205"/>
        <v/>
      </c>
      <c r="E2666" s="50" t="str">
        <f t="shared" si="206"/>
        <v/>
      </c>
      <c r="F2666" s="50" t="str">
        <f t="shared" si="207"/>
        <v/>
      </c>
      <c r="G2666" s="50" t="str">
        <f t="shared" si="208"/>
        <v/>
      </c>
      <c r="H2666" s="51" t="str">
        <f>IF($C2666="","",IFERROR(DATE(G2666,VLOOKUP(E2666,Paramètres!$K$11:$L$40,2,FALSE()),F2666),"?"))</f>
        <v/>
      </c>
      <c r="I2666" s="50" t="str">
        <f>IF(ISNUMBER(H2666),IF(COUNTIFS($D$2:D2666,D2666,$H$2:H2666,H2666)=1,1,0),"")</f>
        <v/>
      </c>
      <c r="J2666" s="50" t="str">
        <f>IF(ISNUMBER(H2666),IFERROR(INDEX(Calendrier!$C$2:$C$367,MATCH(H2666,Calendrier!$A$2:$A$367,0)),0),"")</f>
        <v/>
      </c>
      <c r="K2666" s="50" t="str">
        <f t="shared" si="209"/>
        <v/>
      </c>
      <c r="L2666" s="50" t="str">
        <f>IF(D2666="","",IF(COUNTIF(Paramètres!$A$11:$A$40,D2666)&gt;0,1,0))</f>
        <v/>
      </c>
    </row>
    <row r="2667" spans="1:12" hidden="1" x14ac:dyDescent="0.25">
      <c r="A2667" s="49"/>
      <c r="B2667" s="49"/>
      <c r="C2667" s="49"/>
      <c r="D2667" s="50" t="str">
        <f t="shared" si="205"/>
        <v/>
      </c>
      <c r="E2667" s="50" t="str">
        <f t="shared" si="206"/>
        <v/>
      </c>
      <c r="F2667" s="50" t="str">
        <f t="shared" si="207"/>
        <v/>
      </c>
      <c r="G2667" s="50" t="str">
        <f t="shared" si="208"/>
        <v/>
      </c>
      <c r="H2667" s="51" t="str">
        <f>IF($C2667="","",IFERROR(DATE(G2667,VLOOKUP(E2667,Paramètres!$K$11:$L$40,2,FALSE()),F2667),"?"))</f>
        <v/>
      </c>
      <c r="I2667" s="50" t="str">
        <f>IF(ISNUMBER(H2667),IF(COUNTIFS($D$2:D2667,D2667,$H$2:H2667,H2667)=1,1,0),"")</f>
        <v/>
      </c>
      <c r="J2667" s="50" t="str">
        <f>IF(ISNUMBER(H2667),IFERROR(INDEX(Calendrier!$C$2:$C$367,MATCH(H2667,Calendrier!$A$2:$A$367,0)),0),"")</f>
        <v/>
      </c>
      <c r="K2667" s="50" t="str">
        <f t="shared" si="209"/>
        <v/>
      </c>
      <c r="L2667" s="50" t="str">
        <f>IF(D2667="","",IF(COUNTIF(Paramètres!$A$11:$A$40,D2667)&gt;0,1,0))</f>
        <v/>
      </c>
    </row>
    <row r="2668" spans="1:12" hidden="1" x14ac:dyDescent="0.25">
      <c r="A2668" s="49"/>
      <c r="B2668" s="49"/>
      <c r="C2668" s="49"/>
      <c r="D2668" s="50" t="str">
        <f t="shared" si="205"/>
        <v/>
      </c>
      <c r="E2668" s="50" t="str">
        <f t="shared" si="206"/>
        <v/>
      </c>
      <c r="F2668" s="50" t="str">
        <f t="shared" si="207"/>
        <v/>
      </c>
      <c r="G2668" s="50" t="str">
        <f t="shared" si="208"/>
        <v/>
      </c>
      <c r="H2668" s="51" t="str">
        <f>IF($C2668="","",IFERROR(DATE(G2668,VLOOKUP(E2668,Paramètres!$K$11:$L$40,2,FALSE()),F2668),"?"))</f>
        <v/>
      </c>
      <c r="I2668" s="50" t="str">
        <f>IF(ISNUMBER(H2668),IF(COUNTIFS($D$2:D2668,D2668,$H$2:H2668,H2668)=1,1,0),"")</f>
        <v/>
      </c>
      <c r="J2668" s="50" t="str">
        <f>IF(ISNUMBER(H2668),IFERROR(INDEX(Calendrier!$C$2:$C$367,MATCH(H2668,Calendrier!$A$2:$A$367,0)),0),"")</f>
        <v/>
      </c>
      <c r="K2668" s="50" t="str">
        <f t="shared" si="209"/>
        <v/>
      </c>
      <c r="L2668" s="50" t="str">
        <f>IF(D2668="","",IF(COUNTIF(Paramètres!$A$11:$A$40,D2668)&gt;0,1,0))</f>
        <v/>
      </c>
    </row>
    <row r="2669" spans="1:12" hidden="1" x14ac:dyDescent="0.25">
      <c r="A2669" s="49"/>
      <c r="B2669" s="49"/>
      <c r="C2669" s="49"/>
      <c r="D2669" s="50" t="str">
        <f t="shared" si="205"/>
        <v/>
      </c>
      <c r="E2669" s="50" t="str">
        <f t="shared" si="206"/>
        <v/>
      </c>
      <c r="F2669" s="50" t="str">
        <f t="shared" si="207"/>
        <v/>
      </c>
      <c r="G2669" s="50" t="str">
        <f t="shared" si="208"/>
        <v/>
      </c>
      <c r="H2669" s="51" t="str">
        <f>IF($C2669="","",IFERROR(DATE(G2669,VLOOKUP(E2669,Paramètres!$K$11:$L$40,2,FALSE()),F2669),"?"))</f>
        <v/>
      </c>
      <c r="I2669" s="50" t="str">
        <f>IF(ISNUMBER(H2669),IF(COUNTIFS($D$2:D2669,D2669,$H$2:H2669,H2669)=1,1,0),"")</f>
        <v/>
      </c>
      <c r="J2669" s="50" t="str">
        <f>IF(ISNUMBER(H2669),IFERROR(INDEX(Calendrier!$C$2:$C$367,MATCH(H2669,Calendrier!$A$2:$A$367,0)),0),"")</f>
        <v/>
      </c>
      <c r="K2669" s="50" t="str">
        <f t="shared" si="209"/>
        <v/>
      </c>
      <c r="L2669" s="50" t="str">
        <f>IF(D2669="","",IF(COUNTIF(Paramètres!$A$11:$A$40,D2669)&gt;0,1,0))</f>
        <v/>
      </c>
    </row>
    <row r="2670" spans="1:12" hidden="1" x14ac:dyDescent="0.25">
      <c r="A2670" s="49"/>
      <c r="B2670" s="49"/>
      <c r="C2670" s="49"/>
      <c r="D2670" s="50" t="str">
        <f t="shared" si="205"/>
        <v/>
      </c>
      <c r="E2670" s="50" t="str">
        <f t="shared" si="206"/>
        <v/>
      </c>
      <c r="F2670" s="50" t="str">
        <f t="shared" si="207"/>
        <v/>
      </c>
      <c r="G2670" s="50" t="str">
        <f t="shared" si="208"/>
        <v/>
      </c>
      <c r="H2670" s="51" t="str">
        <f>IF($C2670="","",IFERROR(DATE(G2670,VLOOKUP(E2670,Paramètres!$K$11:$L$40,2,FALSE()),F2670),"?"))</f>
        <v/>
      </c>
      <c r="I2670" s="50" t="str">
        <f>IF(ISNUMBER(H2670),IF(COUNTIFS($D$2:D2670,D2670,$H$2:H2670,H2670)=1,1,0),"")</f>
        <v/>
      </c>
      <c r="J2670" s="50" t="str">
        <f>IF(ISNUMBER(H2670),IFERROR(INDEX(Calendrier!$C$2:$C$367,MATCH(H2670,Calendrier!$A$2:$A$367,0)),0),"")</f>
        <v/>
      </c>
      <c r="K2670" s="50" t="str">
        <f t="shared" si="209"/>
        <v/>
      </c>
      <c r="L2670" s="50" t="str">
        <f>IF(D2670="","",IF(COUNTIF(Paramètres!$A$11:$A$40,D2670)&gt;0,1,0))</f>
        <v/>
      </c>
    </row>
    <row r="2671" spans="1:12" hidden="1" x14ac:dyDescent="0.25">
      <c r="A2671" s="49"/>
      <c r="B2671" s="49"/>
      <c r="C2671" s="49"/>
      <c r="D2671" s="50" t="str">
        <f t="shared" si="205"/>
        <v/>
      </c>
      <c r="E2671" s="50" t="str">
        <f t="shared" si="206"/>
        <v/>
      </c>
      <c r="F2671" s="50" t="str">
        <f t="shared" si="207"/>
        <v/>
      </c>
      <c r="G2671" s="50" t="str">
        <f t="shared" si="208"/>
        <v/>
      </c>
      <c r="H2671" s="51" t="str">
        <f>IF($C2671="","",IFERROR(DATE(G2671,VLOOKUP(E2671,Paramètres!$K$11:$L$40,2,FALSE()),F2671),"?"))</f>
        <v/>
      </c>
      <c r="I2671" s="50" t="str">
        <f>IF(ISNUMBER(H2671),IF(COUNTIFS($D$2:D2671,D2671,$H$2:H2671,H2671)=1,1,0),"")</f>
        <v/>
      </c>
      <c r="J2671" s="50" t="str">
        <f>IF(ISNUMBER(H2671),IFERROR(INDEX(Calendrier!$C$2:$C$367,MATCH(H2671,Calendrier!$A$2:$A$367,0)),0),"")</f>
        <v/>
      </c>
      <c r="K2671" s="50" t="str">
        <f t="shared" si="209"/>
        <v/>
      </c>
      <c r="L2671" s="50" t="str">
        <f>IF(D2671="","",IF(COUNTIF(Paramètres!$A$11:$A$40,D2671)&gt;0,1,0))</f>
        <v/>
      </c>
    </row>
    <row r="2672" spans="1:12" hidden="1" x14ac:dyDescent="0.25">
      <c r="A2672" s="49"/>
      <c r="B2672" s="49"/>
      <c r="C2672" s="49"/>
      <c r="D2672" s="50" t="str">
        <f t="shared" si="205"/>
        <v/>
      </c>
      <c r="E2672" s="50" t="str">
        <f t="shared" si="206"/>
        <v/>
      </c>
      <c r="F2672" s="50" t="str">
        <f t="shared" si="207"/>
        <v/>
      </c>
      <c r="G2672" s="50" t="str">
        <f t="shared" si="208"/>
        <v/>
      </c>
      <c r="H2672" s="51" t="str">
        <f>IF($C2672="","",IFERROR(DATE(G2672,VLOOKUP(E2672,Paramètres!$K$11:$L$40,2,FALSE()),F2672),"?"))</f>
        <v/>
      </c>
      <c r="I2672" s="50" t="str">
        <f>IF(ISNUMBER(H2672),IF(COUNTIFS($D$2:D2672,D2672,$H$2:H2672,H2672)=1,1,0),"")</f>
        <v/>
      </c>
      <c r="J2672" s="50" t="str">
        <f>IF(ISNUMBER(H2672),IFERROR(INDEX(Calendrier!$C$2:$C$367,MATCH(H2672,Calendrier!$A$2:$A$367,0)),0),"")</f>
        <v/>
      </c>
      <c r="K2672" s="50" t="str">
        <f t="shared" si="209"/>
        <v/>
      </c>
      <c r="L2672" s="50" t="str">
        <f>IF(D2672="","",IF(COUNTIF(Paramètres!$A$11:$A$40,D2672)&gt;0,1,0))</f>
        <v/>
      </c>
    </row>
    <row r="2673" spans="1:12" hidden="1" x14ac:dyDescent="0.25">
      <c r="A2673" s="49"/>
      <c r="B2673" s="49"/>
      <c r="C2673" s="49"/>
      <c r="D2673" s="50" t="str">
        <f t="shared" si="205"/>
        <v/>
      </c>
      <c r="E2673" s="50" t="str">
        <f t="shared" si="206"/>
        <v/>
      </c>
      <c r="F2673" s="50" t="str">
        <f t="shared" si="207"/>
        <v/>
      </c>
      <c r="G2673" s="50" t="str">
        <f t="shared" si="208"/>
        <v/>
      </c>
      <c r="H2673" s="51" t="str">
        <f>IF($C2673="","",IFERROR(DATE(G2673,VLOOKUP(E2673,Paramètres!$K$11:$L$40,2,FALSE()),F2673),"?"))</f>
        <v/>
      </c>
      <c r="I2673" s="50" t="str">
        <f>IF(ISNUMBER(H2673),IF(COUNTIFS($D$2:D2673,D2673,$H$2:H2673,H2673)=1,1,0),"")</f>
        <v/>
      </c>
      <c r="J2673" s="50" t="str">
        <f>IF(ISNUMBER(H2673),IFERROR(INDEX(Calendrier!$C$2:$C$367,MATCH(H2673,Calendrier!$A$2:$A$367,0)),0),"")</f>
        <v/>
      </c>
      <c r="K2673" s="50" t="str">
        <f t="shared" si="209"/>
        <v/>
      </c>
      <c r="L2673" s="50" t="str">
        <f>IF(D2673="","",IF(COUNTIF(Paramètres!$A$11:$A$40,D2673)&gt;0,1,0))</f>
        <v/>
      </c>
    </row>
    <row r="2674" spans="1:12" hidden="1" x14ac:dyDescent="0.25">
      <c r="A2674" s="49"/>
      <c r="B2674" s="49"/>
      <c r="C2674" s="49"/>
      <c r="D2674" s="50" t="str">
        <f t="shared" si="205"/>
        <v/>
      </c>
      <c r="E2674" s="50" t="str">
        <f t="shared" si="206"/>
        <v/>
      </c>
      <c r="F2674" s="50" t="str">
        <f t="shared" si="207"/>
        <v/>
      </c>
      <c r="G2674" s="50" t="str">
        <f t="shared" si="208"/>
        <v/>
      </c>
      <c r="H2674" s="51" t="str">
        <f>IF($C2674="","",IFERROR(DATE(G2674,VLOOKUP(E2674,Paramètres!$K$11:$L$40,2,FALSE()),F2674),"?"))</f>
        <v/>
      </c>
      <c r="I2674" s="50" t="str">
        <f>IF(ISNUMBER(H2674),IF(COUNTIFS($D$2:D2674,D2674,$H$2:H2674,H2674)=1,1,0),"")</f>
        <v/>
      </c>
      <c r="J2674" s="50" t="str">
        <f>IF(ISNUMBER(H2674),IFERROR(INDEX(Calendrier!$C$2:$C$367,MATCH(H2674,Calendrier!$A$2:$A$367,0)),0),"")</f>
        <v/>
      </c>
      <c r="K2674" s="50" t="str">
        <f t="shared" si="209"/>
        <v/>
      </c>
      <c r="L2674" s="50" t="str">
        <f>IF(D2674="","",IF(COUNTIF(Paramètres!$A$11:$A$40,D2674)&gt;0,1,0))</f>
        <v/>
      </c>
    </row>
    <row r="2675" spans="1:12" hidden="1" x14ac:dyDescent="0.25">
      <c r="A2675" s="49"/>
      <c r="B2675" s="49"/>
      <c r="C2675" s="49"/>
      <c r="D2675" s="50" t="str">
        <f t="shared" si="205"/>
        <v/>
      </c>
      <c r="E2675" s="50" t="str">
        <f t="shared" si="206"/>
        <v/>
      </c>
      <c r="F2675" s="50" t="str">
        <f t="shared" si="207"/>
        <v/>
      </c>
      <c r="G2675" s="50" t="str">
        <f t="shared" si="208"/>
        <v/>
      </c>
      <c r="H2675" s="51" t="str">
        <f>IF($C2675="","",IFERROR(DATE(G2675,VLOOKUP(E2675,Paramètres!$K$11:$L$40,2,FALSE()),F2675),"?"))</f>
        <v/>
      </c>
      <c r="I2675" s="50" t="str">
        <f>IF(ISNUMBER(H2675),IF(COUNTIFS($D$2:D2675,D2675,$H$2:H2675,H2675)=1,1,0),"")</f>
        <v/>
      </c>
      <c r="J2675" s="50" t="str">
        <f>IF(ISNUMBER(H2675),IFERROR(INDEX(Calendrier!$C$2:$C$367,MATCH(H2675,Calendrier!$A$2:$A$367,0)),0),"")</f>
        <v/>
      </c>
      <c r="K2675" s="50" t="str">
        <f t="shared" si="209"/>
        <v/>
      </c>
      <c r="L2675" s="50" t="str">
        <f>IF(D2675="","",IF(COUNTIF(Paramètres!$A$11:$A$40,D2675)&gt;0,1,0))</f>
        <v/>
      </c>
    </row>
    <row r="2676" spans="1:12" hidden="1" x14ac:dyDescent="0.25">
      <c r="A2676" s="49"/>
      <c r="B2676" s="49"/>
      <c r="C2676" s="49"/>
      <c r="D2676" s="50" t="str">
        <f t="shared" si="205"/>
        <v/>
      </c>
      <c r="E2676" s="50" t="str">
        <f t="shared" si="206"/>
        <v/>
      </c>
      <c r="F2676" s="50" t="str">
        <f t="shared" si="207"/>
        <v/>
      </c>
      <c r="G2676" s="50" t="str">
        <f t="shared" si="208"/>
        <v/>
      </c>
      <c r="H2676" s="51" t="str">
        <f>IF($C2676="","",IFERROR(DATE(G2676,VLOOKUP(E2676,Paramètres!$K$11:$L$40,2,FALSE()),F2676),"?"))</f>
        <v/>
      </c>
      <c r="I2676" s="50" t="str">
        <f>IF(ISNUMBER(H2676),IF(COUNTIFS($D$2:D2676,D2676,$H$2:H2676,H2676)=1,1,0),"")</f>
        <v/>
      </c>
      <c r="J2676" s="50" t="str">
        <f>IF(ISNUMBER(H2676),IFERROR(INDEX(Calendrier!$C$2:$C$367,MATCH(H2676,Calendrier!$A$2:$A$367,0)),0),"")</f>
        <v/>
      </c>
      <c r="K2676" s="50" t="str">
        <f t="shared" si="209"/>
        <v/>
      </c>
      <c r="L2676" s="50" t="str">
        <f>IF(D2676="","",IF(COUNTIF(Paramètres!$A$11:$A$40,D2676)&gt;0,1,0))</f>
        <v/>
      </c>
    </row>
    <row r="2677" spans="1:12" hidden="1" x14ac:dyDescent="0.25">
      <c r="A2677" s="49"/>
      <c r="B2677" s="49"/>
      <c r="C2677" s="49"/>
      <c r="D2677" s="50" t="str">
        <f t="shared" si="205"/>
        <v/>
      </c>
      <c r="E2677" s="50" t="str">
        <f t="shared" si="206"/>
        <v/>
      </c>
      <c r="F2677" s="50" t="str">
        <f t="shared" si="207"/>
        <v/>
      </c>
      <c r="G2677" s="50" t="str">
        <f t="shared" si="208"/>
        <v/>
      </c>
      <c r="H2677" s="51" t="str">
        <f>IF($C2677="","",IFERROR(DATE(G2677,VLOOKUP(E2677,Paramètres!$K$11:$L$40,2,FALSE()),F2677),"?"))</f>
        <v/>
      </c>
      <c r="I2677" s="50" t="str">
        <f>IF(ISNUMBER(H2677),IF(COUNTIFS($D$2:D2677,D2677,$H$2:H2677,H2677)=1,1,0),"")</f>
        <v/>
      </c>
      <c r="J2677" s="50" t="str">
        <f>IF(ISNUMBER(H2677),IFERROR(INDEX(Calendrier!$C$2:$C$367,MATCH(H2677,Calendrier!$A$2:$A$367,0)),0),"")</f>
        <v/>
      </c>
      <c r="K2677" s="50" t="str">
        <f t="shared" si="209"/>
        <v/>
      </c>
      <c r="L2677" s="50" t="str">
        <f>IF(D2677="","",IF(COUNTIF(Paramètres!$A$11:$A$40,D2677)&gt;0,1,0))</f>
        <v/>
      </c>
    </row>
    <row r="2678" spans="1:12" hidden="1" x14ac:dyDescent="0.25">
      <c r="A2678" s="49"/>
      <c r="B2678" s="49"/>
      <c r="C2678" s="49"/>
      <c r="D2678" s="50" t="str">
        <f t="shared" si="205"/>
        <v/>
      </c>
      <c r="E2678" s="50" t="str">
        <f t="shared" si="206"/>
        <v/>
      </c>
      <c r="F2678" s="50" t="str">
        <f t="shared" si="207"/>
        <v/>
      </c>
      <c r="G2678" s="50" t="str">
        <f t="shared" si="208"/>
        <v/>
      </c>
      <c r="H2678" s="51" t="str">
        <f>IF($C2678="","",IFERROR(DATE(G2678,VLOOKUP(E2678,Paramètres!$K$11:$L$40,2,FALSE()),F2678),"?"))</f>
        <v/>
      </c>
      <c r="I2678" s="50" t="str">
        <f>IF(ISNUMBER(H2678),IF(COUNTIFS($D$2:D2678,D2678,$H$2:H2678,H2678)=1,1,0),"")</f>
        <v/>
      </c>
      <c r="J2678" s="50" t="str">
        <f>IF(ISNUMBER(H2678),IFERROR(INDEX(Calendrier!$C$2:$C$367,MATCH(H2678,Calendrier!$A$2:$A$367,0)),0),"")</f>
        <v/>
      </c>
      <c r="K2678" s="50" t="str">
        <f t="shared" si="209"/>
        <v/>
      </c>
      <c r="L2678" s="50" t="str">
        <f>IF(D2678="","",IF(COUNTIF(Paramètres!$A$11:$A$40,D2678)&gt;0,1,0))</f>
        <v/>
      </c>
    </row>
    <row r="2679" spans="1:12" hidden="1" x14ac:dyDescent="0.25">
      <c r="A2679" s="49"/>
      <c r="B2679" s="49"/>
      <c r="C2679" s="49"/>
      <c r="D2679" s="50" t="str">
        <f t="shared" si="205"/>
        <v/>
      </c>
      <c r="E2679" s="50" t="str">
        <f t="shared" si="206"/>
        <v/>
      </c>
      <c r="F2679" s="50" t="str">
        <f t="shared" si="207"/>
        <v/>
      </c>
      <c r="G2679" s="50" t="str">
        <f t="shared" si="208"/>
        <v/>
      </c>
      <c r="H2679" s="51" t="str">
        <f>IF($C2679="","",IFERROR(DATE(G2679,VLOOKUP(E2679,Paramètres!$K$11:$L$40,2,FALSE()),F2679),"?"))</f>
        <v/>
      </c>
      <c r="I2679" s="50" t="str">
        <f>IF(ISNUMBER(H2679),IF(COUNTIFS($D$2:D2679,D2679,$H$2:H2679,H2679)=1,1,0),"")</f>
        <v/>
      </c>
      <c r="J2679" s="50" t="str">
        <f>IF(ISNUMBER(H2679),IFERROR(INDEX(Calendrier!$C$2:$C$367,MATCH(H2679,Calendrier!$A$2:$A$367,0)),0),"")</f>
        <v/>
      </c>
      <c r="K2679" s="50" t="str">
        <f t="shared" si="209"/>
        <v/>
      </c>
      <c r="L2679" s="50" t="str">
        <f>IF(D2679="","",IF(COUNTIF(Paramètres!$A$11:$A$40,D2679)&gt;0,1,0))</f>
        <v/>
      </c>
    </row>
    <row r="2680" spans="1:12" hidden="1" x14ac:dyDescent="0.25">
      <c r="A2680" s="49"/>
      <c r="B2680" s="49"/>
      <c r="C2680" s="49"/>
      <c r="D2680" s="50" t="str">
        <f t="shared" si="205"/>
        <v/>
      </c>
      <c r="E2680" s="50" t="str">
        <f t="shared" si="206"/>
        <v/>
      </c>
      <c r="F2680" s="50" t="str">
        <f t="shared" si="207"/>
        <v/>
      </c>
      <c r="G2680" s="50" t="str">
        <f t="shared" si="208"/>
        <v/>
      </c>
      <c r="H2680" s="51" t="str">
        <f>IF($C2680="","",IFERROR(DATE(G2680,VLOOKUP(E2680,Paramètres!$K$11:$L$40,2,FALSE()),F2680),"?"))</f>
        <v/>
      </c>
      <c r="I2680" s="50" t="str">
        <f>IF(ISNUMBER(H2680),IF(COUNTIFS($D$2:D2680,D2680,$H$2:H2680,H2680)=1,1,0),"")</f>
        <v/>
      </c>
      <c r="J2680" s="50" t="str">
        <f>IF(ISNUMBER(H2680),IFERROR(INDEX(Calendrier!$C$2:$C$367,MATCH(H2680,Calendrier!$A$2:$A$367,0)),0),"")</f>
        <v/>
      </c>
      <c r="K2680" s="50" t="str">
        <f t="shared" si="209"/>
        <v/>
      </c>
      <c r="L2680" s="50" t="str">
        <f>IF(D2680="","",IF(COUNTIF(Paramètres!$A$11:$A$40,D2680)&gt;0,1,0))</f>
        <v/>
      </c>
    </row>
    <row r="2681" spans="1:12" hidden="1" x14ac:dyDescent="0.25">
      <c r="A2681" s="49"/>
      <c r="B2681" s="49"/>
      <c r="C2681" s="49"/>
      <c r="D2681" s="50" t="str">
        <f t="shared" si="205"/>
        <v/>
      </c>
      <c r="E2681" s="50" t="str">
        <f t="shared" si="206"/>
        <v/>
      </c>
      <c r="F2681" s="50" t="str">
        <f t="shared" si="207"/>
        <v/>
      </c>
      <c r="G2681" s="50" t="str">
        <f t="shared" si="208"/>
        <v/>
      </c>
      <c r="H2681" s="51" t="str">
        <f>IF($C2681="","",IFERROR(DATE(G2681,VLOOKUP(E2681,Paramètres!$K$11:$L$40,2,FALSE()),F2681),"?"))</f>
        <v/>
      </c>
      <c r="I2681" s="50" t="str">
        <f>IF(ISNUMBER(H2681),IF(COUNTIFS($D$2:D2681,D2681,$H$2:H2681,H2681)=1,1,0),"")</f>
        <v/>
      </c>
      <c r="J2681" s="50" t="str">
        <f>IF(ISNUMBER(H2681),IFERROR(INDEX(Calendrier!$C$2:$C$367,MATCH(H2681,Calendrier!$A$2:$A$367,0)),0),"")</f>
        <v/>
      </c>
      <c r="K2681" s="50" t="str">
        <f t="shared" si="209"/>
        <v/>
      </c>
      <c r="L2681" s="50" t="str">
        <f>IF(D2681="","",IF(COUNTIF(Paramètres!$A$11:$A$40,D2681)&gt;0,1,0))</f>
        <v/>
      </c>
    </row>
    <row r="2682" spans="1:12" hidden="1" x14ac:dyDescent="0.25">
      <c r="A2682" s="49"/>
      <c r="B2682" s="49"/>
      <c r="C2682" s="49"/>
      <c r="D2682" s="50" t="str">
        <f t="shared" si="205"/>
        <v/>
      </c>
      <c r="E2682" s="50" t="str">
        <f t="shared" si="206"/>
        <v/>
      </c>
      <c r="F2682" s="50" t="str">
        <f t="shared" si="207"/>
        <v/>
      </c>
      <c r="G2682" s="50" t="str">
        <f t="shared" si="208"/>
        <v/>
      </c>
      <c r="H2682" s="51" t="str">
        <f>IF($C2682="","",IFERROR(DATE(G2682,VLOOKUP(E2682,Paramètres!$K$11:$L$40,2,FALSE()),F2682),"?"))</f>
        <v/>
      </c>
      <c r="I2682" s="50" t="str">
        <f>IF(ISNUMBER(H2682),IF(COUNTIFS($D$2:D2682,D2682,$H$2:H2682,H2682)=1,1,0),"")</f>
        <v/>
      </c>
      <c r="J2682" s="50" t="str">
        <f>IF(ISNUMBER(H2682),IFERROR(INDEX(Calendrier!$C$2:$C$367,MATCH(H2682,Calendrier!$A$2:$A$367,0)),0),"")</f>
        <v/>
      </c>
      <c r="K2682" s="50" t="str">
        <f t="shared" si="209"/>
        <v/>
      </c>
      <c r="L2682" s="50" t="str">
        <f>IF(D2682="","",IF(COUNTIF(Paramètres!$A$11:$A$40,D2682)&gt;0,1,0))</f>
        <v/>
      </c>
    </row>
    <row r="2683" spans="1:12" hidden="1" x14ac:dyDescent="0.25">
      <c r="A2683" s="49"/>
      <c r="B2683" s="49"/>
      <c r="C2683" s="49"/>
      <c r="D2683" s="50" t="str">
        <f t="shared" si="205"/>
        <v/>
      </c>
      <c r="E2683" s="50" t="str">
        <f t="shared" si="206"/>
        <v/>
      </c>
      <c r="F2683" s="50" t="str">
        <f t="shared" si="207"/>
        <v/>
      </c>
      <c r="G2683" s="50" t="str">
        <f t="shared" si="208"/>
        <v/>
      </c>
      <c r="H2683" s="51" t="str">
        <f>IF($C2683="","",IFERROR(DATE(G2683,VLOOKUP(E2683,Paramètres!$K$11:$L$40,2,FALSE()),F2683),"?"))</f>
        <v/>
      </c>
      <c r="I2683" s="50" t="str">
        <f>IF(ISNUMBER(H2683),IF(COUNTIFS($D$2:D2683,D2683,$H$2:H2683,H2683)=1,1,0),"")</f>
        <v/>
      </c>
      <c r="J2683" s="50" t="str">
        <f>IF(ISNUMBER(H2683),IFERROR(INDEX(Calendrier!$C$2:$C$367,MATCH(H2683,Calendrier!$A$2:$A$367,0)),0),"")</f>
        <v/>
      </c>
      <c r="K2683" s="50" t="str">
        <f t="shared" si="209"/>
        <v/>
      </c>
      <c r="L2683" s="50" t="str">
        <f>IF(D2683="","",IF(COUNTIF(Paramètres!$A$11:$A$40,D2683)&gt;0,1,0))</f>
        <v/>
      </c>
    </row>
    <row r="2684" spans="1:12" hidden="1" x14ac:dyDescent="0.25">
      <c r="A2684" s="49"/>
      <c r="B2684" s="49"/>
      <c r="C2684" s="49"/>
      <c r="D2684" s="50" t="str">
        <f t="shared" si="205"/>
        <v/>
      </c>
      <c r="E2684" s="50" t="str">
        <f t="shared" si="206"/>
        <v/>
      </c>
      <c r="F2684" s="50" t="str">
        <f t="shared" si="207"/>
        <v/>
      </c>
      <c r="G2684" s="50" t="str">
        <f t="shared" si="208"/>
        <v/>
      </c>
      <c r="H2684" s="51" t="str">
        <f>IF($C2684="","",IFERROR(DATE(G2684,VLOOKUP(E2684,Paramètres!$K$11:$L$40,2,FALSE()),F2684),"?"))</f>
        <v/>
      </c>
      <c r="I2684" s="50" t="str">
        <f>IF(ISNUMBER(H2684),IF(COUNTIFS($D$2:D2684,D2684,$H$2:H2684,H2684)=1,1,0),"")</f>
        <v/>
      </c>
      <c r="J2684" s="50" t="str">
        <f>IF(ISNUMBER(H2684),IFERROR(INDEX(Calendrier!$C$2:$C$367,MATCH(H2684,Calendrier!$A$2:$A$367,0)),0),"")</f>
        <v/>
      </c>
      <c r="K2684" s="50" t="str">
        <f t="shared" si="209"/>
        <v/>
      </c>
      <c r="L2684" s="50" t="str">
        <f>IF(D2684="","",IF(COUNTIF(Paramètres!$A$11:$A$40,D2684)&gt;0,1,0))</f>
        <v/>
      </c>
    </row>
    <row r="2685" spans="1:12" hidden="1" x14ac:dyDescent="0.25">
      <c r="A2685" s="49"/>
      <c r="B2685" s="49"/>
      <c r="C2685" s="49"/>
      <c r="D2685" s="50" t="str">
        <f t="shared" si="205"/>
        <v/>
      </c>
      <c r="E2685" s="50" t="str">
        <f t="shared" si="206"/>
        <v/>
      </c>
      <c r="F2685" s="50" t="str">
        <f t="shared" si="207"/>
        <v/>
      </c>
      <c r="G2685" s="50" t="str">
        <f t="shared" si="208"/>
        <v/>
      </c>
      <c r="H2685" s="51" t="str">
        <f>IF($C2685="","",IFERROR(DATE(G2685,VLOOKUP(E2685,Paramètres!$K$11:$L$40,2,FALSE()),F2685),"?"))</f>
        <v/>
      </c>
      <c r="I2685" s="50" t="str">
        <f>IF(ISNUMBER(H2685),IF(COUNTIFS($D$2:D2685,D2685,$H$2:H2685,H2685)=1,1,0),"")</f>
        <v/>
      </c>
      <c r="J2685" s="50" t="str">
        <f>IF(ISNUMBER(H2685),IFERROR(INDEX(Calendrier!$C$2:$C$367,MATCH(H2685,Calendrier!$A$2:$A$367,0)),0),"")</f>
        <v/>
      </c>
      <c r="K2685" s="50" t="str">
        <f t="shared" si="209"/>
        <v/>
      </c>
      <c r="L2685" s="50" t="str">
        <f>IF(D2685="","",IF(COUNTIF(Paramètres!$A$11:$A$40,D2685)&gt;0,1,0))</f>
        <v/>
      </c>
    </row>
    <row r="2686" spans="1:12" hidden="1" x14ac:dyDescent="0.25">
      <c r="A2686" s="49"/>
      <c r="B2686" s="49"/>
      <c r="C2686" s="49"/>
      <c r="D2686" s="50" t="str">
        <f t="shared" si="205"/>
        <v/>
      </c>
      <c r="E2686" s="50" t="str">
        <f t="shared" si="206"/>
        <v/>
      </c>
      <c r="F2686" s="50" t="str">
        <f t="shared" si="207"/>
        <v/>
      </c>
      <c r="G2686" s="50" t="str">
        <f t="shared" si="208"/>
        <v/>
      </c>
      <c r="H2686" s="51" t="str">
        <f>IF($C2686="","",IFERROR(DATE(G2686,VLOOKUP(E2686,Paramètres!$K$11:$L$40,2,FALSE()),F2686),"?"))</f>
        <v/>
      </c>
      <c r="I2686" s="50" t="str">
        <f>IF(ISNUMBER(H2686),IF(COUNTIFS($D$2:D2686,D2686,$H$2:H2686,H2686)=1,1,0),"")</f>
        <v/>
      </c>
      <c r="J2686" s="50" t="str">
        <f>IF(ISNUMBER(H2686),IFERROR(INDEX(Calendrier!$C$2:$C$367,MATCH(H2686,Calendrier!$A$2:$A$367,0)),0),"")</f>
        <v/>
      </c>
      <c r="K2686" s="50" t="str">
        <f t="shared" si="209"/>
        <v/>
      </c>
      <c r="L2686" s="50" t="str">
        <f>IF(D2686="","",IF(COUNTIF(Paramètres!$A$11:$A$40,D2686)&gt;0,1,0))</f>
        <v/>
      </c>
    </row>
    <row r="2687" spans="1:12" hidden="1" x14ac:dyDescent="0.25">
      <c r="A2687" s="49"/>
      <c r="B2687" s="49"/>
      <c r="C2687" s="49"/>
      <c r="D2687" s="50" t="str">
        <f t="shared" si="205"/>
        <v/>
      </c>
      <c r="E2687" s="50" t="str">
        <f t="shared" si="206"/>
        <v/>
      </c>
      <c r="F2687" s="50" t="str">
        <f t="shared" si="207"/>
        <v/>
      </c>
      <c r="G2687" s="50" t="str">
        <f t="shared" si="208"/>
        <v/>
      </c>
      <c r="H2687" s="51" t="str">
        <f>IF($C2687="","",IFERROR(DATE(G2687,VLOOKUP(E2687,Paramètres!$K$11:$L$40,2,FALSE()),F2687),"?"))</f>
        <v/>
      </c>
      <c r="I2687" s="50" t="str">
        <f>IF(ISNUMBER(H2687),IF(COUNTIFS($D$2:D2687,D2687,$H$2:H2687,H2687)=1,1,0),"")</f>
        <v/>
      </c>
      <c r="J2687" s="50" t="str">
        <f>IF(ISNUMBER(H2687),IFERROR(INDEX(Calendrier!$C$2:$C$367,MATCH(H2687,Calendrier!$A$2:$A$367,0)),0),"")</f>
        <v/>
      </c>
      <c r="K2687" s="50" t="str">
        <f t="shared" si="209"/>
        <v/>
      </c>
      <c r="L2687" s="50" t="str">
        <f>IF(D2687="","",IF(COUNTIF(Paramètres!$A$11:$A$40,D2687)&gt;0,1,0))</f>
        <v/>
      </c>
    </row>
    <row r="2688" spans="1:12" hidden="1" x14ac:dyDescent="0.25">
      <c r="A2688" s="49"/>
      <c r="B2688" s="49"/>
      <c r="C2688" s="49"/>
      <c r="D2688" s="50" t="str">
        <f t="shared" si="205"/>
        <v/>
      </c>
      <c r="E2688" s="50" t="str">
        <f t="shared" si="206"/>
        <v/>
      </c>
      <c r="F2688" s="50" t="str">
        <f t="shared" si="207"/>
        <v/>
      </c>
      <c r="G2688" s="50" t="str">
        <f t="shared" si="208"/>
        <v/>
      </c>
      <c r="H2688" s="51" t="str">
        <f>IF($C2688="","",IFERROR(DATE(G2688,VLOOKUP(E2688,Paramètres!$K$11:$L$40,2,FALSE()),F2688),"?"))</f>
        <v/>
      </c>
      <c r="I2688" s="50" t="str">
        <f>IF(ISNUMBER(H2688),IF(COUNTIFS($D$2:D2688,D2688,$H$2:H2688,H2688)=1,1,0),"")</f>
        <v/>
      </c>
      <c r="J2688" s="50" t="str">
        <f>IF(ISNUMBER(H2688),IFERROR(INDEX(Calendrier!$C$2:$C$367,MATCH(H2688,Calendrier!$A$2:$A$367,0)),0),"")</f>
        <v/>
      </c>
      <c r="K2688" s="50" t="str">
        <f t="shared" si="209"/>
        <v/>
      </c>
      <c r="L2688" s="50" t="str">
        <f>IF(D2688="","",IF(COUNTIF(Paramètres!$A$11:$A$40,D2688)&gt;0,1,0))</f>
        <v/>
      </c>
    </row>
    <row r="2689" spans="1:12" hidden="1" x14ac:dyDescent="0.25">
      <c r="A2689" s="49"/>
      <c r="B2689" s="49"/>
      <c r="C2689" s="49"/>
      <c r="D2689" s="50" t="str">
        <f t="shared" si="205"/>
        <v/>
      </c>
      <c r="E2689" s="50" t="str">
        <f t="shared" si="206"/>
        <v/>
      </c>
      <c r="F2689" s="50" t="str">
        <f t="shared" si="207"/>
        <v/>
      </c>
      <c r="G2689" s="50" t="str">
        <f t="shared" si="208"/>
        <v/>
      </c>
      <c r="H2689" s="51" t="str">
        <f>IF($C2689="","",IFERROR(DATE(G2689,VLOOKUP(E2689,Paramètres!$K$11:$L$40,2,FALSE()),F2689),"?"))</f>
        <v/>
      </c>
      <c r="I2689" s="50" t="str">
        <f>IF(ISNUMBER(H2689),IF(COUNTIFS($D$2:D2689,D2689,$H$2:H2689,H2689)=1,1,0),"")</f>
        <v/>
      </c>
      <c r="J2689" s="50" t="str">
        <f>IF(ISNUMBER(H2689),IFERROR(INDEX(Calendrier!$C$2:$C$367,MATCH(H2689,Calendrier!$A$2:$A$367,0)),0),"")</f>
        <v/>
      </c>
      <c r="K2689" s="50" t="str">
        <f t="shared" si="209"/>
        <v/>
      </c>
      <c r="L2689" s="50" t="str">
        <f>IF(D2689="","",IF(COUNTIF(Paramètres!$A$11:$A$40,D2689)&gt;0,1,0))</f>
        <v/>
      </c>
    </row>
    <row r="2690" spans="1:12" hidden="1" x14ac:dyDescent="0.25">
      <c r="A2690" s="49"/>
      <c r="B2690" s="49"/>
      <c r="C2690" s="49"/>
      <c r="D2690" s="50" t="str">
        <f t="shared" ref="D2690:D2753" si="210">IF(B2690="","",TRIM(B2690))</f>
        <v/>
      </c>
      <c r="E2690" s="50" t="str">
        <f t="shared" ref="E2690:E2753" si="211">IF($C2690="","",LEFT($C2690,FIND(" ",$C2690)-1))</f>
        <v/>
      </c>
      <c r="F2690" s="50" t="str">
        <f t="shared" ref="F2690:F2753" si="212">IF($C2690="","",IFERROR(VALUE(LEFT(MID($C2690,FIND(" ",$C2690)+1,20),FIND(" ",MID($C2690,FIND(" ",$C2690)+1,20))-1)),"?"))</f>
        <v/>
      </c>
      <c r="G2690" s="50" t="str">
        <f t="shared" ref="G2690:G2753" si="213">IF($C2690="","",IFERROR(VALUE(MID(MID($C2690,FIND(" ",$C2690)+1,20),FIND(" ",MID($C2690,FIND(" ",$C2690)+1,20))+1,4)),"?"))</f>
        <v/>
      </c>
      <c r="H2690" s="51" t="str">
        <f>IF($C2690="","",IFERROR(DATE(G2690,VLOOKUP(E2690,Paramètres!$K$11:$L$40,2,FALSE()),F2690),"?"))</f>
        <v/>
      </c>
      <c r="I2690" s="50" t="str">
        <f>IF(ISNUMBER(H2690),IF(COUNTIFS($D$2:D2690,D2690,$H$2:H2690,H2690)=1,1,0),"")</f>
        <v/>
      </c>
      <c r="J2690" s="50" t="str">
        <f>IF(ISNUMBER(H2690),IFERROR(INDEX(Calendrier!$C$2:$C$367,MATCH(H2690,Calendrier!$A$2:$A$367,0)),0),"")</f>
        <v/>
      </c>
      <c r="K2690" s="50" t="str">
        <f t="shared" ref="K2690:K2753" si="214">IF(ISNUMBER(H2690),I2690*J2690,"")</f>
        <v/>
      </c>
      <c r="L2690" s="50" t="str">
        <f>IF(D2690="","",IF(COUNTIF(Paramètres!$A$11:$A$40,D2690)&gt;0,1,0))</f>
        <v/>
      </c>
    </row>
    <row r="2691" spans="1:12" hidden="1" x14ac:dyDescent="0.25">
      <c r="A2691" s="49"/>
      <c r="B2691" s="49"/>
      <c r="C2691" s="49"/>
      <c r="D2691" s="50" t="str">
        <f t="shared" si="210"/>
        <v/>
      </c>
      <c r="E2691" s="50" t="str">
        <f t="shared" si="211"/>
        <v/>
      </c>
      <c r="F2691" s="50" t="str">
        <f t="shared" si="212"/>
        <v/>
      </c>
      <c r="G2691" s="50" t="str">
        <f t="shared" si="213"/>
        <v/>
      </c>
      <c r="H2691" s="51" t="str">
        <f>IF($C2691="","",IFERROR(DATE(G2691,VLOOKUP(E2691,Paramètres!$K$11:$L$40,2,FALSE()),F2691),"?"))</f>
        <v/>
      </c>
      <c r="I2691" s="50" t="str">
        <f>IF(ISNUMBER(H2691),IF(COUNTIFS($D$2:D2691,D2691,$H$2:H2691,H2691)=1,1,0),"")</f>
        <v/>
      </c>
      <c r="J2691" s="50" t="str">
        <f>IF(ISNUMBER(H2691),IFERROR(INDEX(Calendrier!$C$2:$C$367,MATCH(H2691,Calendrier!$A$2:$A$367,0)),0),"")</f>
        <v/>
      </c>
      <c r="K2691" s="50" t="str">
        <f t="shared" si="214"/>
        <v/>
      </c>
      <c r="L2691" s="50" t="str">
        <f>IF(D2691="","",IF(COUNTIF(Paramètres!$A$11:$A$40,D2691)&gt;0,1,0))</f>
        <v/>
      </c>
    </row>
    <row r="2692" spans="1:12" hidden="1" x14ac:dyDescent="0.25">
      <c r="A2692" s="49"/>
      <c r="B2692" s="49"/>
      <c r="C2692" s="49"/>
      <c r="D2692" s="50" t="str">
        <f t="shared" si="210"/>
        <v/>
      </c>
      <c r="E2692" s="50" t="str">
        <f t="shared" si="211"/>
        <v/>
      </c>
      <c r="F2692" s="50" t="str">
        <f t="shared" si="212"/>
        <v/>
      </c>
      <c r="G2692" s="50" t="str">
        <f t="shared" si="213"/>
        <v/>
      </c>
      <c r="H2692" s="51" t="str">
        <f>IF($C2692="","",IFERROR(DATE(G2692,VLOOKUP(E2692,Paramètres!$K$11:$L$40,2,FALSE()),F2692),"?"))</f>
        <v/>
      </c>
      <c r="I2692" s="50" t="str">
        <f>IF(ISNUMBER(H2692),IF(COUNTIFS($D$2:D2692,D2692,$H$2:H2692,H2692)=1,1,0),"")</f>
        <v/>
      </c>
      <c r="J2692" s="50" t="str">
        <f>IF(ISNUMBER(H2692),IFERROR(INDEX(Calendrier!$C$2:$C$367,MATCH(H2692,Calendrier!$A$2:$A$367,0)),0),"")</f>
        <v/>
      </c>
      <c r="K2692" s="50" t="str">
        <f t="shared" si="214"/>
        <v/>
      </c>
      <c r="L2692" s="50" t="str">
        <f>IF(D2692="","",IF(COUNTIF(Paramètres!$A$11:$A$40,D2692)&gt;0,1,0))</f>
        <v/>
      </c>
    </row>
    <row r="2693" spans="1:12" hidden="1" x14ac:dyDescent="0.25">
      <c r="A2693" s="49"/>
      <c r="B2693" s="49"/>
      <c r="C2693" s="49"/>
      <c r="D2693" s="50" t="str">
        <f t="shared" si="210"/>
        <v/>
      </c>
      <c r="E2693" s="50" t="str">
        <f t="shared" si="211"/>
        <v/>
      </c>
      <c r="F2693" s="50" t="str">
        <f t="shared" si="212"/>
        <v/>
      </c>
      <c r="G2693" s="50" t="str">
        <f t="shared" si="213"/>
        <v/>
      </c>
      <c r="H2693" s="51" t="str">
        <f>IF($C2693="","",IFERROR(DATE(G2693,VLOOKUP(E2693,Paramètres!$K$11:$L$40,2,FALSE()),F2693),"?"))</f>
        <v/>
      </c>
      <c r="I2693" s="50" t="str">
        <f>IF(ISNUMBER(H2693),IF(COUNTIFS($D$2:D2693,D2693,$H$2:H2693,H2693)=1,1,0),"")</f>
        <v/>
      </c>
      <c r="J2693" s="50" t="str">
        <f>IF(ISNUMBER(H2693),IFERROR(INDEX(Calendrier!$C$2:$C$367,MATCH(H2693,Calendrier!$A$2:$A$367,0)),0),"")</f>
        <v/>
      </c>
      <c r="K2693" s="50" t="str">
        <f t="shared" si="214"/>
        <v/>
      </c>
      <c r="L2693" s="50" t="str">
        <f>IF(D2693="","",IF(COUNTIF(Paramètres!$A$11:$A$40,D2693)&gt;0,1,0))</f>
        <v/>
      </c>
    </row>
    <row r="2694" spans="1:12" hidden="1" x14ac:dyDescent="0.25">
      <c r="A2694" s="49"/>
      <c r="B2694" s="49"/>
      <c r="C2694" s="49"/>
      <c r="D2694" s="50" t="str">
        <f t="shared" si="210"/>
        <v/>
      </c>
      <c r="E2694" s="50" t="str">
        <f t="shared" si="211"/>
        <v/>
      </c>
      <c r="F2694" s="50" t="str">
        <f t="shared" si="212"/>
        <v/>
      </c>
      <c r="G2694" s="50" t="str">
        <f t="shared" si="213"/>
        <v/>
      </c>
      <c r="H2694" s="51" t="str">
        <f>IF($C2694="","",IFERROR(DATE(G2694,VLOOKUP(E2694,Paramètres!$K$11:$L$40,2,FALSE()),F2694),"?"))</f>
        <v/>
      </c>
      <c r="I2694" s="50" t="str">
        <f>IF(ISNUMBER(H2694),IF(COUNTIFS($D$2:D2694,D2694,$H$2:H2694,H2694)=1,1,0),"")</f>
        <v/>
      </c>
      <c r="J2694" s="50" t="str">
        <f>IF(ISNUMBER(H2694),IFERROR(INDEX(Calendrier!$C$2:$C$367,MATCH(H2694,Calendrier!$A$2:$A$367,0)),0),"")</f>
        <v/>
      </c>
      <c r="K2694" s="50" t="str">
        <f t="shared" si="214"/>
        <v/>
      </c>
      <c r="L2694" s="50" t="str">
        <f>IF(D2694="","",IF(COUNTIF(Paramètres!$A$11:$A$40,D2694)&gt;0,1,0))</f>
        <v/>
      </c>
    </row>
    <row r="2695" spans="1:12" hidden="1" x14ac:dyDescent="0.25">
      <c r="A2695" s="49"/>
      <c r="B2695" s="49"/>
      <c r="C2695" s="49"/>
      <c r="D2695" s="50" t="str">
        <f t="shared" si="210"/>
        <v/>
      </c>
      <c r="E2695" s="50" t="str">
        <f t="shared" si="211"/>
        <v/>
      </c>
      <c r="F2695" s="50" t="str">
        <f t="shared" si="212"/>
        <v/>
      </c>
      <c r="G2695" s="50" t="str">
        <f t="shared" si="213"/>
        <v/>
      </c>
      <c r="H2695" s="51" t="str">
        <f>IF($C2695="","",IFERROR(DATE(G2695,VLOOKUP(E2695,Paramètres!$K$11:$L$40,2,FALSE()),F2695),"?"))</f>
        <v/>
      </c>
      <c r="I2695" s="50" t="str">
        <f>IF(ISNUMBER(H2695),IF(COUNTIFS($D$2:D2695,D2695,$H$2:H2695,H2695)=1,1,0),"")</f>
        <v/>
      </c>
      <c r="J2695" s="50" t="str">
        <f>IF(ISNUMBER(H2695),IFERROR(INDEX(Calendrier!$C$2:$C$367,MATCH(H2695,Calendrier!$A$2:$A$367,0)),0),"")</f>
        <v/>
      </c>
      <c r="K2695" s="50" t="str">
        <f t="shared" si="214"/>
        <v/>
      </c>
      <c r="L2695" s="50" t="str">
        <f>IF(D2695="","",IF(COUNTIF(Paramètres!$A$11:$A$40,D2695)&gt;0,1,0))</f>
        <v/>
      </c>
    </row>
    <row r="2696" spans="1:12" hidden="1" x14ac:dyDescent="0.25">
      <c r="A2696" s="49"/>
      <c r="B2696" s="49"/>
      <c r="C2696" s="49"/>
      <c r="D2696" s="50" t="str">
        <f t="shared" si="210"/>
        <v/>
      </c>
      <c r="E2696" s="50" t="str">
        <f t="shared" si="211"/>
        <v/>
      </c>
      <c r="F2696" s="50" t="str">
        <f t="shared" si="212"/>
        <v/>
      </c>
      <c r="G2696" s="50" t="str">
        <f t="shared" si="213"/>
        <v/>
      </c>
      <c r="H2696" s="51" t="str">
        <f>IF($C2696="","",IFERROR(DATE(G2696,VLOOKUP(E2696,Paramètres!$K$11:$L$40,2,FALSE()),F2696),"?"))</f>
        <v/>
      </c>
      <c r="I2696" s="50" t="str">
        <f>IF(ISNUMBER(H2696),IF(COUNTIFS($D$2:D2696,D2696,$H$2:H2696,H2696)=1,1,0),"")</f>
        <v/>
      </c>
      <c r="J2696" s="50" t="str">
        <f>IF(ISNUMBER(H2696),IFERROR(INDEX(Calendrier!$C$2:$C$367,MATCH(H2696,Calendrier!$A$2:$A$367,0)),0),"")</f>
        <v/>
      </c>
      <c r="K2696" s="50" t="str">
        <f t="shared" si="214"/>
        <v/>
      </c>
      <c r="L2696" s="50" t="str">
        <f>IF(D2696="","",IF(COUNTIF(Paramètres!$A$11:$A$40,D2696)&gt;0,1,0))</f>
        <v/>
      </c>
    </row>
    <row r="2697" spans="1:12" hidden="1" x14ac:dyDescent="0.25">
      <c r="A2697" s="49"/>
      <c r="B2697" s="49"/>
      <c r="C2697" s="49"/>
      <c r="D2697" s="50" t="str">
        <f t="shared" si="210"/>
        <v/>
      </c>
      <c r="E2697" s="50" t="str">
        <f t="shared" si="211"/>
        <v/>
      </c>
      <c r="F2697" s="50" t="str">
        <f t="shared" si="212"/>
        <v/>
      </c>
      <c r="G2697" s="50" t="str">
        <f t="shared" si="213"/>
        <v/>
      </c>
      <c r="H2697" s="51" t="str">
        <f>IF($C2697="","",IFERROR(DATE(G2697,VLOOKUP(E2697,Paramètres!$K$11:$L$40,2,FALSE()),F2697),"?"))</f>
        <v/>
      </c>
      <c r="I2697" s="50" t="str">
        <f>IF(ISNUMBER(H2697),IF(COUNTIFS($D$2:D2697,D2697,$H$2:H2697,H2697)=1,1,0),"")</f>
        <v/>
      </c>
      <c r="J2697" s="50" t="str">
        <f>IF(ISNUMBER(H2697),IFERROR(INDEX(Calendrier!$C$2:$C$367,MATCH(H2697,Calendrier!$A$2:$A$367,0)),0),"")</f>
        <v/>
      </c>
      <c r="K2697" s="50" t="str">
        <f t="shared" si="214"/>
        <v/>
      </c>
      <c r="L2697" s="50" t="str">
        <f>IF(D2697="","",IF(COUNTIF(Paramètres!$A$11:$A$40,D2697)&gt;0,1,0))</f>
        <v/>
      </c>
    </row>
    <row r="2698" spans="1:12" hidden="1" x14ac:dyDescent="0.25">
      <c r="A2698" s="49"/>
      <c r="B2698" s="49"/>
      <c r="C2698" s="49"/>
      <c r="D2698" s="50" t="str">
        <f t="shared" si="210"/>
        <v/>
      </c>
      <c r="E2698" s="50" t="str">
        <f t="shared" si="211"/>
        <v/>
      </c>
      <c r="F2698" s="50" t="str">
        <f t="shared" si="212"/>
        <v/>
      </c>
      <c r="G2698" s="50" t="str">
        <f t="shared" si="213"/>
        <v/>
      </c>
      <c r="H2698" s="51" t="str">
        <f>IF($C2698="","",IFERROR(DATE(G2698,VLOOKUP(E2698,Paramètres!$K$11:$L$40,2,FALSE()),F2698),"?"))</f>
        <v/>
      </c>
      <c r="I2698" s="50" t="str">
        <f>IF(ISNUMBER(H2698),IF(COUNTIFS($D$2:D2698,D2698,$H$2:H2698,H2698)=1,1,0),"")</f>
        <v/>
      </c>
      <c r="J2698" s="50" t="str">
        <f>IF(ISNUMBER(H2698),IFERROR(INDEX(Calendrier!$C$2:$C$367,MATCH(H2698,Calendrier!$A$2:$A$367,0)),0),"")</f>
        <v/>
      </c>
      <c r="K2698" s="50" t="str">
        <f t="shared" si="214"/>
        <v/>
      </c>
      <c r="L2698" s="50" t="str">
        <f>IF(D2698="","",IF(COUNTIF(Paramètres!$A$11:$A$40,D2698)&gt;0,1,0))</f>
        <v/>
      </c>
    </row>
    <row r="2699" spans="1:12" hidden="1" x14ac:dyDescent="0.25">
      <c r="A2699" s="49"/>
      <c r="B2699" s="49"/>
      <c r="C2699" s="49"/>
      <c r="D2699" s="50" t="str">
        <f t="shared" si="210"/>
        <v/>
      </c>
      <c r="E2699" s="50" t="str">
        <f t="shared" si="211"/>
        <v/>
      </c>
      <c r="F2699" s="50" t="str">
        <f t="shared" si="212"/>
        <v/>
      </c>
      <c r="G2699" s="50" t="str">
        <f t="shared" si="213"/>
        <v/>
      </c>
      <c r="H2699" s="51" t="str">
        <f>IF($C2699="","",IFERROR(DATE(G2699,VLOOKUP(E2699,Paramètres!$K$11:$L$40,2,FALSE()),F2699),"?"))</f>
        <v/>
      </c>
      <c r="I2699" s="50" t="str">
        <f>IF(ISNUMBER(H2699),IF(COUNTIFS($D$2:D2699,D2699,$H$2:H2699,H2699)=1,1,0),"")</f>
        <v/>
      </c>
      <c r="J2699" s="50" t="str">
        <f>IF(ISNUMBER(H2699),IFERROR(INDEX(Calendrier!$C$2:$C$367,MATCH(H2699,Calendrier!$A$2:$A$367,0)),0),"")</f>
        <v/>
      </c>
      <c r="K2699" s="50" t="str">
        <f t="shared" si="214"/>
        <v/>
      </c>
      <c r="L2699" s="50" t="str">
        <f>IF(D2699="","",IF(COUNTIF(Paramètres!$A$11:$A$40,D2699)&gt;0,1,0))</f>
        <v/>
      </c>
    </row>
    <row r="2700" spans="1:12" hidden="1" x14ac:dyDescent="0.25">
      <c r="A2700" s="49"/>
      <c r="B2700" s="49"/>
      <c r="C2700" s="49"/>
      <c r="D2700" s="50" t="str">
        <f t="shared" si="210"/>
        <v/>
      </c>
      <c r="E2700" s="50" t="str">
        <f t="shared" si="211"/>
        <v/>
      </c>
      <c r="F2700" s="50" t="str">
        <f t="shared" si="212"/>
        <v/>
      </c>
      <c r="G2700" s="50" t="str">
        <f t="shared" si="213"/>
        <v/>
      </c>
      <c r="H2700" s="51" t="str">
        <f>IF($C2700="","",IFERROR(DATE(G2700,VLOOKUP(E2700,Paramètres!$K$11:$L$40,2,FALSE()),F2700),"?"))</f>
        <v/>
      </c>
      <c r="I2700" s="50" t="str">
        <f>IF(ISNUMBER(H2700),IF(COUNTIFS($D$2:D2700,D2700,$H$2:H2700,H2700)=1,1,0),"")</f>
        <v/>
      </c>
      <c r="J2700" s="50" t="str">
        <f>IF(ISNUMBER(H2700),IFERROR(INDEX(Calendrier!$C$2:$C$367,MATCH(H2700,Calendrier!$A$2:$A$367,0)),0),"")</f>
        <v/>
      </c>
      <c r="K2700" s="50" t="str">
        <f t="shared" si="214"/>
        <v/>
      </c>
      <c r="L2700" s="50" t="str">
        <f>IF(D2700="","",IF(COUNTIF(Paramètres!$A$11:$A$40,D2700)&gt;0,1,0))</f>
        <v/>
      </c>
    </row>
    <row r="2701" spans="1:12" hidden="1" x14ac:dyDescent="0.25">
      <c r="A2701" s="49"/>
      <c r="B2701" s="49"/>
      <c r="C2701" s="49"/>
      <c r="D2701" s="50" t="str">
        <f t="shared" si="210"/>
        <v/>
      </c>
      <c r="E2701" s="50" t="str">
        <f t="shared" si="211"/>
        <v/>
      </c>
      <c r="F2701" s="50" t="str">
        <f t="shared" si="212"/>
        <v/>
      </c>
      <c r="G2701" s="50" t="str">
        <f t="shared" si="213"/>
        <v/>
      </c>
      <c r="H2701" s="51" t="str">
        <f>IF($C2701="","",IFERROR(DATE(G2701,VLOOKUP(E2701,Paramètres!$K$11:$L$40,2,FALSE()),F2701),"?"))</f>
        <v/>
      </c>
      <c r="I2701" s="50" t="str">
        <f>IF(ISNUMBER(H2701),IF(COUNTIFS($D$2:D2701,D2701,$H$2:H2701,H2701)=1,1,0),"")</f>
        <v/>
      </c>
      <c r="J2701" s="50" t="str">
        <f>IF(ISNUMBER(H2701),IFERROR(INDEX(Calendrier!$C$2:$C$367,MATCH(H2701,Calendrier!$A$2:$A$367,0)),0),"")</f>
        <v/>
      </c>
      <c r="K2701" s="50" t="str">
        <f t="shared" si="214"/>
        <v/>
      </c>
      <c r="L2701" s="50" t="str">
        <f>IF(D2701="","",IF(COUNTIF(Paramètres!$A$11:$A$40,D2701)&gt;0,1,0))</f>
        <v/>
      </c>
    </row>
    <row r="2702" spans="1:12" hidden="1" x14ac:dyDescent="0.25">
      <c r="A2702" s="49"/>
      <c r="B2702" s="49"/>
      <c r="C2702" s="49"/>
      <c r="D2702" s="50" t="str">
        <f t="shared" si="210"/>
        <v/>
      </c>
      <c r="E2702" s="50" t="str">
        <f t="shared" si="211"/>
        <v/>
      </c>
      <c r="F2702" s="50" t="str">
        <f t="shared" si="212"/>
        <v/>
      </c>
      <c r="G2702" s="50" t="str">
        <f t="shared" si="213"/>
        <v/>
      </c>
      <c r="H2702" s="51" t="str">
        <f>IF($C2702="","",IFERROR(DATE(G2702,VLOOKUP(E2702,Paramètres!$K$11:$L$40,2,FALSE()),F2702),"?"))</f>
        <v/>
      </c>
      <c r="I2702" s="50" t="str">
        <f>IF(ISNUMBER(H2702),IF(COUNTIFS($D$2:D2702,D2702,$H$2:H2702,H2702)=1,1,0),"")</f>
        <v/>
      </c>
      <c r="J2702" s="50" t="str">
        <f>IF(ISNUMBER(H2702),IFERROR(INDEX(Calendrier!$C$2:$C$367,MATCH(H2702,Calendrier!$A$2:$A$367,0)),0),"")</f>
        <v/>
      </c>
      <c r="K2702" s="50" t="str">
        <f t="shared" si="214"/>
        <v/>
      </c>
      <c r="L2702" s="50" t="str">
        <f>IF(D2702="","",IF(COUNTIF(Paramètres!$A$11:$A$40,D2702)&gt;0,1,0))</f>
        <v/>
      </c>
    </row>
    <row r="2703" spans="1:12" hidden="1" x14ac:dyDescent="0.25">
      <c r="A2703" s="49"/>
      <c r="B2703" s="49"/>
      <c r="C2703" s="49"/>
      <c r="D2703" s="50" t="str">
        <f t="shared" si="210"/>
        <v/>
      </c>
      <c r="E2703" s="50" t="str">
        <f t="shared" si="211"/>
        <v/>
      </c>
      <c r="F2703" s="50" t="str">
        <f t="shared" si="212"/>
        <v/>
      </c>
      <c r="G2703" s="50" t="str">
        <f t="shared" si="213"/>
        <v/>
      </c>
      <c r="H2703" s="51" t="str">
        <f>IF($C2703="","",IFERROR(DATE(G2703,VLOOKUP(E2703,Paramètres!$K$11:$L$40,2,FALSE()),F2703),"?"))</f>
        <v/>
      </c>
      <c r="I2703" s="50" t="str">
        <f>IF(ISNUMBER(H2703),IF(COUNTIFS($D$2:D2703,D2703,$H$2:H2703,H2703)=1,1,0),"")</f>
        <v/>
      </c>
      <c r="J2703" s="50" t="str">
        <f>IF(ISNUMBER(H2703),IFERROR(INDEX(Calendrier!$C$2:$C$367,MATCH(H2703,Calendrier!$A$2:$A$367,0)),0),"")</f>
        <v/>
      </c>
      <c r="K2703" s="50" t="str">
        <f t="shared" si="214"/>
        <v/>
      </c>
      <c r="L2703" s="50" t="str">
        <f>IF(D2703="","",IF(COUNTIF(Paramètres!$A$11:$A$40,D2703)&gt;0,1,0))</f>
        <v/>
      </c>
    </row>
    <row r="2704" spans="1:12" hidden="1" x14ac:dyDescent="0.25">
      <c r="A2704" s="49"/>
      <c r="B2704" s="49"/>
      <c r="C2704" s="49"/>
      <c r="D2704" s="50" t="str">
        <f t="shared" si="210"/>
        <v/>
      </c>
      <c r="E2704" s="50" t="str">
        <f t="shared" si="211"/>
        <v/>
      </c>
      <c r="F2704" s="50" t="str">
        <f t="shared" si="212"/>
        <v/>
      </c>
      <c r="G2704" s="50" t="str">
        <f t="shared" si="213"/>
        <v/>
      </c>
      <c r="H2704" s="51" t="str">
        <f>IF($C2704="","",IFERROR(DATE(G2704,VLOOKUP(E2704,Paramètres!$K$11:$L$40,2,FALSE()),F2704),"?"))</f>
        <v/>
      </c>
      <c r="I2704" s="50" t="str">
        <f>IF(ISNUMBER(H2704),IF(COUNTIFS($D$2:D2704,D2704,$H$2:H2704,H2704)=1,1,0),"")</f>
        <v/>
      </c>
      <c r="J2704" s="50" t="str">
        <f>IF(ISNUMBER(H2704),IFERROR(INDEX(Calendrier!$C$2:$C$367,MATCH(H2704,Calendrier!$A$2:$A$367,0)),0),"")</f>
        <v/>
      </c>
      <c r="K2704" s="50" t="str">
        <f t="shared" si="214"/>
        <v/>
      </c>
      <c r="L2704" s="50" t="str">
        <f>IF(D2704="","",IF(COUNTIF(Paramètres!$A$11:$A$40,D2704)&gt;0,1,0))</f>
        <v/>
      </c>
    </row>
    <row r="2705" spans="1:12" hidden="1" x14ac:dyDescent="0.25">
      <c r="A2705" s="49"/>
      <c r="B2705" s="49"/>
      <c r="C2705" s="49"/>
      <c r="D2705" s="50" t="str">
        <f t="shared" si="210"/>
        <v/>
      </c>
      <c r="E2705" s="50" t="str">
        <f t="shared" si="211"/>
        <v/>
      </c>
      <c r="F2705" s="50" t="str">
        <f t="shared" si="212"/>
        <v/>
      </c>
      <c r="G2705" s="50" t="str">
        <f t="shared" si="213"/>
        <v/>
      </c>
      <c r="H2705" s="51" t="str">
        <f>IF($C2705="","",IFERROR(DATE(G2705,VLOOKUP(E2705,Paramètres!$K$11:$L$40,2,FALSE()),F2705),"?"))</f>
        <v/>
      </c>
      <c r="I2705" s="50" t="str">
        <f>IF(ISNUMBER(H2705),IF(COUNTIFS($D$2:D2705,D2705,$H$2:H2705,H2705)=1,1,0),"")</f>
        <v/>
      </c>
      <c r="J2705" s="50" t="str">
        <f>IF(ISNUMBER(H2705),IFERROR(INDEX(Calendrier!$C$2:$C$367,MATCH(H2705,Calendrier!$A$2:$A$367,0)),0),"")</f>
        <v/>
      </c>
      <c r="K2705" s="50" t="str">
        <f t="shared" si="214"/>
        <v/>
      </c>
      <c r="L2705" s="50" t="str">
        <f>IF(D2705="","",IF(COUNTIF(Paramètres!$A$11:$A$40,D2705)&gt;0,1,0))</f>
        <v/>
      </c>
    </row>
    <row r="2706" spans="1:12" hidden="1" x14ac:dyDescent="0.25">
      <c r="A2706" s="49"/>
      <c r="B2706" s="49"/>
      <c r="C2706" s="49"/>
      <c r="D2706" s="50" t="str">
        <f t="shared" si="210"/>
        <v/>
      </c>
      <c r="E2706" s="50" t="str">
        <f t="shared" si="211"/>
        <v/>
      </c>
      <c r="F2706" s="50" t="str">
        <f t="shared" si="212"/>
        <v/>
      </c>
      <c r="G2706" s="50" t="str">
        <f t="shared" si="213"/>
        <v/>
      </c>
      <c r="H2706" s="51" t="str">
        <f>IF($C2706="","",IFERROR(DATE(G2706,VLOOKUP(E2706,Paramètres!$K$11:$L$40,2,FALSE()),F2706),"?"))</f>
        <v/>
      </c>
      <c r="I2706" s="50" t="str">
        <f>IF(ISNUMBER(H2706),IF(COUNTIFS($D$2:D2706,D2706,$H$2:H2706,H2706)=1,1,0),"")</f>
        <v/>
      </c>
      <c r="J2706" s="50" t="str">
        <f>IF(ISNUMBER(H2706),IFERROR(INDEX(Calendrier!$C$2:$C$367,MATCH(H2706,Calendrier!$A$2:$A$367,0)),0),"")</f>
        <v/>
      </c>
      <c r="K2706" s="50" t="str">
        <f t="shared" si="214"/>
        <v/>
      </c>
      <c r="L2706" s="50" t="str">
        <f>IF(D2706="","",IF(COUNTIF(Paramètres!$A$11:$A$40,D2706)&gt;0,1,0))</f>
        <v/>
      </c>
    </row>
    <row r="2707" spans="1:12" hidden="1" x14ac:dyDescent="0.25">
      <c r="A2707" s="49"/>
      <c r="B2707" s="49"/>
      <c r="C2707" s="49"/>
      <c r="D2707" s="50" t="str">
        <f t="shared" si="210"/>
        <v/>
      </c>
      <c r="E2707" s="50" t="str">
        <f t="shared" si="211"/>
        <v/>
      </c>
      <c r="F2707" s="50" t="str">
        <f t="shared" si="212"/>
        <v/>
      </c>
      <c r="G2707" s="50" t="str">
        <f t="shared" si="213"/>
        <v/>
      </c>
      <c r="H2707" s="51" t="str">
        <f>IF($C2707="","",IFERROR(DATE(G2707,VLOOKUP(E2707,Paramètres!$K$11:$L$40,2,FALSE()),F2707),"?"))</f>
        <v/>
      </c>
      <c r="I2707" s="50" t="str">
        <f>IF(ISNUMBER(H2707),IF(COUNTIFS($D$2:D2707,D2707,$H$2:H2707,H2707)=1,1,0),"")</f>
        <v/>
      </c>
      <c r="J2707" s="50" t="str">
        <f>IF(ISNUMBER(H2707),IFERROR(INDEX(Calendrier!$C$2:$C$367,MATCH(H2707,Calendrier!$A$2:$A$367,0)),0),"")</f>
        <v/>
      </c>
      <c r="K2707" s="50" t="str">
        <f t="shared" si="214"/>
        <v/>
      </c>
      <c r="L2707" s="50" t="str">
        <f>IF(D2707="","",IF(COUNTIF(Paramètres!$A$11:$A$40,D2707)&gt;0,1,0))</f>
        <v/>
      </c>
    </row>
    <row r="2708" spans="1:12" hidden="1" x14ac:dyDescent="0.25">
      <c r="A2708" s="49"/>
      <c r="B2708" s="49"/>
      <c r="C2708" s="49"/>
      <c r="D2708" s="50" t="str">
        <f t="shared" si="210"/>
        <v/>
      </c>
      <c r="E2708" s="50" t="str">
        <f t="shared" si="211"/>
        <v/>
      </c>
      <c r="F2708" s="50" t="str">
        <f t="shared" si="212"/>
        <v/>
      </c>
      <c r="G2708" s="50" t="str">
        <f t="shared" si="213"/>
        <v/>
      </c>
      <c r="H2708" s="51" t="str">
        <f>IF($C2708="","",IFERROR(DATE(G2708,VLOOKUP(E2708,Paramètres!$K$11:$L$40,2,FALSE()),F2708),"?"))</f>
        <v/>
      </c>
      <c r="I2708" s="50" t="str">
        <f>IF(ISNUMBER(H2708),IF(COUNTIFS($D$2:D2708,D2708,$H$2:H2708,H2708)=1,1,0),"")</f>
        <v/>
      </c>
      <c r="J2708" s="50" t="str">
        <f>IF(ISNUMBER(H2708),IFERROR(INDEX(Calendrier!$C$2:$C$367,MATCH(H2708,Calendrier!$A$2:$A$367,0)),0),"")</f>
        <v/>
      </c>
      <c r="K2708" s="50" t="str">
        <f t="shared" si="214"/>
        <v/>
      </c>
      <c r="L2708" s="50" t="str">
        <f>IF(D2708="","",IF(COUNTIF(Paramètres!$A$11:$A$40,D2708)&gt;0,1,0))</f>
        <v/>
      </c>
    </row>
    <row r="2709" spans="1:12" hidden="1" x14ac:dyDescent="0.25">
      <c r="A2709" s="49"/>
      <c r="B2709" s="49"/>
      <c r="C2709" s="49"/>
      <c r="D2709" s="50" t="str">
        <f t="shared" si="210"/>
        <v/>
      </c>
      <c r="E2709" s="50" t="str">
        <f t="shared" si="211"/>
        <v/>
      </c>
      <c r="F2709" s="50" t="str">
        <f t="shared" si="212"/>
        <v/>
      </c>
      <c r="G2709" s="50" t="str">
        <f t="shared" si="213"/>
        <v/>
      </c>
      <c r="H2709" s="51" t="str">
        <f>IF($C2709="","",IFERROR(DATE(G2709,VLOOKUP(E2709,Paramètres!$K$11:$L$40,2,FALSE()),F2709),"?"))</f>
        <v/>
      </c>
      <c r="I2709" s="50" t="str">
        <f>IF(ISNUMBER(H2709),IF(COUNTIFS($D$2:D2709,D2709,$H$2:H2709,H2709)=1,1,0),"")</f>
        <v/>
      </c>
      <c r="J2709" s="50" t="str">
        <f>IF(ISNUMBER(H2709),IFERROR(INDEX(Calendrier!$C$2:$C$367,MATCH(H2709,Calendrier!$A$2:$A$367,0)),0),"")</f>
        <v/>
      </c>
      <c r="K2709" s="50" t="str">
        <f t="shared" si="214"/>
        <v/>
      </c>
      <c r="L2709" s="50" t="str">
        <f>IF(D2709="","",IF(COUNTIF(Paramètres!$A$11:$A$40,D2709)&gt;0,1,0))</f>
        <v/>
      </c>
    </row>
    <row r="2710" spans="1:12" hidden="1" x14ac:dyDescent="0.25">
      <c r="A2710" s="49"/>
      <c r="B2710" s="49"/>
      <c r="C2710" s="49"/>
      <c r="D2710" s="50" t="str">
        <f t="shared" si="210"/>
        <v/>
      </c>
      <c r="E2710" s="50" t="str">
        <f t="shared" si="211"/>
        <v/>
      </c>
      <c r="F2710" s="50" t="str">
        <f t="shared" si="212"/>
        <v/>
      </c>
      <c r="G2710" s="50" t="str">
        <f t="shared" si="213"/>
        <v/>
      </c>
      <c r="H2710" s="51" t="str">
        <f>IF($C2710="","",IFERROR(DATE(G2710,VLOOKUP(E2710,Paramètres!$K$11:$L$40,2,FALSE()),F2710),"?"))</f>
        <v/>
      </c>
      <c r="I2710" s="50" t="str">
        <f>IF(ISNUMBER(H2710),IF(COUNTIFS($D$2:D2710,D2710,$H$2:H2710,H2710)=1,1,0),"")</f>
        <v/>
      </c>
      <c r="J2710" s="50" t="str">
        <f>IF(ISNUMBER(H2710),IFERROR(INDEX(Calendrier!$C$2:$C$367,MATCH(H2710,Calendrier!$A$2:$A$367,0)),0),"")</f>
        <v/>
      </c>
      <c r="K2710" s="50" t="str">
        <f t="shared" si="214"/>
        <v/>
      </c>
      <c r="L2710" s="50" t="str">
        <f>IF(D2710="","",IF(COUNTIF(Paramètres!$A$11:$A$40,D2710)&gt;0,1,0))</f>
        <v/>
      </c>
    </row>
    <row r="2711" spans="1:12" hidden="1" x14ac:dyDescent="0.25">
      <c r="A2711" s="49"/>
      <c r="B2711" s="49"/>
      <c r="C2711" s="49"/>
      <c r="D2711" s="50" t="str">
        <f t="shared" si="210"/>
        <v/>
      </c>
      <c r="E2711" s="50" t="str">
        <f t="shared" si="211"/>
        <v/>
      </c>
      <c r="F2711" s="50" t="str">
        <f t="shared" si="212"/>
        <v/>
      </c>
      <c r="G2711" s="50" t="str">
        <f t="shared" si="213"/>
        <v/>
      </c>
      <c r="H2711" s="51" t="str">
        <f>IF($C2711="","",IFERROR(DATE(G2711,VLOOKUP(E2711,Paramètres!$K$11:$L$40,2,FALSE()),F2711),"?"))</f>
        <v/>
      </c>
      <c r="I2711" s="50" t="str">
        <f>IF(ISNUMBER(H2711),IF(COUNTIFS($D$2:D2711,D2711,$H$2:H2711,H2711)=1,1,0),"")</f>
        <v/>
      </c>
      <c r="J2711" s="50" t="str">
        <f>IF(ISNUMBER(H2711),IFERROR(INDEX(Calendrier!$C$2:$C$367,MATCH(H2711,Calendrier!$A$2:$A$367,0)),0),"")</f>
        <v/>
      </c>
      <c r="K2711" s="50" t="str">
        <f t="shared" si="214"/>
        <v/>
      </c>
      <c r="L2711" s="50" t="str">
        <f>IF(D2711="","",IF(COUNTIF(Paramètres!$A$11:$A$40,D2711)&gt;0,1,0))</f>
        <v/>
      </c>
    </row>
    <row r="2712" spans="1:12" hidden="1" x14ac:dyDescent="0.25">
      <c r="A2712" s="49"/>
      <c r="B2712" s="49"/>
      <c r="C2712" s="49"/>
      <c r="D2712" s="50" t="str">
        <f t="shared" si="210"/>
        <v/>
      </c>
      <c r="E2712" s="50" t="str">
        <f t="shared" si="211"/>
        <v/>
      </c>
      <c r="F2712" s="50" t="str">
        <f t="shared" si="212"/>
        <v/>
      </c>
      <c r="G2712" s="50" t="str">
        <f t="shared" si="213"/>
        <v/>
      </c>
      <c r="H2712" s="51" t="str">
        <f>IF($C2712="","",IFERROR(DATE(G2712,VLOOKUP(E2712,Paramètres!$K$11:$L$40,2,FALSE()),F2712),"?"))</f>
        <v/>
      </c>
      <c r="I2712" s="50" t="str">
        <f>IF(ISNUMBER(H2712),IF(COUNTIFS($D$2:D2712,D2712,$H$2:H2712,H2712)=1,1,0),"")</f>
        <v/>
      </c>
      <c r="J2712" s="50" t="str">
        <f>IF(ISNUMBER(H2712),IFERROR(INDEX(Calendrier!$C$2:$C$367,MATCH(H2712,Calendrier!$A$2:$A$367,0)),0),"")</f>
        <v/>
      </c>
      <c r="K2712" s="50" t="str">
        <f t="shared" si="214"/>
        <v/>
      </c>
      <c r="L2712" s="50" t="str">
        <f>IF(D2712="","",IF(COUNTIF(Paramètres!$A$11:$A$40,D2712)&gt;0,1,0))</f>
        <v/>
      </c>
    </row>
    <row r="2713" spans="1:12" hidden="1" x14ac:dyDescent="0.25">
      <c r="A2713" s="49"/>
      <c r="B2713" s="49"/>
      <c r="C2713" s="49"/>
      <c r="D2713" s="50" t="str">
        <f t="shared" si="210"/>
        <v/>
      </c>
      <c r="E2713" s="50" t="str">
        <f t="shared" si="211"/>
        <v/>
      </c>
      <c r="F2713" s="50" t="str">
        <f t="shared" si="212"/>
        <v/>
      </c>
      <c r="G2713" s="50" t="str">
        <f t="shared" si="213"/>
        <v/>
      </c>
      <c r="H2713" s="51" t="str">
        <f>IF($C2713="","",IFERROR(DATE(G2713,VLOOKUP(E2713,Paramètres!$K$11:$L$40,2,FALSE()),F2713),"?"))</f>
        <v/>
      </c>
      <c r="I2713" s="50" t="str">
        <f>IF(ISNUMBER(H2713),IF(COUNTIFS($D$2:D2713,D2713,$H$2:H2713,H2713)=1,1,0),"")</f>
        <v/>
      </c>
      <c r="J2713" s="50" t="str">
        <f>IF(ISNUMBER(H2713),IFERROR(INDEX(Calendrier!$C$2:$C$367,MATCH(H2713,Calendrier!$A$2:$A$367,0)),0),"")</f>
        <v/>
      </c>
      <c r="K2713" s="50" t="str">
        <f t="shared" si="214"/>
        <v/>
      </c>
      <c r="L2713" s="50" t="str">
        <f>IF(D2713="","",IF(COUNTIF(Paramètres!$A$11:$A$40,D2713)&gt;0,1,0))</f>
        <v/>
      </c>
    </row>
    <row r="2714" spans="1:12" hidden="1" x14ac:dyDescent="0.25">
      <c r="A2714" s="49"/>
      <c r="B2714" s="49"/>
      <c r="C2714" s="49"/>
      <c r="D2714" s="50" t="str">
        <f t="shared" si="210"/>
        <v/>
      </c>
      <c r="E2714" s="50" t="str">
        <f t="shared" si="211"/>
        <v/>
      </c>
      <c r="F2714" s="50" t="str">
        <f t="shared" si="212"/>
        <v/>
      </c>
      <c r="G2714" s="50" t="str">
        <f t="shared" si="213"/>
        <v/>
      </c>
      <c r="H2714" s="51" t="str">
        <f>IF($C2714="","",IFERROR(DATE(G2714,VLOOKUP(E2714,Paramètres!$K$11:$L$40,2,FALSE()),F2714),"?"))</f>
        <v/>
      </c>
      <c r="I2714" s="50" t="str">
        <f>IF(ISNUMBER(H2714),IF(COUNTIFS($D$2:D2714,D2714,$H$2:H2714,H2714)=1,1,0),"")</f>
        <v/>
      </c>
      <c r="J2714" s="50" t="str">
        <f>IF(ISNUMBER(H2714),IFERROR(INDEX(Calendrier!$C$2:$C$367,MATCH(H2714,Calendrier!$A$2:$A$367,0)),0),"")</f>
        <v/>
      </c>
      <c r="K2714" s="50" t="str">
        <f t="shared" si="214"/>
        <v/>
      </c>
      <c r="L2714" s="50" t="str">
        <f>IF(D2714="","",IF(COUNTIF(Paramètres!$A$11:$A$40,D2714)&gt;0,1,0))</f>
        <v/>
      </c>
    </row>
    <row r="2715" spans="1:12" hidden="1" x14ac:dyDescent="0.25">
      <c r="A2715" s="49"/>
      <c r="B2715" s="49"/>
      <c r="C2715" s="49"/>
      <c r="D2715" s="50" t="str">
        <f t="shared" si="210"/>
        <v/>
      </c>
      <c r="E2715" s="50" t="str">
        <f t="shared" si="211"/>
        <v/>
      </c>
      <c r="F2715" s="50" t="str">
        <f t="shared" si="212"/>
        <v/>
      </c>
      <c r="G2715" s="50" t="str">
        <f t="shared" si="213"/>
        <v/>
      </c>
      <c r="H2715" s="51" t="str">
        <f>IF($C2715="","",IFERROR(DATE(G2715,VLOOKUP(E2715,Paramètres!$K$11:$L$40,2,FALSE()),F2715),"?"))</f>
        <v/>
      </c>
      <c r="I2715" s="50" t="str">
        <f>IF(ISNUMBER(H2715),IF(COUNTIFS($D$2:D2715,D2715,$H$2:H2715,H2715)=1,1,0),"")</f>
        <v/>
      </c>
      <c r="J2715" s="50" t="str">
        <f>IF(ISNUMBER(H2715),IFERROR(INDEX(Calendrier!$C$2:$C$367,MATCH(H2715,Calendrier!$A$2:$A$367,0)),0),"")</f>
        <v/>
      </c>
      <c r="K2715" s="50" t="str">
        <f t="shared" si="214"/>
        <v/>
      </c>
      <c r="L2715" s="50" t="str">
        <f>IF(D2715="","",IF(COUNTIF(Paramètres!$A$11:$A$40,D2715)&gt;0,1,0))</f>
        <v/>
      </c>
    </row>
    <row r="2716" spans="1:12" hidden="1" x14ac:dyDescent="0.25">
      <c r="A2716" s="49"/>
      <c r="B2716" s="49"/>
      <c r="C2716" s="49"/>
      <c r="D2716" s="50" t="str">
        <f t="shared" si="210"/>
        <v/>
      </c>
      <c r="E2716" s="50" t="str">
        <f t="shared" si="211"/>
        <v/>
      </c>
      <c r="F2716" s="50" t="str">
        <f t="shared" si="212"/>
        <v/>
      </c>
      <c r="G2716" s="50" t="str">
        <f t="shared" si="213"/>
        <v/>
      </c>
      <c r="H2716" s="51" t="str">
        <f>IF($C2716="","",IFERROR(DATE(G2716,VLOOKUP(E2716,Paramètres!$K$11:$L$40,2,FALSE()),F2716),"?"))</f>
        <v/>
      </c>
      <c r="I2716" s="50" t="str">
        <f>IF(ISNUMBER(H2716),IF(COUNTIFS($D$2:D2716,D2716,$H$2:H2716,H2716)=1,1,0),"")</f>
        <v/>
      </c>
      <c r="J2716" s="50" t="str">
        <f>IF(ISNUMBER(H2716),IFERROR(INDEX(Calendrier!$C$2:$C$367,MATCH(H2716,Calendrier!$A$2:$A$367,0)),0),"")</f>
        <v/>
      </c>
      <c r="K2716" s="50" t="str">
        <f t="shared" si="214"/>
        <v/>
      </c>
      <c r="L2716" s="50" t="str">
        <f>IF(D2716="","",IF(COUNTIF(Paramètres!$A$11:$A$40,D2716)&gt;0,1,0))</f>
        <v/>
      </c>
    </row>
    <row r="2717" spans="1:12" hidden="1" x14ac:dyDescent="0.25">
      <c r="A2717" s="49"/>
      <c r="B2717" s="49"/>
      <c r="C2717" s="49"/>
      <c r="D2717" s="50" t="str">
        <f t="shared" si="210"/>
        <v/>
      </c>
      <c r="E2717" s="50" t="str">
        <f t="shared" si="211"/>
        <v/>
      </c>
      <c r="F2717" s="50" t="str">
        <f t="shared" si="212"/>
        <v/>
      </c>
      <c r="G2717" s="50" t="str">
        <f t="shared" si="213"/>
        <v/>
      </c>
      <c r="H2717" s="51" t="str">
        <f>IF($C2717="","",IFERROR(DATE(G2717,VLOOKUP(E2717,Paramètres!$K$11:$L$40,2,FALSE()),F2717),"?"))</f>
        <v/>
      </c>
      <c r="I2717" s="50" t="str">
        <f>IF(ISNUMBER(H2717),IF(COUNTIFS($D$2:D2717,D2717,$H$2:H2717,H2717)=1,1,0),"")</f>
        <v/>
      </c>
      <c r="J2717" s="50" t="str">
        <f>IF(ISNUMBER(H2717),IFERROR(INDEX(Calendrier!$C$2:$C$367,MATCH(H2717,Calendrier!$A$2:$A$367,0)),0),"")</f>
        <v/>
      </c>
      <c r="K2717" s="50" t="str">
        <f t="shared" si="214"/>
        <v/>
      </c>
      <c r="L2717" s="50" t="str">
        <f>IF(D2717="","",IF(COUNTIF(Paramètres!$A$11:$A$40,D2717)&gt;0,1,0))</f>
        <v/>
      </c>
    </row>
    <row r="2718" spans="1:12" hidden="1" x14ac:dyDescent="0.25">
      <c r="A2718" s="49"/>
      <c r="B2718" s="49"/>
      <c r="C2718" s="49"/>
      <c r="D2718" s="50" t="str">
        <f t="shared" si="210"/>
        <v/>
      </c>
      <c r="E2718" s="50" t="str">
        <f t="shared" si="211"/>
        <v/>
      </c>
      <c r="F2718" s="50" t="str">
        <f t="shared" si="212"/>
        <v/>
      </c>
      <c r="G2718" s="50" t="str">
        <f t="shared" si="213"/>
        <v/>
      </c>
      <c r="H2718" s="51" t="str">
        <f>IF($C2718="","",IFERROR(DATE(G2718,VLOOKUP(E2718,Paramètres!$K$11:$L$40,2,FALSE()),F2718),"?"))</f>
        <v/>
      </c>
      <c r="I2718" s="50" t="str">
        <f>IF(ISNUMBER(H2718),IF(COUNTIFS($D$2:D2718,D2718,$H$2:H2718,H2718)=1,1,0),"")</f>
        <v/>
      </c>
      <c r="J2718" s="50" t="str">
        <f>IF(ISNUMBER(H2718),IFERROR(INDEX(Calendrier!$C$2:$C$367,MATCH(H2718,Calendrier!$A$2:$A$367,0)),0),"")</f>
        <v/>
      </c>
      <c r="K2718" s="50" t="str">
        <f t="shared" si="214"/>
        <v/>
      </c>
      <c r="L2718" s="50" t="str">
        <f>IF(D2718="","",IF(COUNTIF(Paramètres!$A$11:$A$40,D2718)&gt;0,1,0))</f>
        <v/>
      </c>
    </row>
    <row r="2719" spans="1:12" hidden="1" x14ac:dyDescent="0.25">
      <c r="A2719" s="49"/>
      <c r="B2719" s="49"/>
      <c r="C2719" s="49"/>
      <c r="D2719" s="50" t="str">
        <f t="shared" si="210"/>
        <v/>
      </c>
      <c r="E2719" s="50" t="str">
        <f t="shared" si="211"/>
        <v/>
      </c>
      <c r="F2719" s="50" t="str">
        <f t="shared" si="212"/>
        <v/>
      </c>
      <c r="G2719" s="50" t="str">
        <f t="shared" si="213"/>
        <v/>
      </c>
      <c r="H2719" s="51" t="str">
        <f>IF($C2719="","",IFERROR(DATE(G2719,VLOOKUP(E2719,Paramètres!$K$11:$L$40,2,FALSE()),F2719),"?"))</f>
        <v/>
      </c>
      <c r="I2719" s="50" t="str">
        <f>IF(ISNUMBER(H2719),IF(COUNTIFS($D$2:D2719,D2719,$H$2:H2719,H2719)=1,1,0),"")</f>
        <v/>
      </c>
      <c r="J2719" s="50" t="str">
        <f>IF(ISNUMBER(H2719),IFERROR(INDEX(Calendrier!$C$2:$C$367,MATCH(H2719,Calendrier!$A$2:$A$367,0)),0),"")</f>
        <v/>
      </c>
      <c r="K2719" s="50" t="str">
        <f t="shared" si="214"/>
        <v/>
      </c>
      <c r="L2719" s="50" t="str">
        <f>IF(D2719="","",IF(COUNTIF(Paramètres!$A$11:$A$40,D2719)&gt;0,1,0))</f>
        <v/>
      </c>
    </row>
    <row r="2720" spans="1:12" hidden="1" x14ac:dyDescent="0.25">
      <c r="A2720" s="49"/>
      <c r="B2720" s="49"/>
      <c r="C2720" s="49"/>
      <c r="D2720" s="50" t="str">
        <f t="shared" si="210"/>
        <v/>
      </c>
      <c r="E2720" s="50" t="str">
        <f t="shared" si="211"/>
        <v/>
      </c>
      <c r="F2720" s="50" t="str">
        <f t="shared" si="212"/>
        <v/>
      </c>
      <c r="G2720" s="50" t="str">
        <f t="shared" si="213"/>
        <v/>
      </c>
      <c r="H2720" s="51" t="str">
        <f>IF($C2720="","",IFERROR(DATE(G2720,VLOOKUP(E2720,Paramètres!$K$11:$L$40,2,FALSE()),F2720),"?"))</f>
        <v/>
      </c>
      <c r="I2720" s="50" t="str">
        <f>IF(ISNUMBER(H2720),IF(COUNTIFS($D$2:D2720,D2720,$H$2:H2720,H2720)=1,1,0),"")</f>
        <v/>
      </c>
      <c r="J2720" s="50" t="str">
        <f>IF(ISNUMBER(H2720),IFERROR(INDEX(Calendrier!$C$2:$C$367,MATCH(H2720,Calendrier!$A$2:$A$367,0)),0),"")</f>
        <v/>
      </c>
      <c r="K2720" s="50" t="str">
        <f t="shared" si="214"/>
        <v/>
      </c>
      <c r="L2720" s="50" t="str">
        <f>IF(D2720="","",IF(COUNTIF(Paramètres!$A$11:$A$40,D2720)&gt;0,1,0))</f>
        <v/>
      </c>
    </row>
    <row r="2721" spans="1:12" hidden="1" x14ac:dyDescent="0.25">
      <c r="A2721" s="49"/>
      <c r="B2721" s="49"/>
      <c r="C2721" s="49"/>
      <c r="D2721" s="50" t="str">
        <f t="shared" si="210"/>
        <v/>
      </c>
      <c r="E2721" s="50" t="str">
        <f t="shared" si="211"/>
        <v/>
      </c>
      <c r="F2721" s="50" t="str">
        <f t="shared" si="212"/>
        <v/>
      </c>
      <c r="G2721" s="50" t="str">
        <f t="shared" si="213"/>
        <v/>
      </c>
      <c r="H2721" s="51" t="str">
        <f>IF($C2721="","",IFERROR(DATE(G2721,VLOOKUP(E2721,Paramètres!$K$11:$L$40,2,FALSE()),F2721),"?"))</f>
        <v/>
      </c>
      <c r="I2721" s="50" t="str">
        <f>IF(ISNUMBER(H2721),IF(COUNTIFS($D$2:D2721,D2721,$H$2:H2721,H2721)=1,1,0),"")</f>
        <v/>
      </c>
      <c r="J2721" s="50" t="str">
        <f>IF(ISNUMBER(H2721),IFERROR(INDEX(Calendrier!$C$2:$C$367,MATCH(H2721,Calendrier!$A$2:$A$367,0)),0),"")</f>
        <v/>
      </c>
      <c r="K2721" s="50" t="str">
        <f t="shared" si="214"/>
        <v/>
      </c>
      <c r="L2721" s="50" t="str">
        <f>IF(D2721="","",IF(COUNTIF(Paramètres!$A$11:$A$40,D2721)&gt;0,1,0))</f>
        <v/>
      </c>
    </row>
    <row r="2722" spans="1:12" hidden="1" x14ac:dyDescent="0.25">
      <c r="A2722" s="49"/>
      <c r="B2722" s="49"/>
      <c r="C2722" s="49"/>
      <c r="D2722" s="50" t="str">
        <f t="shared" si="210"/>
        <v/>
      </c>
      <c r="E2722" s="50" t="str">
        <f t="shared" si="211"/>
        <v/>
      </c>
      <c r="F2722" s="50" t="str">
        <f t="shared" si="212"/>
        <v/>
      </c>
      <c r="G2722" s="50" t="str">
        <f t="shared" si="213"/>
        <v/>
      </c>
      <c r="H2722" s="51" t="str">
        <f>IF($C2722="","",IFERROR(DATE(G2722,VLOOKUP(E2722,Paramètres!$K$11:$L$40,2,FALSE()),F2722),"?"))</f>
        <v/>
      </c>
      <c r="I2722" s="50" t="str">
        <f>IF(ISNUMBER(H2722),IF(COUNTIFS($D$2:D2722,D2722,$H$2:H2722,H2722)=1,1,0),"")</f>
        <v/>
      </c>
      <c r="J2722" s="50" t="str">
        <f>IF(ISNUMBER(H2722),IFERROR(INDEX(Calendrier!$C$2:$C$367,MATCH(H2722,Calendrier!$A$2:$A$367,0)),0),"")</f>
        <v/>
      </c>
      <c r="K2722" s="50" t="str">
        <f t="shared" si="214"/>
        <v/>
      </c>
      <c r="L2722" s="50" t="str">
        <f>IF(D2722="","",IF(COUNTIF(Paramètres!$A$11:$A$40,D2722)&gt;0,1,0))</f>
        <v/>
      </c>
    </row>
    <row r="2723" spans="1:12" hidden="1" x14ac:dyDescent="0.25">
      <c r="A2723" s="49"/>
      <c r="B2723" s="49"/>
      <c r="C2723" s="49"/>
      <c r="D2723" s="50" t="str">
        <f t="shared" si="210"/>
        <v/>
      </c>
      <c r="E2723" s="50" t="str">
        <f t="shared" si="211"/>
        <v/>
      </c>
      <c r="F2723" s="50" t="str">
        <f t="shared" si="212"/>
        <v/>
      </c>
      <c r="G2723" s="50" t="str">
        <f t="shared" si="213"/>
        <v/>
      </c>
      <c r="H2723" s="51" t="str">
        <f>IF($C2723="","",IFERROR(DATE(G2723,VLOOKUP(E2723,Paramètres!$K$11:$L$40,2,FALSE()),F2723),"?"))</f>
        <v/>
      </c>
      <c r="I2723" s="50" t="str">
        <f>IF(ISNUMBER(H2723),IF(COUNTIFS($D$2:D2723,D2723,$H$2:H2723,H2723)=1,1,0),"")</f>
        <v/>
      </c>
      <c r="J2723" s="50" t="str">
        <f>IF(ISNUMBER(H2723),IFERROR(INDEX(Calendrier!$C$2:$C$367,MATCH(H2723,Calendrier!$A$2:$A$367,0)),0),"")</f>
        <v/>
      </c>
      <c r="K2723" s="50" t="str">
        <f t="shared" si="214"/>
        <v/>
      </c>
      <c r="L2723" s="50" t="str">
        <f>IF(D2723="","",IF(COUNTIF(Paramètres!$A$11:$A$40,D2723)&gt;0,1,0))</f>
        <v/>
      </c>
    </row>
    <row r="2724" spans="1:12" hidden="1" x14ac:dyDescent="0.25">
      <c r="A2724" s="49"/>
      <c r="B2724" s="49"/>
      <c r="C2724" s="49"/>
      <c r="D2724" s="50" t="str">
        <f t="shared" si="210"/>
        <v/>
      </c>
      <c r="E2724" s="50" t="str">
        <f t="shared" si="211"/>
        <v/>
      </c>
      <c r="F2724" s="50" t="str">
        <f t="shared" si="212"/>
        <v/>
      </c>
      <c r="G2724" s="50" t="str">
        <f t="shared" si="213"/>
        <v/>
      </c>
      <c r="H2724" s="51" t="str">
        <f>IF($C2724="","",IFERROR(DATE(G2724,VLOOKUP(E2724,Paramètres!$K$11:$L$40,2,FALSE()),F2724),"?"))</f>
        <v/>
      </c>
      <c r="I2724" s="50" t="str">
        <f>IF(ISNUMBER(H2724),IF(COUNTIFS($D$2:D2724,D2724,$H$2:H2724,H2724)=1,1,0),"")</f>
        <v/>
      </c>
      <c r="J2724" s="50" t="str">
        <f>IF(ISNUMBER(H2724),IFERROR(INDEX(Calendrier!$C$2:$C$367,MATCH(H2724,Calendrier!$A$2:$A$367,0)),0),"")</f>
        <v/>
      </c>
      <c r="K2724" s="50" t="str">
        <f t="shared" si="214"/>
        <v/>
      </c>
      <c r="L2724" s="50" t="str">
        <f>IF(D2724="","",IF(COUNTIF(Paramètres!$A$11:$A$40,D2724)&gt;0,1,0))</f>
        <v/>
      </c>
    </row>
    <row r="2725" spans="1:12" hidden="1" x14ac:dyDescent="0.25">
      <c r="A2725" s="49"/>
      <c r="B2725" s="49"/>
      <c r="C2725" s="49"/>
      <c r="D2725" s="50" t="str">
        <f t="shared" si="210"/>
        <v/>
      </c>
      <c r="E2725" s="50" t="str">
        <f t="shared" si="211"/>
        <v/>
      </c>
      <c r="F2725" s="50" t="str">
        <f t="shared" si="212"/>
        <v/>
      </c>
      <c r="G2725" s="50" t="str">
        <f t="shared" si="213"/>
        <v/>
      </c>
      <c r="H2725" s="51" t="str">
        <f>IF($C2725="","",IFERROR(DATE(G2725,VLOOKUP(E2725,Paramètres!$K$11:$L$40,2,FALSE()),F2725),"?"))</f>
        <v/>
      </c>
      <c r="I2725" s="50" t="str">
        <f>IF(ISNUMBER(H2725),IF(COUNTIFS($D$2:D2725,D2725,$H$2:H2725,H2725)=1,1,0),"")</f>
        <v/>
      </c>
      <c r="J2725" s="50" t="str">
        <f>IF(ISNUMBER(H2725),IFERROR(INDEX(Calendrier!$C$2:$C$367,MATCH(H2725,Calendrier!$A$2:$A$367,0)),0),"")</f>
        <v/>
      </c>
      <c r="K2725" s="50" t="str">
        <f t="shared" si="214"/>
        <v/>
      </c>
      <c r="L2725" s="50" t="str">
        <f>IF(D2725="","",IF(COUNTIF(Paramètres!$A$11:$A$40,D2725)&gt;0,1,0))</f>
        <v/>
      </c>
    </row>
    <row r="2726" spans="1:12" hidden="1" x14ac:dyDescent="0.25">
      <c r="A2726" s="49"/>
      <c r="B2726" s="49"/>
      <c r="C2726" s="49"/>
      <c r="D2726" s="50" t="str">
        <f t="shared" si="210"/>
        <v/>
      </c>
      <c r="E2726" s="50" t="str">
        <f t="shared" si="211"/>
        <v/>
      </c>
      <c r="F2726" s="50" t="str">
        <f t="shared" si="212"/>
        <v/>
      </c>
      <c r="G2726" s="50" t="str">
        <f t="shared" si="213"/>
        <v/>
      </c>
      <c r="H2726" s="51" t="str">
        <f>IF($C2726="","",IFERROR(DATE(G2726,VLOOKUP(E2726,Paramètres!$K$11:$L$40,2,FALSE()),F2726),"?"))</f>
        <v/>
      </c>
      <c r="I2726" s="50" t="str">
        <f>IF(ISNUMBER(H2726),IF(COUNTIFS($D$2:D2726,D2726,$H$2:H2726,H2726)=1,1,0),"")</f>
        <v/>
      </c>
      <c r="J2726" s="50" t="str">
        <f>IF(ISNUMBER(H2726),IFERROR(INDEX(Calendrier!$C$2:$C$367,MATCH(H2726,Calendrier!$A$2:$A$367,0)),0),"")</f>
        <v/>
      </c>
      <c r="K2726" s="50" t="str">
        <f t="shared" si="214"/>
        <v/>
      </c>
      <c r="L2726" s="50" t="str">
        <f>IF(D2726="","",IF(COUNTIF(Paramètres!$A$11:$A$40,D2726)&gt;0,1,0))</f>
        <v/>
      </c>
    </row>
    <row r="2727" spans="1:12" hidden="1" x14ac:dyDescent="0.25">
      <c r="A2727" s="49"/>
      <c r="B2727" s="49"/>
      <c r="C2727" s="49"/>
      <c r="D2727" s="50" t="str">
        <f t="shared" si="210"/>
        <v/>
      </c>
      <c r="E2727" s="50" t="str">
        <f t="shared" si="211"/>
        <v/>
      </c>
      <c r="F2727" s="50" t="str">
        <f t="shared" si="212"/>
        <v/>
      </c>
      <c r="G2727" s="50" t="str">
        <f t="shared" si="213"/>
        <v/>
      </c>
      <c r="H2727" s="51" t="str">
        <f>IF($C2727="","",IFERROR(DATE(G2727,VLOOKUP(E2727,Paramètres!$K$11:$L$40,2,FALSE()),F2727),"?"))</f>
        <v/>
      </c>
      <c r="I2727" s="50" t="str">
        <f>IF(ISNUMBER(H2727),IF(COUNTIFS($D$2:D2727,D2727,$H$2:H2727,H2727)=1,1,0),"")</f>
        <v/>
      </c>
      <c r="J2727" s="50" t="str">
        <f>IF(ISNUMBER(H2727),IFERROR(INDEX(Calendrier!$C$2:$C$367,MATCH(H2727,Calendrier!$A$2:$A$367,0)),0),"")</f>
        <v/>
      </c>
      <c r="K2727" s="50" t="str">
        <f t="shared" si="214"/>
        <v/>
      </c>
      <c r="L2727" s="50" t="str">
        <f>IF(D2727="","",IF(COUNTIF(Paramètres!$A$11:$A$40,D2727)&gt;0,1,0))</f>
        <v/>
      </c>
    </row>
    <row r="2728" spans="1:12" hidden="1" x14ac:dyDescent="0.25">
      <c r="A2728" s="49"/>
      <c r="B2728" s="49"/>
      <c r="C2728" s="49"/>
      <c r="D2728" s="50" t="str">
        <f t="shared" si="210"/>
        <v/>
      </c>
      <c r="E2728" s="50" t="str">
        <f t="shared" si="211"/>
        <v/>
      </c>
      <c r="F2728" s="50" t="str">
        <f t="shared" si="212"/>
        <v/>
      </c>
      <c r="G2728" s="50" t="str">
        <f t="shared" si="213"/>
        <v/>
      </c>
      <c r="H2728" s="51" t="str">
        <f>IF($C2728="","",IFERROR(DATE(G2728,VLOOKUP(E2728,Paramètres!$K$11:$L$40,2,FALSE()),F2728),"?"))</f>
        <v/>
      </c>
      <c r="I2728" s="50" t="str">
        <f>IF(ISNUMBER(H2728),IF(COUNTIFS($D$2:D2728,D2728,$H$2:H2728,H2728)=1,1,0),"")</f>
        <v/>
      </c>
      <c r="J2728" s="50" t="str">
        <f>IF(ISNUMBER(H2728),IFERROR(INDEX(Calendrier!$C$2:$C$367,MATCH(H2728,Calendrier!$A$2:$A$367,0)),0),"")</f>
        <v/>
      </c>
      <c r="K2728" s="50" t="str">
        <f t="shared" si="214"/>
        <v/>
      </c>
      <c r="L2728" s="50" t="str">
        <f>IF(D2728="","",IF(COUNTIF(Paramètres!$A$11:$A$40,D2728)&gt;0,1,0))</f>
        <v/>
      </c>
    </row>
    <row r="2729" spans="1:12" hidden="1" x14ac:dyDescent="0.25">
      <c r="A2729" s="49"/>
      <c r="B2729" s="49"/>
      <c r="C2729" s="49"/>
      <c r="D2729" s="50" t="str">
        <f t="shared" si="210"/>
        <v/>
      </c>
      <c r="E2729" s="50" t="str">
        <f t="shared" si="211"/>
        <v/>
      </c>
      <c r="F2729" s="50" t="str">
        <f t="shared" si="212"/>
        <v/>
      </c>
      <c r="G2729" s="50" t="str">
        <f t="shared" si="213"/>
        <v/>
      </c>
      <c r="H2729" s="51" t="str">
        <f>IF($C2729="","",IFERROR(DATE(G2729,VLOOKUP(E2729,Paramètres!$K$11:$L$40,2,FALSE()),F2729),"?"))</f>
        <v/>
      </c>
      <c r="I2729" s="50" t="str">
        <f>IF(ISNUMBER(H2729),IF(COUNTIFS($D$2:D2729,D2729,$H$2:H2729,H2729)=1,1,0),"")</f>
        <v/>
      </c>
      <c r="J2729" s="50" t="str">
        <f>IF(ISNUMBER(H2729),IFERROR(INDEX(Calendrier!$C$2:$C$367,MATCH(H2729,Calendrier!$A$2:$A$367,0)),0),"")</f>
        <v/>
      </c>
      <c r="K2729" s="50" t="str">
        <f t="shared" si="214"/>
        <v/>
      </c>
      <c r="L2729" s="50" t="str">
        <f>IF(D2729="","",IF(COUNTIF(Paramètres!$A$11:$A$40,D2729)&gt;0,1,0))</f>
        <v/>
      </c>
    </row>
    <row r="2730" spans="1:12" hidden="1" x14ac:dyDescent="0.25">
      <c r="A2730" s="49"/>
      <c r="B2730" s="49"/>
      <c r="C2730" s="49"/>
      <c r="D2730" s="50" t="str">
        <f t="shared" si="210"/>
        <v/>
      </c>
      <c r="E2730" s="50" t="str">
        <f t="shared" si="211"/>
        <v/>
      </c>
      <c r="F2730" s="50" t="str">
        <f t="shared" si="212"/>
        <v/>
      </c>
      <c r="G2730" s="50" t="str">
        <f t="shared" si="213"/>
        <v/>
      </c>
      <c r="H2730" s="51" t="str">
        <f>IF($C2730="","",IFERROR(DATE(G2730,VLOOKUP(E2730,Paramètres!$K$11:$L$40,2,FALSE()),F2730),"?"))</f>
        <v/>
      </c>
      <c r="I2730" s="50" t="str">
        <f>IF(ISNUMBER(H2730),IF(COUNTIFS($D$2:D2730,D2730,$H$2:H2730,H2730)=1,1,0),"")</f>
        <v/>
      </c>
      <c r="J2730" s="50" t="str">
        <f>IF(ISNUMBER(H2730),IFERROR(INDEX(Calendrier!$C$2:$C$367,MATCH(H2730,Calendrier!$A$2:$A$367,0)),0),"")</f>
        <v/>
      </c>
      <c r="K2730" s="50" t="str">
        <f t="shared" si="214"/>
        <v/>
      </c>
      <c r="L2730" s="50" t="str">
        <f>IF(D2730="","",IF(COUNTIF(Paramètres!$A$11:$A$40,D2730)&gt;0,1,0))</f>
        <v/>
      </c>
    </row>
    <row r="2731" spans="1:12" hidden="1" x14ac:dyDescent="0.25">
      <c r="A2731" s="49"/>
      <c r="B2731" s="49"/>
      <c r="C2731" s="49"/>
      <c r="D2731" s="50" t="str">
        <f t="shared" si="210"/>
        <v/>
      </c>
      <c r="E2731" s="50" t="str">
        <f t="shared" si="211"/>
        <v/>
      </c>
      <c r="F2731" s="50" t="str">
        <f t="shared" si="212"/>
        <v/>
      </c>
      <c r="G2731" s="50" t="str">
        <f t="shared" si="213"/>
        <v/>
      </c>
      <c r="H2731" s="51" t="str">
        <f>IF($C2731="","",IFERROR(DATE(G2731,VLOOKUP(E2731,Paramètres!$K$11:$L$40,2,FALSE()),F2731),"?"))</f>
        <v/>
      </c>
      <c r="I2731" s="50" t="str">
        <f>IF(ISNUMBER(H2731),IF(COUNTIFS($D$2:D2731,D2731,$H$2:H2731,H2731)=1,1,0),"")</f>
        <v/>
      </c>
      <c r="J2731" s="50" t="str">
        <f>IF(ISNUMBER(H2731),IFERROR(INDEX(Calendrier!$C$2:$C$367,MATCH(H2731,Calendrier!$A$2:$A$367,0)),0),"")</f>
        <v/>
      </c>
      <c r="K2731" s="50" t="str">
        <f t="shared" si="214"/>
        <v/>
      </c>
      <c r="L2731" s="50" t="str">
        <f>IF(D2731="","",IF(COUNTIF(Paramètres!$A$11:$A$40,D2731)&gt;0,1,0))</f>
        <v/>
      </c>
    </row>
    <row r="2732" spans="1:12" hidden="1" x14ac:dyDescent="0.25">
      <c r="A2732" s="49"/>
      <c r="B2732" s="49"/>
      <c r="C2732" s="49"/>
      <c r="D2732" s="50" t="str">
        <f t="shared" si="210"/>
        <v/>
      </c>
      <c r="E2732" s="50" t="str">
        <f t="shared" si="211"/>
        <v/>
      </c>
      <c r="F2732" s="50" t="str">
        <f t="shared" si="212"/>
        <v/>
      </c>
      <c r="G2732" s="50" t="str">
        <f t="shared" si="213"/>
        <v/>
      </c>
      <c r="H2732" s="51" t="str">
        <f>IF($C2732="","",IFERROR(DATE(G2732,VLOOKUP(E2732,Paramètres!$K$11:$L$40,2,FALSE()),F2732),"?"))</f>
        <v/>
      </c>
      <c r="I2732" s="50" t="str">
        <f>IF(ISNUMBER(H2732),IF(COUNTIFS($D$2:D2732,D2732,$H$2:H2732,H2732)=1,1,0),"")</f>
        <v/>
      </c>
      <c r="J2732" s="50" t="str">
        <f>IF(ISNUMBER(H2732),IFERROR(INDEX(Calendrier!$C$2:$C$367,MATCH(H2732,Calendrier!$A$2:$A$367,0)),0),"")</f>
        <v/>
      </c>
      <c r="K2732" s="50" t="str">
        <f t="shared" si="214"/>
        <v/>
      </c>
      <c r="L2732" s="50" t="str">
        <f>IF(D2732="","",IF(COUNTIF(Paramètres!$A$11:$A$40,D2732)&gt;0,1,0))</f>
        <v/>
      </c>
    </row>
    <row r="2733" spans="1:12" hidden="1" x14ac:dyDescent="0.25">
      <c r="A2733" s="49"/>
      <c r="B2733" s="49"/>
      <c r="C2733" s="49"/>
      <c r="D2733" s="50" t="str">
        <f t="shared" si="210"/>
        <v/>
      </c>
      <c r="E2733" s="50" t="str">
        <f t="shared" si="211"/>
        <v/>
      </c>
      <c r="F2733" s="50" t="str">
        <f t="shared" si="212"/>
        <v/>
      </c>
      <c r="G2733" s="50" t="str">
        <f t="shared" si="213"/>
        <v/>
      </c>
      <c r="H2733" s="51" t="str">
        <f>IF($C2733="","",IFERROR(DATE(G2733,VLOOKUP(E2733,Paramètres!$K$11:$L$40,2,FALSE()),F2733),"?"))</f>
        <v/>
      </c>
      <c r="I2733" s="50" t="str">
        <f>IF(ISNUMBER(H2733),IF(COUNTIFS($D$2:D2733,D2733,$H$2:H2733,H2733)=1,1,0),"")</f>
        <v/>
      </c>
      <c r="J2733" s="50" t="str">
        <f>IF(ISNUMBER(H2733),IFERROR(INDEX(Calendrier!$C$2:$C$367,MATCH(H2733,Calendrier!$A$2:$A$367,0)),0),"")</f>
        <v/>
      </c>
      <c r="K2733" s="50" t="str">
        <f t="shared" si="214"/>
        <v/>
      </c>
      <c r="L2733" s="50" t="str">
        <f>IF(D2733="","",IF(COUNTIF(Paramètres!$A$11:$A$40,D2733)&gt;0,1,0))</f>
        <v/>
      </c>
    </row>
    <row r="2734" spans="1:12" hidden="1" x14ac:dyDescent="0.25">
      <c r="A2734" s="49"/>
      <c r="B2734" s="49"/>
      <c r="C2734" s="49"/>
      <c r="D2734" s="50" t="str">
        <f t="shared" si="210"/>
        <v/>
      </c>
      <c r="E2734" s="50" t="str">
        <f t="shared" si="211"/>
        <v/>
      </c>
      <c r="F2734" s="50" t="str">
        <f t="shared" si="212"/>
        <v/>
      </c>
      <c r="G2734" s="50" t="str">
        <f t="shared" si="213"/>
        <v/>
      </c>
      <c r="H2734" s="51" t="str">
        <f>IF($C2734="","",IFERROR(DATE(G2734,VLOOKUP(E2734,Paramètres!$K$11:$L$40,2,FALSE()),F2734),"?"))</f>
        <v/>
      </c>
      <c r="I2734" s="50" t="str">
        <f>IF(ISNUMBER(H2734),IF(COUNTIFS($D$2:D2734,D2734,$H$2:H2734,H2734)=1,1,0),"")</f>
        <v/>
      </c>
      <c r="J2734" s="50" t="str">
        <f>IF(ISNUMBER(H2734),IFERROR(INDEX(Calendrier!$C$2:$C$367,MATCH(H2734,Calendrier!$A$2:$A$367,0)),0),"")</f>
        <v/>
      </c>
      <c r="K2734" s="50" t="str">
        <f t="shared" si="214"/>
        <v/>
      </c>
      <c r="L2734" s="50" t="str">
        <f>IF(D2734="","",IF(COUNTIF(Paramètres!$A$11:$A$40,D2734)&gt;0,1,0))</f>
        <v/>
      </c>
    </row>
    <row r="2735" spans="1:12" hidden="1" x14ac:dyDescent="0.25">
      <c r="A2735" s="49"/>
      <c r="B2735" s="49"/>
      <c r="C2735" s="49"/>
      <c r="D2735" s="50" t="str">
        <f t="shared" si="210"/>
        <v/>
      </c>
      <c r="E2735" s="50" t="str">
        <f t="shared" si="211"/>
        <v/>
      </c>
      <c r="F2735" s="50" t="str">
        <f t="shared" si="212"/>
        <v/>
      </c>
      <c r="G2735" s="50" t="str">
        <f t="shared" si="213"/>
        <v/>
      </c>
      <c r="H2735" s="51" t="str">
        <f>IF($C2735="","",IFERROR(DATE(G2735,VLOOKUP(E2735,Paramètres!$K$11:$L$40,2,FALSE()),F2735),"?"))</f>
        <v/>
      </c>
      <c r="I2735" s="50" t="str">
        <f>IF(ISNUMBER(H2735),IF(COUNTIFS($D$2:D2735,D2735,$H$2:H2735,H2735)=1,1,0),"")</f>
        <v/>
      </c>
      <c r="J2735" s="50" t="str">
        <f>IF(ISNUMBER(H2735),IFERROR(INDEX(Calendrier!$C$2:$C$367,MATCH(H2735,Calendrier!$A$2:$A$367,0)),0),"")</f>
        <v/>
      </c>
      <c r="K2735" s="50" t="str">
        <f t="shared" si="214"/>
        <v/>
      </c>
      <c r="L2735" s="50" t="str">
        <f>IF(D2735="","",IF(COUNTIF(Paramètres!$A$11:$A$40,D2735)&gt;0,1,0))</f>
        <v/>
      </c>
    </row>
    <row r="2736" spans="1:12" hidden="1" x14ac:dyDescent="0.25">
      <c r="A2736" s="49"/>
      <c r="B2736" s="49"/>
      <c r="C2736" s="49"/>
      <c r="D2736" s="50" t="str">
        <f t="shared" si="210"/>
        <v/>
      </c>
      <c r="E2736" s="50" t="str">
        <f t="shared" si="211"/>
        <v/>
      </c>
      <c r="F2736" s="50" t="str">
        <f t="shared" si="212"/>
        <v/>
      </c>
      <c r="G2736" s="50" t="str">
        <f t="shared" si="213"/>
        <v/>
      </c>
      <c r="H2736" s="51" t="str">
        <f>IF($C2736="","",IFERROR(DATE(G2736,VLOOKUP(E2736,Paramètres!$K$11:$L$40,2,FALSE()),F2736),"?"))</f>
        <v/>
      </c>
      <c r="I2736" s="50" t="str">
        <f>IF(ISNUMBER(H2736),IF(COUNTIFS($D$2:D2736,D2736,$H$2:H2736,H2736)=1,1,0),"")</f>
        <v/>
      </c>
      <c r="J2736" s="50" t="str">
        <f>IF(ISNUMBER(H2736),IFERROR(INDEX(Calendrier!$C$2:$C$367,MATCH(H2736,Calendrier!$A$2:$A$367,0)),0),"")</f>
        <v/>
      </c>
      <c r="K2736" s="50" t="str">
        <f t="shared" si="214"/>
        <v/>
      </c>
      <c r="L2736" s="50" t="str">
        <f>IF(D2736="","",IF(COUNTIF(Paramètres!$A$11:$A$40,D2736)&gt;0,1,0))</f>
        <v/>
      </c>
    </row>
    <row r="2737" spans="1:12" hidden="1" x14ac:dyDescent="0.25">
      <c r="A2737" s="49"/>
      <c r="B2737" s="49"/>
      <c r="C2737" s="49"/>
      <c r="D2737" s="50" t="str">
        <f t="shared" si="210"/>
        <v/>
      </c>
      <c r="E2737" s="50" t="str">
        <f t="shared" si="211"/>
        <v/>
      </c>
      <c r="F2737" s="50" t="str">
        <f t="shared" si="212"/>
        <v/>
      </c>
      <c r="G2737" s="50" t="str">
        <f t="shared" si="213"/>
        <v/>
      </c>
      <c r="H2737" s="51" t="str">
        <f>IF($C2737="","",IFERROR(DATE(G2737,VLOOKUP(E2737,Paramètres!$K$11:$L$40,2,FALSE()),F2737),"?"))</f>
        <v/>
      </c>
      <c r="I2737" s="50" t="str">
        <f>IF(ISNUMBER(H2737),IF(COUNTIFS($D$2:D2737,D2737,$H$2:H2737,H2737)=1,1,0),"")</f>
        <v/>
      </c>
      <c r="J2737" s="50" t="str">
        <f>IF(ISNUMBER(H2737),IFERROR(INDEX(Calendrier!$C$2:$C$367,MATCH(H2737,Calendrier!$A$2:$A$367,0)),0),"")</f>
        <v/>
      </c>
      <c r="K2737" s="50" t="str">
        <f t="shared" si="214"/>
        <v/>
      </c>
      <c r="L2737" s="50" t="str">
        <f>IF(D2737="","",IF(COUNTIF(Paramètres!$A$11:$A$40,D2737)&gt;0,1,0))</f>
        <v/>
      </c>
    </row>
    <row r="2738" spans="1:12" hidden="1" x14ac:dyDescent="0.25">
      <c r="A2738" s="49"/>
      <c r="B2738" s="49"/>
      <c r="C2738" s="49"/>
      <c r="D2738" s="50" t="str">
        <f t="shared" si="210"/>
        <v/>
      </c>
      <c r="E2738" s="50" t="str">
        <f t="shared" si="211"/>
        <v/>
      </c>
      <c r="F2738" s="50" t="str">
        <f t="shared" si="212"/>
        <v/>
      </c>
      <c r="G2738" s="50" t="str">
        <f t="shared" si="213"/>
        <v/>
      </c>
      <c r="H2738" s="51" t="str">
        <f>IF($C2738="","",IFERROR(DATE(G2738,VLOOKUP(E2738,Paramètres!$K$11:$L$40,2,FALSE()),F2738),"?"))</f>
        <v/>
      </c>
      <c r="I2738" s="50" t="str">
        <f>IF(ISNUMBER(H2738),IF(COUNTIFS($D$2:D2738,D2738,$H$2:H2738,H2738)=1,1,0),"")</f>
        <v/>
      </c>
      <c r="J2738" s="50" t="str">
        <f>IF(ISNUMBER(H2738),IFERROR(INDEX(Calendrier!$C$2:$C$367,MATCH(H2738,Calendrier!$A$2:$A$367,0)),0),"")</f>
        <v/>
      </c>
      <c r="K2738" s="50" t="str">
        <f t="shared" si="214"/>
        <v/>
      </c>
      <c r="L2738" s="50" t="str">
        <f>IF(D2738="","",IF(COUNTIF(Paramètres!$A$11:$A$40,D2738)&gt;0,1,0))</f>
        <v/>
      </c>
    </row>
    <row r="2739" spans="1:12" hidden="1" x14ac:dyDescent="0.25">
      <c r="A2739" s="49"/>
      <c r="B2739" s="49"/>
      <c r="C2739" s="49"/>
      <c r="D2739" s="50" t="str">
        <f t="shared" si="210"/>
        <v/>
      </c>
      <c r="E2739" s="50" t="str">
        <f t="shared" si="211"/>
        <v/>
      </c>
      <c r="F2739" s="50" t="str">
        <f t="shared" si="212"/>
        <v/>
      </c>
      <c r="G2739" s="50" t="str">
        <f t="shared" si="213"/>
        <v/>
      </c>
      <c r="H2739" s="51" t="str">
        <f>IF($C2739="","",IFERROR(DATE(G2739,VLOOKUP(E2739,Paramètres!$K$11:$L$40,2,FALSE()),F2739),"?"))</f>
        <v/>
      </c>
      <c r="I2739" s="50" t="str">
        <f>IF(ISNUMBER(H2739),IF(COUNTIFS($D$2:D2739,D2739,$H$2:H2739,H2739)=1,1,0),"")</f>
        <v/>
      </c>
      <c r="J2739" s="50" t="str">
        <f>IF(ISNUMBER(H2739),IFERROR(INDEX(Calendrier!$C$2:$C$367,MATCH(H2739,Calendrier!$A$2:$A$367,0)),0),"")</f>
        <v/>
      </c>
      <c r="K2739" s="50" t="str">
        <f t="shared" si="214"/>
        <v/>
      </c>
      <c r="L2739" s="50" t="str">
        <f>IF(D2739="","",IF(COUNTIF(Paramètres!$A$11:$A$40,D2739)&gt;0,1,0))</f>
        <v/>
      </c>
    </row>
    <row r="2740" spans="1:12" hidden="1" x14ac:dyDescent="0.25">
      <c r="A2740" s="49"/>
      <c r="B2740" s="49"/>
      <c r="C2740" s="49"/>
      <c r="D2740" s="50" t="str">
        <f t="shared" si="210"/>
        <v/>
      </c>
      <c r="E2740" s="50" t="str">
        <f t="shared" si="211"/>
        <v/>
      </c>
      <c r="F2740" s="50" t="str">
        <f t="shared" si="212"/>
        <v/>
      </c>
      <c r="G2740" s="50" t="str">
        <f t="shared" si="213"/>
        <v/>
      </c>
      <c r="H2740" s="51" t="str">
        <f>IF($C2740="","",IFERROR(DATE(G2740,VLOOKUP(E2740,Paramètres!$K$11:$L$40,2,FALSE()),F2740),"?"))</f>
        <v/>
      </c>
      <c r="I2740" s="50" t="str">
        <f>IF(ISNUMBER(H2740),IF(COUNTIFS($D$2:D2740,D2740,$H$2:H2740,H2740)=1,1,0),"")</f>
        <v/>
      </c>
      <c r="J2740" s="50" t="str">
        <f>IF(ISNUMBER(H2740),IFERROR(INDEX(Calendrier!$C$2:$C$367,MATCH(H2740,Calendrier!$A$2:$A$367,0)),0),"")</f>
        <v/>
      </c>
      <c r="K2740" s="50" t="str">
        <f t="shared" si="214"/>
        <v/>
      </c>
      <c r="L2740" s="50" t="str">
        <f>IF(D2740="","",IF(COUNTIF(Paramètres!$A$11:$A$40,D2740)&gt;0,1,0))</f>
        <v/>
      </c>
    </row>
    <row r="2741" spans="1:12" hidden="1" x14ac:dyDescent="0.25">
      <c r="A2741" s="49"/>
      <c r="B2741" s="49"/>
      <c r="C2741" s="49"/>
      <c r="D2741" s="50" t="str">
        <f t="shared" si="210"/>
        <v/>
      </c>
      <c r="E2741" s="50" t="str">
        <f t="shared" si="211"/>
        <v/>
      </c>
      <c r="F2741" s="50" t="str">
        <f t="shared" si="212"/>
        <v/>
      </c>
      <c r="G2741" s="50" t="str">
        <f t="shared" si="213"/>
        <v/>
      </c>
      <c r="H2741" s="51" t="str">
        <f>IF($C2741="","",IFERROR(DATE(G2741,VLOOKUP(E2741,Paramètres!$K$11:$L$40,2,FALSE()),F2741),"?"))</f>
        <v/>
      </c>
      <c r="I2741" s="50" t="str">
        <f>IF(ISNUMBER(H2741),IF(COUNTIFS($D$2:D2741,D2741,$H$2:H2741,H2741)=1,1,0),"")</f>
        <v/>
      </c>
      <c r="J2741" s="50" t="str">
        <f>IF(ISNUMBER(H2741),IFERROR(INDEX(Calendrier!$C$2:$C$367,MATCH(H2741,Calendrier!$A$2:$A$367,0)),0),"")</f>
        <v/>
      </c>
      <c r="K2741" s="50" t="str">
        <f t="shared" si="214"/>
        <v/>
      </c>
      <c r="L2741" s="50" t="str">
        <f>IF(D2741="","",IF(COUNTIF(Paramètres!$A$11:$A$40,D2741)&gt;0,1,0))</f>
        <v/>
      </c>
    </row>
    <row r="2742" spans="1:12" hidden="1" x14ac:dyDescent="0.25">
      <c r="A2742" s="49"/>
      <c r="B2742" s="49"/>
      <c r="C2742" s="49"/>
      <c r="D2742" s="50" t="str">
        <f t="shared" si="210"/>
        <v/>
      </c>
      <c r="E2742" s="50" t="str">
        <f t="shared" si="211"/>
        <v/>
      </c>
      <c r="F2742" s="50" t="str">
        <f t="shared" si="212"/>
        <v/>
      </c>
      <c r="G2742" s="50" t="str">
        <f t="shared" si="213"/>
        <v/>
      </c>
      <c r="H2742" s="51" t="str">
        <f>IF($C2742="","",IFERROR(DATE(G2742,VLOOKUP(E2742,Paramètres!$K$11:$L$40,2,FALSE()),F2742),"?"))</f>
        <v/>
      </c>
      <c r="I2742" s="50" t="str">
        <f>IF(ISNUMBER(H2742),IF(COUNTIFS($D$2:D2742,D2742,$H$2:H2742,H2742)=1,1,0),"")</f>
        <v/>
      </c>
      <c r="J2742" s="50" t="str">
        <f>IF(ISNUMBER(H2742),IFERROR(INDEX(Calendrier!$C$2:$C$367,MATCH(H2742,Calendrier!$A$2:$A$367,0)),0),"")</f>
        <v/>
      </c>
      <c r="K2742" s="50" t="str">
        <f t="shared" si="214"/>
        <v/>
      </c>
      <c r="L2742" s="50" t="str">
        <f>IF(D2742="","",IF(COUNTIF(Paramètres!$A$11:$A$40,D2742)&gt;0,1,0))</f>
        <v/>
      </c>
    </row>
    <row r="2743" spans="1:12" hidden="1" x14ac:dyDescent="0.25">
      <c r="A2743" s="49"/>
      <c r="B2743" s="49"/>
      <c r="C2743" s="49"/>
      <c r="D2743" s="50" t="str">
        <f t="shared" si="210"/>
        <v/>
      </c>
      <c r="E2743" s="50" t="str">
        <f t="shared" si="211"/>
        <v/>
      </c>
      <c r="F2743" s="50" t="str">
        <f t="shared" si="212"/>
        <v/>
      </c>
      <c r="G2743" s="50" t="str">
        <f t="shared" si="213"/>
        <v/>
      </c>
      <c r="H2743" s="51" t="str">
        <f>IF($C2743="","",IFERROR(DATE(G2743,VLOOKUP(E2743,Paramètres!$K$11:$L$40,2,FALSE()),F2743),"?"))</f>
        <v/>
      </c>
      <c r="I2743" s="50" t="str">
        <f>IF(ISNUMBER(H2743),IF(COUNTIFS($D$2:D2743,D2743,$H$2:H2743,H2743)=1,1,0),"")</f>
        <v/>
      </c>
      <c r="J2743" s="50" t="str">
        <f>IF(ISNUMBER(H2743),IFERROR(INDEX(Calendrier!$C$2:$C$367,MATCH(H2743,Calendrier!$A$2:$A$367,0)),0),"")</f>
        <v/>
      </c>
      <c r="K2743" s="50" t="str">
        <f t="shared" si="214"/>
        <v/>
      </c>
      <c r="L2743" s="50" t="str">
        <f>IF(D2743="","",IF(COUNTIF(Paramètres!$A$11:$A$40,D2743)&gt;0,1,0))</f>
        <v/>
      </c>
    </row>
    <row r="2744" spans="1:12" hidden="1" x14ac:dyDescent="0.25">
      <c r="A2744" s="49"/>
      <c r="B2744" s="49"/>
      <c r="C2744" s="49"/>
      <c r="D2744" s="50" t="str">
        <f t="shared" si="210"/>
        <v/>
      </c>
      <c r="E2744" s="50" t="str">
        <f t="shared" si="211"/>
        <v/>
      </c>
      <c r="F2744" s="50" t="str">
        <f t="shared" si="212"/>
        <v/>
      </c>
      <c r="G2744" s="50" t="str">
        <f t="shared" si="213"/>
        <v/>
      </c>
      <c r="H2744" s="51" t="str">
        <f>IF($C2744="","",IFERROR(DATE(G2744,VLOOKUP(E2744,Paramètres!$K$11:$L$40,2,FALSE()),F2744),"?"))</f>
        <v/>
      </c>
      <c r="I2744" s="50" t="str">
        <f>IF(ISNUMBER(H2744),IF(COUNTIFS($D$2:D2744,D2744,$H$2:H2744,H2744)=1,1,0),"")</f>
        <v/>
      </c>
      <c r="J2744" s="50" t="str">
        <f>IF(ISNUMBER(H2744),IFERROR(INDEX(Calendrier!$C$2:$C$367,MATCH(H2744,Calendrier!$A$2:$A$367,0)),0),"")</f>
        <v/>
      </c>
      <c r="K2744" s="50" t="str">
        <f t="shared" si="214"/>
        <v/>
      </c>
      <c r="L2744" s="50" t="str">
        <f>IF(D2744="","",IF(COUNTIF(Paramètres!$A$11:$A$40,D2744)&gt;0,1,0))</f>
        <v/>
      </c>
    </row>
    <row r="2745" spans="1:12" hidden="1" x14ac:dyDescent="0.25">
      <c r="A2745" s="49"/>
      <c r="B2745" s="49"/>
      <c r="C2745" s="49"/>
      <c r="D2745" s="50" t="str">
        <f t="shared" si="210"/>
        <v/>
      </c>
      <c r="E2745" s="50" t="str">
        <f t="shared" si="211"/>
        <v/>
      </c>
      <c r="F2745" s="50" t="str">
        <f t="shared" si="212"/>
        <v/>
      </c>
      <c r="G2745" s="50" t="str">
        <f t="shared" si="213"/>
        <v/>
      </c>
      <c r="H2745" s="51" t="str">
        <f>IF($C2745="","",IFERROR(DATE(G2745,VLOOKUP(E2745,Paramètres!$K$11:$L$40,2,FALSE()),F2745),"?"))</f>
        <v/>
      </c>
      <c r="I2745" s="50" t="str">
        <f>IF(ISNUMBER(H2745),IF(COUNTIFS($D$2:D2745,D2745,$H$2:H2745,H2745)=1,1,0),"")</f>
        <v/>
      </c>
      <c r="J2745" s="50" t="str">
        <f>IF(ISNUMBER(H2745),IFERROR(INDEX(Calendrier!$C$2:$C$367,MATCH(H2745,Calendrier!$A$2:$A$367,0)),0),"")</f>
        <v/>
      </c>
      <c r="K2745" s="50" t="str">
        <f t="shared" si="214"/>
        <v/>
      </c>
      <c r="L2745" s="50" t="str">
        <f>IF(D2745="","",IF(COUNTIF(Paramètres!$A$11:$A$40,D2745)&gt;0,1,0))</f>
        <v/>
      </c>
    </row>
    <row r="2746" spans="1:12" hidden="1" x14ac:dyDescent="0.25">
      <c r="A2746" s="49"/>
      <c r="B2746" s="49"/>
      <c r="C2746" s="49"/>
      <c r="D2746" s="50" t="str">
        <f t="shared" si="210"/>
        <v/>
      </c>
      <c r="E2746" s="50" t="str">
        <f t="shared" si="211"/>
        <v/>
      </c>
      <c r="F2746" s="50" t="str">
        <f t="shared" si="212"/>
        <v/>
      </c>
      <c r="G2746" s="50" t="str">
        <f t="shared" si="213"/>
        <v/>
      </c>
      <c r="H2746" s="51" t="str">
        <f>IF($C2746="","",IFERROR(DATE(G2746,VLOOKUP(E2746,Paramètres!$K$11:$L$40,2,FALSE()),F2746),"?"))</f>
        <v/>
      </c>
      <c r="I2746" s="50" t="str">
        <f>IF(ISNUMBER(H2746),IF(COUNTIFS($D$2:D2746,D2746,$H$2:H2746,H2746)=1,1,0),"")</f>
        <v/>
      </c>
      <c r="J2746" s="50" t="str">
        <f>IF(ISNUMBER(H2746),IFERROR(INDEX(Calendrier!$C$2:$C$367,MATCH(H2746,Calendrier!$A$2:$A$367,0)),0),"")</f>
        <v/>
      </c>
      <c r="K2746" s="50" t="str">
        <f t="shared" si="214"/>
        <v/>
      </c>
      <c r="L2746" s="50" t="str">
        <f>IF(D2746="","",IF(COUNTIF(Paramètres!$A$11:$A$40,D2746)&gt;0,1,0))</f>
        <v/>
      </c>
    </row>
    <row r="2747" spans="1:12" hidden="1" x14ac:dyDescent="0.25">
      <c r="A2747" s="49"/>
      <c r="B2747" s="49"/>
      <c r="C2747" s="49"/>
      <c r="D2747" s="50" t="str">
        <f t="shared" si="210"/>
        <v/>
      </c>
      <c r="E2747" s="50" t="str">
        <f t="shared" si="211"/>
        <v/>
      </c>
      <c r="F2747" s="50" t="str">
        <f t="shared" si="212"/>
        <v/>
      </c>
      <c r="G2747" s="50" t="str">
        <f t="shared" si="213"/>
        <v/>
      </c>
      <c r="H2747" s="51" t="str">
        <f>IF($C2747="","",IFERROR(DATE(G2747,VLOOKUP(E2747,Paramètres!$K$11:$L$40,2,FALSE()),F2747),"?"))</f>
        <v/>
      </c>
      <c r="I2747" s="50" t="str">
        <f>IF(ISNUMBER(H2747),IF(COUNTIFS($D$2:D2747,D2747,$H$2:H2747,H2747)=1,1,0),"")</f>
        <v/>
      </c>
      <c r="J2747" s="50" t="str">
        <f>IF(ISNUMBER(H2747),IFERROR(INDEX(Calendrier!$C$2:$C$367,MATCH(H2747,Calendrier!$A$2:$A$367,0)),0),"")</f>
        <v/>
      </c>
      <c r="K2747" s="50" t="str">
        <f t="shared" si="214"/>
        <v/>
      </c>
      <c r="L2747" s="50" t="str">
        <f>IF(D2747="","",IF(COUNTIF(Paramètres!$A$11:$A$40,D2747)&gt;0,1,0))</f>
        <v/>
      </c>
    </row>
    <row r="2748" spans="1:12" hidden="1" x14ac:dyDescent="0.25">
      <c r="A2748" s="49"/>
      <c r="B2748" s="49"/>
      <c r="C2748" s="49"/>
      <c r="D2748" s="50" t="str">
        <f t="shared" si="210"/>
        <v/>
      </c>
      <c r="E2748" s="50" t="str">
        <f t="shared" si="211"/>
        <v/>
      </c>
      <c r="F2748" s="50" t="str">
        <f t="shared" si="212"/>
        <v/>
      </c>
      <c r="G2748" s="50" t="str">
        <f t="shared" si="213"/>
        <v/>
      </c>
      <c r="H2748" s="51" t="str">
        <f>IF($C2748="","",IFERROR(DATE(G2748,VLOOKUP(E2748,Paramètres!$K$11:$L$40,2,FALSE()),F2748),"?"))</f>
        <v/>
      </c>
      <c r="I2748" s="50" t="str">
        <f>IF(ISNUMBER(H2748),IF(COUNTIFS($D$2:D2748,D2748,$H$2:H2748,H2748)=1,1,0),"")</f>
        <v/>
      </c>
      <c r="J2748" s="50" t="str">
        <f>IF(ISNUMBER(H2748),IFERROR(INDEX(Calendrier!$C$2:$C$367,MATCH(H2748,Calendrier!$A$2:$A$367,0)),0),"")</f>
        <v/>
      </c>
      <c r="K2748" s="50" t="str">
        <f t="shared" si="214"/>
        <v/>
      </c>
      <c r="L2748" s="50" t="str">
        <f>IF(D2748="","",IF(COUNTIF(Paramètres!$A$11:$A$40,D2748)&gt;0,1,0))</f>
        <v/>
      </c>
    </row>
    <row r="2749" spans="1:12" hidden="1" x14ac:dyDescent="0.25">
      <c r="A2749" s="49"/>
      <c r="B2749" s="49"/>
      <c r="C2749" s="49"/>
      <c r="D2749" s="50" t="str">
        <f t="shared" si="210"/>
        <v/>
      </c>
      <c r="E2749" s="50" t="str">
        <f t="shared" si="211"/>
        <v/>
      </c>
      <c r="F2749" s="50" t="str">
        <f t="shared" si="212"/>
        <v/>
      </c>
      <c r="G2749" s="50" t="str">
        <f t="shared" si="213"/>
        <v/>
      </c>
      <c r="H2749" s="51" t="str">
        <f>IF($C2749="","",IFERROR(DATE(G2749,VLOOKUP(E2749,Paramètres!$K$11:$L$40,2,FALSE()),F2749),"?"))</f>
        <v/>
      </c>
      <c r="I2749" s="50" t="str">
        <f>IF(ISNUMBER(H2749),IF(COUNTIFS($D$2:D2749,D2749,$H$2:H2749,H2749)=1,1,0),"")</f>
        <v/>
      </c>
      <c r="J2749" s="50" t="str">
        <f>IF(ISNUMBER(H2749),IFERROR(INDEX(Calendrier!$C$2:$C$367,MATCH(H2749,Calendrier!$A$2:$A$367,0)),0),"")</f>
        <v/>
      </c>
      <c r="K2749" s="50" t="str">
        <f t="shared" si="214"/>
        <v/>
      </c>
      <c r="L2749" s="50" t="str">
        <f>IF(D2749="","",IF(COUNTIF(Paramètres!$A$11:$A$40,D2749)&gt;0,1,0))</f>
        <v/>
      </c>
    </row>
    <row r="2750" spans="1:12" hidden="1" x14ac:dyDescent="0.25">
      <c r="A2750" s="49"/>
      <c r="B2750" s="49"/>
      <c r="C2750" s="49"/>
      <c r="D2750" s="50" t="str">
        <f t="shared" si="210"/>
        <v/>
      </c>
      <c r="E2750" s="50" t="str">
        <f t="shared" si="211"/>
        <v/>
      </c>
      <c r="F2750" s="50" t="str">
        <f t="shared" si="212"/>
        <v/>
      </c>
      <c r="G2750" s="50" t="str">
        <f t="shared" si="213"/>
        <v/>
      </c>
      <c r="H2750" s="51" t="str">
        <f>IF($C2750="","",IFERROR(DATE(G2750,VLOOKUP(E2750,Paramètres!$K$11:$L$40,2,FALSE()),F2750),"?"))</f>
        <v/>
      </c>
      <c r="I2750" s="50" t="str">
        <f>IF(ISNUMBER(H2750),IF(COUNTIFS($D$2:D2750,D2750,$H$2:H2750,H2750)=1,1,0),"")</f>
        <v/>
      </c>
      <c r="J2750" s="50" t="str">
        <f>IF(ISNUMBER(H2750),IFERROR(INDEX(Calendrier!$C$2:$C$367,MATCH(H2750,Calendrier!$A$2:$A$367,0)),0),"")</f>
        <v/>
      </c>
      <c r="K2750" s="50" t="str">
        <f t="shared" si="214"/>
        <v/>
      </c>
      <c r="L2750" s="50" t="str">
        <f>IF(D2750="","",IF(COUNTIF(Paramètres!$A$11:$A$40,D2750)&gt;0,1,0))</f>
        <v/>
      </c>
    </row>
    <row r="2751" spans="1:12" hidden="1" x14ac:dyDescent="0.25">
      <c r="A2751" s="49"/>
      <c r="B2751" s="49"/>
      <c r="C2751" s="49"/>
      <c r="D2751" s="50" t="str">
        <f t="shared" si="210"/>
        <v/>
      </c>
      <c r="E2751" s="50" t="str">
        <f t="shared" si="211"/>
        <v/>
      </c>
      <c r="F2751" s="50" t="str">
        <f t="shared" si="212"/>
        <v/>
      </c>
      <c r="G2751" s="50" t="str">
        <f t="shared" si="213"/>
        <v/>
      </c>
      <c r="H2751" s="51" t="str">
        <f>IF($C2751="","",IFERROR(DATE(G2751,VLOOKUP(E2751,Paramètres!$K$11:$L$40,2,FALSE()),F2751),"?"))</f>
        <v/>
      </c>
      <c r="I2751" s="50" t="str">
        <f>IF(ISNUMBER(H2751),IF(COUNTIFS($D$2:D2751,D2751,$H$2:H2751,H2751)=1,1,0),"")</f>
        <v/>
      </c>
      <c r="J2751" s="50" t="str">
        <f>IF(ISNUMBER(H2751),IFERROR(INDEX(Calendrier!$C$2:$C$367,MATCH(H2751,Calendrier!$A$2:$A$367,0)),0),"")</f>
        <v/>
      </c>
      <c r="K2751" s="50" t="str">
        <f t="shared" si="214"/>
        <v/>
      </c>
      <c r="L2751" s="50" t="str">
        <f>IF(D2751="","",IF(COUNTIF(Paramètres!$A$11:$A$40,D2751)&gt;0,1,0))</f>
        <v/>
      </c>
    </row>
    <row r="2752" spans="1:12" hidden="1" x14ac:dyDescent="0.25">
      <c r="A2752" s="49"/>
      <c r="B2752" s="49"/>
      <c r="C2752" s="49"/>
      <c r="D2752" s="50" t="str">
        <f t="shared" si="210"/>
        <v/>
      </c>
      <c r="E2752" s="50" t="str">
        <f t="shared" si="211"/>
        <v/>
      </c>
      <c r="F2752" s="50" t="str">
        <f t="shared" si="212"/>
        <v/>
      </c>
      <c r="G2752" s="50" t="str">
        <f t="shared" si="213"/>
        <v/>
      </c>
      <c r="H2752" s="51" t="str">
        <f>IF($C2752="","",IFERROR(DATE(G2752,VLOOKUP(E2752,Paramètres!$K$11:$L$40,2,FALSE()),F2752),"?"))</f>
        <v/>
      </c>
      <c r="I2752" s="50" t="str">
        <f>IF(ISNUMBER(H2752),IF(COUNTIFS($D$2:D2752,D2752,$H$2:H2752,H2752)=1,1,0),"")</f>
        <v/>
      </c>
      <c r="J2752" s="50" t="str">
        <f>IF(ISNUMBER(H2752),IFERROR(INDEX(Calendrier!$C$2:$C$367,MATCH(H2752,Calendrier!$A$2:$A$367,0)),0),"")</f>
        <v/>
      </c>
      <c r="K2752" s="50" t="str">
        <f t="shared" si="214"/>
        <v/>
      </c>
      <c r="L2752" s="50" t="str">
        <f>IF(D2752="","",IF(COUNTIF(Paramètres!$A$11:$A$40,D2752)&gt;0,1,0))</f>
        <v/>
      </c>
    </row>
    <row r="2753" spans="1:12" hidden="1" x14ac:dyDescent="0.25">
      <c r="A2753" s="49"/>
      <c r="B2753" s="49"/>
      <c r="C2753" s="49"/>
      <c r="D2753" s="50" t="str">
        <f t="shared" si="210"/>
        <v/>
      </c>
      <c r="E2753" s="50" t="str">
        <f t="shared" si="211"/>
        <v/>
      </c>
      <c r="F2753" s="50" t="str">
        <f t="shared" si="212"/>
        <v/>
      </c>
      <c r="G2753" s="50" t="str">
        <f t="shared" si="213"/>
        <v/>
      </c>
      <c r="H2753" s="51" t="str">
        <f>IF($C2753="","",IFERROR(DATE(G2753,VLOOKUP(E2753,Paramètres!$K$11:$L$40,2,FALSE()),F2753),"?"))</f>
        <v/>
      </c>
      <c r="I2753" s="50" t="str">
        <f>IF(ISNUMBER(H2753),IF(COUNTIFS($D$2:D2753,D2753,$H$2:H2753,H2753)=1,1,0),"")</f>
        <v/>
      </c>
      <c r="J2753" s="50" t="str">
        <f>IF(ISNUMBER(H2753),IFERROR(INDEX(Calendrier!$C$2:$C$367,MATCH(H2753,Calendrier!$A$2:$A$367,0)),0),"")</f>
        <v/>
      </c>
      <c r="K2753" s="50" t="str">
        <f t="shared" si="214"/>
        <v/>
      </c>
      <c r="L2753" s="50" t="str">
        <f>IF(D2753="","",IF(COUNTIF(Paramètres!$A$11:$A$40,D2753)&gt;0,1,0))</f>
        <v/>
      </c>
    </row>
    <row r="2754" spans="1:12" hidden="1" x14ac:dyDescent="0.25">
      <c r="A2754" s="49"/>
      <c r="B2754" s="49"/>
      <c r="C2754" s="49"/>
      <c r="D2754" s="50" t="str">
        <f t="shared" ref="D2754:D2817" si="215">IF(B2754="","",TRIM(B2754))</f>
        <v/>
      </c>
      <c r="E2754" s="50" t="str">
        <f t="shared" ref="E2754:E2817" si="216">IF($C2754="","",LEFT($C2754,FIND(" ",$C2754)-1))</f>
        <v/>
      </c>
      <c r="F2754" s="50" t="str">
        <f t="shared" ref="F2754:F2817" si="217">IF($C2754="","",IFERROR(VALUE(LEFT(MID($C2754,FIND(" ",$C2754)+1,20),FIND(" ",MID($C2754,FIND(" ",$C2754)+1,20))-1)),"?"))</f>
        <v/>
      </c>
      <c r="G2754" s="50" t="str">
        <f t="shared" ref="G2754:G2817" si="218">IF($C2754="","",IFERROR(VALUE(MID(MID($C2754,FIND(" ",$C2754)+1,20),FIND(" ",MID($C2754,FIND(" ",$C2754)+1,20))+1,4)),"?"))</f>
        <v/>
      </c>
      <c r="H2754" s="51" t="str">
        <f>IF($C2754="","",IFERROR(DATE(G2754,VLOOKUP(E2754,Paramètres!$K$11:$L$40,2,FALSE()),F2754),"?"))</f>
        <v/>
      </c>
      <c r="I2754" s="50" t="str">
        <f>IF(ISNUMBER(H2754),IF(COUNTIFS($D$2:D2754,D2754,$H$2:H2754,H2754)=1,1,0),"")</f>
        <v/>
      </c>
      <c r="J2754" s="50" t="str">
        <f>IF(ISNUMBER(H2754),IFERROR(INDEX(Calendrier!$C$2:$C$367,MATCH(H2754,Calendrier!$A$2:$A$367,0)),0),"")</f>
        <v/>
      </c>
      <c r="K2754" s="50" t="str">
        <f t="shared" ref="K2754:K2817" si="219">IF(ISNUMBER(H2754),I2754*J2754,"")</f>
        <v/>
      </c>
      <c r="L2754" s="50" t="str">
        <f>IF(D2754="","",IF(COUNTIF(Paramètres!$A$11:$A$40,D2754)&gt;0,1,0))</f>
        <v/>
      </c>
    </row>
    <row r="2755" spans="1:12" hidden="1" x14ac:dyDescent="0.25">
      <c r="A2755" s="49"/>
      <c r="B2755" s="49"/>
      <c r="C2755" s="49"/>
      <c r="D2755" s="50" t="str">
        <f t="shared" si="215"/>
        <v/>
      </c>
      <c r="E2755" s="50" t="str">
        <f t="shared" si="216"/>
        <v/>
      </c>
      <c r="F2755" s="50" t="str">
        <f t="shared" si="217"/>
        <v/>
      </c>
      <c r="G2755" s="50" t="str">
        <f t="shared" si="218"/>
        <v/>
      </c>
      <c r="H2755" s="51" t="str">
        <f>IF($C2755="","",IFERROR(DATE(G2755,VLOOKUP(E2755,Paramètres!$K$11:$L$40,2,FALSE()),F2755),"?"))</f>
        <v/>
      </c>
      <c r="I2755" s="50" t="str">
        <f>IF(ISNUMBER(H2755),IF(COUNTIFS($D$2:D2755,D2755,$H$2:H2755,H2755)=1,1,0),"")</f>
        <v/>
      </c>
      <c r="J2755" s="50" t="str">
        <f>IF(ISNUMBER(H2755),IFERROR(INDEX(Calendrier!$C$2:$C$367,MATCH(H2755,Calendrier!$A$2:$A$367,0)),0),"")</f>
        <v/>
      </c>
      <c r="K2755" s="50" t="str">
        <f t="shared" si="219"/>
        <v/>
      </c>
      <c r="L2755" s="50" t="str">
        <f>IF(D2755="","",IF(COUNTIF(Paramètres!$A$11:$A$40,D2755)&gt;0,1,0))</f>
        <v/>
      </c>
    </row>
    <row r="2756" spans="1:12" hidden="1" x14ac:dyDescent="0.25">
      <c r="A2756" s="49"/>
      <c r="B2756" s="49"/>
      <c r="C2756" s="49"/>
      <c r="D2756" s="50" t="str">
        <f t="shared" si="215"/>
        <v/>
      </c>
      <c r="E2756" s="50" t="str">
        <f t="shared" si="216"/>
        <v/>
      </c>
      <c r="F2756" s="50" t="str">
        <f t="shared" si="217"/>
        <v/>
      </c>
      <c r="G2756" s="50" t="str">
        <f t="shared" si="218"/>
        <v/>
      </c>
      <c r="H2756" s="51" t="str">
        <f>IF($C2756="","",IFERROR(DATE(G2756,VLOOKUP(E2756,Paramètres!$K$11:$L$40,2,FALSE()),F2756),"?"))</f>
        <v/>
      </c>
      <c r="I2756" s="50" t="str">
        <f>IF(ISNUMBER(H2756),IF(COUNTIFS($D$2:D2756,D2756,$H$2:H2756,H2756)=1,1,0),"")</f>
        <v/>
      </c>
      <c r="J2756" s="50" t="str">
        <f>IF(ISNUMBER(H2756),IFERROR(INDEX(Calendrier!$C$2:$C$367,MATCH(H2756,Calendrier!$A$2:$A$367,0)),0),"")</f>
        <v/>
      </c>
      <c r="K2756" s="50" t="str">
        <f t="shared" si="219"/>
        <v/>
      </c>
      <c r="L2756" s="50" t="str">
        <f>IF(D2756="","",IF(COUNTIF(Paramètres!$A$11:$A$40,D2756)&gt;0,1,0))</f>
        <v/>
      </c>
    </row>
    <row r="2757" spans="1:12" hidden="1" x14ac:dyDescent="0.25">
      <c r="A2757" s="49"/>
      <c r="B2757" s="49"/>
      <c r="C2757" s="49"/>
      <c r="D2757" s="50" t="str">
        <f t="shared" si="215"/>
        <v/>
      </c>
      <c r="E2757" s="50" t="str">
        <f t="shared" si="216"/>
        <v/>
      </c>
      <c r="F2757" s="50" t="str">
        <f t="shared" si="217"/>
        <v/>
      </c>
      <c r="G2757" s="50" t="str">
        <f t="shared" si="218"/>
        <v/>
      </c>
      <c r="H2757" s="51" t="str">
        <f>IF($C2757="","",IFERROR(DATE(G2757,VLOOKUP(E2757,Paramètres!$K$11:$L$40,2,FALSE()),F2757),"?"))</f>
        <v/>
      </c>
      <c r="I2757" s="50" t="str">
        <f>IF(ISNUMBER(H2757),IF(COUNTIFS($D$2:D2757,D2757,$H$2:H2757,H2757)=1,1,0),"")</f>
        <v/>
      </c>
      <c r="J2757" s="50" t="str">
        <f>IF(ISNUMBER(H2757),IFERROR(INDEX(Calendrier!$C$2:$C$367,MATCH(H2757,Calendrier!$A$2:$A$367,0)),0),"")</f>
        <v/>
      </c>
      <c r="K2757" s="50" t="str">
        <f t="shared" si="219"/>
        <v/>
      </c>
      <c r="L2757" s="50" t="str">
        <f>IF(D2757="","",IF(COUNTIF(Paramètres!$A$11:$A$40,D2757)&gt;0,1,0))</f>
        <v/>
      </c>
    </row>
    <row r="2758" spans="1:12" hidden="1" x14ac:dyDescent="0.25">
      <c r="A2758" s="49"/>
      <c r="B2758" s="49"/>
      <c r="C2758" s="49"/>
      <c r="D2758" s="50" t="str">
        <f t="shared" si="215"/>
        <v/>
      </c>
      <c r="E2758" s="50" t="str">
        <f t="shared" si="216"/>
        <v/>
      </c>
      <c r="F2758" s="50" t="str">
        <f t="shared" si="217"/>
        <v/>
      </c>
      <c r="G2758" s="50" t="str">
        <f t="shared" si="218"/>
        <v/>
      </c>
      <c r="H2758" s="51" t="str">
        <f>IF($C2758="","",IFERROR(DATE(G2758,VLOOKUP(E2758,Paramètres!$K$11:$L$40,2,FALSE()),F2758),"?"))</f>
        <v/>
      </c>
      <c r="I2758" s="50" t="str">
        <f>IF(ISNUMBER(H2758),IF(COUNTIFS($D$2:D2758,D2758,$H$2:H2758,H2758)=1,1,0),"")</f>
        <v/>
      </c>
      <c r="J2758" s="50" t="str">
        <f>IF(ISNUMBER(H2758),IFERROR(INDEX(Calendrier!$C$2:$C$367,MATCH(H2758,Calendrier!$A$2:$A$367,0)),0),"")</f>
        <v/>
      </c>
      <c r="K2758" s="50" t="str">
        <f t="shared" si="219"/>
        <v/>
      </c>
      <c r="L2758" s="50" t="str">
        <f>IF(D2758="","",IF(COUNTIF(Paramètres!$A$11:$A$40,D2758)&gt;0,1,0))</f>
        <v/>
      </c>
    </row>
    <row r="2759" spans="1:12" hidden="1" x14ac:dyDescent="0.25">
      <c r="A2759" s="49"/>
      <c r="B2759" s="49"/>
      <c r="C2759" s="49"/>
      <c r="D2759" s="50" t="str">
        <f t="shared" si="215"/>
        <v/>
      </c>
      <c r="E2759" s="50" t="str">
        <f t="shared" si="216"/>
        <v/>
      </c>
      <c r="F2759" s="50" t="str">
        <f t="shared" si="217"/>
        <v/>
      </c>
      <c r="G2759" s="50" t="str">
        <f t="shared" si="218"/>
        <v/>
      </c>
      <c r="H2759" s="51" t="str">
        <f>IF($C2759="","",IFERROR(DATE(G2759,VLOOKUP(E2759,Paramètres!$K$11:$L$40,2,FALSE()),F2759),"?"))</f>
        <v/>
      </c>
      <c r="I2759" s="50" t="str">
        <f>IF(ISNUMBER(H2759),IF(COUNTIFS($D$2:D2759,D2759,$H$2:H2759,H2759)=1,1,0),"")</f>
        <v/>
      </c>
      <c r="J2759" s="50" t="str">
        <f>IF(ISNUMBER(H2759),IFERROR(INDEX(Calendrier!$C$2:$C$367,MATCH(H2759,Calendrier!$A$2:$A$367,0)),0),"")</f>
        <v/>
      </c>
      <c r="K2759" s="50" t="str">
        <f t="shared" si="219"/>
        <v/>
      </c>
      <c r="L2759" s="50" t="str">
        <f>IF(D2759="","",IF(COUNTIF(Paramètres!$A$11:$A$40,D2759)&gt;0,1,0))</f>
        <v/>
      </c>
    </row>
    <row r="2760" spans="1:12" hidden="1" x14ac:dyDescent="0.25">
      <c r="A2760" s="49"/>
      <c r="B2760" s="49"/>
      <c r="C2760" s="49"/>
      <c r="D2760" s="50" t="str">
        <f t="shared" si="215"/>
        <v/>
      </c>
      <c r="E2760" s="50" t="str">
        <f t="shared" si="216"/>
        <v/>
      </c>
      <c r="F2760" s="50" t="str">
        <f t="shared" si="217"/>
        <v/>
      </c>
      <c r="G2760" s="50" t="str">
        <f t="shared" si="218"/>
        <v/>
      </c>
      <c r="H2760" s="51" t="str">
        <f>IF($C2760="","",IFERROR(DATE(G2760,VLOOKUP(E2760,Paramètres!$K$11:$L$40,2,FALSE()),F2760),"?"))</f>
        <v/>
      </c>
      <c r="I2760" s="50" t="str">
        <f>IF(ISNUMBER(H2760),IF(COUNTIFS($D$2:D2760,D2760,$H$2:H2760,H2760)=1,1,0),"")</f>
        <v/>
      </c>
      <c r="J2760" s="50" t="str">
        <f>IF(ISNUMBER(H2760),IFERROR(INDEX(Calendrier!$C$2:$C$367,MATCH(H2760,Calendrier!$A$2:$A$367,0)),0),"")</f>
        <v/>
      </c>
      <c r="K2760" s="50" t="str">
        <f t="shared" si="219"/>
        <v/>
      </c>
      <c r="L2760" s="50" t="str">
        <f>IF(D2760="","",IF(COUNTIF(Paramètres!$A$11:$A$40,D2760)&gt;0,1,0))</f>
        <v/>
      </c>
    </row>
    <row r="2761" spans="1:12" hidden="1" x14ac:dyDescent="0.25">
      <c r="A2761" s="49"/>
      <c r="B2761" s="49"/>
      <c r="C2761" s="49"/>
      <c r="D2761" s="50" t="str">
        <f t="shared" si="215"/>
        <v/>
      </c>
      <c r="E2761" s="50" t="str">
        <f t="shared" si="216"/>
        <v/>
      </c>
      <c r="F2761" s="50" t="str">
        <f t="shared" si="217"/>
        <v/>
      </c>
      <c r="G2761" s="50" t="str">
        <f t="shared" si="218"/>
        <v/>
      </c>
      <c r="H2761" s="51" t="str">
        <f>IF($C2761="","",IFERROR(DATE(G2761,VLOOKUP(E2761,Paramètres!$K$11:$L$40,2,FALSE()),F2761),"?"))</f>
        <v/>
      </c>
      <c r="I2761" s="50" t="str">
        <f>IF(ISNUMBER(H2761),IF(COUNTIFS($D$2:D2761,D2761,$H$2:H2761,H2761)=1,1,0),"")</f>
        <v/>
      </c>
      <c r="J2761" s="50" t="str">
        <f>IF(ISNUMBER(H2761),IFERROR(INDEX(Calendrier!$C$2:$C$367,MATCH(H2761,Calendrier!$A$2:$A$367,0)),0),"")</f>
        <v/>
      </c>
      <c r="K2761" s="50" t="str">
        <f t="shared" si="219"/>
        <v/>
      </c>
      <c r="L2761" s="50" t="str">
        <f>IF(D2761="","",IF(COUNTIF(Paramètres!$A$11:$A$40,D2761)&gt;0,1,0))</f>
        <v/>
      </c>
    </row>
    <row r="2762" spans="1:12" hidden="1" x14ac:dyDescent="0.25">
      <c r="A2762" s="49"/>
      <c r="B2762" s="49"/>
      <c r="C2762" s="49"/>
      <c r="D2762" s="50" t="str">
        <f t="shared" si="215"/>
        <v/>
      </c>
      <c r="E2762" s="50" t="str">
        <f t="shared" si="216"/>
        <v/>
      </c>
      <c r="F2762" s="50" t="str">
        <f t="shared" si="217"/>
        <v/>
      </c>
      <c r="G2762" s="50" t="str">
        <f t="shared" si="218"/>
        <v/>
      </c>
      <c r="H2762" s="51" t="str">
        <f>IF($C2762="","",IFERROR(DATE(G2762,VLOOKUP(E2762,Paramètres!$K$11:$L$40,2,FALSE()),F2762),"?"))</f>
        <v/>
      </c>
      <c r="I2762" s="50" t="str">
        <f>IF(ISNUMBER(H2762),IF(COUNTIFS($D$2:D2762,D2762,$H$2:H2762,H2762)=1,1,0),"")</f>
        <v/>
      </c>
      <c r="J2762" s="50" t="str">
        <f>IF(ISNUMBER(H2762),IFERROR(INDEX(Calendrier!$C$2:$C$367,MATCH(H2762,Calendrier!$A$2:$A$367,0)),0),"")</f>
        <v/>
      </c>
      <c r="K2762" s="50" t="str">
        <f t="shared" si="219"/>
        <v/>
      </c>
      <c r="L2762" s="50" t="str">
        <f>IF(D2762="","",IF(COUNTIF(Paramètres!$A$11:$A$40,D2762)&gt;0,1,0))</f>
        <v/>
      </c>
    </row>
    <row r="2763" spans="1:12" hidden="1" x14ac:dyDescent="0.25">
      <c r="A2763" s="49"/>
      <c r="B2763" s="49"/>
      <c r="C2763" s="49"/>
      <c r="D2763" s="50" t="str">
        <f t="shared" si="215"/>
        <v/>
      </c>
      <c r="E2763" s="50" t="str">
        <f t="shared" si="216"/>
        <v/>
      </c>
      <c r="F2763" s="50" t="str">
        <f t="shared" si="217"/>
        <v/>
      </c>
      <c r="G2763" s="50" t="str">
        <f t="shared" si="218"/>
        <v/>
      </c>
      <c r="H2763" s="51" t="str">
        <f>IF($C2763="","",IFERROR(DATE(G2763,VLOOKUP(E2763,Paramètres!$K$11:$L$40,2,FALSE()),F2763),"?"))</f>
        <v/>
      </c>
      <c r="I2763" s="50" t="str">
        <f>IF(ISNUMBER(H2763),IF(COUNTIFS($D$2:D2763,D2763,$H$2:H2763,H2763)=1,1,0),"")</f>
        <v/>
      </c>
      <c r="J2763" s="50" t="str">
        <f>IF(ISNUMBER(H2763),IFERROR(INDEX(Calendrier!$C$2:$C$367,MATCH(H2763,Calendrier!$A$2:$A$367,0)),0),"")</f>
        <v/>
      </c>
      <c r="K2763" s="50" t="str">
        <f t="shared" si="219"/>
        <v/>
      </c>
      <c r="L2763" s="50" t="str">
        <f>IF(D2763="","",IF(COUNTIF(Paramètres!$A$11:$A$40,D2763)&gt;0,1,0))</f>
        <v/>
      </c>
    </row>
    <row r="2764" spans="1:12" hidden="1" x14ac:dyDescent="0.25">
      <c r="A2764" s="49"/>
      <c r="B2764" s="49"/>
      <c r="C2764" s="49"/>
      <c r="D2764" s="50" t="str">
        <f t="shared" si="215"/>
        <v/>
      </c>
      <c r="E2764" s="50" t="str">
        <f t="shared" si="216"/>
        <v/>
      </c>
      <c r="F2764" s="50" t="str">
        <f t="shared" si="217"/>
        <v/>
      </c>
      <c r="G2764" s="50" t="str">
        <f t="shared" si="218"/>
        <v/>
      </c>
      <c r="H2764" s="51" t="str">
        <f>IF($C2764="","",IFERROR(DATE(G2764,VLOOKUP(E2764,Paramètres!$K$11:$L$40,2,FALSE()),F2764),"?"))</f>
        <v/>
      </c>
      <c r="I2764" s="50" t="str">
        <f>IF(ISNUMBER(H2764),IF(COUNTIFS($D$2:D2764,D2764,$H$2:H2764,H2764)=1,1,0),"")</f>
        <v/>
      </c>
      <c r="J2764" s="50" t="str">
        <f>IF(ISNUMBER(H2764),IFERROR(INDEX(Calendrier!$C$2:$C$367,MATCH(H2764,Calendrier!$A$2:$A$367,0)),0),"")</f>
        <v/>
      </c>
      <c r="K2764" s="50" t="str">
        <f t="shared" si="219"/>
        <v/>
      </c>
      <c r="L2764" s="50" t="str">
        <f>IF(D2764="","",IF(COUNTIF(Paramètres!$A$11:$A$40,D2764)&gt;0,1,0))</f>
        <v/>
      </c>
    </row>
    <row r="2765" spans="1:12" hidden="1" x14ac:dyDescent="0.25">
      <c r="A2765" s="49"/>
      <c r="B2765" s="49"/>
      <c r="C2765" s="49"/>
      <c r="D2765" s="50" t="str">
        <f t="shared" si="215"/>
        <v/>
      </c>
      <c r="E2765" s="50" t="str">
        <f t="shared" si="216"/>
        <v/>
      </c>
      <c r="F2765" s="50" t="str">
        <f t="shared" si="217"/>
        <v/>
      </c>
      <c r="G2765" s="50" t="str">
        <f t="shared" si="218"/>
        <v/>
      </c>
      <c r="H2765" s="51" t="str">
        <f>IF($C2765="","",IFERROR(DATE(G2765,VLOOKUP(E2765,Paramètres!$K$11:$L$40,2,FALSE()),F2765),"?"))</f>
        <v/>
      </c>
      <c r="I2765" s="50" t="str">
        <f>IF(ISNUMBER(H2765),IF(COUNTIFS($D$2:D2765,D2765,$H$2:H2765,H2765)=1,1,0),"")</f>
        <v/>
      </c>
      <c r="J2765" s="50" t="str">
        <f>IF(ISNUMBER(H2765),IFERROR(INDEX(Calendrier!$C$2:$C$367,MATCH(H2765,Calendrier!$A$2:$A$367,0)),0),"")</f>
        <v/>
      </c>
      <c r="K2765" s="50" t="str">
        <f t="shared" si="219"/>
        <v/>
      </c>
      <c r="L2765" s="50" t="str">
        <f>IF(D2765="","",IF(COUNTIF(Paramètres!$A$11:$A$40,D2765)&gt;0,1,0))</f>
        <v/>
      </c>
    </row>
    <row r="2766" spans="1:12" hidden="1" x14ac:dyDescent="0.25">
      <c r="A2766" s="49"/>
      <c r="B2766" s="49"/>
      <c r="C2766" s="49"/>
      <c r="D2766" s="50" t="str">
        <f t="shared" si="215"/>
        <v/>
      </c>
      <c r="E2766" s="50" t="str">
        <f t="shared" si="216"/>
        <v/>
      </c>
      <c r="F2766" s="50" t="str">
        <f t="shared" si="217"/>
        <v/>
      </c>
      <c r="G2766" s="50" t="str">
        <f t="shared" si="218"/>
        <v/>
      </c>
      <c r="H2766" s="51" t="str">
        <f>IF($C2766="","",IFERROR(DATE(G2766,VLOOKUP(E2766,Paramètres!$K$11:$L$40,2,FALSE()),F2766),"?"))</f>
        <v/>
      </c>
      <c r="I2766" s="50" t="str">
        <f>IF(ISNUMBER(H2766),IF(COUNTIFS($D$2:D2766,D2766,$H$2:H2766,H2766)=1,1,0),"")</f>
        <v/>
      </c>
      <c r="J2766" s="50" t="str">
        <f>IF(ISNUMBER(H2766),IFERROR(INDEX(Calendrier!$C$2:$C$367,MATCH(H2766,Calendrier!$A$2:$A$367,0)),0),"")</f>
        <v/>
      </c>
      <c r="K2766" s="50" t="str">
        <f t="shared" si="219"/>
        <v/>
      </c>
      <c r="L2766" s="50" t="str">
        <f>IF(D2766="","",IF(COUNTIF(Paramètres!$A$11:$A$40,D2766)&gt;0,1,0))</f>
        <v/>
      </c>
    </row>
    <row r="2767" spans="1:12" hidden="1" x14ac:dyDescent="0.25">
      <c r="A2767" s="49"/>
      <c r="B2767" s="49"/>
      <c r="C2767" s="49"/>
      <c r="D2767" s="50" t="str">
        <f t="shared" si="215"/>
        <v/>
      </c>
      <c r="E2767" s="50" t="str">
        <f t="shared" si="216"/>
        <v/>
      </c>
      <c r="F2767" s="50" t="str">
        <f t="shared" si="217"/>
        <v/>
      </c>
      <c r="G2767" s="50" t="str">
        <f t="shared" si="218"/>
        <v/>
      </c>
      <c r="H2767" s="51" t="str">
        <f>IF($C2767="","",IFERROR(DATE(G2767,VLOOKUP(E2767,Paramètres!$K$11:$L$40,2,FALSE()),F2767),"?"))</f>
        <v/>
      </c>
      <c r="I2767" s="50" t="str">
        <f>IF(ISNUMBER(H2767),IF(COUNTIFS($D$2:D2767,D2767,$H$2:H2767,H2767)=1,1,0),"")</f>
        <v/>
      </c>
      <c r="J2767" s="50" t="str">
        <f>IF(ISNUMBER(H2767),IFERROR(INDEX(Calendrier!$C$2:$C$367,MATCH(H2767,Calendrier!$A$2:$A$367,0)),0),"")</f>
        <v/>
      </c>
      <c r="K2767" s="50" t="str">
        <f t="shared" si="219"/>
        <v/>
      </c>
      <c r="L2767" s="50" t="str">
        <f>IF(D2767="","",IF(COUNTIF(Paramètres!$A$11:$A$40,D2767)&gt;0,1,0))</f>
        <v/>
      </c>
    </row>
    <row r="2768" spans="1:12" hidden="1" x14ac:dyDescent="0.25">
      <c r="A2768" s="49"/>
      <c r="B2768" s="49"/>
      <c r="C2768" s="49"/>
      <c r="D2768" s="50" t="str">
        <f t="shared" si="215"/>
        <v/>
      </c>
      <c r="E2768" s="50" t="str">
        <f t="shared" si="216"/>
        <v/>
      </c>
      <c r="F2768" s="50" t="str">
        <f t="shared" si="217"/>
        <v/>
      </c>
      <c r="G2768" s="50" t="str">
        <f t="shared" si="218"/>
        <v/>
      </c>
      <c r="H2768" s="51" t="str">
        <f>IF($C2768="","",IFERROR(DATE(G2768,VLOOKUP(E2768,Paramètres!$K$11:$L$40,2,FALSE()),F2768),"?"))</f>
        <v/>
      </c>
      <c r="I2768" s="50" t="str">
        <f>IF(ISNUMBER(H2768),IF(COUNTIFS($D$2:D2768,D2768,$H$2:H2768,H2768)=1,1,0),"")</f>
        <v/>
      </c>
      <c r="J2768" s="50" t="str">
        <f>IF(ISNUMBER(H2768),IFERROR(INDEX(Calendrier!$C$2:$C$367,MATCH(H2768,Calendrier!$A$2:$A$367,0)),0),"")</f>
        <v/>
      </c>
      <c r="K2768" s="50" t="str">
        <f t="shared" si="219"/>
        <v/>
      </c>
      <c r="L2768" s="50" t="str">
        <f>IF(D2768="","",IF(COUNTIF(Paramètres!$A$11:$A$40,D2768)&gt;0,1,0))</f>
        <v/>
      </c>
    </row>
    <row r="2769" spans="1:12" hidden="1" x14ac:dyDescent="0.25">
      <c r="A2769" s="49"/>
      <c r="B2769" s="49"/>
      <c r="C2769" s="49"/>
      <c r="D2769" s="50" t="str">
        <f t="shared" si="215"/>
        <v/>
      </c>
      <c r="E2769" s="50" t="str">
        <f t="shared" si="216"/>
        <v/>
      </c>
      <c r="F2769" s="50" t="str">
        <f t="shared" si="217"/>
        <v/>
      </c>
      <c r="G2769" s="50" t="str">
        <f t="shared" si="218"/>
        <v/>
      </c>
      <c r="H2769" s="51" t="str">
        <f>IF($C2769="","",IFERROR(DATE(G2769,VLOOKUP(E2769,Paramètres!$K$11:$L$40,2,FALSE()),F2769),"?"))</f>
        <v/>
      </c>
      <c r="I2769" s="50" t="str">
        <f>IF(ISNUMBER(H2769),IF(COUNTIFS($D$2:D2769,D2769,$H$2:H2769,H2769)=1,1,0),"")</f>
        <v/>
      </c>
      <c r="J2769" s="50" t="str">
        <f>IF(ISNUMBER(H2769),IFERROR(INDEX(Calendrier!$C$2:$C$367,MATCH(H2769,Calendrier!$A$2:$A$367,0)),0),"")</f>
        <v/>
      </c>
      <c r="K2769" s="50" t="str">
        <f t="shared" si="219"/>
        <v/>
      </c>
      <c r="L2769" s="50" t="str">
        <f>IF(D2769="","",IF(COUNTIF(Paramètres!$A$11:$A$40,D2769)&gt;0,1,0))</f>
        <v/>
      </c>
    </row>
    <row r="2770" spans="1:12" hidden="1" x14ac:dyDescent="0.25">
      <c r="A2770" s="49"/>
      <c r="B2770" s="49"/>
      <c r="C2770" s="49"/>
      <c r="D2770" s="50" t="str">
        <f t="shared" si="215"/>
        <v/>
      </c>
      <c r="E2770" s="50" t="str">
        <f t="shared" si="216"/>
        <v/>
      </c>
      <c r="F2770" s="50" t="str">
        <f t="shared" si="217"/>
        <v/>
      </c>
      <c r="G2770" s="50" t="str">
        <f t="shared" si="218"/>
        <v/>
      </c>
      <c r="H2770" s="51" t="str">
        <f>IF($C2770="","",IFERROR(DATE(G2770,VLOOKUP(E2770,Paramètres!$K$11:$L$40,2,FALSE()),F2770),"?"))</f>
        <v/>
      </c>
      <c r="I2770" s="50" t="str">
        <f>IF(ISNUMBER(H2770),IF(COUNTIFS($D$2:D2770,D2770,$H$2:H2770,H2770)=1,1,0),"")</f>
        <v/>
      </c>
      <c r="J2770" s="50" t="str">
        <f>IF(ISNUMBER(H2770),IFERROR(INDEX(Calendrier!$C$2:$C$367,MATCH(H2770,Calendrier!$A$2:$A$367,0)),0),"")</f>
        <v/>
      </c>
      <c r="K2770" s="50" t="str">
        <f t="shared" si="219"/>
        <v/>
      </c>
      <c r="L2770" s="50" t="str">
        <f>IF(D2770="","",IF(COUNTIF(Paramètres!$A$11:$A$40,D2770)&gt;0,1,0))</f>
        <v/>
      </c>
    </row>
    <row r="2771" spans="1:12" hidden="1" x14ac:dyDescent="0.25">
      <c r="A2771" s="49"/>
      <c r="B2771" s="49"/>
      <c r="C2771" s="49"/>
      <c r="D2771" s="50" t="str">
        <f t="shared" si="215"/>
        <v/>
      </c>
      <c r="E2771" s="50" t="str">
        <f t="shared" si="216"/>
        <v/>
      </c>
      <c r="F2771" s="50" t="str">
        <f t="shared" si="217"/>
        <v/>
      </c>
      <c r="G2771" s="50" t="str">
        <f t="shared" si="218"/>
        <v/>
      </c>
      <c r="H2771" s="51" t="str">
        <f>IF($C2771="","",IFERROR(DATE(G2771,VLOOKUP(E2771,Paramètres!$K$11:$L$40,2,FALSE()),F2771),"?"))</f>
        <v/>
      </c>
      <c r="I2771" s="50" t="str">
        <f>IF(ISNUMBER(H2771),IF(COUNTIFS($D$2:D2771,D2771,$H$2:H2771,H2771)=1,1,0),"")</f>
        <v/>
      </c>
      <c r="J2771" s="50" t="str">
        <f>IF(ISNUMBER(H2771),IFERROR(INDEX(Calendrier!$C$2:$C$367,MATCH(H2771,Calendrier!$A$2:$A$367,0)),0),"")</f>
        <v/>
      </c>
      <c r="K2771" s="50" t="str">
        <f t="shared" si="219"/>
        <v/>
      </c>
      <c r="L2771" s="50" t="str">
        <f>IF(D2771="","",IF(COUNTIF(Paramètres!$A$11:$A$40,D2771)&gt;0,1,0))</f>
        <v/>
      </c>
    </row>
    <row r="2772" spans="1:12" hidden="1" x14ac:dyDescent="0.25">
      <c r="A2772" s="49"/>
      <c r="B2772" s="49"/>
      <c r="C2772" s="49"/>
      <c r="D2772" s="50" t="str">
        <f t="shared" si="215"/>
        <v/>
      </c>
      <c r="E2772" s="50" t="str">
        <f t="shared" si="216"/>
        <v/>
      </c>
      <c r="F2772" s="50" t="str">
        <f t="shared" si="217"/>
        <v/>
      </c>
      <c r="G2772" s="50" t="str">
        <f t="shared" si="218"/>
        <v/>
      </c>
      <c r="H2772" s="51" t="str">
        <f>IF($C2772="","",IFERROR(DATE(G2772,VLOOKUP(E2772,Paramètres!$K$11:$L$40,2,FALSE()),F2772),"?"))</f>
        <v/>
      </c>
      <c r="I2772" s="50" t="str">
        <f>IF(ISNUMBER(H2772),IF(COUNTIFS($D$2:D2772,D2772,$H$2:H2772,H2772)=1,1,0),"")</f>
        <v/>
      </c>
      <c r="J2772" s="50" t="str">
        <f>IF(ISNUMBER(H2772),IFERROR(INDEX(Calendrier!$C$2:$C$367,MATCH(H2772,Calendrier!$A$2:$A$367,0)),0),"")</f>
        <v/>
      </c>
      <c r="K2772" s="50" t="str">
        <f t="shared" si="219"/>
        <v/>
      </c>
      <c r="L2772" s="50" t="str">
        <f>IF(D2772="","",IF(COUNTIF(Paramètres!$A$11:$A$40,D2772)&gt;0,1,0))</f>
        <v/>
      </c>
    </row>
    <row r="2773" spans="1:12" hidden="1" x14ac:dyDescent="0.25">
      <c r="A2773" s="49"/>
      <c r="B2773" s="49"/>
      <c r="C2773" s="49"/>
      <c r="D2773" s="50" t="str">
        <f t="shared" si="215"/>
        <v/>
      </c>
      <c r="E2773" s="50" t="str">
        <f t="shared" si="216"/>
        <v/>
      </c>
      <c r="F2773" s="50" t="str">
        <f t="shared" si="217"/>
        <v/>
      </c>
      <c r="G2773" s="50" t="str">
        <f t="shared" si="218"/>
        <v/>
      </c>
      <c r="H2773" s="51" t="str">
        <f>IF($C2773="","",IFERROR(DATE(G2773,VLOOKUP(E2773,Paramètres!$K$11:$L$40,2,FALSE()),F2773),"?"))</f>
        <v/>
      </c>
      <c r="I2773" s="50" t="str">
        <f>IF(ISNUMBER(H2773),IF(COUNTIFS($D$2:D2773,D2773,$H$2:H2773,H2773)=1,1,0),"")</f>
        <v/>
      </c>
      <c r="J2773" s="50" t="str">
        <f>IF(ISNUMBER(H2773),IFERROR(INDEX(Calendrier!$C$2:$C$367,MATCH(H2773,Calendrier!$A$2:$A$367,0)),0),"")</f>
        <v/>
      </c>
      <c r="K2773" s="50" t="str">
        <f t="shared" si="219"/>
        <v/>
      </c>
      <c r="L2773" s="50" t="str">
        <f>IF(D2773="","",IF(COUNTIF(Paramètres!$A$11:$A$40,D2773)&gt;0,1,0))</f>
        <v/>
      </c>
    </row>
    <row r="2774" spans="1:12" hidden="1" x14ac:dyDescent="0.25">
      <c r="A2774" s="49"/>
      <c r="B2774" s="49"/>
      <c r="C2774" s="49"/>
      <c r="D2774" s="50" t="str">
        <f t="shared" si="215"/>
        <v/>
      </c>
      <c r="E2774" s="50" t="str">
        <f t="shared" si="216"/>
        <v/>
      </c>
      <c r="F2774" s="50" t="str">
        <f t="shared" si="217"/>
        <v/>
      </c>
      <c r="G2774" s="50" t="str">
        <f t="shared" si="218"/>
        <v/>
      </c>
      <c r="H2774" s="51" t="str">
        <f>IF($C2774="","",IFERROR(DATE(G2774,VLOOKUP(E2774,Paramètres!$K$11:$L$40,2,FALSE()),F2774),"?"))</f>
        <v/>
      </c>
      <c r="I2774" s="50" t="str">
        <f>IF(ISNUMBER(H2774),IF(COUNTIFS($D$2:D2774,D2774,$H$2:H2774,H2774)=1,1,0),"")</f>
        <v/>
      </c>
      <c r="J2774" s="50" t="str">
        <f>IF(ISNUMBER(H2774),IFERROR(INDEX(Calendrier!$C$2:$C$367,MATCH(H2774,Calendrier!$A$2:$A$367,0)),0),"")</f>
        <v/>
      </c>
      <c r="K2774" s="50" t="str">
        <f t="shared" si="219"/>
        <v/>
      </c>
      <c r="L2774" s="50" t="str">
        <f>IF(D2774="","",IF(COUNTIF(Paramètres!$A$11:$A$40,D2774)&gt;0,1,0))</f>
        <v/>
      </c>
    </row>
    <row r="2775" spans="1:12" hidden="1" x14ac:dyDescent="0.25">
      <c r="A2775" s="49"/>
      <c r="B2775" s="49"/>
      <c r="C2775" s="49"/>
      <c r="D2775" s="50" t="str">
        <f t="shared" si="215"/>
        <v/>
      </c>
      <c r="E2775" s="50" t="str">
        <f t="shared" si="216"/>
        <v/>
      </c>
      <c r="F2775" s="50" t="str">
        <f t="shared" si="217"/>
        <v/>
      </c>
      <c r="G2775" s="50" t="str">
        <f t="shared" si="218"/>
        <v/>
      </c>
      <c r="H2775" s="51" t="str">
        <f>IF($C2775="","",IFERROR(DATE(G2775,VLOOKUP(E2775,Paramètres!$K$11:$L$40,2,FALSE()),F2775),"?"))</f>
        <v/>
      </c>
      <c r="I2775" s="50" t="str">
        <f>IF(ISNUMBER(H2775),IF(COUNTIFS($D$2:D2775,D2775,$H$2:H2775,H2775)=1,1,0),"")</f>
        <v/>
      </c>
      <c r="J2775" s="50" t="str">
        <f>IF(ISNUMBER(H2775),IFERROR(INDEX(Calendrier!$C$2:$C$367,MATCH(H2775,Calendrier!$A$2:$A$367,0)),0),"")</f>
        <v/>
      </c>
      <c r="K2775" s="50" t="str">
        <f t="shared" si="219"/>
        <v/>
      </c>
      <c r="L2775" s="50" t="str">
        <f>IF(D2775="","",IF(COUNTIF(Paramètres!$A$11:$A$40,D2775)&gt;0,1,0))</f>
        <v/>
      </c>
    </row>
    <row r="2776" spans="1:12" hidden="1" x14ac:dyDescent="0.25">
      <c r="A2776" s="49"/>
      <c r="B2776" s="49"/>
      <c r="C2776" s="49"/>
      <c r="D2776" s="50" t="str">
        <f t="shared" si="215"/>
        <v/>
      </c>
      <c r="E2776" s="50" t="str">
        <f t="shared" si="216"/>
        <v/>
      </c>
      <c r="F2776" s="50" t="str">
        <f t="shared" si="217"/>
        <v/>
      </c>
      <c r="G2776" s="50" t="str">
        <f t="shared" si="218"/>
        <v/>
      </c>
      <c r="H2776" s="51" t="str">
        <f>IF($C2776="","",IFERROR(DATE(G2776,VLOOKUP(E2776,Paramètres!$K$11:$L$40,2,FALSE()),F2776),"?"))</f>
        <v/>
      </c>
      <c r="I2776" s="50" t="str">
        <f>IF(ISNUMBER(H2776),IF(COUNTIFS($D$2:D2776,D2776,$H$2:H2776,H2776)=1,1,0),"")</f>
        <v/>
      </c>
      <c r="J2776" s="50" t="str">
        <f>IF(ISNUMBER(H2776),IFERROR(INDEX(Calendrier!$C$2:$C$367,MATCH(H2776,Calendrier!$A$2:$A$367,0)),0),"")</f>
        <v/>
      </c>
      <c r="K2776" s="50" t="str">
        <f t="shared" si="219"/>
        <v/>
      </c>
      <c r="L2776" s="50" t="str">
        <f>IF(D2776="","",IF(COUNTIF(Paramètres!$A$11:$A$40,D2776)&gt;0,1,0))</f>
        <v/>
      </c>
    </row>
    <row r="2777" spans="1:12" hidden="1" x14ac:dyDescent="0.25">
      <c r="A2777" s="49"/>
      <c r="B2777" s="49"/>
      <c r="C2777" s="49"/>
      <c r="D2777" s="50" t="str">
        <f t="shared" si="215"/>
        <v/>
      </c>
      <c r="E2777" s="50" t="str">
        <f t="shared" si="216"/>
        <v/>
      </c>
      <c r="F2777" s="50" t="str">
        <f t="shared" si="217"/>
        <v/>
      </c>
      <c r="G2777" s="50" t="str">
        <f t="shared" si="218"/>
        <v/>
      </c>
      <c r="H2777" s="51" t="str">
        <f>IF($C2777="","",IFERROR(DATE(G2777,VLOOKUP(E2777,Paramètres!$K$11:$L$40,2,FALSE()),F2777),"?"))</f>
        <v/>
      </c>
      <c r="I2777" s="50" t="str">
        <f>IF(ISNUMBER(H2777),IF(COUNTIFS($D$2:D2777,D2777,$H$2:H2777,H2777)=1,1,0),"")</f>
        <v/>
      </c>
      <c r="J2777" s="50" t="str">
        <f>IF(ISNUMBER(H2777),IFERROR(INDEX(Calendrier!$C$2:$C$367,MATCH(H2777,Calendrier!$A$2:$A$367,0)),0),"")</f>
        <v/>
      </c>
      <c r="K2777" s="50" t="str">
        <f t="shared" si="219"/>
        <v/>
      </c>
      <c r="L2777" s="50" t="str">
        <f>IF(D2777="","",IF(COUNTIF(Paramètres!$A$11:$A$40,D2777)&gt;0,1,0))</f>
        <v/>
      </c>
    </row>
    <row r="2778" spans="1:12" hidden="1" x14ac:dyDescent="0.25">
      <c r="A2778" s="49"/>
      <c r="B2778" s="49"/>
      <c r="C2778" s="49"/>
      <c r="D2778" s="50" t="str">
        <f t="shared" si="215"/>
        <v/>
      </c>
      <c r="E2778" s="50" t="str">
        <f t="shared" si="216"/>
        <v/>
      </c>
      <c r="F2778" s="50" t="str">
        <f t="shared" si="217"/>
        <v/>
      </c>
      <c r="G2778" s="50" t="str">
        <f t="shared" si="218"/>
        <v/>
      </c>
      <c r="H2778" s="51" t="str">
        <f>IF($C2778="","",IFERROR(DATE(G2778,VLOOKUP(E2778,Paramètres!$K$11:$L$40,2,FALSE()),F2778),"?"))</f>
        <v/>
      </c>
      <c r="I2778" s="50" t="str">
        <f>IF(ISNUMBER(H2778),IF(COUNTIFS($D$2:D2778,D2778,$H$2:H2778,H2778)=1,1,0),"")</f>
        <v/>
      </c>
      <c r="J2778" s="50" t="str">
        <f>IF(ISNUMBER(H2778),IFERROR(INDEX(Calendrier!$C$2:$C$367,MATCH(H2778,Calendrier!$A$2:$A$367,0)),0),"")</f>
        <v/>
      </c>
      <c r="K2778" s="50" t="str">
        <f t="shared" si="219"/>
        <v/>
      </c>
      <c r="L2778" s="50" t="str">
        <f>IF(D2778="","",IF(COUNTIF(Paramètres!$A$11:$A$40,D2778)&gt;0,1,0))</f>
        <v/>
      </c>
    </row>
    <row r="2779" spans="1:12" hidden="1" x14ac:dyDescent="0.25">
      <c r="A2779" s="49"/>
      <c r="B2779" s="49"/>
      <c r="C2779" s="49"/>
      <c r="D2779" s="50" t="str">
        <f t="shared" si="215"/>
        <v/>
      </c>
      <c r="E2779" s="50" t="str">
        <f t="shared" si="216"/>
        <v/>
      </c>
      <c r="F2779" s="50" t="str">
        <f t="shared" si="217"/>
        <v/>
      </c>
      <c r="G2779" s="50" t="str">
        <f t="shared" si="218"/>
        <v/>
      </c>
      <c r="H2779" s="51" t="str">
        <f>IF($C2779="","",IFERROR(DATE(G2779,VLOOKUP(E2779,Paramètres!$K$11:$L$40,2,FALSE()),F2779),"?"))</f>
        <v/>
      </c>
      <c r="I2779" s="50" t="str">
        <f>IF(ISNUMBER(H2779),IF(COUNTIFS($D$2:D2779,D2779,$H$2:H2779,H2779)=1,1,0),"")</f>
        <v/>
      </c>
      <c r="J2779" s="50" t="str">
        <f>IF(ISNUMBER(H2779),IFERROR(INDEX(Calendrier!$C$2:$C$367,MATCH(H2779,Calendrier!$A$2:$A$367,0)),0),"")</f>
        <v/>
      </c>
      <c r="K2779" s="50" t="str">
        <f t="shared" si="219"/>
        <v/>
      </c>
      <c r="L2779" s="50" t="str">
        <f>IF(D2779="","",IF(COUNTIF(Paramètres!$A$11:$A$40,D2779)&gt;0,1,0))</f>
        <v/>
      </c>
    </row>
    <row r="2780" spans="1:12" hidden="1" x14ac:dyDescent="0.25">
      <c r="A2780" s="49"/>
      <c r="B2780" s="49"/>
      <c r="C2780" s="49"/>
      <c r="D2780" s="50" t="str">
        <f t="shared" si="215"/>
        <v/>
      </c>
      <c r="E2780" s="50" t="str">
        <f t="shared" si="216"/>
        <v/>
      </c>
      <c r="F2780" s="50" t="str">
        <f t="shared" si="217"/>
        <v/>
      </c>
      <c r="G2780" s="50" t="str">
        <f t="shared" si="218"/>
        <v/>
      </c>
      <c r="H2780" s="51" t="str">
        <f>IF($C2780="","",IFERROR(DATE(G2780,VLOOKUP(E2780,Paramètres!$K$11:$L$40,2,FALSE()),F2780),"?"))</f>
        <v/>
      </c>
      <c r="I2780" s="50" t="str">
        <f>IF(ISNUMBER(H2780),IF(COUNTIFS($D$2:D2780,D2780,$H$2:H2780,H2780)=1,1,0),"")</f>
        <v/>
      </c>
      <c r="J2780" s="50" t="str">
        <f>IF(ISNUMBER(H2780),IFERROR(INDEX(Calendrier!$C$2:$C$367,MATCH(H2780,Calendrier!$A$2:$A$367,0)),0),"")</f>
        <v/>
      </c>
      <c r="K2780" s="50" t="str">
        <f t="shared" si="219"/>
        <v/>
      </c>
      <c r="L2780" s="50" t="str">
        <f>IF(D2780="","",IF(COUNTIF(Paramètres!$A$11:$A$40,D2780)&gt;0,1,0))</f>
        <v/>
      </c>
    </row>
    <row r="2781" spans="1:12" hidden="1" x14ac:dyDescent="0.25">
      <c r="A2781" s="49"/>
      <c r="B2781" s="49"/>
      <c r="C2781" s="49"/>
      <c r="D2781" s="50" t="str">
        <f t="shared" si="215"/>
        <v/>
      </c>
      <c r="E2781" s="50" t="str">
        <f t="shared" si="216"/>
        <v/>
      </c>
      <c r="F2781" s="50" t="str">
        <f t="shared" si="217"/>
        <v/>
      </c>
      <c r="G2781" s="50" t="str">
        <f t="shared" si="218"/>
        <v/>
      </c>
      <c r="H2781" s="51" t="str">
        <f>IF($C2781="","",IFERROR(DATE(G2781,VLOOKUP(E2781,Paramètres!$K$11:$L$40,2,FALSE()),F2781),"?"))</f>
        <v/>
      </c>
      <c r="I2781" s="50" t="str">
        <f>IF(ISNUMBER(H2781),IF(COUNTIFS($D$2:D2781,D2781,$H$2:H2781,H2781)=1,1,0),"")</f>
        <v/>
      </c>
      <c r="J2781" s="50" t="str">
        <f>IF(ISNUMBER(H2781),IFERROR(INDEX(Calendrier!$C$2:$C$367,MATCH(H2781,Calendrier!$A$2:$A$367,0)),0),"")</f>
        <v/>
      </c>
      <c r="K2781" s="50" t="str">
        <f t="shared" si="219"/>
        <v/>
      </c>
      <c r="L2781" s="50" t="str">
        <f>IF(D2781="","",IF(COUNTIF(Paramètres!$A$11:$A$40,D2781)&gt;0,1,0))</f>
        <v/>
      </c>
    </row>
    <row r="2782" spans="1:12" hidden="1" x14ac:dyDescent="0.25">
      <c r="A2782" s="49"/>
      <c r="B2782" s="49"/>
      <c r="C2782" s="49"/>
      <c r="D2782" s="50" t="str">
        <f t="shared" si="215"/>
        <v/>
      </c>
      <c r="E2782" s="50" t="str">
        <f t="shared" si="216"/>
        <v/>
      </c>
      <c r="F2782" s="50" t="str">
        <f t="shared" si="217"/>
        <v/>
      </c>
      <c r="G2782" s="50" t="str">
        <f t="shared" si="218"/>
        <v/>
      </c>
      <c r="H2782" s="51" t="str">
        <f>IF($C2782="","",IFERROR(DATE(G2782,VLOOKUP(E2782,Paramètres!$K$11:$L$40,2,FALSE()),F2782),"?"))</f>
        <v/>
      </c>
      <c r="I2782" s="50" t="str">
        <f>IF(ISNUMBER(H2782),IF(COUNTIFS($D$2:D2782,D2782,$H$2:H2782,H2782)=1,1,0),"")</f>
        <v/>
      </c>
      <c r="J2782" s="50" t="str">
        <f>IF(ISNUMBER(H2782),IFERROR(INDEX(Calendrier!$C$2:$C$367,MATCH(H2782,Calendrier!$A$2:$A$367,0)),0),"")</f>
        <v/>
      </c>
      <c r="K2782" s="50" t="str">
        <f t="shared" si="219"/>
        <v/>
      </c>
      <c r="L2782" s="50" t="str">
        <f>IF(D2782="","",IF(COUNTIF(Paramètres!$A$11:$A$40,D2782)&gt;0,1,0))</f>
        <v/>
      </c>
    </row>
    <row r="2783" spans="1:12" hidden="1" x14ac:dyDescent="0.25">
      <c r="A2783" s="49"/>
      <c r="B2783" s="49"/>
      <c r="C2783" s="49"/>
      <c r="D2783" s="50" t="str">
        <f t="shared" si="215"/>
        <v/>
      </c>
      <c r="E2783" s="50" t="str">
        <f t="shared" si="216"/>
        <v/>
      </c>
      <c r="F2783" s="50" t="str">
        <f t="shared" si="217"/>
        <v/>
      </c>
      <c r="G2783" s="50" t="str">
        <f t="shared" si="218"/>
        <v/>
      </c>
      <c r="H2783" s="51" t="str">
        <f>IF($C2783="","",IFERROR(DATE(G2783,VLOOKUP(E2783,Paramètres!$K$11:$L$40,2,FALSE()),F2783),"?"))</f>
        <v/>
      </c>
      <c r="I2783" s="50" t="str">
        <f>IF(ISNUMBER(H2783),IF(COUNTIFS($D$2:D2783,D2783,$H$2:H2783,H2783)=1,1,0),"")</f>
        <v/>
      </c>
      <c r="J2783" s="50" t="str">
        <f>IF(ISNUMBER(H2783),IFERROR(INDEX(Calendrier!$C$2:$C$367,MATCH(H2783,Calendrier!$A$2:$A$367,0)),0),"")</f>
        <v/>
      </c>
      <c r="K2783" s="50" t="str">
        <f t="shared" si="219"/>
        <v/>
      </c>
      <c r="L2783" s="50" t="str">
        <f>IF(D2783="","",IF(COUNTIF(Paramètres!$A$11:$A$40,D2783)&gt;0,1,0))</f>
        <v/>
      </c>
    </row>
    <row r="2784" spans="1:12" hidden="1" x14ac:dyDescent="0.25">
      <c r="A2784" s="49"/>
      <c r="B2784" s="49"/>
      <c r="C2784" s="49"/>
      <c r="D2784" s="50" t="str">
        <f t="shared" si="215"/>
        <v/>
      </c>
      <c r="E2784" s="50" t="str">
        <f t="shared" si="216"/>
        <v/>
      </c>
      <c r="F2784" s="50" t="str">
        <f t="shared" si="217"/>
        <v/>
      </c>
      <c r="G2784" s="50" t="str">
        <f t="shared" si="218"/>
        <v/>
      </c>
      <c r="H2784" s="51" t="str">
        <f>IF($C2784="","",IFERROR(DATE(G2784,VLOOKUP(E2784,Paramètres!$K$11:$L$40,2,FALSE()),F2784),"?"))</f>
        <v/>
      </c>
      <c r="I2784" s="50" t="str">
        <f>IF(ISNUMBER(H2784),IF(COUNTIFS($D$2:D2784,D2784,$H$2:H2784,H2784)=1,1,0),"")</f>
        <v/>
      </c>
      <c r="J2784" s="50" t="str">
        <f>IF(ISNUMBER(H2784),IFERROR(INDEX(Calendrier!$C$2:$C$367,MATCH(H2784,Calendrier!$A$2:$A$367,0)),0),"")</f>
        <v/>
      </c>
      <c r="K2784" s="50" t="str">
        <f t="shared" si="219"/>
        <v/>
      </c>
      <c r="L2784" s="50" t="str">
        <f>IF(D2784="","",IF(COUNTIF(Paramètres!$A$11:$A$40,D2784)&gt;0,1,0))</f>
        <v/>
      </c>
    </row>
    <row r="2785" spans="1:12" hidden="1" x14ac:dyDescent="0.25">
      <c r="A2785" s="49"/>
      <c r="B2785" s="49"/>
      <c r="C2785" s="49"/>
      <c r="D2785" s="50" t="str">
        <f t="shared" si="215"/>
        <v/>
      </c>
      <c r="E2785" s="50" t="str">
        <f t="shared" si="216"/>
        <v/>
      </c>
      <c r="F2785" s="50" t="str">
        <f t="shared" si="217"/>
        <v/>
      </c>
      <c r="G2785" s="50" t="str">
        <f t="shared" si="218"/>
        <v/>
      </c>
      <c r="H2785" s="51" t="str">
        <f>IF($C2785="","",IFERROR(DATE(G2785,VLOOKUP(E2785,Paramètres!$K$11:$L$40,2,FALSE()),F2785),"?"))</f>
        <v/>
      </c>
      <c r="I2785" s="50" t="str">
        <f>IF(ISNUMBER(H2785),IF(COUNTIFS($D$2:D2785,D2785,$H$2:H2785,H2785)=1,1,0),"")</f>
        <v/>
      </c>
      <c r="J2785" s="50" t="str">
        <f>IF(ISNUMBER(H2785),IFERROR(INDEX(Calendrier!$C$2:$C$367,MATCH(H2785,Calendrier!$A$2:$A$367,0)),0),"")</f>
        <v/>
      </c>
      <c r="K2785" s="50" t="str">
        <f t="shared" si="219"/>
        <v/>
      </c>
      <c r="L2785" s="50" t="str">
        <f>IF(D2785="","",IF(COUNTIF(Paramètres!$A$11:$A$40,D2785)&gt;0,1,0))</f>
        <v/>
      </c>
    </row>
    <row r="2786" spans="1:12" hidden="1" x14ac:dyDescent="0.25">
      <c r="A2786" s="49"/>
      <c r="B2786" s="49"/>
      <c r="C2786" s="49"/>
      <c r="D2786" s="50" t="str">
        <f t="shared" si="215"/>
        <v/>
      </c>
      <c r="E2786" s="50" t="str">
        <f t="shared" si="216"/>
        <v/>
      </c>
      <c r="F2786" s="50" t="str">
        <f t="shared" si="217"/>
        <v/>
      </c>
      <c r="G2786" s="50" t="str">
        <f t="shared" si="218"/>
        <v/>
      </c>
      <c r="H2786" s="51" t="str">
        <f>IF($C2786="","",IFERROR(DATE(G2786,VLOOKUP(E2786,Paramètres!$K$11:$L$40,2,FALSE()),F2786),"?"))</f>
        <v/>
      </c>
      <c r="I2786" s="50" t="str">
        <f>IF(ISNUMBER(H2786),IF(COUNTIFS($D$2:D2786,D2786,$H$2:H2786,H2786)=1,1,0),"")</f>
        <v/>
      </c>
      <c r="J2786" s="50" t="str">
        <f>IF(ISNUMBER(H2786),IFERROR(INDEX(Calendrier!$C$2:$C$367,MATCH(H2786,Calendrier!$A$2:$A$367,0)),0),"")</f>
        <v/>
      </c>
      <c r="K2786" s="50" t="str">
        <f t="shared" si="219"/>
        <v/>
      </c>
      <c r="L2786" s="50" t="str">
        <f>IF(D2786="","",IF(COUNTIF(Paramètres!$A$11:$A$40,D2786)&gt;0,1,0))</f>
        <v/>
      </c>
    </row>
    <row r="2787" spans="1:12" hidden="1" x14ac:dyDescent="0.25">
      <c r="A2787" s="49"/>
      <c r="B2787" s="49"/>
      <c r="C2787" s="49"/>
      <c r="D2787" s="50" t="str">
        <f t="shared" si="215"/>
        <v/>
      </c>
      <c r="E2787" s="50" t="str">
        <f t="shared" si="216"/>
        <v/>
      </c>
      <c r="F2787" s="50" t="str">
        <f t="shared" si="217"/>
        <v/>
      </c>
      <c r="G2787" s="50" t="str">
        <f t="shared" si="218"/>
        <v/>
      </c>
      <c r="H2787" s="51" t="str">
        <f>IF($C2787="","",IFERROR(DATE(G2787,VLOOKUP(E2787,Paramètres!$K$11:$L$40,2,FALSE()),F2787),"?"))</f>
        <v/>
      </c>
      <c r="I2787" s="50" t="str">
        <f>IF(ISNUMBER(H2787),IF(COUNTIFS($D$2:D2787,D2787,$H$2:H2787,H2787)=1,1,0),"")</f>
        <v/>
      </c>
      <c r="J2787" s="50" t="str">
        <f>IF(ISNUMBER(H2787),IFERROR(INDEX(Calendrier!$C$2:$C$367,MATCH(H2787,Calendrier!$A$2:$A$367,0)),0),"")</f>
        <v/>
      </c>
      <c r="K2787" s="50" t="str">
        <f t="shared" si="219"/>
        <v/>
      </c>
      <c r="L2787" s="50" t="str">
        <f>IF(D2787="","",IF(COUNTIF(Paramètres!$A$11:$A$40,D2787)&gt;0,1,0))</f>
        <v/>
      </c>
    </row>
    <row r="2788" spans="1:12" hidden="1" x14ac:dyDescent="0.25">
      <c r="A2788" s="49"/>
      <c r="B2788" s="49"/>
      <c r="C2788" s="49"/>
      <c r="D2788" s="50" t="str">
        <f t="shared" si="215"/>
        <v/>
      </c>
      <c r="E2788" s="50" t="str">
        <f t="shared" si="216"/>
        <v/>
      </c>
      <c r="F2788" s="50" t="str">
        <f t="shared" si="217"/>
        <v/>
      </c>
      <c r="G2788" s="50" t="str">
        <f t="shared" si="218"/>
        <v/>
      </c>
      <c r="H2788" s="51" t="str">
        <f>IF($C2788="","",IFERROR(DATE(G2788,VLOOKUP(E2788,Paramètres!$K$11:$L$40,2,FALSE()),F2788),"?"))</f>
        <v/>
      </c>
      <c r="I2788" s="50" t="str">
        <f>IF(ISNUMBER(H2788),IF(COUNTIFS($D$2:D2788,D2788,$H$2:H2788,H2788)=1,1,0),"")</f>
        <v/>
      </c>
      <c r="J2788" s="50" t="str">
        <f>IF(ISNUMBER(H2788),IFERROR(INDEX(Calendrier!$C$2:$C$367,MATCH(H2788,Calendrier!$A$2:$A$367,0)),0),"")</f>
        <v/>
      </c>
      <c r="K2788" s="50" t="str">
        <f t="shared" si="219"/>
        <v/>
      </c>
      <c r="L2788" s="50" t="str">
        <f>IF(D2788="","",IF(COUNTIF(Paramètres!$A$11:$A$40,D2788)&gt;0,1,0))</f>
        <v/>
      </c>
    </row>
    <row r="2789" spans="1:12" hidden="1" x14ac:dyDescent="0.25">
      <c r="A2789" s="49"/>
      <c r="B2789" s="49"/>
      <c r="C2789" s="49"/>
      <c r="D2789" s="50" t="str">
        <f t="shared" si="215"/>
        <v/>
      </c>
      <c r="E2789" s="50" t="str">
        <f t="shared" si="216"/>
        <v/>
      </c>
      <c r="F2789" s="50" t="str">
        <f t="shared" si="217"/>
        <v/>
      </c>
      <c r="G2789" s="50" t="str">
        <f t="shared" si="218"/>
        <v/>
      </c>
      <c r="H2789" s="51" t="str">
        <f>IF($C2789="","",IFERROR(DATE(G2789,VLOOKUP(E2789,Paramètres!$K$11:$L$40,2,FALSE()),F2789),"?"))</f>
        <v/>
      </c>
      <c r="I2789" s="50" t="str">
        <f>IF(ISNUMBER(H2789),IF(COUNTIFS($D$2:D2789,D2789,$H$2:H2789,H2789)=1,1,0),"")</f>
        <v/>
      </c>
      <c r="J2789" s="50" t="str">
        <f>IF(ISNUMBER(H2789),IFERROR(INDEX(Calendrier!$C$2:$C$367,MATCH(H2789,Calendrier!$A$2:$A$367,0)),0),"")</f>
        <v/>
      </c>
      <c r="K2789" s="50" t="str">
        <f t="shared" si="219"/>
        <v/>
      </c>
      <c r="L2789" s="50" t="str">
        <f>IF(D2789="","",IF(COUNTIF(Paramètres!$A$11:$A$40,D2789)&gt;0,1,0))</f>
        <v/>
      </c>
    </row>
    <row r="2790" spans="1:12" hidden="1" x14ac:dyDescent="0.25">
      <c r="A2790" s="49"/>
      <c r="B2790" s="49"/>
      <c r="C2790" s="49"/>
      <c r="D2790" s="50" t="str">
        <f t="shared" si="215"/>
        <v/>
      </c>
      <c r="E2790" s="50" t="str">
        <f t="shared" si="216"/>
        <v/>
      </c>
      <c r="F2790" s="50" t="str">
        <f t="shared" si="217"/>
        <v/>
      </c>
      <c r="G2790" s="50" t="str">
        <f t="shared" si="218"/>
        <v/>
      </c>
      <c r="H2790" s="51" t="str">
        <f>IF($C2790="","",IFERROR(DATE(G2790,VLOOKUP(E2790,Paramètres!$K$11:$L$40,2,FALSE()),F2790),"?"))</f>
        <v/>
      </c>
      <c r="I2790" s="50" t="str">
        <f>IF(ISNUMBER(H2790),IF(COUNTIFS($D$2:D2790,D2790,$H$2:H2790,H2790)=1,1,0),"")</f>
        <v/>
      </c>
      <c r="J2790" s="50" t="str">
        <f>IF(ISNUMBER(H2790),IFERROR(INDEX(Calendrier!$C$2:$C$367,MATCH(H2790,Calendrier!$A$2:$A$367,0)),0),"")</f>
        <v/>
      </c>
      <c r="K2790" s="50" t="str">
        <f t="shared" si="219"/>
        <v/>
      </c>
      <c r="L2790" s="50" t="str">
        <f>IF(D2790="","",IF(COUNTIF(Paramètres!$A$11:$A$40,D2790)&gt;0,1,0))</f>
        <v/>
      </c>
    </row>
    <row r="2791" spans="1:12" hidden="1" x14ac:dyDescent="0.25">
      <c r="A2791" s="49"/>
      <c r="B2791" s="49"/>
      <c r="C2791" s="49"/>
      <c r="D2791" s="50" t="str">
        <f t="shared" si="215"/>
        <v/>
      </c>
      <c r="E2791" s="50" t="str">
        <f t="shared" si="216"/>
        <v/>
      </c>
      <c r="F2791" s="50" t="str">
        <f t="shared" si="217"/>
        <v/>
      </c>
      <c r="G2791" s="50" t="str">
        <f t="shared" si="218"/>
        <v/>
      </c>
      <c r="H2791" s="51" t="str">
        <f>IF($C2791="","",IFERROR(DATE(G2791,VLOOKUP(E2791,Paramètres!$K$11:$L$40,2,FALSE()),F2791),"?"))</f>
        <v/>
      </c>
      <c r="I2791" s="50" t="str">
        <f>IF(ISNUMBER(H2791),IF(COUNTIFS($D$2:D2791,D2791,$H$2:H2791,H2791)=1,1,0),"")</f>
        <v/>
      </c>
      <c r="J2791" s="50" t="str">
        <f>IF(ISNUMBER(H2791),IFERROR(INDEX(Calendrier!$C$2:$C$367,MATCH(H2791,Calendrier!$A$2:$A$367,0)),0),"")</f>
        <v/>
      </c>
      <c r="K2791" s="50" t="str">
        <f t="shared" si="219"/>
        <v/>
      </c>
      <c r="L2791" s="50" t="str">
        <f>IF(D2791="","",IF(COUNTIF(Paramètres!$A$11:$A$40,D2791)&gt;0,1,0))</f>
        <v/>
      </c>
    </row>
    <row r="2792" spans="1:12" hidden="1" x14ac:dyDescent="0.25">
      <c r="A2792" s="49"/>
      <c r="B2792" s="49"/>
      <c r="C2792" s="49"/>
      <c r="D2792" s="50" t="str">
        <f t="shared" si="215"/>
        <v/>
      </c>
      <c r="E2792" s="50" t="str">
        <f t="shared" si="216"/>
        <v/>
      </c>
      <c r="F2792" s="50" t="str">
        <f t="shared" si="217"/>
        <v/>
      </c>
      <c r="G2792" s="50" t="str">
        <f t="shared" si="218"/>
        <v/>
      </c>
      <c r="H2792" s="51" t="str">
        <f>IF($C2792="","",IFERROR(DATE(G2792,VLOOKUP(E2792,Paramètres!$K$11:$L$40,2,FALSE()),F2792),"?"))</f>
        <v/>
      </c>
      <c r="I2792" s="50" t="str">
        <f>IF(ISNUMBER(H2792),IF(COUNTIFS($D$2:D2792,D2792,$H$2:H2792,H2792)=1,1,0),"")</f>
        <v/>
      </c>
      <c r="J2792" s="50" t="str">
        <f>IF(ISNUMBER(H2792),IFERROR(INDEX(Calendrier!$C$2:$C$367,MATCH(H2792,Calendrier!$A$2:$A$367,0)),0),"")</f>
        <v/>
      </c>
      <c r="K2792" s="50" t="str">
        <f t="shared" si="219"/>
        <v/>
      </c>
      <c r="L2792" s="50" t="str">
        <f>IF(D2792="","",IF(COUNTIF(Paramètres!$A$11:$A$40,D2792)&gt;0,1,0))</f>
        <v/>
      </c>
    </row>
    <row r="2793" spans="1:12" hidden="1" x14ac:dyDescent="0.25">
      <c r="A2793" s="49"/>
      <c r="B2793" s="49"/>
      <c r="C2793" s="49"/>
      <c r="D2793" s="50" t="str">
        <f t="shared" si="215"/>
        <v/>
      </c>
      <c r="E2793" s="50" t="str">
        <f t="shared" si="216"/>
        <v/>
      </c>
      <c r="F2793" s="50" t="str">
        <f t="shared" si="217"/>
        <v/>
      </c>
      <c r="G2793" s="50" t="str">
        <f t="shared" si="218"/>
        <v/>
      </c>
      <c r="H2793" s="51" t="str">
        <f>IF($C2793="","",IFERROR(DATE(G2793,VLOOKUP(E2793,Paramètres!$K$11:$L$40,2,FALSE()),F2793),"?"))</f>
        <v/>
      </c>
      <c r="I2793" s="50" t="str">
        <f>IF(ISNUMBER(H2793),IF(COUNTIFS($D$2:D2793,D2793,$H$2:H2793,H2793)=1,1,0),"")</f>
        <v/>
      </c>
      <c r="J2793" s="50" t="str">
        <f>IF(ISNUMBER(H2793),IFERROR(INDEX(Calendrier!$C$2:$C$367,MATCH(H2793,Calendrier!$A$2:$A$367,0)),0),"")</f>
        <v/>
      </c>
      <c r="K2793" s="50" t="str">
        <f t="shared" si="219"/>
        <v/>
      </c>
      <c r="L2793" s="50" t="str">
        <f>IF(D2793="","",IF(COUNTIF(Paramètres!$A$11:$A$40,D2793)&gt;0,1,0))</f>
        <v/>
      </c>
    </row>
    <row r="2794" spans="1:12" hidden="1" x14ac:dyDescent="0.25">
      <c r="A2794" s="49"/>
      <c r="B2794" s="49"/>
      <c r="C2794" s="49"/>
      <c r="D2794" s="50" t="str">
        <f t="shared" si="215"/>
        <v/>
      </c>
      <c r="E2794" s="50" t="str">
        <f t="shared" si="216"/>
        <v/>
      </c>
      <c r="F2794" s="50" t="str">
        <f t="shared" si="217"/>
        <v/>
      </c>
      <c r="G2794" s="50" t="str">
        <f t="shared" si="218"/>
        <v/>
      </c>
      <c r="H2794" s="51" t="str">
        <f>IF($C2794="","",IFERROR(DATE(G2794,VLOOKUP(E2794,Paramètres!$K$11:$L$40,2,FALSE()),F2794),"?"))</f>
        <v/>
      </c>
      <c r="I2794" s="50" t="str">
        <f>IF(ISNUMBER(H2794),IF(COUNTIFS($D$2:D2794,D2794,$H$2:H2794,H2794)=1,1,0),"")</f>
        <v/>
      </c>
      <c r="J2794" s="50" t="str">
        <f>IF(ISNUMBER(H2794),IFERROR(INDEX(Calendrier!$C$2:$C$367,MATCH(H2794,Calendrier!$A$2:$A$367,0)),0),"")</f>
        <v/>
      </c>
      <c r="K2794" s="50" t="str">
        <f t="shared" si="219"/>
        <v/>
      </c>
      <c r="L2794" s="50" t="str">
        <f>IF(D2794="","",IF(COUNTIF(Paramètres!$A$11:$A$40,D2794)&gt;0,1,0))</f>
        <v/>
      </c>
    </row>
    <row r="2795" spans="1:12" hidden="1" x14ac:dyDescent="0.25">
      <c r="A2795" s="49"/>
      <c r="B2795" s="49"/>
      <c r="C2795" s="49"/>
      <c r="D2795" s="50" t="str">
        <f t="shared" si="215"/>
        <v/>
      </c>
      <c r="E2795" s="50" t="str">
        <f t="shared" si="216"/>
        <v/>
      </c>
      <c r="F2795" s="50" t="str">
        <f t="shared" si="217"/>
        <v/>
      </c>
      <c r="G2795" s="50" t="str">
        <f t="shared" si="218"/>
        <v/>
      </c>
      <c r="H2795" s="51" t="str">
        <f>IF($C2795="","",IFERROR(DATE(G2795,VLOOKUP(E2795,Paramètres!$K$11:$L$40,2,FALSE()),F2795),"?"))</f>
        <v/>
      </c>
      <c r="I2795" s="50" t="str">
        <f>IF(ISNUMBER(H2795),IF(COUNTIFS($D$2:D2795,D2795,$H$2:H2795,H2795)=1,1,0),"")</f>
        <v/>
      </c>
      <c r="J2795" s="50" t="str">
        <f>IF(ISNUMBER(H2795),IFERROR(INDEX(Calendrier!$C$2:$C$367,MATCH(H2795,Calendrier!$A$2:$A$367,0)),0),"")</f>
        <v/>
      </c>
      <c r="K2795" s="50" t="str">
        <f t="shared" si="219"/>
        <v/>
      </c>
      <c r="L2795" s="50" t="str">
        <f>IF(D2795="","",IF(COUNTIF(Paramètres!$A$11:$A$40,D2795)&gt;0,1,0))</f>
        <v/>
      </c>
    </row>
    <row r="2796" spans="1:12" hidden="1" x14ac:dyDescent="0.25">
      <c r="A2796" s="49"/>
      <c r="B2796" s="49"/>
      <c r="C2796" s="49"/>
      <c r="D2796" s="50" t="str">
        <f t="shared" si="215"/>
        <v/>
      </c>
      <c r="E2796" s="50" t="str">
        <f t="shared" si="216"/>
        <v/>
      </c>
      <c r="F2796" s="50" t="str">
        <f t="shared" si="217"/>
        <v/>
      </c>
      <c r="G2796" s="50" t="str">
        <f t="shared" si="218"/>
        <v/>
      </c>
      <c r="H2796" s="51" t="str">
        <f>IF($C2796="","",IFERROR(DATE(G2796,VLOOKUP(E2796,Paramètres!$K$11:$L$40,2,FALSE()),F2796),"?"))</f>
        <v/>
      </c>
      <c r="I2796" s="50" t="str">
        <f>IF(ISNUMBER(H2796),IF(COUNTIFS($D$2:D2796,D2796,$H$2:H2796,H2796)=1,1,0),"")</f>
        <v/>
      </c>
      <c r="J2796" s="50" t="str">
        <f>IF(ISNUMBER(H2796),IFERROR(INDEX(Calendrier!$C$2:$C$367,MATCH(H2796,Calendrier!$A$2:$A$367,0)),0),"")</f>
        <v/>
      </c>
      <c r="K2796" s="50" t="str">
        <f t="shared" si="219"/>
        <v/>
      </c>
      <c r="L2796" s="50" t="str">
        <f>IF(D2796="","",IF(COUNTIF(Paramètres!$A$11:$A$40,D2796)&gt;0,1,0))</f>
        <v/>
      </c>
    </row>
    <row r="2797" spans="1:12" hidden="1" x14ac:dyDescent="0.25">
      <c r="A2797" s="49"/>
      <c r="B2797" s="49"/>
      <c r="C2797" s="49"/>
      <c r="D2797" s="50" t="str">
        <f t="shared" si="215"/>
        <v/>
      </c>
      <c r="E2797" s="50" t="str">
        <f t="shared" si="216"/>
        <v/>
      </c>
      <c r="F2797" s="50" t="str">
        <f t="shared" si="217"/>
        <v/>
      </c>
      <c r="G2797" s="50" t="str">
        <f t="shared" si="218"/>
        <v/>
      </c>
      <c r="H2797" s="51" t="str">
        <f>IF($C2797="","",IFERROR(DATE(G2797,VLOOKUP(E2797,Paramètres!$K$11:$L$40,2,FALSE()),F2797),"?"))</f>
        <v/>
      </c>
      <c r="I2797" s="50" t="str">
        <f>IF(ISNUMBER(H2797),IF(COUNTIFS($D$2:D2797,D2797,$H$2:H2797,H2797)=1,1,0),"")</f>
        <v/>
      </c>
      <c r="J2797" s="50" t="str">
        <f>IF(ISNUMBER(H2797),IFERROR(INDEX(Calendrier!$C$2:$C$367,MATCH(H2797,Calendrier!$A$2:$A$367,0)),0),"")</f>
        <v/>
      </c>
      <c r="K2797" s="50" t="str">
        <f t="shared" si="219"/>
        <v/>
      </c>
      <c r="L2797" s="50" t="str">
        <f>IF(D2797="","",IF(COUNTIF(Paramètres!$A$11:$A$40,D2797)&gt;0,1,0))</f>
        <v/>
      </c>
    </row>
    <row r="2798" spans="1:12" hidden="1" x14ac:dyDescent="0.25">
      <c r="A2798" s="49"/>
      <c r="B2798" s="49"/>
      <c r="C2798" s="49"/>
      <c r="D2798" s="50" t="str">
        <f t="shared" si="215"/>
        <v/>
      </c>
      <c r="E2798" s="50" t="str">
        <f t="shared" si="216"/>
        <v/>
      </c>
      <c r="F2798" s="50" t="str">
        <f t="shared" si="217"/>
        <v/>
      </c>
      <c r="G2798" s="50" t="str">
        <f t="shared" si="218"/>
        <v/>
      </c>
      <c r="H2798" s="51" t="str">
        <f>IF($C2798="","",IFERROR(DATE(G2798,VLOOKUP(E2798,Paramètres!$K$11:$L$40,2,FALSE()),F2798),"?"))</f>
        <v/>
      </c>
      <c r="I2798" s="50" t="str">
        <f>IF(ISNUMBER(H2798),IF(COUNTIFS($D$2:D2798,D2798,$H$2:H2798,H2798)=1,1,0),"")</f>
        <v/>
      </c>
      <c r="J2798" s="50" t="str">
        <f>IF(ISNUMBER(H2798),IFERROR(INDEX(Calendrier!$C$2:$C$367,MATCH(H2798,Calendrier!$A$2:$A$367,0)),0),"")</f>
        <v/>
      </c>
      <c r="K2798" s="50" t="str">
        <f t="shared" si="219"/>
        <v/>
      </c>
      <c r="L2798" s="50" t="str">
        <f>IF(D2798="","",IF(COUNTIF(Paramètres!$A$11:$A$40,D2798)&gt;0,1,0))</f>
        <v/>
      </c>
    </row>
    <row r="2799" spans="1:12" hidden="1" x14ac:dyDescent="0.25">
      <c r="A2799" s="49"/>
      <c r="B2799" s="49"/>
      <c r="C2799" s="49"/>
      <c r="D2799" s="50" t="str">
        <f t="shared" si="215"/>
        <v/>
      </c>
      <c r="E2799" s="50" t="str">
        <f t="shared" si="216"/>
        <v/>
      </c>
      <c r="F2799" s="50" t="str">
        <f t="shared" si="217"/>
        <v/>
      </c>
      <c r="G2799" s="50" t="str">
        <f t="shared" si="218"/>
        <v/>
      </c>
      <c r="H2799" s="51" t="str">
        <f>IF($C2799="","",IFERROR(DATE(G2799,VLOOKUP(E2799,Paramètres!$K$11:$L$40,2,FALSE()),F2799),"?"))</f>
        <v/>
      </c>
      <c r="I2799" s="50" t="str">
        <f>IF(ISNUMBER(H2799),IF(COUNTIFS($D$2:D2799,D2799,$H$2:H2799,H2799)=1,1,0),"")</f>
        <v/>
      </c>
      <c r="J2799" s="50" t="str">
        <f>IF(ISNUMBER(H2799),IFERROR(INDEX(Calendrier!$C$2:$C$367,MATCH(H2799,Calendrier!$A$2:$A$367,0)),0),"")</f>
        <v/>
      </c>
      <c r="K2799" s="50" t="str">
        <f t="shared" si="219"/>
        <v/>
      </c>
      <c r="L2799" s="50" t="str">
        <f>IF(D2799="","",IF(COUNTIF(Paramètres!$A$11:$A$40,D2799)&gt;0,1,0))</f>
        <v/>
      </c>
    </row>
    <row r="2800" spans="1:12" hidden="1" x14ac:dyDescent="0.25">
      <c r="A2800" s="49"/>
      <c r="B2800" s="49"/>
      <c r="C2800" s="49"/>
      <c r="D2800" s="50" t="str">
        <f t="shared" si="215"/>
        <v/>
      </c>
      <c r="E2800" s="50" t="str">
        <f t="shared" si="216"/>
        <v/>
      </c>
      <c r="F2800" s="50" t="str">
        <f t="shared" si="217"/>
        <v/>
      </c>
      <c r="G2800" s="50" t="str">
        <f t="shared" si="218"/>
        <v/>
      </c>
      <c r="H2800" s="51" t="str">
        <f>IF($C2800="","",IFERROR(DATE(G2800,VLOOKUP(E2800,Paramètres!$K$11:$L$40,2,FALSE()),F2800),"?"))</f>
        <v/>
      </c>
      <c r="I2800" s="50" t="str">
        <f>IF(ISNUMBER(H2800),IF(COUNTIFS($D$2:D2800,D2800,$H$2:H2800,H2800)=1,1,0),"")</f>
        <v/>
      </c>
      <c r="J2800" s="50" t="str">
        <f>IF(ISNUMBER(H2800),IFERROR(INDEX(Calendrier!$C$2:$C$367,MATCH(H2800,Calendrier!$A$2:$A$367,0)),0),"")</f>
        <v/>
      </c>
      <c r="K2800" s="50" t="str">
        <f t="shared" si="219"/>
        <v/>
      </c>
      <c r="L2800" s="50" t="str">
        <f>IF(D2800="","",IF(COUNTIF(Paramètres!$A$11:$A$40,D2800)&gt;0,1,0))</f>
        <v/>
      </c>
    </row>
    <row r="2801" spans="1:12" hidden="1" x14ac:dyDescent="0.25">
      <c r="A2801" s="49"/>
      <c r="B2801" s="49"/>
      <c r="C2801" s="49"/>
      <c r="D2801" s="50" t="str">
        <f t="shared" si="215"/>
        <v/>
      </c>
      <c r="E2801" s="50" t="str">
        <f t="shared" si="216"/>
        <v/>
      </c>
      <c r="F2801" s="50" t="str">
        <f t="shared" si="217"/>
        <v/>
      </c>
      <c r="G2801" s="50" t="str">
        <f t="shared" si="218"/>
        <v/>
      </c>
      <c r="H2801" s="51" t="str">
        <f>IF($C2801="","",IFERROR(DATE(G2801,VLOOKUP(E2801,Paramètres!$K$11:$L$40,2,FALSE()),F2801),"?"))</f>
        <v/>
      </c>
      <c r="I2801" s="50" t="str">
        <f>IF(ISNUMBER(H2801),IF(COUNTIFS($D$2:D2801,D2801,$H$2:H2801,H2801)=1,1,0),"")</f>
        <v/>
      </c>
      <c r="J2801" s="50" t="str">
        <f>IF(ISNUMBER(H2801),IFERROR(INDEX(Calendrier!$C$2:$C$367,MATCH(H2801,Calendrier!$A$2:$A$367,0)),0),"")</f>
        <v/>
      </c>
      <c r="K2801" s="50" t="str">
        <f t="shared" si="219"/>
        <v/>
      </c>
      <c r="L2801" s="50" t="str">
        <f>IF(D2801="","",IF(COUNTIF(Paramètres!$A$11:$A$40,D2801)&gt;0,1,0))</f>
        <v/>
      </c>
    </row>
    <row r="2802" spans="1:12" hidden="1" x14ac:dyDescent="0.25">
      <c r="A2802" s="49"/>
      <c r="B2802" s="49"/>
      <c r="C2802" s="49"/>
      <c r="D2802" s="50" t="str">
        <f t="shared" si="215"/>
        <v/>
      </c>
      <c r="E2802" s="50" t="str">
        <f t="shared" si="216"/>
        <v/>
      </c>
      <c r="F2802" s="50" t="str">
        <f t="shared" si="217"/>
        <v/>
      </c>
      <c r="G2802" s="50" t="str">
        <f t="shared" si="218"/>
        <v/>
      </c>
      <c r="H2802" s="51" t="str">
        <f>IF($C2802="","",IFERROR(DATE(G2802,VLOOKUP(E2802,Paramètres!$K$11:$L$40,2,FALSE()),F2802),"?"))</f>
        <v/>
      </c>
      <c r="I2802" s="50" t="str">
        <f>IF(ISNUMBER(H2802),IF(COUNTIFS($D$2:D2802,D2802,$H$2:H2802,H2802)=1,1,0),"")</f>
        <v/>
      </c>
      <c r="J2802" s="50" t="str">
        <f>IF(ISNUMBER(H2802),IFERROR(INDEX(Calendrier!$C$2:$C$367,MATCH(H2802,Calendrier!$A$2:$A$367,0)),0),"")</f>
        <v/>
      </c>
      <c r="K2802" s="50" t="str">
        <f t="shared" si="219"/>
        <v/>
      </c>
      <c r="L2802" s="50" t="str">
        <f>IF(D2802="","",IF(COUNTIF(Paramètres!$A$11:$A$40,D2802)&gt;0,1,0))</f>
        <v/>
      </c>
    </row>
    <row r="2803" spans="1:12" hidden="1" x14ac:dyDescent="0.25">
      <c r="A2803" s="49"/>
      <c r="B2803" s="49"/>
      <c r="C2803" s="49"/>
      <c r="D2803" s="50" t="str">
        <f t="shared" si="215"/>
        <v/>
      </c>
      <c r="E2803" s="50" t="str">
        <f t="shared" si="216"/>
        <v/>
      </c>
      <c r="F2803" s="50" t="str">
        <f t="shared" si="217"/>
        <v/>
      </c>
      <c r="G2803" s="50" t="str">
        <f t="shared" si="218"/>
        <v/>
      </c>
      <c r="H2803" s="51" t="str">
        <f>IF($C2803="","",IFERROR(DATE(G2803,VLOOKUP(E2803,Paramètres!$K$11:$L$40,2,FALSE()),F2803),"?"))</f>
        <v/>
      </c>
      <c r="I2803" s="50" t="str">
        <f>IF(ISNUMBER(H2803),IF(COUNTIFS($D$2:D2803,D2803,$H$2:H2803,H2803)=1,1,0),"")</f>
        <v/>
      </c>
      <c r="J2803" s="50" t="str">
        <f>IF(ISNUMBER(H2803),IFERROR(INDEX(Calendrier!$C$2:$C$367,MATCH(H2803,Calendrier!$A$2:$A$367,0)),0),"")</f>
        <v/>
      </c>
      <c r="K2803" s="50" t="str">
        <f t="shared" si="219"/>
        <v/>
      </c>
      <c r="L2803" s="50" t="str">
        <f>IF(D2803="","",IF(COUNTIF(Paramètres!$A$11:$A$40,D2803)&gt;0,1,0))</f>
        <v/>
      </c>
    </row>
    <row r="2804" spans="1:12" hidden="1" x14ac:dyDescent="0.25">
      <c r="A2804" s="49"/>
      <c r="B2804" s="49"/>
      <c r="C2804" s="49"/>
      <c r="D2804" s="50" t="str">
        <f t="shared" si="215"/>
        <v/>
      </c>
      <c r="E2804" s="50" t="str">
        <f t="shared" si="216"/>
        <v/>
      </c>
      <c r="F2804" s="50" t="str">
        <f t="shared" si="217"/>
        <v/>
      </c>
      <c r="G2804" s="50" t="str">
        <f t="shared" si="218"/>
        <v/>
      </c>
      <c r="H2804" s="51" t="str">
        <f>IF($C2804="","",IFERROR(DATE(G2804,VLOOKUP(E2804,Paramètres!$K$11:$L$40,2,FALSE()),F2804),"?"))</f>
        <v/>
      </c>
      <c r="I2804" s="50" t="str">
        <f>IF(ISNUMBER(H2804),IF(COUNTIFS($D$2:D2804,D2804,$H$2:H2804,H2804)=1,1,0),"")</f>
        <v/>
      </c>
      <c r="J2804" s="50" t="str">
        <f>IF(ISNUMBER(H2804),IFERROR(INDEX(Calendrier!$C$2:$C$367,MATCH(H2804,Calendrier!$A$2:$A$367,0)),0),"")</f>
        <v/>
      </c>
      <c r="K2804" s="50" t="str">
        <f t="shared" si="219"/>
        <v/>
      </c>
      <c r="L2804" s="50" t="str">
        <f>IF(D2804="","",IF(COUNTIF(Paramètres!$A$11:$A$40,D2804)&gt;0,1,0))</f>
        <v/>
      </c>
    </row>
    <row r="2805" spans="1:12" hidden="1" x14ac:dyDescent="0.25">
      <c r="A2805" s="49"/>
      <c r="B2805" s="49"/>
      <c r="C2805" s="49"/>
      <c r="D2805" s="50" t="str">
        <f t="shared" si="215"/>
        <v/>
      </c>
      <c r="E2805" s="50" t="str">
        <f t="shared" si="216"/>
        <v/>
      </c>
      <c r="F2805" s="50" t="str">
        <f t="shared" si="217"/>
        <v/>
      </c>
      <c r="G2805" s="50" t="str">
        <f t="shared" si="218"/>
        <v/>
      </c>
      <c r="H2805" s="51" t="str">
        <f>IF($C2805="","",IFERROR(DATE(G2805,VLOOKUP(E2805,Paramètres!$K$11:$L$40,2,FALSE()),F2805),"?"))</f>
        <v/>
      </c>
      <c r="I2805" s="50" t="str">
        <f>IF(ISNUMBER(H2805),IF(COUNTIFS($D$2:D2805,D2805,$H$2:H2805,H2805)=1,1,0),"")</f>
        <v/>
      </c>
      <c r="J2805" s="50" t="str">
        <f>IF(ISNUMBER(H2805),IFERROR(INDEX(Calendrier!$C$2:$C$367,MATCH(H2805,Calendrier!$A$2:$A$367,0)),0),"")</f>
        <v/>
      </c>
      <c r="K2805" s="50" t="str">
        <f t="shared" si="219"/>
        <v/>
      </c>
      <c r="L2805" s="50" t="str">
        <f>IF(D2805="","",IF(COUNTIF(Paramètres!$A$11:$A$40,D2805)&gt;0,1,0))</f>
        <v/>
      </c>
    </row>
    <row r="2806" spans="1:12" hidden="1" x14ac:dyDescent="0.25">
      <c r="A2806" s="49"/>
      <c r="B2806" s="49"/>
      <c r="C2806" s="49"/>
      <c r="D2806" s="50" t="str">
        <f t="shared" si="215"/>
        <v/>
      </c>
      <c r="E2806" s="50" t="str">
        <f t="shared" si="216"/>
        <v/>
      </c>
      <c r="F2806" s="50" t="str">
        <f t="shared" si="217"/>
        <v/>
      </c>
      <c r="G2806" s="50" t="str">
        <f t="shared" si="218"/>
        <v/>
      </c>
      <c r="H2806" s="51" t="str">
        <f>IF($C2806="","",IFERROR(DATE(G2806,VLOOKUP(E2806,Paramètres!$K$11:$L$40,2,FALSE()),F2806),"?"))</f>
        <v/>
      </c>
      <c r="I2806" s="50" t="str">
        <f>IF(ISNUMBER(H2806),IF(COUNTIFS($D$2:D2806,D2806,$H$2:H2806,H2806)=1,1,0),"")</f>
        <v/>
      </c>
      <c r="J2806" s="50" t="str">
        <f>IF(ISNUMBER(H2806),IFERROR(INDEX(Calendrier!$C$2:$C$367,MATCH(H2806,Calendrier!$A$2:$A$367,0)),0),"")</f>
        <v/>
      </c>
      <c r="K2806" s="50" t="str">
        <f t="shared" si="219"/>
        <v/>
      </c>
      <c r="L2806" s="50" t="str">
        <f>IF(D2806="","",IF(COUNTIF(Paramètres!$A$11:$A$40,D2806)&gt;0,1,0))</f>
        <v/>
      </c>
    </row>
    <row r="2807" spans="1:12" hidden="1" x14ac:dyDescent="0.25">
      <c r="A2807" s="49"/>
      <c r="B2807" s="49"/>
      <c r="C2807" s="49"/>
      <c r="D2807" s="50" t="str">
        <f t="shared" si="215"/>
        <v/>
      </c>
      <c r="E2807" s="50" t="str">
        <f t="shared" si="216"/>
        <v/>
      </c>
      <c r="F2807" s="50" t="str">
        <f t="shared" si="217"/>
        <v/>
      </c>
      <c r="G2807" s="50" t="str">
        <f t="shared" si="218"/>
        <v/>
      </c>
      <c r="H2807" s="51" t="str">
        <f>IF($C2807="","",IFERROR(DATE(G2807,VLOOKUP(E2807,Paramètres!$K$11:$L$40,2,FALSE()),F2807),"?"))</f>
        <v/>
      </c>
      <c r="I2807" s="50" t="str">
        <f>IF(ISNUMBER(H2807),IF(COUNTIFS($D$2:D2807,D2807,$H$2:H2807,H2807)=1,1,0),"")</f>
        <v/>
      </c>
      <c r="J2807" s="50" t="str">
        <f>IF(ISNUMBER(H2807),IFERROR(INDEX(Calendrier!$C$2:$C$367,MATCH(H2807,Calendrier!$A$2:$A$367,0)),0),"")</f>
        <v/>
      </c>
      <c r="K2807" s="50" t="str">
        <f t="shared" si="219"/>
        <v/>
      </c>
      <c r="L2807" s="50" t="str">
        <f>IF(D2807="","",IF(COUNTIF(Paramètres!$A$11:$A$40,D2807)&gt;0,1,0))</f>
        <v/>
      </c>
    </row>
    <row r="2808" spans="1:12" hidden="1" x14ac:dyDescent="0.25">
      <c r="A2808" s="49"/>
      <c r="B2808" s="49"/>
      <c r="C2808" s="49"/>
      <c r="D2808" s="50" t="str">
        <f t="shared" si="215"/>
        <v/>
      </c>
      <c r="E2808" s="50" t="str">
        <f t="shared" si="216"/>
        <v/>
      </c>
      <c r="F2808" s="50" t="str">
        <f t="shared" si="217"/>
        <v/>
      </c>
      <c r="G2808" s="50" t="str">
        <f t="shared" si="218"/>
        <v/>
      </c>
      <c r="H2808" s="51" t="str">
        <f>IF($C2808="","",IFERROR(DATE(G2808,VLOOKUP(E2808,Paramètres!$K$11:$L$40,2,FALSE()),F2808),"?"))</f>
        <v/>
      </c>
      <c r="I2808" s="50" t="str">
        <f>IF(ISNUMBER(H2808),IF(COUNTIFS($D$2:D2808,D2808,$H$2:H2808,H2808)=1,1,0),"")</f>
        <v/>
      </c>
      <c r="J2808" s="50" t="str">
        <f>IF(ISNUMBER(H2808),IFERROR(INDEX(Calendrier!$C$2:$C$367,MATCH(H2808,Calendrier!$A$2:$A$367,0)),0),"")</f>
        <v/>
      </c>
      <c r="K2808" s="50" t="str">
        <f t="shared" si="219"/>
        <v/>
      </c>
      <c r="L2808" s="50" t="str">
        <f>IF(D2808="","",IF(COUNTIF(Paramètres!$A$11:$A$40,D2808)&gt;0,1,0))</f>
        <v/>
      </c>
    </row>
    <row r="2809" spans="1:12" hidden="1" x14ac:dyDescent="0.25">
      <c r="A2809" s="49"/>
      <c r="B2809" s="49"/>
      <c r="C2809" s="49"/>
      <c r="D2809" s="50" t="str">
        <f t="shared" si="215"/>
        <v/>
      </c>
      <c r="E2809" s="50" t="str">
        <f t="shared" si="216"/>
        <v/>
      </c>
      <c r="F2809" s="50" t="str">
        <f t="shared" si="217"/>
        <v/>
      </c>
      <c r="G2809" s="50" t="str">
        <f t="shared" si="218"/>
        <v/>
      </c>
      <c r="H2809" s="51" t="str">
        <f>IF($C2809="","",IFERROR(DATE(G2809,VLOOKUP(E2809,Paramètres!$K$11:$L$40,2,FALSE()),F2809),"?"))</f>
        <v/>
      </c>
      <c r="I2809" s="50" t="str">
        <f>IF(ISNUMBER(H2809),IF(COUNTIFS($D$2:D2809,D2809,$H$2:H2809,H2809)=1,1,0),"")</f>
        <v/>
      </c>
      <c r="J2809" s="50" t="str">
        <f>IF(ISNUMBER(H2809),IFERROR(INDEX(Calendrier!$C$2:$C$367,MATCH(H2809,Calendrier!$A$2:$A$367,0)),0),"")</f>
        <v/>
      </c>
      <c r="K2809" s="50" t="str">
        <f t="shared" si="219"/>
        <v/>
      </c>
      <c r="L2809" s="50" t="str">
        <f>IF(D2809="","",IF(COUNTIF(Paramètres!$A$11:$A$40,D2809)&gt;0,1,0))</f>
        <v/>
      </c>
    </row>
    <row r="2810" spans="1:12" hidden="1" x14ac:dyDescent="0.25">
      <c r="A2810" s="49"/>
      <c r="B2810" s="49"/>
      <c r="C2810" s="49"/>
      <c r="D2810" s="50" t="str">
        <f t="shared" si="215"/>
        <v/>
      </c>
      <c r="E2810" s="50" t="str">
        <f t="shared" si="216"/>
        <v/>
      </c>
      <c r="F2810" s="50" t="str">
        <f t="shared" si="217"/>
        <v/>
      </c>
      <c r="G2810" s="50" t="str">
        <f t="shared" si="218"/>
        <v/>
      </c>
      <c r="H2810" s="51" t="str">
        <f>IF($C2810="","",IFERROR(DATE(G2810,VLOOKUP(E2810,Paramètres!$K$11:$L$40,2,FALSE()),F2810),"?"))</f>
        <v/>
      </c>
      <c r="I2810" s="50" t="str">
        <f>IF(ISNUMBER(H2810),IF(COUNTIFS($D$2:D2810,D2810,$H$2:H2810,H2810)=1,1,0),"")</f>
        <v/>
      </c>
      <c r="J2810" s="50" t="str">
        <f>IF(ISNUMBER(H2810),IFERROR(INDEX(Calendrier!$C$2:$C$367,MATCH(H2810,Calendrier!$A$2:$A$367,0)),0),"")</f>
        <v/>
      </c>
      <c r="K2810" s="50" t="str">
        <f t="shared" si="219"/>
        <v/>
      </c>
      <c r="L2810" s="50" t="str">
        <f>IF(D2810="","",IF(COUNTIF(Paramètres!$A$11:$A$40,D2810)&gt;0,1,0))</f>
        <v/>
      </c>
    </row>
    <row r="2811" spans="1:12" hidden="1" x14ac:dyDescent="0.25">
      <c r="A2811" s="49"/>
      <c r="B2811" s="49"/>
      <c r="C2811" s="49"/>
      <c r="D2811" s="50" t="str">
        <f t="shared" si="215"/>
        <v/>
      </c>
      <c r="E2811" s="50" t="str">
        <f t="shared" si="216"/>
        <v/>
      </c>
      <c r="F2811" s="50" t="str">
        <f t="shared" si="217"/>
        <v/>
      </c>
      <c r="G2811" s="50" t="str">
        <f t="shared" si="218"/>
        <v/>
      </c>
      <c r="H2811" s="51" t="str">
        <f>IF($C2811="","",IFERROR(DATE(G2811,VLOOKUP(E2811,Paramètres!$K$11:$L$40,2,FALSE()),F2811),"?"))</f>
        <v/>
      </c>
      <c r="I2811" s="50" t="str">
        <f>IF(ISNUMBER(H2811),IF(COUNTIFS($D$2:D2811,D2811,$H$2:H2811,H2811)=1,1,0),"")</f>
        <v/>
      </c>
      <c r="J2811" s="50" t="str">
        <f>IF(ISNUMBER(H2811),IFERROR(INDEX(Calendrier!$C$2:$C$367,MATCH(H2811,Calendrier!$A$2:$A$367,0)),0),"")</f>
        <v/>
      </c>
      <c r="K2811" s="50" t="str">
        <f t="shared" si="219"/>
        <v/>
      </c>
      <c r="L2811" s="50" t="str">
        <f>IF(D2811="","",IF(COUNTIF(Paramètres!$A$11:$A$40,D2811)&gt;0,1,0))</f>
        <v/>
      </c>
    </row>
    <row r="2812" spans="1:12" hidden="1" x14ac:dyDescent="0.25">
      <c r="A2812" s="49"/>
      <c r="B2812" s="49"/>
      <c r="C2812" s="49"/>
      <c r="D2812" s="50" t="str">
        <f t="shared" si="215"/>
        <v/>
      </c>
      <c r="E2812" s="50" t="str">
        <f t="shared" si="216"/>
        <v/>
      </c>
      <c r="F2812" s="50" t="str">
        <f t="shared" si="217"/>
        <v/>
      </c>
      <c r="G2812" s="50" t="str">
        <f t="shared" si="218"/>
        <v/>
      </c>
      <c r="H2812" s="51" t="str">
        <f>IF($C2812="","",IFERROR(DATE(G2812,VLOOKUP(E2812,Paramètres!$K$11:$L$40,2,FALSE()),F2812),"?"))</f>
        <v/>
      </c>
      <c r="I2812" s="50" t="str">
        <f>IF(ISNUMBER(H2812),IF(COUNTIFS($D$2:D2812,D2812,$H$2:H2812,H2812)=1,1,0),"")</f>
        <v/>
      </c>
      <c r="J2812" s="50" t="str">
        <f>IF(ISNUMBER(H2812),IFERROR(INDEX(Calendrier!$C$2:$C$367,MATCH(H2812,Calendrier!$A$2:$A$367,0)),0),"")</f>
        <v/>
      </c>
      <c r="K2812" s="50" t="str">
        <f t="shared" si="219"/>
        <v/>
      </c>
      <c r="L2812" s="50" t="str">
        <f>IF(D2812="","",IF(COUNTIF(Paramètres!$A$11:$A$40,D2812)&gt;0,1,0))</f>
        <v/>
      </c>
    </row>
    <row r="2813" spans="1:12" hidden="1" x14ac:dyDescent="0.25">
      <c r="A2813" s="49"/>
      <c r="B2813" s="49"/>
      <c r="C2813" s="49"/>
      <c r="D2813" s="50" t="str">
        <f t="shared" si="215"/>
        <v/>
      </c>
      <c r="E2813" s="50" t="str">
        <f t="shared" si="216"/>
        <v/>
      </c>
      <c r="F2813" s="50" t="str">
        <f t="shared" si="217"/>
        <v/>
      </c>
      <c r="G2813" s="50" t="str">
        <f t="shared" si="218"/>
        <v/>
      </c>
      <c r="H2813" s="51" t="str">
        <f>IF($C2813="","",IFERROR(DATE(G2813,VLOOKUP(E2813,Paramètres!$K$11:$L$40,2,FALSE()),F2813),"?"))</f>
        <v/>
      </c>
      <c r="I2813" s="50" t="str">
        <f>IF(ISNUMBER(H2813),IF(COUNTIFS($D$2:D2813,D2813,$H$2:H2813,H2813)=1,1,0),"")</f>
        <v/>
      </c>
      <c r="J2813" s="50" t="str">
        <f>IF(ISNUMBER(H2813),IFERROR(INDEX(Calendrier!$C$2:$C$367,MATCH(H2813,Calendrier!$A$2:$A$367,0)),0),"")</f>
        <v/>
      </c>
      <c r="K2813" s="50" t="str">
        <f t="shared" si="219"/>
        <v/>
      </c>
      <c r="L2813" s="50" t="str">
        <f>IF(D2813="","",IF(COUNTIF(Paramètres!$A$11:$A$40,D2813)&gt;0,1,0))</f>
        <v/>
      </c>
    </row>
    <row r="2814" spans="1:12" hidden="1" x14ac:dyDescent="0.25">
      <c r="A2814" s="49"/>
      <c r="B2814" s="49"/>
      <c r="C2814" s="49"/>
      <c r="D2814" s="50" t="str">
        <f t="shared" si="215"/>
        <v/>
      </c>
      <c r="E2814" s="50" t="str">
        <f t="shared" si="216"/>
        <v/>
      </c>
      <c r="F2814" s="50" t="str">
        <f t="shared" si="217"/>
        <v/>
      </c>
      <c r="G2814" s="50" t="str">
        <f t="shared" si="218"/>
        <v/>
      </c>
      <c r="H2814" s="51" t="str">
        <f>IF($C2814="","",IFERROR(DATE(G2814,VLOOKUP(E2814,Paramètres!$K$11:$L$40,2,FALSE()),F2814),"?"))</f>
        <v/>
      </c>
      <c r="I2814" s="50" t="str">
        <f>IF(ISNUMBER(H2814),IF(COUNTIFS($D$2:D2814,D2814,$H$2:H2814,H2814)=1,1,0),"")</f>
        <v/>
      </c>
      <c r="J2814" s="50" t="str">
        <f>IF(ISNUMBER(H2814),IFERROR(INDEX(Calendrier!$C$2:$C$367,MATCH(H2814,Calendrier!$A$2:$A$367,0)),0),"")</f>
        <v/>
      </c>
      <c r="K2814" s="50" t="str">
        <f t="shared" si="219"/>
        <v/>
      </c>
      <c r="L2814" s="50" t="str">
        <f>IF(D2814="","",IF(COUNTIF(Paramètres!$A$11:$A$40,D2814)&gt;0,1,0))</f>
        <v/>
      </c>
    </row>
    <row r="2815" spans="1:12" hidden="1" x14ac:dyDescent="0.25">
      <c r="A2815" s="49"/>
      <c r="B2815" s="49"/>
      <c r="C2815" s="49"/>
      <c r="D2815" s="50" t="str">
        <f t="shared" si="215"/>
        <v/>
      </c>
      <c r="E2815" s="50" t="str">
        <f t="shared" si="216"/>
        <v/>
      </c>
      <c r="F2815" s="50" t="str">
        <f t="shared" si="217"/>
        <v/>
      </c>
      <c r="G2815" s="50" t="str">
        <f t="shared" si="218"/>
        <v/>
      </c>
      <c r="H2815" s="51" t="str">
        <f>IF($C2815="","",IFERROR(DATE(G2815,VLOOKUP(E2815,Paramètres!$K$11:$L$40,2,FALSE()),F2815),"?"))</f>
        <v/>
      </c>
      <c r="I2815" s="50" t="str">
        <f>IF(ISNUMBER(H2815),IF(COUNTIFS($D$2:D2815,D2815,$H$2:H2815,H2815)=1,1,0),"")</f>
        <v/>
      </c>
      <c r="J2815" s="50" t="str">
        <f>IF(ISNUMBER(H2815),IFERROR(INDEX(Calendrier!$C$2:$C$367,MATCH(H2815,Calendrier!$A$2:$A$367,0)),0),"")</f>
        <v/>
      </c>
      <c r="K2815" s="50" t="str">
        <f t="shared" si="219"/>
        <v/>
      </c>
      <c r="L2815" s="50" t="str">
        <f>IF(D2815="","",IF(COUNTIF(Paramètres!$A$11:$A$40,D2815)&gt;0,1,0))</f>
        <v/>
      </c>
    </row>
    <row r="2816" spans="1:12" hidden="1" x14ac:dyDescent="0.25">
      <c r="A2816" s="49"/>
      <c r="B2816" s="49"/>
      <c r="C2816" s="49"/>
      <c r="D2816" s="50" t="str">
        <f t="shared" si="215"/>
        <v/>
      </c>
      <c r="E2816" s="50" t="str">
        <f t="shared" si="216"/>
        <v/>
      </c>
      <c r="F2816" s="50" t="str">
        <f t="shared" si="217"/>
        <v/>
      </c>
      <c r="G2816" s="50" t="str">
        <f t="shared" si="218"/>
        <v/>
      </c>
      <c r="H2816" s="51" t="str">
        <f>IF($C2816="","",IFERROR(DATE(G2816,VLOOKUP(E2816,Paramètres!$K$11:$L$40,2,FALSE()),F2816),"?"))</f>
        <v/>
      </c>
      <c r="I2816" s="50" t="str">
        <f>IF(ISNUMBER(H2816),IF(COUNTIFS($D$2:D2816,D2816,$H$2:H2816,H2816)=1,1,0),"")</f>
        <v/>
      </c>
      <c r="J2816" s="50" t="str">
        <f>IF(ISNUMBER(H2816),IFERROR(INDEX(Calendrier!$C$2:$C$367,MATCH(H2816,Calendrier!$A$2:$A$367,0)),0),"")</f>
        <v/>
      </c>
      <c r="K2816" s="50" t="str">
        <f t="shared" si="219"/>
        <v/>
      </c>
      <c r="L2816" s="50" t="str">
        <f>IF(D2816="","",IF(COUNTIF(Paramètres!$A$11:$A$40,D2816)&gt;0,1,0))</f>
        <v/>
      </c>
    </row>
    <row r="2817" spans="1:12" hidden="1" x14ac:dyDescent="0.25">
      <c r="A2817" s="49"/>
      <c r="B2817" s="49"/>
      <c r="C2817" s="49"/>
      <c r="D2817" s="50" t="str">
        <f t="shared" si="215"/>
        <v/>
      </c>
      <c r="E2817" s="50" t="str">
        <f t="shared" si="216"/>
        <v/>
      </c>
      <c r="F2817" s="50" t="str">
        <f t="shared" si="217"/>
        <v/>
      </c>
      <c r="G2817" s="50" t="str">
        <f t="shared" si="218"/>
        <v/>
      </c>
      <c r="H2817" s="51" t="str">
        <f>IF($C2817="","",IFERROR(DATE(G2817,VLOOKUP(E2817,Paramètres!$K$11:$L$40,2,FALSE()),F2817),"?"))</f>
        <v/>
      </c>
      <c r="I2817" s="50" t="str">
        <f>IF(ISNUMBER(H2817),IF(COUNTIFS($D$2:D2817,D2817,$H$2:H2817,H2817)=1,1,0),"")</f>
        <v/>
      </c>
      <c r="J2817" s="50" t="str">
        <f>IF(ISNUMBER(H2817),IFERROR(INDEX(Calendrier!$C$2:$C$367,MATCH(H2817,Calendrier!$A$2:$A$367,0)),0),"")</f>
        <v/>
      </c>
      <c r="K2817" s="50" t="str">
        <f t="shared" si="219"/>
        <v/>
      </c>
      <c r="L2817" s="50" t="str">
        <f>IF(D2817="","",IF(COUNTIF(Paramètres!$A$11:$A$40,D2817)&gt;0,1,0))</f>
        <v/>
      </c>
    </row>
    <row r="2818" spans="1:12" hidden="1" x14ac:dyDescent="0.25">
      <c r="A2818" s="49"/>
      <c r="B2818" s="49"/>
      <c r="C2818" s="49"/>
      <c r="D2818" s="50" t="str">
        <f t="shared" ref="D2818:D2881" si="220">IF(B2818="","",TRIM(B2818))</f>
        <v/>
      </c>
      <c r="E2818" s="50" t="str">
        <f t="shared" ref="E2818:E2881" si="221">IF($C2818="","",LEFT($C2818,FIND(" ",$C2818)-1))</f>
        <v/>
      </c>
      <c r="F2818" s="50" t="str">
        <f t="shared" ref="F2818:F2881" si="222">IF($C2818="","",IFERROR(VALUE(LEFT(MID($C2818,FIND(" ",$C2818)+1,20),FIND(" ",MID($C2818,FIND(" ",$C2818)+1,20))-1)),"?"))</f>
        <v/>
      </c>
      <c r="G2818" s="50" t="str">
        <f t="shared" ref="G2818:G2881" si="223">IF($C2818="","",IFERROR(VALUE(MID(MID($C2818,FIND(" ",$C2818)+1,20),FIND(" ",MID($C2818,FIND(" ",$C2818)+1,20))+1,4)),"?"))</f>
        <v/>
      </c>
      <c r="H2818" s="51" t="str">
        <f>IF($C2818="","",IFERROR(DATE(G2818,VLOOKUP(E2818,Paramètres!$K$11:$L$40,2,FALSE()),F2818),"?"))</f>
        <v/>
      </c>
      <c r="I2818" s="50" t="str">
        <f>IF(ISNUMBER(H2818),IF(COUNTIFS($D$2:D2818,D2818,$H$2:H2818,H2818)=1,1,0),"")</f>
        <v/>
      </c>
      <c r="J2818" s="50" t="str">
        <f>IF(ISNUMBER(H2818),IFERROR(INDEX(Calendrier!$C$2:$C$367,MATCH(H2818,Calendrier!$A$2:$A$367,0)),0),"")</f>
        <v/>
      </c>
      <c r="K2818" s="50" t="str">
        <f t="shared" ref="K2818:K2881" si="224">IF(ISNUMBER(H2818),I2818*J2818,"")</f>
        <v/>
      </c>
      <c r="L2818" s="50" t="str">
        <f>IF(D2818="","",IF(COUNTIF(Paramètres!$A$11:$A$40,D2818)&gt;0,1,0))</f>
        <v/>
      </c>
    </row>
    <row r="2819" spans="1:12" hidden="1" x14ac:dyDescent="0.25">
      <c r="A2819" s="49"/>
      <c r="B2819" s="49"/>
      <c r="C2819" s="49"/>
      <c r="D2819" s="50" t="str">
        <f t="shared" si="220"/>
        <v/>
      </c>
      <c r="E2819" s="50" t="str">
        <f t="shared" si="221"/>
        <v/>
      </c>
      <c r="F2819" s="50" t="str">
        <f t="shared" si="222"/>
        <v/>
      </c>
      <c r="G2819" s="50" t="str">
        <f t="shared" si="223"/>
        <v/>
      </c>
      <c r="H2819" s="51" t="str">
        <f>IF($C2819="","",IFERROR(DATE(G2819,VLOOKUP(E2819,Paramètres!$K$11:$L$40,2,FALSE()),F2819),"?"))</f>
        <v/>
      </c>
      <c r="I2819" s="50" t="str">
        <f>IF(ISNUMBER(H2819),IF(COUNTIFS($D$2:D2819,D2819,$H$2:H2819,H2819)=1,1,0),"")</f>
        <v/>
      </c>
      <c r="J2819" s="50" t="str">
        <f>IF(ISNUMBER(H2819),IFERROR(INDEX(Calendrier!$C$2:$C$367,MATCH(H2819,Calendrier!$A$2:$A$367,0)),0),"")</f>
        <v/>
      </c>
      <c r="K2819" s="50" t="str">
        <f t="shared" si="224"/>
        <v/>
      </c>
      <c r="L2819" s="50" t="str">
        <f>IF(D2819="","",IF(COUNTIF(Paramètres!$A$11:$A$40,D2819)&gt;0,1,0))</f>
        <v/>
      </c>
    </row>
    <row r="2820" spans="1:12" hidden="1" x14ac:dyDescent="0.25">
      <c r="A2820" s="49"/>
      <c r="B2820" s="49"/>
      <c r="C2820" s="49"/>
      <c r="D2820" s="50" t="str">
        <f t="shared" si="220"/>
        <v/>
      </c>
      <c r="E2820" s="50" t="str">
        <f t="shared" si="221"/>
        <v/>
      </c>
      <c r="F2820" s="50" t="str">
        <f t="shared" si="222"/>
        <v/>
      </c>
      <c r="G2820" s="50" t="str">
        <f t="shared" si="223"/>
        <v/>
      </c>
      <c r="H2820" s="51" t="str">
        <f>IF($C2820="","",IFERROR(DATE(G2820,VLOOKUP(E2820,Paramètres!$K$11:$L$40,2,FALSE()),F2820),"?"))</f>
        <v/>
      </c>
      <c r="I2820" s="50" t="str">
        <f>IF(ISNUMBER(H2820),IF(COUNTIFS($D$2:D2820,D2820,$H$2:H2820,H2820)=1,1,0),"")</f>
        <v/>
      </c>
      <c r="J2820" s="50" t="str">
        <f>IF(ISNUMBER(H2820),IFERROR(INDEX(Calendrier!$C$2:$C$367,MATCH(H2820,Calendrier!$A$2:$A$367,0)),0),"")</f>
        <v/>
      </c>
      <c r="K2820" s="50" t="str">
        <f t="shared" si="224"/>
        <v/>
      </c>
      <c r="L2820" s="50" t="str">
        <f>IF(D2820="","",IF(COUNTIF(Paramètres!$A$11:$A$40,D2820)&gt;0,1,0))</f>
        <v/>
      </c>
    </row>
    <row r="2821" spans="1:12" hidden="1" x14ac:dyDescent="0.25">
      <c r="A2821" s="49"/>
      <c r="B2821" s="49"/>
      <c r="C2821" s="49"/>
      <c r="D2821" s="50" t="str">
        <f t="shared" si="220"/>
        <v/>
      </c>
      <c r="E2821" s="50" t="str">
        <f t="shared" si="221"/>
        <v/>
      </c>
      <c r="F2821" s="50" t="str">
        <f t="shared" si="222"/>
        <v/>
      </c>
      <c r="G2821" s="50" t="str">
        <f t="shared" si="223"/>
        <v/>
      </c>
      <c r="H2821" s="51" t="str">
        <f>IF($C2821="","",IFERROR(DATE(G2821,VLOOKUP(E2821,Paramètres!$K$11:$L$40,2,FALSE()),F2821),"?"))</f>
        <v/>
      </c>
      <c r="I2821" s="50" t="str">
        <f>IF(ISNUMBER(H2821),IF(COUNTIFS($D$2:D2821,D2821,$H$2:H2821,H2821)=1,1,0),"")</f>
        <v/>
      </c>
      <c r="J2821" s="50" t="str">
        <f>IF(ISNUMBER(H2821),IFERROR(INDEX(Calendrier!$C$2:$C$367,MATCH(H2821,Calendrier!$A$2:$A$367,0)),0),"")</f>
        <v/>
      </c>
      <c r="K2821" s="50" t="str">
        <f t="shared" si="224"/>
        <v/>
      </c>
      <c r="L2821" s="50" t="str">
        <f>IF(D2821="","",IF(COUNTIF(Paramètres!$A$11:$A$40,D2821)&gt;0,1,0))</f>
        <v/>
      </c>
    </row>
    <row r="2822" spans="1:12" hidden="1" x14ac:dyDescent="0.25">
      <c r="A2822" s="49"/>
      <c r="B2822" s="49"/>
      <c r="C2822" s="49"/>
      <c r="D2822" s="50" t="str">
        <f t="shared" si="220"/>
        <v/>
      </c>
      <c r="E2822" s="50" t="str">
        <f t="shared" si="221"/>
        <v/>
      </c>
      <c r="F2822" s="50" t="str">
        <f t="shared" si="222"/>
        <v/>
      </c>
      <c r="G2822" s="50" t="str">
        <f t="shared" si="223"/>
        <v/>
      </c>
      <c r="H2822" s="51" t="str">
        <f>IF($C2822="","",IFERROR(DATE(G2822,VLOOKUP(E2822,Paramètres!$K$11:$L$40,2,FALSE()),F2822),"?"))</f>
        <v/>
      </c>
      <c r="I2822" s="50" t="str">
        <f>IF(ISNUMBER(H2822),IF(COUNTIFS($D$2:D2822,D2822,$H$2:H2822,H2822)=1,1,0),"")</f>
        <v/>
      </c>
      <c r="J2822" s="50" t="str">
        <f>IF(ISNUMBER(H2822),IFERROR(INDEX(Calendrier!$C$2:$C$367,MATCH(H2822,Calendrier!$A$2:$A$367,0)),0),"")</f>
        <v/>
      </c>
      <c r="K2822" s="50" t="str">
        <f t="shared" si="224"/>
        <v/>
      </c>
      <c r="L2822" s="50" t="str">
        <f>IF(D2822="","",IF(COUNTIF(Paramètres!$A$11:$A$40,D2822)&gt;0,1,0))</f>
        <v/>
      </c>
    </row>
    <row r="2823" spans="1:12" hidden="1" x14ac:dyDescent="0.25">
      <c r="A2823" s="49"/>
      <c r="B2823" s="49"/>
      <c r="C2823" s="49"/>
      <c r="D2823" s="50" t="str">
        <f t="shared" si="220"/>
        <v/>
      </c>
      <c r="E2823" s="50" t="str">
        <f t="shared" si="221"/>
        <v/>
      </c>
      <c r="F2823" s="50" t="str">
        <f t="shared" si="222"/>
        <v/>
      </c>
      <c r="G2823" s="50" t="str">
        <f t="shared" si="223"/>
        <v/>
      </c>
      <c r="H2823" s="51" t="str">
        <f>IF($C2823="","",IFERROR(DATE(G2823,VLOOKUP(E2823,Paramètres!$K$11:$L$40,2,FALSE()),F2823),"?"))</f>
        <v/>
      </c>
      <c r="I2823" s="50" t="str">
        <f>IF(ISNUMBER(H2823),IF(COUNTIFS($D$2:D2823,D2823,$H$2:H2823,H2823)=1,1,0),"")</f>
        <v/>
      </c>
      <c r="J2823" s="50" t="str">
        <f>IF(ISNUMBER(H2823),IFERROR(INDEX(Calendrier!$C$2:$C$367,MATCH(H2823,Calendrier!$A$2:$A$367,0)),0),"")</f>
        <v/>
      </c>
      <c r="K2823" s="50" t="str">
        <f t="shared" si="224"/>
        <v/>
      </c>
      <c r="L2823" s="50" t="str">
        <f>IF(D2823="","",IF(COUNTIF(Paramètres!$A$11:$A$40,D2823)&gt;0,1,0))</f>
        <v/>
      </c>
    </row>
    <row r="2824" spans="1:12" hidden="1" x14ac:dyDescent="0.25">
      <c r="A2824" s="49"/>
      <c r="B2824" s="49"/>
      <c r="C2824" s="49"/>
      <c r="D2824" s="50" t="str">
        <f t="shared" si="220"/>
        <v/>
      </c>
      <c r="E2824" s="50" t="str">
        <f t="shared" si="221"/>
        <v/>
      </c>
      <c r="F2824" s="50" t="str">
        <f t="shared" si="222"/>
        <v/>
      </c>
      <c r="G2824" s="50" t="str">
        <f t="shared" si="223"/>
        <v/>
      </c>
      <c r="H2824" s="51" t="str">
        <f>IF($C2824="","",IFERROR(DATE(G2824,VLOOKUP(E2824,Paramètres!$K$11:$L$40,2,FALSE()),F2824),"?"))</f>
        <v/>
      </c>
      <c r="I2824" s="50" t="str">
        <f>IF(ISNUMBER(H2824),IF(COUNTIFS($D$2:D2824,D2824,$H$2:H2824,H2824)=1,1,0),"")</f>
        <v/>
      </c>
      <c r="J2824" s="50" t="str">
        <f>IF(ISNUMBER(H2824),IFERROR(INDEX(Calendrier!$C$2:$C$367,MATCH(H2824,Calendrier!$A$2:$A$367,0)),0),"")</f>
        <v/>
      </c>
      <c r="K2824" s="50" t="str">
        <f t="shared" si="224"/>
        <v/>
      </c>
      <c r="L2824" s="50" t="str">
        <f>IF(D2824="","",IF(COUNTIF(Paramètres!$A$11:$A$40,D2824)&gt;0,1,0))</f>
        <v/>
      </c>
    </row>
    <row r="2825" spans="1:12" hidden="1" x14ac:dyDescent="0.25">
      <c r="A2825" s="49"/>
      <c r="B2825" s="49"/>
      <c r="C2825" s="49"/>
      <c r="D2825" s="50" t="str">
        <f t="shared" si="220"/>
        <v/>
      </c>
      <c r="E2825" s="50" t="str">
        <f t="shared" si="221"/>
        <v/>
      </c>
      <c r="F2825" s="50" t="str">
        <f t="shared" si="222"/>
        <v/>
      </c>
      <c r="G2825" s="50" t="str">
        <f t="shared" si="223"/>
        <v/>
      </c>
      <c r="H2825" s="51" t="str">
        <f>IF($C2825="","",IFERROR(DATE(G2825,VLOOKUP(E2825,Paramètres!$K$11:$L$40,2,FALSE()),F2825),"?"))</f>
        <v/>
      </c>
      <c r="I2825" s="50" t="str">
        <f>IF(ISNUMBER(H2825),IF(COUNTIFS($D$2:D2825,D2825,$H$2:H2825,H2825)=1,1,0),"")</f>
        <v/>
      </c>
      <c r="J2825" s="50" t="str">
        <f>IF(ISNUMBER(H2825),IFERROR(INDEX(Calendrier!$C$2:$C$367,MATCH(H2825,Calendrier!$A$2:$A$367,0)),0),"")</f>
        <v/>
      </c>
      <c r="K2825" s="50" t="str">
        <f t="shared" si="224"/>
        <v/>
      </c>
      <c r="L2825" s="50" t="str">
        <f>IF(D2825="","",IF(COUNTIF(Paramètres!$A$11:$A$40,D2825)&gt;0,1,0))</f>
        <v/>
      </c>
    </row>
    <row r="2826" spans="1:12" hidden="1" x14ac:dyDescent="0.25">
      <c r="A2826" s="49"/>
      <c r="B2826" s="49"/>
      <c r="C2826" s="49"/>
      <c r="D2826" s="50" t="str">
        <f t="shared" si="220"/>
        <v/>
      </c>
      <c r="E2826" s="50" t="str">
        <f t="shared" si="221"/>
        <v/>
      </c>
      <c r="F2826" s="50" t="str">
        <f t="shared" si="222"/>
        <v/>
      </c>
      <c r="G2826" s="50" t="str">
        <f t="shared" si="223"/>
        <v/>
      </c>
      <c r="H2826" s="51" t="str">
        <f>IF($C2826="","",IFERROR(DATE(G2826,VLOOKUP(E2826,Paramètres!$K$11:$L$40,2,FALSE()),F2826),"?"))</f>
        <v/>
      </c>
      <c r="I2826" s="50" t="str">
        <f>IF(ISNUMBER(H2826),IF(COUNTIFS($D$2:D2826,D2826,$H$2:H2826,H2826)=1,1,0),"")</f>
        <v/>
      </c>
      <c r="J2826" s="50" t="str">
        <f>IF(ISNUMBER(H2826),IFERROR(INDEX(Calendrier!$C$2:$C$367,MATCH(H2826,Calendrier!$A$2:$A$367,0)),0),"")</f>
        <v/>
      </c>
      <c r="K2826" s="50" t="str">
        <f t="shared" si="224"/>
        <v/>
      </c>
      <c r="L2826" s="50" t="str">
        <f>IF(D2826="","",IF(COUNTIF(Paramètres!$A$11:$A$40,D2826)&gt;0,1,0))</f>
        <v/>
      </c>
    </row>
    <row r="2827" spans="1:12" hidden="1" x14ac:dyDescent="0.25">
      <c r="A2827" s="49"/>
      <c r="B2827" s="49"/>
      <c r="C2827" s="49"/>
      <c r="D2827" s="50" t="str">
        <f t="shared" si="220"/>
        <v/>
      </c>
      <c r="E2827" s="50" t="str">
        <f t="shared" si="221"/>
        <v/>
      </c>
      <c r="F2827" s="50" t="str">
        <f t="shared" si="222"/>
        <v/>
      </c>
      <c r="G2827" s="50" t="str">
        <f t="shared" si="223"/>
        <v/>
      </c>
      <c r="H2827" s="51" t="str">
        <f>IF($C2827="","",IFERROR(DATE(G2827,VLOOKUP(E2827,Paramètres!$K$11:$L$40,2,FALSE()),F2827),"?"))</f>
        <v/>
      </c>
      <c r="I2827" s="50" t="str">
        <f>IF(ISNUMBER(H2827),IF(COUNTIFS($D$2:D2827,D2827,$H$2:H2827,H2827)=1,1,0),"")</f>
        <v/>
      </c>
      <c r="J2827" s="50" t="str">
        <f>IF(ISNUMBER(H2827),IFERROR(INDEX(Calendrier!$C$2:$C$367,MATCH(H2827,Calendrier!$A$2:$A$367,0)),0),"")</f>
        <v/>
      </c>
      <c r="K2827" s="50" t="str">
        <f t="shared" si="224"/>
        <v/>
      </c>
      <c r="L2827" s="50" t="str">
        <f>IF(D2827="","",IF(COUNTIF(Paramètres!$A$11:$A$40,D2827)&gt;0,1,0))</f>
        <v/>
      </c>
    </row>
    <row r="2828" spans="1:12" hidden="1" x14ac:dyDescent="0.25">
      <c r="A2828" s="49"/>
      <c r="B2828" s="49"/>
      <c r="C2828" s="49"/>
      <c r="D2828" s="50" t="str">
        <f t="shared" si="220"/>
        <v/>
      </c>
      <c r="E2828" s="50" t="str">
        <f t="shared" si="221"/>
        <v/>
      </c>
      <c r="F2828" s="50" t="str">
        <f t="shared" si="222"/>
        <v/>
      </c>
      <c r="G2828" s="50" t="str">
        <f t="shared" si="223"/>
        <v/>
      </c>
      <c r="H2828" s="51" t="str">
        <f>IF($C2828="","",IFERROR(DATE(G2828,VLOOKUP(E2828,Paramètres!$K$11:$L$40,2,FALSE()),F2828),"?"))</f>
        <v/>
      </c>
      <c r="I2828" s="50" t="str">
        <f>IF(ISNUMBER(H2828),IF(COUNTIFS($D$2:D2828,D2828,$H$2:H2828,H2828)=1,1,0),"")</f>
        <v/>
      </c>
      <c r="J2828" s="50" t="str">
        <f>IF(ISNUMBER(H2828),IFERROR(INDEX(Calendrier!$C$2:$C$367,MATCH(H2828,Calendrier!$A$2:$A$367,0)),0),"")</f>
        <v/>
      </c>
      <c r="K2828" s="50" t="str">
        <f t="shared" si="224"/>
        <v/>
      </c>
      <c r="L2828" s="50" t="str">
        <f>IF(D2828="","",IF(COUNTIF(Paramètres!$A$11:$A$40,D2828)&gt;0,1,0))</f>
        <v/>
      </c>
    </row>
    <row r="2829" spans="1:12" hidden="1" x14ac:dyDescent="0.25">
      <c r="A2829" s="49"/>
      <c r="B2829" s="49"/>
      <c r="C2829" s="49"/>
      <c r="D2829" s="50" t="str">
        <f t="shared" si="220"/>
        <v/>
      </c>
      <c r="E2829" s="50" t="str">
        <f t="shared" si="221"/>
        <v/>
      </c>
      <c r="F2829" s="50" t="str">
        <f t="shared" si="222"/>
        <v/>
      </c>
      <c r="G2829" s="50" t="str">
        <f t="shared" si="223"/>
        <v/>
      </c>
      <c r="H2829" s="51" t="str">
        <f>IF($C2829="","",IFERROR(DATE(G2829,VLOOKUP(E2829,Paramètres!$K$11:$L$40,2,FALSE()),F2829),"?"))</f>
        <v/>
      </c>
      <c r="I2829" s="50" t="str">
        <f>IF(ISNUMBER(H2829),IF(COUNTIFS($D$2:D2829,D2829,$H$2:H2829,H2829)=1,1,0),"")</f>
        <v/>
      </c>
      <c r="J2829" s="50" t="str">
        <f>IF(ISNUMBER(H2829),IFERROR(INDEX(Calendrier!$C$2:$C$367,MATCH(H2829,Calendrier!$A$2:$A$367,0)),0),"")</f>
        <v/>
      </c>
      <c r="K2829" s="50" t="str">
        <f t="shared" si="224"/>
        <v/>
      </c>
      <c r="L2829" s="50" t="str">
        <f>IF(D2829="","",IF(COUNTIF(Paramètres!$A$11:$A$40,D2829)&gt;0,1,0))</f>
        <v/>
      </c>
    </row>
    <row r="2830" spans="1:12" hidden="1" x14ac:dyDescent="0.25">
      <c r="A2830" s="49"/>
      <c r="B2830" s="49"/>
      <c r="C2830" s="49"/>
      <c r="D2830" s="50" t="str">
        <f t="shared" si="220"/>
        <v/>
      </c>
      <c r="E2830" s="50" t="str">
        <f t="shared" si="221"/>
        <v/>
      </c>
      <c r="F2830" s="50" t="str">
        <f t="shared" si="222"/>
        <v/>
      </c>
      <c r="G2830" s="50" t="str">
        <f t="shared" si="223"/>
        <v/>
      </c>
      <c r="H2830" s="51" t="str">
        <f>IF($C2830="","",IFERROR(DATE(G2830,VLOOKUP(E2830,Paramètres!$K$11:$L$40,2,FALSE()),F2830),"?"))</f>
        <v/>
      </c>
      <c r="I2830" s="50" t="str">
        <f>IF(ISNUMBER(H2830),IF(COUNTIFS($D$2:D2830,D2830,$H$2:H2830,H2830)=1,1,0),"")</f>
        <v/>
      </c>
      <c r="J2830" s="50" t="str">
        <f>IF(ISNUMBER(H2830),IFERROR(INDEX(Calendrier!$C$2:$C$367,MATCH(H2830,Calendrier!$A$2:$A$367,0)),0),"")</f>
        <v/>
      </c>
      <c r="K2830" s="50" t="str">
        <f t="shared" si="224"/>
        <v/>
      </c>
      <c r="L2830" s="50" t="str">
        <f>IF(D2830="","",IF(COUNTIF(Paramètres!$A$11:$A$40,D2830)&gt;0,1,0))</f>
        <v/>
      </c>
    </row>
    <row r="2831" spans="1:12" hidden="1" x14ac:dyDescent="0.25">
      <c r="A2831" s="49"/>
      <c r="B2831" s="49"/>
      <c r="C2831" s="49"/>
      <c r="D2831" s="50" t="str">
        <f t="shared" si="220"/>
        <v/>
      </c>
      <c r="E2831" s="50" t="str">
        <f t="shared" si="221"/>
        <v/>
      </c>
      <c r="F2831" s="50" t="str">
        <f t="shared" si="222"/>
        <v/>
      </c>
      <c r="G2831" s="50" t="str">
        <f t="shared" si="223"/>
        <v/>
      </c>
      <c r="H2831" s="51" t="str">
        <f>IF($C2831="","",IFERROR(DATE(G2831,VLOOKUP(E2831,Paramètres!$K$11:$L$40,2,FALSE()),F2831),"?"))</f>
        <v/>
      </c>
      <c r="I2831" s="50" t="str">
        <f>IF(ISNUMBER(H2831),IF(COUNTIFS($D$2:D2831,D2831,$H$2:H2831,H2831)=1,1,0),"")</f>
        <v/>
      </c>
      <c r="J2831" s="50" t="str">
        <f>IF(ISNUMBER(H2831),IFERROR(INDEX(Calendrier!$C$2:$C$367,MATCH(H2831,Calendrier!$A$2:$A$367,0)),0),"")</f>
        <v/>
      </c>
      <c r="K2831" s="50" t="str">
        <f t="shared" si="224"/>
        <v/>
      </c>
      <c r="L2831" s="50" t="str">
        <f>IF(D2831="","",IF(COUNTIF(Paramètres!$A$11:$A$40,D2831)&gt;0,1,0))</f>
        <v/>
      </c>
    </row>
    <row r="2832" spans="1:12" hidden="1" x14ac:dyDescent="0.25">
      <c r="A2832" s="49"/>
      <c r="B2832" s="49"/>
      <c r="C2832" s="49"/>
      <c r="D2832" s="50" t="str">
        <f t="shared" si="220"/>
        <v/>
      </c>
      <c r="E2832" s="50" t="str">
        <f t="shared" si="221"/>
        <v/>
      </c>
      <c r="F2832" s="50" t="str">
        <f t="shared" si="222"/>
        <v/>
      </c>
      <c r="G2832" s="50" t="str">
        <f t="shared" si="223"/>
        <v/>
      </c>
      <c r="H2832" s="51" t="str">
        <f>IF($C2832="","",IFERROR(DATE(G2832,VLOOKUP(E2832,Paramètres!$K$11:$L$40,2,FALSE()),F2832),"?"))</f>
        <v/>
      </c>
      <c r="I2832" s="50" t="str">
        <f>IF(ISNUMBER(H2832),IF(COUNTIFS($D$2:D2832,D2832,$H$2:H2832,H2832)=1,1,0),"")</f>
        <v/>
      </c>
      <c r="J2832" s="50" t="str">
        <f>IF(ISNUMBER(H2832),IFERROR(INDEX(Calendrier!$C$2:$C$367,MATCH(H2832,Calendrier!$A$2:$A$367,0)),0),"")</f>
        <v/>
      </c>
      <c r="K2832" s="50" t="str">
        <f t="shared" si="224"/>
        <v/>
      </c>
      <c r="L2832" s="50" t="str">
        <f>IF(D2832="","",IF(COUNTIF(Paramètres!$A$11:$A$40,D2832)&gt;0,1,0))</f>
        <v/>
      </c>
    </row>
    <row r="2833" spans="1:12" hidden="1" x14ac:dyDescent="0.25">
      <c r="A2833" s="49"/>
      <c r="B2833" s="49"/>
      <c r="C2833" s="49"/>
      <c r="D2833" s="50" t="str">
        <f t="shared" si="220"/>
        <v/>
      </c>
      <c r="E2833" s="50" t="str">
        <f t="shared" si="221"/>
        <v/>
      </c>
      <c r="F2833" s="50" t="str">
        <f t="shared" si="222"/>
        <v/>
      </c>
      <c r="G2833" s="50" t="str">
        <f t="shared" si="223"/>
        <v/>
      </c>
      <c r="H2833" s="51" t="str">
        <f>IF($C2833="","",IFERROR(DATE(G2833,VLOOKUP(E2833,Paramètres!$K$11:$L$40,2,FALSE()),F2833),"?"))</f>
        <v/>
      </c>
      <c r="I2833" s="50" t="str">
        <f>IF(ISNUMBER(H2833),IF(COUNTIFS($D$2:D2833,D2833,$H$2:H2833,H2833)=1,1,0),"")</f>
        <v/>
      </c>
      <c r="J2833" s="50" t="str">
        <f>IF(ISNUMBER(H2833),IFERROR(INDEX(Calendrier!$C$2:$C$367,MATCH(H2833,Calendrier!$A$2:$A$367,0)),0),"")</f>
        <v/>
      </c>
      <c r="K2833" s="50" t="str">
        <f t="shared" si="224"/>
        <v/>
      </c>
      <c r="L2833" s="50" t="str">
        <f>IF(D2833="","",IF(COUNTIF(Paramètres!$A$11:$A$40,D2833)&gt;0,1,0))</f>
        <v/>
      </c>
    </row>
    <row r="2834" spans="1:12" hidden="1" x14ac:dyDescent="0.25">
      <c r="A2834" s="49"/>
      <c r="B2834" s="49"/>
      <c r="C2834" s="49"/>
      <c r="D2834" s="50" t="str">
        <f t="shared" si="220"/>
        <v/>
      </c>
      <c r="E2834" s="50" t="str">
        <f t="shared" si="221"/>
        <v/>
      </c>
      <c r="F2834" s="50" t="str">
        <f t="shared" si="222"/>
        <v/>
      </c>
      <c r="G2834" s="50" t="str">
        <f t="shared" si="223"/>
        <v/>
      </c>
      <c r="H2834" s="51" t="str">
        <f>IF($C2834="","",IFERROR(DATE(G2834,VLOOKUP(E2834,Paramètres!$K$11:$L$40,2,FALSE()),F2834),"?"))</f>
        <v/>
      </c>
      <c r="I2834" s="50" t="str">
        <f>IF(ISNUMBER(H2834),IF(COUNTIFS($D$2:D2834,D2834,$H$2:H2834,H2834)=1,1,0),"")</f>
        <v/>
      </c>
      <c r="J2834" s="50" t="str">
        <f>IF(ISNUMBER(H2834),IFERROR(INDEX(Calendrier!$C$2:$C$367,MATCH(H2834,Calendrier!$A$2:$A$367,0)),0),"")</f>
        <v/>
      </c>
      <c r="K2834" s="50" t="str">
        <f t="shared" si="224"/>
        <v/>
      </c>
      <c r="L2834" s="50" t="str">
        <f>IF(D2834="","",IF(COUNTIF(Paramètres!$A$11:$A$40,D2834)&gt;0,1,0))</f>
        <v/>
      </c>
    </row>
    <row r="2835" spans="1:12" hidden="1" x14ac:dyDescent="0.25">
      <c r="A2835" s="49"/>
      <c r="B2835" s="49"/>
      <c r="C2835" s="49"/>
      <c r="D2835" s="50" t="str">
        <f t="shared" si="220"/>
        <v/>
      </c>
      <c r="E2835" s="50" t="str">
        <f t="shared" si="221"/>
        <v/>
      </c>
      <c r="F2835" s="50" t="str">
        <f t="shared" si="222"/>
        <v/>
      </c>
      <c r="G2835" s="50" t="str">
        <f t="shared" si="223"/>
        <v/>
      </c>
      <c r="H2835" s="51" t="str">
        <f>IF($C2835="","",IFERROR(DATE(G2835,VLOOKUP(E2835,Paramètres!$K$11:$L$40,2,FALSE()),F2835),"?"))</f>
        <v/>
      </c>
      <c r="I2835" s="50" t="str">
        <f>IF(ISNUMBER(H2835),IF(COUNTIFS($D$2:D2835,D2835,$H$2:H2835,H2835)=1,1,0),"")</f>
        <v/>
      </c>
      <c r="J2835" s="50" t="str">
        <f>IF(ISNUMBER(H2835),IFERROR(INDEX(Calendrier!$C$2:$C$367,MATCH(H2835,Calendrier!$A$2:$A$367,0)),0),"")</f>
        <v/>
      </c>
      <c r="K2835" s="50" t="str">
        <f t="shared" si="224"/>
        <v/>
      </c>
      <c r="L2835" s="50" t="str">
        <f>IF(D2835="","",IF(COUNTIF(Paramètres!$A$11:$A$40,D2835)&gt;0,1,0))</f>
        <v/>
      </c>
    </row>
    <row r="2836" spans="1:12" hidden="1" x14ac:dyDescent="0.25">
      <c r="A2836" s="49"/>
      <c r="B2836" s="49"/>
      <c r="C2836" s="49"/>
      <c r="D2836" s="50" t="str">
        <f t="shared" si="220"/>
        <v/>
      </c>
      <c r="E2836" s="50" t="str">
        <f t="shared" si="221"/>
        <v/>
      </c>
      <c r="F2836" s="50" t="str">
        <f t="shared" si="222"/>
        <v/>
      </c>
      <c r="G2836" s="50" t="str">
        <f t="shared" si="223"/>
        <v/>
      </c>
      <c r="H2836" s="51" t="str">
        <f>IF($C2836="","",IFERROR(DATE(G2836,VLOOKUP(E2836,Paramètres!$K$11:$L$40,2,FALSE()),F2836),"?"))</f>
        <v/>
      </c>
      <c r="I2836" s="50" t="str">
        <f>IF(ISNUMBER(H2836),IF(COUNTIFS($D$2:D2836,D2836,$H$2:H2836,H2836)=1,1,0),"")</f>
        <v/>
      </c>
      <c r="J2836" s="50" t="str">
        <f>IF(ISNUMBER(H2836),IFERROR(INDEX(Calendrier!$C$2:$C$367,MATCH(H2836,Calendrier!$A$2:$A$367,0)),0),"")</f>
        <v/>
      </c>
      <c r="K2836" s="50" t="str">
        <f t="shared" si="224"/>
        <v/>
      </c>
      <c r="L2836" s="50" t="str">
        <f>IF(D2836="","",IF(COUNTIF(Paramètres!$A$11:$A$40,D2836)&gt;0,1,0))</f>
        <v/>
      </c>
    </row>
    <row r="2837" spans="1:12" hidden="1" x14ac:dyDescent="0.25">
      <c r="A2837" s="49"/>
      <c r="B2837" s="49"/>
      <c r="C2837" s="49"/>
      <c r="D2837" s="50" t="str">
        <f t="shared" si="220"/>
        <v/>
      </c>
      <c r="E2837" s="50" t="str">
        <f t="shared" si="221"/>
        <v/>
      </c>
      <c r="F2837" s="50" t="str">
        <f t="shared" si="222"/>
        <v/>
      </c>
      <c r="G2837" s="50" t="str">
        <f t="shared" si="223"/>
        <v/>
      </c>
      <c r="H2837" s="51" t="str">
        <f>IF($C2837="","",IFERROR(DATE(G2837,VLOOKUP(E2837,Paramètres!$K$11:$L$40,2,FALSE()),F2837),"?"))</f>
        <v/>
      </c>
      <c r="I2837" s="50" t="str">
        <f>IF(ISNUMBER(H2837),IF(COUNTIFS($D$2:D2837,D2837,$H$2:H2837,H2837)=1,1,0),"")</f>
        <v/>
      </c>
      <c r="J2837" s="50" t="str">
        <f>IF(ISNUMBER(H2837),IFERROR(INDEX(Calendrier!$C$2:$C$367,MATCH(H2837,Calendrier!$A$2:$A$367,0)),0),"")</f>
        <v/>
      </c>
      <c r="K2837" s="50" t="str">
        <f t="shared" si="224"/>
        <v/>
      </c>
      <c r="L2837" s="50" t="str">
        <f>IF(D2837="","",IF(COUNTIF(Paramètres!$A$11:$A$40,D2837)&gt;0,1,0))</f>
        <v/>
      </c>
    </row>
    <row r="2838" spans="1:12" hidden="1" x14ac:dyDescent="0.25">
      <c r="A2838" s="49"/>
      <c r="B2838" s="49"/>
      <c r="C2838" s="49"/>
      <c r="D2838" s="50" t="str">
        <f t="shared" si="220"/>
        <v/>
      </c>
      <c r="E2838" s="50" t="str">
        <f t="shared" si="221"/>
        <v/>
      </c>
      <c r="F2838" s="50" t="str">
        <f t="shared" si="222"/>
        <v/>
      </c>
      <c r="G2838" s="50" t="str">
        <f t="shared" si="223"/>
        <v/>
      </c>
      <c r="H2838" s="51" t="str">
        <f>IF($C2838="","",IFERROR(DATE(G2838,VLOOKUP(E2838,Paramètres!$K$11:$L$40,2,FALSE()),F2838),"?"))</f>
        <v/>
      </c>
      <c r="I2838" s="50" t="str">
        <f>IF(ISNUMBER(H2838),IF(COUNTIFS($D$2:D2838,D2838,$H$2:H2838,H2838)=1,1,0),"")</f>
        <v/>
      </c>
      <c r="J2838" s="50" t="str">
        <f>IF(ISNUMBER(H2838),IFERROR(INDEX(Calendrier!$C$2:$C$367,MATCH(H2838,Calendrier!$A$2:$A$367,0)),0),"")</f>
        <v/>
      </c>
      <c r="K2838" s="50" t="str">
        <f t="shared" si="224"/>
        <v/>
      </c>
      <c r="L2838" s="50" t="str">
        <f>IF(D2838="","",IF(COUNTIF(Paramètres!$A$11:$A$40,D2838)&gt;0,1,0))</f>
        <v/>
      </c>
    </row>
    <row r="2839" spans="1:12" hidden="1" x14ac:dyDescent="0.25">
      <c r="A2839" s="49"/>
      <c r="B2839" s="49"/>
      <c r="C2839" s="49"/>
      <c r="D2839" s="50" t="str">
        <f t="shared" si="220"/>
        <v/>
      </c>
      <c r="E2839" s="50" t="str">
        <f t="shared" si="221"/>
        <v/>
      </c>
      <c r="F2839" s="50" t="str">
        <f t="shared" si="222"/>
        <v/>
      </c>
      <c r="G2839" s="50" t="str">
        <f t="shared" si="223"/>
        <v/>
      </c>
      <c r="H2839" s="51" t="str">
        <f>IF($C2839="","",IFERROR(DATE(G2839,VLOOKUP(E2839,Paramètres!$K$11:$L$40,2,FALSE()),F2839),"?"))</f>
        <v/>
      </c>
      <c r="I2839" s="50" t="str">
        <f>IF(ISNUMBER(H2839),IF(COUNTIFS($D$2:D2839,D2839,$H$2:H2839,H2839)=1,1,0),"")</f>
        <v/>
      </c>
      <c r="J2839" s="50" t="str">
        <f>IF(ISNUMBER(H2839),IFERROR(INDEX(Calendrier!$C$2:$C$367,MATCH(H2839,Calendrier!$A$2:$A$367,0)),0),"")</f>
        <v/>
      </c>
      <c r="K2839" s="50" t="str">
        <f t="shared" si="224"/>
        <v/>
      </c>
      <c r="L2839" s="50" t="str">
        <f>IF(D2839="","",IF(COUNTIF(Paramètres!$A$11:$A$40,D2839)&gt;0,1,0))</f>
        <v/>
      </c>
    </row>
    <row r="2840" spans="1:12" hidden="1" x14ac:dyDescent="0.25">
      <c r="A2840" s="49"/>
      <c r="B2840" s="49"/>
      <c r="C2840" s="49"/>
      <c r="D2840" s="50" t="str">
        <f t="shared" si="220"/>
        <v/>
      </c>
      <c r="E2840" s="50" t="str">
        <f t="shared" si="221"/>
        <v/>
      </c>
      <c r="F2840" s="50" t="str">
        <f t="shared" si="222"/>
        <v/>
      </c>
      <c r="G2840" s="50" t="str">
        <f t="shared" si="223"/>
        <v/>
      </c>
      <c r="H2840" s="51" t="str">
        <f>IF($C2840="","",IFERROR(DATE(G2840,VLOOKUP(E2840,Paramètres!$K$11:$L$40,2,FALSE()),F2840),"?"))</f>
        <v/>
      </c>
      <c r="I2840" s="50" t="str">
        <f>IF(ISNUMBER(H2840),IF(COUNTIFS($D$2:D2840,D2840,$H$2:H2840,H2840)=1,1,0),"")</f>
        <v/>
      </c>
      <c r="J2840" s="50" t="str">
        <f>IF(ISNUMBER(H2840),IFERROR(INDEX(Calendrier!$C$2:$C$367,MATCH(H2840,Calendrier!$A$2:$A$367,0)),0),"")</f>
        <v/>
      </c>
      <c r="K2840" s="50" t="str">
        <f t="shared" si="224"/>
        <v/>
      </c>
      <c r="L2840" s="50" t="str">
        <f>IF(D2840="","",IF(COUNTIF(Paramètres!$A$11:$A$40,D2840)&gt;0,1,0))</f>
        <v/>
      </c>
    </row>
    <row r="2841" spans="1:12" hidden="1" x14ac:dyDescent="0.25">
      <c r="A2841" s="49"/>
      <c r="B2841" s="49"/>
      <c r="C2841" s="49"/>
      <c r="D2841" s="50" t="str">
        <f t="shared" si="220"/>
        <v/>
      </c>
      <c r="E2841" s="50" t="str">
        <f t="shared" si="221"/>
        <v/>
      </c>
      <c r="F2841" s="50" t="str">
        <f t="shared" si="222"/>
        <v/>
      </c>
      <c r="G2841" s="50" t="str">
        <f t="shared" si="223"/>
        <v/>
      </c>
      <c r="H2841" s="51" t="str">
        <f>IF($C2841="","",IFERROR(DATE(G2841,VLOOKUP(E2841,Paramètres!$K$11:$L$40,2,FALSE()),F2841),"?"))</f>
        <v/>
      </c>
      <c r="I2841" s="50" t="str">
        <f>IF(ISNUMBER(H2841),IF(COUNTIFS($D$2:D2841,D2841,$H$2:H2841,H2841)=1,1,0),"")</f>
        <v/>
      </c>
      <c r="J2841" s="50" t="str">
        <f>IF(ISNUMBER(H2841),IFERROR(INDEX(Calendrier!$C$2:$C$367,MATCH(H2841,Calendrier!$A$2:$A$367,0)),0),"")</f>
        <v/>
      </c>
      <c r="K2841" s="50" t="str">
        <f t="shared" si="224"/>
        <v/>
      </c>
      <c r="L2841" s="50" t="str">
        <f>IF(D2841="","",IF(COUNTIF(Paramètres!$A$11:$A$40,D2841)&gt;0,1,0))</f>
        <v/>
      </c>
    </row>
    <row r="2842" spans="1:12" hidden="1" x14ac:dyDescent="0.25">
      <c r="A2842" s="49"/>
      <c r="B2842" s="49"/>
      <c r="C2842" s="49"/>
      <c r="D2842" s="50" t="str">
        <f t="shared" si="220"/>
        <v/>
      </c>
      <c r="E2842" s="50" t="str">
        <f t="shared" si="221"/>
        <v/>
      </c>
      <c r="F2842" s="50" t="str">
        <f t="shared" si="222"/>
        <v/>
      </c>
      <c r="G2842" s="50" t="str">
        <f t="shared" si="223"/>
        <v/>
      </c>
      <c r="H2842" s="51" t="str">
        <f>IF($C2842="","",IFERROR(DATE(G2842,VLOOKUP(E2842,Paramètres!$K$11:$L$40,2,FALSE()),F2842),"?"))</f>
        <v/>
      </c>
      <c r="I2842" s="50" t="str">
        <f>IF(ISNUMBER(H2842),IF(COUNTIFS($D$2:D2842,D2842,$H$2:H2842,H2842)=1,1,0),"")</f>
        <v/>
      </c>
      <c r="J2842" s="50" t="str">
        <f>IF(ISNUMBER(H2842),IFERROR(INDEX(Calendrier!$C$2:$C$367,MATCH(H2842,Calendrier!$A$2:$A$367,0)),0),"")</f>
        <v/>
      </c>
      <c r="K2842" s="50" t="str">
        <f t="shared" si="224"/>
        <v/>
      </c>
      <c r="L2842" s="50" t="str">
        <f>IF(D2842="","",IF(COUNTIF(Paramètres!$A$11:$A$40,D2842)&gt;0,1,0))</f>
        <v/>
      </c>
    </row>
    <row r="2843" spans="1:12" hidden="1" x14ac:dyDescent="0.25">
      <c r="A2843" s="49"/>
      <c r="B2843" s="49"/>
      <c r="C2843" s="49"/>
      <c r="D2843" s="50" t="str">
        <f t="shared" si="220"/>
        <v/>
      </c>
      <c r="E2843" s="50" t="str">
        <f t="shared" si="221"/>
        <v/>
      </c>
      <c r="F2843" s="50" t="str">
        <f t="shared" si="222"/>
        <v/>
      </c>
      <c r="G2843" s="50" t="str">
        <f t="shared" si="223"/>
        <v/>
      </c>
      <c r="H2843" s="51" t="str">
        <f>IF($C2843="","",IFERROR(DATE(G2843,VLOOKUP(E2843,Paramètres!$K$11:$L$40,2,FALSE()),F2843),"?"))</f>
        <v/>
      </c>
      <c r="I2843" s="50" t="str">
        <f>IF(ISNUMBER(H2843),IF(COUNTIFS($D$2:D2843,D2843,$H$2:H2843,H2843)=1,1,0),"")</f>
        <v/>
      </c>
      <c r="J2843" s="50" t="str">
        <f>IF(ISNUMBER(H2843),IFERROR(INDEX(Calendrier!$C$2:$C$367,MATCH(H2843,Calendrier!$A$2:$A$367,0)),0),"")</f>
        <v/>
      </c>
      <c r="K2843" s="50" t="str">
        <f t="shared" si="224"/>
        <v/>
      </c>
      <c r="L2843" s="50" t="str">
        <f>IF(D2843="","",IF(COUNTIF(Paramètres!$A$11:$A$40,D2843)&gt;0,1,0))</f>
        <v/>
      </c>
    </row>
    <row r="2844" spans="1:12" hidden="1" x14ac:dyDescent="0.25">
      <c r="A2844" s="49"/>
      <c r="B2844" s="49"/>
      <c r="C2844" s="49"/>
      <c r="D2844" s="50" t="str">
        <f t="shared" si="220"/>
        <v/>
      </c>
      <c r="E2844" s="50" t="str">
        <f t="shared" si="221"/>
        <v/>
      </c>
      <c r="F2844" s="50" t="str">
        <f t="shared" si="222"/>
        <v/>
      </c>
      <c r="G2844" s="50" t="str">
        <f t="shared" si="223"/>
        <v/>
      </c>
      <c r="H2844" s="51" t="str">
        <f>IF($C2844="","",IFERROR(DATE(G2844,VLOOKUP(E2844,Paramètres!$K$11:$L$40,2,FALSE()),F2844),"?"))</f>
        <v/>
      </c>
      <c r="I2844" s="50" t="str">
        <f>IF(ISNUMBER(H2844),IF(COUNTIFS($D$2:D2844,D2844,$H$2:H2844,H2844)=1,1,0),"")</f>
        <v/>
      </c>
      <c r="J2844" s="50" t="str">
        <f>IF(ISNUMBER(H2844),IFERROR(INDEX(Calendrier!$C$2:$C$367,MATCH(H2844,Calendrier!$A$2:$A$367,0)),0),"")</f>
        <v/>
      </c>
      <c r="K2844" s="50" t="str">
        <f t="shared" si="224"/>
        <v/>
      </c>
      <c r="L2844" s="50" t="str">
        <f>IF(D2844="","",IF(COUNTIF(Paramètres!$A$11:$A$40,D2844)&gt;0,1,0))</f>
        <v/>
      </c>
    </row>
    <row r="2845" spans="1:12" hidden="1" x14ac:dyDescent="0.25">
      <c r="A2845" s="49"/>
      <c r="B2845" s="49"/>
      <c r="C2845" s="49"/>
      <c r="D2845" s="50" t="str">
        <f t="shared" si="220"/>
        <v/>
      </c>
      <c r="E2845" s="50" t="str">
        <f t="shared" si="221"/>
        <v/>
      </c>
      <c r="F2845" s="50" t="str">
        <f t="shared" si="222"/>
        <v/>
      </c>
      <c r="G2845" s="50" t="str">
        <f t="shared" si="223"/>
        <v/>
      </c>
      <c r="H2845" s="51" t="str">
        <f>IF($C2845="","",IFERROR(DATE(G2845,VLOOKUP(E2845,Paramètres!$K$11:$L$40,2,FALSE()),F2845),"?"))</f>
        <v/>
      </c>
      <c r="I2845" s="50" t="str">
        <f>IF(ISNUMBER(H2845),IF(COUNTIFS($D$2:D2845,D2845,$H$2:H2845,H2845)=1,1,0),"")</f>
        <v/>
      </c>
      <c r="J2845" s="50" t="str">
        <f>IF(ISNUMBER(H2845),IFERROR(INDEX(Calendrier!$C$2:$C$367,MATCH(H2845,Calendrier!$A$2:$A$367,0)),0),"")</f>
        <v/>
      </c>
      <c r="K2845" s="50" t="str">
        <f t="shared" si="224"/>
        <v/>
      </c>
      <c r="L2845" s="50" t="str">
        <f>IF(D2845="","",IF(COUNTIF(Paramètres!$A$11:$A$40,D2845)&gt;0,1,0))</f>
        <v/>
      </c>
    </row>
    <row r="2846" spans="1:12" hidden="1" x14ac:dyDescent="0.25">
      <c r="A2846" s="49"/>
      <c r="B2846" s="49"/>
      <c r="C2846" s="49"/>
      <c r="D2846" s="50" t="str">
        <f t="shared" si="220"/>
        <v/>
      </c>
      <c r="E2846" s="50" t="str">
        <f t="shared" si="221"/>
        <v/>
      </c>
      <c r="F2846" s="50" t="str">
        <f t="shared" si="222"/>
        <v/>
      </c>
      <c r="G2846" s="50" t="str">
        <f t="shared" si="223"/>
        <v/>
      </c>
      <c r="H2846" s="51" t="str">
        <f>IF($C2846="","",IFERROR(DATE(G2846,VLOOKUP(E2846,Paramètres!$K$11:$L$40,2,FALSE()),F2846),"?"))</f>
        <v/>
      </c>
      <c r="I2846" s="50" t="str">
        <f>IF(ISNUMBER(H2846),IF(COUNTIFS($D$2:D2846,D2846,$H$2:H2846,H2846)=1,1,0),"")</f>
        <v/>
      </c>
      <c r="J2846" s="50" t="str">
        <f>IF(ISNUMBER(H2846),IFERROR(INDEX(Calendrier!$C$2:$C$367,MATCH(H2846,Calendrier!$A$2:$A$367,0)),0),"")</f>
        <v/>
      </c>
      <c r="K2846" s="50" t="str">
        <f t="shared" si="224"/>
        <v/>
      </c>
      <c r="L2846" s="50" t="str">
        <f>IF(D2846="","",IF(COUNTIF(Paramètres!$A$11:$A$40,D2846)&gt;0,1,0))</f>
        <v/>
      </c>
    </row>
    <row r="2847" spans="1:12" hidden="1" x14ac:dyDescent="0.25">
      <c r="A2847" s="49"/>
      <c r="B2847" s="49"/>
      <c r="C2847" s="49"/>
      <c r="D2847" s="50" t="str">
        <f t="shared" si="220"/>
        <v/>
      </c>
      <c r="E2847" s="50" t="str">
        <f t="shared" si="221"/>
        <v/>
      </c>
      <c r="F2847" s="50" t="str">
        <f t="shared" si="222"/>
        <v/>
      </c>
      <c r="G2847" s="50" t="str">
        <f t="shared" si="223"/>
        <v/>
      </c>
      <c r="H2847" s="51" t="str">
        <f>IF($C2847="","",IFERROR(DATE(G2847,VLOOKUP(E2847,Paramètres!$K$11:$L$40,2,FALSE()),F2847),"?"))</f>
        <v/>
      </c>
      <c r="I2847" s="50" t="str">
        <f>IF(ISNUMBER(H2847),IF(COUNTIFS($D$2:D2847,D2847,$H$2:H2847,H2847)=1,1,0),"")</f>
        <v/>
      </c>
      <c r="J2847" s="50" t="str">
        <f>IF(ISNUMBER(H2847),IFERROR(INDEX(Calendrier!$C$2:$C$367,MATCH(H2847,Calendrier!$A$2:$A$367,0)),0),"")</f>
        <v/>
      </c>
      <c r="K2847" s="50" t="str">
        <f t="shared" si="224"/>
        <v/>
      </c>
      <c r="L2847" s="50" t="str">
        <f>IF(D2847="","",IF(COUNTIF(Paramètres!$A$11:$A$40,D2847)&gt;0,1,0))</f>
        <v/>
      </c>
    </row>
    <row r="2848" spans="1:12" hidden="1" x14ac:dyDescent="0.25">
      <c r="A2848" s="49"/>
      <c r="B2848" s="49"/>
      <c r="C2848" s="49"/>
      <c r="D2848" s="50" t="str">
        <f t="shared" si="220"/>
        <v/>
      </c>
      <c r="E2848" s="50" t="str">
        <f t="shared" si="221"/>
        <v/>
      </c>
      <c r="F2848" s="50" t="str">
        <f t="shared" si="222"/>
        <v/>
      </c>
      <c r="G2848" s="50" t="str">
        <f t="shared" si="223"/>
        <v/>
      </c>
      <c r="H2848" s="51" t="str">
        <f>IF($C2848="","",IFERROR(DATE(G2848,VLOOKUP(E2848,Paramètres!$K$11:$L$40,2,FALSE()),F2848),"?"))</f>
        <v/>
      </c>
      <c r="I2848" s="50" t="str">
        <f>IF(ISNUMBER(H2848),IF(COUNTIFS($D$2:D2848,D2848,$H$2:H2848,H2848)=1,1,0),"")</f>
        <v/>
      </c>
      <c r="J2848" s="50" t="str">
        <f>IF(ISNUMBER(H2848),IFERROR(INDEX(Calendrier!$C$2:$C$367,MATCH(H2848,Calendrier!$A$2:$A$367,0)),0),"")</f>
        <v/>
      </c>
      <c r="K2848" s="50" t="str">
        <f t="shared" si="224"/>
        <v/>
      </c>
      <c r="L2848" s="50" t="str">
        <f>IF(D2848="","",IF(COUNTIF(Paramètres!$A$11:$A$40,D2848)&gt;0,1,0))</f>
        <v/>
      </c>
    </row>
    <row r="2849" spans="1:12" hidden="1" x14ac:dyDescent="0.25">
      <c r="A2849" s="49"/>
      <c r="B2849" s="49"/>
      <c r="C2849" s="49"/>
      <c r="D2849" s="50" t="str">
        <f t="shared" si="220"/>
        <v/>
      </c>
      <c r="E2849" s="50" t="str">
        <f t="shared" si="221"/>
        <v/>
      </c>
      <c r="F2849" s="50" t="str">
        <f t="shared" si="222"/>
        <v/>
      </c>
      <c r="G2849" s="50" t="str">
        <f t="shared" si="223"/>
        <v/>
      </c>
      <c r="H2849" s="51" t="str">
        <f>IF($C2849="","",IFERROR(DATE(G2849,VLOOKUP(E2849,Paramètres!$K$11:$L$40,2,FALSE()),F2849),"?"))</f>
        <v/>
      </c>
      <c r="I2849" s="50" t="str">
        <f>IF(ISNUMBER(H2849),IF(COUNTIFS($D$2:D2849,D2849,$H$2:H2849,H2849)=1,1,0),"")</f>
        <v/>
      </c>
      <c r="J2849" s="50" t="str">
        <f>IF(ISNUMBER(H2849),IFERROR(INDEX(Calendrier!$C$2:$C$367,MATCH(H2849,Calendrier!$A$2:$A$367,0)),0),"")</f>
        <v/>
      </c>
      <c r="K2849" s="50" t="str">
        <f t="shared" si="224"/>
        <v/>
      </c>
      <c r="L2849" s="50" t="str">
        <f>IF(D2849="","",IF(COUNTIF(Paramètres!$A$11:$A$40,D2849)&gt;0,1,0))</f>
        <v/>
      </c>
    </row>
    <row r="2850" spans="1:12" hidden="1" x14ac:dyDescent="0.25">
      <c r="A2850" s="49"/>
      <c r="B2850" s="49"/>
      <c r="C2850" s="49"/>
      <c r="D2850" s="50" t="str">
        <f t="shared" si="220"/>
        <v/>
      </c>
      <c r="E2850" s="50" t="str">
        <f t="shared" si="221"/>
        <v/>
      </c>
      <c r="F2850" s="50" t="str">
        <f t="shared" si="222"/>
        <v/>
      </c>
      <c r="G2850" s="50" t="str">
        <f t="shared" si="223"/>
        <v/>
      </c>
      <c r="H2850" s="51" t="str">
        <f>IF($C2850="","",IFERROR(DATE(G2850,VLOOKUP(E2850,Paramètres!$K$11:$L$40,2,FALSE()),F2850),"?"))</f>
        <v/>
      </c>
      <c r="I2850" s="50" t="str">
        <f>IF(ISNUMBER(H2850),IF(COUNTIFS($D$2:D2850,D2850,$H$2:H2850,H2850)=1,1,0),"")</f>
        <v/>
      </c>
      <c r="J2850" s="50" t="str">
        <f>IF(ISNUMBER(H2850),IFERROR(INDEX(Calendrier!$C$2:$C$367,MATCH(H2850,Calendrier!$A$2:$A$367,0)),0),"")</f>
        <v/>
      </c>
      <c r="K2850" s="50" t="str">
        <f t="shared" si="224"/>
        <v/>
      </c>
      <c r="L2850" s="50" t="str">
        <f>IF(D2850="","",IF(COUNTIF(Paramètres!$A$11:$A$40,D2850)&gt;0,1,0))</f>
        <v/>
      </c>
    </row>
    <row r="2851" spans="1:12" hidden="1" x14ac:dyDescent="0.25">
      <c r="A2851" s="49"/>
      <c r="B2851" s="49"/>
      <c r="C2851" s="49"/>
      <c r="D2851" s="50" t="str">
        <f t="shared" si="220"/>
        <v/>
      </c>
      <c r="E2851" s="50" t="str">
        <f t="shared" si="221"/>
        <v/>
      </c>
      <c r="F2851" s="50" t="str">
        <f t="shared" si="222"/>
        <v/>
      </c>
      <c r="G2851" s="50" t="str">
        <f t="shared" si="223"/>
        <v/>
      </c>
      <c r="H2851" s="51" t="str">
        <f>IF($C2851="","",IFERROR(DATE(G2851,VLOOKUP(E2851,Paramètres!$K$11:$L$40,2,FALSE()),F2851),"?"))</f>
        <v/>
      </c>
      <c r="I2851" s="50" t="str">
        <f>IF(ISNUMBER(H2851),IF(COUNTIFS($D$2:D2851,D2851,$H$2:H2851,H2851)=1,1,0),"")</f>
        <v/>
      </c>
      <c r="J2851" s="50" t="str">
        <f>IF(ISNUMBER(H2851),IFERROR(INDEX(Calendrier!$C$2:$C$367,MATCH(H2851,Calendrier!$A$2:$A$367,0)),0),"")</f>
        <v/>
      </c>
      <c r="K2851" s="50" t="str">
        <f t="shared" si="224"/>
        <v/>
      </c>
      <c r="L2851" s="50" t="str">
        <f>IF(D2851="","",IF(COUNTIF(Paramètres!$A$11:$A$40,D2851)&gt;0,1,0))</f>
        <v/>
      </c>
    </row>
    <row r="2852" spans="1:12" hidden="1" x14ac:dyDescent="0.25">
      <c r="A2852" s="49"/>
      <c r="B2852" s="49"/>
      <c r="C2852" s="49"/>
      <c r="D2852" s="50" t="str">
        <f t="shared" si="220"/>
        <v/>
      </c>
      <c r="E2852" s="50" t="str">
        <f t="shared" si="221"/>
        <v/>
      </c>
      <c r="F2852" s="50" t="str">
        <f t="shared" si="222"/>
        <v/>
      </c>
      <c r="G2852" s="50" t="str">
        <f t="shared" si="223"/>
        <v/>
      </c>
      <c r="H2852" s="51" t="str">
        <f>IF($C2852="","",IFERROR(DATE(G2852,VLOOKUP(E2852,Paramètres!$K$11:$L$40,2,FALSE()),F2852),"?"))</f>
        <v/>
      </c>
      <c r="I2852" s="50" t="str">
        <f>IF(ISNUMBER(H2852),IF(COUNTIFS($D$2:D2852,D2852,$H$2:H2852,H2852)=1,1,0),"")</f>
        <v/>
      </c>
      <c r="J2852" s="50" t="str">
        <f>IF(ISNUMBER(H2852),IFERROR(INDEX(Calendrier!$C$2:$C$367,MATCH(H2852,Calendrier!$A$2:$A$367,0)),0),"")</f>
        <v/>
      </c>
      <c r="K2852" s="50" t="str">
        <f t="shared" si="224"/>
        <v/>
      </c>
      <c r="L2852" s="50" t="str">
        <f>IF(D2852="","",IF(COUNTIF(Paramètres!$A$11:$A$40,D2852)&gt;0,1,0))</f>
        <v/>
      </c>
    </row>
    <row r="2853" spans="1:12" hidden="1" x14ac:dyDescent="0.25">
      <c r="A2853" s="49"/>
      <c r="B2853" s="49"/>
      <c r="C2853" s="49"/>
      <c r="D2853" s="50" t="str">
        <f t="shared" si="220"/>
        <v/>
      </c>
      <c r="E2853" s="50" t="str">
        <f t="shared" si="221"/>
        <v/>
      </c>
      <c r="F2853" s="50" t="str">
        <f t="shared" si="222"/>
        <v/>
      </c>
      <c r="G2853" s="50" t="str">
        <f t="shared" si="223"/>
        <v/>
      </c>
      <c r="H2853" s="51" t="str">
        <f>IF($C2853="","",IFERROR(DATE(G2853,VLOOKUP(E2853,Paramètres!$K$11:$L$40,2,FALSE()),F2853),"?"))</f>
        <v/>
      </c>
      <c r="I2853" s="50" t="str">
        <f>IF(ISNUMBER(H2853),IF(COUNTIFS($D$2:D2853,D2853,$H$2:H2853,H2853)=1,1,0),"")</f>
        <v/>
      </c>
      <c r="J2853" s="50" t="str">
        <f>IF(ISNUMBER(H2853),IFERROR(INDEX(Calendrier!$C$2:$C$367,MATCH(H2853,Calendrier!$A$2:$A$367,0)),0),"")</f>
        <v/>
      </c>
      <c r="K2853" s="50" t="str">
        <f t="shared" si="224"/>
        <v/>
      </c>
      <c r="L2853" s="50" t="str">
        <f>IF(D2853="","",IF(COUNTIF(Paramètres!$A$11:$A$40,D2853)&gt;0,1,0))</f>
        <v/>
      </c>
    </row>
    <row r="2854" spans="1:12" hidden="1" x14ac:dyDescent="0.25">
      <c r="A2854" s="49"/>
      <c r="B2854" s="49"/>
      <c r="C2854" s="49"/>
      <c r="D2854" s="50" t="str">
        <f t="shared" si="220"/>
        <v/>
      </c>
      <c r="E2854" s="50" t="str">
        <f t="shared" si="221"/>
        <v/>
      </c>
      <c r="F2854" s="50" t="str">
        <f t="shared" si="222"/>
        <v/>
      </c>
      <c r="G2854" s="50" t="str">
        <f t="shared" si="223"/>
        <v/>
      </c>
      <c r="H2854" s="51" t="str">
        <f>IF($C2854="","",IFERROR(DATE(G2854,VLOOKUP(E2854,Paramètres!$K$11:$L$40,2,FALSE()),F2854),"?"))</f>
        <v/>
      </c>
      <c r="I2854" s="50" t="str">
        <f>IF(ISNUMBER(H2854),IF(COUNTIFS($D$2:D2854,D2854,$H$2:H2854,H2854)=1,1,0),"")</f>
        <v/>
      </c>
      <c r="J2854" s="50" t="str">
        <f>IF(ISNUMBER(H2854),IFERROR(INDEX(Calendrier!$C$2:$C$367,MATCH(H2854,Calendrier!$A$2:$A$367,0)),0),"")</f>
        <v/>
      </c>
      <c r="K2854" s="50" t="str">
        <f t="shared" si="224"/>
        <v/>
      </c>
      <c r="L2854" s="50" t="str">
        <f>IF(D2854="","",IF(COUNTIF(Paramètres!$A$11:$A$40,D2854)&gt;0,1,0))</f>
        <v/>
      </c>
    </row>
    <row r="2855" spans="1:12" hidden="1" x14ac:dyDescent="0.25">
      <c r="A2855" s="49"/>
      <c r="B2855" s="49"/>
      <c r="C2855" s="49"/>
      <c r="D2855" s="50" t="str">
        <f t="shared" si="220"/>
        <v/>
      </c>
      <c r="E2855" s="50" t="str">
        <f t="shared" si="221"/>
        <v/>
      </c>
      <c r="F2855" s="50" t="str">
        <f t="shared" si="222"/>
        <v/>
      </c>
      <c r="G2855" s="50" t="str">
        <f t="shared" si="223"/>
        <v/>
      </c>
      <c r="H2855" s="51" t="str">
        <f>IF($C2855="","",IFERROR(DATE(G2855,VLOOKUP(E2855,Paramètres!$K$11:$L$40,2,FALSE()),F2855),"?"))</f>
        <v/>
      </c>
      <c r="I2855" s="50" t="str">
        <f>IF(ISNUMBER(H2855),IF(COUNTIFS($D$2:D2855,D2855,$H$2:H2855,H2855)=1,1,0),"")</f>
        <v/>
      </c>
      <c r="J2855" s="50" t="str">
        <f>IF(ISNUMBER(H2855),IFERROR(INDEX(Calendrier!$C$2:$C$367,MATCH(H2855,Calendrier!$A$2:$A$367,0)),0),"")</f>
        <v/>
      </c>
      <c r="K2855" s="50" t="str">
        <f t="shared" si="224"/>
        <v/>
      </c>
      <c r="L2855" s="50" t="str">
        <f>IF(D2855="","",IF(COUNTIF(Paramètres!$A$11:$A$40,D2855)&gt;0,1,0))</f>
        <v/>
      </c>
    </row>
    <row r="2856" spans="1:12" hidden="1" x14ac:dyDescent="0.25">
      <c r="A2856" s="49"/>
      <c r="B2856" s="49"/>
      <c r="C2856" s="49"/>
      <c r="D2856" s="50" t="str">
        <f t="shared" si="220"/>
        <v/>
      </c>
      <c r="E2856" s="50" t="str">
        <f t="shared" si="221"/>
        <v/>
      </c>
      <c r="F2856" s="50" t="str">
        <f t="shared" si="222"/>
        <v/>
      </c>
      <c r="G2856" s="50" t="str">
        <f t="shared" si="223"/>
        <v/>
      </c>
      <c r="H2856" s="51" t="str">
        <f>IF($C2856="","",IFERROR(DATE(G2856,VLOOKUP(E2856,Paramètres!$K$11:$L$40,2,FALSE()),F2856),"?"))</f>
        <v/>
      </c>
      <c r="I2856" s="50" t="str">
        <f>IF(ISNUMBER(H2856),IF(COUNTIFS($D$2:D2856,D2856,$H$2:H2856,H2856)=1,1,0),"")</f>
        <v/>
      </c>
      <c r="J2856" s="50" t="str">
        <f>IF(ISNUMBER(H2856),IFERROR(INDEX(Calendrier!$C$2:$C$367,MATCH(H2856,Calendrier!$A$2:$A$367,0)),0),"")</f>
        <v/>
      </c>
      <c r="K2856" s="50" t="str">
        <f t="shared" si="224"/>
        <v/>
      </c>
      <c r="L2856" s="50" t="str">
        <f>IF(D2856="","",IF(COUNTIF(Paramètres!$A$11:$A$40,D2856)&gt;0,1,0))</f>
        <v/>
      </c>
    </row>
    <row r="2857" spans="1:12" hidden="1" x14ac:dyDescent="0.25">
      <c r="A2857" s="49"/>
      <c r="B2857" s="49"/>
      <c r="C2857" s="49"/>
      <c r="D2857" s="50" t="str">
        <f t="shared" si="220"/>
        <v/>
      </c>
      <c r="E2857" s="50" t="str">
        <f t="shared" si="221"/>
        <v/>
      </c>
      <c r="F2857" s="50" t="str">
        <f t="shared" si="222"/>
        <v/>
      </c>
      <c r="G2857" s="50" t="str">
        <f t="shared" si="223"/>
        <v/>
      </c>
      <c r="H2857" s="51" t="str">
        <f>IF($C2857="","",IFERROR(DATE(G2857,VLOOKUP(E2857,Paramètres!$K$11:$L$40,2,FALSE()),F2857),"?"))</f>
        <v/>
      </c>
      <c r="I2857" s="50" t="str">
        <f>IF(ISNUMBER(H2857),IF(COUNTIFS($D$2:D2857,D2857,$H$2:H2857,H2857)=1,1,0),"")</f>
        <v/>
      </c>
      <c r="J2857" s="50" t="str">
        <f>IF(ISNUMBER(H2857),IFERROR(INDEX(Calendrier!$C$2:$C$367,MATCH(H2857,Calendrier!$A$2:$A$367,0)),0),"")</f>
        <v/>
      </c>
      <c r="K2857" s="50" t="str">
        <f t="shared" si="224"/>
        <v/>
      </c>
      <c r="L2857" s="50" t="str">
        <f>IF(D2857="","",IF(COUNTIF(Paramètres!$A$11:$A$40,D2857)&gt;0,1,0))</f>
        <v/>
      </c>
    </row>
    <row r="2858" spans="1:12" hidden="1" x14ac:dyDescent="0.25">
      <c r="A2858" s="49"/>
      <c r="B2858" s="49"/>
      <c r="C2858" s="49"/>
      <c r="D2858" s="50" t="str">
        <f t="shared" si="220"/>
        <v/>
      </c>
      <c r="E2858" s="50" t="str">
        <f t="shared" si="221"/>
        <v/>
      </c>
      <c r="F2858" s="50" t="str">
        <f t="shared" si="222"/>
        <v/>
      </c>
      <c r="G2858" s="50" t="str">
        <f t="shared" si="223"/>
        <v/>
      </c>
      <c r="H2858" s="51" t="str">
        <f>IF($C2858="","",IFERROR(DATE(G2858,VLOOKUP(E2858,Paramètres!$K$11:$L$40,2,FALSE()),F2858),"?"))</f>
        <v/>
      </c>
      <c r="I2858" s="50" t="str">
        <f>IF(ISNUMBER(H2858),IF(COUNTIFS($D$2:D2858,D2858,$H$2:H2858,H2858)=1,1,0),"")</f>
        <v/>
      </c>
      <c r="J2858" s="50" t="str">
        <f>IF(ISNUMBER(H2858),IFERROR(INDEX(Calendrier!$C$2:$C$367,MATCH(H2858,Calendrier!$A$2:$A$367,0)),0),"")</f>
        <v/>
      </c>
      <c r="K2858" s="50" t="str">
        <f t="shared" si="224"/>
        <v/>
      </c>
      <c r="L2858" s="50" t="str">
        <f>IF(D2858="","",IF(COUNTIF(Paramètres!$A$11:$A$40,D2858)&gt;0,1,0))</f>
        <v/>
      </c>
    </row>
    <row r="2859" spans="1:12" hidden="1" x14ac:dyDescent="0.25">
      <c r="A2859" s="49"/>
      <c r="B2859" s="49"/>
      <c r="C2859" s="49"/>
      <c r="D2859" s="50" t="str">
        <f t="shared" si="220"/>
        <v/>
      </c>
      <c r="E2859" s="50" t="str">
        <f t="shared" si="221"/>
        <v/>
      </c>
      <c r="F2859" s="50" t="str">
        <f t="shared" si="222"/>
        <v/>
      </c>
      <c r="G2859" s="50" t="str">
        <f t="shared" si="223"/>
        <v/>
      </c>
      <c r="H2859" s="51" t="str">
        <f>IF($C2859="","",IFERROR(DATE(G2859,VLOOKUP(E2859,Paramètres!$K$11:$L$40,2,FALSE()),F2859),"?"))</f>
        <v/>
      </c>
      <c r="I2859" s="50" t="str">
        <f>IF(ISNUMBER(H2859),IF(COUNTIFS($D$2:D2859,D2859,$H$2:H2859,H2859)=1,1,0),"")</f>
        <v/>
      </c>
      <c r="J2859" s="50" t="str">
        <f>IF(ISNUMBER(H2859),IFERROR(INDEX(Calendrier!$C$2:$C$367,MATCH(H2859,Calendrier!$A$2:$A$367,0)),0),"")</f>
        <v/>
      </c>
      <c r="K2859" s="50" t="str">
        <f t="shared" si="224"/>
        <v/>
      </c>
      <c r="L2859" s="50" t="str">
        <f>IF(D2859="","",IF(COUNTIF(Paramètres!$A$11:$A$40,D2859)&gt;0,1,0))</f>
        <v/>
      </c>
    </row>
    <row r="2860" spans="1:12" hidden="1" x14ac:dyDescent="0.25">
      <c r="A2860" s="49"/>
      <c r="B2860" s="49"/>
      <c r="C2860" s="49"/>
      <c r="D2860" s="50" t="str">
        <f t="shared" si="220"/>
        <v/>
      </c>
      <c r="E2860" s="50" t="str">
        <f t="shared" si="221"/>
        <v/>
      </c>
      <c r="F2860" s="50" t="str">
        <f t="shared" si="222"/>
        <v/>
      </c>
      <c r="G2860" s="50" t="str">
        <f t="shared" si="223"/>
        <v/>
      </c>
      <c r="H2860" s="51" t="str">
        <f>IF($C2860="","",IFERROR(DATE(G2860,VLOOKUP(E2860,Paramètres!$K$11:$L$40,2,FALSE()),F2860),"?"))</f>
        <v/>
      </c>
      <c r="I2860" s="50" t="str">
        <f>IF(ISNUMBER(H2860),IF(COUNTIFS($D$2:D2860,D2860,$H$2:H2860,H2860)=1,1,0),"")</f>
        <v/>
      </c>
      <c r="J2860" s="50" t="str">
        <f>IF(ISNUMBER(H2860),IFERROR(INDEX(Calendrier!$C$2:$C$367,MATCH(H2860,Calendrier!$A$2:$A$367,0)),0),"")</f>
        <v/>
      </c>
      <c r="K2860" s="50" t="str">
        <f t="shared" si="224"/>
        <v/>
      </c>
      <c r="L2860" s="50" t="str">
        <f>IF(D2860="","",IF(COUNTIF(Paramètres!$A$11:$A$40,D2860)&gt;0,1,0))</f>
        <v/>
      </c>
    </row>
    <row r="2861" spans="1:12" hidden="1" x14ac:dyDescent="0.25">
      <c r="A2861" s="49"/>
      <c r="B2861" s="49"/>
      <c r="C2861" s="49"/>
      <c r="D2861" s="50" t="str">
        <f t="shared" si="220"/>
        <v/>
      </c>
      <c r="E2861" s="50" t="str">
        <f t="shared" si="221"/>
        <v/>
      </c>
      <c r="F2861" s="50" t="str">
        <f t="shared" si="222"/>
        <v/>
      </c>
      <c r="G2861" s="50" t="str">
        <f t="shared" si="223"/>
        <v/>
      </c>
      <c r="H2861" s="51" t="str">
        <f>IF($C2861="","",IFERROR(DATE(G2861,VLOOKUP(E2861,Paramètres!$K$11:$L$40,2,FALSE()),F2861),"?"))</f>
        <v/>
      </c>
      <c r="I2861" s="50" t="str">
        <f>IF(ISNUMBER(H2861),IF(COUNTIFS($D$2:D2861,D2861,$H$2:H2861,H2861)=1,1,0),"")</f>
        <v/>
      </c>
      <c r="J2861" s="50" t="str">
        <f>IF(ISNUMBER(H2861),IFERROR(INDEX(Calendrier!$C$2:$C$367,MATCH(H2861,Calendrier!$A$2:$A$367,0)),0),"")</f>
        <v/>
      </c>
      <c r="K2861" s="50" t="str">
        <f t="shared" si="224"/>
        <v/>
      </c>
      <c r="L2861" s="50" t="str">
        <f>IF(D2861="","",IF(COUNTIF(Paramètres!$A$11:$A$40,D2861)&gt;0,1,0))</f>
        <v/>
      </c>
    </row>
    <row r="2862" spans="1:12" hidden="1" x14ac:dyDescent="0.25">
      <c r="A2862" s="49"/>
      <c r="B2862" s="49"/>
      <c r="C2862" s="49"/>
      <c r="D2862" s="50" t="str">
        <f t="shared" si="220"/>
        <v/>
      </c>
      <c r="E2862" s="50" t="str">
        <f t="shared" si="221"/>
        <v/>
      </c>
      <c r="F2862" s="50" t="str">
        <f t="shared" si="222"/>
        <v/>
      </c>
      <c r="G2862" s="50" t="str">
        <f t="shared" si="223"/>
        <v/>
      </c>
      <c r="H2862" s="51" t="str">
        <f>IF($C2862="","",IFERROR(DATE(G2862,VLOOKUP(E2862,Paramètres!$K$11:$L$40,2,FALSE()),F2862),"?"))</f>
        <v/>
      </c>
      <c r="I2862" s="50" t="str">
        <f>IF(ISNUMBER(H2862),IF(COUNTIFS($D$2:D2862,D2862,$H$2:H2862,H2862)=1,1,0),"")</f>
        <v/>
      </c>
      <c r="J2862" s="50" t="str">
        <f>IF(ISNUMBER(H2862),IFERROR(INDEX(Calendrier!$C$2:$C$367,MATCH(H2862,Calendrier!$A$2:$A$367,0)),0),"")</f>
        <v/>
      </c>
      <c r="K2862" s="50" t="str">
        <f t="shared" si="224"/>
        <v/>
      </c>
      <c r="L2862" s="50" t="str">
        <f>IF(D2862="","",IF(COUNTIF(Paramètres!$A$11:$A$40,D2862)&gt;0,1,0))</f>
        <v/>
      </c>
    </row>
    <row r="2863" spans="1:12" hidden="1" x14ac:dyDescent="0.25">
      <c r="A2863" s="49"/>
      <c r="B2863" s="49"/>
      <c r="C2863" s="49"/>
      <c r="D2863" s="50" t="str">
        <f t="shared" si="220"/>
        <v/>
      </c>
      <c r="E2863" s="50" t="str">
        <f t="shared" si="221"/>
        <v/>
      </c>
      <c r="F2863" s="50" t="str">
        <f t="shared" si="222"/>
        <v/>
      </c>
      <c r="G2863" s="50" t="str">
        <f t="shared" si="223"/>
        <v/>
      </c>
      <c r="H2863" s="51" t="str">
        <f>IF($C2863="","",IFERROR(DATE(G2863,VLOOKUP(E2863,Paramètres!$K$11:$L$40,2,FALSE()),F2863),"?"))</f>
        <v/>
      </c>
      <c r="I2863" s="50" t="str">
        <f>IF(ISNUMBER(H2863),IF(COUNTIFS($D$2:D2863,D2863,$H$2:H2863,H2863)=1,1,0),"")</f>
        <v/>
      </c>
      <c r="J2863" s="50" t="str">
        <f>IF(ISNUMBER(H2863),IFERROR(INDEX(Calendrier!$C$2:$C$367,MATCH(H2863,Calendrier!$A$2:$A$367,0)),0),"")</f>
        <v/>
      </c>
      <c r="K2863" s="50" t="str">
        <f t="shared" si="224"/>
        <v/>
      </c>
      <c r="L2863" s="50" t="str">
        <f>IF(D2863="","",IF(COUNTIF(Paramètres!$A$11:$A$40,D2863)&gt;0,1,0))</f>
        <v/>
      </c>
    </row>
    <row r="2864" spans="1:12" hidden="1" x14ac:dyDescent="0.25">
      <c r="A2864" s="49"/>
      <c r="B2864" s="49"/>
      <c r="C2864" s="49"/>
      <c r="D2864" s="50" t="str">
        <f t="shared" si="220"/>
        <v/>
      </c>
      <c r="E2864" s="50" t="str">
        <f t="shared" si="221"/>
        <v/>
      </c>
      <c r="F2864" s="50" t="str">
        <f t="shared" si="222"/>
        <v/>
      </c>
      <c r="G2864" s="50" t="str">
        <f t="shared" si="223"/>
        <v/>
      </c>
      <c r="H2864" s="51" t="str">
        <f>IF($C2864="","",IFERROR(DATE(G2864,VLOOKUP(E2864,Paramètres!$K$11:$L$40,2,FALSE()),F2864),"?"))</f>
        <v/>
      </c>
      <c r="I2864" s="50" t="str">
        <f>IF(ISNUMBER(H2864),IF(COUNTIFS($D$2:D2864,D2864,$H$2:H2864,H2864)=1,1,0),"")</f>
        <v/>
      </c>
      <c r="J2864" s="50" t="str">
        <f>IF(ISNUMBER(H2864),IFERROR(INDEX(Calendrier!$C$2:$C$367,MATCH(H2864,Calendrier!$A$2:$A$367,0)),0),"")</f>
        <v/>
      </c>
      <c r="K2864" s="50" t="str">
        <f t="shared" si="224"/>
        <v/>
      </c>
      <c r="L2864" s="50" t="str">
        <f>IF(D2864="","",IF(COUNTIF(Paramètres!$A$11:$A$40,D2864)&gt;0,1,0))</f>
        <v/>
      </c>
    </row>
    <row r="2865" spans="1:12" hidden="1" x14ac:dyDescent="0.25">
      <c r="A2865" s="49"/>
      <c r="B2865" s="49"/>
      <c r="C2865" s="49"/>
      <c r="D2865" s="50" t="str">
        <f t="shared" si="220"/>
        <v/>
      </c>
      <c r="E2865" s="50" t="str">
        <f t="shared" si="221"/>
        <v/>
      </c>
      <c r="F2865" s="50" t="str">
        <f t="shared" si="222"/>
        <v/>
      </c>
      <c r="G2865" s="50" t="str">
        <f t="shared" si="223"/>
        <v/>
      </c>
      <c r="H2865" s="51" t="str">
        <f>IF($C2865="","",IFERROR(DATE(G2865,VLOOKUP(E2865,Paramètres!$K$11:$L$40,2,FALSE()),F2865),"?"))</f>
        <v/>
      </c>
      <c r="I2865" s="50" t="str">
        <f>IF(ISNUMBER(H2865),IF(COUNTIFS($D$2:D2865,D2865,$H$2:H2865,H2865)=1,1,0),"")</f>
        <v/>
      </c>
      <c r="J2865" s="50" t="str">
        <f>IF(ISNUMBER(H2865),IFERROR(INDEX(Calendrier!$C$2:$C$367,MATCH(H2865,Calendrier!$A$2:$A$367,0)),0),"")</f>
        <v/>
      </c>
      <c r="K2865" s="50" t="str">
        <f t="shared" si="224"/>
        <v/>
      </c>
      <c r="L2865" s="50" t="str">
        <f>IF(D2865="","",IF(COUNTIF(Paramètres!$A$11:$A$40,D2865)&gt;0,1,0))</f>
        <v/>
      </c>
    </row>
    <row r="2866" spans="1:12" hidden="1" x14ac:dyDescent="0.25">
      <c r="A2866" s="49"/>
      <c r="B2866" s="49"/>
      <c r="C2866" s="49"/>
      <c r="D2866" s="50" t="str">
        <f t="shared" si="220"/>
        <v/>
      </c>
      <c r="E2866" s="50" t="str">
        <f t="shared" si="221"/>
        <v/>
      </c>
      <c r="F2866" s="50" t="str">
        <f t="shared" si="222"/>
        <v/>
      </c>
      <c r="G2866" s="50" t="str">
        <f t="shared" si="223"/>
        <v/>
      </c>
      <c r="H2866" s="51" t="str">
        <f>IF($C2866="","",IFERROR(DATE(G2866,VLOOKUP(E2866,Paramètres!$K$11:$L$40,2,FALSE()),F2866),"?"))</f>
        <v/>
      </c>
      <c r="I2866" s="50" t="str">
        <f>IF(ISNUMBER(H2866),IF(COUNTIFS($D$2:D2866,D2866,$H$2:H2866,H2866)=1,1,0),"")</f>
        <v/>
      </c>
      <c r="J2866" s="50" t="str">
        <f>IF(ISNUMBER(H2866),IFERROR(INDEX(Calendrier!$C$2:$C$367,MATCH(H2866,Calendrier!$A$2:$A$367,0)),0),"")</f>
        <v/>
      </c>
      <c r="K2866" s="50" t="str">
        <f t="shared" si="224"/>
        <v/>
      </c>
      <c r="L2866" s="50" t="str">
        <f>IF(D2866="","",IF(COUNTIF(Paramètres!$A$11:$A$40,D2866)&gt;0,1,0))</f>
        <v/>
      </c>
    </row>
    <row r="2867" spans="1:12" hidden="1" x14ac:dyDescent="0.25">
      <c r="A2867" s="49"/>
      <c r="B2867" s="49"/>
      <c r="C2867" s="49"/>
      <c r="D2867" s="50" t="str">
        <f t="shared" si="220"/>
        <v/>
      </c>
      <c r="E2867" s="50" t="str">
        <f t="shared" si="221"/>
        <v/>
      </c>
      <c r="F2867" s="50" t="str">
        <f t="shared" si="222"/>
        <v/>
      </c>
      <c r="G2867" s="50" t="str">
        <f t="shared" si="223"/>
        <v/>
      </c>
      <c r="H2867" s="51" t="str">
        <f>IF($C2867="","",IFERROR(DATE(G2867,VLOOKUP(E2867,Paramètres!$K$11:$L$40,2,FALSE()),F2867),"?"))</f>
        <v/>
      </c>
      <c r="I2867" s="50" t="str">
        <f>IF(ISNUMBER(H2867),IF(COUNTIFS($D$2:D2867,D2867,$H$2:H2867,H2867)=1,1,0),"")</f>
        <v/>
      </c>
      <c r="J2867" s="50" t="str">
        <f>IF(ISNUMBER(H2867),IFERROR(INDEX(Calendrier!$C$2:$C$367,MATCH(H2867,Calendrier!$A$2:$A$367,0)),0),"")</f>
        <v/>
      </c>
      <c r="K2867" s="50" t="str">
        <f t="shared" si="224"/>
        <v/>
      </c>
      <c r="L2867" s="50" t="str">
        <f>IF(D2867="","",IF(COUNTIF(Paramètres!$A$11:$A$40,D2867)&gt;0,1,0))</f>
        <v/>
      </c>
    </row>
    <row r="2868" spans="1:12" hidden="1" x14ac:dyDescent="0.25">
      <c r="A2868" s="49"/>
      <c r="B2868" s="49"/>
      <c r="C2868" s="49"/>
      <c r="D2868" s="50" t="str">
        <f t="shared" si="220"/>
        <v/>
      </c>
      <c r="E2868" s="50" t="str">
        <f t="shared" si="221"/>
        <v/>
      </c>
      <c r="F2868" s="50" t="str">
        <f t="shared" si="222"/>
        <v/>
      </c>
      <c r="G2868" s="50" t="str">
        <f t="shared" si="223"/>
        <v/>
      </c>
      <c r="H2868" s="51" t="str">
        <f>IF($C2868="","",IFERROR(DATE(G2868,VLOOKUP(E2868,Paramètres!$K$11:$L$40,2,FALSE()),F2868),"?"))</f>
        <v/>
      </c>
      <c r="I2868" s="50" t="str">
        <f>IF(ISNUMBER(H2868),IF(COUNTIFS($D$2:D2868,D2868,$H$2:H2868,H2868)=1,1,0),"")</f>
        <v/>
      </c>
      <c r="J2868" s="50" t="str">
        <f>IF(ISNUMBER(H2868),IFERROR(INDEX(Calendrier!$C$2:$C$367,MATCH(H2868,Calendrier!$A$2:$A$367,0)),0),"")</f>
        <v/>
      </c>
      <c r="K2868" s="50" t="str">
        <f t="shared" si="224"/>
        <v/>
      </c>
      <c r="L2868" s="50" t="str">
        <f>IF(D2868="","",IF(COUNTIF(Paramètres!$A$11:$A$40,D2868)&gt;0,1,0))</f>
        <v/>
      </c>
    </row>
    <row r="2869" spans="1:12" hidden="1" x14ac:dyDescent="0.25">
      <c r="A2869" s="49"/>
      <c r="B2869" s="49"/>
      <c r="C2869" s="49"/>
      <c r="D2869" s="50" t="str">
        <f t="shared" si="220"/>
        <v/>
      </c>
      <c r="E2869" s="50" t="str">
        <f t="shared" si="221"/>
        <v/>
      </c>
      <c r="F2869" s="50" t="str">
        <f t="shared" si="222"/>
        <v/>
      </c>
      <c r="G2869" s="50" t="str">
        <f t="shared" si="223"/>
        <v/>
      </c>
      <c r="H2869" s="51" t="str">
        <f>IF($C2869="","",IFERROR(DATE(G2869,VLOOKUP(E2869,Paramètres!$K$11:$L$40,2,FALSE()),F2869),"?"))</f>
        <v/>
      </c>
      <c r="I2869" s="50" t="str">
        <f>IF(ISNUMBER(H2869),IF(COUNTIFS($D$2:D2869,D2869,$H$2:H2869,H2869)=1,1,0),"")</f>
        <v/>
      </c>
      <c r="J2869" s="50" t="str">
        <f>IF(ISNUMBER(H2869),IFERROR(INDEX(Calendrier!$C$2:$C$367,MATCH(H2869,Calendrier!$A$2:$A$367,0)),0),"")</f>
        <v/>
      </c>
      <c r="K2869" s="50" t="str">
        <f t="shared" si="224"/>
        <v/>
      </c>
      <c r="L2869" s="50" t="str">
        <f>IF(D2869="","",IF(COUNTIF(Paramètres!$A$11:$A$40,D2869)&gt;0,1,0))</f>
        <v/>
      </c>
    </row>
    <row r="2870" spans="1:12" hidden="1" x14ac:dyDescent="0.25">
      <c r="A2870" s="49"/>
      <c r="B2870" s="49"/>
      <c r="C2870" s="49"/>
      <c r="D2870" s="50" t="str">
        <f t="shared" si="220"/>
        <v/>
      </c>
      <c r="E2870" s="50" t="str">
        <f t="shared" si="221"/>
        <v/>
      </c>
      <c r="F2870" s="50" t="str">
        <f t="shared" si="222"/>
        <v/>
      </c>
      <c r="G2870" s="50" t="str">
        <f t="shared" si="223"/>
        <v/>
      </c>
      <c r="H2870" s="51" t="str">
        <f>IF($C2870="","",IFERROR(DATE(G2870,VLOOKUP(E2870,Paramètres!$K$11:$L$40,2,FALSE()),F2870),"?"))</f>
        <v/>
      </c>
      <c r="I2870" s="50" t="str">
        <f>IF(ISNUMBER(H2870),IF(COUNTIFS($D$2:D2870,D2870,$H$2:H2870,H2870)=1,1,0),"")</f>
        <v/>
      </c>
      <c r="J2870" s="50" t="str">
        <f>IF(ISNUMBER(H2870),IFERROR(INDEX(Calendrier!$C$2:$C$367,MATCH(H2870,Calendrier!$A$2:$A$367,0)),0),"")</f>
        <v/>
      </c>
      <c r="K2870" s="50" t="str">
        <f t="shared" si="224"/>
        <v/>
      </c>
      <c r="L2870" s="50" t="str">
        <f>IF(D2870="","",IF(COUNTIF(Paramètres!$A$11:$A$40,D2870)&gt;0,1,0))</f>
        <v/>
      </c>
    </row>
    <row r="2871" spans="1:12" hidden="1" x14ac:dyDescent="0.25">
      <c r="A2871" s="49"/>
      <c r="B2871" s="49"/>
      <c r="C2871" s="49"/>
      <c r="D2871" s="50" t="str">
        <f t="shared" si="220"/>
        <v/>
      </c>
      <c r="E2871" s="50" t="str">
        <f t="shared" si="221"/>
        <v/>
      </c>
      <c r="F2871" s="50" t="str">
        <f t="shared" si="222"/>
        <v/>
      </c>
      <c r="G2871" s="50" t="str">
        <f t="shared" si="223"/>
        <v/>
      </c>
      <c r="H2871" s="51" t="str">
        <f>IF($C2871="","",IFERROR(DATE(G2871,VLOOKUP(E2871,Paramètres!$K$11:$L$40,2,FALSE()),F2871),"?"))</f>
        <v/>
      </c>
      <c r="I2871" s="50" t="str">
        <f>IF(ISNUMBER(H2871),IF(COUNTIFS($D$2:D2871,D2871,$H$2:H2871,H2871)=1,1,0),"")</f>
        <v/>
      </c>
      <c r="J2871" s="50" t="str">
        <f>IF(ISNUMBER(H2871),IFERROR(INDEX(Calendrier!$C$2:$C$367,MATCH(H2871,Calendrier!$A$2:$A$367,0)),0),"")</f>
        <v/>
      </c>
      <c r="K2871" s="50" t="str">
        <f t="shared" si="224"/>
        <v/>
      </c>
      <c r="L2871" s="50" t="str">
        <f>IF(D2871="","",IF(COUNTIF(Paramètres!$A$11:$A$40,D2871)&gt;0,1,0))</f>
        <v/>
      </c>
    </row>
    <row r="2872" spans="1:12" hidden="1" x14ac:dyDescent="0.25">
      <c r="A2872" s="49"/>
      <c r="B2872" s="49"/>
      <c r="C2872" s="49"/>
      <c r="D2872" s="50" t="str">
        <f t="shared" si="220"/>
        <v/>
      </c>
      <c r="E2872" s="50" t="str">
        <f t="shared" si="221"/>
        <v/>
      </c>
      <c r="F2872" s="50" t="str">
        <f t="shared" si="222"/>
        <v/>
      </c>
      <c r="G2872" s="50" t="str">
        <f t="shared" si="223"/>
        <v/>
      </c>
      <c r="H2872" s="51" t="str">
        <f>IF($C2872="","",IFERROR(DATE(G2872,VLOOKUP(E2872,Paramètres!$K$11:$L$40,2,FALSE()),F2872),"?"))</f>
        <v/>
      </c>
      <c r="I2872" s="50" t="str">
        <f>IF(ISNUMBER(H2872),IF(COUNTIFS($D$2:D2872,D2872,$H$2:H2872,H2872)=1,1,0),"")</f>
        <v/>
      </c>
      <c r="J2872" s="50" t="str">
        <f>IF(ISNUMBER(H2872),IFERROR(INDEX(Calendrier!$C$2:$C$367,MATCH(H2872,Calendrier!$A$2:$A$367,0)),0),"")</f>
        <v/>
      </c>
      <c r="K2872" s="50" t="str">
        <f t="shared" si="224"/>
        <v/>
      </c>
      <c r="L2872" s="50" t="str">
        <f>IF(D2872="","",IF(COUNTIF(Paramètres!$A$11:$A$40,D2872)&gt;0,1,0))</f>
        <v/>
      </c>
    </row>
    <row r="2873" spans="1:12" hidden="1" x14ac:dyDescent="0.25">
      <c r="A2873" s="49"/>
      <c r="B2873" s="49"/>
      <c r="C2873" s="49"/>
      <c r="D2873" s="50" t="str">
        <f t="shared" si="220"/>
        <v/>
      </c>
      <c r="E2873" s="50" t="str">
        <f t="shared" si="221"/>
        <v/>
      </c>
      <c r="F2873" s="50" t="str">
        <f t="shared" si="222"/>
        <v/>
      </c>
      <c r="G2873" s="50" t="str">
        <f t="shared" si="223"/>
        <v/>
      </c>
      <c r="H2873" s="51" t="str">
        <f>IF($C2873="","",IFERROR(DATE(G2873,VLOOKUP(E2873,Paramètres!$K$11:$L$40,2,FALSE()),F2873),"?"))</f>
        <v/>
      </c>
      <c r="I2873" s="50" t="str">
        <f>IF(ISNUMBER(H2873),IF(COUNTIFS($D$2:D2873,D2873,$H$2:H2873,H2873)=1,1,0),"")</f>
        <v/>
      </c>
      <c r="J2873" s="50" t="str">
        <f>IF(ISNUMBER(H2873),IFERROR(INDEX(Calendrier!$C$2:$C$367,MATCH(H2873,Calendrier!$A$2:$A$367,0)),0),"")</f>
        <v/>
      </c>
      <c r="K2873" s="50" t="str">
        <f t="shared" si="224"/>
        <v/>
      </c>
      <c r="L2873" s="50" t="str">
        <f>IF(D2873="","",IF(COUNTIF(Paramètres!$A$11:$A$40,D2873)&gt;0,1,0))</f>
        <v/>
      </c>
    </row>
    <row r="2874" spans="1:12" hidden="1" x14ac:dyDescent="0.25">
      <c r="A2874" s="49"/>
      <c r="B2874" s="49"/>
      <c r="C2874" s="49"/>
      <c r="D2874" s="50" t="str">
        <f t="shared" si="220"/>
        <v/>
      </c>
      <c r="E2874" s="50" t="str">
        <f t="shared" si="221"/>
        <v/>
      </c>
      <c r="F2874" s="50" t="str">
        <f t="shared" si="222"/>
        <v/>
      </c>
      <c r="G2874" s="50" t="str">
        <f t="shared" si="223"/>
        <v/>
      </c>
      <c r="H2874" s="51" t="str">
        <f>IF($C2874="","",IFERROR(DATE(G2874,VLOOKUP(E2874,Paramètres!$K$11:$L$40,2,FALSE()),F2874),"?"))</f>
        <v/>
      </c>
      <c r="I2874" s="50" t="str">
        <f>IF(ISNUMBER(H2874),IF(COUNTIFS($D$2:D2874,D2874,$H$2:H2874,H2874)=1,1,0),"")</f>
        <v/>
      </c>
      <c r="J2874" s="50" t="str">
        <f>IF(ISNUMBER(H2874),IFERROR(INDEX(Calendrier!$C$2:$C$367,MATCH(H2874,Calendrier!$A$2:$A$367,0)),0),"")</f>
        <v/>
      </c>
      <c r="K2874" s="50" t="str">
        <f t="shared" si="224"/>
        <v/>
      </c>
      <c r="L2874" s="50" t="str">
        <f>IF(D2874="","",IF(COUNTIF(Paramètres!$A$11:$A$40,D2874)&gt;0,1,0))</f>
        <v/>
      </c>
    </row>
    <row r="2875" spans="1:12" hidden="1" x14ac:dyDescent="0.25">
      <c r="A2875" s="49"/>
      <c r="B2875" s="49"/>
      <c r="C2875" s="49"/>
      <c r="D2875" s="50" t="str">
        <f t="shared" si="220"/>
        <v/>
      </c>
      <c r="E2875" s="50" t="str">
        <f t="shared" si="221"/>
        <v/>
      </c>
      <c r="F2875" s="50" t="str">
        <f t="shared" si="222"/>
        <v/>
      </c>
      <c r="G2875" s="50" t="str">
        <f t="shared" si="223"/>
        <v/>
      </c>
      <c r="H2875" s="51" t="str">
        <f>IF($C2875="","",IFERROR(DATE(G2875,VLOOKUP(E2875,Paramètres!$K$11:$L$40,2,FALSE()),F2875),"?"))</f>
        <v/>
      </c>
      <c r="I2875" s="50" t="str">
        <f>IF(ISNUMBER(H2875),IF(COUNTIFS($D$2:D2875,D2875,$H$2:H2875,H2875)=1,1,0),"")</f>
        <v/>
      </c>
      <c r="J2875" s="50" t="str">
        <f>IF(ISNUMBER(H2875),IFERROR(INDEX(Calendrier!$C$2:$C$367,MATCH(H2875,Calendrier!$A$2:$A$367,0)),0),"")</f>
        <v/>
      </c>
      <c r="K2875" s="50" t="str">
        <f t="shared" si="224"/>
        <v/>
      </c>
      <c r="L2875" s="50" t="str">
        <f>IF(D2875="","",IF(COUNTIF(Paramètres!$A$11:$A$40,D2875)&gt;0,1,0))</f>
        <v/>
      </c>
    </row>
    <row r="2876" spans="1:12" hidden="1" x14ac:dyDescent="0.25">
      <c r="A2876" s="49"/>
      <c r="B2876" s="49"/>
      <c r="C2876" s="49"/>
      <c r="D2876" s="50" t="str">
        <f t="shared" si="220"/>
        <v/>
      </c>
      <c r="E2876" s="50" t="str">
        <f t="shared" si="221"/>
        <v/>
      </c>
      <c r="F2876" s="50" t="str">
        <f t="shared" si="222"/>
        <v/>
      </c>
      <c r="G2876" s="50" t="str">
        <f t="shared" si="223"/>
        <v/>
      </c>
      <c r="H2876" s="51" t="str">
        <f>IF($C2876="","",IFERROR(DATE(G2876,VLOOKUP(E2876,Paramètres!$K$11:$L$40,2,FALSE()),F2876),"?"))</f>
        <v/>
      </c>
      <c r="I2876" s="50" t="str">
        <f>IF(ISNUMBER(H2876),IF(COUNTIFS($D$2:D2876,D2876,$H$2:H2876,H2876)=1,1,0),"")</f>
        <v/>
      </c>
      <c r="J2876" s="50" t="str">
        <f>IF(ISNUMBER(H2876),IFERROR(INDEX(Calendrier!$C$2:$C$367,MATCH(H2876,Calendrier!$A$2:$A$367,0)),0),"")</f>
        <v/>
      </c>
      <c r="K2876" s="50" t="str">
        <f t="shared" si="224"/>
        <v/>
      </c>
      <c r="L2876" s="50" t="str">
        <f>IF(D2876="","",IF(COUNTIF(Paramètres!$A$11:$A$40,D2876)&gt;0,1,0))</f>
        <v/>
      </c>
    </row>
    <row r="2877" spans="1:12" hidden="1" x14ac:dyDescent="0.25">
      <c r="A2877" s="49"/>
      <c r="B2877" s="49"/>
      <c r="C2877" s="49"/>
      <c r="D2877" s="50" t="str">
        <f t="shared" si="220"/>
        <v/>
      </c>
      <c r="E2877" s="50" t="str">
        <f t="shared" si="221"/>
        <v/>
      </c>
      <c r="F2877" s="50" t="str">
        <f t="shared" si="222"/>
        <v/>
      </c>
      <c r="G2877" s="50" t="str">
        <f t="shared" si="223"/>
        <v/>
      </c>
      <c r="H2877" s="51" t="str">
        <f>IF($C2877="","",IFERROR(DATE(G2877,VLOOKUP(E2877,Paramètres!$K$11:$L$40,2,FALSE()),F2877),"?"))</f>
        <v/>
      </c>
      <c r="I2877" s="50" t="str">
        <f>IF(ISNUMBER(H2877),IF(COUNTIFS($D$2:D2877,D2877,$H$2:H2877,H2877)=1,1,0),"")</f>
        <v/>
      </c>
      <c r="J2877" s="50" t="str">
        <f>IF(ISNUMBER(H2877),IFERROR(INDEX(Calendrier!$C$2:$C$367,MATCH(H2877,Calendrier!$A$2:$A$367,0)),0),"")</f>
        <v/>
      </c>
      <c r="K2877" s="50" t="str">
        <f t="shared" si="224"/>
        <v/>
      </c>
      <c r="L2877" s="50" t="str">
        <f>IF(D2877="","",IF(COUNTIF(Paramètres!$A$11:$A$40,D2877)&gt;0,1,0))</f>
        <v/>
      </c>
    </row>
    <row r="2878" spans="1:12" hidden="1" x14ac:dyDescent="0.25">
      <c r="A2878" s="49"/>
      <c r="B2878" s="49"/>
      <c r="C2878" s="49"/>
      <c r="D2878" s="50" t="str">
        <f t="shared" si="220"/>
        <v/>
      </c>
      <c r="E2878" s="50" t="str">
        <f t="shared" si="221"/>
        <v/>
      </c>
      <c r="F2878" s="50" t="str">
        <f t="shared" si="222"/>
        <v/>
      </c>
      <c r="G2878" s="50" t="str">
        <f t="shared" si="223"/>
        <v/>
      </c>
      <c r="H2878" s="51" t="str">
        <f>IF($C2878="","",IFERROR(DATE(G2878,VLOOKUP(E2878,Paramètres!$K$11:$L$40,2,FALSE()),F2878),"?"))</f>
        <v/>
      </c>
      <c r="I2878" s="50" t="str">
        <f>IF(ISNUMBER(H2878),IF(COUNTIFS($D$2:D2878,D2878,$H$2:H2878,H2878)=1,1,0),"")</f>
        <v/>
      </c>
      <c r="J2878" s="50" t="str">
        <f>IF(ISNUMBER(H2878),IFERROR(INDEX(Calendrier!$C$2:$C$367,MATCH(H2878,Calendrier!$A$2:$A$367,0)),0),"")</f>
        <v/>
      </c>
      <c r="K2878" s="50" t="str">
        <f t="shared" si="224"/>
        <v/>
      </c>
      <c r="L2878" s="50" t="str">
        <f>IF(D2878="","",IF(COUNTIF(Paramètres!$A$11:$A$40,D2878)&gt;0,1,0))</f>
        <v/>
      </c>
    </row>
    <row r="2879" spans="1:12" hidden="1" x14ac:dyDescent="0.25">
      <c r="A2879" s="49"/>
      <c r="B2879" s="49"/>
      <c r="C2879" s="49"/>
      <c r="D2879" s="50" t="str">
        <f t="shared" si="220"/>
        <v/>
      </c>
      <c r="E2879" s="50" t="str">
        <f t="shared" si="221"/>
        <v/>
      </c>
      <c r="F2879" s="50" t="str">
        <f t="shared" si="222"/>
        <v/>
      </c>
      <c r="G2879" s="50" t="str">
        <f t="shared" si="223"/>
        <v/>
      </c>
      <c r="H2879" s="51" t="str">
        <f>IF($C2879="","",IFERROR(DATE(G2879,VLOOKUP(E2879,Paramètres!$K$11:$L$40,2,FALSE()),F2879),"?"))</f>
        <v/>
      </c>
      <c r="I2879" s="50" t="str">
        <f>IF(ISNUMBER(H2879),IF(COUNTIFS($D$2:D2879,D2879,$H$2:H2879,H2879)=1,1,0),"")</f>
        <v/>
      </c>
      <c r="J2879" s="50" t="str">
        <f>IF(ISNUMBER(H2879),IFERROR(INDEX(Calendrier!$C$2:$C$367,MATCH(H2879,Calendrier!$A$2:$A$367,0)),0),"")</f>
        <v/>
      </c>
      <c r="K2879" s="50" t="str">
        <f t="shared" si="224"/>
        <v/>
      </c>
      <c r="L2879" s="50" t="str">
        <f>IF(D2879="","",IF(COUNTIF(Paramètres!$A$11:$A$40,D2879)&gt;0,1,0))</f>
        <v/>
      </c>
    </row>
    <row r="2880" spans="1:12" hidden="1" x14ac:dyDescent="0.25">
      <c r="A2880" s="49"/>
      <c r="B2880" s="49"/>
      <c r="C2880" s="49"/>
      <c r="D2880" s="50" t="str">
        <f t="shared" si="220"/>
        <v/>
      </c>
      <c r="E2880" s="50" t="str">
        <f t="shared" si="221"/>
        <v/>
      </c>
      <c r="F2880" s="50" t="str">
        <f t="shared" si="222"/>
        <v/>
      </c>
      <c r="G2880" s="50" t="str">
        <f t="shared" si="223"/>
        <v/>
      </c>
      <c r="H2880" s="51" t="str">
        <f>IF($C2880="","",IFERROR(DATE(G2880,VLOOKUP(E2880,Paramètres!$K$11:$L$40,2,FALSE()),F2880),"?"))</f>
        <v/>
      </c>
      <c r="I2880" s="50" t="str">
        <f>IF(ISNUMBER(H2880),IF(COUNTIFS($D$2:D2880,D2880,$H$2:H2880,H2880)=1,1,0),"")</f>
        <v/>
      </c>
      <c r="J2880" s="50" t="str">
        <f>IF(ISNUMBER(H2880),IFERROR(INDEX(Calendrier!$C$2:$C$367,MATCH(H2880,Calendrier!$A$2:$A$367,0)),0),"")</f>
        <v/>
      </c>
      <c r="K2880" s="50" t="str">
        <f t="shared" si="224"/>
        <v/>
      </c>
      <c r="L2880" s="50" t="str">
        <f>IF(D2880="","",IF(COUNTIF(Paramètres!$A$11:$A$40,D2880)&gt;0,1,0))</f>
        <v/>
      </c>
    </row>
    <row r="2881" spans="1:12" hidden="1" x14ac:dyDescent="0.25">
      <c r="A2881" s="49"/>
      <c r="B2881" s="49"/>
      <c r="C2881" s="49"/>
      <c r="D2881" s="50" t="str">
        <f t="shared" si="220"/>
        <v/>
      </c>
      <c r="E2881" s="50" t="str">
        <f t="shared" si="221"/>
        <v/>
      </c>
      <c r="F2881" s="50" t="str">
        <f t="shared" si="222"/>
        <v/>
      </c>
      <c r="G2881" s="50" t="str">
        <f t="shared" si="223"/>
        <v/>
      </c>
      <c r="H2881" s="51" t="str">
        <f>IF($C2881="","",IFERROR(DATE(G2881,VLOOKUP(E2881,Paramètres!$K$11:$L$40,2,FALSE()),F2881),"?"))</f>
        <v/>
      </c>
      <c r="I2881" s="50" t="str">
        <f>IF(ISNUMBER(H2881),IF(COUNTIFS($D$2:D2881,D2881,$H$2:H2881,H2881)=1,1,0),"")</f>
        <v/>
      </c>
      <c r="J2881" s="50" t="str">
        <f>IF(ISNUMBER(H2881),IFERROR(INDEX(Calendrier!$C$2:$C$367,MATCH(H2881,Calendrier!$A$2:$A$367,0)),0),"")</f>
        <v/>
      </c>
      <c r="K2881" s="50" t="str">
        <f t="shared" si="224"/>
        <v/>
      </c>
      <c r="L2881" s="50" t="str">
        <f>IF(D2881="","",IF(COUNTIF(Paramètres!$A$11:$A$40,D2881)&gt;0,1,0))</f>
        <v/>
      </c>
    </row>
    <row r="2882" spans="1:12" hidden="1" x14ac:dyDescent="0.25">
      <c r="A2882" s="49"/>
      <c r="B2882" s="49"/>
      <c r="C2882" s="49"/>
      <c r="D2882" s="50" t="str">
        <f t="shared" ref="D2882:D2945" si="225">IF(B2882="","",TRIM(B2882))</f>
        <v/>
      </c>
      <c r="E2882" s="50" t="str">
        <f t="shared" ref="E2882:E2945" si="226">IF($C2882="","",LEFT($C2882,FIND(" ",$C2882)-1))</f>
        <v/>
      </c>
      <c r="F2882" s="50" t="str">
        <f t="shared" ref="F2882:F2945" si="227">IF($C2882="","",IFERROR(VALUE(LEFT(MID($C2882,FIND(" ",$C2882)+1,20),FIND(" ",MID($C2882,FIND(" ",$C2882)+1,20))-1)),"?"))</f>
        <v/>
      </c>
      <c r="G2882" s="50" t="str">
        <f t="shared" ref="G2882:G2945" si="228">IF($C2882="","",IFERROR(VALUE(MID(MID($C2882,FIND(" ",$C2882)+1,20),FIND(" ",MID($C2882,FIND(" ",$C2882)+1,20))+1,4)),"?"))</f>
        <v/>
      </c>
      <c r="H2882" s="51" t="str">
        <f>IF($C2882="","",IFERROR(DATE(G2882,VLOOKUP(E2882,Paramètres!$K$11:$L$40,2,FALSE()),F2882),"?"))</f>
        <v/>
      </c>
      <c r="I2882" s="50" t="str">
        <f>IF(ISNUMBER(H2882),IF(COUNTIFS($D$2:D2882,D2882,$H$2:H2882,H2882)=1,1,0),"")</f>
        <v/>
      </c>
      <c r="J2882" s="50" t="str">
        <f>IF(ISNUMBER(H2882),IFERROR(INDEX(Calendrier!$C$2:$C$367,MATCH(H2882,Calendrier!$A$2:$A$367,0)),0),"")</f>
        <v/>
      </c>
      <c r="K2882" s="50" t="str">
        <f t="shared" ref="K2882:K2945" si="229">IF(ISNUMBER(H2882),I2882*J2882,"")</f>
        <v/>
      </c>
      <c r="L2882" s="50" t="str">
        <f>IF(D2882="","",IF(COUNTIF(Paramètres!$A$11:$A$40,D2882)&gt;0,1,0))</f>
        <v/>
      </c>
    </row>
    <row r="2883" spans="1:12" hidden="1" x14ac:dyDescent="0.25">
      <c r="A2883" s="49"/>
      <c r="B2883" s="49"/>
      <c r="C2883" s="49"/>
      <c r="D2883" s="50" t="str">
        <f t="shared" si="225"/>
        <v/>
      </c>
      <c r="E2883" s="50" t="str">
        <f t="shared" si="226"/>
        <v/>
      </c>
      <c r="F2883" s="50" t="str">
        <f t="shared" si="227"/>
        <v/>
      </c>
      <c r="G2883" s="50" t="str">
        <f t="shared" si="228"/>
        <v/>
      </c>
      <c r="H2883" s="51" t="str">
        <f>IF($C2883="","",IFERROR(DATE(G2883,VLOOKUP(E2883,Paramètres!$K$11:$L$40,2,FALSE()),F2883),"?"))</f>
        <v/>
      </c>
      <c r="I2883" s="50" t="str">
        <f>IF(ISNUMBER(H2883),IF(COUNTIFS($D$2:D2883,D2883,$H$2:H2883,H2883)=1,1,0),"")</f>
        <v/>
      </c>
      <c r="J2883" s="50" t="str">
        <f>IF(ISNUMBER(H2883),IFERROR(INDEX(Calendrier!$C$2:$C$367,MATCH(H2883,Calendrier!$A$2:$A$367,0)),0),"")</f>
        <v/>
      </c>
      <c r="K2883" s="50" t="str">
        <f t="shared" si="229"/>
        <v/>
      </c>
      <c r="L2883" s="50" t="str">
        <f>IF(D2883="","",IF(COUNTIF(Paramètres!$A$11:$A$40,D2883)&gt;0,1,0))</f>
        <v/>
      </c>
    </row>
    <row r="2884" spans="1:12" hidden="1" x14ac:dyDescent="0.25">
      <c r="A2884" s="49"/>
      <c r="B2884" s="49"/>
      <c r="C2884" s="49"/>
      <c r="D2884" s="50" t="str">
        <f t="shared" si="225"/>
        <v/>
      </c>
      <c r="E2884" s="50" t="str">
        <f t="shared" si="226"/>
        <v/>
      </c>
      <c r="F2884" s="50" t="str">
        <f t="shared" si="227"/>
        <v/>
      </c>
      <c r="G2884" s="50" t="str">
        <f t="shared" si="228"/>
        <v/>
      </c>
      <c r="H2884" s="51" t="str">
        <f>IF($C2884="","",IFERROR(DATE(G2884,VLOOKUP(E2884,Paramètres!$K$11:$L$40,2,FALSE()),F2884),"?"))</f>
        <v/>
      </c>
      <c r="I2884" s="50" t="str">
        <f>IF(ISNUMBER(H2884),IF(COUNTIFS($D$2:D2884,D2884,$H$2:H2884,H2884)=1,1,0),"")</f>
        <v/>
      </c>
      <c r="J2884" s="50" t="str">
        <f>IF(ISNUMBER(H2884),IFERROR(INDEX(Calendrier!$C$2:$C$367,MATCH(H2884,Calendrier!$A$2:$A$367,0)),0),"")</f>
        <v/>
      </c>
      <c r="K2884" s="50" t="str">
        <f t="shared" si="229"/>
        <v/>
      </c>
      <c r="L2884" s="50" t="str">
        <f>IF(D2884="","",IF(COUNTIF(Paramètres!$A$11:$A$40,D2884)&gt;0,1,0))</f>
        <v/>
      </c>
    </row>
    <row r="2885" spans="1:12" hidden="1" x14ac:dyDescent="0.25">
      <c r="A2885" s="49"/>
      <c r="B2885" s="49"/>
      <c r="C2885" s="49"/>
      <c r="D2885" s="50" t="str">
        <f t="shared" si="225"/>
        <v/>
      </c>
      <c r="E2885" s="50" t="str">
        <f t="shared" si="226"/>
        <v/>
      </c>
      <c r="F2885" s="50" t="str">
        <f t="shared" si="227"/>
        <v/>
      </c>
      <c r="G2885" s="50" t="str">
        <f t="shared" si="228"/>
        <v/>
      </c>
      <c r="H2885" s="51" t="str">
        <f>IF($C2885="","",IFERROR(DATE(G2885,VLOOKUP(E2885,Paramètres!$K$11:$L$40,2,FALSE()),F2885),"?"))</f>
        <v/>
      </c>
      <c r="I2885" s="50" t="str">
        <f>IF(ISNUMBER(H2885),IF(COUNTIFS($D$2:D2885,D2885,$H$2:H2885,H2885)=1,1,0),"")</f>
        <v/>
      </c>
      <c r="J2885" s="50" t="str">
        <f>IF(ISNUMBER(H2885),IFERROR(INDEX(Calendrier!$C$2:$C$367,MATCH(H2885,Calendrier!$A$2:$A$367,0)),0),"")</f>
        <v/>
      </c>
      <c r="K2885" s="50" t="str">
        <f t="shared" si="229"/>
        <v/>
      </c>
      <c r="L2885" s="50" t="str">
        <f>IF(D2885="","",IF(COUNTIF(Paramètres!$A$11:$A$40,D2885)&gt;0,1,0))</f>
        <v/>
      </c>
    </row>
    <row r="2886" spans="1:12" hidden="1" x14ac:dyDescent="0.25">
      <c r="A2886" s="49"/>
      <c r="B2886" s="49"/>
      <c r="C2886" s="49"/>
      <c r="D2886" s="50" t="str">
        <f t="shared" si="225"/>
        <v/>
      </c>
      <c r="E2886" s="50" t="str">
        <f t="shared" si="226"/>
        <v/>
      </c>
      <c r="F2886" s="50" t="str">
        <f t="shared" si="227"/>
        <v/>
      </c>
      <c r="G2886" s="50" t="str">
        <f t="shared" si="228"/>
        <v/>
      </c>
      <c r="H2886" s="51" t="str">
        <f>IF($C2886="","",IFERROR(DATE(G2886,VLOOKUP(E2886,Paramètres!$K$11:$L$40,2,FALSE()),F2886),"?"))</f>
        <v/>
      </c>
      <c r="I2886" s="50" t="str">
        <f>IF(ISNUMBER(H2886),IF(COUNTIFS($D$2:D2886,D2886,$H$2:H2886,H2886)=1,1,0),"")</f>
        <v/>
      </c>
      <c r="J2886" s="50" t="str">
        <f>IF(ISNUMBER(H2886),IFERROR(INDEX(Calendrier!$C$2:$C$367,MATCH(H2886,Calendrier!$A$2:$A$367,0)),0),"")</f>
        <v/>
      </c>
      <c r="K2886" s="50" t="str">
        <f t="shared" si="229"/>
        <v/>
      </c>
      <c r="L2886" s="50" t="str">
        <f>IF(D2886="","",IF(COUNTIF(Paramètres!$A$11:$A$40,D2886)&gt;0,1,0))</f>
        <v/>
      </c>
    </row>
    <row r="2887" spans="1:12" hidden="1" x14ac:dyDescent="0.25">
      <c r="A2887" s="49"/>
      <c r="B2887" s="49"/>
      <c r="C2887" s="49"/>
      <c r="D2887" s="50" t="str">
        <f t="shared" si="225"/>
        <v/>
      </c>
      <c r="E2887" s="50" t="str">
        <f t="shared" si="226"/>
        <v/>
      </c>
      <c r="F2887" s="50" t="str">
        <f t="shared" si="227"/>
        <v/>
      </c>
      <c r="G2887" s="50" t="str">
        <f t="shared" si="228"/>
        <v/>
      </c>
      <c r="H2887" s="51" t="str">
        <f>IF($C2887="","",IFERROR(DATE(G2887,VLOOKUP(E2887,Paramètres!$K$11:$L$40,2,FALSE()),F2887),"?"))</f>
        <v/>
      </c>
      <c r="I2887" s="50" t="str">
        <f>IF(ISNUMBER(H2887),IF(COUNTIFS($D$2:D2887,D2887,$H$2:H2887,H2887)=1,1,0),"")</f>
        <v/>
      </c>
      <c r="J2887" s="50" t="str">
        <f>IF(ISNUMBER(H2887),IFERROR(INDEX(Calendrier!$C$2:$C$367,MATCH(H2887,Calendrier!$A$2:$A$367,0)),0),"")</f>
        <v/>
      </c>
      <c r="K2887" s="50" t="str">
        <f t="shared" si="229"/>
        <v/>
      </c>
      <c r="L2887" s="50" t="str">
        <f>IF(D2887="","",IF(COUNTIF(Paramètres!$A$11:$A$40,D2887)&gt;0,1,0))</f>
        <v/>
      </c>
    </row>
    <row r="2888" spans="1:12" hidden="1" x14ac:dyDescent="0.25">
      <c r="A2888" s="49"/>
      <c r="B2888" s="49"/>
      <c r="C2888" s="49"/>
      <c r="D2888" s="50" t="str">
        <f t="shared" si="225"/>
        <v/>
      </c>
      <c r="E2888" s="50" t="str">
        <f t="shared" si="226"/>
        <v/>
      </c>
      <c r="F2888" s="50" t="str">
        <f t="shared" si="227"/>
        <v/>
      </c>
      <c r="G2888" s="50" t="str">
        <f t="shared" si="228"/>
        <v/>
      </c>
      <c r="H2888" s="51" t="str">
        <f>IF($C2888="","",IFERROR(DATE(G2888,VLOOKUP(E2888,Paramètres!$K$11:$L$40,2,FALSE()),F2888),"?"))</f>
        <v/>
      </c>
      <c r="I2888" s="50" t="str">
        <f>IF(ISNUMBER(H2888),IF(COUNTIFS($D$2:D2888,D2888,$H$2:H2888,H2888)=1,1,0),"")</f>
        <v/>
      </c>
      <c r="J2888" s="50" t="str">
        <f>IF(ISNUMBER(H2888),IFERROR(INDEX(Calendrier!$C$2:$C$367,MATCH(H2888,Calendrier!$A$2:$A$367,0)),0),"")</f>
        <v/>
      </c>
      <c r="K2888" s="50" t="str">
        <f t="shared" si="229"/>
        <v/>
      </c>
      <c r="L2888" s="50" t="str">
        <f>IF(D2888="","",IF(COUNTIF(Paramètres!$A$11:$A$40,D2888)&gt;0,1,0))</f>
        <v/>
      </c>
    </row>
    <row r="2889" spans="1:12" hidden="1" x14ac:dyDescent="0.25">
      <c r="A2889" s="49"/>
      <c r="B2889" s="49"/>
      <c r="C2889" s="49"/>
      <c r="D2889" s="50" t="str">
        <f t="shared" si="225"/>
        <v/>
      </c>
      <c r="E2889" s="50" t="str">
        <f t="shared" si="226"/>
        <v/>
      </c>
      <c r="F2889" s="50" t="str">
        <f t="shared" si="227"/>
        <v/>
      </c>
      <c r="G2889" s="50" t="str">
        <f t="shared" si="228"/>
        <v/>
      </c>
      <c r="H2889" s="51" t="str">
        <f>IF($C2889="","",IFERROR(DATE(G2889,VLOOKUP(E2889,Paramètres!$K$11:$L$40,2,FALSE()),F2889),"?"))</f>
        <v/>
      </c>
      <c r="I2889" s="50" t="str">
        <f>IF(ISNUMBER(H2889),IF(COUNTIFS($D$2:D2889,D2889,$H$2:H2889,H2889)=1,1,0),"")</f>
        <v/>
      </c>
      <c r="J2889" s="50" t="str">
        <f>IF(ISNUMBER(H2889),IFERROR(INDEX(Calendrier!$C$2:$C$367,MATCH(H2889,Calendrier!$A$2:$A$367,0)),0),"")</f>
        <v/>
      </c>
      <c r="K2889" s="50" t="str">
        <f t="shared" si="229"/>
        <v/>
      </c>
      <c r="L2889" s="50" t="str">
        <f>IF(D2889="","",IF(COUNTIF(Paramètres!$A$11:$A$40,D2889)&gt;0,1,0))</f>
        <v/>
      </c>
    </row>
    <row r="2890" spans="1:12" hidden="1" x14ac:dyDescent="0.25">
      <c r="A2890" s="49"/>
      <c r="B2890" s="49"/>
      <c r="C2890" s="49"/>
      <c r="D2890" s="50" t="str">
        <f t="shared" si="225"/>
        <v/>
      </c>
      <c r="E2890" s="50" t="str">
        <f t="shared" si="226"/>
        <v/>
      </c>
      <c r="F2890" s="50" t="str">
        <f t="shared" si="227"/>
        <v/>
      </c>
      <c r="G2890" s="50" t="str">
        <f t="shared" si="228"/>
        <v/>
      </c>
      <c r="H2890" s="51" t="str">
        <f>IF($C2890="","",IFERROR(DATE(G2890,VLOOKUP(E2890,Paramètres!$K$11:$L$40,2,FALSE()),F2890),"?"))</f>
        <v/>
      </c>
      <c r="I2890" s="50" t="str">
        <f>IF(ISNUMBER(H2890),IF(COUNTIFS($D$2:D2890,D2890,$H$2:H2890,H2890)=1,1,0),"")</f>
        <v/>
      </c>
      <c r="J2890" s="50" t="str">
        <f>IF(ISNUMBER(H2890),IFERROR(INDEX(Calendrier!$C$2:$C$367,MATCH(H2890,Calendrier!$A$2:$A$367,0)),0),"")</f>
        <v/>
      </c>
      <c r="K2890" s="50" t="str">
        <f t="shared" si="229"/>
        <v/>
      </c>
      <c r="L2890" s="50" t="str">
        <f>IF(D2890="","",IF(COUNTIF(Paramètres!$A$11:$A$40,D2890)&gt;0,1,0))</f>
        <v/>
      </c>
    </row>
    <row r="2891" spans="1:12" hidden="1" x14ac:dyDescent="0.25">
      <c r="A2891" s="49"/>
      <c r="B2891" s="49"/>
      <c r="C2891" s="49"/>
      <c r="D2891" s="50" t="str">
        <f t="shared" si="225"/>
        <v/>
      </c>
      <c r="E2891" s="50" t="str">
        <f t="shared" si="226"/>
        <v/>
      </c>
      <c r="F2891" s="50" t="str">
        <f t="shared" si="227"/>
        <v/>
      </c>
      <c r="G2891" s="50" t="str">
        <f t="shared" si="228"/>
        <v/>
      </c>
      <c r="H2891" s="51" t="str">
        <f>IF($C2891="","",IFERROR(DATE(G2891,VLOOKUP(E2891,Paramètres!$K$11:$L$40,2,FALSE()),F2891),"?"))</f>
        <v/>
      </c>
      <c r="I2891" s="50" t="str">
        <f>IF(ISNUMBER(H2891),IF(COUNTIFS($D$2:D2891,D2891,$H$2:H2891,H2891)=1,1,0),"")</f>
        <v/>
      </c>
      <c r="J2891" s="50" t="str">
        <f>IF(ISNUMBER(H2891),IFERROR(INDEX(Calendrier!$C$2:$C$367,MATCH(H2891,Calendrier!$A$2:$A$367,0)),0),"")</f>
        <v/>
      </c>
      <c r="K2891" s="50" t="str">
        <f t="shared" si="229"/>
        <v/>
      </c>
      <c r="L2891" s="50" t="str">
        <f>IF(D2891="","",IF(COUNTIF(Paramètres!$A$11:$A$40,D2891)&gt;0,1,0))</f>
        <v/>
      </c>
    </row>
    <row r="2892" spans="1:12" hidden="1" x14ac:dyDescent="0.25">
      <c r="A2892" s="49"/>
      <c r="B2892" s="49"/>
      <c r="C2892" s="49"/>
      <c r="D2892" s="50" t="str">
        <f t="shared" si="225"/>
        <v/>
      </c>
      <c r="E2892" s="50" t="str">
        <f t="shared" si="226"/>
        <v/>
      </c>
      <c r="F2892" s="50" t="str">
        <f t="shared" si="227"/>
        <v/>
      </c>
      <c r="G2892" s="50" t="str">
        <f t="shared" si="228"/>
        <v/>
      </c>
      <c r="H2892" s="51" t="str">
        <f>IF($C2892="","",IFERROR(DATE(G2892,VLOOKUP(E2892,Paramètres!$K$11:$L$40,2,FALSE()),F2892),"?"))</f>
        <v/>
      </c>
      <c r="I2892" s="50" t="str">
        <f>IF(ISNUMBER(H2892),IF(COUNTIFS($D$2:D2892,D2892,$H$2:H2892,H2892)=1,1,0),"")</f>
        <v/>
      </c>
      <c r="J2892" s="50" t="str">
        <f>IF(ISNUMBER(H2892),IFERROR(INDEX(Calendrier!$C$2:$C$367,MATCH(H2892,Calendrier!$A$2:$A$367,0)),0),"")</f>
        <v/>
      </c>
      <c r="K2892" s="50" t="str">
        <f t="shared" si="229"/>
        <v/>
      </c>
      <c r="L2892" s="50" t="str">
        <f>IF(D2892="","",IF(COUNTIF(Paramètres!$A$11:$A$40,D2892)&gt;0,1,0))</f>
        <v/>
      </c>
    </row>
    <row r="2893" spans="1:12" hidden="1" x14ac:dyDescent="0.25">
      <c r="A2893" s="49"/>
      <c r="B2893" s="49"/>
      <c r="C2893" s="49"/>
      <c r="D2893" s="50" t="str">
        <f t="shared" si="225"/>
        <v/>
      </c>
      <c r="E2893" s="50" t="str">
        <f t="shared" si="226"/>
        <v/>
      </c>
      <c r="F2893" s="50" t="str">
        <f t="shared" si="227"/>
        <v/>
      </c>
      <c r="G2893" s="50" t="str">
        <f t="shared" si="228"/>
        <v/>
      </c>
      <c r="H2893" s="51" t="str">
        <f>IF($C2893="","",IFERROR(DATE(G2893,VLOOKUP(E2893,Paramètres!$K$11:$L$40,2,FALSE()),F2893),"?"))</f>
        <v/>
      </c>
      <c r="I2893" s="50" t="str">
        <f>IF(ISNUMBER(H2893),IF(COUNTIFS($D$2:D2893,D2893,$H$2:H2893,H2893)=1,1,0),"")</f>
        <v/>
      </c>
      <c r="J2893" s="50" t="str">
        <f>IF(ISNUMBER(H2893),IFERROR(INDEX(Calendrier!$C$2:$C$367,MATCH(H2893,Calendrier!$A$2:$A$367,0)),0),"")</f>
        <v/>
      </c>
      <c r="K2893" s="50" t="str">
        <f t="shared" si="229"/>
        <v/>
      </c>
      <c r="L2893" s="50" t="str">
        <f>IF(D2893="","",IF(COUNTIF(Paramètres!$A$11:$A$40,D2893)&gt;0,1,0))</f>
        <v/>
      </c>
    </row>
    <row r="2894" spans="1:12" hidden="1" x14ac:dyDescent="0.25">
      <c r="A2894" s="49"/>
      <c r="B2894" s="49"/>
      <c r="C2894" s="49"/>
      <c r="D2894" s="50" t="str">
        <f t="shared" si="225"/>
        <v/>
      </c>
      <c r="E2894" s="50" t="str">
        <f t="shared" si="226"/>
        <v/>
      </c>
      <c r="F2894" s="50" t="str">
        <f t="shared" si="227"/>
        <v/>
      </c>
      <c r="G2894" s="50" t="str">
        <f t="shared" si="228"/>
        <v/>
      </c>
      <c r="H2894" s="51" t="str">
        <f>IF($C2894="","",IFERROR(DATE(G2894,VLOOKUP(E2894,Paramètres!$K$11:$L$40,2,FALSE()),F2894),"?"))</f>
        <v/>
      </c>
      <c r="I2894" s="50" t="str">
        <f>IF(ISNUMBER(H2894),IF(COUNTIFS($D$2:D2894,D2894,$H$2:H2894,H2894)=1,1,0),"")</f>
        <v/>
      </c>
      <c r="J2894" s="50" t="str">
        <f>IF(ISNUMBER(H2894),IFERROR(INDEX(Calendrier!$C$2:$C$367,MATCH(H2894,Calendrier!$A$2:$A$367,0)),0),"")</f>
        <v/>
      </c>
      <c r="K2894" s="50" t="str">
        <f t="shared" si="229"/>
        <v/>
      </c>
      <c r="L2894" s="50" t="str">
        <f>IF(D2894="","",IF(COUNTIF(Paramètres!$A$11:$A$40,D2894)&gt;0,1,0))</f>
        <v/>
      </c>
    </row>
    <row r="2895" spans="1:12" hidden="1" x14ac:dyDescent="0.25">
      <c r="A2895" s="49"/>
      <c r="B2895" s="49"/>
      <c r="C2895" s="49"/>
      <c r="D2895" s="50" t="str">
        <f t="shared" si="225"/>
        <v/>
      </c>
      <c r="E2895" s="50" t="str">
        <f t="shared" si="226"/>
        <v/>
      </c>
      <c r="F2895" s="50" t="str">
        <f t="shared" si="227"/>
        <v/>
      </c>
      <c r="G2895" s="50" t="str">
        <f t="shared" si="228"/>
        <v/>
      </c>
      <c r="H2895" s="51" t="str">
        <f>IF($C2895="","",IFERROR(DATE(G2895,VLOOKUP(E2895,Paramètres!$K$11:$L$40,2,FALSE()),F2895),"?"))</f>
        <v/>
      </c>
      <c r="I2895" s="50" t="str">
        <f>IF(ISNUMBER(H2895),IF(COUNTIFS($D$2:D2895,D2895,$H$2:H2895,H2895)=1,1,0),"")</f>
        <v/>
      </c>
      <c r="J2895" s="50" t="str">
        <f>IF(ISNUMBER(H2895),IFERROR(INDEX(Calendrier!$C$2:$C$367,MATCH(H2895,Calendrier!$A$2:$A$367,0)),0),"")</f>
        <v/>
      </c>
      <c r="K2895" s="50" t="str">
        <f t="shared" si="229"/>
        <v/>
      </c>
      <c r="L2895" s="50" t="str">
        <f>IF(D2895="","",IF(COUNTIF(Paramètres!$A$11:$A$40,D2895)&gt;0,1,0))</f>
        <v/>
      </c>
    </row>
    <row r="2896" spans="1:12" hidden="1" x14ac:dyDescent="0.25">
      <c r="A2896" s="49"/>
      <c r="B2896" s="49"/>
      <c r="C2896" s="49"/>
      <c r="D2896" s="50" t="str">
        <f t="shared" si="225"/>
        <v/>
      </c>
      <c r="E2896" s="50" t="str">
        <f t="shared" si="226"/>
        <v/>
      </c>
      <c r="F2896" s="50" t="str">
        <f t="shared" si="227"/>
        <v/>
      </c>
      <c r="G2896" s="50" t="str">
        <f t="shared" si="228"/>
        <v/>
      </c>
      <c r="H2896" s="51" t="str">
        <f>IF($C2896="","",IFERROR(DATE(G2896,VLOOKUP(E2896,Paramètres!$K$11:$L$40,2,FALSE()),F2896),"?"))</f>
        <v/>
      </c>
      <c r="I2896" s="50" t="str">
        <f>IF(ISNUMBER(H2896),IF(COUNTIFS($D$2:D2896,D2896,$H$2:H2896,H2896)=1,1,0),"")</f>
        <v/>
      </c>
      <c r="J2896" s="50" t="str">
        <f>IF(ISNUMBER(H2896),IFERROR(INDEX(Calendrier!$C$2:$C$367,MATCH(H2896,Calendrier!$A$2:$A$367,0)),0),"")</f>
        <v/>
      </c>
      <c r="K2896" s="50" t="str">
        <f t="shared" si="229"/>
        <v/>
      </c>
      <c r="L2896" s="50" t="str">
        <f>IF(D2896="","",IF(COUNTIF(Paramètres!$A$11:$A$40,D2896)&gt;0,1,0))</f>
        <v/>
      </c>
    </row>
    <row r="2897" spans="1:12" hidden="1" x14ac:dyDescent="0.25">
      <c r="A2897" s="49"/>
      <c r="B2897" s="49"/>
      <c r="C2897" s="49"/>
      <c r="D2897" s="50" t="str">
        <f t="shared" si="225"/>
        <v/>
      </c>
      <c r="E2897" s="50" t="str">
        <f t="shared" si="226"/>
        <v/>
      </c>
      <c r="F2897" s="50" t="str">
        <f t="shared" si="227"/>
        <v/>
      </c>
      <c r="G2897" s="50" t="str">
        <f t="shared" si="228"/>
        <v/>
      </c>
      <c r="H2897" s="51" t="str">
        <f>IF($C2897="","",IFERROR(DATE(G2897,VLOOKUP(E2897,Paramètres!$K$11:$L$40,2,FALSE()),F2897),"?"))</f>
        <v/>
      </c>
      <c r="I2897" s="50" t="str">
        <f>IF(ISNUMBER(H2897),IF(COUNTIFS($D$2:D2897,D2897,$H$2:H2897,H2897)=1,1,0),"")</f>
        <v/>
      </c>
      <c r="J2897" s="50" t="str">
        <f>IF(ISNUMBER(H2897),IFERROR(INDEX(Calendrier!$C$2:$C$367,MATCH(H2897,Calendrier!$A$2:$A$367,0)),0),"")</f>
        <v/>
      </c>
      <c r="K2897" s="50" t="str">
        <f t="shared" si="229"/>
        <v/>
      </c>
      <c r="L2897" s="50" t="str">
        <f>IF(D2897="","",IF(COUNTIF(Paramètres!$A$11:$A$40,D2897)&gt;0,1,0))</f>
        <v/>
      </c>
    </row>
    <row r="2898" spans="1:12" hidden="1" x14ac:dyDescent="0.25">
      <c r="A2898" s="49"/>
      <c r="B2898" s="49"/>
      <c r="C2898" s="49"/>
      <c r="D2898" s="50" t="str">
        <f t="shared" si="225"/>
        <v/>
      </c>
      <c r="E2898" s="50" t="str">
        <f t="shared" si="226"/>
        <v/>
      </c>
      <c r="F2898" s="50" t="str">
        <f t="shared" si="227"/>
        <v/>
      </c>
      <c r="G2898" s="50" t="str">
        <f t="shared" si="228"/>
        <v/>
      </c>
      <c r="H2898" s="51" t="str">
        <f>IF($C2898="","",IFERROR(DATE(G2898,VLOOKUP(E2898,Paramètres!$K$11:$L$40,2,FALSE()),F2898),"?"))</f>
        <v/>
      </c>
      <c r="I2898" s="50" t="str">
        <f>IF(ISNUMBER(H2898),IF(COUNTIFS($D$2:D2898,D2898,$H$2:H2898,H2898)=1,1,0),"")</f>
        <v/>
      </c>
      <c r="J2898" s="50" t="str">
        <f>IF(ISNUMBER(H2898),IFERROR(INDEX(Calendrier!$C$2:$C$367,MATCH(H2898,Calendrier!$A$2:$A$367,0)),0),"")</f>
        <v/>
      </c>
      <c r="K2898" s="50" t="str">
        <f t="shared" si="229"/>
        <v/>
      </c>
      <c r="L2898" s="50" t="str">
        <f>IF(D2898="","",IF(COUNTIF(Paramètres!$A$11:$A$40,D2898)&gt;0,1,0))</f>
        <v/>
      </c>
    </row>
    <row r="2899" spans="1:12" hidden="1" x14ac:dyDescent="0.25">
      <c r="A2899" s="49"/>
      <c r="B2899" s="49"/>
      <c r="C2899" s="49"/>
      <c r="D2899" s="50" t="str">
        <f t="shared" si="225"/>
        <v/>
      </c>
      <c r="E2899" s="50" t="str">
        <f t="shared" si="226"/>
        <v/>
      </c>
      <c r="F2899" s="50" t="str">
        <f t="shared" si="227"/>
        <v/>
      </c>
      <c r="G2899" s="50" t="str">
        <f t="shared" si="228"/>
        <v/>
      </c>
      <c r="H2899" s="51" t="str">
        <f>IF($C2899="","",IFERROR(DATE(G2899,VLOOKUP(E2899,Paramètres!$K$11:$L$40,2,FALSE()),F2899),"?"))</f>
        <v/>
      </c>
      <c r="I2899" s="50" t="str">
        <f>IF(ISNUMBER(H2899),IF(COUNTIFS($D$2:D2899,D2899,$H$2:H2899,H2899)=1,1,0),"")</f>
        <v/>
      </c>
      <c r="J2899" s="50" t="str">
        <f>IF(ISNUMBER(H2899),IFERROR(INDEX(Calendrier!$C$2:$C$367,MATCH(H2899,Calendrier!$A$2:$A$367,0)),0),"")</f>
        <v/>
      </c>
      <c r="K2899" s="50" t="str">
        <f t="shared" si="229"/>
        <v/>
      </c>
      <c r="L2899" s="50" t="str">
        <f>IF(D2899="","",IF(COUNTIF(Paramètres!$A$11:$A$40,D2899)&gt;0,1,0))</f>
        <v/>
      </c>
    </row>
    <row r="2900" spans="1:12" hidden="1" x14ac:dyDescent="0.25">
      <c r="A2900" s="49"/>
      <c r="B2900" s="49"/>
      <c r="C2900" s="49"/>
      <c r="D2900" s="50" t="str">
        <f t="shared" si="225"/>
        <v/>
      </c>
      <c r="E2900" s="50" t="str">
        <f t="shared" si="226"/>
        <v/>
      </c>
      <c r="F2900" s="50" t="str">
        <f t="shared" si="227"/>
        <v/>
      </c>
      <c r="G2900" s="50" t="str">
        <f t="shared" si="228"/>
        <v/>
      </c>
      <c r="H2900" s="51" t="str">
        <f>IF($C2900="","",IFERROR(DATE(G2900,VLOOKUP(E2900,Paramètres!$K$11:$L$40,2,FALSE()),F2900),"?"))</f>
        <v/>
      </c>
      <c r="I2900" s="50" t="str">
        <f>IF(ISNUMBER(H2900),IF(COUNTIFS($D$2:D2900,D2900,$H$2:H2900,H2900)=1,1,0),"")</f>
        <v/>
      </c>
      <c r="J2900" s="50" t="str">
        <f>IF(ISNUMBER(H2900),IFERROR(INDEX(Calendrier!$C$2:$C$367,MATCH(H2900,Calendrier!$A$2:$A$367,0)),0),"")</f>
        <v/>
      </c>
      <c r="K2900" s="50" t="str">
        <f t="shared" si="229"/>
        <v/>
      </c>
      <c r="L2900" s="50" t="str">
        <f>IF(D2900="","",IF(COUNTIF(Paramètres!$A$11:$A$40,D2900)&gt;0,1,0))</f>
        <v/>
      </c>
    </row>
    <row r="2901" spans="1:12" hidden="1" x14ac:dyDescent="0.25">
      <c r="A2901" s="49"/>
      <c r="B2901" s="49"/>
      <c r="C2901" s="49"/>
      <c r="D2901" s="50" t="str">
        <f t="shared" si="225"/>
        <v/>
      </c>
      <c r="E2901" s="50" t="str">
        <f t="shared" si="226"/>
        <v/>
      </c>
      <c r="F2901" s="50" t="str">
        <f t="shared" si="227"/>
        <v/>
      </c>
      <c r="G2901" s="50" t="str">
        <f t="shared" si="228"/>
        <v/>
      </c>
      <c r="H2901" s="51" t="str">
        <f>IF($C2901="","",IFERROR(DATE(G2901,VLOOKUP(E2901,Paramètres!$K$11:$L$40,2,FALSE()),F2901),"?"))</f>
        <v/>
      </c>
      <c r="I2901" s="50" t="str">
        <f>IF(ISNUMBER(H2901),IF(COUNTIFS($D$2:D2901,D2901,$H$2:H2901,H2901)=1,1,0),"")</f>
        <v/>
      </c>
      <c r="J2901" s="50" t="str">
        <f>IF(ISNUMBER(H2901),IFERROR(INDEX(Calendrier!$C$2:$C$367,MATCH(H2901,Calendrier!$A$2:$A$367,0)),0),"")</f>
        <v/>
      </c>
      <c r="K2901" s="50" t="str">
        <f t="shared" si="229"/>
        <v/>
      </c>
      <c r="L2901" s="50" t="str">
        <f>IF(D2901="","",IF(COUNTIF(Paramètres!$A$11:$A$40,D2901)&gt;0,1,0))</f>
        <v/>
      </c>
    </row>
    <row r="2902" spans="1:12" hidden="1" x14ac:dyDescent="0.25">
      <c r="A2902" s="49"/>
      <c r="B2902" s="49"/>
      <c r="C2902" s="49"/>
      <c r="D2902" s="50" t="str">
        <f t="shared" si="225"/>
        <v/>
      </c>
      <c r="E2902" s="50" t="str">
        <f t="shared" si="226"/>
        <v/>
      </c>
      <c r="F2902" s="50" t="str">
        <f t="shared" si="227"/>
        <v/>
      </c>
      <c r="G2902" s="50" t="str">
        <f t="shared" si="228"/>
        <v/>
      </c>
      <c r="H2902" s="51" t="str">
        <f>IF($C2902="","",IFERROR(DATE(G2902,VLOOKUP(E2902,Paramètres!$K$11:$L$40,2,FALSE()),F2902),"?"))</f>
        <v/>
      </c>
      <c r="I2902" s="50" t="str">
        <f>IF(ISNUMBER(H2902),IF(COUNTIFS($D$2:D2902,D2902,$H$2:H2902,H2902)=1,1,0),"")</f>
        <v/>
      </c>
      <c r="J2902" s="50" t="str">
        <f>IF(ISNUMBER(H2902),IFERROR(INDEX(Calendrier!$C$2:$C$367,MATCH(H2902,Calendrier!$A$2:$A$367,0)),0),"")</f>
        <v/>
      </c>
      <c r="K2902" s="50" t="str">
        <f t="shared" si="229"/>
        <v/>
      </c>
      <c r="L2902" s="50" t="str">
        <f>IF(D2902="","",IF(COUNTIF(Paramètres!$A$11:$A$40,D2902)&gt;0,1,0))</f>
        <v/>
      </c>
    </row>
    <row r="2903" spans="1:12" hidden="1" x14ac:dyDescent="0.25">
      <c r="A2903" s="49"/>
      <c r="B2903" s="49"/>
      <c r="C2903" s="49"/>
      <c r="D2903" s="50" t="str">
        <f t="shared" si="225"/>
        <v/>
      </c>
      <c r="E2903" s="50" t="str">
        <f t="shared" si="226"/>
        <v/>
      </c>
      <c r="F2903" s="50" t="str">
        <f t="shared" si="227"/>
        <v/>
      </c>
      <c r="G2903" s="50" t="str">
        <f t="shared" si="228"/>
        <v/>
      </c>
      <c r="H2903" s="51" t="str">
        <f>IF($C2903="","",IFERROR(DATE(G2903,VLOOKUP(E2903,Paramètres!$K$11:$L$40,2,FALSE()),F2903),"?"))</f>
        <v/>
      </c>
      <c r="I2903" s="50" t="str">
        <f>IF(ISNUMBER(H2903),IF(COUNTIFS($D$2:D2903,D2903,$H$2:H2903,H2903)=1,1,0),"")</f>
        <v/>
      </c>
      <c r="J2903" s="50" t="str">
        <f>IF(ISNUMBER(H2903),IFERROR(INDEX(Calendrier!$C$2:$C$367,MATCH(H2903,Calendrier!$A$2:$A$367,0)),0),"")</f>
        <v/>
      </c>
      <c r="K2903" s="50" t="str">
        <f t="shared" si="229"/>
        <v/>
      </c>
      <c r="L2903" s="50" t="str">
        <f>IF(D2903="","",IF(COUNTIF(Paramètres!$A$11:$A$40,D2903)&gt;0,1,0))</f>
        <v/>
      </c>
    </row>
    <row r="2904" spans="1:12" hidden="1" x14ac:dyDescent="0.25">
      <c r="A2904" s="49"/>
      <c r="B2904" s="49"/>
      <c r="C2904" s="49"/>
      <c r="D2904" s="50" t="str">
        <f t="shared" si="225"/>
        <v/>
      </c>
      <c r="E2904" s="50" t="str">
        <f t="shared" si="226"/>
        <v/>
      </c>
      <c r="F2904" s="50" t="str">
        <f t="shared" si="227"/>
        <v/>
      </c>
      <c r="G2904" s="50" t="str">
        <f t="shared" si="228"/>
        <v/>
      </c>
      <c r="H2904" s="51" t="str">
        <f>IF($C2904="","",IFERROR(DATE(G2904,VLOOKUP(E2904,Paramètres!$K$11:$L$40,2,FALSE()),F2904),"?"))</f>
        <v/>
      </c>
      <c r="I2904" s="50" t="str">
        <f>IF(ISNUMBER(H2904),IF(COUNTIFS($D$2:D2904,D2904,$H$2:H2904,H2904)=1,1,0),"")</f>
        <v/>
      </c>
      <c r="J2904" s="50" t="str">
        <f>IF(ISNUMBER(H2904),IFERROR(INDEX(Calendrier!$C$2:$C$367,MATCH(H2904,Calendrier!$A$2:$A$367,0)),0),"")</f>
        <v/>
      </c>
      <c r="K2904" s="50" t="str">
        <f t="shared" si="229"/>
        <v/>
      </c>
      <c r="L2904" s="50" t="str">
        <f>IF(D2904="","",IF(COUNTIF(Paramètres!$A$11:$A$40,D2904)&gt;0,1,0))</f>
        <v/>
      </c>
    </row>
    <row r="2905" spans="1:12" hidden="1" x14ac:dyDescent="0.25">
      <c r="A2905" s="49"/>
      <c r="B2905" s="49"/>
      <c r="C2905" s="49"/>
      <c r="D2905" s="50" t="str">
        <f t="shared" si="225"/>
        <v/>
      </c>
      <c r="E2905" s="50" t="str">
        <f t="shared" si="226"/>
        <v/>
      </c>
      <c r="F2905" s="50" t="str">
        <f t="shared" si="227"/>
        <v/>
      </c>
      <c r="G2905" s="50" t="str">
        <f t="shared" si="228"/>
        <v/>
      </c>
      <c r="H2905" s="51" t="str">
        <f>IF($C2905="","",IFERROR(DATE(G2905,VLOOKUP(E2905,Paramètres!$K$11:$L$40,2,FALSE()),F2905),"?"))</f>
        <v/>
      </c>
      <c r="I2905" s="50" t="str">
        <f>IF(ISNUMBER(H2905),IF(COUNTIFS($D$2:D2905,D2905,$H$2:H2905,H2905)=1,1,0),"")</f>
        <v/>
      </c>
      <c r="J2905" s="50" t="str">
        <f>IF(ISNUMBER(H2905),IFERROR(INDEX(Calendrier!$C$2:$C$367,MATCH(H2905,Calendrier!$A$2:$A$367,0)),0),"")</f>
        <v/>
      </c>
      <c r="K2905" s="50" t="str">
        <f t="shared" si="229"/>
        <v/>
      </c>
      <c r="L2905" s="50" t="str">
        <f>IF(D2905="","",IF(COUNTIF(Paramètres!$A$11:$A$40,D2905)&gt;0,1,0))</f>
        <v/>
      </c>
    </row>
    <row r="2906" spans="1:12" hidden="1" x14ac:dyDescent="0.25">
      <c r="A2906" s="49"/>
      <c r="B2906" s="49"/>
      <c r="C2906" s="49"/>
      <c r="D2906" s="50" t="str">
        <f t="shared" si="225"/>
        <v/>
      </c>
      <c r="E2906" s="50" t="str">
        <f t="shared" si="226"/>
        <v/>
      </c>
      <c r="F2906" s="50" t="str">
        <f t="shared" si="227"/>
        <v/>
      </c>
      <c r="G2906" s="50" t="str">
        <f t="shared" si="228"/>
        <v/>
      </c>
      <c r="H2906" s="51" t="str">
        <f>IF($C2906="","",IFERROR(DATE(G2906,VLOOKUP(E2906,Paramètres!$K$11:$L$40,2,FALSE()),F2906),"?"))</f>
        <v/>
      </c>
      <c r="I2906" s="50" t="str">
        <f>IF(ISNUMBER(H2906),IF(COUNTIFS($D$2:D2906,D2906,$H$2:H2906,H2906)=1,1,0),"")</f>
        <v/>
      </c>
      <c r="J2906" s="50" t="str">
        <f>IF(ISNUMBER(H2906),IFERROR(INDEX(Calendrier!$C$2:$C$367,MATCH(H2906,Calendrier!$A$2:$A$367,0)),0),"")</f>
        <v/>
      </c>
      <c r="K2906" s="50" t="str">
        <f t="shared" si="229"/>
        <v/>
      </c>
      <c r="L2906" s="50" t="str">
        <f>IF(D2906="","",IF(COUNTIF(Paramètres!$A$11:$A$40,D2906)&gt;0,1,0))</f>
        <v/>
      </c>
    </row>
    <row r="2907" spans="1:12" hidden="1" x14ac:dyDescent="0.25">
      <c r="A2907" s="49"/>
      <c r="B2907" s="49"/>
      <c r="C2907" s="49"/>
      <c r="D2907" s="50" t="str">
        <f t="shared" si="225"/>
        <v/>
      </c>
      <c r="E2907" s="50" t="str">
        <f t="shared" si="226"/>
        <v/>
      </c>
      <c r="F2907" s="50" t="str">
        <f t="shared" si="227"/>
        <v/>
      </c>
      <c r="G2907" s="50" t="str">
        <f t="shared" si="228"/>
        <v/>
      </c>
      <c r="H2907" s="51" t="str">
        <f>IF($C2907="","",IFERROR(DATE(G2907,VLOOKUP(E2907,Paramètres!$K$11:$L$40,2,FALSE()),F2907),"?"))</f>
        <v/>
      </c>
      <c r="I2907" s="50" t="str">
        <f>IF(ISNUMBER(H2907),IF(COUNTIFS($D$2:D2907,D2907,$H$2:H2907,H2907)=1,1,0),"")</f>
        <v/>
      </c>
      <c r="J2907" s="50" t="str">
        <f>IF(ISNUMBER(H2907),IFERROR(INDEX(Calendrier!$C$2:$C$367,MATCH(H2907,Calendrier!$A$2:$A$367,0)),0),"")</f>
        <v/>
      </c>
      <c r="K2907" s="50" t="str">
        <f t="shared" si="229"/>
        <v/>
      </c>
      <c r="L2907" s="50" t="str">
        <f>IF(D2907="","",IF(COUNTIF(Paramètres!$A$11:$A$40,D2907)&gt;0,1,0))</f>
        <v/>
      </c>
    </row>
    <row r="2908" spans="1:12" hidden="1" x14ac:dyDescent="0.25">
      <c r="A2908" s="49"/>
      <c r="B2908" s="49"/>
      <c r="C2908" s="49"/>
      <c r="D2908" s="50" t="str">
        <f t="shared" si="225"/>
        <v/>
      </c>
      <c r="E2908" s="50" t="str">
        <f t="shared" si="226"/>
        <v/>
      </c>
      <c r="F2908" s="50" t="str">
        <f t="shared" si="227"/>
        <v/>
      </c>
      <c r="G2908" s="50" t="str">
        <f t="shared" si="228"/>
        <v/>
      </c>
      <c r="H2908" s="51" t="str">
        <f>IF($C2908="","",IFERROR(DATE(G2908,VLOOKUP(E2908,Paramètres!$K$11:$L$40,2,FALSE()),F2908),"?"))</f>
        <v/>
      </c>
      <c r="I2908" s="50" t="str">
        <f>IF(ISNUMBER(H2908),IF(COUNTIFS($D$2:D2908,D2908,$H$2:H2908,H2908)=1,1,0),"")</f>
        <v/>
      </c>
      <c r="J2908" s="50" t="str">
        <f>IF(ISNUMBER(H2908),IFERROR(INDEX(Calendrier!$C$2:$C$367,MATCH(H2908,Calendrier!$A$2:$A$367,0)),0),"")</f>
        <v/>
      </c>
      <c r="K2908" s="50" t="str">
        <f t="shared" si="229"/>
        <v/>
      </c>
      <c r="L2908" s="50" t="str">
        <f>IF(D2908="","",IF(COUNTIF(Paramètres!$A$11:$A$40,D2908)&gt;0,1,0))</f>
        <v/>
      </c>
    </row>
    <row r="2909" spans="1:12" hidden="1" x14ac:dyDescent="0.25">
      <c r="A2909" s="49"/>
      <c r="B2909" s="49"/>
      <c r="C2909" s="49"/>
      <c r="D2909" s="50" t="str">
        <f t="shared" si="225"/>
        <v/>
      </c>
      <c r="E2909" s="50" t="str">
        <f t="shared" si="226"/>
        <v/>
      </c>
      <c r="F2909" s="50" t="str">
        <f t="shared" si="227"/>
        <v/>
      </c>
      <c r="G2909" s="50" t="str">
        <f t="shared" si="228"/>
        <v/>
      </c>
      <c r="H2909" s="51" t="str">
        <f>IF($C2909="","",IFERROR(DATE(G2909,VLOOKUP(E2909,Paramètres!$K$11:$L$40,2,FALSE()),F2909),"?"))</f>
        <v/>
      </c>
      <c r="I2909" s="50" t="str">
        <f>IF(ISNUMBER(H2909),IF(COUNTIFS($D$2:D2909,D2909,$H$2:H2909,H2909)=1,1,0),"")</f>
        <v/>
      </c>
      <c r="J2909" s="50" t="str">
        <f>IF(ISNUMBER(H2909),IFERROR(INDEX(Calendrier!$C$2:$C$367,MATCH(H2909,Calendrier!$A$2:$A$367,0)),0),"")</f>
        <v/>
      </c>
      <c r="K2909" s="50" t="str">
        <f t="shared" si="229"/>
        <v/>
      </c>
      <c r="L2909" s="50" t="str">
        <f>IF(D2909="","",IF(COUNTIF(Paramètres!$A$11:$A$40,D2909)&gt;0,1,0))</f>
        <v/>
      </c>
    </row>
    <row r="2910" spans="1:12" hidden="1" x14ac:dyDescent="0.25">
      <c r="A2910" s="49"/>
      <c r="B2910" s="49"/>
      <c r="C2910" s="49"/>
      <c r="D2910" s="50" t="str">
        <f t="shared" si="225"/>
        <v/>
      </c>
      <c r="E2910" s="50" t="str">
        <f t="shared" si="226"/>
        <v/>
      </c>
      <c r="F2910" s="50" t="str">
        <f t="shared" si="227"/>
        <v/>
      </c>
      <c r="G2910" s="50" t="str">
        <f t="shared" si="228"/>
        <v/>
      </c>
      <c r="H2910" s="51" t="str">
        <f>IF($C2910="","",IFERROR(DATE(G2910,VLOOKUP(E2910,Paramètres!$K$11:$L$40,2,FALSE()),F2910),"?"))</f>
        <v/>
      </c>
      <c r="I2910" s="50" t="str">
        <f>IF(ISNUMBER(H2910),IF(COUNTIFS($D$2:D2910,D2910,$H$2:H2910,H2910)=1,1,0),"")</f>
        <v/>
      </c>
      <c r="J2910" s="50" t="str">
        <f>IF(ISNUMBER(H2910),IFERROR(INDEX(Calendrier!$C$2:$C$367,MATCH(H2910,Calendrier!$A$2:$A$367,0)),0),"")</f>
        <v/>
      </c>
      <c r="K2910" s="50" t="str">
        <f t="shared" si="229"/>
        <v/>
      </c>
      <c r="L2910" s="50" t="str">
        <f>IF(D2910="","",IF(COUNTIF(Paramètres!$A$11:$A$40,D2910)&gt;0,1,0))</f>
        <v/>
      </c>
    </row>
    <row r="2911" spans="1:12" hidden="1" x14ac:dyDescent="0.25">
      <c r="A2911" s="49"/>
      <c r="B2911" s="49"/>
      <c r="C2911" s="49"/>
      <c r="D2911" s="50" t="str">
        <f t="shared" si="225"/>
        <v/>
      </c>
      <c r="E2911" s="50" t="str">
        <f t="shared" si="226"/>
        <v/>
      </c>
      <c r="F2911" s="50" t="str">
        <f t="shared" si="227"/>
        <v/>
      </c>
      <c r="G2911" s="50" t="str">
        <f t="shared" si="228"/>
        <v/>
      </c>
      <c r="H2911" s="51" t="str">
        <f>IF($C2911="","",IFERROR(DATE(G2911,VLOOKUP(E2911,Paramètres!$K$11:$L$40,2,FALSE()),F2911),"?"))</f>
        <v/>
      </c>
      <c r="I2911" s="50" t="str">
        <f>IF(ISNUMBER(H2911),IF(COUNTIFS($D$2:D2911,D2911,$H$2:H2911,H2911)=1,1,0),"")</f>
        <v/>
      </c>
      <c r="J2911" s="50" t="str">
        <f>IF(ISNUMBER(H2911),IFERROR(INDEX(Calendrier!$C$2:$C$367,MATCH(H2911,Calendrier!$A$2:$A$367,0)),0),"")</f>
        <v/>
      </c>
      <c r="K2911" s="50" t="str">
        <f t="shared" si="229"/>
        <v/>
      </c>
      <c r="L2911" s="50" t="str">
        <f>IF(D2911="","",IF(COUNTIF(Paramètres!$A$11:$A$40,D2911)&gt;0,1,0))</f>
        <v/>
      </c>
    </row>
    <row r="2912" spans="1:12" hidden="1" x14ac:dyDescent="0.25">
      <c r="A2912" s="49"/>
      <c r="B2912" s="49"/>
      <c r="C2912" s="49"/>
      <c r="D2912" s="50" t="str">
        <f t="shared" si="225"/>
        <v/>
      </c>
      <c r="E2912" s="50" t="str">
        <f t="shared" si="226"/>
        <v/>
      </c>
      <c r="F2912" s="50" t="str">
        <f t="shared" si="227"/>
        <v/>
      </c>
      <c r="G2912" s="50" t="str">
        <f t="shared" si="228"/>
        <v/>
      </c>
      <c r="H2912" s="51" t="str">
        <f>IF($C2912="","",IFERROR(DATE(G2912,VLOOKUP(E2912,Paramètres!$K$11:$L$40,2,FALSE()),F2912),"?"))</f>
        <v/>
      </c>
      <c r="I2912" s="50" t="str">
        <f>IF(ISNUMBER(H2912),IF(COUNTIFS($D$2:D2912,D2912,$H$2:H2912,H2912)=1,1,0),"")</f>
        <v/>
      </c>
      <c r="J2912" s="50" t="str">
        <f>IF(ISNUMBER(H2912),IFERROR(INDEX(Calendrier!$C$2:$C$367,MATCH(H2912,Calendrier!$A$2:$A$367,0)),0),"")</f>
        <v/>
      </c>
      <c r="K2912" s="50" t="str">
        <f t="shared" si="229"/>
        <v/>
      </c>
      <c r="L2912" s="50" t="str">
        <f>IF(D2912="","",IF(COUNTIF(Paramètres!$A$11:$A$40,D2912)&gt;0,1,0))</f>
        <v/>
      </c>
    </row>
    <row r="2913" spans="1:12" hidden="1" x14ac:dyDescent="0.25">
      <c r="A2913" s="49"/>
      <c r="B2913" s="49"/>
      <c r="C2913" s="49"/>
      <c r="D2913" s="50" t="str">
        <f t="shared" si="225"/>
        <v/>
      </c>
      <c r="E2913" s="50" t="str">
        <f t="shared" si="226"/>
        <v/>
      </c>
      <c r="F2913" s="50" t="str">
        <f t="shared" si="227"/>
        <v/>
      </c>
      <c r="G2913" s="50" t="str">
        <f t="shared" si="228"/>
        <v/>
      </c>
      <c r="H2913" s="51" t="str">
        <f>IF($C2913="","",IFERROR(DATE(G2913,VLOOKUP(E2913,Paramètres!$K$11:$L$40,2,FALSE()),F2913),"?"))</f>
        <v/>
      </c>
      <c r="I2913" s="50" t="str">
        <f>IF(ISNUMBER(H2913),IF(COUNTIFS($D$2:D2913,D2913,$H$2:H2913,H2913)=1,1,0),"")</f>
        <v/>
      </c>
      <c r="J2913" s="50" t="str">
        <f>IF(ISNUMBER(H2913),IFERROR(INDEX(Calendrier!$C$2:$C$367,MATCH(H2913,Calendrier!$A$2:$A$367,0)),0),"")</f>
        <v/>
      </c>
      <c r="K2913" s="50" t="str">
        <f t="shared" si="229"/>
        <v/>
      </c>
      <c r="L2913" s="50" t="str">
        <f>IF(D2913="","",IF(COUNTIF(Paramètres!$A$11:$A$40,D2913)&gt;0,1,0))</f>
        <v/>
      </c>
    </row>
    <row r="2914" spans="1:12" hidden="1" x14ac:dyDescent="0.25">
      <c r="A2914" s="49"/>
      <c r="B2914" s="49"/>
      <c r="C2914" s="49"/>
      <c r="D2914" s="50" t="str">
        <f t="shared" si="225"/>
        <v/>
      </c>
      <c r="E2914" s="50" t="str">
        <f t="shared" si="226"/>
        <v/>
      </c>
      <c r="F2914" s="50" t="str">
        <f t="shared" si="227"/>
        <v/>
      </c>
      <c r="G2914" s="50" t="str">
        <f t="shared" si="228"/>
        <v/>
      </c>
      <c r="H2914" s="51" t="str">
        <f>IF($C2914="","",IFERROR(DATE(G2914,VLOOKUP(E2914,Paramètres!$K$11:$L$40,2,FALSE()),F2914),"?"))</f>
        <v/>
      </c>
      <c r="I2914" s="50" t="str">
        <f>IF(ISNUMBER(H2914),IF(COUNTIFS($D$2:D2914,D2914,$H$2:H2914,H2914)=1,1,0),"")</f>
        <v/>
      </c>
      <c r="J2914" s="50" t="str">
        <f>IF(ISNUMBER(H2914),IFERROR(INDEX(Calendrier!$C$2:$C$367,MATCH(H2914,Calendrier!$A$2:$A$367,0)),0),"")</f>
        <v/>
      </c>
      <c r="K2914" s="50" t="str">
        <f t="shared" si="229"/>
        <v/>
      </c>
      <c r="L2914" s="50" t="str">
        <f>IF(D2914="","",IF(COUNTIF(Paramètres!$A$11:$A$40,D2914)&gt;0,1,0))</f>
        <v/>
      </c>
    </row>
    <row r="2915" spans="1:12" hidden="1" x14ac:dyDescent="0.25">
      <c r="A2915" s="49"/>
      <c r="B2915" s="49"/>
      <c r="C2915" s="49"/>
      <c r="D2915" s="50" t="str">
        <f t="shared" si="225"/>
        <v/>
      </c>
      <c r="E2915" s="50" t="str">
        <f t="shared" si="226"/>
        <v/>
      </c>
      <c r="F2915" s="50" t="str">
        <f t="shared" si="227"/>
        <v/>
      </c>
      <c r="G2915" s="50" t="str">
        <f t="shared" si="228"/>
        <v/>
      </c>
      <c r="H2915" s="51" t="str">
        <f>IF($C2915="","",IFERROR(DATE(G2915,VLOOKUP(E2915,Paramètres!$K$11:$L$40,2,FALSE()),F2915),"?"))</f>
        <v/>
      </c>
      <c r="I2915" s="50" t="str">
        <f>IF(ISNUMBER(H2915),IF(COUNTIFS($D$2:D2915,D2915,$H$2:H2915,H2915)=1,1,0),"")</f>
        <v/>
      </c>
      <c r="J2915" s="50" t="str">
        <f>IF(ISNUMBER(H2915),IFERROR(INDEX(Calendrier!$C$2:$C$367,MATCH(H2915,Calendrier!$A$2:$A$367,0)),0),"")</f>
        <v/>
      </c>
      <c r="K2915" s="50" t="str">
        <f t="shared" si="229"/>
        <v/>
      </c>
      <c r="L2915" s="50" t="str">
        <f>IF(D2915="","",IF(COUNTIF(Paramètres!$A$11:$A$40,D2915)&gt;0,1,0))</f>
        <v/>
      </c>
    </row>
    <row r="2916" spans="1:12" hidden="1" x14ac:dyDescent="0.25">
      <c r="A2916" s="49"/>
      <c r="B2916" s="49"/>
      <c r="C2916" s="49"/>
      <c r="D2916" s="50" t="str">
        <f t="shared" si="225"/>
        <v/>
      </c>
      <c r="E2916" s="50" t="str">
        <f t="shared" si="226"/>
        <v/>
      </c>
      <c r="F2916" s="50" t="str">
        <f t="shared" si="227"/>
        <v/>
      </c>
      <c r="G2916" s="50" t="str">
        <f t="shared" si="228"/>
        <v/>
      </c>
      <c r="H2916" s="51" t="str">
        <f>IF($C2916="","",IFERROR(DATE(G2916,VLOOKUP(E2916,Paramètres!$K$11:$L$40,2,FALSE()),F2916),"?"))</f>
        <v/>
      </c>
      <c r="I2916" s="50" t="str">
        <f>IF(ISNUMBER(H2916),IF(COUNTIFS($D$2:D2916,D2916,$H$2:H2916,H2916)=1,1,0),"")</f>
        <v/>
      </c>
      <c r="J2916" s="50" t="str">
        <f>IF(ISNUMBER(H2916),IFERROR(INDEX(Calendrier!$C$2:$C$367,MATCH(H2916,Calendrier!$A$2:$A$367,0)),0),"")</f>
        <v/>
      </c>
      <c r="K2916" s="50" t="str">
        <f t="shared" si="229"/>
        <v/>
      </c>
      <c r="L2916" s="50" t="str">
        <f>IF(D2916="","",IF(COUNTIF(Paramètres!$A$11:$A$40,D2916)&gt;0,1,0))</f>
        <v/>
      </c>
    </row>
    <row r="2917" spans="1:12" hidden="1" x14ac:dyDescent="0.25">
      <c r="A2917" s="49"/>
      <c r="B2917" s="49"/>
      <c r="C2917" s="49"/>
      <c r="D2917" s="50" t="str">
        <f t="shared" si="225"/>
        <v/>
      </c>
      <c r="E2917" s="50" t="str">
        <f t="shared" si="226"/>
        <v/>
      </c>
      <c r="F2917" s="50" t="str">
        <f t="shared" si="227"/>
        <v/>
      </c>
      <c r="G2917" s="50" t="str">
        <f t="shared" si="228"/>
        <v/>
      </c>
      <c r="H2917" s="51" t="str">
        <f>IF($C2917="","",IFERROR(DATE(G2917,VLOOKUP(E2917,Paramètres!$K$11:$L$40,2,FALSE()),F2917),"?"))</f>
        <v/>
      </c>
      <c r="I2917" s="50" t="str">
        <f>IF(ISNUMBER(H2917),IF(COUNTIFS($D$2:D2917,D2917,$H$2:H2917,H2917)=1,1,0),"")</f>
        <v/>
      </c>
      <c r="J2917" s="50" t="str">
        <f>IF(ISNUMBER(H2917),IFERROR(INDEX(Calendrier!$C$2:$C$367,MATCH(H2917,Calendrier!$A$2:$A$367,0)),0),"")</f>
        <v/>
      </c>
      <c r="K2917" s="50" t="str">
        <f t="shared" si="229"/>
        <v/>
      </c>
      <c r="L2917" s="50" t="str">
        <f>IF(D2917="","",IF(COUNTIF(Paramètres!$A$11:$A$40,D2917)&gt;0,1,0))</f>
        <v/>
      </c>
    </row>
    <row r="2918" spans="1:12" hidden="1" x14ac:dyDescent="0.25">
      <c r="A2918" s="49"/>
      <c r="B2918" s="49"/>
      <c r="C2918" s="49"/>
      <c r="D2918" s="50" t="str">
        <f t="shared" si="225"/>
        <v/>
      </c>
      <c r="E2918" s="50" t="str">
        <f t="shared" si="226"/>
        <v/>
      </c>
      <c r="F2918" s="50" t="str">
        <f t="shared" si="227"/>
        <v/>
      </c>
      <c r="G2918" s="50" t="str">
        <f t="shared" si="228"/>
        <v/>
      </c>
      <c r="H2918" s="51" t="str">
        <f>IF($C2918="","",IFERROR(DATE(G2918,VLOOKUP(E2918,Paramètres!$K$11:$L$40,2,FALSE()),F2918),"?"))</f>
        <v/>
      </c>
      <c r="I2918" s="50" t="str">
        <f>IF(ISNUMBER(H2918),IF(COUNTIFS($D$2:D2918,D2918,$H$2:H2918,H2918)=1,1,0),"")</f>
        <v/>
      </c>
      <c r="J2918" s="50" t="str">
        <f>IF(ISNUMBER(H2918),IFERROR(INDEX(Calendrier!$C$2:$C$367,MATCH(H2918,Calendrier!$A$2:$A$367,0)),0),"")</f>
        <v/>
      </c>
      <c r="K2918" s="50" t="str">
        <f t="shared" si="229"/>
        <v/>
      </c>
      <c r="L2918" s="50" t="str">
        <f>IF(D2918="","",IF(COUNTIF(Paramètres!$A$11:$A$40,D2918)&gt;0,1,0))</f>
        <v/>
      </c>
    </row>
    <row r="2919" spans="1:12" hidden="1" x14ac:dyDescent="0.25">
      <c r="A2919" s="49"/>
      <c r="B2919" s="49"/>
      <c r="C2919" s="49"/>
      <c r="D2919" s="50" t="str">
        <f t="shared" si="225"/>
        <v/>
      </c>
      <c r="E2919" s="50" t="str">
        <f t="shared" si="226"/>
        <v/>
      </c>
      <c r="F2919" s="50" t="str">
        <f t="shared" si="227"/>
        <v/>
      </c>
      <c r="G2919" s="50" t="str">
        <f t="shared" si="228"/>
        <v/>
      </c>
      <c r="H2919" s="51" t="str">
        <f>IF($C2919="","",IFERROR(DATE(G2919,VLOOKUP(E2919,Paramètres!$K$11:$L$40,2,FALSE()),F2919),"?"))</f>
        <v/>
      </c>
      <c r="I2919" s="50" t="str">
        <f>IF(ISNUMBER(H2919),IF(COUNTIFS($D$2:D2919,D2919,$H$2:H2919,H2919)=1,1,0),"")</f>
        <v/>
      </c>
      <c r="J2919" s="50" t="str">
        <f>IF(ISNUMBER(H2919),IFERROR(INDEX(Calendrier!$C$2:$C$367,MATCH(H2919,Calendrier!$A$2:$A$367,0)),0),"")</f>
        <v/>
      </c>
      <c r="K2919" s="50" t="str">
        <f t="shared" si="229"/>
        <v/>
      </c>
      <c r="L2919" s="50" t="str">
        <f>IF(D2919="","",IF(COUNTIF(Paramètres!$A$11:$A$40,D2919)&gt;0,1,0))</f>
        <v/>
      </c>
    </row>
    <row r="2920" spans="1:12" hidden="1" x14ac:dyDescent="0.25">
      <c r="A2920" s="49"/>
      <c r="B2920" s="49"/>
      <c r="C2920" s="49"/>
      <c r="D2920" s="50" t="str">
        <f t="shared" si="225"/>
        <v/>
      </c>
      <c r="E2920" s="50" t="str">
        <f t="shared" si="226"/>
        <v/>
      </c>
      <c r="F2920" s="50" t="str">
        <f t="shared" si="227"/>
        <v/>
      </c>
      <c r="G2920" s="50" t="str">
        <f t="shared" si="228"/>
        <v/>
      </c>
      <c r="H2920" s="51" t="str">
        <f>IF($C2920="","",IFERROR(DATE(G2920,VLOOKUP(E2920,Paramètres!$K$11:$L$40,2,FALSE()),F2920),"?"))</f>
        <v/>
      </c>
      <c r="I2920" s="50" t="str">
        <f>IF(ISNUMBER(H2920),IF(COUNTIFS($D$2:D2920,D2920,$H$2:H2920,H2920)=1,1,0),"")</f>
        <v/>
      </c>
      <c r="J2920" s="50" t="str">
        <f>IF(ISNUMBER(H2920),IFERROR(INDEX(Calendrier!$C$2:$C$367,MATCH(H2920,Calendrier!$A$2:$A$367,0)),0),"")</f>
        <v/>
      </c>
      <c r="K2920" s="50" t="str">
        <f t="shared" si="229"/>
        <v/>
      </c>
      <c r="L2920" s="50" t="str">
        <f>IF(D2920="","",IF(COUNTIF(Paramètres!$A$11:$A$40,D2920)&gt;0,1,0))</f>
        <v/>
      </c>
    </row>
    <row r="2921" spans="1:12" hidden="1" x14ac:dyDescent="0.25">
      <c r="A2921" s="49"/>
      <c r="B2921" s="49"/>
      <c r="C2921" s="49"/>
      <c r="D2921" s="50" t="str">
        <f t="shared" si="225"/>
        <v/>
      </c>
      <c r="E2921" s="50" t="str">
        <f t="shared" si="226"/>
        <v/>
      </c>
      <c r="F2921" s="50" t="str">
        <f t="shared" si="227"/>
        <v/>
      </c>
      <c r="G2921" s="50" t="str">
        <f t="shared" si="228"/>
        <v/>
      </c>
      <c r="H2921" s="51" t="str">
        <f>IF($C2921="","",IFERROR(DATE(G2921,VLOOKUP(E2921,Paramètres!$K$11:$L$40,2,FALSE()),F2921),"?"))</f>
        <v/>
      </c>
      <c r="I2921" s="50" t="str">
        <f>IF(ISNUMBER(H2921),IF(COUNTIFS($D$2:D2921,D2921,$H$2:H2921,H2921)=1,1,0),"")</f>
        <v/>
      </c>
      <c r="J2921" s="50" t="str">
        <f>IF(ISNUMBER(H2921),IFERROR(INDEX(Calendrier!$C$2:$C$367,MATCH(H2921,Calendrier!$A$2:$A$367,0)),0),"")</f>
        <v/>
      </c>
      <c r="K2921" s="50" t="str">
        <f t="shared" si="229"/>
        <v/>
      </c>
      <c r="L2921" s="50" t="str">
        <f>IF(D2921="","",IF(COUNTIF(Paramètres!$A$11:$A$40,D2921)&gt;0,1,0))</f>
        <v/>
      </c>
    </row>
    <row r="2922" spans="1:12" hidden="1" x14ac:dyDescent="0.25">
      <c r="A2922" s="49"/>
      <c r="B2922" s="49"/>
      <c r="C2922" s="49"/>
      <c r="D2922" s="50" t="str">
        <f t="shared" si="225"/>
        <v/>
      </c>
      <c r="E2922" s="50" t="str">
        <f t="shared" si="226"/>
        <v/>
      </c>
      <c r="F2922" s="50" t="str">
        <f t="shared" si="227"/>
        <v/>
      </c>
      <c r="G2922" s="50" t="str">
        <f t="shared" si="228"/>
        <v/>
      </c>
      <c r="H2922" s="51" t="str">
        <f>IF($C2922="","",IFERROR(DATE(G2922,VLOOKUP(E2922,Paramètres!$K$11:$L$40,2,FALSE()),F2922),"?"))</f>
        <v/>
      </c>
      <c r="I2922" s="50" t="str">
        <f>IF(ISNUMBER(H2922),IF(COUNTIFS($D$2:D2922,D2922,$H$2:H2922,H2922)=1,1,0),"")</f>
        <v/>
      </c>
      <c r="J2922" s="50" t="str">
        <f>IF(ISNUMBER(H2922),IFERROR(INDEX(Calendrier!$C$2:$C$367,MATCH(H2922,Calendrier!$A$2:$A$367,0)),0),"")</f>
        <v/>
      </c>
      <c r="K2922" s="50" t="str">
        <f t="shared" si="229"/>
        <v/>
      </c>
      <c r="L2922" s="50" t="str">
        <f>IF(D2922="","",IF(COUNTIF(Paramètres!$A$11:$A$40,D2922)&gt;0,1,0))</f>
        <v/>
      </c>
    </row>
    <row r="2923" spans="1:12" hidden="1" x14ac:dyDescent="0.25">
      <c r="A2923" s="49"/>
      <c r="B2923" s="49"/>
      <c r="C2923" s="49"/>
      <c r="D2923" s="50" t="str">
        <f t="shared" si="225"/>
        <v/>
      </c>
      <c r="E2923" s="50" t="str">
        <f t="shared" si="226"/>
        <v/>
      </c>
      <c r="F2923" s="50" t="str">
        <f t="shared" si="227"/>
        <v/>
      </c>
      <c r="G2923" s="50" t="str">
        <f t="shared" si="228"/>
        <v/>
      </c>
      <c r="H2923" s="51" t="str">
        <f>IF($C2923="","",IFERROR(DATE(G2923,VLOOKUP(E2923,Paramètres!$K$11:$L$40,2,FALSE()),F2923),"?"))</f>
        <v/>
      </c>
      <c r="I2923" s="50" t="str">
        <f>IF(ISNUMBER(H2923),IF(COUNTIFS($D$2:D2923,D2923,$H$2:H2923,H2923)=1,1,0),"")</f>
        <v/>
      </c>
      <c r="J2923" s="50" t="str">
        <f>IF(ISNUMBER(H2923),IFERROR(INDEX(Calendrier!$C$2:$C$367,MATCH(H2923,Calendrier!$A$2:$A$367,0)),0),"")</f>
        <v/>
      </c>
      <c r="K2923" s="50" t="str">
        <f t="shared" si="229"/>
        <v/>
      </c>
      <c r="L2923" s="50" t="str">
        <f>IF(D2923="","",IF(COUNTIF(Paramètres!$A$11:$A$40,D2923)&gt;0,1,0))</f>
        <v/>
      </c>
    </row>
    <row r="2924" spans="1:12" hidden="1" x14ac:dyDescent="0.25">
      <c r="A2924" s="49"/>
      <c r="B2924" s="49"/>
      <c r="C2924" s="49"/>
      <c r="D2924" s="50" t="str">
        <f t="shared" si="225"/>
        <v/>
      </c>
      <c r="E2924" s="50" t="str">
        <f t="shared" si="226"/>
        <v/>
      </c>
      <c r="F2924" s="50" t="str">
        <f t="shared" si="227"/>
        <v/>
      </c>
      <c r="G2924" s="50" t="str">
        <f t="shared" si="228"/>
        <v/>
      </c>
      <c r="H2924" s="51" t="str">
        <f>IF($C2924="","",IFERROR(DATE(G2924,VLOOKUP(E2924,Paramètres!$K$11:$L$40,2,FALSE()),F2924),"?"))</f>
        <v/>
      </c>
      <c r="I2924" s="50" t="str">
        <f>IF(ISNUMBER(H2924),IF(COUNTIFS($D$2:D2924,D2924,$H$2:H2924,H2924)=1,1,0),"")</f>
        <v/>
      </c>
      <c r="J2924" s="50" t="str">
        <f>IF(ISNUMBER(H2924),IFERROR(INDEX(Calendrier!$C$2:$C$367,MATCH(H2924,Calendrier!$A$2:$A$367,0)),0),"")</f>
        <v/>
      </c>
      <c r="K2924" s="50" t="str">
        <f t="shared" si="229"/>
        <v/>
      </c>
      <c r="L2924" s="50" t="str">
        <f>IF(D2924="","",IF(COUNTIF(Paramètres!$A$11:$A$40,D2924)&gt;0,1,0))</f>
        <v/>
      </c>
    </row>
    <row r="2925" spans="1:12" hidden="1" x14ac:dyDescent="0.25">
      <c r="A2925" s="49"/>
      <c r="B2925" s="49"/>
      <c r="C2925" s="49"/>
      <c r="D2925" s="50" t="str">
        <f t="shared" si="225"/>
        <v/>
      </c>
      <c r="E2925" s="50" t="str">
        <f t="shared" si="226"/>
        <v/>
      </c>
      <c r="F2925" s="50" t="str">
        <f t="shared" si="227"/>
        <v/>
      </c>
      <c r="G2925" s="50" t="str">
        <f t="shared" si="228"/>
        <v/>
      </c>
      <c r="H2925" s="51" t="str">
        <f>IF($C2925="","",IFERROR(DATE(G2925,VLOOKUP(E2925,Paramètres!$K$11:$L$40,2,FALSE()),F2925),"?"))</f>
        <v/>
      </c>
      <c r="I2925" s="50" t="str">
        <f>IF(ISNUMBER(H2925),IF(COUNTIFS($D$2:D2925,D2925,$H$2:H2925,H2925)=1,1,0),"")</f>
        <v/>
      </c>
      <c r="J2925" s="50" t="str">
        <f>IF(ISNUMBER(H2925),IFERROR(INDEX(Calendrier!$C$2:$C$367,MATCH(H2925,Calendrier!$A$2:$A$367,0)),0),"")</f>
        <v/>
      </c>
      <c r="K2925" s="50" t="str">
        <f t="shared" si="229"/>
        <v/>
      </c>
      <c r="L2925" s="50" t="str">
        <f>IF(D2925="","",IF(COUNTIF(Paramètres!$A$11:$A$40,D2925)&gt;0,1,0))</f>
        <v/>
      </c>
    </row>
    <row r="2926" spans="1:12" hidden="1" x14ac:dyDescent="0.25">
      <c r="A2926" s="49"/>
      <c r="B2926" s="49"/>
      <c r="C2926" s="49"/>
      <c r="D2926" s="50" t="str">
        <f t="shared" si="225"/>
        <v/>
      </c>
      <c r="E2926" s="50" t="str">
        <f t="shared" si="226"/>
        <v/>
      </c>
      <c r="F2926" s="50" t="str">
        <f t="shared" si="227"/>
        <v/>
      </c>
      <c r="G2926" s="50" t="str">
        <f t="shared" si="228"/>
        <v/>
      </c>
      <c r="H2926" s="51" t="str">
        <f>IF($C2926="","",IFERROR(DATE(G2926,VLOOKUP(E2926,Paramètres!$K$11:$L$40,2,FALSE()),F2926),"?"))</f>
        <v/>
      </c>
      <c r="I2926" s="50" t="str">
        <f>IF(ISNUMBER(H2926),IF(COUNTIFS($D$2:D2926,D2926,$H$2:H2926,H2926)=1,1,0),"")</f>
        <v/>
      </c>
      <c r="J2926" s="50" t="str">
        <f>IF(ISNUMBER(H2926),IFERROR(INDEX(Calendrier!$C$2:$C$367,MATCH(H2926,Calendrier!$A$2:$A$367,0)),0),"")</f>
        <v/>
      </c>
      <c r="K2926" s="50" t="str">
        <f t="shared" si="229"/>
        <v/>
      </c>
      <c r="L2926" s="50" t="str">
        <f>IF(D2926="","",IF(COUNTIF(Paramètres!$A$11:$A$40,D2926)&gt;0,1,0))</f>
        <v/>
      </c>
    </row>
    <row r="2927" spans="1:12" hidden="1" x14ac:dyDescent="0.25">
      <c r="A2927" s="49"/>
      <c r="B2927" s="49"/>
      <c r="C2927" s="49"/>
      <c r="D2927" s="50" t="str">
        <f t="shared" si="225"/>
        <v/>
      </c>
      <c r="E2927" s="50" t="str">
        <f t="shared" si="226"/>
        <v/>
      </c>
      <c r="F2927" s="50" t="str">
        <f t="shared" si="227"/>
        <v/>
      </c>
      <c r="G2927" s="50" t="str">
        <f t="shared" si="228"/>
        <v/>
      </c>
      <c r="H2927" s="51" t="str">
        <f>IF($C2927="","",IFERROR(DATE(G2927,VLOOKUP(E2927,Paramètres!$K$11:$L$40,2,FALSE()),F2927),"?"))</f>
        <v/>
      </c>
      <c r="I2927" s="50" t="str">
        <f>IF(ISNUMBER(H2927),IF(COUNTIFS($D$2:D2927,D2927,$H$2:H2927,H2927)=1,1,0),"")</f>
        <v/>
      </c>
      <c r="J2927" s="50" t="str">
        <f>IF(ISNUMBER(H2927),IFERROR(INDEX(Calendrier!$C$2:$C$367,MATCH(H2927,Calendrier!$A$2:$A$367,0)),0),"")</f>
        <v/>
      </c>
      <c r="K2927" s="50" t="str">
        <f t="shared" si="229"/>
        <v/>
      </c>
      <c r="L2927" s="50" t="str">
        <f>IF(D2927="","",IF(COUNTIF(Paramètres!$A$11:$A$40,D2927)&gt;0,1,0))</f>
        <v/>
      </c>
    </row>
    <row r="2928" spans="1:12" hidden="1" x14ac:dyDescent="0.25">
      <c r="A2928" s="49"/>
      <c r="B2928" s="49"/>
      <c r="C2928" s="49"/>
      <c r="D2928" s="50" t="str">
        <f t="shared" si="225"/>
        <v/>
      </c>
      <c r="E2928" s="50" t="str">
        <f t="shared" si="226"/>
        <v/>
      </c>
      <c r="F2928" s="50" t="str">
        <f t="shared" si="227"/>
        <v/>
      </c>
      <c r="G2928" s="50" t="str">
        <f t="shared" si="228"/>
        <v/>
      </c>
      <c r="H2928" s="51" t="str">
        <f>IF($C2928="","",IFERROR(DATE(G2928,VLOOKUP(E2928,Paramètres!$K$11:$L$40,2,FALSE()),F2928),"?"))</f>
        <v/>
      </c>
      <c r="I2928" s="50" t="str">
        <f>IF(ISNUMBER(H2928),IF(COUNTIFS($D$2:D2928,D2928,$H$2:H2928,H2928)=1,1,0),"")</f>
        <v/>
      </c>
      <c r="J2928" s="50" t="str">
        <f>IF(ISNUMBER(H2928),IFERROR(INDEX(Calendrier!$C$2:$C$367,MATCH(H2928,Calendrier!$A$2:$A$367,0)),0),"")</f>
        <v/>
      </c>
      <c r="K2928" s="50" t="str">
        <f t="shared" si="229"/>
        <v/>
      </c>
      <c r="L2928" s="50" t="str">
        <f>IF(D2928="","",IF(COUNTIF(Paramètres!$A$11:$A$40,D2928)&gt;0,1,0))</f>
        <v/>
      </c>
    </row>
    <row r="2929" spans="1:12" hidden="1" x14ac:dyDescent="0.25">
      <c r="A2929" s="49"/>
      <c r="B2929" s="49"/>
      <c r="C2929" s="49"/>
      <c r="D2929" s="50" t="str">
        <f t="shared" si="225"/>
        <v/>
      </c>
      <c r="E2929" s="50" t="str">
        <f t="shared" si="226"/>
        <v/>
      </c>
      <c r="F2929" s="50" t="str">
        <f t="shared" si="227"/>
        <v/>
      </c>
      <c r="G2929" s="50" t="str">
        <f t="shared" si="228"/>
        <v/>
      </c>
      <c r="H2929" s="51" t="str">
        <f>IF($C2929="","",IFERROR(DATE(G2929,VLOOKUP(E2929,Paramètres!$K$11:$L$40,2,FALSE()),F2929),"?"))</f>
        <v/>
      </c>
      <c r="I2929" s="50" t="str">
        <f>IF(ISNUMBER(H2929),IF(COUNTIFS($D$2:D2929,D2929,$H$2:H2929,H2929)=1,1,0),"")</f>
        <v/>
      </c>
      <c r="J2929" s="50" t="str">
        <f>IF(ISNUMBER(H2929),IFERROR(INDEX(Calendrier!$C$2:$C$367,MATCH(H2929,Calendrier!$A$2:$A$367,0)),0),"")</f>
        <v/>
      </c>
      <c r="K2929" s="50" t="str">
        <f t="shared" si="229"/>
        <v/>
      </c>
      <c r="L2929" s="50" t="str">
        <f>IF(D2929="","",IF(COUNTIF(Paramètres!$A$11:$A$40,D2929)&gt;0,1,0))</f>
        <v/>
      </c>
    </row>
    <row r="2930" spans="1:12" hidden="1" x14ac:dyDescent="0.25">
      <c r="A2930" s="49"/>
      <c r="B2930" s="49"/>
      <c r="C2930" s="49"/>
      <c r="D2930" s="50" t="str">
        <f t="shared" si="225"/>
        <v/>
      </c>
      <c r="E2930" s="50" t="str">
        <f t="shared" si="226"/>
        <v/>
      </c>
      <c r="F2930" s="50" t="str">
        <f t="shared" si="227"/>
        <v/>
      </c>
      <c r="G2930" s="50" t="str">
        <f t="shared" si="228"/>
        <v/>
      </c>
      <c r="H2930" s="51" t="str">
        <f>IF($C2930="","",IFERROR(DATE(G2930,VLOOKUP(E2930,Paramètres!$K$11:$L$40,2,FALSE()),F2930),"?"))</f>
        <v/>
      </c>
      <c r="I2930" s="50" t="str">
        <f>IF(ISNUMBER(H2930),IF(COUNTIFS($D$2:D2930,D2930,$H$2:H2930,H2930)=1,1,0),"")</f>
        <v/>
      </c>
      <c r="J2930" s="50" t="str">
        <f>IF(ISNUMBER(H2930),IFERROR(INDEX(Calendrier!$C$2:$C$367,MATCH(H2930,Calendrier!$A$2:$A$367,0)),0),"")</f>
        <v/>
      </c>
      <c r="K2930" s="50" t="str">
        <f t="shared" si="229"/>
        <v/>
      </c>
      <c r="L2930" s="50" t="str">
        <f>IF(D2930="","",IF(COUNTIF(Paramètres!$A$11:$A$40,D2930)&gt;0,1,0))</f>
        <v/>
      </c>
    </row>
    <row r="2931" spans="1:12" hidden="1" x14ac:dyDescent="0.25">
      <c r="A2931" s="49"/>
      <c r="B2931" s="49"/>
      <c r="C2931" s="49"/>
      <c r="D2931" s="50" t="str">
        <f t="shared" si="225"/>
        <v/>
      </c>
      <c r="E2931" s="50" t="str">
        <f t="shared" si="226"/>
        <v/>
      </c>
      <c r="F2931" s="50" t="str">
        <f t="shared" si="227"/>
        <v/>
      </c>
      <c r="G2931" s="50" t="str">
        <f t="shared" si="228"/>
        <v/>
      </c>
      <c r="H2931" s="51" t="str">
        <f>IF($C2931="","",IFERROR(DATE(G2931,VLOOKUP(E2931,Paramètres!$K$11:$L$40,2,FALSE()),F2931),"?"))</f>
        <v/>
      </c>
      <c r="I2931" s="50" t="str">
        <f>IF(ISNUMBER(H2931),IF(COUNTIFS($D$2:D2931,D2931,$H$2:H2931,H2931)=1,1,0),"")</f>
        <v/>
      </c>
      <c r="J2931" s="50" t="str">
        <f>IF(ISNUMBER(H2931),IFERROR(INDEX(Calendrier!$C$2:$C$367,MATCH(H2931,Calendrier!$A$2:$A$367,0)),0),"")</f>
        <v/>
      </c>
      <c r="K2931" s="50" t="str">
        <f t="shared" si="229"/>
        <v/>
      </c>
      <c r="L2931" s="50" t="str">
        <f>IF(D2931="","",IF(COUNTIF(Paramètres!$A$11:$A$40,D2931)&gt;0,1,0))</f>
        <v/>
      </c>
    </row>
    <row r="2932" spans="1:12" hidden="1" x14ac:dyDescent="0.25">
      <c r="A2932" s="49"/>
      <c r="B2932" s="49"/>
      <c r="C2932" s="49"/>
      <c r="D2932" s="50" t="str">
        <f t="shared" si="225"/>
        <v/>
      </c>
      <c r="E2932" s="50" t="str">
        <f t="shared" si="226"/>
        <v/>
      </c>
      <c r="F2932" s="50" t="str">
        <f t="shared" si="227"/>
        <v/>
      </c>
      <c r="G2932" s="50" t="str">
        <f t="shared" si="228"/>
        <v/>
      </c>
      <c r="H2932" s="51" t="str">
        <f>IF($C2932="","",IFERROR(DATE(G2932,VLOOKUP(E2932,Paramètres!$K$11:$L$40,2,FALSE()),F2932),"?"))</f>
        <v/>
      </c>
      <c r="I2932" s="50" t="str">
        <f>IF(ISNUMBER(H2932),IF(COUNTIFS($D$2:D2932,D2932,$H$2:H2932,H2932)=1,1,0),"")</f>
        <v/>
      </c>
      <c r="J2932" s="50" t="str">
        <f>IF(ISNUMBER(H2932),IFERROR(INDEX(Calendrier!$C$2:$C$367,MATCH(H2932,Calendrier!$A$2:$A$367,0)),0),"")</f>
        <v/>
      </c>
      <c r="K2932" s="50" t="str">
        <f t="shared" si="229"/>
        <v/>
      </c>
      <c r="L2932" s="50" t="str">
        <f>IF(D2932="","",IF(COUNTIF(Paramètres!$A$11:$A$40,D2932)&gt;0,1,0))</f>
        <v/>
      </c>
    </row>
    <row r="2933" spans="1:12" hidden="1" x14ac:dyDescent="0.25">
      <c r="A2933" s="49"/>
      <c r="B2933" s="49"/>
      <c r="C2933" s="49"/>
      <c r="D2933" s="50" t="str">
        <f t="shared" si="225"/>
        <v/>
      </c>
      <c r="E2933" s="50" t="str">
        <f t="shared" si="226"/>
        <v/>
      </c>
      <c r="F2933" s="50" t="str">
        <f t="shared" si="227"/>
        <v/>
      </c>
      <c r="G2933" s="50" t="str">
        <f t="shared" si="228"/>
        <v/>
      </c>
      <c r="H2933" s="51" t="str">
        <f>IF($C2933="","",IFERROR(DATE(G2933,VLOOKUP(E2933,Paramètres!$K$11:$L$40,2,FALSE()),F2933),"?"))</f>
        <v/>
      </c>
      <c r="I2933" s="50" t="str">
        <f>IF(ISNUMBER(H2933),IF(COUNTIFS($D$2:D2933,D2933,$H$2:H2933,H2933)=1,1,0),"")</f>
        <v/>
      </c>
      <c r="J2933" s="50" t="str">
        <f>IF(ISNUMBER(H2933),IFERROR(INDEX(Calendrier!$C$2:$C$367,MATCH(H2933,Calendrier!$A$2:$A$367,0)),0),"")</f>
        <v/>
      </c>
      <c r="K2933" s="50" t="str">
        <f t="shared" si="229"/>
        <v/>
      </c>
      <c r="L2933" s="50" t="str">
        <f>IF(D2933="","",IF(COUNTIF(Paramètres!$A$11:$A$40,D2933)&gt;0,1,0))</f>
        <v/>
      </c>
    </row>
    <row r="2934" spans="1:12" hidden="1" x14ac:dyDescent="0.25">
      <c r="A2934" s="49"/>
      <c r="B2934" s="49"/>
      <c r="C2934" s="49"/>
      <c r="D2934" s="50" t="str">
        <f t="shared" si="225"/>
        <v/>
      </c>
      <c r="E2934" s="50" t="str">
        <f t="shared" si="226"/>
        <v/>
      </c>
      <c r="F2934" s="50" t="str">
        <f t="shared" si="227"/>
        <v/>
      </c>
      <c r="G2934" s="50" t="str">
        <f t="shared" si="228"/>
        <v/>
      </c>
      <c r="H2934" s="51" t="str">
        <f>IF($C2934="","",IFERROR(DATE(G2934,VLOOKUP(E2934,Paramètres!$K$11:$L$40,2,FALSE()),F2934),"?"))</f>
        <v/>
      </c>
      <c r="I2934" s="50" t="str">
        <f>IF(ISNUMBER(H2934),IF(COUNTIFS($D$2:D2934,D2934,$H$2:H2934,H2934)=1,1,0),"")</f>
        <v/>
      </c>
      <c r="J2934" s="50" t="str">
        <f>IF(ISNUMBER(H2934),IFERROR(INDEX(Calendrier!$C$2:$C$367,MATCH(H2934,Calendrier!$A$2:$A$367,0)),0),"")</f>
        <v/>
      </c>
      <c r="K2934" s="50" t="str">
        <f t="shared" si="229"/>
        <v/>
      </c>
      <c r="L2934" s="50" t="str">
        <f>IF(D2934="","",IF(COUNTIF(Paramètres!$A$11:$A$40,D2934)&gt;0,1,0))</f>
        <v/>
      </c>
    </row>
    <row r="2935" spans="1:12" hidden="1" x14ac:dyDescent="0.25">
      <c r="A2935" s="49"/>
      <c r="B2935" s="49"/>
      <c r="C2935" s="49"/>
      <c r="D2935" s="50" t="str">
        <f t="shared" si="225"/>
        <v/>
      </c>
      <c r="E2935" s="50" t="str">
        <f t="shared" si="226"/>
        <v/>
      </c>
      <c r="F2935" s="50" t="str">
        <f t="shared" si="227"/>
        <v/>
      </c>
      <c r="G2935" s="50" t="str">
        <f t="shared" si="228"/>
        <v/>
      </c>
      <c r="H2935" s="51" t="str">
        <f>IF($C2935="","",IFERROR(DATE(G2935,VLOOKUP(E2935,Paramètres!$K$11:$L$40,2,FALSE()),F2935),"?"))</f>
        <v/>
      </c>
      <c r="I2935" s="50" t="str">
        <f>IF(ISNUMBER(H2935),IF(COUNTIFS($D$2:D2935,D2935,$H$2:H2935,H2935)=1,1,0),"")</f>
        <v/>
      </c>
      <c r="J2935" s="50" t="str">
        <f>IF(ISNUMBER(H2935),IFERROR(INDEX(Calendrier!$C$2:$C$367,MATCH(H2935,Calendrier!$A$2:$A$367,0)),0),"")</f>
        <v/>
      </c>
      <c r="K2935" s="50" t="str">
        <f t="shared" si="229"/>
        <v/>
      </c>
      <c r="L2935" s="50" t="str">
        <f>IF(D2935="","",IF(COUNTIF(Paramètres!$A$11:$A$40,D2935)&gt;0,1,0))</f>
        <v/>
      </c>
    </row>
    <row r="2936" spans="1:12" hidden="1" x14ac:dyDescent="0.25">
      <c r="A2936" s="49"/>
      <c r="B2936" s="49"/>
      <c r="C2936" s="49"/>
      <c r="D2936" s="50" t="str">
        <f t="shared" si="225"/>
        <v/>
      </c>
      <c r="E2936" s="50" t="str">
        <f t="shared" si="226"/>
        <v/>
      </c>
      <c r="F2936" s="50" t="str">
        <f t="shared" si="227"/>
        <v/>
      </c>
      <c r="G2936" s="50" t="str">
        <f t="shared" si="228"/>
        <v/>
      </c>
      <c r="H2936" s="51" t="str">
        <f>IF($C2936="","",IFERROR(DATE(G2936,VLOOKUP(E2936,Paramètres!$K$11:$L$40,2,FALSE()),F2936),"?"))</f>
        <v/>
      </c>
      <c r="I2936" s="50" t="str">
        <f>IF(ISNUMBER(H2936),IF(COUNTIFS($D$2:D2936,D2936,$H$2:H2936,H2936)=1,1,0),"")</f>
        <v/>
      </c>
      <c r="J2936" s="50" t="str">
        <f>IF(ISNUMBER(H2936),IFERROR(INDEX(Calendrier!$C$2:$C$367,MATCH(H2936,Calendrier!$A$2:$A$367,0)),0),"")</f>
        <v/>
      </c>
      <c r="K2936" s="50" t="str">
        <f t="shared" si="229"/>
        <v/>
      </c>
      <c r="L2936" s="50" t="str">
        <f>IF(D2936="","",IF(COUNTIF(Paramètres!$A$11:$A$40,D2936)&gt;0,1,0))</f>
        <v/>
      </c>
    </row>
    <row r="2937" spans="1:12" hidden="1" x14ac:dyDescent="0.25">
      <c r="A2937" s="49"/>
      <c r="B2937" s="49"/>
      <c r="C2937" s="49"/>
      <c r="D2937" s="50" t="str">
        <f t="shared" si="225"/>
        <v/>
      </c>
      <c r="E2937" s="50" t="str">
        <f t="shared" si="226"/>
        <v/>
      </c>
      <c r="F2937" s="50" t="str">
        <f t="shared" si="227"/>
        <v/>
      </c>
      <c r="G2937" s="50" t="str">
        <f t="shared" si="228"/>
        <v/>
      </c>
      <c r="H2937" s="51" t="str">
        <f>IF($C2937="","",IFERROR(DATE(G2937,VLOOKUP(E2937,Paramètres!$K$11:$L$40,2,FALSE()),F2937),"?"))</f>
        <v/>
      </c>
      <c r="I2937" s="50" t="str">
        <f>IF(ISNUMBER(H2937),IF(COUNTIFS($D$2:D2937,D2937,$H$2:H2937,H2937)=1,1,0),"")</f>
        <v/>
      </c>
      <c r="J2937" s="50" t="str">
        <f>IF(ISNUMBER(H2937),IFERROR(INDEX(Calendrier!$C$2:$C$367,MATCH(H2937,Calendrier!$A$2:$A$367,0)),0),"")</f>
        <v/>
      </c>
      <c r="K2937" s="50" t="str">
        <f t="shared" si="229"/>
        <v/>
      </c>
      <c r="L2937" s="50" t="str">
        <f>IF(D2937="","",IF(COUNTIF(Paramètres!$A$11:$A$40,D2937)&gt;0,1,0))</f>
        <v/>
      </c>
    </row>
    <row r="2938" spans="1:12" hidden="1" x14ac:dyDescent="0.25">
      <c r="A2938" s="49"/>
      <c r="B2938" s="49"/>
      <c r="C2938" s="49"/>
      <c r="D2938" s="50" t="str">
        <f t="shared" si="225"/>
        <v/>
      </c>
      <c r="E2938" s="50" t="str">
        <f t="shared" si="226"/>
        <v/>
      </c>
      <c r="F2938" s="50" t="str">
        <f t="shared" si="227"/>
        <v/>
      </c>
      <c r="G2938" s="50" t="str">
        <f t="shared" si="228"/>
        <v/>
      </c>
      <c r="H2938" s="51" t="str">
        <f>IF($C2938="","",IFERROR(DATE(G2938,VLOOKUP(E2938,Paramètres!$K$11:$L$40,2,FALSE()),F2938),"?"))</f>
        <v/>
      </c>
      <c r="I2938" s="50" t="str">
        <f>IF(ISNUMBER(H2938),IF(COUNTIFS($D$2:D2938,D2938,$H$2:H2938,H2938)=1,1,0),"")</f>
        <v/>
      </c>
      <c r="J2938" s="50" t="str">
        <f>IF(ISNUMBER(H2938),IFERROR(INDEX(Calendrier!$C$2:$C$367,MATCH(H2938,Calendrier!$A$2:$A$367,0)),0),"")</f>
        <v/>
      </c>
      <c r="K2938" s="50" t="str">
        <f t="shared" si="229"/>
        <v/>
      </c>
      <c r="L2938" s="50" t="str">
        <f>IF(D2938="","",IF(COUNTIF(Paramètres!$A$11:$A$40,D2938)&gt;0,1,0))</f>
        <v/>
      </c>
    </row>
    <row r="2939" spans="1:12" hidden="1" x14ac:dyDescent="0.25">
      <c r="A2939" s="49"/>
      <c r="B2939" s="49"/>
      <c r="C2939" s="49"/>
      <c r="D2939" s="50" t="str">
        <f t="shared" si="225"/>
        <v/>
      </c>
      <c r="E2939" s="50" t="str">
        <f t="shared" si="226"/>
        <v/>
      </c>
      <c r="F2939" s="50" t="str">
        <f t="shared" si="227"/>
        <v/>
      </c>
      <c r="G2939" s="50" t="str">
        <f t="shared" si="228"/>
        <v/>
      </c>
      <c r="H2939" s="51" t="str">
        <f>IF($C2939="","",IFERROR(DATE(G2939,VLOOKUP(E2939,Paramètres!$K$11:$L$40,2,FALSE()),F2939),"?"))</f>
        <v/>
      </c>
      <c r="I2939" s="50" t="str">
        <f>IF(ISNUMBER(H2939),IF(COUNTIFS($D$2:D2939,D2939,$H$2:H2939,H2939)=1,1,0),"")</f>
        <v/>
      </c>
      <c r="J2939" s="50" t="str">
        <f>IF(ISNUMBER(H2939),IFERROR(INDEX(Calendrier!$C$2:$C$367,MATCH(H2939,Calendrier!$A$2:$A$367,0)),0),"")</f>
        <v/>
      </c>
      <c r="K2939" s="50" t="str">
        <f t="shared" si="229"/>
        <v/>
      </c>
      <c r="L2939" s="50" t="str">
        <f>IF(D2939="","",IF(COUNTIF(Paramètres!$A$11:$A$40,D2939)&gt;0,1,0))</f>
        <v/>
      </c>
    </row>
    <row r="2940" spans="1:12" hidden="1" x14ac:dyDescent="0.25">
      <c r="A2940" s="49"/>
      <c r="B2940" s="49"/>
      <c r="C2940" s="49"/>
      <c r="D2940" s="50" t="str">
        <f t="shared" si="225"/>
        <v/>
      </c>
      <c r="E2940" s="50" t="str">
        <f t="shared" si="226"/>
        <v/>
      </c>
      <c r="F2940" s="50" t="str">
        <f t="shared" si="227"/>
        <v/>
      </c>
      <c r="G2940" s="50" t="str">
        <f t="shared" si="228"/>
        <v/>
      </c>
      <c r="H2940" s="51" t="str">
        <f>IF($C2940="","",IFERROR(DATE(G2940,VLOOKUP(E2940,Paramètres!$K$11:$L$40,2,FALSE()),F2940),"?"))</f>
        <v/>
      </c>
      <c r="I2940" s="50" t="str">
        <f>IF(ISNUMBER(H2940),IF(COUNTIFS($D$2:D2940,D2940,$H$2:H2940,H2940)=1,1,0),"")</f>
        <v/>
      </c>
      <c r="J2940" s="50" t="str">
        <f>IF(ISNUMBER(H2940),IFERROR(INDEX(Calendrier!$C$2:$C$367,MATCH(H2940,Calendrier!$A$2:$A$367,0)),0),"")</f>
        <v/>
      </c>
      <c r="K2940" s="50" t="str">
        <f t="shared" si="229"/>
        <v/>
      </c>
      <c r="L2940" s="50" t="str">
        <f>IF(D2940="","",IF(COUNTIF(Paramètres!$A$11:$A$40,D2940)&gt;0,1,0))</f>
        <v/>
      </c>
    </row>
    <row r="2941" spans="1:12" hidden="1" x14ac:dyDescent="0.25">
      <c r="A2941" s="49"/>
      <c r="B2941" s="49"/>
      <c r="C2941" s="49"/>
      <c r="D2941" s="50" t="str">
        <f t="shared" si="225"/>
        <v/>
      </c>
      <c r="E2941" s="50" t="str">
        <f t="shared" si="226"/>
        <v/>
      </c>
      <c r="F2941" s="50" t="str">
        <f t="shared" si="227"/>
        <v/>
      </c>
      <c r="G2941" s="50" t="str">
        <f t="shared" si="228"/>
        <v/>
      </c>
      <c r="H2941" s="51" t="str">
        <f>IF($C2941="","",IFERROR(DATE(G2941,VLOOKUP(E2941,Paramètres!$K$11:$L$40,2,FALSE()),F2941),"?"))</f>
        <v/>
      </c>
      <c r="I2941" s="50" t="str">
        <f>IF(ISNUMBER(H2941),IF(COUNTIFS($D$2:D2941,D2941,$H$2:H2941,H2941)=1,1,0),"")</f>
        <v/>
      </c>
      <c r="J2941" s="50" t="str">
        <f>IF(ISNUMBER(H2941),IFERROR(INDEX(Calendrier!$C$2:$C$367,MATCH(H2941,Calendrier!$A$2:$A$367,0)),0),"")</f>
        <v/>
      </c>
      <c r="K2941" s="50" t="str">
        <f t="shared" si="229"/>
        <v/>
      </c>
      <c r="L2941" s="50" t="str">
        <f>IF(D2941="","",IF(COUNTIF(Paramètres!$A$11:$A$40,D2941)&gt;0,1,0))</f>
        <v/>
      </c>
    </row>
    <row r="2942" spans="1:12" hidden="1" x14ac:dyDescent="0.25">
      <c r="A2942" s="49"/>
      <c r="B2942" s="49"/>
      <c r="C2942" s="49"/>
      <c r="D2942" s="50" t="str">
        <f t="shared" si="225"/>
        <v/>
      </c>
      <c r="E2942" s="50" t="str">
        <f t="shared" si="226"/>
        <v/>
      </c>
      <c r="F2942" s="50" t="str">
        <f t="shared" si="227"/>
        <v/>
      </c>
      <c r="G2942" s="50" t="str">
        <f t="shared" si="228"/>
        <v/>
      </c>
      <c r="H2942" s="51" t="str">
        <f>IF($C2942="","",IFERROR(DATE(G2942,VLOOKUP(E2942,Paramètres!$K$11:$L$40,2,FALSE()),F2942),"?"))</f>
        <v/>
      </c>
      <c r="I2942" s="50" t="str">
        <f>IF(ISNUMBER(H2942),IF(COUNTIFS($D$2:D2942,D2942,$H$2:H2942,H2942)=1,1,0),"")</f>
        <v/>
      </c>
      <c r="J2942" s="50" t="str">
        <f>IF(ISNUMBER(H2942),IFERROR(INDEX(Calendrier!$C$2:$C$367,MATCH(H2942,Calendrier!$A$2:$A$367,0)),0),"")</f>
        <v/>
      </c>
      <c r="K2942" s="50" t="str">
        <f t="shared" si="229"/>
        <v/>
      </c>
      <c r="L2942" s="50" t="str">
        <f>IF(D2942="","",IF(COUNTIF(Paramètres!$A$11:$A$40,D2942)&gt;0,1,0))</f>
        <v/>
      </c>
    </row>
    <row r="2943" spans="1:12" hidden="1" x14ac:dyDescent="0.25">
      <c r="A2943" s="49"/>
      <c r="B2943" s="49"/>
      <c r="C2943" s="49"/>
      <c r="D2943" s="50" t="str">
        <f t="shared" si="225"/>
        <v/>
      </c>
      <c r="E2943" s="50" t="str">
        <f t="shared" si="226"/>
        <v/>
      </c>
      <c r="F2943" s="50" t="str">
        <f t="shared" si="227"/>
        <v/>
      </c>
      <c r="G2943" s="50" t="str">
        <f t="shared" si="228"/>
        <v/>
      </c>
      <c r="H2943" s="51" t="str">
        <f>IF($C2943="","",IFERROR(DATE(G2943,VLOOKUP(E2943,Paramètres!$K$11:$L$40,2,FALSE()),F2943),"?"))</f>
        <v/>
      </c>
      <c r="I2943" s="50" t="str">
        <f>IF(ISNUMBER(H2943),IF(COUNTIFS($D$2:D2943,D2943,$H$2:H2943,H2943)=1,1,0),"")</f>
        <v/>
      </c>
      <c r="J2943" s="50" t="str">
        <f>IF(ISNUMBER(H2943),IFERROR(INDEX(Calendrier!$C$2:$C$367,MATCH(H2943,Calendrier!$A$2:$A$367,0)),0),"")</f>
        <v/>
      </c>
      <c r="K2943" s="50" t="str">
        <f t="shared" si="229"/>
        <v/>
      </c>
      <c r="L2943" s="50" t="str">
        <f>IF(D2943="","",IF(COUNTIF(Paramètres!$A$11:$A$40,D2943)&gt;0,1,0))</f>
        <v/>
      </c>
    </row>
    <row r="2944" spans="1:12" hidden="1" x14ac:dyDescent="0.25">
      <c r="A2944" s="49"/>
      <c r="B2944" s="49"/>
      <c r="C2944" s="49"/>
      <c r="D2944" s="50" t="str">
        <f t="shared" si="225"/>
        <v/>
      </c>
      <c r="E2944" s="50" t="str">
        <f t="shared" si="226"/>
        <v/>
      </c>
      <c r="F2944" s="50" t="str">
        <f t="shared" si="227"/>
        <v/>
      </c>
      <c r="G2944" s="50" t="str">
        <f t="shared" si="228"/>
        <v/>
      </c>
      <c r="H2944" s="51" t="str">
        <f>IF($C2944="","",IFERROR(DATE(G2944,VLOOKUP(E2944,Paramètres!$K$11:$L$40,2,FALSE()),F2944),"?"))</f>
        <v/>
      </c>
      <c r="I2944" s="50" t="str">
        <f>IF(ISNUMBER(H2944),IF(COUNTIFS($D$2:D2944,D2944,$H$2:H2944,H2944)=1,1,0),"")</f>
        <v/>
      </c>
      <c r="J2944" s="50" t="str">
        <f>IF(ISNUMBER(H2944),IFERROR(INDEX(Calendrier!$C$2:$C$367,MATCH(H2944,Calendrier!$A$2:$A$367,0)),0),"")</f>
        <v/>
      </c>
      <c r="K2944" s="50" t="str">
        <f t="shared" si="229"/>
        <v/>
      </c>
      <c r="L2944" s="50" t="str">
        <f>IF(D2944="","",IF(COUNTIF(Paramètres!$A$11:$A$40,D2944)&gt;0,1,0))</f>
        <v/>
      </c>
    </row>
    <row r="2945" spans="1:12" hidden="1" x14ac:dyDescent="0.25">
      <c r="A2945" s="49"/>
      <c r="B2945" s="49"/>
      <c r="C2945" s="49"/>
      <c r="D2945" s="50" t="str">
        <f t="shared" si="225"/>
        <v/>
      </c>
      <c r="E2945" s="50" t="str">
        <f t="shared" si="226"/>
        <v/>
      </c>
      <c r="F2945" s="50" t="str">
        <f t="shared" si="227"/>
        <v/>
      </c>
      <c r="G2945" s="50" t="str">
        <f t="shared" si="228"/>
        <v/>
      </c>
      <c r="H2945" s="51" t="str">
        <f>IF($C2945="","",IFERROR(DATE(G2945,VLOOKUP(E2945,Paramètres!$K$11:$L$40,2,FALSE()),F2945),"?"))</f>
        <v/>
      </c>
      <c r="I2945" s="50" t="str">
        <f>IF(ISNUMBER(H2945),IF(COUNTIFS($D$2:D2945,D2945,$H$2:H2945,H2945)=1,1,0),"")</f>
        <v/>
      </c>
      <c r="J2945" s="50" t="str">
        <f>IF(ISNUMBER(H2945),IFERROR(INDEX(Calendrier!$C$2:$C$367,MATCH(H2945,Calendrier!$A$2:$A$367,0)),0),"")</f>
        <v/>
      </c>
      <c r="K2945" s="50" t="str">
        <f t="shared" si="229"/>
        <v/>
      </c>
      <c r="L2945" s="50" t="str">
        <f>IF(D2945="","",IF(COUNTIF(Paramètres!$A$11:$A$40,D2945)&gt;0,1,0))</f>
        <v/>
      </c>
    </row>
    <row r="2946" spans="1:12" hidden="1" x14ac:dyDescent="0.25">
      <c r="A2946" s="49"/>
      <c r="B2946" s="49"/>
      <c r="C2946" s="49"/>
      <c r="D2946" s="50" t="str">
        <f t="shared" ref="D2946:D3001" si="230">IF(B2946="","",TRIM(B2946))</f>
        <v/>
      </c>
      <c r="E2946" s="50" t="str">
        <f t="shared" ref="E2946:E3001" si="231">IF($C2946="","",LEFT($C2946,FIND(" ",$C2946)-1))</f>
        <v/>
      </c>
      <c r="F2946" s="50" t="str">
        <f t="shared" ref="F2946:F3001" si="232">IF($C2946="","",IFERROR(VALUE(LEFT(MID($C2946,FIND(" ",$C2946)+1,20),FIND(" ",MID($C2946,FIND(" ",$C2946)+1,20))-1)),"?"))</f>
        <v/>
      </c>
      <c r="G2946" s="50" t="str">
        <f t="shared" ref="G2946:G3001" si="233">IF($C2946="","",IFERROR(VALUE(MID(MID($C2946,FIND(" ",$C2946)+1,20),FIND(" ",MID($C2946,FIND(" ",$C2946)+1,20))+1,4)),"?"))</f>
        <v/>
      </c>
      <c r="H2946" s="51" t="str">
        <f>IF($C2946="","",IFERROR(DATE(G2946,VLOOKUP(E2946,Paramètres!$K$11:$L$40,2,FALSE()),F2946),"?"))</f>
        <v/>
      </c>
      <c r="I2946" s="50" t="str">
        <f>IF(ISNUMBER(H2946),IF(COUNTIFS($D$2:D2946,D2946,$H$2:H2946,H2946)=1,1,0),"")</f>
        <v/>
      </c>
      <c r="J2946" s="50" t="str">
        <f>IF(ISNUMBER(H2946),IFERROR(INDEX(Calendrier!$C$2:$C$367,MATCH(H2946,Calendrier!$A$2:$A$367,0)),0),"")</f>
        <v/>
      </c>
      <c r="K2946" s="50" t="str">
        <f t="shared" ref="K2946:K3009" si="234">IF(ISNUMBER(H2946),I2946*J2946,"")</f>
        <v/>
      </c>
      <c r="L2946" s="50" t="str">
        <f>IF(D2946="","",IF(COUNTIF(Paramètres!$A$11:$A$40,D2946)&gt;0,1,0))</f>
        <v/>
      </c>
    </row>
    <row r="2947" spans="1:12" hidden="1" x14ac:dyDescent="0.25">
      <c r="A2947" s="49"/>
      <c r="B2947" s="49"/>
      <c r="C2947" s="49"/>
      <c r="D2947" s="50" t="str">
        <f t="shared" si="230"/>
        <v/>
      </c>
      <c r="E2947" s="50" t="str">
        <f t="shared" si="231"/>
        <v/>
      </c>
      <c r="F2947" s="50" t="str">
        <f t="shared" si="232"/>
        <v/>
      </c>
      <c r="G2947" s="50" t="str">
        <f t="shared" si="233"/>
        <v/>
      </c>
      <c r="H2947" s="51" t="str">
        <f>IF($C2947="","",IFERROR(DATE(G2947,VLOOKUP(E2947,Paramètres!$K$11:$L$40,2,FALSE()),F2947),"?"))</f>
        <v/>
      </c>
      <c r="I2947" s="50" t="str">
        <f>IF(ISNUMBER(H2947),IF(COUNTIFS($D$2:D2947,D2947,$H$2:H2947,H2947)=1,1,0),"")</f>
        <v/>
      </c>
      <c r="J2947" s="50" t="str">
        <f>IF(ISNUMBER(H2947),IFERROR(INDEX(Calendrier!$C$2:$C$367,MATCH(H2947,Calendrier!$A$2:$A$367,0)),0),"")</f>
        <v/>
      </c>
      <c r="K2947" s="50" t="str">
        <f t="shared" si="234"/>
        <v/>
      </c>
      <c r="L2947" s="50" t="str">
        <f>IF(D2947="","",IF(COUNTIF(Paramètres!$A$11:$A$40,D2947)&gt;0,1,0))</f>
        <v/>
      </c>
    </row>
    <row r="2948" spans="1:12" hidden="1" x14ac:dyDescent="0.25">
      <c r="A2948" s="49"/>
      <c r="B2948" s="49"/>
      <c r="C2948" s="49"/>
      <c r="D2948" s="50" t="str">
        <f t="shared" si="230"/>
        <v/>
      </c>
      <c r="E2948" s="50" t="str">
        <f t="shared" si="231"/>
        <v/>
      </c>
      <c r="F2948" s="50" t="str">
        <f t="shared" si="232"/>
        <v/>
      </c>
      <c r="G2948" s="50" t="str">
        <f t="shared" si="233"/>
        <v/>
      </c>
      <c r="H2948" s="51" t="str">
        <f>IF($C2948="","",IFERROR(DATE(G2948,VLOOKUP(E2948,Paramètres!$K$11:$L$40,2,FALSE()),F2948),"?"))</f>
        <v/>
      </c>
      <c r="I2948" s="50" t="str">
        <f>IF(ISNUMBER(H2948),IF(COUNTIFS($D$2:D2948,D2948,$H$2:H2948,H2948)=1,1,0),"")</f>
        <v/>
      </c>
      <c r="J2948" s="50" t="str">
        <f>IF(ISNUMBER(H2948),IFERROR(INDEX(Calendrier!$C$2:$C$367,MATCH(H2948,Calendrier!$A$2:$A$367,0)),0),"")</f>
        <v/>
      </c>
      <c r="K2948" s="50" t="str">
        <f t="shared" si="234"/>
        <v/>
      </c>
      <c r="L2948" s="50" t="str">
        <f>IF(D2948="","",IF(COUNTIF(Paramètres!$A$11:$A$40,D2948)&gt;0,1,0))</f>
        <v/>
      </c>
    </row>
    <row r="2949" spans="1:12" hidden="1" x14ac:dyDescent="0.25">
      <c r="A2949" s="49"/>
      <c r="B2949" s="49"/>
      <c r="C2949" s="49"/>
      <c r="D2949" s="50" t="str">
        <f t="shared" si="230"/>
        <v/>
      </c>
      <c r="E2949" s="50" t="str">
        <f t="shared" si="231"/>
        <v/>
      </c>
      <c r="F2949" s="50" t="str">
        <f t="shared" si="232"/>
        <v/>
      </c>
      <c r="G2949" s="50" t="str">
        <f t="shared" si="233"/>
        <v/>
      </c>
      <c r="H2949" s="51" t="str">
        <f>IF($C2949="","",IFERROR(DATE(G2949,VLOOKUP(E2949,Paramètres!$K$11:$L$40,2,FALSE()),F2949),"?"))</f>
        <v/>
      </c>
      <c r="I2949" s="50" t="str">
        <f>IF(ISNUMBER(H2949),IF(COUNTIFS($D$2:D2949,D2949,$H$2:H2949,H2949)=1,1,0),"")</f>
        <v/>
      </c>
      <c r="J2949" s="50" t="str">
        <f>IF(ISNUMBER(H2949),IFERROR(INDEX(Calendrier!$C$2:$C$367,MATCH(H2949,Calendrier!$A$2:$A$367,0)),0),"")</f>
        <v/>
      </c>
      <c r="K2949" s="50" t="str">
        <f t="shared" si="234"/>
        <v/>
      </c>
      <c r="L2949" s="50" t="str">
        <f>IF(D2949="","",IF(COUNTIF(Paramètres!$A$11:$A$40,D2949)&gt;0,1,0))</f>
        <v/>
      </c>
    </row>
    <row r="2950" spans="1:12" hidden="1" x14ac:dyDescent="0.25">
      <c r="A2950" s="49"/>
      <c r="B2950" s="49"/>
      <c r="C2950" s="49"/>
      <c r="D2950" s="50" t="str">
        <f t="shared" si="230"/>
        <v/>
      </c>
      <c r="E2950" s="50" t="str">
        <f t="shared" si="231"/>
        <v/>
      </c>
      <c r="F2950" s="50" t="str">
        <f t="shared" si="232"/>
        <v/>
      </c>
      <c r="G2950" s="50" t="str">
        <f t="shared" si="233"/>
        <v/>
      </c>
      <c r="H2950" s="51" t="str">
        <f>IF($C2950="","",IFERROR(DATE(G2950,VLOOKUP(E2950,Paramètres!$K$11:$L$40,2,FALSE()),F2950),"?"))</f>
        <v/>
      </c>
      <c r="I2950" s="50" t="str">
        <f>IF(ISNUMBER(H2950),IF(COUNTIFS($D$2:D2950,D2950,$H$2:H2950,H2950)=1,1,0),"")</f>
        <v/>
      </c>
      <c r="J2950" s="50" t="str">
        <f>IF(ISNUMBER(H2950),IFERROR(INDEX(Calendrier!$C$2:$C$367,MATCH(H2950,Calendrier!$A$2:$A$367,0)),0),"")</f>
        <v/>
      </c>
      <c r="K2950" s="50" t="str">
        <f t="shared" si="234"/>
        <v/>
      </c>
      <c r="L2950" s="50" t="str">
        <f>IF(D2950="","",IF(COUNTIF(Paramètres!$A$11:$A$40,D2950)&gt;0,1,0))</f>
        <v/>
      </c>
    </row>
    <row r="2951" spans="1:12" hidden="1" x14ac:dyDescent="0.25">
      <c r="A2951" s="49"/>
      <c r="B2951" s="49"/>
      <c r="C2951" s="49"/>
      <c r="D2951" s="50" t="str">
        <f t="shared" si="230"/>
        <v/>
      </c>
      <c r="E2951" s="50" t="str">
        <f t="shared" si="231"/>
        <v/>
      </c>
      <c r="F2951" s="50" t="str">
        <f t="shared" si="232"/>
        <v/>
      </c>
      <c r="G2951" s="50" t="str">
        <f t="shared" si="233"/>
        <v/>
      </c>
      <c r="H2951" s="51" t="str">
        <f>IF($C2951="","",IFERROR(DATE(G2951,VLOOKUP(E2951,Paramètres!$K$11:$L$40,2,FALSE()),F2951),"?"))</f>
        <v/>
      </c>
      <c r="I2951" s="50" t="str">
        <f>IF(ISNUMBER(H2951),IF(COUNTIFS($D$2:D2951,D2951,$H$2:H2951,H2951)=1,1,0),"")</f>
        <v/>
      </c>
      <c r="J2951" s="50" t="str">
        <f>IF(ISNUMBER(H2951),IFERROR(INDEX(Calendrier!$C$2:$C$367,MATCH(H2951,Calendrier!$A$2:$A$367,0)),0),"")</f>
        <v/>
      </c>
      <c r="K2951" s="50" t="str">
        <f t="shared" si="234"/>
        <v/>
      </c>
      <c r="L2951" s="50" t="str">
        <f>IF(D2951="","",IF(COUNTIF(Paramètres!$A$11:$A$40,D2951)&gt;0,1,0))</f>
        <v/>
      </c>
    </row>
    <row r="2952" spans="1:12" hidden="1" x14ac:dyDescent="0.25">
      <c r="A2952" s="49"/>
      <c r="B2952" s="49"/>
      <c r="C2952" s="49"/>
      <c r="D2952" s="50" t="str">
        <f t="shared" si="230"/>
        <v/>
      </c>
      <c r="E2952" s="50" t="str">
        <f t="shared" si="231"/>
        <v/>
      </c>
      <c r="F2952" s="50" t="str">
        <f t="shared" si="232"/>
        <v/>
      </c>
      <c r="G2952" s="50" t="str">
        <f t="shared" si="233"/>
        <v/>
      </c>
      <c r="H2952" s="51" t="str">
        <f>IF($C2952="","",IFERROR(DATE(G2952,VLOOKUP(E2952,Paramètres!$K$11:$L$40,2,FALSE()),F2952),"?"))</f>
        <v/>
      </c>
      <c r="I2952" s="50" t="str">
        <f>IF(ISNUMBER(H2952),IF(COUNTIFS($D$2:D2952,D2952,$H$2:H2952,H2952)=1,1,0),"")</f>
        <v/>
      </c>
      <c r="J2952" s="50" t="str">
        <f>IF(ISNUMBER(H2952),IFERROR(INDEX(Calendrier!$C$2:$C$367,MATCH(H2952,Calendrier!$A$2:$A$367,0)),0),"")</f>
        <v/>
      </c>
      <c r="K2952" s="50" t="str">
        <f t="shared" si="234"/>
        <v/>
      </c>
      <c r="L2952" s="50" t="str">
        <f>IF(D2952="","",IF(COUNTIF(Paramètres!$A$11:$A$40,D2952)&gt;0,1,0))</f>
        <v/>
      </c>
    </row>
    <row r="2953" spans="1:12" hidden="1" x14ac:dyDescent="0.25">
      <c r="A2953" s="49"/>
      <c r="B2953" s="49"/>
      <c r="C2953" s="49"/>
      <c r="D2953" s="50" t="str">
        <f t="shared" si="230"/>
        <v/>
      </c>
      <c r="E2953" s="50" t="str">
        <f t="shared" si="231"/>
        <v/>
      </c>
      <c r="F2953" s="50" t="str">
        <f t="shared" si="232"/>
        <v/>
      </c>
      <c r="G2953" s="50" t="str">
        <f t="shared" si="233"/>
        <v/>
      </c>
      <c r="H2953" s="51" t="str">
        <f>IF($C2953="","",IFERROR(DATE(G2953,VLOOKUP(E2953,Paramètres!$K$11:$L$40,2,FALSE()),F2953),"?"))</f>
        <v/>
      </c>
      <c r="I2953" s="50" t="str">
        <f>IF(ISNUMBER(H2953),IF(COUNTIFS($D$2:D2953,D2953,$H$2:H2953,H2953)=1,1,0),"")</f>
        <v/>
      </c>
      <c r="J2953" s="50" t="str">
        <f>IF(ISNUMBER(H2953),IFERROR(INDEX(Calendrier!$C$2:$C$367,MATCH(H2953,Calendrier!$A$2:$A$367,0)),0),"")</f>
        <v/>
      </c>
      <c r="K2953" s="50" t="str">
        <f t="shared" si="234"/>
        <v/>
      </c>
      <c r="L2953" s="50" t="str">
        <f>IF(D2953="","",IF(COUNTIF(Paramètres!$A$11:$A$40,D2953)&gt;0,1,0))</f>
        <v/>
      </c>
    </row>
    <row r="2954" spans="1:12" hidden="1" x14ac:dyDescent="0.25">
      <c r="A2954" s="49"/>
      <c r="B2954" s="49"/>
      <c r="C2954" s="49"/>
      <c r="D2954" s="50" t="str">
        <f t="shared" si="230"/>
        <v/>
      </c>
      <c r="E2954" s="50" t="str">
        <f t="shared" si="231"/>
        <v/>
      </c>
      <c r="F2954" s="50" t="str">
        <f t="shared" si="232"/>
        <v/>
      </c>
      <c r="G2954" s="50" t="str">
        <f t="shared" si="233"/>
        <v/>
      </c>
      <c r="H2954" s="51" t="str">
        <f>IF($C2954="","",IFERROR(DATE(G2954,VLOOKUP(E2954,Paramètres!$K$11:$L$40,2,FALSE()),F2954),"?"))</f>
        <v/>
      </c>
      <c r="I2954" s="50" t="str">
        <f>IF(ISNUMBER(H2954),IF(COUNTIFS($D$2:D2954,D2954,$H$2:H2954,H2954)=1,1,0),"")</f>
        <v/>
      </c>
      <c r="J2954" s="50" t="str">
        <f>IF(ISNUMBER(H2954),IFERROR(INDEX(Calendrier!$C$2:$C$367,MATCH(H2954,Calendrier!$A$2:$A$367,0)),0),"")</f>
        <v/>
      </c>
      <c r="K2954" s="50" t="str">
        <f t="shared" si="234"/>
        <v/>
      </c>
      <c r="L2954" s="50" t="str">
        <f>IF(D2954="","",IF(COUNTIF(Paramètres!$A$11:$A$40,D2954)&gt;0,1,0))</f>
        <v/>
      </c>
    </row>
    <row r="2955" spans="1:12" hidden="1" x14ac:dyDescent="0.25">
      <c r="A2955" s="49"/>
      <c r="B2955" s="49"/>
      <c r="C2955" s="49"/>
      <c r="D2955" s="50" t="str">
        <f t="shared" si="230"/>
        <v/>
      </c>
      <c r="E2955" s="50" t="str">
        <f t="shared" si="231"/>
        <v/>
      </c>
      <c r="F2955" s="50" t="str">
        <f t="shared" si="232"/>
        <v/>
      </c>
      <c r="G2955" s="50" t="str">
        <f t="shared" si="233"/>
        <v/>
      </c>
      <c r="H2955" s="51" t="str">
        <f>IF($C2955="","",IFERROR(DATE(G2955,VLOOKUP(E2955,Paramètres!$K$11:$L$40,2,FALSE()),F2955),"?"))</f>
        <v/>
      </c>
      <c r="I2955" s="50" t="str">
        <f>IF(ISNUMBER(H2955),IF(COUNTIFS($D$2:D2955,D2955,$H$2:H2955,H2955)=1,1,0),"")</f>
        <v/>
      </c>
      <c r="J2955" s="50" t="str">
        <f>IF(ISNUMBER(H2955),IFERROR(INDEX(Calendrier!$C$2:$C$367,MATCH(H2955,Calendrier!$A$2:$A$367,0)),0),"")</f>
        <v/>
      </c>
      <c r="K2955" s="50" t="str">
        <f t="shared" si="234"/>
        <v/>
      </c>
      <c r="L2955" s="50" t="str">
        <f>IF(D2955="","",IF(COUNTIF(Paramètres!$A$11:$A$40,D2955)&gt;0,1,0))</f>
        <v/>
      </c>
    </row>
    <row r="2956" spans="1:12" hidden="1" x14ac:dyDescent="0.25">
      <c r="A2956" s="49"/>
      <c r="B2956" s="49"/>
      <c r="C2956" s="49"/>
      <c r="D2956" s="50" t="str">
        <f t="shared" si="230"/>
        <v/>
      </c>
      <c r="E2956" s="50" t="str">
        <f t="shared" si="231"/>
        <v/>
      </c>
      <c r="F2956" s="50" t="str">
        <f t="shared" si="232"/>
        <v/>
      </c>
      <c r="G2956" s="50" t="str">
        <f t="shared" si="233"/>
        <v/>
      </c>
      <c r="H2956" s="51" t="str">
        <f>IF($C2956="","",IFERROR(DATE(G2956,VLOOKUP(E2956,Paramètres!$K$11:$L$40,2,FALSE()),F2956),"?"))</f>
        <v/>
      </c>
      <c r="I2956" s="50" t="str">
        <f>IF(ISNUMBER(H2956),IF(COUNTIFS($D$2:D2956,D2956,$H$2:H2956,H2956)=1,1,0),"")</f>
        <v/>
      </c>
      <c r="J2956" s="50" t="str">
        <f>IF(ISNUMBER(H2956),IFERROR(INDEX(Calendrier!$C$2:$C$367,MATCH(H2956,Calendrier!$A$2:$A$367,0)),0),"")</f>
        <v/>
      </c>
      <c r="K2956" s="50" t="str">
        <f t="shared" si="234"/>
        <v/>
      </c>
      <c r="L2956" s="50" t="str">
        <f>IF(D2956="","",IF(COUNTIF(Paramètres!$A$11:$A$40,D2956)&gt;0,1,0))</f>
        <v/>
      </c>
    </row>
    <row r="2957" spans="1:12" hidden="1" x14ac:dyDescent="0.25">
      <c r="A2957" s="49"/>
      <c r="B2957" s="49"/>
      <c r="C2957" s="49"/>
      <c r="D2957" s="50" t="str">
        <f t="shared" si="230"/>
        <v/>
      </c>
      <c r="E2957" s="50" t="str">
        <f t="shared" si="231"/>
        <v/>
      </c>
      <c r="F2957" s="50" t="str">
        <f t="shared" si="232"/>
        <v/>
      </c>
      <c r="G2957" s="50" t="str">
        <f t="shared" si="233"/>
        <v/>
      </c>
      <c r="H2957" s="51" t="str">
        <f>IF($C2957="","",IFERROR(DATE(G2957,VLOOKUP(E2957,Paramètres!$K$11:$L$40,2,FALSE()),F2957),"?"))</f>
        <v/>
      </c>
      <c r="I2957" s="50" t="str">
        <f>IF(ISNUMBER(H2957),IF(COUNTIFS($D$2:D2957,D2957,$H$2:H2957,H2957)=1,1,0),"")</f>
        <v/>
      </c>
      <c r="J2957" s="50" t="str">
        <f>IF(ISNUMBER(H2957),IFERROR(INDEX(Calendrier!$C$2:$C$367,MATCH(H2957,Calendrier!$A$2:$A$367,0)),0),"")</f>
        <v/>
      </c>
      <c r="K2957" s="50" t="str">
        <f t="shared" si="234"/>
        <v/>
      </c>
      <c r="L2957" s="50" t="str">
        <f>IF(D2957="","",IF(COUNTIF(Paramètres!$A$11:$A$40,D2957)&gt;0,1,0))</f>
        <v/>
      </c>
    </row>
    <row r="2958" spans="1:12" hidden="1" x14ac:dyDescent="0.25">
      <c r="A2958" s="49"/>
      <c r="B2958" s="49"/>
      <c r="C2958" s="49"/>
      <c r="D2958" s="50" t="str">
        <f t="shared" si="230"/>
        <v/>
      </c>
      <c r="E2958" s="50" t="str">
        <f t="shared" si="231"/>
        <v/>
      </c>
      <c r="F2958" s="50" t="str">
        <f t="shared" si="232"/>
        <v/>
      </c>
      <c r="G2958" s="50" t="str">
        <f t="shared" si="233"/>
        <v/>
      </c>
      <c r="H2958" s="51" t="str">
        <f>IF($C2958="","",IFERROR(DATE(G2958,VLOOKUP(E2958,Paramètres!$K$11:$L$40,2,FALSE()),F2958),"?"))</f>
        <v/>
      </c>
      <c r="I2958" s="50" t="str">
        <f>IF(ISNUMBER(H2958),IF(COUNTIFS($D$2:D2958,D2958,$H$2:H2958,H2958)=1,1,0),"")</f>
        <v/>
      </c>
      <c r="J2958" s="50" t="str">
        <f>IF(ISNUMBER(H2958),IFERROR(INDEX(Calendrier!$C$2:$C$367,MATCH(H2958,Calendrier!$A$2:$A$367,0)),0),"")</f>
        <v/>
      </c>
      <c r="K2958" s="50" t="str">
        <f t="shared" si="234"/>
        <v/>
      </c>
      <c r="L2958" s="50" t="str">
        <f>IF(D2958="","",IF(COUNTIF(Paramètres!$A$11:$A$40,D2958)&gt;0,1,0))</f>
        <v/>
      </c>
    </row>
    <row r="2959" spans="1:12" hidden="1" x14ac:dyDescent="0.25">
      <c r="A2959" s="49"/>
      <c r="B2959" s="49"/>
      <c r="C2959" s="49"/>
      <c r="D2959" s="50" t="str">
        <f t="shared" si="230"/>
        <v/>
      </c>
      <c r="E2959" s="50" t="str">
        <f t="shared" si="231"/>
        <v/>
      </c>
      <c r="F2959" s="50" t="str">
        <f t="shared" si="232"/>
        <v/>
      </c>
      <c r="G2959" s="50" t="str">
        <f t="shared" si="233"/>
        <v/>
      </c>
      <c r="H2959" s="51" t="str">
        <f>IF($C2959="","",IFERROR(DATE(G2959,VLOOKUP(E2959,Paramètres!$K$11:$L$40,2,FALSE()),F2959),"?"))</f>
        <v/>
      </c>
      <c r="I2959" s="50" t="str">
        <f>IF(ISNUMBER(H2959),IF(COUNTIFS($D$2:D2959,D2959,$H$2:H2959,H2959)=1,1,0),"")</f>
        <v/>
      </c>
      <c r="J2959" s="50" t="str">
        <f>IF(ISNUMBER(H2959),IFERROR(INDEX(Calendrier!$C$2:$C$367,MATCH(H2959,Calendrier!$A$2:$A$367,0)),0),"")</f>
        <v/>
      </c>
      <c r="K2959" s="50" t="str">
        <f t="shared" si="234"/>
        <v/>
      </c>
      <c r="L2959" s="50" t="str">
        <f>IF(D2959="","",IF(COUNTIF(Paramètres!$A$11:$A$40,D2959)&gt;0,1,0))</f>
        <v/>
      </c>
    </row>
    <row r="2960" spans="1:12" hidden="1" x14ac:dyDescent="0.25">
      <c r="A2960" s="49"/>
      <c r="B2960" s="49"/>
      <c r="C2960" s="49"/>
      <c r="D2960" s="50" t="str">
        <f t="shared" si="230"/>
        <v/>
      </c>
      <c r="E2960" s="50" t="str">
        <f t="shared" si="231"/>
        <v/>
      </c>
      <c r="F2960" s="50" t="str">
        <f t="shared" si="232"/>
        <v/>
      </c>
      <c r="G2960" s="50" t="str">
        <f t="shared" si="233"/>
        <v/>
      </c>
      <c r="H2960" s="51" t="str">
        <f>IF($C2960="","",IFERROR(DATE(G2960,VLOOKUP(E2960,Paramètres!$K$11:$L$40,2,FALSE()),F2960),"?"))</f>
        <v/>
      </c>
      <c r="I2960" s="50" t="str">
        <f>IF(ISNUMBER(H2960),IF(COUNTIFS($D$2:D2960,D2960,$H$2:H2960,H2960)=1,1,0),"")</f>
        <v/>
      </c>
      <c r="J2960" s="50" t="str">
        <f>IF(ISNUMBER(H2960),IFERROR(INDEX(Calendrier!$C$2:$C$367,MATCH(H2960,Calendrier!$A$2:$A$367,0)),0),"")</f>
        <v/>
      </c>
      <c r="K2960" s="50" t="str">
        <f t="shared" si="234"/>
        <v/>
      </c>
      <c r="L2960" s="50" t="str">
        <f>IF(D2960="","",IF(COUNTIF(Paramètres!$A$11:$A$40,D2960)&gt;0,1,0))</f>
        <v/>
      </c>
    </row>
    <row r="2961" spans="1:12" hidden="1" x14ac:dyDescent="0.25">
      <c r="A2961" s="49"/>
      <c r="B2961" s="49"/>
      <c r="C2961" s="49"/>
      <c r="D2961" s="50" t="str">
        <f t="shared" si="230"/>
        <v/>
      </c>
      <c r="E2961" s="50" t="str">
        <f t="shared" si="231"/>
        <v/>
      </c>
      <c r="F2961" s="50" t="str">
        <f t="shared" si="232"/>
        <v/>
      </c>
      <c r="G2961" s="50" t="str">
        <f t="shared" si="233"/>
        <v/>
      </c>
      <c r="H2961" s="51" t="str">
        <f>IF($C2961="","",IFERROR(DATE(G2961,VLOOKUP(E2961,Paramètres!$K$11:$L$40,2,FALSE()),F2961),"?"))</f>
        <v/>
      </c>
      <c r="I2961" s="50" t="str">
        <f>IF(ISNUMBER(H2961),IF(COUNTIFS($D$2:D2961,D2961,$H$2:H2961,H2961)=1,1,0),"")</f>
        <v/>
      </c>
      <c r="J2961" s="50" t="str">
        <f>IF(ISNUMBER(H2961),IFERROR(INDEX(Calendrier!$C$2:$C$367,MATCH(H2961,Calendrier!$A$2:$A$367,0)),0),"")</f>
        <v/>
      </c>
      <c r="K2961" s="50" t="str">
        <f t="shared" si="234"/>
        <v/>
      </c>
      <c r="L2961" s="50" t="str">
        <f>IF(D2961="","",IF(COUNTIF(Paramètres!$A$11:$A$40,D2961)&gt;0,1,0))</f>
        <v/>
      </c>
    </row>
    <row r="2962" spans="1:12" hidden="1" x14ac:dyDescent="0.25">
      <c r="A2962" s="49"/>
      <c r="B2962" s="49"/>
      <c r="C2962" s="49"/>
      <c r="D2962" s="50" t="str">
        <f t="shared" si="230"/>
        <v/>
      </c>
      <c r="E2962" s="50" t="str">
        <f t="shared" si="231"/>
        <v/>
      </c>
      <c r="F2962" s="50" t="str">
        <f t="shared" si="232"/>
        <v/>
      </c>
      <c r="G2962" s="50" t="str">
        <f t="shared" si="233"/>
        <v/>
      </c>
      <c r="H2962" s="51" t="str">
        <f>IF($C2962="","",IFERROR(DATE(G2962,VLOOKUP(E2962,Paramètres!$K$11:$L$40,2,FALSE()),F2962),"?"))</f>
        <v/>
      </c>
      <c r="I2962" s="50" t="str">
        <f>IF(ISNUMBER(H2962),IF(COUNTIFS($D$2:D2962,D2962,$H$2:H2962,H2962)=1,1,0),"")</f>
        <v/>
      </c>
      <c r="J2962" s="50" t="str">
        <f>IF(ISNUMBER(H2962),IFERROR(INDEX(Calendrier!$C$2:$C$367,MATCH(H2962,Calendrier!$A$2:$A$367,0)),0),"")</f>
        <v/>
      </c>
      <c r="K2962" s="50" t="str">
        <f t="shared" si="234"/>
        <v/>
      </c>
      <c r="L2962" s="50" t="str">
        <f>IF(D2962="","",IF(COUNTIF(Paramètres!$A$11:$A$40,D2962)&gt;0,1,0))</f>
        <v/>
      </c>
    </row>
    <row r="2963" spans="1:12" hidden="1" x14ac:dyDescent="0.25">
      <c r="A2963" s="49"/>
      <c r="B2963" s="49"/>
      <c r="C2963" s="49"/>
      <c r="D2963" s="50" t="str">
        <f t="shared" si="230"/>
        <v/>
      </c>
      <c r="E2963" s="50" t="str">
        <f t="shared" si="231"/>
        <v/>
      </c>
      <c r="F2963" s="50" t="str">
        <f t="shared" si="232"/>
        <v/>
      </c>
      <c r="G2963" s="50" t="str">
        <f t="shared" si="233"/>
        <v/>
      </c>
      <c r="H2963" s="51" t="str">
        <f>IF($C2963="","",IFERROR(DATE(G2963,VLOOKUP(E2963,Paramètres!$K$11:$L$40,2,FALSE()),F2963),"?"))</f>
        <v/>
      </c>
      <c r="I2963" s="50" t="str">
        <f>IF(ISNUMBER(H2963),IF(COUNTIFS($D$2:D2963,D2963,$H$2:H2963,H2963)=1,1,0),"")</f>
        <v/>
      </c>
      <c r="J2963" s="50" t="str">
        <f>IF(ISNUMBER(H2963),IFERROR(INDEX(Calendrier!$C$2:$C$367,MATCH(H2963,Calendrier!$A$2:$A$367,0)),0),"")</f>
        <v/>
      </c>
      <c r="K2963" s="50" t="str">
        <f t="shared" si="234"/>
        <v/>
      </c>
      <c r="L2963" s="50" t="str">
        <f>IF(D2963="","",IF(COUNTIF(Paramètres!$A$11:$A$40,D2963)&gt;0,1,0))</f>
        <v/>
      </c>
    </row>
    <row r="2964" spans="1:12" hidden="1" x14ac:dyDescent="0.25">
      <c r="A2964" s="49"/>
      <c r="B2964" s="49"/>
      <c r="C2964" s="49"/>
      <c r="D2964" s="50" t="str">
        <f t="shared" si="230"/>
        <v/>
      </c>
      <c r="E2964" s="50" t="str">
        <f t="shared" si="231"/>
        <v/>
      </c>
      <c r="F2964" s="50" t="str">
        <f t="shared" si="232"/>
        <v/>
      </c>
      <c r="G2964" s="50" t="str">
        <f t="shared" si="233"/>
        <v/>
      </c>
      <c r="H2964" s="51" t="str">
        <f>IF($C2964="","",IFERROR(DATE(G2964,VLOOKUP(E2964,Paramètres!$K$11:$L$40,2,FALSE()),F2964),"?"))</f>
        <v/>
      </c>
      <c r="I2964" s="50" t="str">
        <f>IF(ISNUMBER(H2964),IF(COUNTIFS($D$2:D2964,D2964,$H$2:H2964,H2964)=1,1,0),"")</f>
        <v/>
      </c>
      <c r="J2964" s="50" t="str">
        <f>IF(ISNUMBER(H2964),IFERROR(INDEX(Calendrier!$C$2:$C$367,MATCH(H2964,Calendrier!$A$2:$A$367,0)),0),"")</f>
        <v/>
      </c>
      <c r="K2964" s="50" t="str">
        <f t="shared" si="234"/>
        <v/>
      </c>
      <c r="L2964" s="50" t="str">
        <f>IF(D2964="","",IF(COUNTIF(Paramètres!$A$11:$A$40,D2964)&gt;0,1,0))</f>
        <v/>
      </c>
    </row>
    <row r="2965" spans="1:12" hidden="1" x14ac:dyDescent="0.25">
      <c r="A2965" s="49"/>
      <c r="B2965" s="49"/>
      <c r="C2965" s="49"/>
      <c r="D2965" s="50" t="str">
        <f t="shared" si="230"/>
        <v/>
      </c>
      <c r="E2965" s="50" t="str">
        <f t="shared" si="231"/>
        <v/>
      </c>
      <c r="F2965" s="50" t="str">
        <f t="shared" si="232"/>
        <v/>
      </c>
      <c r="G2965" s="50" t="str">
        <f t="shared" si="233"/>
        <v/>
      </c>
      <c r="H2965" s="51" t="str">
        <f>IF($C2965="","",IFERROR(DATE(G2965,VLOOKUP(E2965,Paramètres!$K$11:$L$40,2,FALSE()),F2965),"?"))</f>
        <v/>
      </c>
      <c r="I2965" s="50" t="str">
        <f>IF(ISNUMBER(H2965),IF(COUNTIFS($D$2:D2965,D2965,$H$2:H2965,H2965)=1,1,0),"")</f>
        <v/>
      </c>
      <c r="J2965" s="50" t="str">
        <f>IF(ISNUMBER(H2965),IFERROR(INDEX(Calendrier!$C$2:$C$367,MATCH(H2965,Calendrier!$A$2:$A$367,0)),0),"")</f>
        <v/>
      </c>
      <c r="K2965" s="50" t="str">
        <f t="shared" si="234"/>
        <v/>
      </c>
      <c r="L2965" s="50" t="str">
        <f>IF(D2965="","",IF(COUNTIF(Paramètres!$A$11:$A$40,D2965)&gt;0,1,0))</f>
        <v/>
      </c>
    </row>
    <row r="2966" spans="1:12" hidden="1" x14ac:dyDescent="0.25">
      <c r="A2966" s="49"/>
      <c r="B2966" s="49"/>
      <c r="C2966" s="49"/>
      <c r="D2966" s="50" t="str">
        <f t="shared" si="230"/>
        <v/>
      </c>
      <c r="E2966" s="50" t="str">
        <f t="shared" si="231"/>
        <v/>
      </c>
      <c r="F2966" s="50" t="str">
        <f t="shared" si="232"/>
        <v/>
      </c>
      <c r="G2966" s="50" t="str">
        <f t="shared" si="233"/>
        <v/>
      </c>
      <c r="H2966" s="51" t="str">
        <f>IF($C2966="","",IFERROR(DATE(G2966,VLOOKUP(E2966,Paramètres!$K$11:$L$40,2,FALSE()),F2966),"?"))</f>
        <v/>
      </c>
      <c r="I2966" s="50" t="str">
        <f>IF(ISNUMBER(H2966),IF(COUNTIFS($D$2:D2966,D2966,$H$2:H2966,H2966)=1,1,0),"")</f>
        <v/>
      </c>
      <c r="J2966" s="50" t="str">
        <f>IF(ISNUMBER(H2966),IFERROR(INDEX(Calendrier!$C$2:$C$367,MATCH(H2966,Calendrier!$A$2:$A$367,0)),0),"")</f>
        <v/>
      </c>
      <c r="K2966" s="50" t="str">
        <f t="shared" si="234"/>
        <v/>
      </c>
      <c r="L2966" s="50" t="str">
        <f>IF(D2966="","",IF(COUNTIF(Paramètres!$A$11:$A$40,D2966)&gt;0,1,0))</f>
        <v/>
      </c>
    </row>
    <row r="2967" spans="1:12" hidden="1" x14ac:dyDescent="0.25">
      <c r="A2967" s="49"/>
      <c r="B2967" s="49"/>
      <c r="C2967" s="49"/>
      <c r="D2967" s="50" t="str">
        <f t="shared" si="230"/>
        <v/>
      </c>
      <c r="E2967" s="50" t="str">
        <f t="shared" si="231"/>
        <v/>
      </c>
      <c r="F2967" s="50" t="str">
        <f t="shared" si="232"/>
        <v/>
      </c>
      <c r="G2967" s="50" t="str">
        <f t="shared" si="233"/>
        <v/>
      </c>
      <c r="H2967" s="51" t="str">
        <f>IF($C2967="","",IFERROR(DATE(G2967,VLOOKUP(E2967,Paramètres!$K$11:$L$40,2,FALSE()),F2967),"?"))</f>
        <v/>
      </c>
      <c r="I2967" s="50" t="str">
        <f>IF(ISNUMBER(H2967),IF(COUNTIFS($D$2:D2967,D2967,$H$2:H2967,H2967)=1,1,0),"")</f>
        <v/>
      </c>
      <c r="J2967" s="50" t="str">
        <f>IF(ISNUMBER(H2967),IFERROR(INDEX(Calendrier!$C$2:$C$367,MATCH(H2967,Calendrier!$A$2:$A$367,0)),0),"")</f>
        <v/>
      </c>
      <c r="K2967" s="50" t="str">
        <f t="shared" si="234"/>
        <v/>
      </c>
      <c r="L2967" s="50" t="str">
        <f>IF(D2967="","",IF(COUNTIF(Paramètres!$A$11:$A$40,D2967)&gt;0,1,0))</f>
        <v/>
      </c>
    </row>
    <row r="2968" spans="1:12" hidden="1" x14ac:dyDescent="0.25">
      <c r="A2968" s="49"/>
      <c r="B2968" s="49"/>
      <c r="C2968" s="49"/>
      <c r="D2968" s="50" t="str">
        <f t="shared" si="230"/>
        <v/>
      </c>
      <c r="E2968" s="50" t="str">
        <f t="shared" si="231"/>
        <v/>
      </c>
      <c r="F2968" s="50" t="str">
        <f t="shared" si="232"/>
        <v/>
      </c>
      <c r="G2968" s="50" t="str">
        <f t="shared" si="233"/>
        <v/>
      </c>
      <c r="H2968" s="51" t="str">
        <f>IF($C2968="","",IFERROR(DATE(G2968,VLOOKUP(E2968,Paramètres!$K$11:$L$40,2,FALSE()),F2968),"?"))</f>
        <v/>
      </c>
      <c r="I2968" s="50" t="str">
        <f>IF(ISNUMBER(H2968),IF(COUNTIFS($D$2:D2968,D2968,$H$2:H2968,H2968)=1,1,0),"")</f>
        <v/>
      </c>
      <c r="J2968" s="50" t="str">
        <f>IF(ISNUMBER(H2968),IFERROR(INDEX(Calendrier!$C$2:$C$367,MATCH(H2968,Calendrier!$A$2:$A$367,0)),0),"")</f>
        <v/>
      </c>
      <c r="K2968" s="50" t="str">
        <f t="shared" si="234"/>
        <v/>
      </c>
      <c r="L2968" s="50" t="str">
        <f>IF(D2968="","",IF(COUNTIF(Paramètres!$A$11:$A$40,D2968)&gt;0,1,0))</f>
        <v/>
      </c>
    </row>
    <row r="2969" spans="1:12" hidden="1" x14ac:dyDescent="0.25">
      <c r="A2969" s="49"/>
      <c r="B2969" s="49"/>
      <c r="C2969" s="49"/>
      <c r="D2969" s="50" t="str">
        <f t="shared" si="230"/>
        <v/>
      </c>
      <c r="E2969" s="50" t="str">
        <f t="shared" si="231"/>
        <v/>
      </c>
      <c r="F2969" s="50" t="str">
        <f t="shared" si="232"/>
        <v/>
      </c>
      <c r="G2969" s="50" t="str">
        <f t="shared" si="233"/>
        <v/>
      </c>
      <c r="H2969" s="51" t="str">
        <f>IF($C2969="","",IFERROR(DATE(G2969,VLOOKUP(E2969,Paramètres!$K$11:$L$40,2,FALSE()),F2969),"?"))</f>
        <v/>
      </c>
      <c r="I2969" s="50" t="str">
        <f>IF(ISNUMBER(H2969),IF(COUNTIFS($D$2:D2969,D2969,$H$2:H2969,H2969)=1,1,0),"")</f>
        <v/>
      </c>
      <c r="J2969" s="50" t="str">
        <f>IF(ISNUMBER(H2969),IFERROR(INDEX(Calendrier!$C$2:$C$367,MATCH(H2969,Calendrier!$A$2:$A$367,0)),0),"")</f>
        <v/>
      </c>
      <c r="K2969" s="50" t="str">
        <f t="shared" si="234"/>
        <v/>
      </c>
      <c r="L2969" s="50" t="str">
        <f>IF(D2969="","",IF(COUNTIF(Paramètres!$A$11:$A$40,D2969)&gt;0,1,0))</f>
        <v/>
      </c>
    </row>
    <row r="2970" spans="1:12" hidden="1" x14ac:dyDescent="0.25">
      <c r="A2970" s="49"/>
      <c r="B2970" s="49"/>
      <c r="C2970" s="49"/>
      <c r="D2970" s="50" t="str">
        <f t="shared" si="230"/>
        <v/>
      </c>
      <c r="E2970" s="50" t="str">
        <f t="shared" si="231"/>
        <v/>
      </c>
      <c r="F2970" s="50" t="str">
        <f t="shared" si="232"/>
        <v/>
      </c>
      <c r="G2970" s="50" t="str">
        <f t="shared" si="233"/>
        <v/>
      </c>
      <c r="H2970" s="51" t="str">
        <f>IF($C2970="","",IFERROR(DATE(G2970,VLOOKUP(E2970,Paramètres!$K$11:$L$40,2,FALSE()),F2970),"?"))</f>
        <v/>
      </c>
      <c r="I2970" s="50" t="str">
        <f>IF(ISNUMBER(H2970),IF(COUNTIFS($D$2:D2970,D2970,$H$2:H2970,H2970)=1,1,0),"")</f>
        <v/>
      </c>
      <c r="J2970" s="50" t="str">
        <f>IF(ISNUMBER(H2970),IFERROR(INDEX(Calendrier!$C$2:$C$367,MATCH(H2970,Calendrier!$A$2:$A$367,0)),0),"")</f>
        <v/>
      </c>
      <c r="K2970" s="50" t="str">
        <f t="shared" si="234"/>
        <v/>
      </c>
      <c r="L2970" s="50" t="str">
        <f>IF(D2970="","",IF(COUNTIF(Paramètres!$A$11:$A$40,D2970)&gt;0,1,0))</f>
        <v/>
      </c>
    </row>
    <row r="2971" spans="1:12" hidden="1" x14ac:dyDescent="0.25">
      <c r="A2971" s="49"/>
      <c r="B2971" s="49"/>
      <c r="C2971" s="49"/>
      <c r="D2971" s="50" t="str">
        <f t="shared" si="230"/>
        <v/>
      </c>
      <c r="E2971" s="50" t="str">
        <f t="shared" si="231"/>
        <v/>
      </c>
      <c r="F2971" s="50" t="str">
        <f t="shared" si="232"/>
        <v/>
      </c>
      <c r="G2971" s="50" t="str">
        <f t="shared" si="233"/>
        <v/>
      </c>
      <c r="H2971" s="51" t="str">
        <f>IF($C2971="","",IFERROR(DATE(G2971,VLOOKUP(E2971,Paramètres!$K$11:$L$40,2,FALSE()),F2971),"?"))</f>
        <v/>
      </c>
      <c r="I2971" s="50" t="str">
        <f>IF(ISNUMBER(H2971),IF(COUNTIFS($D$2:D2971,D2971,$H$2:H2971,H2971)=1,1,0),"")</f>
        <v/>
      </c>
      <c r="J2971" s="50" t="str">
        <f>IF(ISNUMBER(H2971),IFERROR(INDEX(Calendrier!$C$2:$C$367,MATCH(H2971,Calendrier!$A$2:$A$367,0)),0),"")</f>
        <v/>
      </c>
      <c r="K2971" s="50" t="str">
        <f t="shared" si="234"/>
        <v/>
      </c>
      <c r="L2971" s="50" t="str">
        <f>IF(D2971="","",IF(COUNTIF(Paramètres!$A$11:$A$40,D2971)&gt;0,1,0))</f>
        <v/>
      </c>
    </row>
    <row r="2972" spans="1:12" hidden="1" x14ac:dyDescent="0.25">
      <c r="A2972" s="49"/>
      <c r="B2972" s="49"/>
      <c r="C2972" s="49"/>
      <c r="D2972" s="50" t="str">
        <f t="shared" si="230"/>
        <v/>
      </c>
      <c r="E2972" s="50" t="str">
        <f t="shared" si="231"/>
        <v/>
      </c>
      <c r="F2972" s="50" t="str">
        <f t="shared" si="232"/>
        <v/>
      </c>
      <c r="G2972" s="50" t="str">
        <f t="shared" si="233"/>
        <v/>
      </c>
      <c r="H2972" s="51" t="str">
        <f>IF($C2972="","",IFERROR(DATE(G2972,VLOOKUP(E2972,Paramètres!$K$11:$L$40,2,FALSE()),F2972),"?"))</f>
        <v/>
      </c>
      <c r="I2972" s="50" t="str">
        <f>IF(ISNUMBER(H2972),IF(COUNTIFS($D$2:D2972,D2972,$H$2:H2972,H2972)=1,1,0),"")</f>
        <v/>
      </c>
      <c r="J2972" s="50" t="str">
        <f>IF(ISNUMBER(H2972),IFERROR(INDEX(Calendrier!$C$2:$C$367,MATCH(H2972,Calendrier!$A$2:$A$367,0)),0),"")</f>
        <v/>
      </c>
      <c r="K2972" s="50" t="str">
        <f t="shared" si="234"/>
        <v/>
      </c>
      <c r="L2972" s="50" t="str">
        <f>IF(D2972="","",IF(COUNTIF(Paramètres!$A$11:$A$40,D2972)&gt;0,1,0))</f>
        <v/>
      </c>
    </row>
    <row r="2973" spans="1:12" hidden="1" x14ac:dyDescent="0.25">
      <c r="A2973" s="49"/>
      <c r="B2973" s="49"/>
      <c r="C2973" s="49"/>
      <c r="D2973" s="50" t="str">
        <f t="shared" si="230"/>
        <v/>
      </c>
      <c r="E2973" s="50" t="str">
        <f t="shared" si="231"/>
        <v/>
      </c>
      <c r="F2973" s="50" t="str">
        <f t="shared" si="232"/>
        <v/>
      </c>
      <c r="G2973" s="50" t="str">
        <f t="shared" si="233"/>
        <v/>
      </c>
      <c r="H2973" s="51" t="str">
        <f>IF($C2973="","",IFERROR(DATE(G2973,VLOOKUP(E2973,Paramètres!$K$11:$L$40,2,FALSE()),F2973),"?"))</f>
        <v/>
      </c>
      <c r="I2973" s="50" t="str">
        <f>IF(ISNUMBER(H2973),IF(COUNTIFS($D$2:D2973,D2973,$H$2:H2973,H2973)=1,1,0),"")</f>
        <v/>
      </c>
      <c r="J2973" s="50" t="str">
        <f>IF(ISNUMBER(H2973),IFERROR(INDEX(Calendrier!$C$2:$C$367,MATCH(H2973,Calendrier!$A$2:$A$367,0)),0),"")</f>
        <v/>
      </c>
      <c r="K2973" s="50" t="str">
        <f t="shared" si="234"/>
        <v/>
      </c>
      <c r="L2973" s="50" t="str">
        <f>IF(D2973="","",IF(COUNTIF(Paramètres!$A$11:$A$40,D2973)&gt;0,1,0))</f>
        <v/>
      </c>
    </row>
    <row r="2974" spans="1:12" hidden="1" x14ac:dyDescent="0.25">
      <c r="A2974" s="49"/>
      <c r="B2974" s="49"/>
      <c r="C2974" s="49"/>
      <c r="D2974" s="50" t="str">
        <f t="shared" si="230"/>
        <v/>
      </c>
      <c r="E2974" s="50" t="str">
        <f t="shared" si="231"/>
        <v/>
      </c>
      <c r="F2974" s="50" t="str">
        <f t="shared" si="232"/>
        <v/>
      </c>
      <c r="G2974" s="50" t="str">
        <f t="shared" si="233"/>
        <v/>
      </c>
      <c r="H2974" s="51" t="str">
        <f>IF($C2974="","",IFERROR(DATE(G2974,VLOOKUP(E2974,Paramètres!$K$11:$L$40,2,FALSE()),F2974),"?"))</f>
        <v/>
      </c>
      <c r="I2974" s="50" t="str">
        <f>IF(ISNUMBER(H2974),IF(COUNTIFS($D$2:D2974,D2974,$H$2:H2974,H2974)=1,1,0),"")</f>
        <v/>
      </c>
      <c r="J2974" s="50" t="str">
        <f>IF(ISNUMBER(H2974),IFERROR(INDEX(Calendrier!$C$2:$C$367,MATCH(H2974,Calendrier!$A$2:$A$367,0)),0),"")</f>
        <v/>
      </c>
      <c r="K2974" s="50" t="str">
        <f t="shared" si="234"/>
        <v/>
      </c>
      <c r="L2974" s="50" t="str">
        <f>IF(D2974="","",IF(COUNTIF(Paramètres!$A$11:$A$40,D2974)&gt;0,1,0))</f>
        <v/>
      </c>
    </row>
    <row r="2975" spans="1:12" hidden="1" x14ac:dyDescent="0.25">
      <c r="A2975" s="49"/>
      <c r="B2975" s="49"/>
      <c r="C2975" s="49"/>
      <c r="D2975" s="50" t="str">
        <f t="shared" si="230"/>
        <v/>
      </c>
      <c r="E2975" s="50" t="str">
        <f t="shared" si="231"/>
        <v/>
      </c>
      <c r="F2975" s="50" t="str">
        <f t="shared" si="232"/>
        <v/>
      </c>
      <c r="G2975" s="50" t="str">
        <f t="shared" si="233"/>
        <v/>
      </c>
      <c r="H2975" s="51" t="str">
        <f>IF($C2975="","",IFERROR(DATE(G2975,VLOOKUP(E2975,Paramètres!$K$11:$L$40,2,FALSE()),F2975),"?"))</f>
        <v/>
      </c>
      <c r="I2975" s="50" t="str">
        <f>IF(ISNUMBER(H2975),IF(COUNTIFS($D$2:D2975,D2975,$H$2:H2975,H2975)=1,1,0),"")</f>
        <v/>
      </c>
      <c r="J2975" s="50" t="str">
        <f>IF(ISNUMBER(H2975),IFERROR(INDEX(Calendrier!$C$2:$C$367,MATCH(H2975,Calendrier!$A$2:$A$367,0)),0),"")</f>
        <v/>
      </c>
      <c r="K2975" s="50" t="str">
        <f t="shared" si="234"/>
        <v/>
      </c>
      <c r="L2975" s="50" t="str">
        <f>IF(D2975="","",IF(COUNTIF(Paramètres!$A$11:$A$40,D2975)&gt;0,1,0))</f>
        <v/>
      </c>
    </row>
    <row r="2976" spans="1:12" hidden="1" x14ac:dyDescent="0.25">
      <c r="A2976" s="49"/>
      <c r="B2976" s="49"/>
      <c r="C2976" s="49"/>
      <c r="D2976" s="50" t="str">
        <f t="shared" si="230"/>
        <v/>
      </c>
      <c r="E2976" s="50" t="str">
        <f t="shared" si="231"/>
        <v/>
      </c>
      <c r="F2976" s="50" t="str">
        <f t="shared" si="232"/>
        <v/>
      </c>
      <c r="G2976" s="50" t="str">
        <f t="shared" si="233"/>
        <v/>
      </c>
      <c r="H2976" s="51" t="str">
        <f>IF($C2976="","",IFERROR(DATE(G2976,VLOOKUP(E2976,Paramètres!$K$11:$L$40,2,FALSE()),F2976),"?"))</f>
        <v/>
      </c>
      <c r="I2976" s="50" t="str">
        <f>IF(ISNUMBER(H2976),IF(COUNTIFS($D$2:D2976,D2976,$H$2:H2976,H2976)=1,1,0),"")</f>
        <v/>
      </c>
      <c r="J2976" s="50" t="str">
        <f>IF(ISNUMBER(H2976),IFERROR(INDEX(Calendrier!$C$2:$C$367,MATCH(H2976,Calendrier!$A$2:$A$367,0)),0),"")</f>
        <v/>
      </c>
      <c r="K2976" s="50" t="str">
        <f t="shared" si="234"/>
        <v/>
      </c>
      <c r="L2976" s="50" t="str">
        <f>IF(D2976="","",IF(COUNTIF(Paramètres!$A$11:$A$40,D2976)&gt;0,1,0))</f>
        <v/>
      </c>
    </row>
    <row r="2977" spans="1:12" hidden="1" x14ac:dyDescent="0.25">
      <c r="A2977" s="49"/>
      <c r="B2977" s="49"/>
      <c r="C2977" s="49"/>
      <c r="D2977" s="50" t="str">
        <f t="shared" si="230"/>
        <v/>
      </c>
      <c r="E2977" s="50" t="str">
        <f t="shared" si="231"/>
        <v/>
      </c>
      <c r="F2977" s="50" t="str">
        <f t="shared" si="232"/>
        <v/>
      </c>
      <c r="G2977" s="50" t="str">
        <f t="shared" si="233"/>
        <v/>
      </c>
      <c r="H2977" s="51" t="str">
        <f>IF($C2977="","",IFERROR(DATE(G2977,VLOOKUP(E2977,Paramètres!$K$11:$L$40,2,FALSE()),F2977),"?"))</f>
        <v/>
      </c>
      <c r="I2977" s="50" t="str">
        <f>IF(ISNUMBER(H2977),IF(COUNTIFS($D$2:D2977,D2977,$H$2:H2977,H2977)=1,1,0),"")</f>
        <v/>
      </c>
      <c r="J2977" s="50" t="str">
        <f>IF(ISNUMBER(H2977),IFERROR(INDEX(Calendrier!$C$2:$C$367,MATCH(H2977,Calendrier!$A$2:$A$367,0)),0),"")</f>
        <v/>
      </c>
      <c r="K2977" s="50" t="str">
        <f t="shared" si="234"/>
        <v/>
      </c>
      <c r="L2977" s="50" t="str">
        <f>IF(D2977="","",IF(COUNTIF(Paramètres!$A$11:$A$40,D2977)&gt;0,1,0))</f>
        <v/>
      </c>
    </row>
    <row r="2978" spans="1:12" hidden="1" x14ac:dyDescent="0.25">
      <c r="A2978" s="49"/>
      <c r="B2978" s="49"/>
      <c r="C2978" s="49"/>
      <c r="D2978" s="50" t="str">
        <f t="shared" si="230"/>
        <v/>
      </c>
      <c r="E2978" s="50" t="str">
        <f t="shared" si="231"/>
        <v/>
      </c>
      <c r="F2978" s="50" t="str">
        <f t="shared" si="232"/>
        <v/>
      </c>
      <c r="G2978" s="50" t="str">
        <f t="shared" si="233"/>
        <v/>
      </c>
      <c r="H2978" s="51" t="str">
        <f>IF($C2978="","",IFERROR(DATE(G2978,VLOOKUP(E2978,Paramètres!$K$11:$L$40,2,FALSE()),F2978),"?"))</f>
        <v/>
      </c>
      <c r="I2978" s="50" t="str">
        <f>IF(ISNUMBER(H2978),IF(COUNTIFS($D$2:D2978,D2978,$H$2:H2978,H2978)=1,1,0),"")</f>
        <v/>
      </c>
      <c r="J2978" s="50" t="str">
        <f>IF(ISNUMBER(H2978),IFERROR(INDEX(Calendrier!$C$2:$C$367,MATCH(H2978,Calendrier!$A$2:$A$367,0)),0),"")</f>
        <v/>
      </c>
      <c r="K2978" s="50" t="str">
        <f t="shared" si="234"/>
        <v/>
      </c>
      <c r="L2978" s="50" t="str">
        <f>IF(D2978="","",IF(COUNTIF(Paramètres!$A$11:$A$40,D2978)&gt;0,1,0))</f>
        <v/>
      </c>
    </row>
    <row r="2979" spans="1:12" hidden="1" x14ac:dyDescent="0.25">
      <c r="A2979" s="49"/>
      <c r="B2979" s="49"/>
      <c r="C2979" s="49"/>
      <c r="D2979" s="50" t="str">
        <f t="shared" si="230"/>
        <v/>
      </c>
      <c r="E2979" s="50" t="str">
        <f t="shared" si="231"/>
        <v/>
      </c>
      <c r="F2979" s="50" t="str">
        <f t="shared" si="232"/>
        <v/>
      </c>
      <c r="G2979" s="50" t="str">
        <f t="shared" si="233"/>
        <v/>
      </c>
      <c r="H2979" s="51" t="str">
        <f>IF($C2979="","",IFERROR(DATE(G2979,VLOOKUP(E2979,Paramètres!$K$11:$L$40,2,FALSE()),F2979),"?"))</f>
        <v/>
      </c>
      <c r="I2979" s="50" t="str">
        <f>IF(ISNUMBER(H2979),IF(COUNTIFS($D$2:D2979,D2979,$H$2:H2979,H2979)=1,1,0),"")</f>
        <v/>
      </c>
      <c r="J2979" s="50" t="str">
        <f>IF(ISNUMBER(H2979),IFERROR(INDEX(Calendrier!$C$2:$C$367,MATCH(H2979,Calendrier!$A$2:$A$367,0)),0),"")</f>
        <v/>
      </c>
      <c r="K2979" s="50" t="str">
        <f t="shared" si="234"/>
        <v/>
      </c>
      <c r="L2979" s="50" t="str">
        <f>IF(D2979="","",IF(COUNTIF(Paramètres!$A$11:$A$40,D2979)&gt;0,1,0))</f>
        <v/>
      </c>
    </row>
    <row r="2980" spans="1:12" hidden="1" x14ac:dyDescent="0.25">
      <c r="A2980" s="49"/>
      <c r="B2980" s="49"/>
      <c r="C2980" s="49"/>
      <c r="D2980" s="50" t="str">
        <f t="shared" si="230"/>
        <v/>
      </c>
      <c r="E2980" s="50" t="str">
        <f t="shared" si="231"/>
        <v/>
      </c>
      <c r="F2980" s="50" t="str">
        <f t="shared" si="232"/>
        <v/>
      </c>
      <c r="G2980" s="50" t="str">
        <f t="shared" si="233"/>
        <v/>
      </c>
      <c r="H2980" s="51" t="str">
        <f>IF($C2980="","",IFERROR(DATE(G2980,VLOOKUP(E2980,Paramètres!$K$11:$L$40,2,FALSE()),F2980),"?"))</f>
        <v/>
      </c>
      <c r="I2980" s="50" t="str">
        <f>IF(ISNUMBER(H2980),IF(COUNTIFS($D$2:D2980,D2980,$H$2:H2980,H2980)=1,1,0),"")</f>
        <v/>
      </c>
      <c r="J2980" s="50" t="str">
        <f>IF(ISNUMBER(H2980),IFERROR(INDEX(Calendrier!$C$2:$C$367,MATCH(H2980,Calendrier!$A$2:$A$367,0)),0),"")</f>
        <v/>
      </c>
      <c r="K2980" s="50" t="str">
        <f t="shared" si="234"/>
        <v/>
      </c>
      <c r="L2980" s="50" t="str">
        <f>IF(D2980="","",IF(COUNTIF(Paramètres!$A$11:$A$40,D2980)&gt;0,1,0))</f>
        <v/>
      </c>
    </row>
    <row r="2981" spans="1:12" hidden="1" x14ac:dyDescent="0.25">
      <c r="A2981" s="49"/>
      <c r="B2981" s="49"/>
      <c r="C2981" s="49"/>
      <c r="D2981" s="50" t="str">
        <f t="shared" si="230"/>
        <v/>
      </c>
      <c r="E2981" s="50" t="str">
        <f t="shared" si="231"/>
        <v/>
      </c>
      <c r="F2981" s="50" t="str">
        <f t="shared" si="232"/>
        <v/>
      </c>
      <c r="G2981" s="50" t="str">
        <f t="shared" si="233"/>
        <v/>
      </c>
      <c r="H2981" s="51" t="str">
        <f>IF($C2981="","",IFERROR(DATE(G2981,VLOOKUP(E2981,Paramètres!$K$11:$L$40,2,FALSE()),F2981),"?"))</f>
        <v/>
      </c>
      <c r="I2981" s="50" t="str">
        <f>IF(ISNUMBER(H2981),IF(COUNTIFS($D$2:D2981,D2981,$H$2:H2981,H2981)=1,1,0),"")</f>
        <v/>
      </c>
      <c r="J2981" s="50" t="str">
        <f>IF(ISNUMBER(H2981),IFERROR(INDEX(Calendrier!$C$2:$C$367,MATCH(H2981,Calendrier!$A$2:$A$367,0)),0),"")</f>
        <v/>
      </c>
      <c r="K2981" s="50" t="str">
        <f t="shared" si="234"/>
        <v/>
      </c>
      <c r="L2981" s="50" t="str">
        <f>IF(D2981="","",IF(COUNTIF(Paramètres!$A$11:$A$40,D2981)&gt;0,1,0))</f>
        <v/>
      </c>
    </row>
    <row r="2982" spans="1:12" hidden="1" x14ac:dyDescent="0.25">
      <c r="A2982" s="49"/>
      <c r="B2982" s="49"/>
      <c r="C2982" s="49"/>
      <c r="D2982" s="50" t="str">
        <f t="shared" si="230"/>
        <v/>
      </c>
      <c r="E2982" s="50" t="str">
        <f t="shared" si="231"/>
        <v/>
      </c>
      <c r="F2982" s="50" t="str">
        <f t="shared" si="232"/>
        <v/>
      </c>
      <c r="G2982" s="50" t="str">
        <f t="shared" si="233"/>
        <v/>
      </c>
      <c r="H2982" s="51" t="str">
        <f>IF($C2982="","",IFERROR(DATE(G2982,VLOOKUP(E2982,Paramètres!$K$11:$L$40,2,FALSE()),F2982),"?"))</f>
        <v/>
      </c>
      <c r="I2982" s="50" t="str">
        <f>IF(ISNUMBER(H2982),IF(COUNTIFS($D$2:D2982,D2982,$H$2:H2982,H2982)=1,1,0),"")</f>
        <v/>
      </c>
      <c r="J2982" s="50" t="str">
        <f>IF(ISNUMBER(H2982),IFERROR(INDEX(Calendrier!$C$2:$C$367,MATCH(H2982,Calendrier!$A$2:$A$367,0)),0),"")</f>
        <v/>
      </c>
      <c r="K2982" s="50" t="str">
        <f t="shared" si="234"/>
        <v/>
      </c>
      <c r="L2982" s="50" t="str">
        <f>IF(D2982="","",IF(COUNTIF(Paramètres!$A$11:$A$40,D2982)&gt;0,1,0))</f>
        <v/>
      </c>
    </row>
    <row r="2983" spans="1:12" hidden="1" x14ac:dyDescent="0.25">
      <c r="A2983" s="49"/>
      <c r="B2983" s="49"/>
      <c r="C2983" s="49"/>
      <c r="D2983" s="50" t="str">
        <f t="shared" si="230"/>
        <v/>
      </c>
      <c r="E2983" s="50" t="str">
        <f t="shared" si="231"/>
        <v/>
      </c>
      <c r="F2983" s="50" t="str">
        <f t="shared" si="232"/>
        <v/>
      </c>
      <c r="G2983" s="50" t="str">
        <f t="shared" si="233"/>
        <v/>
      </c>
      <c r="H2983" s="51" t="str">
        <f>IF($C2983="","",IFERROR(DATE(G2983,VLOOKUP(E2983,Paramètres!$K$11:$L$40,2,FALSE()),F2983),"?"))</f>
        <v/>
      </c>
      <c r="I2983" s="50" t="str">
        <f>IF(ISNUMBER(H2983),IF(COUNTIFS($D$2:D2983,D2983,$H$2:H2983,H2983)=1,1,0),"")</f>
        <v/>
      </c>
      <c r="J2983" s="50" t="str">
        <f>IF(ISNUMBER(H2983),IFERROR(INDEX(Calendrier!$C$2:$C$367,MATCH(H2983,Calendrier!$A$2:$A$367,0)),0),"")</f>
        <v/>
      </c>
      <c r="K2983" s="50" t="str">
        <f t="shared" si="234"/>
        <v/>
      </c>
      <c r="L2983" s="50" t="str">
        <f>IF(D2983="","",IF(COUNTIF(Paramètres!$A$11:$A$40,D2983)&gt;0,1,0))</f>
        <v/>
      </c>
    </row>
    <row r="2984" spans="1:12" hidden="1" x14ac:dyDescent="0.25">
      <c r="A2984" s="49"/>
      <c r="B2984" s="49"/>
      <c r="C2984" s="49"/>
      <c r="D2984" s="50" t="str">
        <f t="shared" si="230"/>
        <v/>
      </c>
      <c r="E2984" s="50" t="str">
        <f t="shared" si="231"/>
        <v/>
      </c>
      <c r="F2984" s="50" t="str">
        <f t="shared" si="232"/>
        <v/>
      </c>
      <c r="G2984" s="50" t="str">
        <f t="shared" si="233"/>
        <v/>
      </c>
      <c r="H2984" s="51" t="str">
        <f>IF($C2984="","",IFERROR(DATE(G2984,VLOOKUP(E2984,Paramètres!$K$11:$L$40,2,FALSE()),F2984),"?"))</f>
        <v/>
      </c>
      <c r="I2984" s="50" t="str">
        <f>IF(ISNUMBER(H2984),IF(COUNTIFS($D$2:D2984,D2984,$H$2:H2984,H2984)=1,1,0),"")</f>
        <v/>
      </c>
      <c r="J2984" s="50" t="str">
        <f>IF(ISNUMBER(H2984),IFERROR(INDEX(Calendrier!$C$2:$C$367,MATCH(H2984,Calendrier!$A$2:$A$367,0)),0),"")</f>
        <v/>
      </c>
      <c r="K2984" s="50" t="str">
        <f t="shared" si="234"/>
        <v/>
      </c>
      <c r="L2984" s="50" t="str">
        <f>IF(D2984="","",IF(COUNTIF(Paramètres!$A$11:$A$40,D2984)&gt;0,1,0))</f>
        <v/>
      </c>
    </row>
    <row r="2985" spans="1:12" hidden="1" x14ac:dyDescent="0.25">
      <c r="A2985" s="49"/>
      <c r="B2985" s="49"/>
      <c r="C2985" s="49"/>
      <c r="D2985" s="50" t="str">
        <f t="shared" si="230"/>
        <v/>
      </c>
      <c r="E2985" s="50" t="str">
        <f t="shared" si="231"/>
        <v/>
      </c>
      <c r="F2985" s="50" t="str">
        <f t="shared" si="232"/>
        <v/>
      </c>
      <c r="G2985" s="50" t="str">
        <f t="shared" si="233"/>
        <v/>
      </c>
      <c r="H2985" s="51" t="str">
        <f>IF($C2985="","",IFERROR(DATE(G2985,VLOOKUP(E2985,Paramètres!$K$11:$L$40,2,FALSE()),F2985),"?"))</f>
        <v/>
      </c>
      <c r="I2985" s="50" t="str">
        <f>IF(ISNUMBER(H2985),IF(COUNTIFS($D$2:D2985,D2985,$H$2:H2985,H2985)=1,1,0),"")</f>
        <v/>
      </c>
      <c r="J2985" s="50" t="str">
        <f>IF(ISNUMBER(H2985),IFERROR(INDEX(Calendrier!$C$2:$C$367,MATCH(H2985,Calendrier!$A$2:$A$367,0)),0),"")</f>
        <v/>
      </c>
      <c r="K2985" s="50" t="str">
        <f t="shared" si="234"/>
        <v/>
      </c>
      <c r="L2985" s="50" t="str">
        <f>IF(D2985="","",IF(COUNTIF(Paramètres!$A$11:$A$40,D2985)&gt;0,1,0))</f>
        <v/>
      </c>
    </row>
    <row r="2986" spans="1:12" hidden="1" x14ac:dyDescent="0.25">
      <c r="A2986" s="49"/>
      <c r="B2986" s="49"/>
      <c r="C2986" s="49"/>
      <c r="D2986" s="50" t="str">
        <f t="shared" si="230"/>
        <v/>
      </c>
      <c r="E2986" s="50" t="str">
        <f t="shared" si="231"/>
        <v/>
      </c>
      <c r="F2986" s="50" t="str">
        <f t="shared" si="232"/>
        <v/>
      </c>
      <c r="G2986" s="50" t="str">
        <f t="shared" si="233"/>
        <v/>
      </c>
      <c r="H2986" s="51" t="str">
        <f>IF($C2986="","",IFERROR(DATE(G2986,VLOOKUP(E2986,Paramètres!$K$11:$L$40,2,FALSE()),F2986),"?"))</f>
        <v/>
      </c>
      <c r="I2986" s="50" t="str">
        <f>IF(ISNUMBER(H2986),IF(COUNTIFS($D$2:D2986,D2986,$H$2:H2986,H2986)=1,1,0),"")</f>
        <v/>
      </c>
      <c r="J2986" s="50" t="str">
        <f>IF(ISNUMBER(H2986),IFERROR(INDEX(Calendrier!$C$2:$C$367,MATCH(H2986,Calendrier!$A$2:$A$367,0)),0),"")</f>
        <v/>
      </c>
      <c r="K2986" s="50" t="str">
        <f t="shared" si="234"/>
        <v/>
      </c>
      <c r="L2986" s="50" t="str">
        <f>IF(D2986="","",IF(COUNTIF(Paramètres!$A$11:$A$40,D2986)&gt;0,1,0))</f>
        <v/>
      </c>
    </row>
    <row r="2987" spans="1:12" hidden="1" x14ac:dyDescent="0.25">
      <c r="A2987" s="49"/>
      <c r="B2987" s="49"/>
      <c r="C2987" s="49"/>
      <c r="D2987" s="50" t="str">
        <f t="shared" si="230"/>
        <v/>
      </c>
      <c r="E2987" s="50" t="str">
        <f t="shared" si="231"/>
        <v/>
      </c>
      <c r="F2987" s="50" t="str">
        <f t="shared" si="232"/>
        <v/>
      </c>
      <c r="G2987" s="50" t="str">
        <f t="shared" si="233"/>
        <v/>
      </c>
      <c r="H2987" s="51" t="str">
        <f>IF($C2987="","",IFERROR(DATE(G2987,VLOOKUP(E2987,Paramètres!$K$11:$L$40,2,FALSE()),F2987),"?"))</f>
        <v/>
      </c>
      <c r="I2987" s="50" t="str">
        <f>IF(ISNUMBER(H2987),IF(COUNTIFS($D$2:D2987,D2987,$H$2:H2987,H2987)=1,1,0),"")</f>
        <v/>
      </c>
      <c r="J2987" s="50" t="str">
        <f>IF(ISNUMBER(H2987),IFERROR(INDEX(Calendrier!$C$2:$C$367,MATCH(H2987,Calendrier!$A$2:$A$367,0)),0),"")</f>
        <v/>
      </c>
      <c r="K2987" s="50" t="str">
        <f t="shared" si="234"/>
        <v/>
      </c>
      <c r="L2987" s="50" t="str">
        <f>IF(D2987="","",IF(COUNTIF(Paramètres!$A$11:$A$40,D2987)&gt;0,1,0))</f>
        <v/>
      </c>
    </row>
    <row r="2988" spans="1:12" hidden="1" x14ac:dyDescent="0.25">
      <c r="A2988" s="49"/>
      <c r="B2988" s="49"/>
      <c r="C2988" s="49"/>
      <c r="D2988" s="50" t="str">
        <f t="shared" si="230"/>
        <v/>
      </c>
      <c r="E2988" s="50" t="str">
        <f t="shared" si="231"/>
        <v/>
      </c>
      <c r="F2988" s="50" t="str">
        <f t="shared" si="232"/>
        <v/>
      </c>
      <c r="G2988" s="50" t="str">
        <f t="shared" si="233"/>
        <v/>
      </c>
      <c r="H2988" s="51" t="str">
        <f>IF($C2988="","",IFERROR(DATE(G2988,VLOOKUP(E2988,Paramètres!$K$11:$L$40,2,FALSE()),F2988),"?"))</f>
        <v/>
      </c>
      <c r="I2988" s="50" t="str">
        <f>IF(ISNUMBER(H2988),IF(COUNTIFS($D$2:D2988,D2988,$H$2:H2988,H2988)=1,1,0),"")</f>
        <v/>
      </c>
      <c r="J2988" s="50" t="str">
        <f>IF(ISNUMBER(H2988),IFERROR(INDEX(Calendrier!$C$2:$C$367,MATCH(H2988,Calendrier!$A$2:$A$367,0)),0),"")</f>
        <v/>
      </c>
      <c r="K2988" s="50" t="str">
        <f t="shared" si="234"/>
        <v/>
      </c>
      <c r="L2988" s="50" t="str">
        <f>IF(D2988="","",IF(COUNTIF(Paramètres!$A$11:$A$40,D2988)&gt;0,1,0))</f>
        <v/>
      </c>
    </row>
    <row r="2989" spans="1:12" hidden="1" x14ac:dyDescent="0.25">
      <c r="A2989" s="49"/>
      <c r="B2989" s="49"/>
      <c r="C2989" s="49"/>
      <c r="D2989" s="50" t="str">
        <f t="shared" si="230"/>
        <v/>
      </c>
      <c r="E2989" s="50" t="str">
        <f t="shared" si="231"/>
        <v/>
      </c>
      <c r="F2989" s="50" t="str">
        <f t="shared" si="232"/>
        <v/>
      </c>
      <c r="G2989" s="50" t="str">
        <f t="shared" si="233"/>
        <v/>
      </c>
      <c r="H2989" s="51" t="str">
        <f>IF($C2989="","",IFERROR(DATE(G2989,VLOOKUP(E2989,Paramètres!$K$11:$L$40,2,FALSE()),F2989),"?"))</f>
        <v/>
      </c>
      <c r="I2989" s="50" t="str">
        <f>IF(ISNUMBER(H2989),IF(COUNTIFS($D$2:D2989,D2989,$H$2:H2989,H2989)=1,1,0),"")</f>
        <v/>
      </c>
      <c r="J2989" s="50" t="str">
        <f>IF(ISNUMBER(H2989),IFERROR(INDEX(Calendrier!$C$2:$C$367,MATCH(H2989,Calendrier!$A$2:$A$367,0)),0),"")</f>
        <v/>
      </c>
      <c r="K2989" s="50" t="str">
        <f t="shared" si="234"/>
        <v/>
      </c>
      <c r="L2989" s="50" t="str">
        <f>IF(D2989="","",IF(COUNTIF(Paramètres!$A$11:$A$40,D2989)&gt;0,1,0))</f>
        <v/>
      </c>
    </row>
    <row r="2990" spans="1:12" hidden="1" x14ac:dyDescent="0.25">
      <c r="A2990" s="49"/>
      <c r="B2990" s="49"/>
      <c r="C2990" s="49"/>
      <c r="D2990" s="50" t="str">
        <f t="shared" si="230"/>
        <v/>
      </c>
      <c r="E2990" s="50" t="str">
        <f t="shared" si="231"/>
        <v/>
      </c>
      <c r="F2990" s="50" t="str">
        <f t="shared" si="232"/>
        <v/>
      </c>
      <c r="G2990" s="50" t="str">
        <f t="shared" si="233"/>
        <v/>
      </c>
      <c r="H2990" s="51" t="str">
        <f>IF($C2990="","",IFERROR(DATE(G2990,VLOOKUP(E2990,Paramètres!$K$11:$L$40,2,FALSE()),F2990),"?"))</f>
        <v/>
      </c>
      <c r="I2990" s="50" t="str">
        <f>IF(ISNUMBER(H2990),IF(COUNTIFS($D$2:D2990,D2990,$H$2:H2990,H2990)=1,1,0),"")</f>
        <v/>
      </c>
      <c r="J2990" s="50" t="str">
        <f>IF(ISNUMBER(H2990),IFERROR(INDEX(Calendrier!$C$2:$C$367,MATCH(H2990,Calendrier!$A$2:$A$367,0)),0),"")</f>
        <v/>
      </c>
      <c r="K2990" s="50" t="str">
        <f t="shared" si="234"/>
        <v/>
      </c>
      <c r="L2990" s="50" t="str">
        <f>IF(D2990="","",IF(COUNTIF(Paramètres!$A$11:$A$40,D2990)&gt;0,1,0))</f>
        <v/>
      </c>
    </row>
    <row r="2991" spans="1:12" hidden="1" x14ac:dyDescent="0.25">
      <c r="A2991" s="49"/>
      <c r="B2991" s="49"/>
      <c r="C2991" s="49"/>
      <c r="D2991" s="50" t="str">
        <f t="shared" si="230"/>
        <v/>
      </c>
      <c r="E2991" s="50" t="str">
        <f t="shared" si="231"/>
        <v/>
      </c>
      <c r="F2991" s="50" t="str">
        <f t="shared" si="232"/>
        <v/>
      </c>
      <c r="G2991" s="50" t="str">
        <f t="shared" si="233"/>
        <v/>
      </c>
      <c r="H2991" s="51" t="str">
        <f>IF($C2991="","",IFERROR(DATE(G2991,VLOOKUP(E2991,Paramètres!$K$11:$L$40,2,FALSE()),F2991),"?"))</f>
        <v/>
      </c>
      <c r="I2991" s="50" t="str">
        <f>IF(ISNUMBER(H2991),IF(COUNTIFS($D$2:D2991,D2991,$H$2:H2991,H2991)=1,1,0),"")</f>
        <v/>
      </c>
      <c r="J2991" s="50" t="str">
        <f>IF(ISNUMBER(H2991),IFERROR(INDEX(Calendrier!$C$2:$C$367,MATCH(H2991,Calendrier!$A$2:$A$367,0)),0),"")</f>
        <v/>
      </c>
      <c r="K2991" s="50" t="str">
        <f t="shared" si="234"/>
        <v/>
      </c>
      <c r="L2991" s="50" t="str">
        <f>IF(D2991="","",IF(COUNTIF(Paramètres!$A$11:$A$40,D2991)&gt;0,1,0))</f>
        <v/>
      </c>
    </row>
    <row r="2992" spans="1:12" hidden="1" x14ac:dyDescent="0.25">
      <c r="A2992" s="49"/>
      <c r="B2992" s="49"/>
      <c r="C2992" s="49"/>
      <c r="D2992" s="50" t="str">
        <f t="shared" si="230"/>
        <v/>
      </c>
      <c r="E2992" s="50" t="str">
        <f t="shared" si="231"/>
        <v/>
      </c>
      <c r="F2992" s="50" t="str">
        <f t="shared" si="232"/>
        <v/>
      </c>
      <c r="G2992" s="50" t="str">
        <f t="shared" si="233"/>
        <v/>
      </c>
      <c r="H2992" s="51" t="str">
        <f>IF($C2992="","",IFERROR(DATE(G2992,VLOOKUP(E2992,Paramètres!$K$11:$L$40,2,FALSE()),F2992),"?"))</f>
        <v/>
      </c>
      <c r="I2992" s="50" t="str">
        <f>IF(ISNUMBER(H2992),IF(COUNTIFS($D$2:D2992,D2992,$H$2:H2992,H2992)=1,1,0),"")</f>
        <v/>
      </c>
      <c r="J2992" s="50" t="str">
        <f>IF(ISNUMBER(H2992),IFERROR(INDEX(Calendrier!$C$2:$C$367,MATCH(H2992,Calendrier!$A$2:$A$367,0)),0),"")</f>
        <v/>
      </c>
      <c r="K2992" s="50" t="str">
        <f t="shared" si="234"/>
        <v/>
      </c>
      <c r="L2992" s="50" t="str">
        <f>IF(D2992="","",IF(COUNTIF(Paramètres!$A$11:$A$40,D2992)&gt;0,1,0))</f>
        <v/>
      </c>
    </row>
    <row r="2993" spans="1:12" hidden="1" x14ac:dyDescent="0.25">
      <c r="A2993" s="49"/>
      <c r="B2993" s="49"/>
      <c r="C2993" s="49"/>
      <c r="D2993" s="50" t="str">
        <f t="shared" si="230"/>
        <v/>
      </c>
      <c r="E2993" s="50" t="str">
        <f t="shared" si="231"/>
        <v/>
      </c>
      <c r="F2993" s="50" t="str">
        <f t="shared" si="232"/>
        <v/>
      </c>
      <c r="G2993" s="50" t="str">
        <f t="shared" si="233"/>
        <v/>
      </c>
      <c r="H2993" s="51" t="str">
        <f>IF($C2993="","",IFERROR(DATE(G2993,VLOOKUP(E2993,Paramètres!$K$11:$L$40,2,FALSE()),F2993),"?"))</f>
        <v/>
      </c>
      <c r="I2993" s="50" t="str">
        <f>IF(ISNUMBER(H2993),IF(COUNTIFS($D$2:D2993,D2993,$H$2:H2993,H2993)=1,1,0),"")</f>
        <v/>
      </c>
      <c r="J2993" s="50" t="str">
        <f>IF(ISNUMBER(H2993),IFERROR(INDEX(Calendrier!$C$2:$C$367,MATCH(H2993,Calendrier!$A$2:$A$367,0)),0),"")</f>
        <v/>
      </c>
      <c r="K2993" s="50" t="str">
        <f t="shared" si="234"/>
        <v/>
      </c>
      <c r="L2993" s="50" t="str">
        <f>IF(D2993="","",IF(COUNTIF(Paramètres!$A$11:$A$40,D2993)&gt;0,1,0))</f>
        <v/>
      </c>
    </row>
    <row r="2994" spans="1:12" hidden="1" x14ac:dyDescent="0.25">
      <c r="A2994" s="49"/>
      <c r="B2994" s="49"/>
      <c r="C2994" s="49"/>
      <c r="D2994" s="50" t="str">
        <f t="shared" si="230"/>
        <v/>
      </c>
      <c r="E2994" s="50" t="str">
        <f t="shared" si="231"/>
        <v/>
      </c>
      <c r="F2994" s="50" t="str">
        <f t="shared" si="232"/>
        <v/>
      </c>
      <c r="G2994" s="50" t="str">
        <f t="shared" si="233"/>
        <v/>
      </c>
      <c r="H2994" s="51" t="str">
        <f>IF($C2994="","",IFERROR(DATE(G2994,VLOOKUP(E2994,Paramètres!$K$11:$L$40,2,FALSE()),F2994),"?"))</f>
        <v/>
      </c>
      <c r="I2994" s="50" t="str">
        <f>IF(ISNUMBER(H2994),IF(COUNTIFS($D$2:D2994,D2994,$H$2:H2994,H2994)=1,1,0),"")</f>
        <v/>
      </c>
      <c r="J2994" s="50" t="str">
        <f>IF(ISNUMBER(H2994),IFERROR(INDEX(Calendrier!$C$2:$C$367,MATCH(H2994,Calendrier!$A$2:$A$367,0)),0),"")</f>
        <v/>
      </c>
      <c r="K2994" s="50" t="str">
        <f t="shared" si="234"/>
        <v/>
      </c>
      <c r="L2994" s="50" t="str">
        <f>IF(D2994="","",IF(COUNTIF(Paramètres!$A$11:$A$40,D2994)&gt;0,1,0))</f>
        <v/>
      </c>
    </row>
    <row r="2995" spans="1:12" hidden="1" x14ac:dyDescent="0.25">
      <c r="A2995" s="49"/>
      <c r="B2995" s="49"/>
      <c r="C2995" s="49"/>
      <c r="D2995" s="50" t="str">
        <f t="shared" si="230"/>
        <v/>
      </c>
      <c r="E2995" s="50" t="str">
        <f t="shared" si="231"/>
        <v/>
      </c>
      <c r="F2995" s="50" t="str">
        <f t="shared" si="232"/>
        <v/>
      </c>
      <c r="G2995" s="50" t="str">
        <f t="shared" si="233"/>
        <v/>
      </c>
      <c r="H2995" s="51" t="str">
        <f>IF($C2995="","",IFERROR(DATE(G2995,VLOOKUP(E2995,Paramètres!$K$11:$L$40,2,FALSE()),F2995),"?"))</f>
        <v/>
      </c>
      <c r="I2995" s="50" t="str">
        <f>IF(ISNUMBER(H2995),IF(COUNTIFS($D$2:D2995,D2995,$H$2:H2995,H2995)=1,1,0),"")</f>
        <v/>
      </c>
      <c r="J2995" s="50" t="str">
        <f>IF(ISNUMBER(H2995),IFERROR(INDEX(Calendrier!$C$2:$C$367,MATCH(H2995,Calendrier!$A$2:$A$367,0)),0),"")</f>
        <v/>
      </c>
      <c r="K2995" s="50" t="str">
        <f t="shared" si="234"/>
        <v/>
      </c>
      <c r="L2995" s="50" t="str">
        <f>IF(D2995="","",IF(COUNTIF(Paramètres!$A$11:$A$40,D2995)&gt;0,1,0))</f>
        <v/>
      </c>
    </row>
    <row r="2996" spans="1:12" hidden="1" x14ac:dyDescent="0.25">
      <c r="A2996" s="49"/>
      <c r="B2996" s="49"/>
      <c r="C2996" s="49"/>
      <c r="D2996" s="50" t="str">
        <f t="shared" si="230"/>
        <v/>
      </c>
      <c r="E2996" s="50" t="str">
        <f t="shared" si="231"/>
        <v/>
      </c>
      <c r="F2996" s="50" t="str">
        <f t="shared" si="232"/>
        <v/>
      </c>
      <c r="G2996" s="50" t="str">
        <f t="shared" si="233"/>
        <v/>
      </c>
      <c r="H2996" s="51" t="str">
        <f>IF($C2996="","",IFERROR(DATE(G2996,VLOOKUP(E2996,Paramètres!$K$11:$L$40,2,FALSE()),F2996),"?"))</f>
        <v/>
      </c>
      <c r="I2996" s="50" t="str">
        <f>IF(ISNUMBER(H2996),IF(COUNTIFS($D$2:D2996,D2996,$H$2:H2996,H2996)=1,1,0),"")</f>
        <v/>
      </c>
      <c r="J2996" s="50" t="str">
        <f>IF(ISNUMBER(H2996),IFERROR(INDEX(Calendrier!$C$2:$C$367,MATCH(H2996,Calendrier!$A$2:$A$367,0)),0),"")</f>
        <v/>
      </c>
      <c r="K2996" s="50" t="str">
        <f t="shared" si="234"/>
        <v/>
      </c>
      <c r="L2996" s="50" t="str">
        <f>IF(D2996="","",IF(COUNTIF(Paramètres!$A$11:$A$40,D2996)&gt;0,1,0))</f>
        <v/>
      </c>
    </row>
    <row r="2997" spans="1:12" hidden="1" x14ac:dyDescent="0.25">
      <c r="A2997" s="49"/>
      <c r="B2997" s="49"/>
      <c r="C2997" s="49"/>
      <c r="D2997" s="50" t="str">
        <f t="shared" si="230"/>
        <v/>
      </c>
      <c r="E2997" s="50" t="str">
        <f t="shared" si="231"/>
        <v/>
      </c>
      <c r="F2997" s="50" t="str">
        <f t="shared" si="232"/>
        <v/>
      </c>
      <c r="G2997" s="50" t="str">
        <f t="shared" si="233"/>
        <v/>
      </c>
      <c r="H2997" s="51" t="str">
        <f>IF($C2997="","",IFERROR(DATE(G2997,VLOOKUP(E2997,Paramètres!$K$11:$L$40,2,FALSE()),F2997),"?"))</f>
        <v/>
      </c>
      <c r="I2997" s="50" t="str">
        <f>IF(ISNUMBER(H2997),IF(COUNTIFS($D$2:D2997,D2997,$H$2:H2997,H2997)=1,1,0),"")</f>
        <v/>
      </c>
      <c r="J2997" s="50" t="str">
        <f>IF(ISNUMBER(H2997),IFERROR(INDEX(Calendrier!$C$2:$C$367,MATCH(H2997,Calendrier!$A$2:$A$367,0)),0),"")</f>
        <v/>
      </c>
      <c r="K2997" s="50" t="str">
        <f t="shared" si="234"/>
        <v/>
      </c>
      <c r="L2997" s="50" t="str">
        <f>IF(D2997="","",IF(COUNTIF(Paramètres!$A$11:$A$40,D2997)&gt;0,1,0))</f>
        <v/>
      </c>
    </row>
    <row r="2998" spans="1:12" hidden="1" x14ac:dyDescent="0.25">
      <c r="A2998" s="49"/>
      <c r="B2998" s="49"/>
      <c r="C2998" s="49"/>
      <c r="D2998" s="50" t="str">
        <f t="shared" si="230"/>
        <v/>
      </c>
      <c r="E2998" s="50" t="str">
        <f t="shared" si="231"/>
        <v/>
      </c>
      <c r="F2998" s="50" t="str">
        <f t="shared" si="232"/>
        <v/>
      </c>
      <c r="G2998" s="50" t="str">
        <f t="shared" si="233"/>
        <v/>
      </c>
      <c r="H2998" s="51" t="str">
        <f>IF($C2998="","",IFERROR(DATE(G2998,VLOOKUP(E2998,Paramètres!$K$11:$L$40,2,FALSE()),F2998),"?"))</f>
        <v/>
      </c>
      <c r="I2998" s="50" t="str">
        <f>IF(ISNUMBER(H2998),IF(COUNTIFS($D$2:D2998,D2998,$H$2:H2998,H2998)=1,1,0),"")</f>
        <v/>
      </c>
      <c r="J2998" s="50" t="str">
        <f>IF(ISNUMBER(H2998),IFERROR(INDEX(Calendrier!$C$2:$C$367,MATCH(H2998,Calendrier!$A$2:$A$367,0)),0),"")</f>
        <v/>
      </c>
      <c r="K2998" s="50" t="str">
        <f t="shared" si="234"/>
        <v/>
      </c>
      <c r="L2998" s="50" t="str">
        <f>IF(D2998="","",IF(COUNTIF(Paramètres!$A$11:$A$40,D2998)&gt;0,1,0))</f>
        <v/>
      </c>
    </row>
    <row r="2999" spans="1:12" hidden="1" x14ac:dyDescent="0.25">
      <c r="A2999" s="49"/>
      <c r="B2999" s="49"/>
      <c r="C2999" s="49"/>
      <c r="D2999" s="50" t="str">
        <f t="shared" si="230"/>
        <v/>
      </c>
      <c r="E2999" s="50" t="str">
        <f t="shared" si="231"/>
        <v/>
      </c>
      <c r="F2999" s="50" t="str">
        <f t="shared" si="232"/>
        <v/>
      </c>
      <c r="G2999" s="50" t="str">
        <f t="shared" si="233"/>
        <v/>
      </c>
      <c r="H2999" s="51" t="str">
        <f>IF($C2999="","",IFERROR(DATE(G2999,VLOOKUP(E2999,Paramètres!$K$11:$L$40,2,FALSE()),F2999),"?"))</f>
        <v/>
      </c>
      <c r="I2999" s="50" t="str">
        <f>IF(ISNUMBER(H2999),IF(COUNTIFS($D$2:D2999,D2999,$H$2:H2999,H2999)=1,1,0),"")</f>
        <v/>
      </c>
      <c r="J2999" s="50" t="str">
        <f>IF(ISNUMBER(H2999),IFERROR(INDEX(Calendrier!$C$2:$C$367,MATCH(H2999,Calendrier!$A$2:$A$367,0)),0),"")</f>
        <v/>
      </c>
      <c r="K2999" s="50" t="str">
        <f t="shared" si="234"/>
        <v/>
      </c>
      <c r="L2999" s="50" t="str">
        <f>IF(D2999="","",IF(COUNTIF(Paramètres!$A$11:$A$40,D2999)&gt;0,1,0))</f>
        <v/>
      </c>
    </row>
    <row r="3000" spans="1:12" hidden="1" x14ac:dyDescent="0.25">
      <c r="A3000" s="49"/>
      <c r="B3000" s="49"/>
      <c r="C3000" s="49"/>
      <c r="D3000" s="50" t="str">
        <f t="shared" si="230"/>
        <v/>
      </c>
      <c r="E3000" s="50" t="str">
        <f t="shared" si="231"/>
        <v/>
      </c>
      <c r="F3000" s="50" t="str">
        <f t="shared" si="232"/>
        <v/>
      </c>
      <c r="G3000" s="50" t="str">
        <f t="shared" si="233"/>
        <v/>
      </c>
      <c r="H3000" s="51" t="str">
        <f>IF($C3000="","",IFERROR(DATE(G3000,VLOOKUP(E3000,Paramètres!$K$11:$L$40,2,FALSE()),F3000),"?"))</f>
        <v/>
      </c>
      <c r="I3000" s="50" t="str">
        <f>IF(ISNUMBER(H3000),IF(COUNTIFS($D$2:D3000,D3000,$H$2:H3000,H3000)=1,1,0),"")</f>
        <v/>
      </c>
      <c r="J3000" s="50" t="str">
        <f>IF(ISNUMBER(H3000),IFERROR(INDEX(Calendrier!$C$2:$C$367,MATCH(H3000,Calendrier!$A$2:$A$367,0)),0),"")</f>
        <v/>
      </c>
      <c r="K3000" s="50" t="str">
        <f t="shared" si="234"/>
        <v/>
      </c>
      <c r="L3000" s="50" t="str">
        <f>IF(D3000="","",IF(COUNTIF(Paramètres!$A$11:$A$40,D3000)&gt;0,1,0))</f>
        <v/>
      </c>
    </row>
    <row r="3001" spans="1:12" hidden="1" x14ac:dyDescent="0.25">
      <c r="A3001" s="49"/>
      <c r="B3001" s="49"/>
      <c r="C3001" s="49"/>
      <c r="D3001" s="50" t="str">
        <f t="shared" si="230"/>
        <v/>
      </c>
      <c r="E3001" s="50" t="str">
        <f t="shared" si="231"/>
        <v/>
      </c>
      <c r="F3001" s="50" t="str">
        <f t="shared" si="232"/>
        <v/>
      </c>
      <c r="G3001" s="50" t="str">
        <f t="shared" si="233"/>
        <v/>
      </c>
      <c r="H3001" s="51" t="str">
        <f>IF($C3001="","",IFERROR(DATE(G3001,VLOOKUP(E3001,Paramètres!$K$11:$L$40,2,FALSE()),F3001),"?"))</f>
        <v/>
      </c>
      <c r="I3001" s="50" t="str">
        <f>IF(ISNUMBER(H3001),IF(COUNTIFS($D$2:D3001,D3001,$H$2:H3001,H3001)=1,1,0),"")</f>
        <v/>
      </c>
      <c r="J3001" s="50" t="str">
        <f>IF(ISNUMBER(H3001),IFERROR(INDEX(Calendrier!$C$2:$C$367,MATCH(H3001,Calendrier!$A$2:$A$367,0)),0),"")</f>
        <v/>
      </c>
      <c r="K3001" s="50" t="str">
        <f t="shared" si="234"/>
        <v/>
      </c>
      <c r="L3001" s="50" t="str">
        <f>IF(D3001="","",IF(COUNTIF(Paramètres!$A$11:$A$40,D3001)&gt;0,1,0))</f>
        <v/>
      </c>
    </row>
  </sheetData>
  <autoFilter ref="A1:L3001" xr:uid="{211299F5-BD09-42AA-BD82-B7C5AE5AF8EF}">
    <filterColumn colId="1">
      <filters>
        <filter val="Arwa Fatnassi"/>
        <filter val="Zouhour Fathallah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BF48"/>
  <sheetViews>
    <sheetView zoomScaleNormal="100" workbookViewId="0">
      <pane xSplit="2" ySplit="4" topLeftCell="AH31" activePane="bottomRight" state="frozen"/>
      <selection pane="topRight" activeCell="C1" sqref="C1"/>
      <selection pane="bottomLeft" activeCell="A5" sqref="A5"/>
      <selection pane="bottomRight" activeCell="AS45" sqref="AS45"/>
    </sheetView>
  </sheetViews>
  <sheetFormatPr baseColWidth="10" defaultColWidth="8.7109375" defaultRowHeight="15" x14ac:dyDescent="0.25"/>
  <cols>
    <col min="1" max="1" width="30" customWidth="1"/>
    <col min="3" max="3" width="11.28515625" bestFit="1" customWidth="1"/>
    <col min="4" max="4" width="11" bestFit="1" customWidth="1"/>
    <col min="5" max="5" width="9.7109375" bestFit="1" customWidth="1"/>
    <col min="6" max="6" width="9" bestFit="1" customWidth="1"/>
    <col min="7" max="7" width="8.5703125" bestFit="1" customWidth="1"/>
    <col min="8" max="8" width="8.85546875" bestFit="1" customWidth="1"/>
    <col min="9" max="9" width="10.28515625" bestFit="1" customWidth="1"/>
    <col min="10" max="10" width="9.42578125" bestFit="1" customWidth="1"/>
    <col min="11" max="11" width="14.5703125" bestFit="1" customWidth="1"/>
    <col min="12" max="12" width="12.140625" bestFit="1" customWidth="1"/>
    <col min="13" max="13" width="13.7109375" bestFit="1" customWidth="1"/>
    <col min="14" max="14" width="14" bestFit="1" customWidth="1"/>
    <col min="15" max="59" width="9.5703125" customWidth="1"/>
  </cols>
  <sheetData>
    <row r="1" spans="1:58" ht="15.75" x14ac:dyDescent="0.25">
      <c r="A1" s="52" t="s">
        <v>982</v>
      </c>
    </row>
    <row r="2" spans="1:58" x14ac:dyDescent="0.25">
      <c r="A2" t="s">
        <v>24</v>
      </c>
      <c r="C2" s="53">
        <f>MAX(Journal!$H$2:$H$3001)</f>
        <v>46294</v>
      </c>
      <c r="E2" s="75" t="s">
        <v>983</v>
      </c>
      <c r="F2" s="75"/>
      <c r="G2" s="75"/>
      <c r="H2" s="75"/>
      <c r="I2" s="75"/>
      <c r="J2" s="75"/>
      <c r="K2" s="75"/>
      <c r="L2" s="75"/>
      <c r="M2" s="75"/>
      <c r="P2" s="76" t="s">
        <v>984</v>
      </c>
      <c r="Q2" s="76"/>
      <c r="R2" s="76"/>
      <c r="S2" s="76"/>
      <c r="T2" s="76"/>
      <c r="U2" s="76"/>
      <c r="AC2" s="77" t="s">
        <v>985</v>
      </c>
      <c r="AD2" s="77"/>
      <c r="AE2" s="77"/>
      <c r="AF2" s="77"/>
      <c r="AG2" s="77"/>
      <c r="AP2" s="78" t="s">
        <v>986</v>
      </c>
      <c r="AQ2" s="78"/>
      <c r="AR2" s="78"/>
      <c r="AS2" s="78"/>
      <c r="AT2" s="78"/>
    </row>
    <row r="3" spans="1:58" x14ac:dyDescent="0.25">
      <c r="A3" t="s">
        <v>987</v>
      </c>
      <c r="C3">
        <f t="shared" ref="C3:N3" si="0">IF(C$4&lt;=$C$2,1,0)</f>
        <v>1</v>
      </c>
      <c r="D3">
        <f t="shared" si="0"/>
        <v>1</v>
      </c>
      <c r="E3">
        <f t="shared" si="0"/>
        <v>1</v>
      </c>
      <c r="F3">
        <f t="shared" si="0"/>
        <v>1</v>
      </c>
      <c r="G3">
        <f t="shared" si="0"/>
        <v>1</v>
      </c>
      <c r="H3">
        <f t="shared" si="0"/>
        <v>1</v>
      </c>
      <c r="I3">
        <f t="shared" si="0"/>
        <v>1</v>
      </c>
      <c r="J3">
        <f t="shared" si="0"/>
        <v>1</v>
      </c>
      <c r="K3">
        <f t="shared" si="0"/>
        <v>1</v>
      </c>
      <c r="L3">
        <f t="shared" si="0"/>
        <v>0</v>
      </c>
      <c r="M3">
        <f t="shared" si="0"/>
        <v>0</v>
      </c>
      <c r="N3">
        <f t="shared" si="0"/>
        <v>0</v>
      </c>
    </row>
    <row r="4" spans="1:58" ht="45" x14ac:dyDescent="0.25">
      <c r="A4" s="25" t="s">
        <v>10</v>
      </c>
      <c r="C4" s="54">
        <f>DATE(Paramètres!$B$8,1,1)</f>
        <v>46023</v>
      </c>
      <c r="D4" s="54">
        <f>DATE(Paramètres!$B$8,2,1)</f>
        <v>46054</v>
      </c>
      <c r="E4" s="54">
        <f>DATE(Paramètres!$B$8,3,1)</f>
        <v>46082</v>
      </c>
      <c r="F4" s="54">
        <f>DATE(Paramètres!$B$8,4,1)</f>
        <v>46113</v>
      </c>
      <c r="G4" s="54">
        <f>DATE(Paramètres!$B$8,5,1)</f>
        <v>46143</v>
      </c>
      <c r="H4" s="54">
        <f>DATE(Paramètres!$B$8,6,1)</f>
        <v>46174</v>
      </c>
      <c r="I4" s="54">
        <f>DATE(Paramètres!$B$8,7,1)</f>
        <v>46204</v>
      </c>
      <c r="J4" s="54">
        <f>DATE(Paramètres!$B$8,8,1)</f>
        <v>46235</v>
      </c>
      <c r="K4" s="54">
        <f>DATE(Paramètres!$B$8,9,1)</f>
        <v>46266</v>
      </c>
      <c r="L4" s="54">
        <f>DATE(Paramètres!$B$8,10,1)</f>
        <v>46296</v>
      </c>
      <c r="M4" s="54">
        <f>DATE(Paramètres!$B$8,11,1)</f>
        <v>46327</v>
      </c>
      <c r="N4" s="54">
        <f>DATE(Paramètres!$B$8,12,1)</f>
        <v>46357</v>
      </c>
      <c r="P4" s="54">
        <f t="shared" ref="P4:AA4" si="1">C$4</f>
        <v>46023</v>
      </c>
      <c r="Q4" s="54">
        <f t="shared" si="1"/>
        <v>46054</v>
      </c>
      <c r="R4" s="54">
        <f t="shared" si="1"/>
        <v>46082</v>
      </c>
      <c r="S4" s="54">
        <f t="shared" si="1"/>
        <v>46113</v>
      </c>
      <c r="T4" s="54">
        <f t="shared" si="1"/>
        <v>46143</v>
      </c>
      <c r="U4" s="54">
        <f t="shared" si="1"/>
        <v>46174</v>
      </c>
      <c r="V4" s="54">
        <f t="shared" si="1"/>
        <v>46204</v>
      </c>
      <c r="W4" s="54">
        <f t="shared" si="1"/>
        <v>46235</v>
      </c>
      <c r="X4" s="54">
        <f t="shared" si="1"/>
        <v>46266</v>
      </c>
      <c r="Y4" s="54">
        <f t="shared" si="1"/>
        <v>46296</v>
      </c>
      <c r="Z4" s="54">
        <f t="shared" si="1"/>
        <v>46327</v>
      </c>
      <c r="AA4" s="54">
        <f t="shared" si="1"/>
        <v>46357</v>
      </c>
      <c r="AC4" s="54">
        <f t="shared" ref="AC4:AN4" si="2">C$4</f>
        <v>46023</v>
      </c>
      <c r="AD4" s="54">
        <f t="shared" si="2"/>
        <v>46054</v>
      </c>
      <c r="AE4" s="54">
        <f t="shared" si="2"/>
        <v>46082</v>
      </c>
      <c r="AF4" s="54">
        <f t="shared" si="2"/>
        <v>46113</v>
      </c>
      <c r="AG4" s="54">
        <f t="shared" si="2"/>
        <v>46143</v>
      </c>
      <c r="AH4" s="54">
        <f t="shared" si="2"/>
        <v>46174</v>
      </c>
      <c r="AI4" s="54">
        <f t="shared" si="2"/>
        <v>46204</v>
      </c>
      <c r="AJ4" s="54">
        <f t="shared" si="2"/>
        <v>46235</v>
      </c>
      <c r="AK4" s="54">
        <f t="shared" si="2"/>
        <v>46266</v>
      </c>
      <c r="AL4" s="54">
        <f t="shared" si="2"/>
        <v>46296</v>
      </c>
      <c r="AM4" s="54">
        <f t="shared" si="2"/>
        <v>46327</v>
      </c>
      <c r="AN4" s="54">
        <f t="shared" si="2"/>
        <v>46357</v>
      </c>
      <c r="AP4" s="54">
        <f t="shared" ref="AP4:BA4" si="3">C$4</f>
        <v>46023</v>
      </c>
      <c r="AQ4" s="54">
        <f t="shared" si="3"/>
        <v>46054</v>
      </c>
      <c r="AR4" s="54">
        <f t="shared" si="3"/>
        <v>46082</v>
      </c>
      <c r="AS4" s="54">
        <f t="shared" si="3"/>
        <v>46113</v>
      </c>
      <c r="AT4" s="54">
        <f t="shared" si="3"/>
        <v>46143</v>
      </c>
      <c r="AU4" s="54">
        <f t="shared" si="3"/>
        <v>46174</v>
      </c>
      <c r="AV4" s="54">
        <f t="shared" si="3"/>
        <v>46204</v>
      </c>
      <c r="AW4" s="54">
        <f t="shared" si="3"/>
        <v>46235</v>
      </c>
      <c r="AX4" s="54">
        <f t="shared" si="3"/>
        <v>46266</v>
      </c>
      <c r="AY4" s="54">
        <f t="shared" si="3"/>
        <v>46296</v>
      </c>
      <c r="AZ4" s="54">
        <f t="shared" si="3"/>
        <v>46327</v>
      </c>
      <c r="BA4" s="54">
        <f t="shared" si="3"/>
        <v>46357</v>
      </c>
      <c r="BC4" s="55" t="s">
        <v>988</v>
      </c>
      <c r="BD4" s="55" t="s">
        <v>989</v>
      </c>
      <c r="BE4" s="55" t="s">
        <v>990</v>
      </c>
      <c r="BF4" s="55" t="s">
        <v>9</v>
      </c>
    </row>
    <row r="5" spans="1:58" x14ac:dyDescent="0.25">
      <c r="A5" s="56" t="str">
        <f>IF(Paramètres!A11="","",Paramètres!A11)</f>
        <v>Ahlem Moussa</v>
      </c>
      <c r="C5" s="56">
        <f>IF(OR(Paramètres!$A11="",C$3=0),"",COUNTIFS(Calendrier!$A$2:$A$367,"&gt;="&amp;MAX(Paramètres!$C11,C$4),Calendrier!$A$2:$A$367,"&lt;="&amp;IF(Paramètres!$D11="",EOMONTH(C$4,0),MIN(Paramètres!$D11,EOMONTH(C$4,0))),Calendrier!$C$2:$C$367,1))</f>
        <v>21</v>
      </c>
      <c r="D5" s="56">
        <f>IF(OR(Paramètres!$A11="",D$3=0),"",COUNTIFS(Calendrier!$A$2:$A$367,"&gt;="&amp;MAX(Paramètres!$C11,D$4),Calendrier!$A$2:$A$367,"&lt;="&amp;IF(Paramètres!$D11="",EOMONTH(D$4,0),MIN(Paramètres!$D11,EOMONTH(D$4,0))),Calendrier!$C$2:$C$367,1))</f>
        <v>20</v>
      </c>
      <c r="E5" s="56">
        <f>IF(OR(Paramètres!$A11="",E$3=0),"",COUNTIFS(Calendrier!$A$2:$A$367,"&gt;="&amp;MAX(Paramètres!$C11,E$4),Calendrier!$A$2:$A$367,"&lt;="&amp;IF(Paramètres!$D11="",EOMONTH(E$4,0),MIN(Paramètres!$D11,EOMONTH(E$4,0))),Calendrier!$C$2:$C$367,1))</f>
        <v>21</v>
      </c>
      <c r="F5" s="56">
        <f>IF(OR(Paramètres!$A11="",F$3=0),"",COUNTIFS(Calendrier!$A$2:$A$367,"&gt;="&amp;MAX(Paramètres!$C11,F$4),Calendrier!$A$2:$A$367,"&lt;="&amp;IF(Paramètres!$D11="",EOMONTH(F$4,0),MIN(Paramètres!$D11,EOMONTH(F$4,0))),Calendrier!$C$2:$C$367,1))</f>
        <v>22</v>
      </c>
      <c r="G5" s="56">
        <f>IF(OR(Paramètres!$A11="",G$3=0),"",COUNTIFS(Calendrier!$A$2:$A$367,"&gt;="&amp;MAX(Paramètres!$C11,G$4),Calendrier!$A$2:$A$367,"&lt;="&amp;IF(Paramètres!$D11="",EOMONTH(G$4,0),MIN(Paramètres!$D11,EOMONTH(G$4,0))),Calendrier!$C$2:$C$367,1))</f>
        <v>17</v>
      </c>
      <c r="H5" s="56">
        <f>IF(OR(Paramètres!$A11="",H$3=0),"",COUNTIFS(Calendrier!$A$2:$A$367,"&gt;="&amp;MAX(Paramètres!$C11,H$4),Calendrier!$A$2:$A$367,"&lt;="&amp;IF(Paramètres!$D11="",EOMONTH(H$4,0),MIN(Paramètres!$D11,EOMONTH(H$4,0))),Calendrier!$C$2:$C$367,1))</f>
        <v>22</v>
      </c>
      <c r="I5" s="56">
        <f>IF(OR(Paramètres!$A11="",I$3=0),"",COUNTIFS(Calendrier!$A$2:$A$367,"&gt;="&amp;MAX(Paramètres!$C11,I$4),Calendrier!$A$2:$A$367,"&lt;="&amp;IF(Paramètres!$D11="",EOMONTH(I$4,0),MIN(Paramètres!$D11,EOMONTH(I$4,0))),Calendrier!$C$2:$C$367,1))</f>
        <v>23</v>
      </c>
      <c r="J5" s="56">
        <f>IF(OR(Paramètres!$A11="",J$3=0),"",COUNTIFS(Calendrier!$A$2:$A$367,"&gt;="&amp;MAX(Paramètres!$C11,J$4),Calendrier!$A$2:$A$367,"&lt;="&amp;IF(Paramètres!$D11="",EOMONTH(J$4,0),MIN(Paramètres!$D11,EOMONTH(J$4,0))),Calendrier!$C$2:$C$367,1))</f>
        <v>8</v>
      </c>
      <c r="K5" s="56">
        <f>IF(OR(Paramètres!$A11="",K$3=0),"",COUNTIFS(Calendrier!$A$2:$A$367,"&gt;="&amp;MAX(Paramètres!$C11,K$4),Calendrier!$A$2:$A$367,"&lt;="&amp;IF(Paramètres!$D11="",EOMONTH(K$4,0),MIN(Paramètres!$D11,EOMONTH(K$4,0))),Calendrier!$C$2:$C$367,1))</f>
        <v>22</v>
      </c>
      <c r="L5" s="56" t="str">
        <f>IF(OR(Paramètres!$A11="",L$3=0),"",COUNTIFS(Calendrier!$A$2:$A$367,"&gt;="&amp;MAX(Paramètres!$C11,L$4),Calendrier!$A$2:$A$367,"&lt;="&amp;IF(Paramètres!$D11="",EOMONTH(L$4,0),MIN(Paramètres!$D11,EOMONTH(L$4,0))),Calendrier!$C$2:$C$367,1))</f>
        <v/>
      </c>
      <c r="M5" s="56" t="str">
        <f>IF(OR(Paramètres!$A11="",M$3=0),"",COUNTIFS(Calendrier!$A$2:$A$367,"&gt;="&amp;MAX(Paramètres!$C11,M$4),Calendrier!$A$2:$A$367,"&lt;="&amp;IF(Paramètres!$D11="",EOMONTH(M$4,0),MIN(Paramètres!$D11,EOMONTH(M$4,0))),Calendrier!$C$2:$C$367,1))</f>
        <v/>
      </c>
      <c r="N5" s="56" t="str">
        <f>IF(OR(Paramètres!$A11="",N$3=0),"",COUNTIFS(Calendrier!$A$2:$A$367,"&gt;="&amp;MAX(Paramètres!$C11,N$4),Calendrier!$A$2:$A$367,"&lt;="&amp;IF(Paramètres!$D11="",EOMONTH(N$4,0),MIN(Paramètres!$D11,EOMONTH(N$4,0))),Calendrier!$C$2:$C$367,1))</f>
        <v/>
      </c>
      <c r="P5" s="56">
        <f>IF(OR(Paramètres!$A11="",C$3=0),"",COUNTIFS(Journal!$D$2:$D$3001,Paramètres!$A11,Journal!$H$2:$H$3001,"&gt;="&amp;MAX(Paramètres!$C11,C$4),Journal!$H$2:$H$3001,"&lt;="&amp;IF(Paramètres!$D11="",EOMONTH(C$4,0),MIN(Paramètres!$D11,EOMONTH(C$4,0))),Journal!$K$2:$K$3001,1))</f>
        <v>16</v>
      </c>
      <c r="Q5" s="56">
        <f>IF(OR(Paramètres!$A11="",D$3=0),"",COUNTIFS(Journal!$D$2:$D$3001,Paramètres!$A11,Journal!$H$2:$H$3001,"&gt;="&amp;MAX(Paramètres!$C11,D$4),Journal!$H$2:$H$3001,"&lt;="&amp;IF(Paramètres!$D11="",EOMONTH(D$4,0),MIN(Paramètres!$D11,EOMONTH(D$4,0))),Journal!$K$2:$K$3001,1))</f>
        <v>13</v>
      </c>
      <c r="R5" s="56">
        <f>IF(OR(Paramètres!$A11="",E$3=0),"",COUNTIFS(Journal!$D$2:$D$3001,Paramètres!$A11,Journal!$H$2:$H$3001,"&gt;="&amp;MAX(Paramètres!$C11,E$4),Journal!$H$2:$H$3001,"&lt;="&amp;IF(Paramètres!$D11="",EOMONTH(E$4,0),MIN(Paramètres!$D11,EOMONTH(E$4,0))),Journal!$K$2:$K$3001,1))</f>
        <v>13</v>
      </c>
      <c r="S5" s="56">
        <f>IF(OR(Paramètres!$A11="",F$3=0),"",COUNTIFS(Journal!$D$2:$D$3001,Paramètres!$A11,Journal!$H$2:$H$3001,"&gt;="&amp;MAX(Paramètres!$C11,F$4),Journal!$H$2:$H$3001,"&lt;="&amp;IF(Paramètres!$D11="",EOMONTH(F$4,0),MIN(Paramètres!$D11,EOMONTH(F$4,0))),Journal!$K$2:$K$3001,1))</f>
        <v>15</v>
      </c>
      <c r="T5" s="56">
        <f>IF(OR(Paramètres!$A11="",G$3=0),"",COUNTIFS(Journal!$D$2:$D$3001,Paramètres!$A11,Journal!$H$2:$H$3001,"&gt;="&amp;MAX(Paramètres!$C11,G$4),Journal!$H$2:$H$3001,"&lt;="&amp;IF(Paramètres!$D11="",EOMONTH(G$4,0),MIN(Paramètres!$D11,EOMONTH(G$4,0))),Journal!$K$2:$K$3001,1))</f>
        <v>10</v>
      </c>
      <c r="U5" s="56">
        <f>IF(OR(Paramètres!$A11="",H$3=0),"",COUNTIFS(Journal!$D$2:$D$3001,Paramètres!$A11,Journal!$H$2:$H$3001,"&gt;="&amp;MAX(Paramètres!$C11,H$4),Journal!$H$2:$H$3001,"&lt;="&amp;IF(Paramètres!$D11="",EOMONTH(H$4,0),MIN(Paramètres!$D11,EOMONTH(H$4,0))),Journal!$K$2:$K$3001,1))</f>
        <v>11</v>
      </c>
      <c r="V5" s="56">
        <f>IF(OR(Paramètres!$A11="",I$3=0),"",COUNTIFS(Journal!$D$2:$D$3001,Paramètres!$A11,Journal!$H$2:$H$3001,"&gt;="&amp;MAX(Paramètres!$C11,I$4),Journal!$H$2:$H$3001,"&lt;="&amp;IF(Paramètres!$D11="",EOMONTH(I$4,0),MIN(Paramètres!$D11,EOMONTH(I$4,0))),Journal!$K$2:$K$3001,1))</f>
        <v>10</v>
      </c>
      <c r="W5" s="56">
        <f>IF(OR(Paramètres!$A11="",J$3=0),"",COUNTIFS(Journal!$D$2:$D$3001,Paramètres!$A11,Journal!$H$2:$H$3001,"&gt;="&amp;MAX(Paramètres!$C11,J$4),Journal!$H$2:$H$3001,"&lt;="&amp;IF(Paramètres!$D11="",EOMONTH(J$4,0),MIN(Paramètres!$D11,EOMONTH(J$4,0))),Journal!$K$2:$K$3001,1))</f>
        <v>3</v>
      </c>
      <c r="X5" s="56">
        <f>IF(OR(Paramètres!$A11="",K$3=0),"",COUNTIFS(Journal!$D$2:$D$3001,Paramètres!$A11,Journal!$H$2:$H$3001,"&gt;="&amp;MAX(Paramètres!$C11,K$4),Journal!$H$2:$H$3001,"&lt;="&amp;IF(Paramètres!$D11="",EOMONTH(K$4,0),MIN(Paramètres!$D11,EOMONTH(K$4,0))),Journal!$K$2:$K$3001,1))</f>
        <v>13</v>
      </c>
      <c r="Y5" s="56" t="str">
        <f>IF(OR(Paramètres!$A11="",L$3=0),"",COUNTIFS(Journal!$D$2:$D$3001,Paramètres!$A11,Journal!$H$2:$H$3001,"&gt;="&amp;MAX(Paramètres!$C11,L$4),Journal!$H$2:$H$3001,"&lt;="&amp;IF(Paramètres!$D11="",EOMONTH(L$4,0),MIN(Paramètres!$D11,EOMONTH(L$4,0))),Journal!$K$2:$K$3001,1))</f>
        <v/>
      </c>
      <c r="Z5" s="56" t="str">
        <f>IF(OR(Paramètres!$A11="",M$3=0),"",COUNTIFS(Journal!$D$2:$D$3001,Paramètres!$A11,Journal!$H$2:$H$3001,"&gt;="&amp;MAX(Paramètres!$C11,M$4),Journal!$H$2:$H$3001,"&lt;="&amp;IF(Paramètres!$D11="",EOMONTH(M$4,0),MIN(Paramètres!$D11,EOMONTH(M$4,0))),Journal!$K$2:$K$3001,1))</f>
        <v/>
      </c>
      <c r="AA5" s="56" t="str">
        <f>IF(OR(Paramètres!$A11="",N$3=0),"",COUNTIFS(Journal!$D$2:$D$3001,Paramètres!$A11,Journal!$H$2:$H$3001,"&gt;="&amp;MAX(Paramètres!$C11,N$4),Journal!$H$2:$H$3001,"&lt;="&amp;IF(Paramètres!$D11="",EOMONTH(N$4,0),MIN(Paramètres!$D11,EOMONTH(N$4,0))),Journal!$K$2:$K$3001,1))</f>
        <v/>
      </c>
      <c r="AC5" s="57">
        <f t="shared" ref="AC5:AC34" si="4">IF(C5="","",IF(C5=0,"",P5/C5))</f>
        <v>0.76190476190476186</v>
      </c>
      <c r="AD5" s="57">
        <f t="shared" ref="AD5:AD34" si="5">IF(D5="","",IF(D5=0,"",Q5/D5))</f>
        <v>0.65</v>
      </c>
      <c r="AE5" s="57">
        <f t="shared" ref="AE5:AE34" si="6">IF(E5="","",IF(E5=0,"",R5/E5))</f>
        <v>0.61904761904761907</v>
      </c>
      <c r="AF5" s="57">
        <f t="shared" ref="AF5:AF34" si="7">IF(F5="","",IF(F5=0,"",S5/F5))</f>
        <v>0.68181818181818177</v>
      </c>
      <c r="AG5" s="57">
        <f t="shared" ref="AG5:AG34" si="8">IF(G5="","",IF(G5=0,"",T5/G5))</f>
        <v>0.58823529411764708</v>
      </c>
      <c r="AH5" s="57">
        <f t="shared" ref="AH5:AH34" si="9">IF(H5="","",IF(H5=0,"",U5/H5))</f>
        <v>0.5</v>
      </c>
      <c r="AI5" s="57">
        <f t="shared" ref="AI5:AI34" si="10">IF(I5="","",IF(I5=0,"",V5/I5))</f>
        <v>0.43478260869565216</v>
      </c>
      <c r="AJ5" s="57">
        <f t="shared" ref="AJ5:AJ34" si="11">IF(J5="","",IF(J5=0,"",W5/J5))</f>
        <v>0.375</v>
      </c>
      <c r="AK5" s="57">
        <f t="shared" ref="AK5:AK34" si="12">IF(K5="","",IF(K5=0,"",X5/K5))</f>
        <v>0.59090909090909094</v>
      </c>
      <c r="AL5" s="57" t="str">
        <f t="shared" ref="AL5:AL34" si="13">IF(L5="","",IF(L5=0,"",Y5/L5))</f>
        <v/>
      </c>
      <c r="AM5" s="57" t="str">
        <f t="shared" ref="AM5:AM34" si="14">IF(M5="","",IF(M5=0,"",Z5/M5))</f>
        <v/>
      </c>
      <c r="AN5" s="57" t="str">
        <f t="shared" ref="AN5:AN34" si="15">IF(N5="","",IF(N5=0,"",AA5/N5))</f>
        <v/>
      </c>
      <c r="AP5" s="57">
        <f>IF(C5="","",IF(C5=0,"",MIN(1,P5/MAX(1,ROUND(C5*Paramètres!$E11/5,0)))))</f>
        <v>0.76190476190476186</v>
      </c>
      <c r="AQ5" s="57">
        <f>IF(D5="","",IF(D5=0,"",MIN(1,Q5/MAX(1,ROUND(D5*Paramètres!$E11/5,0)))))</f>
        <v>0.65</v>
      </c>
      <c r="AR5" s="57">
        <f>IF(E5="","",IF(E5=0,"",MIN(1,R5/MAX(1,ROUND(E5*Paramètres!$E11/5,0)))))</f>
        <v>0.61904761904761907</v>
      </c>
      <c r="AS5" s="57">
        <f>IF(F5="","",IF(F5=0,"",MIN(1,S5/MAX(1,ROUND(F5*Paramètres!$E11/5,0)))))</f>
        <v>0.68181818181818177</v>
      </c>
      <c r="AT5" s="57">
        <f>IF(G5="","",IF(G5=0,"",MIN(1,T5/MAX(1,ROUND(G5*Paramètres!$E11/5,0)))))</f>
        <v>0.58823529411764708</v>
      </c>
      <c r="AU5" s="57">
        <f>IF(H5="","",IF(H5=0,"",MIN(1,U5/MAX(1,ROUND(H5*Paramètres!$E11/5,0)))))</f>
        <v>0.5</v>
      </c>
      <c r="AV5" s="57">
        <f>IF(I5="","",IF(I5=0,"",MIN(1,V5/MAX(1,ROUND(I5*Paramètres!$E11/5,0)))))</f>
        <v>0.43478260869565216</v>
      </c>
      <c r="AW5" s="57">
        <f>IF(J5="","",IF(J5=0,"",MIN(1,W5/MAX(1,ROUND(J5*Paramètres!$E11/5,0)))))</f>
        <v>0.375</v>
      </c>
      <c r="AX5" s="57">
        <f>IF(K5="","",IF(K5=0,"",MIN(1,X5/MAX(1,ROUND(K5*Paramètres!$E11/5,0)))))</f>
        <v>0.59090909090909094</v>
      </c>
      <c r="AY5" s="57" t="str">
        <f>IF(L5="","",IF(L5=0,"",MIN(1,Y5/MAX(1,ROUND(L5*Paramètres!$E11/5,0)))))</f>
        <v/>
      </c>
      <c r="AZ5" s="57" t="str">
        <f>IF(M5="","",IF(M5=0,"",MIN(1,Z5/MAX(1,ROUND(M5*Paramètres!$E11/5,0)))))</f>
        <v/>
      </c>
      <c r="BA5" s="57" t="str">
        <f>IF(N5="","",IF(N5=0,"",MIN(1,AA5/MAX(1,ROUND(N5*Paramètres!$E11/5,0)))))</f>
        <v/>
      </c>
      <c r="BC5" s="56">
        <f t="shared" ref="BC5:BC34" si="16">IF(N(INDEX($C5:$N5,$C$48))&gt;0,1,0)</f>
        <v>1</v>
      </c>
      <c r="BD5" s="57">
        <f t="shared" ref="BD5:BD34" si="17">IF(BC5=1,INDEX($AC5:$AN5,$C$48),"")</f>
        <v>0.59090909090909094</v>
      </c>
      <c r="BE5" s="56">
        <f t="shared" ref="BE5:BE34" si="18">IF(BC5=1,N(BD5)+ROW()/1000000,"")</f>
        <v>0.59091409090909097</v>
      </c>
      <c r="BF5" s="56">
        <f t="shared" ref="BF5:BF34" si="19">IF(BC5=1,COUNTIF($BE$5:$BE$34,"&gt;"&amp;BE5)+1,"")</f>
        <v>1</v>
      </c>
    </row>
    <row r="6" spans="1:58" x14ac:dyDescent="0.25">
      <c r="A6" s="68" t="str">
        <f>IF(Paramètres!A12="","",Paramètres!A12)</f>
        <v>Amani Nasser</v>
      </c>
      <c r="C6" s="56">
        <f>IF(OR(Paramètres!$A12="",C$3=0),"",COUNTIFS(Calendrier!$A$2:$A$367,"&gt;="&amp;MAX(Paramètres!$C12,C$4),Calendrier!$A$2:$A$367,"&lt;="&amp;IF(Paramètres!$D12="",EOMONTH(C$4,0),MIN(Paramètres!$D12,EOMONTH(C$4,0))),Calendrier!$C$2:$C$367,1))</f>
        <v>21</v>
      </c>
      <c r="D6" s="56">
        <f>IF(OR(Paramètres!$A12="",D$3=0),"",COUNTIFS(Calendrier!$A$2:$A$367,"&gt;="&amp;MAX(Paramètres!$C12,D$4),Calendrier!$A$2:$A$367,"&lt;="&amp;IF(Paramètres!$D12="",EOMONTH(D$4,0),MIN(Paramètres!$D12,EOMONTH(D$4,0))),Calendrier!$C$2:$C$367,1))</f>
        <v>20</v>
      </c>
      <c r="E6" s="56">
        <f>IF(OR(Paramètres!$A12="",E$3=0),"",COUNTIFS(Calendrier!$A$2:$A$367,"&gt;="&amp;MAX(Paramètres!$C12,E$4),Calendrier!$A$2:$A$367,"&lt;="&amp;IF(Paramètres!$D12="",EOMONTH(E$4,0),MIN(Paramètres!$D12,EOMONTH(E$4,0))),Calendrier!$C$2:$C$367,1))</f>
        <v>21</v>
      </c>
      <c r="F6" s="56">
        <f>IF(OR(Paramètres!$A12="",F$3=0),"",COUNTIFS(Calendrier!$A$2:$A$367,"&gt;="&amp;MAX(Paramètres!$C12,F$4),Calendrier!$A$2:$A$367,"&lt;="&amp;IF(Paramètres!$D12="",EOMONTH(F$4,0),MIN(Paramètres!$D12,EOMONTH(F$4,0))),Calendrier!$C$2:$C$367,1))</f>
        <v>22</v>
      </c>
      <c r="G6" s="69">
        <f>IF(OR(Paramètres!$A12="",G$3=0),"",COUNTIFS(Calendrier!$A$2:$A$367,"&gt;="&amp;MAX(Paramètres!$C12,G$4),Calendrier!$A$2:$A$367,"&lt;="&amp;IF(Paramètres!$D12="",EOMONTH(G$4,0),MIN(Paramètres!$D12,EOMONTH(G$4,0))),Calendrier!$C$2:$C$367,1))</f>
        <v>0</v>
      </c>
      <c r="H6" s="69">
        <f>IF(OR(Paramètres!$A12="",H$3=0),"",COUNTIFS(Calendrier!$A$2:$A$367,"&gt;="&amp;MAX(Paramètres!$C12,H$4),Calendrier!$A$2:$A$367,"&lt;="&amp;IF(Paramètres!$D12="",EOMONTH(H$4,0),MIN(Paramètres!$D12,EOMONTH(H$4,0))),Calendrier!$C$2:$C$367,1))</f>
        <v>0</v>
      </c>
      <c r="I6" s="69">
        <f>IF(OR(Paramètres!$A12="",I$3=0),"",COUNTIFS(Calendrier!$A$2:$A$367,"&gt;="&amp;MAX(Paramètres!$C12,I$4),Calendrier!$A$2:$A$367,"&lt;="&amp;IF(Paramètres!$D12="",EOMONTH(I$4,0),MIN(Paramètres!$D12,EOMONTH(I$4,0))),Calendrier!$C$2:$C$367,1))</f>
        <v>0</v>
      </c>
      <c r="J6" s="69">
        <f>IF(OR(Paramètres!$A12="",J$3=0),"",COUNTIFS(Calendrier!$A$2:$A$367,"&gt;="&amp;MAX(Paramètres!$C12,J$4),Calendrier!$A$2:$A$367,"&lt;="&amp;IF(Paramètres!$D12="",EOMONTH(J$4,0),MIN(Paramètres!$D12,EOMONTH(J$4,0))),Calendrier!$C$2:$C$367,1))</f>
        <v>0</v>
      </c>
      <c r="K6" s="69">
        <f>IF(OR(Paramètres!$A12="",K$3=0),"",COUNTIFS(Calendrier!$A$2:$A$367,"&gt;="&amp;MAX(Paramètres!$C12,K$4),Calendrier!$A$2:$A$367,"&lt;="&amp;IF(Paramètres!$D12="",EOMONTH(K$4,0),MIN(Paramètres!$D12,EOMONTH(K$4,0))),Calendrier!$C$2:$C$367,1))</f>
        <v>0</v>
      </c>
      <c r="L6" s="56" t="str">
        <f>IF(OR(Paramètres!$A12="",L$3=0),"",COUNTIFS(Calendrier!$A$2:$A$367,"&gt;="&amp;MAX(Paramètres!$C12,L$4),Calendrier!$A$2:$A$367,"&lt;="&amp;IF(Paramètres!$D12="",EOMONTH(L$4,0),MIN(Paramètres!$D12,EOMONTH(L$4,0))),Calendrier!$C$2:$C$367,1))</f>
        <v/>
      </c>
      <c r="M6" s="56" t="str">
        <f>IF(OR(Paramètres!$A12="",M$3=0),"",COUNTIFS(Calendrier!$A$2:$A$367,"&gt;="&amp;MAX(Paramètres!$C12,M$4),Calendrier!$A$2:$A$367,"&lt;="&amp;IF(Paramètres!$D12="",EOMONTH(M$4,0),MIN(Paramètres!$D12,EOMONTH(M$4,0))),Calendrier!$C$2:$C$367,1))</f>
        <v/>
      </c>
      <c r="N6" s="56" t="str">
        <f>IF(OR(Paramètres!$A12="",N$3=0),"",COUNTIFS(Calendrier!$A$2:$A$367,"&gt;="&amp;MAX(Paramètres!$C12,N$4),Calendrier!$A$2:$A$367,"&lt;="&amp;IF(Paramètres!$D12="",EOMONTH(N$4,0),MIN(Paramètres!$D12,EOMONTH(N$4,0))),Calendrier!$C$2:$C$367,1))</f>
        <v/>
      </c>
      <c r="P6" s="56">
        <f>IF(OR(Paramètres!$A12="",C$3=0),"",COUNTIFS(Journal!$D$2:$D$3001,Paramètres!$A12,Journal!$H$2:$H$3001,"&gt;="&amp;MAX(Paramètres!$C12,C$4),Journal!$H$2:$H$3001,"&lt;="&amp;IF(Paramètres!$D12="",EOMONTH(C$4,0),MIN(Paramètres!$D12,EOMONTH(C$4,0))),Journal!$K$2:$K$3001,1))</f>
        <v>2</v>
      </c>
      <c r="Q6" s="56">
        <f>IF(OR(Paramètres!$A12="",D$3=0),"",COUNTIFS(Journal!$D$2:$D$3001,Paramètres!$A12,Journal!$H$2:$H$3001,"&gt;="&amp;MAX(Paramètres!$C12,D$4),Journal!$H$2:$H$3001,"&lt;="&amp;IF(Paramètres!$D12="",EOMONTH(D$4,0),MIN(Paramètres!$D12,EOMONTH(D$4,0))),Journal!$K$2:$K$3001,1))</f>
        <v>4</v>
      </c>
      <c r="R6" s="56">
        <f>IF(OR(Paramètres!$A12="",E$3=0),"",COUNTIFS(Journal!$D$2:$D$3001,Paramètres!$A12,Journal!$H$2:$H$3001,"&gt;="&amp;MAX(Paramètres!$C12,E$4),Journal!$H$2:$H$3001,"&lt;="&amp;IF(Paramètres!$D12="",EOMONTH(E$4,0),MIN(Paramètres!$D12,EOMONTH(E$4,0))),Journal!$K$2:$K$3001,1))</f>
        <v>1</v>
      </c>
      <c r="S6" s="56">
        <f>IF(OR(Paramètres!$A12="",F$3=0),"",COUNTIFS(Journal!$D$2:$D$3001,Paramètres!$A12,Journal!$H$2:$H$3001,"&gt;="&amp;MAX(Paramètres!$C12,F$4),Journal!$H$2:$H$3001,"&lt;="&amp;IF(Paramètres!$D12="",EOMONTH(F$4,0),MIN(Paramètres!$D12,EOMONTH(F$4,0))),Journal!$K$2:$K$3001,1))</f>
        <v>1</v>
      </c>
      <c r="T6" s="56">
        <f>IF(OR(Paramètres!$A12="",G$3=0),"",COUNTIFS(Journal!$D$2:$D$3001,Paramètres!$A12,Journal!$H$2:$H$3001,"&gt;="&amp;MAX(Paramètres!$C12,G$4),Journal!$H$2:$H$3001,"&lt;="&amp;IF(Paramètres!$D12="",EOMONTH(G$4,0),MIN(Paramètres!$D12,EOMONTH(G$4,0))),Journal!$K$2:$K$3001,1))</f>
        <v>0</v>
      </c>
      <c r="U6" s="56">
        <f>IF(OR(Paramètres!$A12="",H$3=0),"",COUNTIFS(Journal!$D$2:$D$3001,Paramètres!$A12,Journal!$H$2:$H$3001,"&gt;="&amp;MAX(Paramètres!$C12,H$4),Journal!$H$2:$H$3001,"&lt;="&amp;IF(Paramètres!$D12="",EOMONTH(H$4,0),MIN(Paramètres!$D12,EOMONTH(H$4,0))),Journal!$K$2:$K$3001,1))</f>
        <v>0</v>
      </c>
      <c r="V6" s="56">
        <f>IF(OR(Paramètres!$A12="",I$3=0),"",COUNTIFS(Journal!$D$2:$D$3001,Paramètres!$A12,Journal!$H$2:$H$3001,"&gt;="&amp;MAX(Paramètres!$C12,I$4),Journal!$H$2:$H$3001,"&lt;="&amp;IF(Paramètres!$D12="",EOMONTH(I$4,0),MIN(Paramètres!$D12,EOMONTH(I$4,0))),Journal!$K$2:$K$3001,1))</f>
        <v>0</v>
      </c>
      <c r="W6" s="56">
        <f>IF(OR(Paramètres!$A12="",J$3=0),"",COUNTIFS(Journal!$D$2:$D$3001,Paramètres!$A12,Journal!$H$2:$H$3001,"&gt;="&amp;MAX(Paramètres!$C12,J$4),Journal!$H$2:$H$3001,"&lt;="&amp;IF(Paramètres!$D12="",EOMONTH(J$4,0),MIN(Paramètres!$D12,EOMONTH(J$4,0))),Journal!$K$2:$K$3001,1))</f>
        <v>0</v>
      </c>
      <c r="X6" s="56">
        <f>IF(OR(Paramètres!$A12="",K$3=0),"",COUNTIFS(Journal!$D$2:$D$3001,Paramètres!$A12,Journal!$H$2:$H$3001,"&gt;="&amp;MAX(Paramètres!$C12,K$4),Journal!$H$2:$H$3001,"&lt;="&amp;IF(Paramètres!$D12="",EOMONTH(K$4,0),MIN(Paramètres!$D12,EOMONTH(K$4,0))),Journal!$K$2:$K$3001,1))</f>
        <v>0</v>
      </c>
      <c r="Y6" s="56" t="str">
        <f>IF(OR(Paramètres!$A12="",L$3=0),"",COUNTIFS(Journal!$D$2:$D$3001,Paramètres!$A12,Journal!$H$2:$H$3001,"&gt;="&amp;MAX(Paramètres!$C12,L$4),Journal!$H$2:$H$3001,"&lt;="&amp;IF(Paramètres!$D12="",EOMONTH(L$4,0),MIN(Paramètres!$D12,EOMONTH(L$4,0))),Journal!$K$2:$K$3001,1))</f>
        <v/>
      </c>
      <c r="Z6" s="56" t="str">
        <f>IF(OR(Paramètres!$A12="",M$3=0),"",COUNTIFS(Journal!$D$2:$D$3001,Paramètres!$A12,Journal!$H$2:$H$3001,"&gt;="&amp;MAX(Paramètres!$C12,M$4),Journal!$H$2:$H$3001,"&lt;="&amp;IF(Paramètres!$D12="",EOMONTH(M$4,0),MIN(Paramètres!$D12,EOMONTH(M$4,0))),Journal!$K$2:$K$3001,1))</f>
        <v/>
      </c>
      <c r="AA6" s="56" t="str">
        <f>IF(OR(Paramètres!$A12="",N$3=0),"",COUNTIFS(Journal!$D$2:$D$3001,Paramètres!$A12,Journal!$H$2:$H$3001,"&gt;="&amp;MAX(Paramètres!$C12,N$4),Journal!$H$2:$H$3001,"&lt;="&amp;IF(Paramètres!$D12="",EOMONTH(N$4,0),MIN(Paramètres!$D12,EOMONTH(N$4,0))),Journal!$K$2:$K$3001,1))</f>
        <v/>
      </c>
      <c r="AC6" s="57">
        <f t="shared" si="4"/>
        <v>9.5238095238095233E-2</v>
      </c>
      <c r="AD6" s="57">
        <f t="shared" si="5"/>
        <v>0.2</v>
      </c>
      <c r="AE6" s="57">
        <f t="shared" si="6"/>
        <v>4.7619047619047616E-2</v>
      </c>
      <c r="AF6" s="57">
        <f t="shared" si="7"/>
        <v>4.5454545454545456E-2</v>
      </c>
      <c r="AG6" s="57" t="str">
        <f t="shared" si="8"/>
        <v/>
      </c>
      <c r="AH6" s="57" t="str">
        <f t="shared" si="9"/>
        <v/>
      </c>
      <c r="AI6" s="57" t="str">
        <f t="shared" si="10"/>
        <v/>
      </c>
      <c r="AJ6" s="57" t="str">
        <f t="shared" si="11"/>
        <v/>
      </c>
      <c r="AK6" s="57" t="str">
        <f t="shared" si="12"/>
        <v/>
      </c>
      <c r="AL6" s="57" t="str">
        <f t="shared" si="13"/>
        <v/>
      </c>
      <c r="AM6" s="57" t="str">
        <f t="shared" si="14"/>
        <v/>
      </c>
      <c r="AN6" s="57" t="str">
        <f t="shared" si="15"/>
        <v/>
      </c>
      <c r="AP6" s="57">
        <f>IF(C6="","",IF(C6=0,"",MIN(1,P6/MAX(1,ROUND(C6*Paramètres!$E12/5,0)))))</f>
        <v>9.5238095238095233E-2</v>
      </c>
      <c r="AQ6" s="57">
        <f>IF(D6="","",IF(D6=0,"",MIN(1,Q6/MAX(1,ROUND(D6*Paramètres!$E12/5,0)))))</f>
        <v>0.2</v>
      </c>
      <c r="AR6" s="57">
        <f>IF(E6="","",IF(E6=0,"",MIN(1,R6/MAX(1,ROUND(E6*Paramètres!$E12/5,0)))))</f>
        <v>4.7619047619047616E-2</v>
      </c>
      <c r="AS6" s="57">
        <f>IF(F6="","",IF(F6=0,"",MIN(1,S6/MAX(1,ROUND(F6*Paramètres!$E12/5,0)))))</f>
        <v>4.5454545454545456E-2</v>
      </c>
      <c r="AT6" s="57" t="str">
        <f>IF(G6="","",IF(G6=0,"",MIN(1,T6/MAX(1,ROUND(G6*Paramètres!$E12/5,0)))))</f>
        <v/>
      </c>
      <c r="AU6" s="57" t="str">
        <f>IF(H6="","",IF(H6=0,"",MIN(1,U6/MAX(1,ROUND(H6*Paramètres!$E12/5,0)))))</f>
        <v/>
      </c>
      <c r="AV6" s="57" t="str">
        <f>IF(I6="","",IF(I6=0,"",MIN(1,V6/MAX(1,ROUND(I6*Paramètres!$E12/5,0)))))</f>
        <v/>
      </c>
      <c r="AW6" s="57" t="str">
        <f>IF(J6="","",IF(J6=0,"",MIN(1,W6/MAX(1,ROUND(J6*Paramètres!$E12/5,0)))))</f>
        <v/>
      </c>
      <c r="AX6" s="57" t="str">
        <f>IF(K6="","",IF(K6=0,"",MIN(1,X6/MAX(1,ROUND(K6*Paramètres!$E12/5,0)))))</f>
        <v/>
      </c>
      <c r="AY6" s="57" t="str">
        <f>IF(L6="","",IF(L6=0,"",MIN(1,Y6/MAX(1,ROUND(L6*Paramètres!$E12/5,0)))))</f>
        <v/>
      </c>
      <c r="AZ6" s="57" t="str">
        <f>IF(M6="","",IF(M6=0,"",MIN(1,Z6/MAX(1,ROUND(M6*Paramètres!$E12/5,0)))))</f>
        <v/>
      </c>
      <c r="BA6" s="57" t="str">
        <f>IF(N6="","",IF(N6=0,"",MIN(1,AA6/MAX(1,ROUND(N6*Paramètres!$E12/5,0)))))</f>
        <v/>
      </c>
      <c r="BC6" s="56">
        <f t="shared" si="16"/>
        <v>0</v>
      </c>
      <c r="BD6" s="56" t="str">
        <f t="shared" si="17"/>
        <v/>
      </c>
      <c r="BE6" s="56" t="str">
        <f t="shared" si="18"/>
        <v/>
      </c>
      <c r="BF6" s="56" t="str">
        <f t="shared" si="19"/>
        <v/>
      </c>
    </row>
    <row r="7" spans="1:58" x14ac:dyDescent="0.25">
      <c r="A7" s="56" t="str">
        <f>IF(Paramètres!A13="","",Paramètres!A13)</f>
        <v>Amine Latrech</v>
      </c>
      <c r="C7" s="56">
        <f>IF(OR(Paramètres!$A13="",C$3=0),"",COUNTIFS(Calendrier!$A$2:$A$367,"&gt;="&amp;MAX(Paramètres!$C13,C$4),Calendrier!$A$2:$A$367,"&lt;="&amp;IF(Paramètres!$D13="",EOMONTH(C$4,0),MIN(Paramètres!$D13,EOMONTH(C$4,0))),Calendrier!$C$2:$C$367,1))</f>
        <v>21</v>
      </c>
      <c r="D7" s="56">
        <f>IF(OR(Paramètres!$A13="",D$3=0),"",COUNTIFS(Calendrier!$A$2:$A$367,"&gt;="&amp;MAX(Paramètres!$C13,D$4),Calendrier!$A$2:$A$367,"&lt;="&amp;IF(Paramètres!$D13="",EOMONTH(D$4,0),MIN(Paramètres!$D13,EOMONTH(D$4,0))),Calendrier!$C$2:$C$367,1))</f>
        <v>20</v>
      </c>
      <c r="E7" s="56">
        <f>IF(OR(Paramètres!$A13="",E$3=0),"",COUNTIFS(Calendrier!$A$2:$A$367,"&gt;="&amp;MAX(Paramètres!$C13,E$4),Calendrier!$A$2:$A$367,"&lt;="&amp;IF(Paramètres!$D13="",EOMONTH(E$4,0),MIN(Paramètres!$D13,EOMONTH(E$4,0))),Calendrier!$C$2:$C$367,1))</f>
        <v>21</v>
      </c>
      <c r="F7" s="56">
        <f>IF(OR(Paramètres!$A13="",F$3=0),"",COUNTIFS(Calendrier!$A$2:$A$367,"&gt;="&amp;MAX(Paramètres!$C13,F$4),Calendrier!$A$2:$A$367,"&lt;="&amp;IF(Paramètres!$D13="",EOMONTH(F$4,0),MIN(Paramètres!$D13,EOMONTH(F$4,0))),Calendrier!$C$2:$C$367,1))</f>
        <v>22</v>
      </c>
      <c r="G7" s="56">
        <f>IF(OR(Paramètres!$A13="",G$3=0),"",COUNTIFS(Calendrier!$A$2:$A$367,"&gt;="&amp;MAX(Paramètres!$C13,G$4),Calendrier!$A$2:$A$367,"&lt;="&amp;IF(Paramètres!$D13="",EOMONTH(G$4,0),MIN(Paramètres!$D13,EOMONTH(G$4,0))),Calendrier!$C$2:$C$367,1))</f>
        <v>17</v>
      </c>
      <c r="H7" s="56">
        <f>IF(OR(Paramètres!$A13="",H$3=0),"",COUNTIFS(Calendrier!$A$2:$A$367,"&gt;="&amp;MAX(Paramètres!$C13,H$4),Calendrier!$A$2:$A$367,"&lt;="&amp;IF(Paramètres!$D13="",EOMONTH(H$4,0),MIN(Paramètres!$D13,EOMONTH(H$4,0))),Calendrier!$C$2:$C$367,1))</f>
        <v>22</v>
      </c>
      <c r="I7" s="56">
        <f>IF(OR(Paramètres!$A13="",I$3=0),"",COUNTIFS(Calendrier!$A$2:$A$367,"&gt;="&amp;MAX(Paramètres!$C13,I$4),Calendrier!$A$2:$A$367,"&lt;="&amp;IF(Paramètres!$D13="",EOMONTH(I$4,0),MIN(Paramètres!$D13,EOMONTH(I$4,0))),Calendrier!$C$2:$C$367,1))</f>
        <v>23</v>
      </c>
      <c r="J7" s="56">
        <f>IF(OR(Paramètres!$A13="",J$3=0),"",COUNTIFS(Calendrier!$A$2:$A$367,"&gt;="&amp;MAX(Paramètres!$C13,J$4),Calendrier!$A$2:$A$367,"&lt;="&amp;IF(Paramètres!$D13="",EOMONTH(J$4,0),MIN(Paramètres!$D13,EOMONTH(J$4,0))),Calendrier!$C$2:$C$367,1))</f>
        <v>8</v>
      </c>
      <c r="K7" s="56">
        <f>IF(OR(Paramètres!$A13="",K$3=0),"",COUNTIFS(Calendrier!$A$2:$A$367,"&gt;="&amp;MAX(Paramètres!$C13,K$4),Calendrier!$A$2:$A$367,"&lt;="&amp;IF(Paramètres!$D13="",EOMONTH(K$4,0),MIN(Paramètres!$D13,EOMONTH(K$4,0))),Calendrier!$C$2:$C$367,1))</f>
        <v>22</v>
      </c>
      <c r="L7" s="56" t="str">
        <f>IF(OR(Paramètres!$A13="",L$3=0),"",COUNTIFS(Calendrier!$A$2:$A$367,"&gt;="&amp;MAX(Paramètres!$C13,L$4),Calendrier!$A$2:$A$367,"&lt;="&amp;IF(Paramètres!$D13="",EOMONTH(L$4,0),MIN(Paramètres!$D13,EOMONTH(L$4,0))),Calendrier!$C$2:$C$367,1))</f>
        <v/>
      </c>
      <c r="M7" s="56" t="str">
        <f>IF(OR(Paramètres!$A13="",M$3=0),"",COUNTIFS(Calendrier!$A$2:$A$367,"&gt;="&amp;MAX(Paramètres!$C13,M$4),Calendrier!$A$2:$A$367,"&lt;="&amp;IF(Paramètres!$D13="",EOMONTH(M$4,0),MIN(Paramètres!$D13,EOMONTH(M$4,0))),Calendrier!$C$2:$C$367,1))</f>
        <v/>
      </c>
      <c r="N7" s="56" t="str">
        <f>IF(OR(Paramètres!$A13="",N$3=0),"",COUNTIFS(Calendrier!$A$2:$A$367,"&gt;="&amp;MAX(Paramètres!$C13,N$4),Calendrier!$A$2:$A$367,"&lt;="&amp;IF(Paramètres!$D13="",EOMONTH(N$4,0),MIN(Paramètres!$D13,EOMONTH(N$4,0))),Calendrier!$C$2:$C$367,1))</f>
        <v/>
      </c>
      <c r="P7" s="56">
        <f>IF(OR(Paramètres!$A13="",C$3=0),"",COUNTIFS(Journal!$D$2:$D$3001,Paramètres!$A13,Journal!$H$2:$H$3001,"&gt;="&amp;MAX(Paramètres!$C13,C$4),Journal!$H$2:$H$3001,"&lt;="&amp;IF(Paramètres!$D13="",EOMONTH(C$4,0),MIN(Paramètres!$D13,EOMONTH(C$4,0))),Journal!$K$2:$K$3001,1))</f>
        <v>4</v>
      </c>
      <c r="Q7" s="56">
        <f>IF(OR(Paramètres!$A13="",D$3=0),"",COUNTIFS(Journal!$D$2:$D$3001,Paramètres!$A13,Journal!$H$2:$H$3001,"&gt;="&amp;MAX(Paramètres!$C13,D$4),Journal!$H$2:$H$3001,"&lt;="&amp;IF(Paramètres!$D13="",EOMONTH(D$4,0),MIN(Paramètres!$D13,EOMONTH(D$4,0))),Journal!$K$2:$K$3001,1))</f>
        <v>4</v>
      </c>
      <c r="R7" s="56">
        <f>IF(OR(Paramètres!$A13="",E$3=0),"",COUNTIFS(Journal!$D$2:$D$3001,Paramètres!$A13,Journal!$H$2:$H$3001,"&gt;="&amp;MAX(Paramètres!$C13,E$4),Journal!$H$2:$H$3001,"&lt;="&amp;IF(Paramètres!$D13="",EOMONTH(E$4,0),MIN(Paramètres!$D13,EOMONTH(E$4,0))),Journal!$K$2:$K$3001,1))</f>
        <v>1</v>
      </c>
      <c r="S7" s="56">
        <f>IF(OR(Paramètres!$A13="",F$3=0),"",COUNTIFS(Journal!$D$2:$D$3001,Paramètres!$A13,Journal!$H$2:$H$3001,"&gt;="&amp;MAX(Paramètres!$C13,F$4),Journal!$H$2:$H$3001,"&lt;="&amp;IF(Paramètres!$D13="",EOMONTH(F$4,0),MIN(Paramètres!$D13,EOMONTH(F$4,0))),Journal!$K$2:$K$3001,1))</f>
        <v>4</v>
      </c>
      <c r="T7" s="56">
        <f>IF(OR(Paramètres!$A13="",G$3=0),"",COUNTIFS(Journal!$D$2:$D$3001,Paramètres!$A13,Journal!$H$2:$H$3001,"&gt;="&amp;MAX(Paramètres!$C13,G$4),Journal!$H$2:$H$3001,"&lt;="&amp;IF(Paramètres!$D13="",EOMONTH(G$4,0),MIN(Paramètres!$D13,EOMONTH(G$4,0))),Journal!$K$2:$K$3001,1))</f>
        <v>4</v>
      </c>
      <c r="U7" s="56">
        <f>IF(OR(Paramètres!$A13="",H$3=0),"",COUNTIFS(Journal!$D$2:$D$3001,Paramètres!$A13,Journal!$H$2:$H$3001,"&gt;="&amp;MAX(Paramètres!$C13,H$4),Journal!$H$2:$H$3001,"&lt;="&amp;IF(Paramètres!$D13="",EOMONTH(H$4,0),MIN(Paramètres!$D13,EOMONTH(H$4,0))),Journal!$K$2:$K$3001,1))</f>
        <v>5</v>
      </c>
      <c r="V7" s="56">
        <f>IF(OR(Paramètres!$A13="",I$3=0),"",COUNTIFS(Journal!$D$2:$D$3001,Paramètres!$A13,Journal!$H$2:$H$3001,"&gt;="&amp;MAX(Paramètres!$C13,I$4),Journal!$H$2:$H$3001,"&lt;="&amp;IF(Paramètres!$D13="",EOMONTH(I$4,0),MIN(Paramètres!$D13,EOMONTH(I$4,0))),Journal!$K$2:$K$3001,1))</f>
        <v>2</v>
      </c>
      <c r="W7" s="56">
        <f>IF(OR(Paramètres!$A13="",J$3=0),"",COUNTIFS(Journal!$D$2:$D$3001,Paramètres!$A13,Journal!$H$2:$H$3001,"&gt;="&amp;MAX(Paramètres!$C13,J$4),Journal!$H$2:$H$3001,"&lt;="&amp;IF(Paramètres!$D13="",EOMONTH(J$4,0),MIN(Paramètres!$D13,EOMONTH(J$4,0))),Journal!$K$2:$K$3001,1))</f>
        <v>0</v>
      </c>
      <c r="X7" s="56">
        <f>IF(OR(Paramètres!$A13="",K$3=0),"",COUNTIFS(Journal!$D$2:$D$3001,Paramètres!$A13,Journal!$H$2:$H$3001,"&gt;="&amp;MAX(Paramètres!$C13,K$4),Journal!$H$2:$H$3001,"&lt;="&amp;IF(Paramètres!$D13="",EOMONTH(K$4,0),MIN(Paramètres!$D13,EOMONTH(K$4,0))),Journal!$K$2:$K$3001,1))</f>
        <v>0</v>
      </c>
      <c r="Y7" s="56" t="str">
        <f>IF(OR(Paramètres!$A13="",L$3=0),"",COUNTIFS(Journal!$D$2:$D$3001,Paramètres!$A13,Journal!$H$2:$H$3001,"&gt;="&amp;MAX(Paramètres!$C13,L$4),Journal!$H$2:$H$3001,"&lt;="&amp;IF(Paramètres!$D13="",EOMONTH(L$4,0),MIN(Paramètres!$D13,EOMONTH(L$4,0))),Journal!$K$2:$K$3001,1))</f>
        <v/>
      </c>
      <c r="Z7" s="56" t="str">
        <f>IF(OR(Paramètres!$A13="",M$3=0),"",COUNTIFS(Journal!$D$2:$D$3001,Paramètres!$A13,Journal!$H$2:$H$3001,"&gt;="&amp;MAX(Paramètres!$C13,M$4),Journal!$H$2:$H$3001,"&lt;="&amp;IF(Paramètres!$D13="",EOMONTH(M$4,0),MIN(Paramètres!$D13,EOMONTH(M$4,0))),Journal!$K$2:$K$3001,1))</f>
        <v/>
      </c>
      <c r="AA7" s="56" t="str">
        <f>IF(OR(Paramètres!$A13="",N$3=0),"",COUNTIFS(Journal!$D$2:$D$3001,Paramètres!$A13,Journal!$H$2:$H$3001,"&gt;="&amp;MAX(Paramètres!$C13,N$4),Journal!$H$2:$H$3001,"&lt;="&amp;IF(Paramètres!$D13="",EOMONTH(N$4,0),MIN(Paramètres!$D13,EOMONTH(N$4,0))),Journal!$K$2:$K$3001,1))</f>
        <v/>
      </c>
      <c r="AC7" s="57">
        <f t="shared" si="4"/>
        <v>0.19047619047619047</v>
      </c>
      <c r="AD7" s="57">
        <f t="shared" si="5"/>
        <v>0.2</v>
      </c>
      <c r="AE7" s="57">
        <f t="shared" si="6"/>
        <v>4.7619047619047616E-2</v>
      </c>
      <c r="AF7" s="57">
        <f t="shared" si="7"/>
        <v>0.18181818181818182</v>
      </c>
      <c r="AG7" s="57">
        <f t="shared" si="8"/>
        <v>0.23529411764705882</v>
      </c>
      <c r="AH7" s="57">
        <f t="shared" si="9"/>
        <v>0.22727272727272727</v>
      </c>
      <c r="AI7" s="57">
        <f t="shared" si="10"/>
        <v>8.6956521739130432E-2</v>
      </c>
      <c r="AJ7" s="57">
        <f t="shared" si="11"/>
        <v>0</v>
      </c>
      <c r="AK7" s="57">
        <f t="shared" si="12"/>
        <v>0</v>
      </c>
      <c r="AL7" s="57" t="str">
        <f t="shared" si="13"/>
        <v/>
      </c>
      <c r="AM7" s="57" t="str">
        <f t="shared" si="14"/>
        <v/>
      </c>
      <c r="AN7" s="57" t="str">
        <f t="shared" si="15"/>
        <v/>
      </c>
      <c r="AP7" s="57">
        <f>IF(C7="","",IF(C7=0,"",MIN(1,P7/MAX(1,ROUND(C7*Paramètres!$E13/5,0)))))</f>
        <v>0.19047619047619047</v>
      </c>
      <c r="AQ7" s="57">
        <f>IF(D7="","",IF(D7=0,"",MIN(1,Q7/MAX(1,ROUND(D7*Paramètres!$E13/5,0)))))</f>
        <v>0.2</v>
      </c>
      <c r="AR7" s="57">
        <f>IF(E7="","",IF(E7=0,"",MIN(1,R7/MAX(1,ROUND(E7*Paramètres!$E13/5,0)))))</f>
        <v>4.7619047619047616E-2</v>
      </c>
      <c r="AS7" s="57">
        <f>IF(F7="","",IF(F7=0,"",MIN(1,S7/MAX(1,ROUND(F7*Paramètres!$E13/5,0)))))</f>
        <v>0.18181818181818182</v>
      </c>
      <c r="AT7" s="57">
        <f>IF(G7="","",IF(G7=0,"",MIN(1,T7/MAX(1,ROUND(G7*Paramètres!$E13/5,0)))))</f>
        <v>0.23529411764705882</v>
      </c>
      <c r="AU7" s="57">
        <f>IF(H7="","",IF(H7=0,"",MIN(1,U7/MAX(1,ROUND(H7*Paramètres!$E13/5,0)))))</f>
        <v>0.22727272727272727</v>
      </c>
      <c r="AV7" s="57">
        <f>IF(I7="","",IF(I7=0,"",MIN(1,V7/MAX(1,ROUND(I7*Paramètres!$E13/5,0)))))</f>
        <v>8.6956521739130432E-2</v>
      </c>
      <c r="AW7" s="57">
        <f>IF(J7="","",IF(J7=0,"",MIN(1,W7/MAX(1,ROUND(J7*Paramètres!$E13/5,0)))))</f>
        <v>0</v>
      </c>
      <c r="AX7" s="57">
        <f>IF(K7="","",IF(K7=0,"",MIN(1,X7/MAX(1,ROUND(K7*Paramètres!$E13/5,0)))))</f>
        <v>0</v>
      </c>
      <c r="AY7" s="57" t="str">
        <f>IF(L7="","",IF(L7=0,"",MIN(1,Y7/MAX(1,ROUND(L7*Paramètres!$E13/5,0)))))</f>
        <v/>
      </c>
      <c r="AZ7" s="57" t="str">
        <f>IF(M7="","",IF(M7=0,"",MIN(1,Z7/MAX(1,ROUND(M7*Paramètres!$E13/5,0)))))</f>
        <v/>
      </c>
      <c r="BA7" s="57" t="str">
        <f>IF(N7="","",IF(N7=0,"",MIN(1,AA7/MAX(1,ROUND(N7*Paramètres!$E13/5,0)))))</f>
        <v/>
      </c>
      <c r="BC7" s="56">
        <f t="shared" si="16"/>
        <v>1</v>
      </c>
      <c r="BD7" s="57">
        <f t="shared" si="17"/>
        <v>0</v>
      </c>
      <c r="BE7" s="56">
        <f t="shared" si="18"/>
        <v>6.9999999999999999E-6</v>
      </c>
      <c r="BF7" s="56">
        <f t="shared" si="19"/>
        <v>15</v>
      </c>
    </row>
    <row r="8" spans="1:58" x14ac:dyDescent="0.25">
      <c r="A8" s="70" t="str">
        <f>IF(Paramètres!A14="","",Paramètres!A14)</f>
        <v>Chaima Jdid</v>
      </c>
      <c r="C8" s="71">
        <f>IF(OR(Paramètres!$A14="",C$3=0),"",COUNTIFS(Calendrier!$A$2:$A$367,"&gt;="&amp;MAX(Paramètres!$C14,C$4),Calendrier!$A$2:$A$367,"&lt;="&amp;IF(Paramètres!$D14="",EOMONTH(C$4,0),MIN(Paramètres!$D14,EOMONTH(C$4,0))),Calendrier!$C$2:$C$367,1))</f>
        <v>0</v>
      </c>
      <c r="D8" s="71">
        <f>IF(OR(Paramètres!$A14="",D$3=0),"",COUNTIFS(Calendrier!$A$2:$A$367,"&gt;="&amp;MAX(Paramètres!$C14,D$4),Calendrier!$A$2:$A$367,"&lt;="&amp;IF(Paramètres!$D14="",EOMONTH(D$4,0),MIN(Paramètres!$D14,EOMONTH(D$4,0))),Calendrier!$C$2:$C$367,1))</f>
        <v>0</v>
      </c>
      <c r="E8" s="71">
        <f>IF(OR(Paramètres!$A14="",E$3=0),"",COUNTIFS(Calendrier!$A$2:$A$367,"&gt;="&amp;MAX(Paramètres!$C14,E$4),Calendrier!$A$2:$A$367,"&lt;="&amp;IF(Paramètres!$D14="",EOMONTH(E$4,0),MIN(Paramètres!$D14,EOMONTH(E$4,0))),Calendrier!$C$2:$C$367,1))</f>
        <v>0</v>
      </c>
      <c r="F8" s="71">
        <f>IF(OR(Paramètres!$A14="",F$3=0),"",COUNTIFS(Calendrier!$A$2:$A$367,"&gt;="&amp;MAX(Paramètres!$C14,F$4),Calendrier!$A$2:$A$367,"&lt;="&amp;IF(Paramètres!$D14="",EOMONTH(F$4,0),MIN(Paramètres!$D14,EOMONTH(F$4,0))),Calendrier!$C$2:$C$367,1))</f>
        <v>0</v>
      </c>
      <c r="G8" s="71">
        <f>IF(OR(Paramètres!$A14="",G$3=0),"",COUNTIFS(Calendrier!$A$2:$A$367,"&gt;="&amp;MAX(Paramètres!$C14,G$4),Calendrier!$A$2:$A$367,"&lt;="&amp;IF(Paramètres!$D14="",EOMONTH(G$4,0),MIN(Paramètres!$D14,EOMONTH(G$4,0))),Calendrier!$C$2:$C$367,1))</f>
        <v>0</v>
      </c>
      <c r="H8" s="71">
        <f>IF(OR(Paramètres!$A14="",H$3=0),"",COUNTIFS(Calendrier!$A$2:$A$367,"&gt;="&amp;MAX(Paramètres!$C14,H$4),Calendrier!$A$2:$A$367,"&lt;="&amp;IF(Paramètres!$D14="",EOMONTH(H$4,0),MIN(Paramètres!$D14,EOMONTH(H$4,0))),Calendrier!$C$2:$C$367,1))</f>
        <v>0</v>
      </c>
      <c r="I8" s="56">
        <f>IF(OR(Paramètres!$A14="",I$3=0),"",COUNTIFS(Calendrier!$A$2:$A$367,"&gt;="&amp;MAX(Paramètres!$C14,I$4),Calendrier!$A$2:$A$367,"&lt;="&amp;IF(Paramètres!$D14="",EOMONTH(I$4,0),MIN(Paramètres!$D14,EOMONTH(I$4,0))),Calendrier!$C$2:$C$367,1))</f>
        <v>23</v>
      </c>
      <c r="J8" s="56">
        <f>IF(OR(Paramètres!$A14="",J$3=0),"",COUNTIFS(Calendrier!$A$2:$A$367,"&gt;="&amp;MAX(Paramètres!$C14,J$4),Calendrier!$A$2:$A$367,"&lt;="&amp;IF(Paramètres!$D14="",EOMONTH(J$4,0),MIN(Paramètres!$D14,EOMONTH(J$4,0))),Calendrier!$C$2:$C$367,1))</f>
        <v>8</v>
      </c>
      <c r="K8" s="56">
        <f>IF(OR(Paramètres!$A14="",K$3=0),"",COUNTIFS(Calendrier!$A$2:$A$367,"&gt;="&amp;MAX(Paramètres!$C14,K$4),Calendrier!$A$2:$A$367,"&lt;="&amp;IF(Paramètres!$D14="",EOMONTH(K$4,0),MIN(Paramètres!$D14,EOMONTH(K$4,0))),Calendrier!$C$2:$C$367,1))</f>
        <v>22</v>
      </c>
      <c r="L8" s="56" t="str">
        <f>IF(OR(Paramètres!$A14="",L$3=0),"",COUNTIFS(Calendrier!$A$2:$A$367,"&gt;="&amp;MAX(Paramètres!$C14,L$4),Calendrier!$A$2:$A$367,"&lt;="&amp;IF(Paramètres!$D14="",EOMONTH(L$4,0),MIN(Paramètres!$D14,EOMONTH(L$4,0))),Calendrier!$C$2:$C$367,1))</f>
        <v/>
      </c>
      <c r="M8" s="56" t="str">
        <f>IF(OR(Paramètres!$A14="",M$3=0),"",COUNTIFS(Calendrier!$A$2:$A$367,"&gt;="&amp;MAX(Paramètres!$C14,M$4),Calendrier!$A$2:$A$367,"&lt;="&amp;IF(Paramètres!$D14="",EOMONTH(M$4,0),MIN(Paramètres!$D14,EOMONTH(M$4,0))),Calendrier!$C$2:$C$367,1))</f>
        <v/>
      </c>
      <c r="N8" s="56" t="str">
        <f>IF(OR(Paramètres!$A14="",N$3=0),"",COUNTIFS(Calendrier!$A$2:$A$367,"&gt;="&amp;MAX(Paramètres!$C14,N$4),Calendrier!$A$2:$A$367,"&lt;="&amp;IF(Paramètres!$D14="",EOMONTH(N$4,0),MIN(Paramètres!$D14,EOMONTH(N$4,0))),Calendrier!$C$2:$C$367,1))</f>
        <v/>
      </c>
      <c r="P8" s="56">
        <f>IF(OR(Paramètres!$A14="",C$3=0),"",COUNTIFS(Journal!$D$2:$D$3001,Paramètres!$A14,Journal!$H$2:$H$3001,"&gt;="&amp;MAX(Paramètres!$C14,C$4),Journal!$H$2:$H$3001,"&lt;="&amp;IF(Paramètres!$D14="",EOMONTH(C$4,0),MIN(Paramètres!$D14,EOMONTH(C$4,0))),Journal!$K$2:$K$3001,1))</f>
        <v>0</v>
      </c>
      <c r="Q8" s="56">
        <f>IF(OR(Paramètres!$A14="",D$3=0),"",COUNTIFS(Journal!$D$2:$D$3001,Paramètres!$A14,Journal!$H$2:$H$3001,"&gt;="&amp;MAX(Paramètres!$C14,D$4),Journal!$H$2:$H$3001,"&lt;="&amp;IF(Paramètres!$D14="",EOMONTH(D$4,0),MIN(Paramètres!$D14,EOMONTH(D$4,0))),Journal!$K$2:$K$3001,1))</f>
        <v>0</v>
      </c>
      <c r="R8" s="56">
        <f>IF(OR(Paramètres!$A14="",E$3=0),"",COUNTIFS(Journal!$D$2:$D$3001,Paramètres!$A14,Journal!$H$2:$H$3001,"&gt;="&amp;MAX(Paramètres!$C14,E$4),Journal!$H$2:$H$3001,"&lt;="&amp;IF(Paramètres!$D14="",EOMONTH(E$4,0),MIN(Paramètres!$D14,EOMONTH(E$4,0))),Journal!$K$2:$K$3001,1))</f>
        <v>0</v>
      </c>
      <c r="S8" s="56">
        <f>IF(OR(Paramètres!$A14="",F$3=0),"",COUNTIFS(Journal!$D$2:$D$3001,Paramètres!$A14,Journal!$H$2:$H$3001,"&gt;="&amp;MAX(Paramètres!$C14,F$4),Journal!$H$2:$H$3001,"&lt;="&amp;IF(Paramètres!$D14="",EOMONTH(F$4,0),MIN(Paramètres!$D14,EOMONTH(F$4,0))),Journal!$K$2:$K$3001,1))</f>
        <v>0</v>
      </c>
      <c r="T8" s="56">
        <f>IF(OR(Paramètres!$A14="",G$3=0),"",COUNTIFS(Journal!$D$2:$D$3001,Paramètres!$A14,Journal!$H$2:$H$3001,"&gt;="&amp;MAX(Paramètres!$C14,G$4),Journal!$H$2:$H$3001,"&lt;="&amp;IF(Paramètres!$D14="",EOMONTH(G$4,0),MIN(Paramètres!$D14,EOMONTH(G$4,0))),Journal!$K$2:$K$3001,1))</f>
        <v>0</v>
      </c>
      <c r="U8" s="56">
        <f>IF(OR(Paramètres!$A14="",H$3=0),"",COUNTIFS(Journal!$D$2:$D$3001,Paramètres!$A14,Journal!$H$2:$H$3001,"&gt;="&amp;MAX(Paramètres!$C14,H$4),Journal!$H$2:$H$3001,"&lt;="&amp;IF(Paramètres!$D14="",EOMONTH(H$4,0),MIN(Paramètres!$D14,EOMONTH(H$4,0))),Journal!$K$2:$K$3001,1))</f>
        <v>0</v>
      </c>
      <c r="V8" s="56">
        <f>IF(OR(Paramètres!$A14="",I$3=0),"",COUNTIFS(Journal!$D$2:$D$3001,Paramètres!$A14,Journal!$H$2:$H$3001,"&gt;="&amp;MAX(Paramètres!$C14,I$4),Journal!$H$2:$H$3001,"&lt;="&amp;IF(Paramètres!$D14="",EOMONTH(I$4,0),MIN(Paramètres!$D14,EOMONTH(I$4,0))),Journal!$K$2:$K$3001,1))</f>
        <v>7</v>
      </c>
      <c r="W8" s="56">
        <f>IF(OR(Paramètres!$A14="",J$3=0),"",COUNTIFS(Journal!$D$2:$D$3001,Paramètres!$A14,Journal!$H$2:$H$3001,"&gt;="&amp;MAX(Paramètres!$C14,J$4),Journal!$H$2:$H$3001,"&lt;="&amp;IF(Paramètres!$D14="",EOMONTH(J$4,0),MIN(Paramètres!$D14,EOMONTH(J$4,0))),Journal!$K$2:$K$3001,1))</f>
        <v>4</v>
      </c>
      <c r="X8" s="56">
        <f>IF(OR(Paramètres!$A14="",K$3=0),"",COUNTIFS(Journal!$D$2:$D$3001,Paramètres!$A14,Journal!$H$2:$H$3001,"&gt;="&amp;MAX(Paramètres!$C14,K$4),Journal!$H$2:$H$3001,"&lt;="&amp;IF(Paramètres!$D14="",EOMONTH(K$4,0),MIN(Paramètres!$D14,EOMONTH(K$4,0))),Journal!$K$2:$K$3001,1))</f>
        <v>7</v>
      </c>
      <c r="Y8" s="56" t="str">
        <f>IF(OR(Paramètres!$A14="",L$3=0),"",COUNTIFS(Journal!$D$2:$D$3001,Paramètres!$A14,Journal!$H$2:$H$3001,"&gt;="&amp;MAX(Paramètres!$C14,L$4),Journal!$H$2:$H$3001,"&lt;="&amp;IF(Paramètres!$D14="",EOMONTH(L$4,0),MIN(Paramètres!$D14,EOMONTH(L$4,0))),Journal!$K$2:$K$3001,1))</f>
        <v/>
      </c>
      <c r="Z8" s="56" t="str">
        <f>IF(OR(Paramètres!$A14="",M$3=0),"",COUNTIFS(Journal!$D$2:$D$3001,Paramètres!$A14,Journal!$H$2:$H$3001,"&gt;="&amp;MAX(Paramètres!$C14,M$4),Journal!$H$2:$H$3001,"&lt;="&amp;IF(Paramètres!$D14="",EOMONTH(M$4,0),MIN(Paramètres!$D14,EOMONTH(M$4,0))),Journal!$K$2:$K$3001,1))</f>
        <v/>
      </c>
      <c r="AA8" s="56" t="str">
        <f>IF(OR(Paramètres!$A14="",N$3=0),"",COUNTIFS(Journal!$D$2:$D$3001,Paramètres!$A14,Journal!$H$2:$H$3001,"&gt;="&amp;MAX(Paramètres!$C14,N$4),Journal!$H$2:$H$3001,"&lt;="&amp;IF(Paramètres!$D14="",EOMONTH(N$4,0),MIN(Paramètres!$D14,EOMONTH(N$4,0))),Journal!$K$2:$K$3001,1))</f>
        <v/>
      </c>
      <c r="AC8" s="57" t="str">
        <f t="shared" si="4"/>
        <v/>
      </c>
      <c r="AD8" s="57" t="str">
        <f t="shared" si="5"/>
        <v/>
      </c>
      <c r="AE8" s="57" t="str">
        <f t="shared" si="6"/>
        <v/>
      </c>
      <c r="AF8" s="57" t="str">
        <f t="shared" si="7"/>
        <v/>
      </c>
      <c r="AG8" s="57" t="str">
        <f t="shared" si="8"/>
        <v/>
      </c>
      <c r="AH8" s="57" t="str">
        <f t="shared" si="9"/>
        <v/>
      </c>
      <c r="AI8" s="57">
        <f t="shared" si="10"/>
        <v>0.30434782608695654</v>
      </c>
      <c r="AJ8" s="57">
        <f t="shared" si="11"/>
        <v>0.5</v>
      </c>
      <c r="AK8" s="57">
        <f t="shared" si="12"/>
        <v>0.31818181818181818</v>
      </c>
      <c r="AL8" s="57" t="str">
        <f t="shared" si="13"/>
        <v/>
      </c>
      <c r="AM8" s="57" t="str">
        <f t="shared" si="14"/>
        <v/>
      </c>
      <c r="AN8" s="57" t="str">
        <f t="shared" si="15"/>
        <v/>
      </c>
      <c r="AP8" s="57" t="str">
        <f>IF(C8="","",IF(C8=0,"",MIN(1,P8/MAX(1,ROUND(C8*Paramètres!$E14/5,0)))))</f>
        <v/>
      </c>
      <c r="AQ8" s="57" t="str">
        <f>IF(D8="","",IF(D8=0,"",MIN(1,Q8/MAX(1,ROUND(D8*Paramètres!$E14/5,0)))))</f>
        <v/>
      </c>
      <c r="AR8" s="57" t="str">
        <f>IF(E8="","",IF(E8=0,"",MIN(1,R8/MAX(1,ROUND(E8*Paramètres!$E14/5,0)))))</f>
        <v/>
      </c>
      <c r="AS8" s="57" t="str">
        <f>IF(F8="","",IF(F8=0,"",MIN(1,S8/MAX(1,ROUND(F8*Paramètres!$E14/5,0)))))</f>
        <v/>
      </c>
      <c r="AT8" s="57" t="str">
        <f>IF(G8="","",IF(G8=0,"",MIN(1,T8/MAX(1,ROUND(G8*Paramètres!$E14/5,0)))))</f>
        <v/>
      </c>
      <c r="AU8" s="57" t="str">
        <f>IF(H8="","",IF(H8=0,"",MIN(1,U8/MAX(1,ROUND(H8*Paramètres!$E14/5,0)))))</f>
        <v/>
      </c>
      <c r="AV8" s="57">
        <f>IF(I8="","",IF(I8=0,"",MIN(1,V8/MAX(1,ROUND(I8*Paramètres!$E14/5,0)))))</f>
        <v>0.30434782608695654</v>
      </c>
      <c r="AW8" s="57">
        <f>IF(J8="","",IF(J8=0,"",MIN(1,W8/MAX(1,ROUND(J8*Paramètres!$E14/5,0)))))</f>
        <v>0.5</v>
      </c>
      <c r="AX8" s="57">
        <f>IF(K8="","",IF(K8=0,"",MIN(1,X8/MAX(1,ROUND(K8*Paramètres!$E14/5,0)))))</f>
        <v>0.31818181818181818</v>
      </c>
      <c r="AY8" s="57" t="str">
        <f>IF(L8="","",IF(L8=0,"",MIN(1,Y8/MAX(1,ROUND(L8*Paramètres!$E14/5,0)))))</f>
        <v/>
      </c>
      <c r="AZ8" s="57" t="str">
        <f>IF(M8="","",IF(M8=0,"",MIN(1,Z8/MAX(1,ROUND(M8*Paramètres!$E14/5,0)))))</f>
        <v/>
      </c>
      <c r="BA8" s="57" t="str">
        <f>IF(N8="","",IF(N8=0,"",MIN(1,AA8/MAX(1,ROUND(N8*Paramètres!$E14/5,0)))))</f>
        <v/>
      </c>
      <c r="BC8" s="56">
        <f t="shared" si="16"/>
        <v>1</v>
      </c>
      <c r="BD8" s="57">
        <f t="shared" si="17"/>
        <v>0.31818181818181818</v>
      </c>
      <c r="BE8" s="56">
        <f t="shared" si="18"/>
        <v>0.31818981818181818</v>
      </c>
      <c r="BF8" s="56">
        <f t="shared" si="19"/>
        <v>4</v>
      </c>
    </row>
    <row r="9" spans="1:58" x14ac:dyDescent="0.25">
      <c r="A9" s="56" t="str">
        <f>IF(Paramètres!A15="","",Paramètres!A15)</f>
        <v>Imre Kapusi</v>
      </c>
      <c r="C9" s="56">
        <f>IF(OR(Paramètres!$A15="",C$3=0),"",COUNTIFS(Calendrier!$A$2:$A$367,"&gt;="&amp;MAX(Paramètres!$C15,C$4),Calendrier!$A$2:$A$367,"&lt;="&amp;IF(Paramètres!$D15="",EOMONTH(C$4,0),MIN(Paramètres!$D15,EOMONTH(C$4,0))),Calendrier!$C$2:$C$367,1))</f>
        <v>21</v>
      </c>
      <c r="D9" s="56">
        <f>IF(OR(Paramètres!$A15="",D$3=0),"",COUNTIFS(Calendrier!$A$2:$A$367,"&gt;="&amp;MAX(Paramètres!$C15,D$4),Calendrier!$A$2:$A$367,"&lt;="&amp;IF(Paramètres!$D15="",EOMONTH(D$4,0),MIN(Paramètres!$D15,EOMONTH(D$4,0))),Calendrier!$C$2:$C$367,1))</f>
        <v>20</v>
      </c>
      <c r="E9" s="56">
        <f>IF(OR(Paramètres!$A15="",E$3=0),"",COUNTIFS(Calendrier!$A$2:$A$367,"&gt;="&amp;MAX(Paramètres!$C15,E$4),Calendrier!$A$2:$A$367,"&lt;="&amp;IF(Paramètres!$D15="",EOMONTH(E$4,0),MIN(Paramètres!$D15,EOMONTH(E$4,0))),Calendrier!$C$2:$C$367,1))</f>
        <v>21</v>
      </c>
      <c r="F9" s="56">
        <f>IF(OR(Paramètres!$A15="",F$3=0),"",COUNTIFS(Calendrier!$A$2:$A$367,"&gt;="&amp;MAX(Paramètres!$C15,F$4),Calendrier!$A$2:$A$367,"&lt;="&amp;IF(Paramètres!$D15="",EOMONTH(F$4,0),MIN(Paramètres!$D15,EOMONTH(F$4,0))),Calendrier!$C$2:$C$367,1))</f>
        <v>22</v>
      </c>
      <c r="G9" s="56">
        <f>IF(OR(Paramètres!$A15="",G$3=0),"",COUNTIFS(Calendrier!$A$2:$A$367,"&gt;="&amp;MAX(Paramètres!$C15,G$4),Calendrier!$A$2:$A$367,"&lt;="&amp;IF(Paramètres!$D15="",EOMONTH(G$4,0),MIN(Paramètres!$D15,EOMONTH(G$4,0))),Calendrier!$C$2:$C$367,1))</f>
        <v>17</v>
      </c>
      <c r="H9" s="56">
        <f>IF(OR(Paramètres!$A15="",H$3=0),"",COUNTIFS(Calendrier!$A$2:$A$367,"&gt;="&amp;MAX(Paramètres!$C15,H$4),Calendrier!$A$2:$A$367,"&lt;="&amp;IF(Paramètres!$D15="",EOMONTH(H$4,0),MIN(Paramètres!$D15,EOMONTH(H$4,0))),Calendrier!$C$2:$C$367,1))</f>
        <v>22</v>
      </c>
      <c r="I9" s="56">
        <f>IF(OR(Paramètres!$A15="",I$3=0),"",COUNTIFS(Calendrier!$A$2:$A$367,"&gt;="&amp;MAX(Paramètres!$C15,I$4),Calendrier!$A$2:$A$367,"&lt;="&amp;IF(Paramètres!$D15="",EOMONTH(I$4,0),MIN(Paramètres!$D15,EOMONTH(I$4,0))),Calendrier!$C$2:$C$367,1))</f>
        <v>23</v>
      </c>
      <c r="J9" s="56">
        <f>IF(OR(Paramètres!$A15="",J$3=0),"",COUNTIFS(Calendrier!$A$2:$A$367,"&gt;="&amp;MAX(Paramètres!$C15,J$4),Calendrier!$A$2:$A$367,"&lt;="&amp;IF(Paramètres!$D15="",EOMONTH(J$4,0),MIN(Paramètres!$D15,EOMONTH(J$4,0))),Calendrier!$C$2:$C$367,1))</f>
        <v>8</v>
      </c>
      <c r="K9" s="56">
        <f>IF(OR(Paramètres!$A15="",K$3=0),"",COUNTIFS(Calendrier!$A$2:$A$367,"&gt;="&amp;MAX(Paramètres!$C15,K$4),Calendrier!$A$2:$A$367,"&lt;="&amp;IF(Paramètres!$D15="",EOMONTH(K$4,0),MIN(Paramètres!$D15,EOMONTH(K$4,0))),Calendrier!$C$2:$C$367,1))</f>
        <v>22</v>
      </c>
      <c r="L9" s="56" t="str">
        <f>IF(OR(Paramètres!$A15="",L$3=0),"",COUNTIFS(Calendrier!$A$2:$A$367,"&gt;="&amp;MAX(Paramètres!$C15,L$4),Calendrier!$A$2:$A$367,"&lt;="&amp;IF(Paramètres!$D15="",EOMONTH(L$4,0),MIN(Paramètres!$D15,EOMONTH(L$4,0))),Calendrier!$C$2:$C$367,1))</f>
        <v/>
      </c>
      <c r="M9" s="56" t="str">
        <f>IF(OR(Paramètres!$A15="",M$3=0),"",COUNTIFS(Calendrier!$A$2:$A$367,"&gt;="&amp;MAX(Paramètres!$C15,M$4),Calendrier!$A$2:$A$367,"&lt;="&amp;IF(Paramètres!$D15="",EOMONTH(M$4,0),MIN(Paramètres!$D15,EOMONTH(M$4,0))),Calendrier!$C$2:$C$367,1))</f>
        <v/>
      </c>
      <c r="N9" s="56" t="str">
        <f>IF(OR(Paramètres!$A15="",N$3=0),"",COUNTIFS(Calendrier!$A$2:$A$367,"&gt;="&amp;MAX(Paramètres!$C15,N$4),Calendrier!$A$2:$A$367,"&lt;="&amp;IF(Paramètres!$D15="",EOMONTH(N$4,0),MIN(Paramètres!$D15,EOMONTH(N$4,0))),Calendrier!$C$2:$C$367,1))</f>
        <v/>
      </c>
      <c r="P9" s="56">
        <f>IF(OR(Paramètres!$A15="",C$3=0),"",COUNTIFS(Journal!$D$2:$D$3001,Paramètres!$A15,Journal!$H$2:$H$3001,"&gt;="&amp;MAX(Paramètres!$C15,C$4),Journal!$H$2:$H$3001,"&lt;="&amp;IF(Paramètres!$D15="",EOMONTH(C$4,0),MIN(Paramètres!$D15,EOMONTH(C$4,0))),Journal!$K$2:$K$3001,1))</f>
        <v>8</v>
      </c>
      <c r="Q9" s="56">
        <f>IF(OR(Paramètres!$A15="",D$3=0),"",COUNTIFS(Journal!$D$2:$D$3001,Paramètres!$A15,Journal!$H$2:$H$3001,"&gt;="&amp;MAX(Paramètres!$C15,D$4),Journal!$H$2:$H$3001,"&lt;="&amp;IF(Paramètres!$D15="",EOMONTH(D$4,0),MIN(Paramètres!$D15,EOMONTH(D$4,0))),Journal!$K$2:$K$3001,1))</f>
        <v>7</v>
      </c>
      <c r="R9" s="56">
        <f>IF(OR(Paramètres!$A15="",E$3=0),"",COUNTIFS(Journal!$D$2:$D$3001,Paramètres!$A15,Journal!$H$2:$H$3001,"&gt;="&amp;MAX(Paramètres!$C15,E$4),Journal!$H$2:$H$3001,"&lt;="&amp;IF(Paramètres!$D15="",EOMONTH(E$4,0),MIN(Paramètres!$D15,EOMONTH(E$4,0))),Journal!$K$2:$K$3001,1))</f>
        <v>10</v>
      </c>
      <c r="S9" s="56">
        <f>IF(OR(Paramètres!$A15="",F$3=0),"",COUNTIFS(Journal!$D$2:$D$3001,Paramètres!$A15,Journal!$H$2:$H$3001,"&gt;="&amp;MAX(Paramètres!$C15,F$4),Journal!$H$2:$H$3001,"&lt;="&amp;IF(Paramètres!$D15="",EOMONTH(F$4,0),MIN(Paramètres!$D15,EOMONTH(F$4,0))),Journal!$K$2:$K$3001,1))</f>
        <v>7</v>
      </c>
      <c r="T9" s="56">
        <f>IF(OR(Paramètres!$A15="",G$3=0),"",COUNTIFS(Journal!$D$2:$D$3001,Paramètres!$A15,Journal!$H$2:$H$3001,"&gt;="&amp;MAX(Paramètres!$C15,G$4),Journal!$H$2:$H$3001,"&lt;="&amp;IF(Paramètres!$D15="",EOMONTH(G$4,0),MIN(Paramètres!$D15,EOMONTH(G$4,0))),Journal!$K$2:$K$3001,1))</f>
        <v>4</v>
      </c>
      <c r="U9" s="56">
        <f>IF(OR(Paramètres!$A15="",H$3=0),"",COUNTIFS(Journal!$D$2:$D$3001,Paramètres!$A15,Journal!$H$2:$H$3001,"&gt;="&amp;MAX(Paramètres!$C15,H$4),Journal!$H$2:$H$3001,"&lt;="&amp;IF(Paramètres!$D15="",EOMONTH(H$4,0),MIN(Paramètres!$D15,EOMONTH(H$4,0))),Journal!$K$2:$K$3001,1))</f>
        <v>5</v>
      </c>
      <c r="V9" s="56">
        <f>IF(OR(Paramètres!$A15="",I$3=0),"",COUNTIFS(Journal!$D$2:$D$3001,Paramètres!$A15,Journal!$H$2:$H$3001,"&gt;="&amp;MAX(Paramètres!$C15,I$4),Journal!$H$2:$H$3001,"&lt;="&amp;IF(Paramètres!$D15="",EOMONTH(I$4,0),MIN(Paramètres!$D15,EOMONTH(I$4,0))),Journal!$K$2:$K$3001,1))</f>
        <v>3</v>
      </c>
      <c r="W9" s="56">
        <f>IF(OR(Paramètres!$A15="",J$3=0),"",COUNTIFS(Journal!$D$2:$D$3001,Paramètres!$A15,Journal!$H$2:$H$3001,"&gt;="&amp;MAX(Paramètres!$C15,J$4),Journal!$H$2:$H$3001,"&lt;="&amp;IF(Paramètres!$D15="",EOMONTH(J$4,0),MIN(Paramètres!$D15,EOMONTH(J$4,0))),Journal!$K$2:$K$3001,1))</f>
        <v>0</v>
      </c>
      <c r="X9" s="56">
        <f>IF(OR(Paramètres!$A15="",K$3=0),"",COUNTIFS(Journal!$D$2:$D$3001,Paramètres!$A15,Journal!$H$2:$H$3001,"&gt;="&amp;MAX(Paramètres!$C15,K$4),Journal!$H$2:$H$3001,"&lt;="&amp;IF(Paramètres!$D15="",EOMONTH(K$4,0),MIN(Paramètres!$D15,EOMONTH(K$4,0))),Journal!$K$2:$K$3001,1))</f>
        <v>4</v>
      </c>
      <c r="Y9" s="56" t="str">
        <f>IF(OR(Paramètres!$A15="",L$3=0),"",COUNTIFS(Journal!$D$2:$D$3001,Paramètres!$A15,Journal!$H$2:$H$3001,"&gt;="&amp;MAX(Paramètres!$C15,L$4),Journal!$H$2:$H$3001,"&lt;="&amp;IF(Paramètres!$D15="",EOMONTH(L$4,0),MIN(Paramètres!$D15,EOMONTH(L$4,0))),Journal!$K$2:$K$3001,1))</f>
        <v/>
      </c>
      <c r="Z9" s="56" t="str">
        <f>IF(OR(Paramètres!$A15="",M$3=0),"",COUNTIFS(Journal!$D$2:$D$3001,Paramètres!$A15,Journal!$H$2:$H$3001,"&gt;="&amp;MAX(Paramètres!$C15,M$4),Journal!$H$2:$H$3001,"&lt;="&amp;IF(Paramètres!$D15="",EOMONTH(M$4,0),MIN(Paramètres!$D15,EOMONTH(M$4,0))),Journal!$K$2:$K$3001,1))</f>
        <v/>
      </c>
      <c r="AA9" s="56" t="str">
        <f>IF(OR(Paramètres!$A15="",N$3=0),"",COUNTIFS(Journal!$D$2:$D$3001,Paramètres!$A15,Journal!$H$2:$H$3001,"&gt;="&amp;MAX(Paramètres!$C15,N$4),Journal!$H$2:$H$3001,"&lt;="&amp;IF(Paramètres!$D15="",EOMONTH(N$4,0),MIN(Paramètres!$D15,EOMONTH(N$4,0))),Journal!$K$2:$K$3001,1))</f>
        <v/>
      </c>
      <c r="AC9" s="57">
        <f t="shared" si="4"/>
        <v>0.38095238095238093</v>
      </c>
      <c r="AD9" s="57">
        <f t="shared" si="5"/>
        <v>0.35</v>
      </c>
      <c r="AE9" s="57">
        <f t="shared" si="6"/>
        <v>0.47619047619047616</v>
      </c>
      <c r="AF9" s="57">
        <f t="shared" si="7"/>
        <v>0.31818181818181818</v>
      </c>
      <c r="AG9" s="57">
        <f t="shared" si="8"/>
        <v>0.23529411764705882</v>
      </c>
      <c r="AH9" s="57">
        <f t="shared" si="9"/>
        <v>0.22727272727272727</v>
      </c>
      <c r="AI9" s="57">
        <f t="shared" si="10"/>
        <v>0.13043478260869565</v>
      </c>
      <c r="AJ9" s="57">
        <f t="shared" si="11"/>
        <v>0</v>
      </c>
      <c r="AK9" s="57">
        <f t="shared" si="12"/>
        <v>0.18181818181818182</v>
      </c>
      <c r="AL9" s="57" t="str">
        <f t="shared" si="13"/>
        <v/>
      </c>
      <c r="AM9" s="57" t="str">
        <f t="shared" si="14"/>
        <v/>
      </c>
      <c r="AN9" s="57" t="str">
        <f t="shared" si="15"/>
        <v/>
      </c>
      <c r="AP9" s="57">
        <f>IF(C9="","",IF(C9=0,"",MIN(1,P9/MAX(1,ROUND(C9*Paramètres!$E15/5,0)))))</f>
        <v>0.38095238095238093</v>
      </c>
      <c r="AQ9" s="57">
        <f>IF(D9="","",IF(D9=0,"",MIN(1,Q9/MAX(1,ROUND(D9*Paramètres!$E15/5,0)))))</f>
        <v>0.35</v>
      </c>
      <c r="AR9" s="57">
        <f>IF(E9="","",IF(E9=0,"",MIN(1,R9/MAX(1,ROUND(E9*Paramètres!$E15/5,0)))))</f>
        <v>0.47619047619047616</v>
      </c>
      <c r="AS9" s="57">
        <f>IF(F9="","",IF(F9=0,"",MIN(1,S9/MAX(1,ROUND(F9*Paramètres!$E15/5,0)))))</f>
        <v>0.31818181818181818</v>
      </c>
      <c r="AT9" s="57">
        <f>IF(G9="","",IF(G9=0,"",MIN(1,T9/MAX(1,ROUND(G9*Paramètres!$E15/5,0)))))</f>
        <v>0.23529411764705882</v>
      </c>
      <c r="AU9" s="57">
        <f>IF(H9="","",IF(H9=0,"",MIN(1,U9/MAX(1,ROUND(H9*Paramètres!$E15/5,0)))))</f>
        <v>0.22727272727272727</v>
      </c>
      <c r="AV9" s="57">
        <f>IF(I9="","",IF(I9=0,"",MIN(1,V9/MAX(1,ROUND(I9*Paramètres!$E15/5,0)))))</f>
        <v>0.13043478260869565</v>
      </c>
      <c r="AW9" s="57">
        <f>IF(J9="","",IF(J9=0,"",MIN(1,W9/MAX(1,ROUND(J9*Paramètres!$E15/5,0)))))</f>
        <v>0</v>
      </c>
      <c r="AX9" s="57">
        <f>IF(K9="","",IF(K9=0,"",MIN(1,X9/MAX(1,ROUND(K9*Paramètres!$E15/5,0)))))</f>
        <v>0.18181818181818182</v>
      </c>
      <c r="AY9" s="57" t="str">
        <f>IF(L9="","",IF(L9=0,"",MIN(1,Y9/MAX(1,ROUND(L9*Paramètres!$E15/5,0)))))</f>
        <v/>
      </c>
      <c r="AZ9" s="57" t="str">
        <f>IF(M9="","",IF(M9=0,"",MIN(1,Z9/MAX(1,ROUND(M9*Paramètres!$E15/5,0)))))</f>
        <v/>
      </c>
      <c r="BA9" s="57" t="str">
        <f>IF(N9="","",IF(N9=0,"",MIN(1,AA9/MAX(1,ROUND(N9*Paramètres!$E15/5,0)))))</f>
        <v/>
      </c>
      <c r="BC9" s="56">
        <f t="shared" si="16"/>
        <v>1</v>
      </c>
      <c r="BD9" s="57">
        <f t="shared" si="17"/>
        <v>0.18181818181818182</v>
      </c>
      <c r="BE9" s="56">
        <f t="shared" si="18"/>
        <v>0.18182718181818183</v>
      </c>
      <c r="BF9" s="56">
        <f t="shared" si="19"/>
        <v>9</v>
      </c>
    </row>
    <row r="10" spans="1:58" x14ac:dyDescent="0.25">
      <c r="A10" s="56" t="str">
        <f>IF(Paramètres!A16="","",Paramètres!A16)</f>
        <v>Ines Farhat</v>
      </c>
      <c r="C10" s="56">
        <f>IF(OR(Paramètres!$A16="",C$3=0),"",COUNTIFS(Calendrier!$A$2:$A$367,"&gt;="&amp;MAX(Paramètres!$C16,C$4),Calendrier!$A$2:$A$367,"&lt;="&amp;IF(Paramètres!$D16="",EOMONTH(C$4,0),MIN(Paramètres!$D16,EOMONTH(C$4,0))),Calendrier!$C$2:$C$367,1))</f>
        <v>21</v>
      </c>
      <c r="D10" s="56">
        <f>IF(OR(Paramètres!$A16="",D$3=0),"",COUNTIFS(Calendrier!$A$2:$A$367,"&gt;="&amp;MAX(Paramètres!$C16,D$4),Calendrier!$A$2:$A$367,"&lt;="&amp;IF(Paramètres!$D16="",EOMONTH(D$4,0),MIN(Paramètres!$D16,EOMONTH(D$4,0))),Calendrier!$C$2:$C$367,1))</f>
        <v>20</v>
      </c>
      <c r="E10" s="56">
        <f>IF(OR(Paramètres!$A16="",E$3=0),"",COUNTIFS(Calendrier!$A$2:$A$367,"&gt;="&amp;MAX(Paramètres!$C16,E$4),Calendrier!$A$2:$A$367,"&lt;="&amp;IF(Paramètres!$D16="",EOMONTH(E$4,0),MIN(Paramètres!$D16,EOMONTH(E$4,0))),Calendrier!$C$2:$C$367,1))</f>
        <v>21</v>
      </c>
      <c r="F10" s="56">
        <f>IF(OR(Paramètres!$A16="",F$3=0),"",COUNTIFS(Calendrier!$A$2:$A$367,"&gt;="&amp;MAX(Paramètres!$C16,F$4),Calendrier!$A$2:$A$367,"&lt;="&amp;IF(Paramètres!$D16="",EOMONTH(F$4,0),MIN(Paramètres!$D16,EOMONTH(F$4,0))),Calendrier!$C$2:$C$367,1))</f>
        <v>22</v>
      </c>
      <c r="G10" s="56">
        <f>IF(OR(Paramètres!$A16="",G$3=0),"",COUNTIFS(Calendrier!$A$2:$A$367,"&gt;="&amp;MAX(Paramètres!$C16,G$4),Calendrier!$A$2:$A$367,"&lt;="&amp;IF(Paramètres!$D16="",EOMONTH(G$4,0),MIN(Paramètres!$D16,EOMONTH(G$4,0))),Calendrier!$C$2:$C$367,1))</f>
        <v>17</v>
      </c>
      <c r="H10" s="56">
        <f>IF(OR(Paramètres!$A16="",H$3=0),"",COUNTIFS(Calendrier!$A$2:$A$367,"&gt;="&amp;MAX(Paramètres!$C16,H$4),Calendrier!$A$2:$A$367,"&lt;="&amp;IF(Paramètres!$D16="",EOMONTH(H$4,0),MIN(Paramètres!$D16,EOMONTH(H$4,0))),Calendrier!$C$2:$C$367,1))</f>
        <v>22</v>
      </c>
      <c r="I10" s="56">
        <f>IF(OR(Paramètres!$A16="",I$3=0),"",COUNTIFS(Calendrier!$A$2:$A$367,"&gt;="&amp;MAX(Paramètres!$C16,I$4),Calendrier!$A$2:$A$367,"&lt;="&amp;IF(Paramètres!$D16="",EOMONTH(I$4,0),MIN(Paramètres!$D16,EOMONTH(I$4,0))),Calendrier!$C$2:$C$367,1))</f>
        <v>23</v>
      </c>
      <c r="J10" s="56">
        <f>IF(OR(Paramètres!$A16="",J$3=0),"",COUNTIFS(Calendrier!$A$2:$A$367,"&gt;="&amp;MAX(Paramètres!$C16,J$4),Calendrier!$A$2:$A$367,"&lt;="&amp;IF(Paramètres!$D16="",EOMONTH(J$4,0),MIN(Paramètres!$D16,EOMONTH(J$4,0))),Calendrier!$C$2:$C$367,1))</f>
        <v>8</v>
      </c>
      <c r="K10" s="56">
        <f>IF(OR(Paramètres!$A16="",K$3=0),"",COUNTIFS(Calendrier!$A$2:$A$367,"&gt;="&amp;MAX(Paramètres!$C16,K$4),Calendrier!$A$2:$A$367,"&lt;="&amp;IF(Paramètres!$D16="",EOMONTH(K$4,0),MIN(Paramètres!$D16,EOMONTH(K$4,0))),Calendrier!$C$2:$C$367,1))</f>
        <v>22</v>
      </c>
      <c r="L10" s="56" t="str">
        <f>IF(OR(Paramètres!$A16="",L$3=0),"",COUNTIFS(Calendrier!$A$2:$A$367,"&gt;="&amp;MAX(Paramètres!$C16,L$4),Calendrier!$A$2:$A$367,"&lt;="&amp;IF(Paramètres!$D16="",EOMONTH(L$4,0),MIN(Paramètres!$D16,EOMONTH(L$4,0))),Calendrier!$C$2:$C$367,1))</f>
        <v/>
      </c>
      <c r="M10" s="56" t="str">
        <f>IF(OR(Paramètres!$A16="",M$3=0),"",COUNTIFS(Calendrier!$A$2:$A$367,"&gt;="&amp;MAX(Paramètres!$C16,M$4),Calendrier!$A$2:$A$367,"&lt;="&amp;IF(Paramètres!$D16="",EOMONTH(M$4,0),MIN(Paramètres!$D16,EOMONTH(M$4,0))),Calendrier!$C$2:$C$367,1))</f>
        <v/>
      </c>
      <c r="N10" s="56" t="str">
        <f>IF(OR(Paramètres!$A16="",N$3=0),"",COUNTIFS(Calendrier!$A$2:$A$367,"&gt;="&amp;MAX(Paramètres!$C16,N$4),Calendrier!$A$2:$A$367,"&lt;="&amp;IF(Paramètres!$D16="",EOMONTH(N$4,0),MIN(Paramètres!$D16,EOMONTH(N$4,0))),Calendrier!$C$2:$C$367,1))</f>
        <v/>
      </c>
      <c r="P10" s="56">
        <f>IF(OR(Paramètres!$A16="",C$3=0),"",COUNTIFS(Journal!$D$2:$D$3001,Paramètres!$A16,Journal!$H$2:$H$3001,"&gt;="&amp;MAX(Paramètres!$C16,C$4),Journal!$H$2:$H$3001,"&lt;="&amp;IF(Paramètres!$D16="",EOMONTH(C$4,0),MIN(Paramètres!$D16,EOMONTH(C$4,0))),Journal!$K$2:$K$3001,1))</f>
        <v>11</v>
      </c>
      <c r="Q10" s="56">
        <f>IF(OR(Paramètres!$A16="",D$3=0),"",COUNTIFS(Journal!$D$2:$D$3001,Paramètres!$A16,Journal!$H$2:$H$3001,"&gt;="&amp;MAX(Paramètres!$C16,D$4),Journal!$H$2:$H$3001,"&lt;="&amp;IF(Paramètres!$D16="",EOMONTH(D$4,0),MIN(Paramètres!$D16,EOMONTH(D$4,0))),Journal!$K$2:$K$3001,1))</f>
        <v>7</v>
      </c>
      <c r="R10" s="56">
        <f>IF(OR(Paramètres!$A16="",E$3=0),"",COUNTIFS(Journal!$D$2:$D$3001,Paramètres!$A16,Journal!$H$2:$H$3001,"&gt;="&amp;MAX(Paramètres!$C16,E$4),Journal!$H$2:$H$3001,"&lt;="&amp;IF(Paramètres!$D16="",EOMONTH(E$4,0),MIN(Paramètres!$D16,EOMONTH(E$4,0))),Journal!$K$2:$K$3001,1))</f>
        <v>10</v>
      </c>
      <c r="S10" s="56">
        <f>IF(OR(Paramètres!$A16="",F$3=0),"",COUNTIFS(Journal!$D$2:$D$3001,Paramètres!$A16,Journal!$H$2:$H$3001,"&gt;="&amp;MAX(Paramètres!$C16,F$4),Journal!$H$2:$H$3001,"&lt;="&amp;IF(Paramètres!$D16="",EOMONTH(F$4,0),MIN(Paramètres!$D16,EOMONTH(F$4,0))),Journal!$K$2:$K$3001,1))</f>
        <v>10</v>
      </c>
      <c r="T10" s="56">
        <f>IF(OR(Paramètres!$A16="",G$3=0),"",COUNTIFS(Journal!$D$2:$D$3001,Paramètres!$A16,Journal!$H$2:$H$3001,"&gt;="&amp;MAX(Paramètres!$C16,G$4),Journal!$H$2:$H$3001,"&lt;="&amp;IF(Paramètres!$D16="",EOMONTH(G$4,0),MIN(Paramètres!$D16,EOMONTH(G$4,0))),Journal!$K$2:$K$3001,1))</f>
        <v>8</v>
      </c>
      <c r="U10" s="56">
        <f>IF(OR(Paramètres!$A16="",H$3=0),"",COUNTIFS(Journal!$D$2:$D$3001,Paramètres!$A16,Journal!$H$2:$H$3001,"&gt;="&amp;MAX(Paramètres!$C16,H$4),Journal!$H$2:$H$3001,"&lt;="&amp;IF(Paramètres!$D16="",EOMONTH(H$4,0),MIN(Paramètres!$D16,EOMONTH(H$4,0))),Journal!$K$2:$K$3001,1))</f>
        <v>9</v>
      </c>
      <c r="V10" s="56">
        <f>IF(OR(Paramètres!$A16="",I$3=0),"",COUNTIFS(Journal!$D$2:$D$3001,Paramètres!$A16,Journal!$H$2:$H$3001,"&gt;="&amp;MAX(Paramètres!$C16,I$4),Journal!$H$2:$H$3001,"&lt;="&amp;IF(Paramètres!$D16="",EOMONTH(I$4,0),MIN(Paramètres!$D16,EOMONTH(I$4,0))),Journal!$K$2:$K$3001,1))</f>
        <v>6</v>
      </c>
      <c r="W10" s="56">
        <f>IF(OR(Paramètres!$A16="",J$3=0),"",COUNTIFS(Journal!$D$2:$D$3001,Paramètres!$A16,Journal!$H$2:$H$3001,"&gt;="&amp;MAX(Paramètres!$C16,J$4),Journal!$H$2:$H$3001,"&lt;="&amp;IF(Paramètres!$D16="",EOMONTH(J$4,0),MIN(Paramètres!$D16,EOMONTH(J$4,0))),Journal!$K$2:$K$3001,1))</f>
        <v>2</v>
      </c>
      <c r="X10" s="56">
        <f>IF(OR(Paramètres!$A16="",K$3=0),"",COUNTIFS(Journal!$D$2:$D$3001,Paramètres!$A16,Journal!$H$2:$H$3001,"&gt;="&amp;MAX(Paramètres!$C16,K$4),Journal!$H$2:$H$3001,"&lt;="&amp;IF(Paramètres!$D16="",EOMONTH(K$4,0),MIN(Paramètres!$D16,EOMONTH(K$4,0))),Journal!$K$2:$K$3001,1))</f>
        <v>11</v>
      </c>
      <c r="Y10" s="56" t="str">
        <f>IF(OR(Paramètres!$A16="",L$3=0),"",COUNTIFS(Journal!$D$2:$D$3001,Paramètres!$A16,Journal!$H$2:$H$3001,"&gt;="&amp;MAX(Paramètres!$C16,L$4),Journal!$H$2:$H$3001,"&lt;="&amp;IF(Paramètres!$D16="",EOMONTH(L$4,0),MIN(Paramètres!$D16,EOMONTH(L$4,0))),Journal!$K$2:$K$3001,1))</f>
        <v/>
      </c>
      <c r="Z10" s="56" t="str">
        <f>IF(OR(Paramètres!$A16="",M$3=0),"",COUNTIFS(Journal!$D$2:$D$3001,Paramètres!$A16,Journal!$H$2:$H$3001,"&gt;="&amp;MAX(Paramètres!$C16,M$4),Journal!$H$2:$H$3001,"&lt;="&amp;IF(Paramètres!$D16="",EOMONTH(M$4,0),MIN(Paramètres!$D16,EOMONTH(M$4,0))),Journal!$K$2:$K$3001,1))</f>
        <v/>
      </c>
      <c r="AA10" s="56" t="str">
        <f>IF(OR(Paramètres!$A16="",N$3=0),"",COUNTIFS(Journal!$D$2:$D$3001,Paramètres!$A16,Journal!$H$2:$H$3001,"&gt;="&amp;MAX(Paramètres!$C16,N$4),Journal!$H$2:$H$3001,"&lt;="&amp;IF(Paramètres!$D16="",EOMONTH(N$4,0),MIN(Paramètres!$D16,EOMONTH(N$4,0))),Journal!$K$2:$K$3001,1))</f>
        <v/>
      </c>
      <c r="AC10" s="57">
        <f t="shared" si="4"/>
        <v>0.52380952380952384</v>
      </c>
      <c r="AD10" s="57">
        <f t="shared" si="5"/>
        <v>0.35</v>
      </c>
      <c r="AE10" s="57">
        <f t="shared" si="6"/>
        <v>0.47619047619047616</v>
      </c>
      <c r="AF10" s="57">
        <f t="shared" si="7"/>
        <v>0.45454545454545453</v>
      </c>
      <c r="AG10" s="57">
        <f t="shared" si="8"/>
        <v>0.47058823529411764</v>
      </c>
      <c r="AH10" s="57">
        <f t="shared" si="9"/>
        <v>0.40909090909090912</v>
      </c>
      <c r="AI10" s="57">
        <f t="shared" si="10"/>
        <v>0.2608695652173913</v>
      </c>
      <c r="AJ10" s="57">
        <f t="shared" si="11"/>
        <v>0.25</v>
      </c>
      <c r="AK10" s="57">
        <f t="shared" si="12"/>
        <v>0.5</v>
      </c>
      <c r="AL10" s="57" t="str">
        <f t="shared" si="13"/>
        <v/>
      </c>
      <c r="AM10" s="57" t="str">
        <f t="shared" si="14"/>
        <v/>
      </c>
      <c r="AN10" s="57" t="str">
        <f t="shared" si="15"/>
        <v/>
      </c>
      <c r="AP10" s="57">
        <f>IF(C10="","",IF(C10=0,"",MIN(1,P10/MAX(1,ROUND(C10*Paramètres!$E16/5,0)))))</f>
        <v>0.52380952380952384</v>
      </c>
      <c r="AQ10" s="57">
        <f>IF(D10="","",IF(D10=0,"",MIN(1,Q10/MAX(1,ROUND(D10*Paramètres!$E16/5,0)))))</f>
        <v>0.35</v>
      </c>
      <c r="AR10" s="57">
        <f>IF(E10="","",IF(E10=0,"",MIN(1,R10/MAX(1,ROUND(E10*Paramètres!$E16/5,0)))))</f>
        <v>0.47619047619047616</v>
      </c>
      <c r="AS10" s="57">
        <f>IF(F10="","",IF(F10=0,"",MIN(1,S10/MAX(1,ROUND(F10*Paramètres!$E16/5,0)))))</f>
        <v>0.45454545454545453</v>
      </c>
      <c r="AT10" s="57">
        <f>IF(G10="","",IF(G10=0,"",MIN(1,T10/MAX(1,ROUND(G10*Paramètres!$E16/5,0)))))</f>
        <v>0.47058823529411764</v>
      </c>
      <c r="AU10" s="57">
        <f>IF(H10="","",IF(H10=0,"",MIN(1,U10/MAX(1,ROUND(H10*Paramètres!$E16/5,0)))))</f>
        <v>0.40909090909090912</v>
      </c>
      <c r="AV10" s="57">
        <f>IF(I10="","",IF(I10=0,"",MIN(1,V10/MAX(1,ROUND(I10*Paramètres!$E16/5,0)))))</f>
        <v>0.2608695652173913</v>
      </c>
      <c r="AW10" s="57">
        <f>IF(J10="","",IF(J10=0,"",MIN(1,W10/MAX(1,ROUND(J10*Paramètres!$E16/5,0)))))</f>
        <v>0.25</v>
      </c>
      <c r="AX10" s="57">
        <f>IF(K10="","",IF(K10=0,"",MIN(1,X10/MAX(1,ROUND(K10*Paramètres!$E16/5,0)))))</f>
        <v>0.5</v>
      </c>
      <c r="AY10" s="57" t="str">
        <f>IF(L10="","",IF(L10=0,"",MIN(1,Y10/MAX(1,ROUND(L10*Paramètres!$E16/5,0)))))</f>
        <v/>
      </c>
      <c r="AZ10" s="57" t="str">
        <f>IF(M10="","",IF(M10=0,"",MIN(1,Z10/MAX(1,ROUND(M10*Paramètres!$E16/5,0)))))</f>
        <v/>
      </c>
      <c r="BA10" s="57" t="str">
        <f>IF(N10="","",IF(N10=0,"",MIN(1,AA10/MAX(1,ROUND(N10*Paramètres!$E16/5,0)))))</f>
        <v/>
      </c>
      <c r="BC10" s="56">
        <f t="shared" si="16"/>
        <v>1</v>
      </c>
      <c r="BD10" s="57">
        <f t="shared" si="17"/>
        <v>0.5</v>
      </c>
      <c r="BE10" s="56">
        <f t="shared" si="18"/>
        <v>0.50000999999999995</v>
      </c>
      <c r="BF10" s="56">
        <f t="shared" si="19"/>
        <v>2</v>
      </c>
    </row>
    <row r="11" spans="1:58" x14ac:dyDescent="0.25">
      <c r="A11" s="70" t="str">
        <f>IF(Paramètres!A17="","",Paramètres!A17)</f>
        <v>Lobna Jberi</v>
      </c>
      <c r="C11" s="71">
        <f>IF(OR(Paramètres!$A17="",C$3=0),"",COUNTIFS(Calendrier!$A$2:$A$367,"&gt;="&amp;MAX(Paramètres!$C17,C$4),Calendrier!$A$2:$A$367,"&lt;="&amp;IF(Paramètres!$D17="",EOMONTH(C$4,0),MIN(Paramètres!$D17,EOMONTH(C$4,0))),Calendrier!$C$2:$C$367,1))</f>
        <v>0</v>
      </c>
      <c r="D11" s="71">
        <f>IF(OR(Paramètres!$A17="",D$3=0),"",COUNTIFS(Calendrier!$A$2:$A$367,"&gt;="&amp;MAX(Paramètres!$C17,D$4),Calendrier!$A$2:$A$367,"&lt;="&amp;IF(Paramètres!$D17="",EOMONTH(D$4,0),MIN(Paramètres!$D17,EOMONTH(D$4,0))),Calendrier!$C$2:$C$367,1))</f>
        <v>0</v>
      </c>
      <c r="E11" s="71">
        <f>IF(OR(Paramètres!$A17="",E$3=0),"",COUNTIFS(Calendrier!$A$2:$A$367,"&gt;="&amp;MAX(Paramètres!$C17,E$4),Calendrier!$A$2:$A$367,"&lt;="&amp;IF(Paramètres!$D17="",EOMONTH(E$4,0),MIN(Paramètres!$D17,EOMONTH(E$4,0))),Calendrier!$C$2:$C$367,1))</f>
        <v>0</v>
      </c>
      <c r="F11" s="71">
        <f>IF(OR(Paramètres!$A17="",F$3=0),"",COUNTIFS(Calendrier!$A$2:$A$367,"&gt;="&amp;MAX(Paramètres!$C17,F$4),Calendrier!$A$2:$A$367,"&lt;="&amp;IF(Paramètres!$D17="",EOMONTH(F$4,0),MIN(Paramètres!$D17,EOMONTH(F$4,0))),Calendrier!$C$2:$C$367,1))</f>
        <v>0</v>
      </c>
      <c r="G11" s="71">
        <f>IF(OR(Paramètres!$A17="",G$3=0),"",COUNTIFS(Calendrier!$A$2:$A$367,"&gt;="&amp;MAX(Paramètres!$C17,G$4),Calendrier!$A$2:$A$367,"&lt;="&amp;IF(Paramètres!$D17="",EOMONTH(G$4,0),MIN(Paramètres!$D17,EOMONTH(G$4,0))),Calendrier!$C$2:$C$367,1))</f>
        <v>0</v>
      </c>
      <c r="H11" s="71">
        <f>IF(OR(Paramètres!$A17="",H$3=0),"",COUNTIFS(Calendrier!$A$2:$A$367,"&gt;="&amp;MAX(Paramètres!$C17,H$4),Calendrier!$A$2:$A$367,"&lt;="&amp;IF(Paramètres!$D17="",EOMONTH(H$4,0),MIN(Paramètres!$D17,EOMONTH(H$4,0))),Calendrier!$C$2:$C$367,1))</f>
        <v>0</v>
      </c>
      <c r="I11" s="56">
        <f>IF(OR(Paramètres!$A17="",I$3=0),"",COUNTIFS(Calendrier!$A$2:$A$367,"&gt;="&amp;MAX(Paramètres!$C17,I$4),Calendrier!$A$2:$A$367,"&lt;="&amp;IF(Paramètres!$D17="",EOMONTH(I$4,0),MIN(Paramètres!$D17,EOMONTH(I$4,0))),Calendrier!$C$2:$C$367,1))</f>
        <v>23</v>
      </c>
      <c r="J11" s="56">
        <f>IF(OR(Paramètres!$A17="",J$3=0),"",COUNTIFS(Calendrier!$A$2:$A$367,"&gt;="&amp;MAX(Paramètres!$C17,J$4),Calendrier!$A$2:$A$367,"&lt;="&amp;IF(Paramètres!$D17="",EOMONTH(J$4,0),MIN(Paramètres!$D17,EOMONTH(J$4,0))),Calendrier!$C$2:$C$367,1))</f>
        <v>8</v>
      </c>
      <c r="K11" s="56">
        <f>IF(OR(Paramètres!$A17="",K$3=0),"",COUNTIFS(Calendrier!$A$2:$A$367,"&gt;="&amp;MAX(Paramètres!$C17,K$4),Calendrier!$A$2:$A$367,"&lt;="&amp;IF(Paramètres!$D17="",EOMONTH(K$4,0),MIN(Paramètres!$D17,EOMONTH(K$4,0))),Calendrier!$C$2:$C$367,1))</f>
        <v>22</v>
      </c>
      <c r="L11" s="56" t="str">
        <f>IF(OR(Paramètres!$A17="",L$3=0),"",COUNTIFS(Calendrier!$A$2:$A$367,"&gt;="&amp;MAX(Paramètres!$C17,L$4),Calendrier!$A$2:$A$367,"&lt;="&amp;IF(Paramètres!$D17="",EOMONTH(L$4,0),MIN(Paramètres!$D17,EOMONTH(L$4,0))),Calendrier!$C$2:$C$367,1))</f>
        <v/>
      </c>
      <c r="M11" s="56" t="str">
        <f>IF(OR(Paramètres!$A17="",M$3=0),"",COUNTIFS(Calendrier!$A$2:$A$367,"&gt;="&amp;MAX(Paramètres!$C17,M$4),Calendrier!$A$2:$A$367,"&lt;="&amp;IF(Paramètres!$D17="",EOMONTH(M$4,0),MIN(Paramètres!$D17,EOMONTH(M$4,0))),Calendrier!$C$2:$C$367,1))</f>
        <v/>
      </c>
      <c r="N11" s="56" t="str">
        <f>IF(OR(Paramètres!$A17="",N$3=0),"",COUNTIFS(Calendrier!$A$2:$A$367,"&gt;="&amp;MAX(Paramètres!$C17,N$4),Calendrier!$A$2:$A$367,"&lt;="&amp;IF(Paramètres!$D17="",EOMONTH(N$4,0),MIN(Paramètres!$D17,EOMONTH(N$4,0))),Calendrier!$C$2:$C$367,1))</f>
        <v/>
      </c>
      <c r="P11" s="56">
        <f>IF(OR(Paramètres!$A17="",C$3=0),"",COUNTIFS(Journal!$D$2:$D$3001,Paramètres!$A17,Journal!$H$2:$H$3001,"&gt;="&amp;MAX(Paramètres!$C17,C$4),Journal!$H$2:$H$3001,"&lt;="&amp;IF(Paramètres!$D17="",EOMONTH(C$4,0),MIN(Paramètres!$D17,EOMONTH(C$4,0))),Journal!$K$2:$K$3001,1))</f>
        <v>0</v>
      </c>
      <c r="Q11" s="56">
        <f>IF(OR(Paramètres!$A17="",D$3=0),"",COUNTIFS(Journal!$D$2:$D$3001,Paramètres!$A17,Journal!$H$2:$H$3001,"&gt;="&amp;MAX(Paramètres!$C17,D$4),Journal!$H$2:$H$3001,"&lt;="&amp;IF(Paramètres!$D17="",EOMONTH(D$4,0),MIN(Paramètres!$D17,EOMONTH(D$4,0))),Journal!$K$2:$K$3001,1))</f>
        <v>0</v>
      </c>
      <c r="R11" s="56">
        <f>IF(OR(Paramètres!$A17="",E$3=0),"",COUNTIFS(Journal!$D$2:$D$3001,Paramètres!$A17,Journal!$H$2:$H$3001,"&gt;="&amp;MAX(Paramètres!$C17,E$4),Journal!$H$2:$H$3001,"&lt;="&amp;IF(Paramètres!$D17="",EOMONTH(E$4,0),MIN(Paramètres!$D17,EOMONTH(E$4,0))),Journal!$K$2:$K$3001,1))</f>
        <v>0</v>
      </c>
      <c r="S11" s="56">
        <f>IF(OR(Paramètres!$A17="",F$3=0),"",COUNTIFS(Journal!$D$2:$D$3001,Paramètres!$A17,Journal!$H$2:$H$3001,"&gt;="&amp;MAX(Paramètres!$C17,F$4),Journal!$H$2:$H$3001,"&lt;="&amp;IF(Paramètres!$D17="",EOMONTH(F$4,0),MIN(Paramètres!$D17,EOMONTH(F$4,0))),Journal!$K$2:$K$3001,1))</f>
        <v>0</v>
      </c>
      <c r="T11" s="56">
        <f>IF(OR(Paramètres!$A17="",G$3=0),"",COUNTIFS(Journal!$D$2:$D$3001,Paramètres!$A17,Journal!$H$2:$H$3001,"&gt;="&amp;MAX(Paramètres!$C17,G$4),Journal!$H$2:$H$3001,"&lt;="&amp;IF(Paramètres!$D17="",EOMONTH(G$4,0),MIN(Paramètres!$D17,EOMONTH(G$4,0))),Journal!$K$2:$K$3001,1))</f>
        <v>0</v>
      </c>
      <c r="U11" s="56">
        <f>IF(OR(Paramètres!$A17="",H$3=0),"",COUNTIFS(Journal!$D$2:$D$3001,Paramètres!$A17,Journal!$H$2:$H$3001,"&gt;="&amp;MAX(Paramètres!$C17,H$4),Journal!$H$2:$H$3001,"&lt;="&amp;IF(Paramètres!$D17="",EOMONTH(H$4,0),MIN(Paramètres!$D17,EOMONTH(H$4,0))),Journal!$K$2:$K$3001,1))</f>
        <v>0</v>
      </c>
      <c r="V11" s="56">
        <f>IF(OR(Paramètres!$A17="",I$3=0),"",COUNTIFS(Journal!$D$2:$D$3001,Paramètres!$A17,Journal!$H$2:$H$3001,"&gt;="&amp;MAX(Paramètres!$C17,I$4),Journal!$H$2:$H$3001,"&lt;="&amp;IF(Paramètres!$D17="",EOMONTH(I$4,0),MIN(Paramètres!$D17,EOMONTH(I$4,0))),Journal!$K$2:$K$3001,1))</f>
        <v>2</v>
      </c>
      <c r="W11" s="56">
        <f>IF(OR(Paramètres!$A17="",J$3=0),"",COUNTIFS(Journal!$D$2:$D$3001,Paramètres!$A17,Journal!$H$2:$H$3001,"&gt;="&amp;MAX(Paramètres!$C17,J$4),Journal!$H$2:$H$3001,"&lt;="&amp;IF(Paramètres!$D17="",EOMONTH(J$4,0),MIN(Paramètres!$D17,EOMONTH(J$4,0))),Journal!$K$2:$K$3001,1))</f>
        <v>1</v>
      </c>
      <c r="X11" s="56">
        <f>IF(OR(Paramètres!$A17="",K$3=0),"",COUNTIFS(Journal!$D$2:$D$3001,Paramètres!$A17,Journal!$H$2:$H$3001,"&gt;="&amp;MAX(Paramètres!$C17,K$4),Journal!$H$2:$H$3001,"&lt;="&amp;IF(Paramètres!$D17="",EOMONTH(K$4,0),MIN(Paramètres!$D17,EOMONTH(K$4,0))),Journal!$K$2:$K$3001,1))</f>
        <v>0</v>
      </c>
      <c r="Y11" s="56" t="str">
        <f>IF(OR(Paramètres!$A17="",L$3=0),"",COUNTIFS(Journal!$D$2:$D$3001,Paramètres!$A17,Journal!$H$2:$H$3001,"&gt;="&amp;MAX(Paramètres!$C17,L$4),Journal!$H$2:$H$3001,"&lt;="&amp;IF(Paramètres!$D17="",EOMONTH(L$4,0),MIN(Paramètres!$D17,EOMONTH(L$4,0))),Journal!$K$2:$K$3001,1))</f>
        <v/>
      </c>
      <c r="Z11" s="56" t="str">
        <f>IF(OR(Paramètres!$A17="",M$3=0),"",COUNTIFS(Journal!$D$2:$D$3001,Paramètres!$A17,Journal!$H$2:$H$3001,"&gt;="&amp;MAX(Paramètres!$C17,M$4),Journal!$H$2:$H$3001,"&lt;="&amp;IF(Paramètres!$D17="",EOMONTH(M$4,0),MIN(Paramètres!$D17,EOMONTH(M$4,0))),Journal!$K$2:$K$3001,1))</f>
        <v/>
      </c>
      <c r="AA11" s="56" t="str">
        <f>IF(OR(Paramètres!$A17="",N$3=0),"",COUNTIFS(Journal!$D$2:$D$3001,Paramètres!$A17,Journal!$H$2:$H$3001,"&gt;="&amp;MAX(Paramètres!$C17,N$4),Journal!$H$2:$H$3001,"&lt;="&amp;IF(Paramètres!$D17="",EOMONTH(N$4,0),MIN(Paramètres!$D17,EOMONTH(N$4,0))),Journal!$K$2:$K$3001,1))</f>
        <v/>
      </c>
      <c r="AC11" s="57" t="str">
        <f t="shared" si="4"/>
        <v/>
      </c>
      <c r="AD11" s="57" t="str">
        <f t="shared" si="5"/>
        <v/>
      </c>
      <c r="AE11" s="57" t="str">
        <f t="shared" si="6"/>
        <v/>
      </c>
      <c r="AF11" s="57" t="str">
        <f t="shared" si="7"/>
        <v/>
      </c>
      <c r="AG11" s="57" t="str">
        <f t="shared" si="8"/>
        <v/>
      </c>
      <c r="AH11" s="57" t="str">
        <f t="shared" si="9"/>
        <v/>
      </c>
      <c r="AI11" s="57">
        <f t="shared" si="10"/>
        <v>8.6956521739130432E-2</v>
      </c>
      <c r="AJ11" s="57">
        <f t="shared" si="11"/>
        <v>0.125</v>
      </c>
      <c r="AK11" s="57">
        <f t="shared" si="12"/>
        <v>0</v>
      </c>
      <c r="AL11" s="57" t="str">
        <f t="shared" si="13"/>
        <v/>
      </c>
      <c r="AM11" s="57" t="str">
        <f t="shared" si="14"/>
        <v/>
      </c>
      <c r="AN11" s="57" t="str">
        <f t="shared" si="15"/>
        <v/>
      </c>
      <c r="AP11" s="57" t="str">
        <f>IF(C11="","",IF(C11=0,"",MIN(1,P11/MAX(1,ROUND(C11*Paramètres!$E17/5,0)))))</f>
        <v/>
      </c>
      <c r="AQ11" s="57" t="str">
        <f>IF(D11="","",IF(D11=0,"",MIN(1,Q11/MAX(1,ROUND(D11*Paramètres!$E17/5,0)))))</f>
        <v/>
      </c>
      <c r="AR11" s="57" t="str">
        <f>IF(E11="","",IF(E11=0,"",MIN(1,R11/MAX(1,ROUND(E11*Paramètres!$E17/5,0)))))</f>
        <v/>
      </c>
      <c r="AS11" s="57" t="str">
        <f>IF(F11="","",IF(F11=0,"",MIN(1,S11/MAX(1,ROUND(F11*Paramètres!$E17/5,0)))))</f>
        <v/>
      </c>
      <c r="AT11" s="57" t="str">
        <f>IF(G11="","",IF(G11=0,"",MIN(1,T11/MAX(1,ROUND(G11*Paramètres!$E17/5,0)))))</f>
        <v/>
      </c>
      <c r="AU11" s="57" t="str">
        <f>IF(H11="","",IF(H11=0,"",MIN(1,U11/MAX(1,ROUND(H11*Paramètres!$E17/5,0)))))</f>
        <v/>
      </c>
      <c r="AV11" s="57">
        <f>IF(I11="","",IF(I11=0,"",MIN(1,V11/MAX(1,ROUND(I11*Paramètres!$E17/5,0)))))</f>
        <v>8.6956521739130432E-2</v>
      </c>
      <c r="AW11" s="57">
        <f>IF(J11="","",IF(J11=0,"",MIN(1,W11/MAX(1,ROUND(J11*Paramètres!$E17/5,0)))))</f>
        <v>0.125</v>
      </c>
      <c r="AX11" s="57">
        <f>IF(K11="","",IF(K11=0,"",MIN(1,X11/MAX(1,ROUND(K11*Paramètres!$E17/5,0)))))</f>
        <v>0</v>
      </c>
      <c r="AY11" s="57" t="str">
        <f>IF(L11="","",IF(L11=0,"",MIN(1,Y11/MAX(1,ROUND(L11*Paramètres!$E17/5,0)))))</f>
        <v/>
      </c>
      <c r="AZ11" s="57" t="str">
        <f>IF(M11="","",IF(M11=0,"",MIN(1,Z11/MAX(1,ROUND(M11*Paramètres!$E17/5,0)))))</f>
        <v/>
      </c>
      <c r="BA11" s="57" t="str">
        <f>IF(N11="","",IF(N11=0,"",MIN(1,AA11/MAX(1,ROUND(N11*Paramètres!$E17/5,0)))))</f>
        <v/>
      </c>
      <c r="BC11" s="56">
        <f t="shared" si="16"/>
        <v>1</v>
      </c>
      <c r="BD11" s="57">
        <f t="shared" si="17"/>
        <v>0</v>
      </c>
      <c r="BE11" s="56">
        <f t="shared" si="18"/>
        <v>1.1E-5</v>
      </c>
      <c r="BF11" s="56">
        <f t="shared" si="19"/>
        <v>14</v>
      </c>
    </row>
    <row r="12" spans="1:58" x14ac:dyDescent="0.25">
      <c r="A12" s="56" t="str">
        <f>IF(Paramètres!A18="","",Paramètres!A18)</f>
        <v>Marwa Solaani</v>
      </c>
      <c r="C12" s="56">
        <f>IF(OR(Paramètres!$A18="",C$3=0),"",COUNTIFS(Calendrier!$A$2:$A$367,"&gt;="&amp;MAX(Paramètres!$C18,C$4),Calendrier!$A$2:$A$367,"&lt;="&amp;IF(Paramètres!$D18="",EOMONTH(C$4,0),MIN(Paramètres!$D18,EOMONTH(C$4,0))),Calendrier!$C$2:$C$367,1))</f>
        <v>21</v>
      </c>
      <c r="D12" s="56">
        <f>IF(OR(Paramètres!$A18="",D$3=0),"",COUNTIFS(Calendrier!$A$2:$A$367,"&gt;="&amp;MAX(Paramètres!$C18,D$4),Calendrier!$A$2:$A$367,"&lt;="&amp;IF(Paramètres!$D18="",EOMONTH(D$4,0),MIN(Paramètres!$D18,EOMONTH(D$4,0))),Calendrier!$C$2:$C$367,1))</f>
        <v>20</v>
      </c>
      <c r="E12" s="56">
        <f>IF(OR(Paramètres!$A18="",E$3=0),"",COUNTIFS(Calendrier!$A$2:$A$367,"&gt;="&amp;MAX(Paramètres!$C18,E$4),Calendrier!$A$2:$A$367,"&lt;="&amp;IF(Paramètres!$D18="",EOMONTH(E$4,0),MIN(Paramètres!$D18,EOMONTH(E$4,0))),Calendrier!$C$2:$C$367,1))</f>
        <v>21</v>
      </c>
      <c r="F12" s="56">
        <f>IF(OR(Paramètres!$A18="",F$3=0),"",COUNTIFS(Calendrier!$A$2:$A$367,"&gt;="&amp;MAX(Paramètres!$C18,F$4),Calendrier!$A$2:$A$367,"&lt;="&amp;IF(Paramètres!$D18="",EOMONTH(F$4,0),MIN(Paramètres!$D18,EOMONTH(F$4,0))),Calendrier!$C$2:$C$367,1))</f>
        <v>22</v>
      </c>
      <c r="G12" s="56">
        <f>IF(OR(Paramètres!$A18="",G$3=0),"",COUNTIFS(Calendrier!$A$2:$A$367,"&gt;="&amp;MAX(Paramètres!$C18,G$4),Calendrier!$A$2:$A$367,"&lt;="&amp;IF(Paramètres!$D18="",EOMONTH(G$4,0),MIN(Paramètres!$D18,EOMONTH(G$4,0))),Calendrier!$C$2:$C$367,1))</f>
        <v>17</v>
      </c>
      <c r="H12" s="56">
        <f>IF(OR(Paramètres!$A18="",H$3=0),"",COUNTIFS(Calendrier!$A$2:$A$367,"&gt;="&amp;MAX(Paramètres!$C18,H$4),Calendrier!$A$2:$A$367,"&lt;="&amp;IF(Paramètres!$D18="",EOMONTH(H$4,0),MIN(Paramètres!$D18,EOMONTH(H$4,0))),Calendrier!$C$2:$C$367,1))</f>
        <v>22</v>
      </c>
      <c r="I12" s="56">
        <f>IF(OR(Paramètres!$A18="",I$3=0),"",COUNTIFS(Calendrier!$A$2:$A$367,"&gt;="&amp;MAX(Paramètres!$C18,I$4),Calendrier!$A$2:$A$367,"&lt;="&amp;IF(Paramètres!$D18="",EOMONTH(I$4,0),MIN(Paramètres!$D18,EOMONTH(I$4,0))),Calendrier!$C$2:$C$367,1))</f>
        <v>23</v>
      </c>
      <c r="J12" s="56">
        <f>IF(OR(Paramètres!$A18="",J$3=0),"",COUNTIFS(Calendrier!$A$2:$A$367,"&gt;="&amp;MAX(Paramètres!$C18,J$4),Calendrier!$A$2:$A$367,"&lt;="&amp;IF(Paramètres!$D18="",EOMONTH(J$4,0),MIN(Paramètres!$D18,EOMONTH(J$4,0))),Calendrier!$C$2:$C$367,1))</f>
        <v>8</v>
      </c>
      <c r="K12" s="56">
        <f>IF(OR(Paramètres!$A18="",K$3=0),"",COUNTIFS(Calendrier!$A$2:$A$367,"&gt;="&amp;MAX(Paramètres!$C18,K$4),Calendrier!$A$2:$A$367,"&lt;="&amp;IF(Paramètres!$D18="",EOMONTH(K$4,0),MIN(Paramètres!$D18,EOMONTH(K$4,0))),Calendrier!$C$2:$C$367,1))</f>
        <v>22</v>
      </c>
      <c r="L12" s="56" t="str">
        <f>IF(OR(Paramètres!$A18="",L$3=0),"",COUNTIFS(Calendrier!$A$2:$A$367,"&gt;="&amp;MAX(Paramètres!$C18,L$4),Calendrier!$A$2:$A$367,"&lt;="&amp;IF(Paramètres!$D18="",EOMONTH(L$4,0),MIN(Paramètres!$D18,EOMONTH(L$4,0))),Calendrier!$C$2:$C$367,1))</f>
        <v/>
      </c>
      <c r="M12" s="56" t="str">
        <f>IF(OR(Paramètres!$A18="",M$3=0),"",COUNTIFS(Calendrier!$A$2:$A$367,"&gt;="&amp;MAX(Paramètres!$C18,M$4),Calendrier!$A$2:$A$367,"&lt;="&amp;IF(Paramètres!$D18="",EOMONTH(M$4,0),MIN(Paramètres!$D18,EOMONTH(M$4,0))),Calendrier!$C$2:$C$367,1))</f>
        <v/>
      </c>
      <c r="N12" s="56" t="str">
        <f>IF(OR(Paramètres!$A18="",N$3=0),"",COUNTIFS(Calendrier!$A$2:$A$367,"&gt;="&amp;MAX(Paramètres!$C18,N$4),Calendrier!$A$2:$A$367,"&lt;="&amp;IF(Paramètres!$D18="",EOMONTH(N$4,0),MIN(Paramètres!$D18,EOMONTH(N$4,0))),Calendrier!$C$2:$C$367,1))</f>
        <v/>
      </c>
      <c r="P12" s="56">
        <f>IF(OR(Paramètres!$A18="",C$3=0),"",COUNTIFS(Journal!$D$2:$D$3001,Paramètres!$A18,Journal!$H$2:$H$3001,"&gt;="&amp;MAX(Paramètres!$C18,C$4),Journal!$H$2:$H$3001,"&lt;="&amp;IF(Paramètres!$D18="",EOMONTH(C$4,0),MIN(Paramètres!$D18,EOMONTH(C$4,0))),Journal!$K$2:$K$3001,1))</f>
        <v>4</v>
      </c>
      <c r="Q12" s="56">
        <f>IF(OR(Paramètres!$A18="",D$3=0),"",COUNTIFS(Journal!$D$2:$D$3001,Paramètres!$A18,Journal!$H$2:$H$3001,"&gt;="&amp;MAX(Paramètres!$C18,D$4),Journal!$H$2:$H$3001,"&lt;="&amp;IF(Paramètres!$D18="",EOMONTH(D$4,0),MIN(Paramètres!$D18,EOMONTH(D$4,0))),Journal!$K$2:$K$3001,1))</f>
        <v>4</v>
      </c>
      <c r="R12" s="56">
        <f>IF(OR(Paramètres!$A18="",E$3=0),"",COUNTIFS(Journal!$D$2:$D$3001,Paramètres!$A18,Journal!$H$2:$H$3001,"&gt;="&amp;MAX(Paramètres!$C18,E$4),Journal!$H$2:$H$3001,"&lt;="&amp;IF(Paramètres!$D18="",EOMONTH(E$4,0),MIN(Paramètres!$D18,EOMONTH(E$4,0))),Journal!$K$2:$K$3001,1))</f>
        <v>3</v>
      </c>
      <c r="S12" s="56">
        <f>IF(OR(Paramètres!$A18="",F$3=0),"",COUNTIFS(Journal!$D$2:$D$3001,Paramètres!$A18,Journal!$H$2:$H$3001,"&gt;="&amp;MAX(Paramètres!$C18,F$4),Journal!$H$2:$H$3001,"&lt;="&amp;IF(Paramètres!$D18="",EOMONTH(F$4,0),MIN(Paramètres!$D18,EOMONTH(F$4,0))),Journal!$K$2:$K$3001,1))</f>
        <v>1</v>
      </c>
      <c r="T12" s="56">
        <f>IF(OR(Paramètres!$A18="",G$3=0),"",COUNTIFS(Journal!$D$2:$D$3001,Paramètres!$A18,Journal!$H$2:$H$3001,"&gt;="&amp;MAX(Paramètres!$C18,G$4),Journal!$H$2:$H$3001,"&lt;="&amp;IF(Paramètres!$D18="",EOMONTH(G$4,0),MIN(Paramètres!$D18,EOMONTH(G$4,0))),Journal!$K$2:$K$3001,1))</f>
        <v>2</v>
      </c>
      <c r="U12" s="56">
        <f>IF(OR(Paramètres!$A18="",H$3=0),"",COUNTIFS(Journal!$D$2:$D$3001,Paramètres!$A18,Journal!$H$2:$H$3001,"&gt;="&amp;MAX(Paramètres!$C18,H$4),Journal!$H$2:$H$3001,"&lt;="&amp;IF(Paramètres!$D18="",EOMONTH(H$4,0),MIN(Paramètres!$D18,EOMONTH(H$4,0))),Journal!$K$2:$K$3001,1))</f>
        <v>7</v>
      </c>
      <c r="V12" s="56">
        <f>IF(OR(Paramètres!$A18="",I$3=0),"",COUNTIFS(Journal!$D$2:$D$3001,Paramètres!$A18,Journal!$H$2:$H$3001,"&gt;="&amp;MAX(Paramètres!$C18,I$4),Journal!$H$2:$H$3001,"&lt;="&amp;IF(Paramètres!$D18="",EOMONTH(I$4,0),MIN(Paramètres!$D18,EOMONTH(I$4,0))),Journal!$K$2:$K$3001,1))</f>
        <v>6</v>
      </c>
      <c r="W12" s="56">
        <f>IF(OR(Paramètres!$A18="",J$3=0),"",COUNTIFS(Journal!$D$2:$D$3001,Paramètres!$A18,Journal!$H$2:$H$3001,"&gt;="&amp;MAX(Paramètres!$C18,J$4),Journal!$H$2:$H$3001,"&lt;="&amp;IF(Paramètres!$D18="",EOMONTH(J$4,0),MIN(Paramètres!$D18,EOMONTH(J$4,0))),Journal!$K$2:$K$3001,1))</f>
        <v>3</v>
      </c>
      <c r="X12" s="56">
        <f>IF(OR(Paramètres!$A18="",K$3=0),"",COUNTIFS(Journal!$D$2:$D$3001,Paramètres!$A18,Journal!$H$2:$H$3001,"&gt;="&amp;MAX(Paramètres!$C18,K$4),Journal!$H$2:$H$3001,"&lt;="&amp;IF(Paramètres!$D18="",EOMONTH(K$4,0),MIN(Paramètres!$D18,EOMONTH(K$4,0))),Journal!$K$2:$K$3001,1))</f>
        <v>6</v>
      </c>
      <c r="Y12" s="56" t="str">
        <f>IF(OR(Paramètres!$A18="",L$3=0),"",COUNTIFS(Journal!$D$2:$D$3001,Paramètres!$A18,Journal!$H$2:$H$3001,"&gt;="&amp;MAX(Paramètres!$C18,L$4),Journal!$H$2:$H$3001,"&lt;="&amp;IF(Paramètres!$D18="",EOMONTH(L$4,0),MIN(Paramètres!$D18,EOMONTH(L$4,0))),Journal!$K$2:$K$3001,1))</f>
        <v/>
      </c>
      <c r="Z12" s="56" t="str">
        <f>IF(OR(Paramètres!$A18="",M$3=0),"",COUNTIFS(Journal!$D$2:$D$3001,Paramètres!$A18,Journal!$H$2:$H$3001,"&gt;="&amp;MAX(Paramètres!$C18,M$4),Journal!$H$2:$H$3001,"&lt;="&amp;IF(Paramètres!$D18="",EOMONTH(M$4,0),MIN(Paramètres!$D18,EOMONTH(M$4,0))),Journal!$K$2:$K$3001,1))</f>
        <v/>
      </c>
      <c r="AA12" s="56" t="str">
        <f>IF(OR(Paramètres!$A18="",N$3=0),"",COUNTIFS(Journal!$D$2:$D$3001,Paramètres!$A18,Journal!$H$2:$H$3001,"&gt;="&amp;MAX(Paramètres!$C18,N$4),Journal!$H$2:$H$3001,"&lt;="&amp;IF(Paramètres!$D18="",EOMONTH(N$4,0),MIN(Paramètres!$D18,EOMONTH(N$4,0))),Journal!$K$2:$K$3001,1))</f>
        <v/>
      </c>
      <c r="AC12" s="57">
        <f t="shared" si="4"/>
        <v>0.19047619047619047</v>
      </c>
      <c r="AD12" s="57">
        <f t="shared" si="5"/>
        <v>0.2</v>
      </c>
      <c r="AE12" s="57">
        <f t="shared" si="6"/>
        <v>0.14285714285714285</v>
      </c>
      <c r="AF12" s="57">
        <f t="shared" si="7"/>
        <v>4.5454545454545456E-2</v>
      </c>
      <c r="AG12" s="57">
        <f t="shared" si="8"/>
        <v>0.11764705882352941</v>
      </c>
      <c r="AH12" s="57">
        <f t="shared" si="9"/>
        <v>0.31818181818181818</v>
      </c>
      <c r="AI12" s="57">
        <f t="shared" si="10"/>
        <v>0.2608695652173913</v>
      </c>
      <c r="AJ12" s="57">
        <f t="shared" si="11"/>
        <v>0.375</v>
      </c>
      <c r="AK12" s="57">
        <f t="shared" si="12"/>
        <v>0.27272727272727271</v>
      </c>
      <c r="AL12" s="57" t="str">
        <f t="shared" si="13"/>
        <v/>
      </c>
      <c r="AM12" s="57" t="str">
        <f t="shared" si="14"/>
        <v/>
      </c>
      <c r="AN12" s="57" t="str">
        <f t="shared" si="15"/>
        <v/>
      </c>
      <c r="AP12" s="57">
        <f>IF(C12="","",IF(C12=0,"",MIN(1,P12/MAX(1,ROUND(C12*Paramètres!$E18/5,0)))))</f>
        <v>0.19047619047619047</v>
      </c>
      <c r="AQ12" s="57">
        <f>IF(D12="","",IF(D12=0,"",MIN(1,Q12/MAX(1,ROUND(D12*Paramètres!$E18/5,0)))))</f>
        <v>0.2</v>
      </c>
      <c r="AR12" s="57">
        <f>IF(E12="","",IF(E12=0,"",MIN(1,R12/MAX(1,ROUND(E12*Paramètres!$E18/5,0)))))</f>
        <v>0.14285714285714285</v>
      </c>
      <c r="AS12" s="57">
        <f>IF(F12="","",IF(F12=0,"",MIN(1,S12/MAX(1,ROUND(F12*Paramètres!$E18/5,0)))))</f>
        <v>4.5454545454545456E-2</v>
      </c>
      <c r="AT12" s="57">
        <f>IF(G12="","",IF(G12=0,"",MIN(1,T12/MAX(1,ROUND(G12*Paramètres!$E18/5,0)))))</f>
        <v>0.11764705882352941</v>
      </c>
      <c r="AU12" s="57">
        <f>IF(H12="","",IF(H12=0,"",MIN(1,U12/MAX(1,ROUND(H12*Paramètres!$E18/5,0)))))</f>
        <v>0.31818181818181818</v>
      </c>
      <c r="AV12" s="57">
        <f>IF(I12="","",IF(I12=0,"",MIN(1,V12/MAX(1,ROUND(I12*Paramètres!$E18/5,0)))))</f>
        <v>0.2608695652173913</v>
      </c>
      <c r="AW12" s="57">
        <f>IF(J12="","",IF(J12=0,"",MIN(1,W12/MAX(1,ROUND(J12*Paramètres!$E18/5,0)))))</f>
        <v>0.375</v>
      </c>
      <c r="AX12" s="57">
        <f>IF(K12="","",IF(K12=0,"",MIN(1,X12/MAX(1,ROUND(K12*Paramètres!$E18/5,0)))))</f>
        <v>0.27272727272727271</v>
      </c>
      <c r="AY12" s="57" t="str">
        <f>IF(L12="","",IF(L12=0,"",MIN(1,Y12/MAX(1,ROUND(L12*Paramètres!$E18/5,0)))))</f>
        <v/>
      </c>
      <c r="AZ12" s="57" t="str">
        <f>IF(M12="","",IF(M12=0,"",MIN(1,Z12/MAX(1,ROUND(M12*Paramètres!$E18/5,0)))))</f>
        <v/>
      </c>
      <c r="BA12" s="57" t="str">
        <f>IF(N12="","",IF(N12=0,"",MIN(1,AA12/MAX(1,ROUND(N12*Paramètres!$E18/5,0)))))</f>
        <v/>
      </c>
      <c r="BC12" s="56">
        <f t="shared" si="16"/>
        <v>1</v>
      </c>
      <c r="BD12" s="57">
        <f t="shared" si="17"/>
        <v>0.27272727272727271</v>
      </c>
      <c r="BE12" s="56">
        <f t="shared" si="18"/>
        <v>0.27273927272727272</v>
      </c>
      <c r="BF12" s="56">
        <f t="shared" si="19"/>
        <v>6</v>
      </c>
    </row>
    <row r="13" spans="1:58" x14ac:dyDescent="0.25">
      <c r="A13" s="56" t="str">
        <f>IF(Paramètres!A19="","",Paramètres!A19)</f>
        <v>Mina Moussa</v>
      </c>
      <c r="C13" s="56">
        <f>IF(OR(Paramètres!$A19="",C$3=0),"",COUNTIFS(Calendrier!$A$2:$A$367,"&gt;="&amp;MAX(Paramètres!$C19,C$4),Calendrier!$A$2:$A$367,"&lt;="&amp;IF(Paramètres!$D19="",EOMONTH(C$4,0),MIN(Paramètres!$D19,EOMONTH(C$4,0))),Calendrier!$C$2:$C$367,1))</f>
        <v>21</v>
      </c>
      <c r="D13" s="56">
        <f>IF(OR(Paramètres!$A19="",D$3=0),"",COUNTIFS(Calendrier!$A$2:$A$367,"&gt;="&amp;MAX(Paramètres!$C19,D$4),Calendrier!$A$2:$A$367,"&lt;="&amp;IF(Paramètres!$D19="",EOMONTH(D$4,0),MIN(Paramètres!$D19,EOMONTH(D$4,0))),Calendrier!$C$2:$C$367,1))</f>
        <v>20</v>
      </c>
      <c r="E13" s="56">
        <f>IF(OR(Paramètres!$A19="",E$3=0),"",COUNTIFS(Calendrier!$A$2:$A$367,"&gt;="&amp;MAX(Paramètres!$C19,E$4),Calendrier!$A$2:$A$367,"&lt;="&amp;IF(Paramètres!$D19="",EOMONTH(E$4,0),MIN(Paramètres!$D19,EOMONTH(E$4,0))),Calendrier!$C$2:$C$367,1))</f>
        <v>21</v>
      </c>
      <c r="F13" s="56">
        <f>IF(OR(Paramètres!$A19="",F$3=0),"",COUNTIFS(Calendrier!$A$2:$A$367,"&gt;="&amp;MAX(Paramètres!$C19,F$4),Calendrier!$A$2:$A$367,"&lt;="&amp;IF(Paramètres!$D19="",EOMONTH(F$4,0),MIN(Paramètres!$D19,EOMONTH(F$4,0))),Calendrier!$C$2:$C$367,1))</f>
        <v>22</v>
      </c>
      <c r="G13" s="56">
        <f>IF(OR(Paramètres!$A19="",G$3=0),"",COUNTIFS(Calendrier!$A$2:$A$367,"&gt;="&amp;MAX(Paramètres!$C19,G$4),Calendrier!$A$2:$A$367,"&lt;="&amp;IF(Paramètres!$D19="",EOMONTH(G$4,0),MIN(Paramètres!$D19,EOMONTH(G$4,0))),Calendrier!$C$2:$C$367,1))</f>
        <v>17</v>
      </c>
      <c r="H13" s="56">
        <f>IF(OR(Paramètres!$A19="",H$3=0),"",COUNTIFS(Calendrier!$A$2:$A$367,"&gt;="&amp;MAX(Paramètres!$C19,H$4),Calendrier!$A$2:$A$367,"&lt;="&amp;IF(Paramètres!$D19="",EOMONTH(H$4,0),MIN(Paramètres!$D19,EOMONTH(H$4,0))),Calendrier!$C$2:$C$367,1))</f>
        <v>22</v>
      </c>
      <c r="I13" s="56">
        <f>IF(OR(Paramètres!$A19="",I$3=0),"",COUNTIFS(Calendrier!$A$2:$A$367,"&gt;="&amp;MAX(Paramètres!$C19,I$4),Calendrier!$A$2:$A$367,"&lt;="&amp;IF(Paramètres!$D19="",EOMONTH(I$4,0),MIN(Paramètres!$D19,EOMONTH(I$4,0))),Calendrier!$C$2:$C$367,1))</f>
        <v>23</v>
      </c>
      <c r="J13" s="56">
        <f>IF(OR(Paramètres!$A19="",J$3=0),"",COUNTIFS(Calendrier!$A$2:$A$367,"&gt;="&amp;MAX(Paramètres!$C19,J$4),Calendrier!$A$2:$A$367,"&lt;="&amp;IF(Paramètres!$D19="",EOMONTH(J$4,0),MIN(Paramètres!$D19,EOMONTH(J$4,0))),Calendrier!$C$2:$C$367,1))</f>
        <v>8</v>
      </c>
      <c r="K13" s="56">
        <f>IF(OR(Paramètres!$A19="",K$3=0),"",COUNTIFS(Calendrier!$A$2:$A$367,"&gt;="&amp;MAX(Paramètres!$C19,K$4),Calendrier!$A$2:$A$367,"&lt;="&amp;IF(Paramètres!$D19="",EOMONTH(K$4,0),MIN(Paramètres!$D19,EOMONTH(K$4,0))),Calendrier!$C$2:$C$367,1))</f>
        <v>22</v>
      </c>
      <c r="L13" s="56" t="str">
        <f>IF(OR(Paramètres!$A19="",L$3=0),"",COUNTIFS(Calendrier!$A$2:$A$367,"&gt;="&amp;MAX(Paramètres!$C19,L$4),Calendrier!$A$2:$A$367,"&lt;="&amp;IF(Paramètres!$D19="",EOMONTH(L$4,0),MIN(Paramètres!$D19,EOMONTH(L$4,0))),Calendrier!$C$2:$C$367,1))</f>
        <v/>
      </c>
      <c r="M13" s="56" t="str">
        <f>IF(OR(Paramètres!$A19="",M$3=0),"",COUNTIFS(Calendrier!$A$2:$A$367,"&gt;="&amp;MAX(Paramètres!$C19,M$4),Calendrier!$A$2:$A$367,"&lt;="&amp;IF(Paramètres!$D19="",EOMONTH(M$4,0),MIN(Paramètres!$D19,EOMONTH(M$4,0))),Calendrier!$C$2:$C$367,1))</f>
        <v/>
      </c>
      <c r="N13" s="56" t="str">
        <f>IF(OR(Paramètres!$A19="",N$3=0),"",COUNTIFS(Calendrier!$A$2:$A$367,"&gt;="&amp;MAX(Paramètres!$C19,N$4),Calendrier!$A$2:$A$367,"&lt;="&amp;IF(Paramètres!$D19="",EOMONTH(N$4,0),MIN(Paramètres!$D19,EOMONTH(N$4,0))),Calendrier!$C$2:$C$367,1))</f>
        <v/>
      </c>
      <c r="P13" s="56">
        <f>IF(OR(Paramètres!$A19="",C$3=0),"",COUNTIFS(Journal!$D$2:$D$3001,Paramètres!$A19,Journal!$H$2:$H$3001,"&gt;="&amp;MAX(Paramètres!$C19,C$4),Journal!$H$2:$H$3001,"&lt;="&amp;IF(Paramètres!$D19="",EOMONTH(C$4,0),MIN(Paramètres!$D19,EOMONTH(C$4,0))),Journal!$K$2:$K$3001,1))</f>
        <v>17</v>
      </c>
      <c r="Q13" s="56">
        <f>IF(OR(Paramètres!$A19="",D$3=0),"",COUNTIFS(Journal!$D$2:$D$3001,Paramètres!$A19,Journal!$H$2:$H$3001,"&gt;="&amp;MAX(Paramètres!$C19,D$4),Journal!$H$2:$H$3001,"&lt;="&amp;IF(Paramètres!$D19="",EOMONTH(D$4,0),MIN(Paramètres!$D19,EOMONTH(D$4,0))),Journal!$K$2:$K$3001,1))</f>
        <v>12</v>
      </c>
      <c r="R13" s="56">
        <f>IF(OR(Paramètres!$A19="",E$3=0),"",COUNTIFS(Journal!$D$2:$D$3001,Paramètres!$A19,Journal!$H$2:$H$3001,"&gt;="&amp;MAX(Paramètres!$C19,E$4),Journal!$H$2:$H$3001,"&lt;="&amp;IF(Paramètres!$D19="",EOMONTH(E$4,0),MIN(Paramètres!$D19,EOMONTH(E$4,0))),Journal!$K$2:$K$3001,1))</f>
        <v>11</v>
      </c>
      <c r="S13" s="56">
        <f>IF(OR(Paramètres!$A19="",F$3=0),"",COUNTIFS(Journal!$D$2:$D$3001,Paramètres!$A19,Journal!$H$2:$H$3001,"&gt;="&amp;MAX(Paramètres!$C19,F$4),Journal!$H$2:$H$3001,"&lt;="&amp;IF(Paramètres!$D19="",EOMONTH(F$4,0),MIN(Paramètres!$D19,EOMONTH(F$4,0))),Journal!$K$2:$K$3001,1))</f>
        <v>9</v>
      </c>
      <c r="T13" s="56">
        <f>IF(OR(Paramètres!$A19="",G$3=0),"",COUNTIFS(Journal!$D$2:$D$3001,Paramètres!$A19,Journal!$H$2:$H$3001,"&gt;="&amp;MAX(Paramètres!$C19,G$4),Journal!$H$2:$H$3001,"&lt;="&amp;IF(Paramètres!$D19="",EOMONTH(G$4,0),MIN(Paramètres!$D19,EOMONTH(G$4,0))),Journal!$K$2:$K$3001,1))</f>
        <v>6</v>
      </c>
      <c r="U13" s="56">
        <f>IF(OR(Paramètres!$A19="",H$3=0),"",COUNTIFS(Journal!$D$2:$D$3001,Paramètres!$A19,Journal!$H$2:$H$3001,"&gt;="&amp;MAX(Paramètres!$C19,H$4),Journal!$H$2:$H$3001,"&lt;="&amp;IF(Paramètres!$D19="",EOMONTH(H$4,0),MIN(Paramètres!$D19,EOMONTH(H$4,0))),Journal!$K$2:$K$3001,1))</f>
        <v>9</v>
      </c>
      <c r="V13" s="56">
        <f>IF(OR(Paramètres!$A19="",I$3=0),"",COUNTIFS(Journal!$D$2:$D$3001,Paramètres!$A19,Journal!$H$2:$H$3001,"&gt;="&amp;MAX(Paramètres!$C19,I$4),Journal!$H$2:$H$3001,"&lt;="&amp;IF(Paramètres!$D19="",EOMONTH(I$4,0),MIN(Paramètres!$D19,EOMONTH(I$4,0))),Journal!$K$2:$K$3001,1))</f>
        <v>8</v>
      </c>
      <c r="W13" s="56">
        <f>IF(OR(Paramètres!$A19="",J$3=0),"",COUNTIFS(Journal!$D$2:$D$3001,Paramètres!$A19,Journal!$H$2:$H$3001,"&gt;="&amp;MAX(Paramètres!$C19,J$4),Journal!$H$2:$H$3001,"&lt;="&amp;IF(Paramètres!$D19="",EOMONTH(J$4,0),MIN(Paramètres!$D19,EOMONTH(J$4,0))),Journal!$K$2:$K$3001,1))</f>
        <v>1</v>
      </c>
      <c r="X13" s="56">
        <f>IF(OR(Paramètres!$A19="",K$3=0),"",COUNTIFS(Journal!$D$2:$D$3001,Paramètres!$A19,Journal!$H$2:$H$3001,"&gt;="&amp;MAX(Paramètres!$C19,K$4),Journal!$H$2:$H$3001,"&lt;="&amp;IF(Paramètres!$D19="",EOMONTH(K$4,0),MIN(Paramètres!$D19,EOMONTH(K$4,0))),Journal!$K$2:$K$3001,1))</f>
        <v>3</v>
      </c>
      <c r="Y13" s="56" t="str">
        <f>IF(OR(Paramètres!$A19="",L$3=0),"",COUNTIFS(Journal!$D$2:$D$3001,Paramètres!$A19,Journal!$H$2:$H$3001,"&gt;="&amp;MAX(Paramètres!$C19,L$4),Journal!$H$2:$H$3001,"&lt;="&amp;IF(Paramètres!$D19="",EOMONTH(L$4,0),MIN(Paramètres!$D19,EOMONTH(L$4,0))),Journal!$K$2:$K$3001,1))</f>
        <v/>
      </c>
      <c r="Z13" s="56" t="str">
        <f>IF(OR(Paramètres!$A19="",M$3=0),"",COUNTIFS(Journal!$D$2:$D$3001,Paramètres!$A19,Journal!$H$2:$H$3001,"&gt;="&amp;MAX(Paramètres!$C19,M$4),Journal!$H$2:$H$3001,"&lt;="&amp;IF(Paramètres!$D19="",EOMONTH(M$4,0),MIN(Paramètres!$D19,EOMONTH(M$4,0))),Journal!$K$2:$K$3001,1))</f>
        <v/>
      </c>
      <c r="AA13" s="56" t="str">
        <f>IF(OR(Paramètres!$A19="",N$3=0),"",COUNTIFS(Journal!$D$2:$D$3001,Paramètres!$A19,Journal!$H$2:$H$3001,"&gt;="&amp;MAX(Paramètres!$C19,N$4),Journal!$H$2:$H$3001,"&lt;="&amp;IF(Paramètres!$D19="",EOMONTH(N$4,0),MIN(Paramètres!$D19,EOMONTH(N$4,0))),Journal!$K$2:$K$3001,1))</f>
        <v/>
      </c>
      <c r="AC13" s="57">
        <f t="shared" si="4"/>
        <v>0.80952380952380953</v>
      </c>
      <c r="AD13" s="57">
        <f t="shared" si="5"/>
        <v>0.6</v>
      </c>
      <c r="AE13" s="57">
        <f t="shared" si="6"/>
        <v>0.52380952380952384</v>
      </c>
      <c r="AF13" s="57">
        <f t="shared" si="7"/>
        <v>0.40909090909090912</v>
      </c>
      <c r="AG13" s="57">
        <f t="shared" si="8"/>
        <v>0.35294117647058826</v>
      </c>
      <c r="AH13" s="57">
        <f t="shared" si="9"/>
        <v>0.40909090909090912</v>
      </c>
      <c r="AI13" s="57">
        <f t="shared" si="10"/>
        <v>0.34782608695652173</v>
      </c>
      <c r="AJ13" s="57">
        <f t="shared" si="11"/>
        <v>0.125</v>
      </c>
      <c r="AK13" s="57">
        <f t="shared" si="12"/>
        <v>0.13636363636363635</v>
      </c>
      <c r="AL13" s="57" t="str">
        <f t="shared" si="13"/>
        <v/>
      </c>
      <c r="AM13" s="57" t="str">
        <f t="shared" si="14"/>
        <v/>
      </c>
      <c r="AN13" s="57" t="str">
        <f t="shared" si="15"/>
        <v/>
      </c>
      <c r="AP13" s="57">
        <f>IF(C13="","",IF(C13=0,"",MIN(1,P13/MAX(1,ROUND(C13*Paramètres!$E19/5,0)))))</f>
        <v>0.80952380952380953</v>
      </c>
      <c r="AQ13" s="57">
        <f>IF(D13="","",IF(D13=0,"",MIN(1,Q13/MAX(1,ROUND(D13*Paramètres!$E19/5,0)))))</f>
        <v>0.6</v>
      </c>
      <c r="AR13" s="57">
        <f>IF(E13="","",IF(E13=0,"",MIN(1,R13/MAX(1,ROUND(E13*Paramètres!$E19/5,0)))))</f>
        <v>0.52380952380952384</v>
      </c>
      <c r="AS13" s="57">
        <f>IF(F13="","",IF(F13=0,"",MIN(1,S13/MAX(1,ROUND(F13*Paramètres!$E19/5,0)))))</f>
        <v>0.40909090909090912</v>
      </c>
      <c r="AT13" s="57">
        <f>IF(G13="","",IF(G13=0,"",MIN(1,T13/MAX(1,ROUND(G13*Paramètres!$E19/5,0)))))</f>
        <v>0.35294117647058826</v>
      </c>
      <c r="AU13" s="57">
        <f>IF(H13="","",IF(H13=0,"",MIN(1,U13/MAX(1,ROUND(H13*Paramètres!$E19/5,0)))))</f>
        <v>0.40909090909090912</v>
      </c>
      <c r="AV13" s="57">
        <f>IF(I13="","",IF(I13=0,"",MIN(1,V13/MAX(1,ROUND(I13*Paramètres!$E19/5,0)))))</f>
        <v>0.34782608695652173</v>
      </c>
      <c r="AW13" s="57">
        <f>IF(J13="","",IF(J13=0,"",MIN(1,W13/MAX(1,ROUND(J13*Paramètres!$E19/5,0)))))</f>
        <v>0.125</v>
      </c>
      <c r="AX13" s="57">
        <f>IF(K13="","",IF(K13=0,"",MIN(1,X13/MAX(1,ROUND(K13*Paramètres!$E19/5,0)))))</f>
        <v>0.13636363636363635</v>
      </c>
      <c r="AY13" s="57" t="str">
        <f>IF(L13="","",IF(L13=0,"",MIN(1,Y13/MAX(1,ROUND(L13*Paramètres!$E19/5,0)))))</f>
        <v/>
      </c>
      <c r="AZ13" s="57" t="str">
        <f>IF(M13="","",IF(M13=0,"",MIN(1,Z13/MAX(1,ROUND(M13*Paramètres!$E19/5,0)))))</f>
        <v/>
      </c>
      <c r="BA13" s="57" t="str">
        <f>IF(N13="","",IF(N13=0,"",MIN(1,AA13/MAX(1,ROUND(N13*Paramètres!$E19/5,0)))))</f>
        <v/>
      </c>
      <c r="BC13" s="56">
        <f t="shared" si="16"/>
        <v>1</v>
      </c>
      <c r="BD13" s="57">
        <f t="shared" si="17"/>
        <v>0.13636363636363635</v>
      </c>
      <c r="BE13" s="56">
        <f t="shared" si="18"/>
        <v>0.13637663636363637</v>
      </c>
      <c r="BF13" s="56">
        <f t="shared" si="19"/>
        <v>10</v>
      </c>
    </row>
    <row r="14" spans="1:58" x14ac:dyDescent="0.25">
      <c r="A14" s="56" t="str">
        <f>IF(Paramètres!A20="","",Paramètres!A20)</f>
        <v>Mohamed Sniha</v>
      </c>
      <c r="C14" s="56">
        <f>IF(OR(Paramètres!$A20="",C$3=0),"",COUNTIFS(Calendrier!$A$2:$A$367,"&gt;="&amp;MAX(Paramètres!$C20,C$4),Calendrier!$A$2:$A$367,"&lt;="&amp;IF(Paramètres!$D20="",EOMONTH(C$4,0),MIN(Paramètres!$D20,EOMONTH(C$4,0))),Calendrier!$C$2:$C$367,1))</f>
        <v>21</v>
      </c>
      <c r="D14" s="56">
        <f>IF(OR(Paramètres!$A20="",D$3=0),"",COUNTIFS(Calendrier!$A$2:$A$367,"&gt;="&amp;MAX(Paramètres!$C20,D$4),Calendrier!$A$2:$A$367,"&lt;="&amp;IF(Paramètres!$D20="",EOMONTH(D$4,0),MIN(Paramètres!$D20,EOMONTH(D$4,0))),Calendrier!$C$2:$C$367,1))</f>
        <v>20</v>
      </c>
      <c r="E14" s="56">
        <f>IF(OR(Paramètres!$A20="",E$3=0),"",COUNTIFS(Calendrier!$A$2:$A$367,"&gt;="&amp;MAX(Paramètres!$C20,E$4),Calendrier!$A$2:$A$367,"&lt;="&amp;IF(Paramètres!$D20="",EOMONTH(E$4,0),MIN(Paramètres!$D20,EOMONTH(E$4,0))),Calendrier!$C$2:$C$367,1))</f>
        <v>21</v>
      </c>
      <c r="F14" s="56">
        <f>IF(OR(Paramètres!$A20="",F$3=0),"",COUNTIFS(Calendrier!$A$2:$A$367,"&gt;="&amp;MAX(Paramètres!$C20,F$4),Calendrier!$A$2:$A$367,"&lt;="&amp;IF(Paramètres!$D20="",EOMONTH(F$4,0),MIN(Paramètres!$D20,EOMONTH(F$4,0))),Calendrier!$C$2:$C$367,1))</f>
        <v>22</v>
      </c>
      <c r="G14" s="56">
        <f>IF(OR(Paramètres!$A20="",G$3=0),"",COUNTIFS(Calendrier!$A$2:$A$367,"&gt;="&amp;MAX(Paramètres!$C20,G$4),Calendrier!$A$2:$A$367,"&lt;="&amp;IF(Paramètres!$D20="",EOMONTH(G$4,0),MIN(Paramètres!$D20,EOMONTH(G$4,0))),Calendrier!$C$2:$C$367,1))</f>
        <v>17</v>
      </c>
      <c r="H14" s="56">
        <f>IF(OR(Paramètres!$A20="",H$3=0),"",COUNTIFS(Calendrier!$A$2:$A$367,"&gt;="&amp;MAX(Paramètres!$C20,H$4),Calendrier!$A$2:$A$367,"&lt;="&amp;IF(Paramètres!$D20="",EOMONTH(H$4,0),MIN(Paramètres!$D20,EOMONTH(H$4,0))),Calendrier!$C$2:$C$367,1))</f>
        <v>22</v>
      </c>
      <c r="I14" s="56">
        <f>IF(OR(Paramètres!$A20="",I$3=0),"",COUNTIFS(Calendrier!$A$2:$A$367,"&gt;="&amp;MAX(Paramètres!$C20,I$4),Calendrier!$A$2:$A$367,"&lt;="&amp;IF(Paramètres!$D20="",EOMONTH(I$4,0),MIN(Paramètres!$D20,EOMONTH(I$4,0))),Calendrier!$C$2:$C$367,1))</f>
        <v>23</v>
      </c>
      <c r="J14" s="56">
        <f>IF(OR(Paramètres!$A20="",J$3=0),"",COUNTIFS(Calendrier!$A$2:$A$367,"&gt;="&amp;MAX(Paramètres!$C20,J$4),Calendrier!$A$2:$A$367,"&lt;="&amp;IF(Paramètres!$D20="",EOMONTH(J$4,0),MIN(Paramètres!$D20,EOMONTH(J$4,0))),Calendrier!$C$2:$C$367,1))</f>
        <v>8</v>
      </c>
      <c r="K14" s="56">
        <f>IF(OR(Paramètres!$A20="",K$3=0),"",COUNTIFS(Calendrier!$A$2:$A$367,"&gt;="&amp;MAX(Paramètres!$C20,K$4),Calendrier!$A$2:$A$367,"&lt;="&amp;IF(Paramètres!$D20="",EOMONTH(K$4,0),MIN(Paramètres!$D20,EOMONTH(K$4,0))),Calendrier!$C$2:$C$367,1))</f>
        <v>22</v>
      </c>
      <c r="L14" s="56" t="str">
        <f>IF(OR(Paramètres!$A20="",L$3=0),"",COUNTIFS(Calendrier!$A$2:$A$367,"&gt;="&amp;MAX(Paramètres!$C20,L$4),Calendrier!$A$2:$A$367,"&lt;="&amp;IF(Paramètres!$D20="",EOMONTH(L$4,0),MIN(Paramètres!$D20,EOMONTH(L$4,0))),Calendrier!$C$2:$C$367,1))</f>
        <v/>
      </c>
      <c r="M14" s="56" t="str">
        <f>IF(OR(Paramètres!$A20="",M$3=0),"",COUNTIFS(Calendrier!$A$2:$A$367,"&gt;="&amp;MAX(Paramètres!$C20,M$4),Calendrier!$A$2:$A$367,"&lt;="&amp;IF(Paramètres!$D20="",EOMONTH(M$4,0),MIN(Paramètres!$D20,EOMONTH(M$4,0))),Calendrier!$C$2:$C$367,1))</f>
        <v/>
      </c>
      <c r="N14" s="56" t="str">
        <f>IF(OR(Paramètres!$A20="",N$3=0),"",COUNTIFS(Calendrier!$A$2:$A$367,"&gt;="&amp;MAX(Paramètres!$C20,N$4),Calendrier!$A$2:$A$367,"&lt;="&amp;IF(Paramètres!$D20="",EOMONTH(N$4,0),MIN(Paramètres!$D20,EOMONTH(N$4,0))),Calendrier!$C$2:$C$367,1))</f>
        <v/>
      </c>
      <c r="P14" s="56">
        <f>IF(OR(Paramètres!$A20="",C$3=0),"",COUNTIFS(Journal!$D$2:$D$3001,Paramètres!$A20,Journal!$H$2:$H$3001,"&gt;="&amp;MAX(Paramètres!$C20,C$4),Journal!$H$2:$H$3001,"&lt;="&amp;IF(Paramètres!$D20="",EOMONTH(C$4,0),MIN(Paramètres!$D20,EOMONTH(C$4,0))),Journal!$K$2:$K$3001,1))</f>
        <v>4</v>
      </c>
      <c r="Q14" s="56">
        <f>IF(OR(Paramètres!$A20="",D$3=0),"",COUNTIFS(Journal!$D$2:$D$3001,Paramètres!$A20,Journal!$H$2:$H$3001,"&gt;="&amp;MAX(Paramètres!$C20,D$4),Journal!$H$2:$H$3001,"&lt;="&amp;IF(Paramètres!$D20="",EOMONTH(D$4,0),MIN(Paramètres!$D20,EOMONTH(D$4,0))),Journal!$K$2:$K$3001,1))</f>
        <v>0</v>
      </c>
      <c r="R14" s="56">
        <f>IF(OR(Paramètres!$A20="",E$3=0),"",COUNTIFS(Journal!$D$2:$D$3001,Paramètres!$A20,Journal!$H$2:$H$3001,"&gt;="&amp;MAX(Paramètres!$C20,E$4),Journal!$H$2:$H$3001,"&lt;="&amp;IF(Paramètres!$D20="",EOMONTH(E$4,0),MIN(Paramètres!$D20,EOMONTH(E$4,0))),Journal!$K$2:$K$3001,1))</f>
        <v>1</v>
      </c>
      <c r="S14" s="56">
        <f>IF(OR(Paramètres!$A20="",F$3=0),"",COUNTIFS(Journal!$D$2:$D$3001,Paramètres!$A20,Journal!$H$2:$H$3001,"&gt;="&amp;MAX(Paramètres!$C20,F$4),Journal!$H$2:$H$3001,"&lt;="&amp;IF(Paramètres!$D20="",EOMONTH(F$4,0),MIN(Paramètres!$D20,EOMONTH(F$4,0))),Journal!$K$2:$K$3001,1))</f>
        <v>0</v>
      </c>
      <c r="T14" s="56">
        <f>IF(OR(Paramètres!$A20="",G$3=0),"",COUNTIFS(Journal!$D$2:$D$3001,Paramètres!$A20,Journal!$H$2:$H$3001,"&gt;="&amp;MAX(Paramètres!$C20,G$4),Journal!$H$2:$H$3001,"&lt;="&amp;IF(Paramètres!$D20="",EOMONTH(G$4,0),MIN(Paramètres!$D20,EOMONTH(G$4,0))),Journal!$K$2:$K$3001,1))</f>
        <v>1</v>
      </c>
      <c r="U14" s="56">
        <f>IF(OR(Paramètres!$A20="",H$3=0),"",COUNTIFS(Journal!$D$2:$D$3001,Paramètres!$A20,Journal!$H$2:$H$3001,"&gt;="&amp;MAX(Paramètres!$C20,H$4),Journal!$H$2:$H$3001,"&lt;="&amp;IF(Paramètres!$D20="",EOMONTH(H$4,0),MIN(Paramètres!$D20,EOMONTH(H$4,0))),Journal!$K$2:$K$3001,1))</f>
        <v>1</v>
      </c>
      <c r="V14" s="56">
        <f>IF(OR(Paramètres!$A20="",I$3=0),"",COUNTIFS(Journal!$D$2:$D$3001,Paramètres!$A20,Journal!$H$2:$H$3001,"&gt;="&amp;MAX(Paramètres!$C20,I$4),Journal!$H$2:$H$3001,"&lt;="&amp;IF(Paramètres!$D20="",EOMONTH(I$4,0),MIN(Paramètres!$D20,EOMONTH(I$4,0))),Journal!$K$2:$K$3001,1))</f>
        <v>2</v>
      </c>
      <c r="W14" s="56">
        <f>IF(OR(Paramètres!$A20="",J$3=0),"",COUNTIFS(Journal!$D$2:$D$3001,Paramètres!$A20,Journal!$H$2:$H$3001,"&gt;="&amp;MAX(Paramètres!$C20,J$4),Journal!$H$2:$H$3001,"&lt;="&amp;IF(Paramètres!$D20="",EOMONTH(J$4,0),MIN(Paramètres!$D20,EOMONTH(J$4,0))),Journal!$K$2:$K$3001,1))</f>
        <v>1</v>
      </c>
      <c r="X14" s="56">
        <f>IF(OR(Paramètres!$A20="",K$3=0),"",COUNTIFS(Journal!$D$2:$D$3001,Paramètres!$A20,Journal!$H$2:$H$3001,"&gt;="&amp;MAX(Paramètres!$C20,K$4),Journal!$H$2:$H$3001,"&lt;="&amp;IF(Paramètres!$D20="",EOMONTH(K$4,0),MIN(Paramètres!$D20,EOMONTH(K$4,0))),Journal!$K$2:$K$3001,1))</f>
        <v>1</v>
      </c>
      <c r="Y14" s="56" t="str">
        <f>IF(OR(Paramètres!$A20="",L$3=0),"",COUNTIFS(Journal!$D$2:$D$3001,Paramètres!$A20,Journal!$H$2:$H$3001,"&gt;="&amp;MAX(Paramètres!$C20,L$4),Journal!$H$2:$H$3001,"&lt;="&amp;IF(Paramètres!$D20="",EOMONTH(L$4,0),MIN(Paramètres!$D20,EOMONTH(L$4,0))),Journal!$K$2:$K$3001,1))</f>
        <v/>
      </c>
      <c r="Z14" s="56" t="str">
        <f>IF(OR(Paramètres!$A20="",M$3=0),"",COUNTIFS(Journal!$D$2:$D$3001,Paramètres!$A20,Journal!$H$2:$H$3001,"&gt;="&amp;MAX(Paramètres!$C20,M$4),Journal!$H$2:$H$3001,"&lt;="&amp;IF(Paramètres!$D20="",EOMONTH(M$4,0),MIN(Paramètres!$D20,EOMONTH(M$4,0))),Journal!$K$2:$K$3001,1))</f>
        <v/>
      </c>
      <c r="AA14" s="56" t="str">
        <f>IF(OR(Paramètres!$A20="",N$3=0),"",COUNTIFS(Journal!$D$2:$D$3001,Paramètres!$A20,Journal!$H$2:$H$3001,"&gt;="&amp;MAX(Paramètres!$C20,N$4),Journal!$H$2:$H$3001,"&lt;="&amp;IF(Paramètres!$D20="",EOMONTH(N$4,0),MIN(Paramètres!$D20,EOMONTH(N$4,0))),Journal!$K$2:$K$3001,1))</f>
        <v/>
      </c>
      <c r="AC14" s="57">
        <f t="shared" si="4"/>
        <v>0.19047619047619047</v>
      </c>
      <c r="AD14" s="57">
        <f t="shared" si="5"/>
        <v>0</v>
      </c>
      <c r="AE14" s="57">
        <f t="shared" si="6"/>
        <v>4.7619047619047616E-2</v>
      </c>
      <c r="AF14" s="57">
        <f t="shared" si="7"/>
        <v>0</v>
      </c>
      <c r="AG14" s="57">
        <f t="shared" si="8"/>
        <v>5.8823529411764705E-2</v>
      </c>
      <c r="AH14" s="57">
        <f t="shared" si="9"/>
        <v>4.5454545454545456E-2</v>
      </c>
      <c r="AI14" s="57">
        <f t="shared" si="10"/>
        <v>8.6956521739130432E-2</v>
      </c>
      <c r="AJ14" s="57">
        <f t="shared" si="11"/>
        <v>0.125</v>
      </c>
      <c r="AK14" s="57">
        <f t="shared" si="12"/>
        <v>4.5454545454545456E-2</v>
      </c>
      <c r="AL14" s="57" t="str">
        <f t="shared" si="13"/>
        <v/>
      </c>
      <c r="AM14" s="57" t="str">
        <f t="shared" si="14"/>
        <v/>
      </c>
      <c r="AN14" s="57" t="str">
        <f t="shared" si="15"/>
        <v/>
      </c>
      <c r="AP14" s="57">
        <f>IF(C14="","",IF(C14=0,"",MIN(1,P14/MAX(1,ROUND(C14*Paramètres!$E20/5,0)))))</f>
        <v>0.19047619047619047</v>
      </c>
      <c r="AQ14" s="57">
        <f>IF(D14="","",IF(D14=0,"",MIN(1,Q14/MAX(1,ROUND(D14*Paramètres!$E20/5,0)))))</f>
        <v>0</v>
      </c>
      <c r="AR14" s="57">
        <f>IF(E14="","",IF(E14=0,"",MIN(1,R14/MAX(1,ROUND(E14*Paramètres!$E20/5,0)))))</f>
        <v>4.7619047619047616E-2</v>
      </c>
      <c r="AS14" s="57">
        <f>IF(F14="","",IF(F14=0,"",MIN(1,S14/MAX(1,ROUND(F14*Paramètres!$E20/5,0)))))</f>
        <v>0</v>
      </c>
      <c r="AT14" s="57">
        <f>IF(G14="","",IF(G14=0,"",MIN(1,T14/MAX(1,ROUND(G14*Paramètres!$E20/5,0)))))</f>
        <v>5.8823529411764705E-2</v>
      </c>
      <c r="AU14" s="57">
        <f>IF(H14="","",IF(H14=0,"",MIN(1,U14/MAX(1,ROUND(H14*Paramètres!$E20/5,0)))))</f>
        <v>4.5454545454545456E-2</v>
      </c>
      <c r="AV14" s="57">
        <f>IF(I14="","",IF(I14=0,"",MIN(1,V14/MAX(1,ROUND(I14*Paramètres!$E20/5,0)))))</f>
        <v>8.6956521739130432E-2</v>
      </c>
      <c r="AW14" s="57">
        <f>IF(J14="","",IF(J14=0,"",MIN(1,W14/MAX(1,ROUND(J14*Paramètres!$E20/5,0)))))</f>
        <v>0.125</v>
      </c>
      <c r="AX14" s="57">
        <f>IF(K14="","",IF(K14=0,"",MIN(1,X14/MAX(1,ROUND(K14*Paramètres!$E20/5,0)))))</f>
        <v>4.5454545454545456E-2</v>
      </c>
      <c r="AY14" s="57" t="str">
        <f>IF(L14="","",IF(L14=0,"",MIN(1,Y14/MAX(1,ROUND(L14*Paramètres!$E20/5,0)))))</f>
        <v/>
      </c>
      <c r="AZ14" s="57" t="str">
        <f>IF(M14="","",IF(M14=0,"",MIN(1,Z14/MAX(1,ROUND(M14*Paramètres!$E20/5,0)))))</f>
        <v/>
      </c>
      <c r="BA14" s="57" t="str">
        <f>IF(N14="","",IF(N14=0,"",MIN(1,AA14/MAX(1,ROUND(N14*Paramètres!$E20/5,0)))))</f>
        <v/>
      </c>
      <c r="BC14" s="56">
        <f t="shared" si="16"/>
        <v>1</v>
      </c>
      <c r="BD14" s="57">
        <f t="shared" si="17"/>
        <v>4.5454545454545456E-2</v>
      </c>
      <c r="BE14" s="56">
        <f t="shared" si="18"/>
        <v>4.5468545454545456E-2</v>
      </c>
      <c r="BF14" s="56">
        <f t="shared" si="19"/>
        <v>12</v>
      </c>
    </row>
    <row r="15" spans="1:58" x14ac:dyDescent="0.25">
      <c r="A15" s="56" t="str">
        <f>IF(Paramètres!A21="","",Paramètres!A21)</f>
        <v>Mourad Ayari</v>
      </c>
      <c r="C15" s="56">
        <f>IF(OR(Paramètres!$A21="",C$3=0),"",COUNTIFS(Calendrier!$A$2:$A$367,"&gt;="&amp;MAX(Paramètres!$C21,C$4),Calendrier!$A$2:$A$367,"&lt;="&amp;IF(Paramètres!$D21="",EOMONTH(C$4,0),MIN(Paramètres!$D21,EOMONTH(C$4,0))),Calendrier!$C$2:$C$367,1))</f>
        <v>21</v>
      </c>
      <c r="D15" s="56">
        <f>IF(OR(Paramètres!$A21="",D$3=0),"",COUNTIFS(Calendrier!$A$2:$A$367,"&gt;="&amp;MAX(Paramètres!$C21,D$4),Calendrier!$A$2:$A$367,"&lt;="&amp;IF(Paramètres!$D21="",EOMONTH(D$4,0),MIN(Paramètres!$D21,EOMONTH(D$4,0))),Calendrier!$C$2:$C$367,1))</f>
        <v>20</v>
      </c>
      <c r="E15" s="56">
        <f>IF(OR(Paramètres!$A21="",E$3=0),"",COUNTIFS(Calendrier!$A$2:$A$367,"&gt;="&amp;MAX(Paramètres!$C21,E$4),Calendrier!$A$2:$A$367,"&lt;="&amp;IF(Paramètres!$D21="",EOMONTH(E$4,0),MIN(Paramètres!$D21,EOMONTH(E$4,0))),Calendrier!$C$2:$C$367,1))</f>
        <v>21</v>
      </c>
      <c r="F15" s="56">
        <f>IF(OR(Paramètres!$A21="",F$3=0),"",COUNTIFS(Calendrier!$A$2:$A$367,"&gt;="&amp;MAX(Paramètres!$C21,F$4),Calendrier!$A$2:$A$367,"&lt;="&amp;IF(Paramètres!$D21="",EOMONTH(F$4,0),MIN(Paramètres!$D21,EOMONTH(F$4,0))),Calendrier!$C$2:$C$367,1))</f>
        <v>22</v>
      </c>
      <c r="G15" s="56">
        <f>IF(OR(Paramètres!$A21="",G$3=0),"",COUNTIFS(Calendrier!$A$2:$A$367,"&gt;="&amp;MAX(Paramètres!$C21,G$4),Calendrier!$A$2:$A$367,"&lt;="&amp;IF(Paramètres!$D21="",EOMONTH(G$4,0),MIN(Paramètres!$D21,EOMONTH(G$4,0))),Calendrier!$C$2:$C$367,1))</f>
        <v>17</v>
      </c>
      <c r="H15" s="56">
        <f>IF(OR(Paramètres!$A21="",H$3=0),"",COUNTIFS(Calendrier!$A$2:$A$367,"&gt;="&amp;MAX(Paramètres!$C21,H$4),Calendrier!$A$2:$A$367,"&lt;="&amp;IF(Paramètres!$D21="",EOMONTH(H$4,0),MIN(Paramètres!$D21,EOMONTH(H$4,0))),Calendrier!$C$2:$C$367,1))</f>
        <v>22</v>
      </c>
      <c r="I15" s="56">
        <f>IF(OR(Paramètres!$A21="",I$3=0),"",COUNTIFS(Calendrier!$A$2:$A$367,"&gt;="&amp;MAX(Paramètres!$C21,I$4),Calendrier!$A$2:$A$367,"&lt;="&amp;IF(Paramètres!$D21="",EOMONTH(I$4,0),MIN(Paramètres!$D21,EOMONTH(I$4,0))),Calendrier!$C$2:$C$367,1))</f>
        <v>23</v>
      </c>
      <c r="J15" s="56">
        <f>IF(OR(Paramètres!$A21="",J$3=0),"",COUNTIFS(Calendrier!$A$2:$A$367,"&gt;="&amp;MAX(Paramètres!$C21,J$4),Calendrier!$A$2:$A$367,"&lt;="&amp;IF(Paramètres!$D21="",EOMONTH(J$4,0),MIN(Paramètres!$D21,EOMONTH(J$4,0))),Calendrier!$C$2:$C$367,1))</f>
        <v>8</v>
      </c>
      <c r="K15" s="56">
        <f>IF(OR(Paramètres!$A21="",K$3=0),"",COUNTIFS(Calendrier!$A$2:$A$367,"&gt;="&amp;MAX(Paramètres!$C21,K$4),Calendrier!$A$2:$A$367,"&lt;="&amp;IF(Paramètres!$D21="",EOMONTH(K$4,0),MIN(Paramètres!$D21,EOMONTH(K$4,0))),Calendrier!$C$2:$C$367,1))</f>
        <v>22</v>
      </c>
      <c r="L15" s="56" t="str">
        <f>IF(OR(Paramètres!$A21="",L$3=0),"",COUNTIFS(Calendrier!$A$2:$A$367,"&gt;="&amp;MAX(Paramètres!$C21,L$4),Calendrier!$A$2:$A$367,"&lt;="&amp;IF(Paramètres!$D21="",EOMONTH(L$4,0),MIN(Paramètres!$D21,EOMONTH(L$4,0))),Calendrier!$C$2:$C$367,1))</f>
        <v/>
      </c>
      <c r="M15" s="56" t="str">
        <f>IF(OR(Paramètres!$A21="",M$3=0),"",COUNTIFS(Calendrier!$A$2:$A$367,"&gt;="&amp;MAX(Paramètres!$C21,M$4),Calendrier!$A$2:$A$367,"&lt;="&amp;IF(Paramètres!$D21="",EOMONTH(M$4,0),MIN(Paramètres!$D21,EOMONTH(M$4,0))),Calendrier!$C$2:$C$367,1))</f>
        <v/>
      </c>
      <c r="N15" s="56" t="str">
        <f>IF(OR(Paramètres!$A21="",N$3=0),"",COUNTIFS(Calendrier!$A$2:$A$367,"&gt;="&amp;MAX(Paramètres!$C21,N$4),Calendrier!$A$2:$A$367,"&lt;="&amp;IF(Paramètres!$D21="",EOMONTH(N$4,0),MIN(Paramètres!$D21,EOMONTH(N$4,0))),Calendrier!$C$2:$C$367,1))</f>
        <v/>
      </c>
      <c r="P15" s="56">
        <f>IF(OR(Paramètres!$A21="",C$3=0),"",COUNTIFS(Journal!$D$2:$D$3001,Paramètres!$A21,Journal!$H$2:$H$3001,"&gt;="&amp;MAX(Paramètres!$C21,C$4),Journal!$H$2:$H$3001,"&lt;="&amp;IF(Paramètres!$D21="",EOMONTH(C$4,0),MIN(Paramètres!$D21,EOMONTH(C$4,0))),Journal!$K$2:$K$3001,1))</f>
        <v>3</v>
      </c>
      <c r="Q15" s="56">
        <f>IF(OR(Paramètres!$A21="",D$3=0),"",COUNTIFS(Journal!$D$2:$D$3001,Paramètres!$A21,Journal!$H$2:$H$3001,"&gt;="&amp;MAX(Paramètres!$C21,D$4),Journal!$H$2:$H$3001,"&lt;="&amp;IF(Paramètres!$D21="",EOMONTH(D$4,0),MIN(Paramètres!$D21,EOMONTH(D$4,0))),Journal!$K$2:$K$3001,1))</f>
        <v>6</v>
      </c>
      <c r="R15" s="56">
        <f>IF(OR(Paramètres!$A21="",E$3=0),"",COUNTIFS(Journal!$D$2:$D$3001,Paramètres!$A21,Journal!$H$2:$H$3001,"&gt;="&amp;MAX(Paramètres!$C21,E$4),Journal!$H$2:$H$3001,"&lt;="&amp;IF(Paramètres!$D21="",EOMONTH(E$4,0),MIN(Paramètres!$D21,EOMONTH(E$4,0))),Journal!$K$2:$K$3001,1))</f>
        <v>5</v>
      </c>
      <c r="S15" s="56">
        <f>IF(OR(Paramètres!$A21="",F$3=0),"",COUNTIFS(Journal!$D$2:$D$3001,Paramètres!$A21,Journal!$H$2:$H$3001,"&gt;="&amp;MAX(Paramètres!$C21,F$4),Journal!$H$2:$H$3001,"&lt;="&amp;IF(Paramètres!$D21="",EOMONTH(F$4,0),MIN(Paramètres!$D21,EOMONTH(F$4,0))),Journal!$K$2:$K$3001,1))</f>
        <v>7</v>
      </c>
      <c r="T15" s="56">
        <f>IF(OR(Paramètres!$A21="",G$3=0),"",COUNTIFS(Journal!$D$2:$D$3001,Paramètres!$A21,Journal!$H$2:$H$3001,"&gt;="&amp;MAX(Paramètres!$C21,G$4),Journal!$H$2:$H$3001,"&lt;="&amp;IF(Paramètres!$D21="",EOMONTH(G$4,0),MIN(Paramètres!$D21,EOMONTH(G$4,0))),Journal!$K$2:$K$3001,1))</f>
        <v>8</v>
      </c>
      <c r="U15" s="56">
        <f>IF(OR(Paramètres!$A21="",H$3=0),"",COUNTIFS(Journal!$D$2:$D$3001,Paramètres!$A21,Journal!$H$2:$H$3001,"&gt;="&amp;MAX(Paramètres!$C21,H$4),Journal!$H$2:$H$3001,"&lt;="&amp;IF(Paramètres!$D21="",EOMONTH(H$4,0),MIN(Paramètres!$D21,EOMONTH(H$4,0))),Journal!$K$2:$K$3001,1))</f>
        <v>7</v>
      </c>
      <c r="V15" s="56">
        <f>IF(OR(Paramètres!$A21="",I$3=0),"",COUNTIFS(Journal!$D$2:$D$3001,Paramètres!$A21,Journal!$H$2:$H$3001,"&gt;="&amp;MAX(Paramètres!$C21,I$4),Journal!$H$2:$H$3001,"&lt;="&amp;IF(Paramètres!$D21="",EOMONTH(I$4,0),MIN(Paramètres!$D21,EOMONTH(I$4,0))),Journal!$K$2:$K$3001,1))</f>
        <v>10</v>
      </c>
      <c r="W15" s="56">
        <f>IF(OR(Paramètres!$A21="",J$3=0),"",COUNTIFS(Journal!$D$2:$D$3001,Paramètres!$A21,Journal!$H$2:$H$3001,"&gt;="&amp;MAX(Paramètres!$C21,J$4),Journal!$H$2:$H$3001,"&lt;="&amp;IF(Paramètres!$D21="",EOMONTH(J$4,0),MIN(Paramètres!$D21,EOMONTH(J$4,0))),Journal!$K$2:$K$3001,1))</f>
        <v>1</v>
      </c>
      <c r="X15" s="56">
        <f>IF(OR(Paramètres!$A21="",K$3=0),"",COUNTIFS(Journal!$D$2:$D$3001,Paramètres!$A21,Journal!$H$2:$H$3001,"&gt;="&amp;MAX(Paramètres!$C21,K$4),Journal!$H$2:$H$3001,"&lt;="&amp;IF(Paramètres!$D21="",EOMONTH(K$4,0),MIN(Paramètres!$D21,EOMONTH(K$4,0))),Journal!$K$2:$K$3001,1))</f>
        <v>6</v>
      </c>
      <c r="Y15" s="56" t="str">
        <f>IF(OR(Paramètres!$A21="",L$3=0),"",COUNTIFS(Journal!$D$2:$D$3001,Paramètres!$A21,Journal!$H$2:$H$3001,"&gt;="&amp;MAX(Paramètres!$C21,L$4),Journal!$H$2:$H$3001,"&lt;="&amp;IF(Paramètres!$D21="",EOMONTH(L$4,0),MIN(Paramètres!$D21,EOMONTH(L$4,0))),Journal!$K$2:$K$3001,1))</f>
        <v/>
      </c>
      <c r="Z15" s="56" t="str">
        <f>IF(OR(Paramètres!$A21="",M$3=0),"",COUNTIFS(Journal!$D$2:$D$3001,Paramètres!$A21,Journal!$H$2:$H$3001,"&gt;="&amp;MAX(Paramètres!$C21,M$4),Journal!$H$2:$H$3001,"&lt;="&amp;IF(Paramètres!$D21="",EOMONTH(M$4,0),MIN(Paramètres!$D21,EOMONTH(M$4,0))),Journal!$K$2:$K$3001,1))</f>
        <v/>
      </c>
      <c r="AA15" s="56" t="str">
        <f>IF(OR(Paramètres!$A21="",N$3=0),"",COUNTIFS(Journal!$D$2:$D$3001,Paramètres!$A21,Journal!$H$2:$H$3001,"&gt;="&amp;MAX(Paramètres!$C21,N$4),Journal!$H$2:$H$3001,"&lt;="&amp;IF(Paramètres!$D21="",EOMONTH(N$4,0),MIN(Paramètres!$D21,EOMONTH(N$4,0))),Journal!$K$2:$K$3001,1))</f>
        <v/>
      </c>
      <c r="AC15" s="57">
        <f t="shared" si="4"/>
        <v>0.14285714285714285</v>
      </c>
      <c r="AD15" s="57">
        <f t="shared" si="5"/>
        <v>0.3</v>
      </c>
      <c r="AE15" s="57">
        <f t="shared" si="6"/>
        <v>0.23809523809523808</v>
      </c>
      <c r="AF15" s="57">
        <f t="shared" si="7"/>
        <v>0.31818181818181818</v>
      </c>
      <c r="AG15" s="57">
        <f t="shared" si="8"/>
        <v>0.47058823529411764</v>
      </c>
      <c r="AH15" s="57">
        <f t="shared" si="9"/>
        <v>0.31818181818181818</v>
      </c>
      <c r="AI15" s="57">
        <f t="shared" si="10"/>
        <v>0.43478260869565216</v>
      </c>
      <c r="AJ15" s="57">
        <f t="shared" si="11"/>
        <v>0.125</v>
      </c>
      <c r="AK15" s="57">
        <f t="shared" si="12"/>
        <v>0.27272727272727271</v>
      </c>
      <c r="AL15" s="57" t="str">
        <f t="shared" si="13"/>
        <v/>
      </c>
      <c r="AM15" s="57" t="str">
        <f t="shared" si="14"/>
        <v/>
      </c>
      <c r="AN15" s="57" t="str">
        <f t="shared" si="15"/>
        <v/>
      </c>
      <c r="AP15" s="57">
        <f>IF(C15="","",IF(C15=0,"",MIN(1,P15/MAX(1,ROUND(C15*Paramètres!$E21/5,0)))))</f>
        <v>0.14285714285714285</v>
      </c>
      <c r="AQ15" s="57">
        <f>IF(D15="","",IF(D15=0,"",MIN(1,Q15/MAX(1,ROUND(D15*Paramètres!$E21/5,0)))))</f>
        <v>0.3</v>
      </c>
      <c r="AR15" s="57">
        <f>IF(E15="","",IF(E15=0,"",MIN(1,R15/MAX(1,ROUND(E15*Paramètres!$E21/5,0)))))</f>
        <v>0.23809523809523808</v>
      </c>
      <c r="AS15" s="57">
        <f>IF(F15="","",IF(F15=0,"",MIN(1,S15/MAX(1,ROUND(F15*Paramètres!$E21/5,0)))))</f>
        <v>0.31818181818181818</v>
      </c>
      <c r="AT15" s="57">
        <f>IF(G15="","",IF(G15=0,"",MIN(1,T15/MAX(1,ROUND(G15*Paramètres!$E21/5,0)))))</f>
        <v>0.47058823529411764</v>
      </c>
      <c r="AU15" s="57">
        <f>IF(H15="","",IF(H15=0,"",MIN(1,U15/MAX(1,ROUND(H15*Paramètres!$E21/5,0)))))</f>
        <v>0.31818181818181818</v>
      </c>
      <c r="AV15" s="57">
        <f>IF(I15="","",IF(I15=0,"",MIN(1,V15/MAX(1,ROUND(I15*Paramètres!$E21/5,0)))))</f>
        <v>0.43478260869565216</v>
      </c>
      <c r="AW15" s="57">
        <f>IF(J15="","",IF(J15=0,"",MIN(1,W15/MAX(1,ROUND(J15*Paramètres!$E21/5,0)))))</f>
        <v>0.125</v>
      </c>
      <c r="AX15" s="57">
        <f>IF(K15="","",IF(K15=0,"",MIN(1,X15/MAX(1,ROUND(K15*Paramètres!$E21/5,0)))))</f>
        <v>0.27272727272727271</v>
      </c>
      <c r="AY15" s="57" t="str">
        <f>IF(L15="","",IF(L15=0,"",MIN(1,Y15/MAX(1,ROUND(L15*Paramètres!$E21/5,0)))))</f>
        <v/>
      </c>
      <c r="AZ15" s="57" t="str">
        <f>IF(M15="","",IF(M15=0,"",MIN(1,Z15/MAX(1,ROUND(M15*Paramètres!$E21/5,0)))))</f>
        <v/>
      </c>
      <c r="BA15" s="57" t="str">
        <f>IF(N15="","",IF(N15=0,"",MIN(1,AA15/MAX(1,ROUND(N15*Paramètres!$E21/5,0)))))</f>
        <v/>
      </c>
      <c r="BC15" s="56">
        <f t="shared" si="16"/>
        <v>1</v>
      </c>
      <c r="BD15" s="57">
        <f t="shared" si="17"/>
        <v>0.27272727272727271</v>
      </c>
      <c r="BE15" s="56">
        <f t="shared" si="18"/>
        <v>0.27274227272727269</v>
      </c>
      <c r="BF15" s="56">
        <f t="shared" si="19"/>
        <v>5</v>
      </c>
    </row>
    <row r="16" spans="1:58" x14ac:dyDescent="0.25">
      <c r="A16" s="68" t="str">
        <f>IF(Paramètres!A22="","",Paramètres!A22)</f>
        <v>Nesrine Laassili</v>
      </c>
      <c r="C16" s="56">
        <f>IF(OR(Paramètres!$A22="",C$3=0),"",COUNTIFS(Calendrier!$A$2:$A$367,"&gt;="&amp;MAX(Paramètres!$C22,C$4),Calendrier!$A$2:$A$367,"&lt;="&amp;IF(Paramètres!$D22="",EOMONTH(C$4,0),MIN(Paramètres!$D22,EOMONTH(C$4,0))),Calendrier!$C$2:$C$367,1))</f>
        <v>21</v>
      </c>
      <c r="D16" s="56">
        <f>IF(OR(Paramètres!$A22="",D$3=0),"",COUNTIFS(Calendrier!$A$2:$A$367,"&gt;="&amp;MAX(Paramètres!$C22,D$4),Calendrier!$A$2:$A$367,"&lt;="&amp;IF(Paramètres!$D22="",EOMONTH(D$4,0),MIN(Paramètres!$D22,EOMONTH(D$4,0))),Calendrier!$C$2:$C$367,1))</f>
        <v>20</v>
      </c>
      <c r="E16" s="56">
        <f>IF(OR(Paramètres!$A22="",E$3=0),"",COUNTIFS(Calendrier!$A$2:$A$367,"&gt;="&amp;MAX(Paramètres!$C22,E$4),Calendrier!$A$2:$A$367,"&lt;="&amp;IF(Paramètres!$D22="",EOMONTH(E$4,0),MIN(Paramètres!$D22,EOMONTH(E$4,0))),Calendrier!$C$2:$C$367,1))</f>
        <v>21</v>
      </c>
      <c r="F16" s="69">
        <f>IF(OR(Paramètres!$A22="",F$3=0),"",COUNTIFS(Calendrier!$A$2:$A$367,"&gt;="&amp;MAX(Paramètres!$C22,F$4),Calendrier!$A$2:$A$367,"&lt;="&amp;IF(Paramètres!$D22="",EOMONTH(F$4,0),MIN(Paramètres!$D22,EOMONTH(F$4,0))),Calendrier!$C$2:$C$367,1))</f>
        <v>0</v>
      </c>
      <c r="G16" s="69">
        <f>IF(OR(Paramètres!$A22="",G$3=0),"",COUNTIFS(Calendrier!$A$2:$A$367,"&gt;="&amp;MAX(Paramètres!$C22,G$4),Calendrier!$A$2:$A$367,"&lt;="&amp;IF(Paramètres!$D22="",EOMONTH(G$4,0),MIN(Paramètres!$D22,EOMONTH(G$4,0))),Calendrier!$C$2:$C$367,1))</f>
        <v>0</v>
      </c>
      <c r="H16" s="69">
        <f>IF(OR(Paramètres!$A22="",H$3=0),"",COUNTIFS(Calendrier!$A$2:$A$367,"&gt;="&amp;MAX(Paramètres!$C22,H$4),Calendrier!$A$2:$A$367,"&lt;="&amp;IF(Paramètres!$D22="",EOMONTH(H$4,0),MIN(Paramètres!$D22,EOMONTH(H$4,0))),Calendrier!$C$2:$C$367,1))</f>
        <v>0</v>
      </c>
      <c r="I16" s="69">
        <f>IF(OR(Paramètres!$A22="",I$3=0),"",COUNTIFS(Calendrier!$A$2:$A$367,"&gt;="&amp;MAX(Paramètres!$C22,I$4),Calendrier!$A$2:$A$367,"&lt;="&amp;IF(Paramètres!$D22="",EOMONTH(I$4,0),MIN(Paramètres!$D22,EOMONTH(I$4,0))),Calendrier!$C$2:$C$367,1))</f>
        <v>0</v>
      </c>
      <c r="J16" s="69">
        <f>IF(OR(Paramètres!$A22="",J$3=0),"",COUNTIFS(Calendrier!$A$2:$A$367,"&gt;="&amp;MAX(Paramètres!$C22,J$4),Calendrier!$A$2:$A$367,"&lt;="&amp;IF(Paramètres!$D22="",EOMONTH(J$4,0),MIN(Paramètres!$D22,EOMONTH(J$4,0))),Calendrier!$C$2:$C$367,1))</f>
        <v>0</v>
      </c>
      <c r="K16" s="69">
        <f>IF(OR(Paramètres!$A22="",K$3=0),"",COUNTIFS(Calendrier!$A$2:$A$367,"&gt;="&amp;MAX(Paramètres!$C22,K$4),Calendrier!$A$2:$A$367,"&lt;="&amp;IF(Paramètres!$D22="",EOMONTH(K$4,0),MIN(Paramètres!$D22,EOMONTH(K$4,0))),Calendrier!$C$2:$C$367,1))</f>
        <v>0</v>
      </c>
      <c r="L16" s="56" t="str">
        <f>IF(OR(Paramètres!$A22="",L$3=0),"",COUNTIFS(Calendrier!$A$2:$A$367,"&gt;="&amp;MAX(Paramètres!$C22,L$4),Calendrier!$A$2:$A$367,"&lt;="&amp;IF(Paramètres!$D22="",EOMONTH(L$4,0),MIN(Paramètres!$D22,EOMONTH(L$4,0))),Calendrier!$C$2:$C$367,1))</f>
        <v/>
      </c>
      <c r="M16" s="56" t="str">
        <f>IF(OR(Paramètres!$A22="",M$3=0),"",COUNTIFS(Calendrier!$A$2:$A$367,"&gt;="&amp;MAX(Paramètres!$C22,M$4),Calendrier!$A$2:$A$367,"&lt;="&amp;IF(Paramètres!$D22="",EOMONTH(M$4,0),MIN(Paramètres!$D22,EOMONTH(M$4,0))),Calendrier!$C$2:$C$367,1))</f>
        <v/>
      </c>
      <c r="N16" s="56" t="str">
        <f>IF(OR(Paramètres!$A22="",N$3=0),"",COUNTIFS(Calendrier!$A$2:$A$367,"&gt;="&amp;MAX(Paramètres!$C22,N$4),Calendrier!$A$2:$A$367,"&lt;="&amp;IF(Paramètres!$D22="",EOMONTH(N$4,0),MIN(Paramètres!$D22,EOMONTH(N$4,0))),Calendrier!$C$2:$C$367,1))</f>
        <v/>
      </c>
      <c r="P16" s="56">
        <f>IF(OR(Paramètres!$A22="",C$3=0),"",COUNTIFS(Journal!$D$2:$D$3001,Paramètres!$A22,Journal!$H$2:$H$3001,"&gt;="&amp;MAX(Paramètres!$C22,C$4),Journal!$H$2:$H$3001,"&lt;="&amp;IF(Paramètres!$D22="",EOMONTH(C$4,0),MIN(Paramètres!$D22,EOMONTH(C$4,0))),Journal!$K$2:$K$3001,1))</f>
        <v>1</v>
      </c>
      <c r="Q16" s="56">
        <f>IF(OR(Paramètres!$A22="",D$3=0),"",COUNTIFS(Journal!$D$2:$D$3001,Paramètres!$A22,Journal!$H$2:$H$3001,"&gt;="&amp;MAX(Paramètres!$C22,D$4),Journal!$H$2:$H$3001,"&lt;="&amp;IF(Paramètres!$D22="",EOMONTH(D$4,0),MIN(Paramètres!$D22,EOMONTH(D$4,0))),Journal!$K$2:$K$3001,1))</f>
        <v>2</v>
      </c>
      <c r="R16" s="56">
        <f>IF(OR(Paramètres!$A22="",E$3=0),"",COUNTIFS(Journal!$D$2:$D$3001,Paramètres!$A22,Journal!$H$2:$H$3001,"&gt;="&amp;MAX(Paramètres!$C22,E$4),Journal!$H$2:$H$3001,"&lt;="&amp;IF(Paramètres!$D22="",EOMONTH(E$4,0),MIN(Paramètres!$D22,EOMONTH(E$4,0))),Journal!$K$2:$K$3001,1))</f>
        <v>4</v>
      </c>
      <c r="S16" s="56">
        <f>IF(OR(Paramètres!$A22="",F$3=0),"",COUNTIFS(Journal!$D$2:$D$3001,Paramètres!$A22,Journal!$H$2:$H$3001,"&gt;="&amp;MAX(Paramètres!$C22,F$4),Journal!$H$2:$H$3001,"&lt;="&amp;IF(Paramètres!$D22="",EOMONTH(F$4,0),MIN(Paramètres!$D22,EOMONTH(F$4,0))),Journal!$K$2:$K$3001,1))</f>
        <v>0</v>
      </c>
      <c r="T16" s="56">
        <f>IF(OR(Paramètres!$A22="",G$3=0),"",COUNTIFS(Journal!$D$2:$D$3001,Paramètres!$A22,Journal!$H$2:$H$3001,"&gt;="&amp;MAX(Paramètres!$C22,G$4),Journal!$H$2:$H$3001,"&lt;="&amp;IF(Paramètres!$D22="",EOMONTH(G$4,0),MIN(Paramètres!$D22,EOMONTH(G$4,0))),Journal!$K$2:$K$3001,1))</f>
        <v>0</v>
      </c>
      <c r="U16" s="56">
        <f>IF(OR(Paramètres!$A22="",H$3=0),"",COUNTIFS(Journal!$D$2:$D$3001,Paramètres!$A22,Journal!$H$2:$H$3001,"&gt;="&amp;MAX(Paramètres!$C22,H$4),Journal!$H$2:$H$3001,"&lt;="&amp;IF(Paramètres!$D22="",EOMONTH(H$4,0),MIN(Paramètres!$D22,EOMONTH(H$4,0))),Journal!$K$2:$K$3001,1))</f>
        <v>0</v>
      </c>
      <c r="V16" s="56">
        <f>IF(OR(Paramètres!$A22="",I$3=0),"",COUNTIFS(Journal!$D$2:$D$3001,Paramètres!$A22,Journal!$H$2:$H$3001,"&gt;="&amp;MAX(Paramètres!$C22,I$4),Journal!$H$2:$H$3001,"&lt;="&amp;IF(Paramètres!$D22="",EOMONTH(I$4,0),MIN(Paramètres!$D22,EOMONTH(I$4,0))),Journal!$K$2:$K$3001,1))</f>
        <v>0</v>
      </c>
      <c r="W16" s="56">
        <f>IF(OR(Paramètres!$A22="",J$3=0),"",COUNTIFS(Journal!$D$2:$D$3001,Paramètres!$A22,Journal!$H$2:$H$3001,"&gt;="&amp;MAX(Paramètres!$C22,J$4),Journal!$H$2:$H$3001,"&lt;="&amp;IF(Paramètres!$D22="",EOMONTH(J$4,0),MIN(Paramètres!$D22,EOMONTH(J$4,0))),Journal!$K$2:$K$3001,1))</f>
        <v>0</v>
      </c>
      <c r="X16" s="56">
        <f>IF(OR(Paramètres!$A22="",K$3=0),"",COUNTIFS(Journal!$D$2:$D$3001,Paramètres!$A22,Journal!$H$2:$H$3001,"&gt;="&amp;MAX(Paramètres!$C22,K$4),Journal!$H$2:$H$3001,"&lt;="&amp;IF(Paramètres!$D22="",EOMONTH(K$4,0),MIN(Paramètres!$D22,EOMONTH(K$4,0))),Journal!$K$2:$K$3001,1))</f>
        <v>0</v>
      </c>
      <c r="Y16" s="56" t="str">
        <f>IF(OR(Paramètres!$A22="",L$3=0),"",COUNTIFS(Journal!$D$2:$D$3001,Paramètres!$A22,Journal!$H$2:$H$3001,"&gt;="&amp;MAX(Paramètres!$C22,L$4),Journal!$H$2:$H$3001,"&lt;="&amp;IF(Paramètres!$D22="",EOMONTH(L$4,0),MIN(Paramètres!$D22,EOMONTH(L$4,0))),Journal!$K$2:$K$3001,1))</f>
        <v/>
      </c>
      <c r="Z16" s="56" t="str">
        <f>IF(OR(Paramètres!$A22="",M$3=0),"",COUNTIFS(Journal!$D$2:$D$3001,Paramètres!$A22,Journal!$H$2:$H$3001,"&gt;="&amp;MAX(Paramètres!$C22,M$4),Journal!$H$2:$H$3001,"&lt;="&amp;IF(Paramètres!$D22="",EOMONTH(M$4,0),MIN(Paramètres!$D22,EOMONTH(M$4,0))),Journal!$K$2:$K$3001,1))</f>
        <v/>
      </c>
      <c r="AA16" s="56" t="str">
        <f>IF(OR(Paramètres!$A22="",N$3=0),"",COUNTIFS(Journal!$D$2:$D$3001,Paramètres!$A22,Journal!$H$2:$H$3001,"&gt;="&amp;MAX(Paramètres!$C22,N$4),Journal!$H$2:$H$3001,"&lt;="&amp;IF(Paramètres!$D22="",EOMONTH(N$4,0),MIN(Paramètres!$D22,EOMONTH(N$4,0))),Journal!$K$2:$K$3001,1))</f>
        <v/>
      </c>
      <c r="AC16" s="57">
        <f t="shared" si="4"/>
        <v>4.7619047619047616E-2</v>
      </c>
      <c r="AD16" s="57">
        <f t="shared" si="5"/>
        <v>0.1</v>
      </c>
      <c r="AE16" s="57">
        <f t="shared" si="6"/>
        <v>0.19047619047619047</v>
      </c>
      <c r="AF16" s="57" t="str">
        <f t="shared" si="7"/>
        <v/>
      </c>
      <c r="AG16" s="57" t="str">
        <f t="shared" si="8"/>
        <v/>
      </c>
      <c r="AH16" s="57" t="str">
        <f t="shared" si="9"/>
        <v/>
      </c>
      <c r="AI16" s="57" t="str">
        <f t="shared" si="10"/>
        <v/>
      </c>
      <c r="AJ16" s="57" t="str">
        <f t="shared" si="11"/>
        <v/>
      </c>
      <c r="AK16" s="57" t="str">
        <f t="shared" si="12"/>
        <v/>
      </c>
      <c r="AL16" s="57" t="str">
        <f t="shared" si="13"/>
        <v/>
      </c>
      <c r="AM16" s="57" t="str">
        <f t="shared" si="14"/>
        <v/>
      </c>
      <c r="AN16" s="57" t="str">
        <f t="shared" si="15"/>
        <v/>
      </c>
      <c r="AP16" s="57">
        <f>IF(C16="","",IF(C16=0,"",MIN(1,P16/MAX(1,ROUND(C16*Paramètres!$E22/5,0)))))</f>
        <v>4.7619047619047616E-2</v>
      </c>
      <c r="AQ16" s="57">
        <f>IF(D16="","",IF(D16=0,"",MIN(1,Q16/MAX(1,ROUND(D16*Paramètres!$E22/5,0)))))</f>
        <v>0.1</v>
      </c>
      <c r="AR16" s="57">
        <f>IF(E16="","",IF(E16=0,"",MIN(1,R16/MAX(1,ROUND(E16*Paramètres!$E22/5,0)))))</f>
        <v>0.19047619047619047</v>
      </c>
      <c r="AS16" s="57" t="str">
        <f>IF(F16="","",IF(F16=0,"",MIN(1,S16/MAX(1,ROUND(F16*Paramètres!$E22/5,0)))))</f>
        <v/>
      </c>
      <c r="AT16" s="57" t="str">
        <f>IF(G16="","",IF(G16=0,"",MIN(1,T16/MAX(1,ROUND(G16*Paramètres!$E22/5,0)))))</f>
        <v/>
      </c>
      <c r="AU16" s="57" t="str">
        <f>IF(H16="","",IF(H16=0,"",MIN(1,U16/MAX(1,ROUND(H16*Paramètres!$E22/5,0)))))</f>
        <v/>
      </c>
      <c r="AV16" s="57" t="str">
        <f>IF(I16="","",IF(I16=0,"",MIN(1,V16/MAX(1,ROUND(I16*Paramètres!$E22/5,0)))))</f>
        <v/>
      </c>
      <c r="AW16" s="57" t="str">
        <f>IF(J16="","",IF(J16=0,"",MIN(1,W16/MAX(1,ROUND(J16*Paramètres!$E22/5,0)))))</f>
        <v/>
      </c>
      <c r="AX16" s="57" t="str">
        <f>IF(K16="","",IF(K16=0,"",MIN(1,X16/MAX(1,ROUND(K16*Paramètres!$E22/5,0)))))</f>
        <v/>
      </c>
      <c r="AY16" s="57" t="str">
        <f>IF(L16="","",IF(L16=0,"",MIN(1,Y16/MAX(1,ROUND(L16*Paramètres!$E22/5,0)))))</f>
        <v/>
      </c>
      <c r="AZ16" s="57" t="str">
        <f>IF(M16="","",IF(M16=0,"",MIN(1,Z16/MAX(1,ROUND(M16*Paramètres!$E22/5,0)))))</f>
        <v/>
      </c>
      <c r="BA16" s="57" t="str">
        <f>IF(N16="","",IF(N16=0,"",MIN(1,AA16/MAX(1,ROUND(N16*Paramètres!$E22/5,0)))))</f>
        <v/>
      </c>
      <c r="BC16" s="56">
        <f t="shared" si="16"/>
        <v>0</v>
      </c>
      <c r="BD16" s="56" t="str">
        <f t="shared" si="17"/>
        <v/>
      </c>
      <c r="BE16" s="56" t="str">
        <f t="shared" si="18"/>
        <v/>
      </c>
      <c r="BF16" s="56" t="str">
        <f t="shared" si="19"/>
        <v/>
      </c>
    </row>
    <row r="17" spans="1:58" x14ac:dyDescent="0.25">
      <c r="A17" s="70" t="str">
        <f>IF(Paramètres!A23="","",Paramètres!A23)</f>
        <v>Nouha Ben Khlifa</v>
      </c>
      <c r="C17" s="72">
        <f>IF(OR(Paramètres!$A23="",C$3=0),"",COUNTIFS(Calendrier!$A$2:$A$367,"&gt;="&amp;MAX(Paramètres!$C23,C$4),Calendrier!$A$2:$A$367,"&lt;="&amp;IF(Paramètres!$D23="",EOMONTH(C$4,0),MIN(Paramètres!$D23,EOMONTH(C$4,0))),Calendrier!$C$2:$C$367,1))</f>
        <v>0</v>
      </c>
      <c r="D17" s="72">
        <f>IF(OR(Paramètres!$A23="",D$3=0),"",COUNTIFS(Calendrier!$A$2:$A$367,"&gt;="&amp;MAX(Paramètres!$C23,D$4),Calendrier!$A$2:$A$367,"&lt;="&amp;IF(Paramètres!$D23="",EOMONTH(D$4,0),MIN(Paramètres!$D23,EOMONTH(D$4,0))),Calendrier!$C$2:$C$367,1))</f>
        <v>0</v>
      </c>
      <c r="E17" s="72">
        <f>IF(OR(Paramètres!$A23="",E$3=0),"",COUNTIFS(Calendrier!$A$2:$A$367,"&gt;="&amp;MAX(Paramètres!$C23,E$4),Calendrier!$A$2:$A$367,"&lt;="&amp;IF(Paramètres!$D23="",EOMONTH(E$4,0),MIN(Paramètres!$D23,EOMONTH(E$4,0))),Calendrier!$C$2:$C$367,1))</f>
        <v>0</v>
      </c>
      <c r="F17" s="72">
        <f>IF(OR(Paramètres!$A23="",F$3=0),"",COUNTIFS(Calendrier!$A$2:$A$367,"&gt;="&amp;MAX(Paramètres!$C23,F$4),Calendrier!$A$2:$A$367,"&lt;="&amp;IF(Paramètres!$D23="",EOMONTH(F$4,0),MIN(Paramètres!$D23,EOMONTH(F$4,0))),Calendrier!$C$2:$C$367,1))</f>
        <v>0</v>
      </c>
      <c r="G17" s="72">
        <f>IF(OR(Paramètres!$A23="",G$3=0),"",COUNTIFS(Calendrier!$A$2:$A$367,"&gt;="&amp;MAX(Paramètres!$C23,G$4),Calendrier!$A$2:$A$367,"&lt;="&amp;IF(Paramètres!$D23="",EOMONTH(G$4,0),MIN(Paramètres!$D23,EOMONTH(G$4,0))),Calendrier!$C$2:$C$367,1))</f>
        <v>0</v>
      </c>
      <c r="H17" s="72">
        <f>IF(OR(Paramètres!$A23="",H$3=0),"",COUNTIFS(Calendrier!$A$2:$A$367,"&gt;="&amp;MAX(Paramètres!$C23,H$4),Calendrier!$A$2:$A$367,"&lt;="&amp;IF(Paramètres!$D23="",EOMONTH(H$4,0),MIN(Paramètres!$D23,EOMONTH(H$4,0))),Calendrier!$C$2:$C$367,1))</f>
        <v>0</v>
      </c>
      <c r="I17" s="56">
        <f>IF(OR(Paramètres!$A23="",I$3=0),"",COUNTIFS(Calendrier!$A$2:$A$367,"&gt;="&amp;MAX(Paramètres!$C23,I$4),Calendrier!$A$2:$A$367,"&lt;="&amp;IF(Paramètres!$D23="",EOMONTH(I$4,0),MIN(Paramètres!$D23,EOMONTH(I$4,0))),Calendrier!$C$2:$C$367,1))</f>
        <v>23</v>
      </c>
      <c r="J17" s="56">
        <f>IF(OR(Paramètres!$A23="",J$3=0),"",COUNTIFS(Calendrier!$A$2:$A$367,"&gt;="&amp;MAX(Paramètres!$C23,J$4),Calendrier!$A$2:$A$367,"&lt;="&amp;IF(Paramètres!$D23="",EOMONTH(J$4,0),MIN(Paramètres!$D23,EOMONTH(J$4,0))),Calendrier!$C$2:$C$367,1))</f>
        <v>8</v>
      </c>
      <c r="K17" s="56">
        <f>IF(OR(Paramètres!$A23="",K$3=0),"",COUNTIFS(Calendrier!$A$2:$A$367,"&gt;="&amp;MAX(Paramètres!$C23,K$4),Calendrier!$A$2:$A$367,"&lt;="&amp;IF(Paramètres!$D23="",EOMONTH(K$4,0),MIN(Paramètres!$D23,EOMONTH(K$4,0))),Calendrier!$C$2:$C$367,1))</f>
        <v>22</v>
      </c>
      <c r="L17" s="56" t="str">
        <f>IF(OR(Paramètres!$A23="",L$3=0),"",COUNTIFS(Calendrier!$A$2:$A$367,"&gt;="&amp;MAX(Paramètres!$C23,L$4),Calendrier!$A$2:$A$367,"&lt;="&amp;IF(Paramètres!$D23="",EOMONTH(L$4,0),MIN(Paramètres!$D23,EOMONTH(L$4,0))),Calendrier!$C$2:$C$367,1))</f>
        <v/>
      </c>
      <c r="M17" s="56" t="str">
        <f>IF(OR(Paramètres!$A23="",M$3=0),"",COUNTIFS(Calendrier!$A$2:$A$367,"&gt;="&amp;MAX(Paramètres!$C23,M$4),Calendrier!$A$2:$A$367,"&lt;="&amp;IF(Paramètres!$D23="",EOMONTH(M$4,0),MIN(Paramètres!$D23,EOMONTH(M$4,0))),Calendrier!$C$2:$C$367,1))</f>
        <v/>
      </c>
      <c r="N17" s="56" t="str">
        <f>IF(OR(Paramètres!$A23="",N$3=0),"",COUNTIFS(Calendrier!$A$2:$A$367,"&gt;="&amp;MAX(Paramètres!$C23,N$4),Calendrier!$A$2:$A$367,"&lt;="&amp;IF(Paramètres!$D23="",EOMONTH(N$4,0),MIN(Paramètres!$D23,EOMONTH(N$4,0))),Calendrier!$C$2:$C$367,1))</f>
        <v/>
      </c>
      <c r="P17" s="56">
        <f>IF(OR(Paramètres!$A23="",C$3=0),"",COUNTIFS(Journal!$D$2:$D$3001,Paramètres!$A23,Journal!$H$2:$H$3001,"&gt;="&amp;MAX(Paramètres!$C23,C$4),Journal!$H$2:$H$3001,"&lt;="&amp;IF(Paramètres!$D23="",EOMONTH(C$4,0),MIN(Paramètres!$D23,EOMONTH(C$4,0))),Journal!$K$2:$K$3001,1))</f>
        <v>0</v>
      </c>
      <c r="Q17" s="56">
        <f>IF(OR(Paramètres!$A23="",D$3=0),"",COUNTIFS(Journal!$D$2:$D$3001,Paramètres!$A23,Journal!$H$2:$H$3001,"&gt;="&amp;MAX(Paramètres!$C23,D$4),Journal!$H$2:$H$3001,"&lt;="&amp;IF(Paramètres!$D23="",EOMONTH(D$4,0),MIN(Paramètres!$D23,EOMONTH(D$4,0))),Journal!$K$2:$K$3001,1))</f>
        <v>0</v>
      </c>
      <c r="R17" s="56">
        <f>IF(OR(Paramètres!$A23="",E$3=0),"",COUNTIFS(Journal!$D$2:$D$3001,Paramètres!$A23,Journal!$H$2:$H$3001,"&gt;="&amp;MAX(Paramètres!$C23,E$4),Journal!$H$2:$H$3001,"&lt;="&amp;IF(Paramètres!$D23="",EOMONTH(E$4,0),MIN(Paramètres!$D23,EOMONTH(E$4,0))),Journal!$K$2:$K$3001,1))</f>
        <v>0</v>
      </c>
      <c r="S17" s="56">
        <f>IF(OR(Paramètres!$A23="",F$3=0),"",COUNTIFS(Journal!$D$2:$D$3001,Paramètres!$A23,Journal!$H$2:$H$3001,"&gt;="&amp;MAX(Paramètres!$C23,F$4),Journal!$H$2:$H$3001,"&lt;="&amp;IF(Paramètres!$D23="",EOMONTH(F$4,0),MIN(Paramètres!$D23,EOMONTH(F$4,0))),Journal!$K$2:$K$3001,1))</f>
        <v>0</v>
      </c>
      <c r="T17" s="56">
        <f>IF(OR(Paramètres!$A23="",G$3=0),"",COUNTIFS(Journal!$D$2:$D$3001,Paramètres!$A23,Journal!$H$2:$H$3001,"&gt;="&amp;MAX(Paramètres!$C23,G$4),Journal!$H$2:$H$3001,"&lt;="&amp;IF(Paramètres!$D23="",EOMONTH(G$4,0),MIN(Paramètres!$D23,EOMONTH(G$4,0))),Journal!$K$2:$K$3001,1))</f>
        <v>0</v>
      </c>
      <c r="U17" s="56">
        <f>IF(OR(Paramètres!$A23="",H$3=0),"",COUNTIFS(Journal!$D$2:$D$3001,Paramètres!$A23,Journal!$H$2:$H$3001,"&gt;="&amp;MAX(Paramètres!$C23,H$4),Journal!$H$2:$H$3001,"&lt;="&amp;IF(Paramètres!$D23="",EOMONTH(H$4,0),MIN(Paramètres!$D23,EOMONTH(H$4,0))),Journal!$K$2:$K$3001,1))</f>
        <v>0</v>
      </c>
      <c r="V17" s="56">
        <f>IF(OR(Paramètres!$A23="",I$3=0),"",COUNTIFS(Journal!$D$2:$D$3001,Paramètres!$A23,Journal!$H$2:$H$3001,"&gt;="&amp;MAX(Paramètres!$C23,I$4),Journal!$H$2:$H$3001,"&lt;="&amp;IF(Paramètres!$D23="",EOMONTH(I$4,0),MIN(Paramètres!$D23,EOMONTH(I$4,0))),Journal!$K$2:$K$3001,1))</f>
        <v>3</v>
      </c>
      <c r="W17" s="56">
        <f>IF(OR(Paramètres!$A23="",J$3=0),"",COUNTIFS(Journal!$D$2:$D$3001,Paramètres!$A23,Journal!$H$2:$H$3001,"&gt;="&amp;MAX(Paramètres!$C23,J$4),Journal!$H$2:$H$3001,"&lt;="&amp;IF(Paramètres!$D23="",EOMONTH(J$4,0),MIN(Paramètres!$D23,EOMONTH(J$4,0))),Journal!$K$2:$K$3001,1))</f>
        <v>1</v>
      </c>
      <c r="X17" s="56">
        <f>IF(OR(Paramètres!$A23="",K$3=0),"",COUNTIFS(Journal!$D$2:$D$3001,Paramètres!$A23,Journal!$H$2:$H$3001,"&gt;="&amp;MAX(Paramètres!$C23,K$4),Journal!$H$2:$H$3001,"&lt;="&amp;IF(Paramètres!$D23="",EOMONTH(K$4,0),MIN(Paramètres!$D23,EOMONTH(K$4,0))),Journal!$K$2:$K$3001,1))</f>
        <v>2</v>
      </c>
      <c r="Y17" s="56" t="str">
        <f>IF(OR(Paramètres!$A23="",L$3=0),"",COUNTIFS(Journal!$D$2:$D$3001,Paramètres!$A23,Journal!$H$2:$H$3001,"&gt;="&amp;MAX(Paramètres!$C23,L$4),Journal!$H$2:$H$3001,"&lt;="&amp;IF(Paramètres!$D23="",EOMONTH(L$4,0),MIN(Paramètres!$D23,EOMONTH(L$4,0))),Journal!$K$2:$K$3001,1))</f>
        <v/>
      </c>
      <c r="Z17" s="56" t="str">
        <f>IF(OR(Paramètres!$A23="",M$3=0),"",COUNTIFS(Journal!$D$2:$D$3001,Paramètres!$A23,Journal!$H$2:$H$3001,"&gt;="&amp;MAX(Paramètres!$C23,M$4),Journal!$H$2:$H$3001,"&lt;="&amp;IF(Paramètres!$D23="",EOMONTH(M$4,0),MIN(Paramètres!$D23,EOMONTH(M$4,0))),Journal!$K$2:$K$3001,1))</f>
        <v/>
      </c>
      <c r="AA17" s="56" t="str">
        <f>IF(OR(Paramètres!$A23="",N$3=0),"",COUNTIFS(Journal!$D$2:$D$3001,Paramètres!$A23,Journal!$H$2:$H$3001,"&gt;="&amp;MAX(Paramètres!$C23,N$4),Journal!$H$2:$H$3001,"&lt;="&amp;IF(Paramètres!$D23="",EOMONTH(N$4,0),MIN(Paramètres!$D23,EOMONTH(N$4,0))),Journal!$K$2:$K$3001,1))</f>
        <v/>
      </c>
      <c r="AC17" s="57" t="str">
        <f t="shared" si="4"/>
        <v/>
      </c>
      <c r="AD17" s="57" t="str">
        <f t="shared" si="5"/>
        <v/>
      </c>
      <c r="AE17" s="57" t="str">
        <f t="shared" si="6"/>
        <v/>
      </c>
      <c r="AF17" s="57" t="str">
        <f t="shared" si="7"/>
        <v/>
      </c>
      <c r="AG17" s="57" t="str">
        <f t="shared" si="8"/>
        <v/>
      </c>
      <c r="AH17" s="57" t="str">
        <f t="shared" si="9"/>
        <v/>
      </c>
      <c r="AI17" s="57">
        <f t="shared" si="10"/>
        <v>0.13043478260869565</v>
      </c>
      <c r="AJ17" s="57">
        <f t="shared" si="11"/>
        <v>0.125</v>
      </c>
      <c r="AK17" s="57">
        <f t="shared" si="12"/>
        <v>9.0909090909090912E-2</v>
      </c>
      <c r="AL17" s="57" t="str">
        <f t="shared" si="13"/>
        <v/>
      </c>
      <c r="AM17" s="57" t="str">
        <f t="shared" si="14"/>
        <v/>
      </c>
      <c r="AN17" s="57" t="str">
        <f t="shared" si="15"/>
        <v/>
      </c>
      <c r="AP17" s="57" t="str">
        <f>IF(C17="","",IF(C17=0,"",MIN(1,P17/MAX(1,ROUND(C17*Paramètres!$E23/5,0)))))</f>
        <v/>
      </c>
      <c r="AQ17" s="57" t="str">
        <f>IF(D17="","",IF(D17=0,"",MIN(1,Q17/MAX(1,ROUND(D17*Paramètres!$E23/5,0)))))</f>
        <v/>
      </c>
      <c r="AR17" s="57" t="str">
        <f>IF(E17="","",IF(E17=0,"",MIN(1,R17/MAX(1,ROUND(E17*Paramètres!$E23/5,0)))))</f>
        <v/>
      </c>
      <c r="AS17" s="57" t="str">
        <f>IF(F17="","",IF(F17=0,"",MIN(1,S17/MAX(1,ROUND(F17*Paramètres!$E23/5,0)))))</f>
        <v/>
      </c>
      <c r="AT17" s="57" t="str">
        <f>IF(G17="","",IF(G17=0,"",MIN(1,T17/MAX(1,ROUND(G17*Paramètres!$E23/5,0)))))</f>
        <v/>
      </c>
      <c r="AU17" s="57" t="str">
        <f>IF(H17="","",IF(H17=0,"",MIN(1,U17/MAX(1,ROUND(H17*Paramètres!$E23/5,0)))))</f>
        <v/>
      </c>
      <c r="AV17" s="57">
        <f>IF(I17="","",IF(I17=0,"",MIN(1,V17/MAX(1,ROUND(I17*Paramètres!$E23/5,0)))))</f>
        <v>0.13043478260869565</v>
      </c>
      <c r="AW17" s="57">
        <f>IF(J17="","",IF(J17=0,"",MIN(1,W17/MAX(1,ROUND(J17*Paramètres!$E23/5,0)))))</f>
        <v>0.125</v>
      </c>
      <c r="AX17" s="57">
        <f>IF(K17="","",IF(K17=0,"",MIN(1,X17/MAX(1,ROUND(K17*Paramètres!$E23/5,0)))))</f>
        <v>9.0909090909090912E-2</v>
      </c>
      <c r="AY17" s="57" t="str">
        <f>IF(L17="","",IF(L17=0,"",MIN(1,Y17/MAX(1,ROUND(L17*Paramètres!$E23/5,0)))))</f>
        <v/>
      </c>
      <c r="AZ17" s="57" t="str">
        <f>IF(M17="","",IF(M17=0,"",MIN(1,Z17/MAX(1,ROUND(M17*Paramètres!$E23/5,0)))))</f>
        <v/>
      </c>
      <c r="BA17" s="57" t="str">
        <f>IF(N17="","",IF(N17=0,"",MIN(1,AA17/MAX(1,ROUND(N17*Paramètres!$E23/5,0)))))</f>
        <v/>
      </c>
      <c r="BC17" s="56">
        <f t="shared" si="16"/>
        <v>1</v>
      </c>
      <c r="BD17" s="57">
        <f t="shared" si="17"/>
        <v>9.0909090909090912E-2</v>
      </c>
      <c r="BE17" s="56">
        <f t="shared" si="18"/>
        <v>9.0926090909090915E-2</v>
      </c>
      <c r="BF17" s="56">
        <f t="shared" si="19"/>
        <v>11</v>
      </c>
    </row>
    <row r="18" spans="1:58" x14ac:dyDescent="0.25">
      <c r="A18" s="56" t="str">
        <f>IF(Paramètres!A24="","",Paramètres!A24)</f>
        <v>Sabrine Neffeti</v>
      </c>
      <c r="C18" s="56">
        <f>IF(OR(Paramètres!$A24="",C$3=0),"",COUNTIFS(Calendrier!$A$2:$A$367,"&gt;="&amp;MAX(Paramètres!$C24,C$4),Calendrier!$A$2:$A$367,"&lt;="&amp;IF(Paramètres!$D24="",EOMONTH(C$4,0),MIN(Paramètres!$D24,EOMONTH(C$4,0))),Calendrier!$C$2:$C$367,1))</f>
        <v>21</v>
      </c>
      <c r="D18" s="56">
        <f>IF(OR(Paramètres!$A24="",D$3=0),"",COUNTIFS(Calendrier!$A$2:$A$367,"&gt;="&amp;MAX(Paramètres!$C24,D$4),Calendrier!$A$2:$A$367,"&lt;="&amp;IF(Paramètres!$D24="",EOMONTH(D$4,0),MIN(Paramètres!$D24,EOMONTH(D$4,0))),Calendrier!$C$2:$C$367,1))</f>
        <v>20</v>
      </c>
      <c r="E18" s="56">
        <f>IF(OR(Paramètres!$A24="",E$3=0),"",COUNTIFS(Calendrier!$A$2:$A$367,"&gt;="&amp;MAX(Paramètres!$C24,E$4),Calendrier!$A$2:$A$367,"&lt;="&amp;IF(Paramètres!$D24="",EOMONTH(E$4,0),MIN(Paramètres!$D24,EOMONTH(E$4,0))),Calendrier!$C$2:$C$367,1))</f>
        <v>21</v>
      </c>
      <c r="F18" s="56">
        <f>IF(OR(Paramètres!$A24="",F$3=0),"",COUNTIFS(Calendrier!$A$2:$A$367,"&gt;="&amp;MAX(Paramètres!$C24,F$4),Calendrier!$A$2:$A$367,"&lt;="&amp;IF(Paramètres!$D24="",EOMONTH(F$4,0),MIN(Paramètres!$D24,EOMONTH(F$4,0))),Calendrier!$C$2:$C$367,1))</f>
        <v>22</v>
      </c>
      <c r="G18" s="56">
        <f>IF(OR(Paramètres!$A24="",G$3=0),"",COUNTIFS(Calendrier!$A$2:$A$367,"&gt;="&amp;MAX(Paramètres!$C24,G$4),Calendrier!$A$2:$A$367,"&lt;="&amp;IF(Paramètres!$D24="",EOMONTH(G$4,0),MIN(Paramètres!$D24,EOMONTH(G$4,0))),Calendrier!$C$2:$C$367,1))</f>
        <v>17</v>
      </c>
      <c r="H18" s="56">
        <f>IF(OR(Paramètres!$A24="",H$3=0),"",COUNTIFS(Calendrier!$A$2:$A$367,"&gt;="&amp;MAX(Paramètres!$C24,H$4),Calendrier!$A$2:$A$367,"&lt;="&amp;IF(Paramètres!$D24="",EOMONTH(H$4,0),MIN(Paramètres!$D24,EOMONTH(H$4,0))),Calendrier!$C$2:$C$367,1))</f>
        <v>22</v>
      </c>
      <c r="I18" s="56">
        <f>IF(OR(Paramètres!$A24="",I$3=0),"",COUNTIFS(Calendrier!$A$2:$A$367,"&gt;="&amp;MAX(Paramètres!$C24,I$4),Calendrier!$A$2:$A$367,"&lt;="&amp;IF(Paramètres!$D24="",EOMONTH(I$4,0),MIN(Paramètres!$D24,EOMONTH(I$4,0))),Calendrier!$C$2:$C$367,1))</f>
        <v>23</v>
      </c>
      <c r="J18" s="56">
        <f>IF(OR(Paramètres!$A24="",J$3=0),"",COUNTIFS(Calendrier!$A$2:$A$367,"&gt;="&amp;MAX(Paramètres!$C24,J$4),Calendrier!$A$2:$A$367,"&lt;="&amp;IF(Paramètres!$D24="",EOMONTH(J$4,0),MIN(Paramètres!$D24,EOMONTH(J$4,0))),Calendrier!$C$2:$C$367,1))</f>
        <v>8</v>
      </c>
      <c r="K18" s="56">
        <f>IF(OR(Paramètres!$A24="",K$3=0),"",COUNTIFS(Calendrier!$A$2:$A$367,"&gt;="&amp;MAX(Paramètres!$C24,K$4),Calendrier!$A$2:$A$367,"&lt;="&amp;IF(Paramètres!$D24="",EOMONTH(K$4,0),MIN(Paramètres!$D24,EOMONTH(K$4,0))),Calendrier!$C$2:$C$367,1))</f>
        <v>22</v>
      </c>
      <c r="L18" s="56" t="str">
        <f>IF(OR(Paramètres!$A24="",L$3=0),"",COUNTIFS(Calendrier!$A$2:$A$367,"&gt;="&amp;MAX(Paramètres!$C24,L$4),Calendrier!$A$2:$A$367,"&lt;="&amp;IF(Paramètres!$D24="",EOMONTH(L$4,0),MIN(Paramètres!$D24,EOMONTH(L$4,0))),Calendrier!$C$2:$C$367,1))</f>
        <v/>
      </c>
      <c r="M18" s="56" t="str">
        <f>IF(OR(Paramètres!$A24="",M$3=0),"",COUNTIFS(Calendrier!$A$2:$A$367,"&gt;="&amp;MAX(Paramètres!$C24,M$4),Calendrier!$A$2:$A$367,"&lt;="&amp;IF(Paramètres!$D24="",EOMONTH(M$4,0),MIN(Paramètres!$D24,EOMONTH(M$4,0))),Calendrier!$C$2:$C$367,1))</f>
        <v/>
      </c>
      <c r="N18" s="56" t="str">
        <f>IF(OR(Paramètres!$A24="",N$3=0),"",COUNTIFS(Calendrier!$A$2:$A$367,"&gt;="&amp;MAX(Paramètres!$C24,N$4),Calendrier!$A$2:$A$367,"&lt;="&amp;IF(Paramètres!$D24="",EOMONTH(N$4,0),MIN(Paramètres!$D24,EOMONTH(N$4,0))),Calendrier!$C$2:$C$367,1))</f>
        <v/>
      </c>
      <c r="P18" s="56">
        <f>IF(OR(Paramètres!$A24="",C$3=0),"",COUNTIFS(Journal!$D$2:$D$3001,Paramètres!$A24,Journal!$H$2:$H$3001,"&gt;="&amp;MAX(Paramètres!$C24,C$4),Journal!$H$2:$H$3001,"&lt;="&amp;IF(Paramètres!$D24="",EOMONTH(C$4,0),MIN(Paramètres!$D24,EOMONTH(C$4,0))),Journal!$K$2:$K$3001,1))</f>
        <v>5</v>
      </c>
      <c r="Q18" s="56">
        <f>IF(OR(Paramètres!$A24="",D$3=0),"",COUNTIFS(Journal!$D$2:$D$3001,Paramètres!$A24,Journal!$H$2:$H$3001,"&gt;="&amp;MAX(Paramètres!$C24,D$4),Journal!$H$2:$H$3001,"&lt;="&amp;IF(Paramètres!$D24="",EOMONTH(D$4,0),MIN(Paramètres!$D24,EOMONTH(D$4,0))),Journal!$K$2:$K$3001,1))</f>
        <v>8</v>
      </c>
      <c r="R18" s="56">
        <f>IF(OR(Paramètres!$A24="",E$3=0),"",COUNTIFS(Journal!$D$2:$D$3001,Paramètres!$A24,Journal!$H$2:$H$3001,"&gt;="&amp;MAX(Paramètres!$C24,E$4),Journal!$H$2:$H$3001,"&lt;="&amp;IF(Paramètres!$D24="",EOMONTH(E$4,0),MIN(Paramètres!$D24,EOMONTH(E$4,0))),Journal!$K$2:$K$3001,1))</f>
        <v>5</v>
      </c>
      <c r="S18" s="56">
        <f>IF(OR(Paramètres!$A24="",F$3=0),"",COUNTIFS(Journal!$D$2:$D$3001,Paramètres!$A24,Journal!$H$2:$H$3001,"&gt;="&amp;MAX(Paramètres!$C24,F$4),Journal!$H$2:$H$3001,"&lt;="&amp;IF(Paramètres!$D24="",EOMONTH(F$4,0),MIN(Paramètres!$D24,EOMONTH(F$4,0))),Journal!$K$2:$K$3001,1))</f>
        <v>14</v>
      </c>
      <c r="T18" s="56">
        <f>IF(OR(Paramètres!$A24="",G$3=0),"",COUNTIFS(Journal!$D$2:$D$3001,Paramètres!$A24,Journal!$H$2:$H$3001,"&gt;="&amp;MAX(Paramètres!$C24,G$4),Journal!$H$2:$H$3001,"&lt;="&amp;IF(Paramètres!$D24="",EOMONTH(G$4,0),MIN(Paramètres!$D24,EOMONTH(G$4,0))),Journal!$K$2:$K$3001,1))</f>
        <v>4</v>
      </c>
      <c r="U18" s="56">
        <f>IF(OR(Paramètres!$A24="",H$3=0),"",COUNTIFS(Journal!$D$2:$D$3001,Paramètres!$A24,Journal!$H$2:$H$3001,"&gt;="&amp;MAX(Paramètres!$C24,H$4),Journal!$H$2:$H$3001,"&lt;="&amp;IF(Paramètres!$D24="",EOMONTH(H$4,0),MIN(Paramètres!$D24,EOMONTH(H$4,0))),Journal!$K$2:$K$3001,1))</f>
        <v>8</v>
      </c>
      <c r="V18" s="56">
        <f>IF(OR(Paramètres!$A24="",I$3=0),"",COUNTIFS(Journal!$D$2:$D$3001,Paramètres!$A24,Journal!$H$2:$H$3001,"&gt;="&amp;MAX(Paramètres!$C24,I$4),Journal!$H$2:$H$3001,"&lt;="&amp;IF(Paramètres!$D24="",EOMONTH(I$4,0),MIN(Paramètres!$D24,EOMONTH(I$4,0))),Journal!$K$2:$K$3001,1))</f>
        <v>8</v>
      </c>
      <c r="W18" s="56">
        <f>IF(OR(Paramètres!$A24="",J$3=0),"",COUNTIFS(Journal!$D$2:$D$3001,Paramètres!$A24,Journal!$H$2:$H$3001,"&gt;="&amp;MAX(Paramètres!$C24,J$4),Journal!$H$2:$H$3001,"&lt;="&amp;IF(Paramètres!$D24="",EOMONTH(J$4,0),MIN(Paramètres!$D24,EOMONTH(J$4,0))),Journal!$K$2:$K$3001,1))</f>
        <v>2</v>
      </c>
      <c r="X18" s="56">
        <f>IF(OR(Paramètres!$A24="",K$3=0),"",COUNTIFS(Journal!$D$2:$D$3001,Paramètres!$A24,Journal!$H$2:$H$3001,"&gt;="&amp;MAX(Paramètres!$C24,K$4),Journal!$H$2:$H$3001,"&lt;="&amp;IF(Paramètres!$D24="",EOMONTH(K$4,0),MIN(Paramètres!$D24,EOMONTH(K$4,0))),Journal!$K$2:$K$3001,1))</f>
        <v>4</v>
      </c>
      <c r="Y18" s="56" t="str">
        <f>IF(OR(Paramètres!$A24="",L$3=0),"",COUNTIFS(Journal!$D$2:$D$3001,Paramètres!$A24,Journal!$H$2:$H$3001,"&gt;="&amp;MAX(Paramètres!$C24,L$4),Journal!$H$2:$H$3001,"&lt;="&amp;IF(Paramètres!$D24="",EOMONTH(L$4,0),MIN(Paramètres!$D24,EOMONTH(L$4,0))),Journal!$K$2:$K$3001,1))</f>
        <v/>
      </c>
      <c r="Z18" s="56" t="str">
        <f>IF(OR(Paramètres!$A24="",M$3=0),"",COUNTIFS(Journal!$D$2:$D$3001,Paramètres!$A24,Journal!$H$2:$H$3001,"&gt;="&amp;MAX(Paramètres!$C24,M$4),Journal!$H$2:$H$3001,"&lt;="&amp;IF(Paramètres!$D24="",EOMONTH(M$4,0),MIN(Paramètres!$D24,EOMONTH(M$4,0))),Journal!$K$2:$K$3001,1))</f>
        <v/>
      </c>
      <c r="AA18" s="56" t="str">
        <f>IF(OR(Paramètres!$A24="",N$3=0),"",COUNTIFS(Journal!$D$2:$D$3001,Paramètres!$A24,Journal!$H$2:$H$3001,"&gt;="&amp;MAX(Paramètres!$C24,N$4),Journal!$H$2:$H$3001,"&lt;="&amp;IF(Paramètres!$D24="",EOMONTH(N$4,0),MIN(Paramètres!$D24,EOMONTH(N$4,0))),Journal!$K$2:$K$3001,1))</f>
        <v/>
      </c>
      <c r="AC18" s="57">
        <f t="shared" si="4"/>
        <v>0.23809523809523808</v>
      </c>
      <c r="AD18" s="57">
        <f t="shared" si="5"/>
        <v>0.4</v>
      </c>
      <c r="AE18" s="57">
        <f t="shared" si="6"/>
        <v>0.23809523809523808</v>
      </c>
      <c r="AF18" s="57">
        <f t="shared" si="7"/>
        <v>0.63636363636363635</v>
      </c>
      <c r="AG18" s="57">
        <f t="shared" si="8"/>
        <v>0.23529411764705882</v>
      </c>
      <c r="AH18" s="57">
        <f t="shared" si="9"/>
        <v>0.36363636363636365</v>
      </c>
      <c r="AI18" s="57">
        <f t="shared" si="10"/>
        <v>0.34782608695652173</v>
      </c>
      <c r="AJ18" s="57">
        <f t="shared" si="11"/>
        <v>0.25</v>
      </c>
      <c r="AK18" s="57">
        <f t="shared" si="12"/>
        <v>0.18181818181818182</v>
      </c>
      <c r="AL18" s="57" t="str">
        <f t="shared" si="13"/>
        <v/>
      </c>
      <c r="AM18" s="57" t="str">
        <f t="shared" si="14"/>
        <v/>
      </c>
      <c r="AN18" s="57" t="str">
        <f t="shared" si="15"/>
        <v/>
      </c>
      <c r="AP18" s="57">
        <f>IF(C18="","",IF(C18=0,"",MIN(1,P18/MAX(1,ROUND(C18*Paramètres!$E24/5,0)))))</f>
        <v>0.23809523809523808</v>
      </c>
      <c r="AQ18" s="57">
        <f>IF(D18="","",IF(D18=0,"",MIN(1,Q18/MAX(1,ROUND(D18*Paramètres!$E24/5,0)))))</f>
        <v>0.4</v>
      </c>
      <c r="AR18" s="57">
        <f>IF(E18="","",IF(E18=0,"",MIN(1,R18/MAX(1,ROUND(E18*Paramètres!$E24/5,0)))))</f>
        <v>0.23809523809523808</v>
      </c>
      <c r="AS18" s="57">
        <f>IF(F18="","",IF(F18=0,"",MIN(1,S18/MAX(1,ROUND(F18*Paramètres!$E24/5,0)))))</f>
        <v>0.63636363636363635</v>
      </c>
      <c r="AT18" s="57">
        <f>IF(G18="","",IF(G18=0,"",MIN(1,T18/MAX(1,ROUND(G18*Paramètres!$E24/5,0)))))</f>
        <v>0.23529411764705882</v>
      </c>
      <c r="AU18" s="57">
        <f>IF(H18="","",IF(H18=0,"",MIN(1,U18/MAX(1,ROUND(H18*Paramètres!$E24/5,0)))))</f>
        <v>0.36363636363636365</v>
      </c>
      <c r="AV18" s="57">
        <f>IF(I18="","",IF(I18=0,"",MIN(1,V18/MAX(1,ROUND(I18*Paramètres!$E24/5,0)))))</f>
        <v>0.34782608695652173</v>
      </c>
      <c r="AW18" s="57">
        <f>IF(J18="","",IF(J18=0,"",MIN(1,W18/MAX(1,ROUND(J18*Paramètres!$E24/5,0)))))</f>
        <v>0.25</v>
      </c>
      <c r="AX18" s="57">
        <f>IF(K18="","",IF(K18=0,"",MIN(1,X18/MAX(1,ROUND(K18*Paramètres!$E24/5,0)))))</f>
        <v>0.18181818181818182</v>
      </c>
      <c r="AY18" s="57" t="str">
        <f>IF(L18="","",IF(L18=0,"",MIN(1,Y18/MAX(1,ROUND(L18*Paramètres!$E24/5,0)))))</f>
        <v/>
      </c>
      <c r="AZ18" s="57" t="str">
        <f>IF(M18="","",IF(M18=0,"",MIN(1,Z18/MAX(1,ROUND(M18*Paramètres!$E24/5,0)))))</f>
        <v/>
      </c>
      <c r="BA18" s="57" t="str">
        <f>IF(N18="","",IF(N18=0,"",MIN(1,AA18/MAX(1,ROUND(N18*Paramètres!$E24/5,0)))))</f>
        <v/>
      </c>
      <c r="BC18" s="56">
        <f t="shared" si="16"/>
        <v>1</v>
      </c>
      <c r="BD18" s="57">
        <f t="shared" si="17"/>
        <v>0.18181818181818182</v>
      </c>
      <c r="BE18" s="56">
        <f t="shared" si="18"/>
        <v>0.18183618181818181</v>
      </c>
      <c r="BF18" s="56">
        <f t="shared" si="19"/>
        <v>8</v>
      </c>
    </row>
    <row r="19" spans="1:58" x14ac:dyDescent="0.25">
      <c r="A19" s="56" t="str">
        <f>IF(Paramètres!A25="","",Paramètres!A25)</f>
        <v>Safouen Magdouli</v>
      </c>
      <c r="C19" s="56">
        <f>IF(OR(Paramètres!$A25="",C$3=0),"",COUNTIFS(Calendrier!$A$2:$A$367,"&gt;="&amp;MAX(Paramètres!$C25,C$4),Calendrier!$A$2:$A$367,"&lt;="&amp;IF(Paramètres!$D25="",EOMONTH(C$4,0),MIN(Paramètres!$D25,EOMONTH(C$4,0))),Calendrier!$C$2:$C$367,1))</f>
        <v>21</v>
      </c>
      <c r="D19" s="56">
        <f>IF(OR(Paramètres!$A25="",D$3=0),"",COUNTIFS(Calendrier!$A$2:$A$367,"&gt;="&amp;MAX(Paramètres!$C25,D$4),Calendrier!$A$2:$A$367,"&lt;="&amp;IF(Paramètres!$D25="",EOMONTH(D$4,0),MIN(Paramètres!$D25,EOMONTH(D$4,0))),Calendrier!$C$2:$C$367,1))</f>
        <v>20</v>
      </c>
      <c r="E19" s="56">
        <f>IF(OR(Paramètres!$A25="",E$3=0),"",COUNTIFS(Calendrier!$A$2:$A$367,"&gt;="&amp;MAX(Paramètres!$C25,E$4),Calendrier!$A$2:$A$367,"&lt;="&amp;IF(Paramètres!$D25="",EOMONTH(E$4,0),MIN(Paramètres!$D25,EOMONTH(E$4,0))),Calendrier!$C$2:$C$367,1))</f>
        <v>21</v>
      </c>
      <c r="F19" s="56">
        <f>IF(OR(Paramètres!$A25="",F$3=0),"",COUNTIFS(Calendrier!$A$2:$A$367,"&gt;="&amp;MAX(Paramètres!$C25,F$4),Calendrier!$A$2:$A$367,"&lt;="&amp;IF(Paramètres!$D25="",EOMONTH(F$4,0),MIN(Paramètres!$D25,EOMONTH(F$4,0))),Calendrier!$C$2:$C$367,1))</f>
        <v>22</v>
      </c>
      <c r="G19" s="56">
        <f>IF(OR(Paramètres!$A25="",G$3=0),"",COUNTIFS(Calendrier!$A$2:$A$367,"&gt;="&amp;MAX(Paramètres!$C25,G$4),Calendrier!$A$2:$A$367,"&lt;="&amp;IF(Paramètres!$D25="",EOMONTH(G$4,0),MIN(Paramètres!$D25,EOMONTH(G$4,0))),Calendrier!$C$2:$C$367,1))</f>
        <v>17</v>
      </c>
      <c r="H19" s="56">
        <f>IF(OR(Paramètres!$A25="",H$3=0),"",COUNTIFS(Calendrier!$A$2:$A$367,"&gt;="&amp;MAX(Paramètres!$C25,H$4),Calendrier!$A$2:$A$367,"&lt;="&amp;IF(Paramètres!$D25="",EOMONTH(H$4,0),MIN(Paramètres!$D25,EOMONTH(H$4,0))),Calendrier!$C$2:$C$367,1))</f>
        <v>22</v>
      </c>
      <c r="I19" s="56">
        <f>IF(OR(Paramètres!$A25="",I$3=0),"",COUNTIFS(Calendrier!$A$2:$A$367,"&gt;="&amp;MAX(Paramètres!$C25,I$4),Calendrier!$A$2:$A$367,"&lt;="&amp;IF(Paramètres!$D25="",EOMONTH(I$4,0),MIN(Paramètres!$D25,EOMONTH(I$4,0))),Calendrier!$C$2:$C$367,1))</f>
        <v>23</v>
      </c>
      <c r="J19" s="56">
        <f>IF(OR(Paramètres!$A25="",J$3=0),"",COUNTIFS(Calendrier!$A$2:$A$367,"&gt;="&amp;MAX(Paramètres!$C25,J$4),Calendrier!$A$2:$A$367,"&lt;="&amp;IF(Paramètres!$D25="",EOMONTH(J$4,0),MIN(Paramètres!$D25,EOMONTH(J$4,0))),Calendrier!$C$2:$C$367,1))</f>
        <v>8</v>
      </c>
      <c r="K19" s="56">
        <f>IF(OR(Paramètres!$A25="",K$3=0),"",COUNTIFS(Calendrier!$A$2:$A$367,"&gt;="&amp;MAX(Paramètres!$C25,K$4),Calendrier!$A$2:$A$367,"&lt;="&amp;IF(Paramètres!$D25="",EOMONTH(K$4,0),MIN(Paramètres!$D25,EOMONTH(K$4,0))),Calendrier!$C$2:$C$367,1))</f>
        <v>22</v>
      </c>
      <c r="L19" s="56" t="str">
        <f>IF(OR(Paramètres!$A25="",L$3=0),"",COUNTIFS(Calendrier!$A$2:$A$367,"&gt;="&amp;MAX(Paramètres!$C25,L$4),Calendrier!$A$2:$A$367,"&lt;="&amp;IF(Paramètres!$D25="",EOMONTH(L$4,0),MIN(Paramètres!$D25,EOMONTH(L$4,0))),Calendrier!$C$2:$C$367,1))</f>
        <v/>
      </c>
      <c r="M19" s="56" t="str">
        <f>IF(OR(Paramètres!$A25="",M$3=0),"",COUNTIFS(Calendrier!$A$2:$A$367,"&gt;="&amp;MAX(Paramètres!$C25,M$4),Calendrier!$A$2:$A$367,"&lt;="&amp;IF(Paramètres!$D25="",EOMONTH(M$4,0),MIN(Paramètres!$D25,EOMONTH(M$4,0))),Calendrier!$C$2:$C$367,1))</f>
        <v/>
      </c>
      <c r="N19" s="56" t="str">
        <f>IF(OR(Paramètres!$A25="",N$3=0),"",COUNTIFS(Calendrier!$A$2:$A$367,"&gt;="&amp;MAX(Paramètres!$C25,N$4),Calendrier!$A$2:$A$367,"&lt;="&amp;IF(Paramètres!$D25="",EOMONTH(N$4,0),MIN(Paramètres!$D25,EOMONTH(N$4,0))),Calendrier!$C$2:$C$367,1))</f>
        <v/>
      </c>
      <c r="P19" s="56">
        <f>IF(OR(Paramètres!$A25="",C$3=0),"",COUNTIFS(Journal!$D$2:$D$3001,Paramètres!$A25,Journal!$H$2:$H$3001,"&gt;="&amp;MAX(Paramètres!$C25,C$4),Journal!$H$2:$H$3001,"&lt;="&amp;IF(Paramètres!$D25="",EOMONTH(C$4,0),MIN(Paramètres!$D25,EOMONTH(C$4,0))),Journal!$K$2:$K$3001,1))</f>
        <v>4</v>
      </c>
      <c r="Q19" s="56">
        <f>IF(OR(Paramètres!$A25="",D$3=0),"",COUNTIFS(Journal!$D$2:$D$3001,Paramètres!$A25,Journal!$H$2:$H$3001,"&gt;="&amp;MAX(Paramètres!$C25,D$4),Journal!$H$2:$H$3001,"&lt;="&amp;IF(Paramètres!$D25="",EOMONTH(D$4,0),MIN(Paramètres!$D25,EOMONTH(D$4,0))),Journal!$K$2:$K$3001,1))</f>
        <v>5</v>
      </c>
      <c r="R19" s="56">
        <f>IF(OR(Paramètres!$A25="",E$3=0),"",COUNTIFS(Journal!$D$2:$D$3001,Paramètres!$A25,Journal!$H$2:$H$3001,"&gt;="&amp;MAX(Paramètres!$C25,E$4),Journal!$H$2:$H$3001,"&lt;="&amp;IF(Paramètres!$D25="",EOMONTH(E$4,0),MIN(Paramètres!$D25,EOMONTH(E$4,0))),Journal!$K$2:$K$3001,1))</f>
        <v>3</v>
      </c>
      <c r="S19" s="56">
        <f>IF(OR(Paramètres!$A25="",F$3=0),"",COUNTIFS(Journal!$D$2:$D$3001,Paramètres!$A25,Journal!$H$2:$H$3001,"&gt;="&amp;MAX(Paramètres!$C25,F$4),Journal!$H$2:$H$3001,"&lt;="&amp;IF(Paramètres!$D25="",EOMONTH(F$4,0),MIN(Paramètres!$D25,EOMONTH(F$4,0))),Journal!$K$2:$K$3001,1))</f>
        <v>6</v>
      </c>
      <c r="T19" s="56">
        <f>IF(OR(Paramètres!$A25="",G$3=0),"",COUNTIFS(Journal!$D$2:$D$3001,Paramètres!$A25,Journal!$H$2:$H$3001,"&gt;="&amp;MAX(Paramètres!$C25,G$4),Journal!$H$2:$H$3001,"&lt;="&amp;IF(Paramètres!$D25="",EOMONTH(G$4,0),MIN(Paramètres!$D25,EOMONTH(G$4,0))),Journal!$K$2:$K$3001,1))</f>
        <v>7</v>
      </c>
      <c r="U19" s="56">
        <f>IF(OR(Paramètres!$A25="",H$3=0),"",COUNTIFS(Journal!$D$2:$D$3001,Paramètres!$A25,Journal!$H$2:$H$3001,"&gt;="&amp;MAX(Paramètres!$C25,H$4),Journal!$H$2:$H$3001,"&lt;="&amp;IF(Paramètres!$D25="",EOMONTH(H$4,0),MIN(Paramètres!$D25,EOMONTH(H$4,0))),Journal!$K$2:$K$3001,1))</f>
        <v>5</v>
      </c>
      <c r="V19" s="56">
        <f>IF(OR(Paramètres!$A25="",I$3=0),"",COUNTIFS(Journal!$D$2:$D$3001,Paramètres!$A25,Journal!$H$2:$H$3001,"&gt;="&amp;MAX(Paramètres!$C25,I$4),Journal!$H$2:$H$3001,"&lt;="&amp;IF(Paramètres!$D25="",EOMONTH(I$4,0),MIN(Paramètres!$D25,EOMONTH(I$4,0))),Journal!$K$2:$K$3001,1))</f>
        <v>6</v>
      </c>
      <c r="W19" s="56">
        <f>IF(OR(Paramètres!$A25="",J$3=0),"",COUNTIFS(Journal!$D$2:$D$3001,Paramètres!$A25,Journal!$H$2:$H$3001,"&gt;="&amp;MAX(Paramètres!$C25,J$4),Journal!$H$2:$H$3001,"&lt;="&amp;IF(Paramètres!$D25="",EOMONTH(J$4,0),MIN(Paramètres!$D25,EOMONTH(J$4,0))),Journal!$K$2:$K$3001,1))</f>
        <v>2</v>
      </c>
      <c r="X19" s="56">
        <f>IF(OR(Paramètres!$A25="",K$3=0),"",COUNTIFS(Journal!$D$2:$D$3001,Paramètres!$A25,Journal!$H$2:$H$3001,"&gt;="&amp;MAX(Paramètres!$C25,K$4),Journal!$H$2:$H$3001,"&lt;="&amp;IF(Paramètres!$D25="",EOMONTH(K$4,0),MIN(Paramètres!$D25,EOMONTH(K$4,0))),Journal!$K$2:$K$3001,1))</f>
        <v>4</v>
      </c>
      <c r="Y19" s="56" t="str">
        <f>IF(OR(Paramètres!$A25="",L$3=0),"",COUNTIFS(Journal!$D$2:$D$3001,Paramètres!$A25,Journal!$H$2:$H$3001,"&gt;="&amp;MAX(Paramètres!$C25,L$4),Journal!$H$2:$H$3001,"&lt;="&amp;IF(Paramètres!$D25="",EOMONTH(L$4,0),MIN(Paramètres!$D25,EOMONTH(L$4,0))),Journal!$K$2:$K$3001,1))</f>
        <v/>
      </c>
      <c r="Z19" s="56" t="str">
        <f>IF(OR(Paramètres!$A25="",M$3=0),"",COUNTIFS(Journal!$D$2:$D$3001,Paramètres!$A25,Journal!$H$2:$H$3001,"&gt;="&amp;MAX(Paramètres!$C25,M$4),Journal!$H$2:$H$3001,"&lt;="&amp;IF(Paramètres!$D25="",EOMONTH(M$4,0),MIN(Paramètres!$D25,EOMONTH(M$4,0))),Journal!$K$2:$K$3001,1))</f>
        <v/>
      </c>
      <c r="AA19" s="56" t="str">
        <f>IF(OR(Paramètres!$A25="",N$3=0),"",COUNTIFS(Journal!$D$2:$D$3001,Paramètres!$A25,Journal!$H$2:$H$3001,"&gt;="&amp;MAX(Paramètres!$C25,N$4),Journal!$H$2:$H$3001,"&lt;="&amp;IF(Paramètres!$D25="",EOMONTH(N$4,0),MIN(Paramètres!$D25,EOMONTH(N$4,0))),Journal!$K$2:$K$3001,1))</f>
        <v/>
      </c>
      <c r="AC19" s="57">
        <f t="shared" si="4"/>
        <v>0.19047619047619047</v>
      </c>
      <c r="AD19" s="57">
        <f t="shared" si="5"/>
        <v>0.25</v>
      </c>
      <c r="AE19" s="57">
        <f t="shared" si="6"/>
        <v>0.14285714285714285</v>
      </c>
      <c r="AF19" s="57">
        <f t="shared" si="7"/>
        <v>0.27272727272727271</v>
      </c>
      <c r="AG19" s="57">
        <f t="shared" si="8"/>
        <v>0.41176470588235292</v>
      </c>
      <c r="AH19" s="57">
        <f t="shared" si="9"/>
        <v>0.22727272727272727</v>
      </c>
      <c r="AI19" s="57">
        <f t="shared" si="10"/>
        <v>0.2608695652173913</v>
      </c>
      <c r="AJ19" s="57">
        <f t="shared" si="11"/>
        <v>0.25</v>
      </c>
      <c r="AK19" s="57">
        <f t="shared" si="12"/>
        <v>0.18181818181818182</v>
      </c>
      <c r="AL19" s="57" t="str">
        <f t="shared" si="13"/>
        <v/>
      </c>
      <c r="AM19" s="57" t="str">
        <f t="shared" si="14"/>
        <v/>
      </c>
      <c r="AN19" s="57" t="str">
        <f t="shared" si="15"/>
        <v/>
      </c>
      <c r="AP19" s="57">
        <f>IF(C19="","",IF(C19=0,"",MIN(1,P19/MAX(1,ROUND(C19*Paramètres!$E25/5,0)))))</f>
        <v>0.19047619047619047</v>
      </c>
      <c r="AQ19" s="57">
        <f>IF(D19="","",IF(D19=0,"",MIN(1,Q19/MAX(1,ROUND(D19*Paramètres!$E25/5,0)))))</f>
        <v>0.25</v>
      </c>
      <c r="AR19" s="57">
        <f>IF(E19="","",IF(E19=0,"",MIN(1,R19/MAX(1,ROUND(E19*Paramètres!$E25/5,0)))))</f>
        <v>0.14285714285714285</v>
      </c>
      <c r="AS19" s="57">
        <f>IF(F19="","",IF(F19=0,"",MIN(1,S19/MAX(1,ROUND(F19*Paramètres!$E25/5,0)))))</f>
        <v>0.27272727272727271</v>
      </c>
      <c r="AT19" s="57">
        <f>IF(G19="","",IF(G19=0,"",MIN(1,T19/MAX(1,ROUND(G19*Paramètres!$E25/5,0)))))</f>
        <v>0.41176470588235292</v>
      </c>
      <c r="AU19" s="57">
        <f>IF(H19="","",IF(H19=0,"",MIN(1,U19/MAX(1,ROUND(H19*Paramètres!$E25/5,0)))))</f>
        <v>0.22727272727272727</v>
      </c>
      <c r="AV19" s="57">
        <f>IF(I19="","",IF(I19=0,"",MIN(1,V19/MAX(1,ROUND(I19*Paramètres!$E25/5,0)))))</f>
        <v>0.2608695652173913</v>
      </c>
      <c r="AW19" s="57">
        <f>IF(J19="","",IF(J19=0,"",MIN(1,W19/MAX(1,ROUND(J19*Paramètres!$E25/5,0)))))</f>
        <v>0.25</v>
      </c>
      <c r="AX19" s="57">
        <f>IF(K19="","",IF(K19=0,"",MIN(1,X19/MAX(1,ROUND(K19*Paramètres!$E25/5,0)))))</f>
        <v>0.18181818181818182</v>
      </c>
      <c r="AY19" s="57" t="str">
        <f>IF(L19="","",IF(L19=0,"",MIN(1,Y19/MAX(1,ROUND(L19*Paramètres!$E25/5,0)))))</f>
        <v/>
      </c>
      <c r="AZ19" s="57" t="str">
        <f>IF(M19="","",IF(M19=0,"",MIN(1,Z19/MAX(1,ROUND(M19*Paramètres!$E25/5,0)))))</f>
        <v/>
      </c>
      <c r="BA19" s="57" t="str">
        <f>IF(N19="","",IF(N19=0,"",MIN(1,AA19/MAX(1,ROUND(N19*Paramètres!$E25/5,0)))))</f>
        <v/>
      </c>
      <c r="BC19" s="56">
        <f t="shared" si="16"/>
        <v>1</v>
      </c>
      <c r="BD19" s="57">
        <f t="shared" si="17"/>
        <v>0.18181818181818182</v>
      </c>
      <c r="BE19" s="56">
        <f t="shared" si="18"/>
        <v>0.18183718181818181</v>
      </c>
      <c r="BF19" s="56">
        <f t="shared" si="19"/>
        <v>7</v>
      </c>
    </row>
    <row r="20" spans="1:58" x14ac:dyDescent="0.25">
      <c r="A20" s="68" t="str">
        <f>IF(Paramètres!A26="","",Paramètres!A26)</f>
        <v>Said Hamrouni</v>
      </c>
      <c r="C20" s="56">
        <f>IF(OR(Paramètres!$A26="",C$3=0),"",COUNTIFS(Calendrier!$A$2:$A$367,"&gt;="&amp;MAX(Paramètres!$C26,C$4),Calendrier!$A$2:$A$367,"&lt;="&amp;IF(Paramètres!$D26="",EOMONTH(C$4,0),MIN(Paramètres!$D26,EOMONTH(C$4,0))),Calendrier!$C$2:$C$367,1))</f>
        <v>21</v>
      </c>
      <c r="D20" s="56">
        <f>IF(OR(Paramètres!$A26="",D$3=0),"",COUNTIFS(Calendrier!$A$2:$A$367,"&gt;="&amp;MAX(Paramètres!$C26,D$4),Calendrier!$A$2:$A$367,"&lt;="&amp;IF(Paramètres!$D26="",EOMONTH(D$4,0),MIN(Paramètres!$D26,EOMONTH(D$4,0))),Calendrier!$C$2:$C$367,1))</f>
        <v>20</v>
      </c>
      <c r="E20" s="56">
        <f>IF(OR(Paramètres!$A26="",E$3=0),"",COUNTIFS(Calendrier!$A$2:$A$367,"&gt;="&amp;MAX(Paramètres!$C26,E$4),Calendrier!$A$2:$A$367,"&lt;="&amp;IF(Paramètres!$D26="",EOMONTH(E$4,0),MIN(Paramètres!$D26,EOMONTH(E$4,0))),Calendrier!$C$2:$C$367,1))</f>
        <v>21</v>
      </c>
      <c r="F20" s="56">
        <f>IF(OR(Paramètres!$A26="",F$3=0),"",COUNTIFS(Calendrier!$A$2:$A$367,"&gt;="&amp;MAX(Paramètres!$C26,F$4),Calendrier!$A$2:$A$367,"&lt;="&amp;IF(Paramètres!$D26="",EOMONTH(F$4,0),MIN(Paramètres!$D26,EOMONTH(F$4,0))),Calendrier!$C$2:$C$367,1))</f>
        <v>22</v>
      </c>
      <c r="G20" s="56">
        <f>IF(OR(Paramètres!$A26="",G$3=0),"",COUNTIFS(Calendrier!$A$2:$A$367,"&gt;="&amp;MAX(Paramètres!$C26,G$4),Calendrier!$A$2:$A$367,"&lt;="&amp;IF(Paramètres!$D26="",EOMONTH(G$4,0),MIN(Paramètres!$D26,EOMONTH(G$4,0))),Calendrier!$C$2:$C$367,1))</f>
        <v>17</v>
      </c>
      <c r="H20" s="56">
        <f>IF(OR(Paramètres!$A26="",H$3=0),"",COUNTIFS(Calendrier!$A$2:$A$367,"&gt;="&amp;MAX(Paramètres!$C26,H$4),Calendrier!$A$2:$A$367,"&lt;="&amp;IF(Paramètres!$D26="",EOMONTH(H$4,0),MIN(Paramètres!$D26,EOMONTH(H$4,0))),Calendrier!$C$2:$C$367,1))</f>
        <v>22</v>
      </c>
      <c r="I20" s="69">
        <f>IF(OR(Paramètres!$A26="",I$3=0),"",COUNTIFS(Calendrier!$A$2:$A$367,"&gt;="&amp;MAX(Paramètres!$C26,I$4),Calendrier!$A$2:$A$367,"&lt;="&amp;IF(Paramètres!$D26="",EOMONTH(I$4,0),MIN(Paramètres!$D26,EOMONTH(I$4,0))),Calendrier!$C$2:$C$367,1))</f>
        <v>0</v>
      </c>
      <c r="J20" s="69">
        <f>IF(OR(Paramètres!$A26="",J$3=0),"",COUNTIFS(Calendrier!$A$2:$A$367,"&gt;="&amp;MAX(Paramètres!$C26,J$4),Calendrier!$A$2:$A$367,"&lt;="&amp;IF(Paramètres!$D26="",EOMONTH(J$4,0),MIN(Paramètres!$D26,EOMONTH(J$4,0))),Calendrier!$C$2:$C$367,1))</f>
        <v>0</v>
      </c>
      <c r="K20" s="69">
        <f>IF(OR(Paramètres!$A26="",K$3=0),"",COUNTIFS(Calendrier!$A$2:$A$367,"&gt;="&amp;MAX(Paramètres!$C26,K$4),Calendrier!$A$2:$A$367,"&lt;="&amp;IF(Paramètres!$D26="",EOMONTH(K$4,0),MIN(Paramètres!$D26,EOMONTH(K$4,0))),Calendrier!$C$2:$C$367,1))</f>
        <v>0</v>
      </c>
      <c r="L20" s="56" t="str">
        <f>IF(OR(Paramètres!$A26="",L$3=0),"",COUNTIFS(Calendrier!$A$2:$A$367,"&gt;="&amp;MAX(Paramètres!$C26,L$4),Calendrier!$A$2:$A$367,"&lt;="&amp;IF(Paramètres!$D26="",EOMONTH(L$4,0),MIN(Paramètres!$D26,EOMONTH(L$4,0))),Calendrier!$C$2:$C$367,1))</f>
        <v/>
      </c>
      <c r="M20" s="56" t="str">
        <f>IF(OR(Paramètres!$A26="",M$3=0),"",COUNTIFS(Calendrier!$A$2:$A$367,"&gt;="&amp;MAX(Paramètres!$C26,M$4),Calendrier!$A$2:$A$367,"&lt;="&amp;IF(Paramètres!$D26="",EOMONTH(M$4,0),MIN(Paramètres!$D26,EOMONTH(M$4,0))),Calendrier!$C$2:$C$367,1))</f>
        <v/>
      </c>
      <c r="N20" s="56" t="str">
        <f>IF(OR(Paramètres!$A26="",N$3=0),"",COUNTIFS(Calendrier!$A$2:$A$367,"&gt;="&amp;MAX(Paramètres!$C26,N$4),Calendrier!$A$2:$A$367,"&lt;="&amp;IF(Paramètres!$D26="",EOMONTH(N$4,0),MIN(Paramètres!$D26,EOMONTH(N$4,0))),Calendrier!$C$2:$C$367,1))</f>
        <v/>
      </c>
      <c r="P20" s="56">
        <f>IF(OR(Paramètres!$A26="",C$3=0),"",COUNTIFS(Journal!$D$2:$D$3001,Paramètres!$A26,Journal!$H$2:$H$3001,"&gt;="&amp;MAX(Paramètres!$C26,C$4),Journal!$H$2:$H$3001,"&lt;="&amp;IF(Paramètres!$D26="",EOMONTH(C$4,0),MIN(Paramètres!$D26,EOMONTH(C$4,0))),Journal!$K$2:$K$3001,1))</f>
        <v>9</v>
      </c>
      <c r="Q20" s="56">
        <f>IF(OR(Paramètres!$A26="",D$3=0),"",COUNTIFS(Journal!$D$2:$D$3001,Paramètres!$A26,Journal!$H$2:$H$3001,"&gt;="&amp;MAX(Paramètres!$C26,D$4),Journal!$H$2:$H$3001,"&lt;="&amp;IF(Paramètres!$D26="",EOMONTH(D$4,0),MIN(Paramètres!$D26,EOMONTH(D$4,0))),Journal!$K$2:$K$3001,1))</f>
        <v>8</v>
      </c>
      <c r="R20" s="56">
        <f>IF(OR(Paramètres!$A26="",E$3=0),"",COUNTIFS(Journal!$D$2:$D$3001,Paramètres!$A26,Journal!$H$2:$H$3001,"&gt;="&amp;MAX(Paramètres!$C26,E$4),Journal!$H$2:$H$3001,"&lt;="&amp;IF(Paramètres!$D26="",EOMONTH(E$4,0),MIN(Paramètres!$D26,EOMONTH(E$4,0))),Journal!$K$2:$K$3001,1))</f>
        <v>9</v>
      </c>
      <c r="S20" s="56">
        <f>IF(OR(Paramètres!$A26="",F$3=0),"",COUNTIFS(Journal!$D$2:$D$3001,Paramètres!$A26,Journal!$H$2:$H$3001,"&gt;="&amp;MAX(Paramètres!$C26,F$4),Journal!$H$2:$H$3001,"&lt;="&amp;IF(Paramètres!$D26="",EOMONTH(F$4,0),MIN(Paramètres!$D26,EOMONTH(F$4,0))),Journal!$K$2:$K$3001,1))</f>
        <v>6</v>
      </c>
      <c r="T20" s="56">
        <f>IF(OR(Paramètres!$A26="",G$3=0),"",COUNTIFS(Journal!$D$2:$D$3001,Paramètres!$A26,Journal!$H$2:$H$3001,"&gt;="&amp;MAX(Paramètres!$C26,G$4),Journal!$H$2:$H$3001,"&lt;="&amp;IF(Paramètres!$D26="",EOMONTH(G$4,0),MIN(Paramètres!$D26,EOMONTH(G$4,0))),Journal!$K$2:$K$3001,1))</f>
        <v>2</v>
      </c>
      <c r="U20" s="56">
        <f>IF(OR(Paramètres!$A26="",H$3=0),"",COUNTIFS(Journal!$D$2:$D$3001,Paramètres!$A26,Journal!$H$2:$H$3001,"&gt;="&amp;MAX(Paramètres!$C26,H$4),Journal!$H$2:$H$3001,"&lt;="&amp;IF(Paramètres!$D26="",EOMONTH(H$4,0),MIN(Paramètres!$D26,EOMONTH(H$4,0))),Journal!$K$2:$K$3001,1))</f>
        <v>8</v>
      </c>
      <c r="V20" s="56">
        <f>IF(OR(Paramètres!$A26="",I$3=0),"",COUNTIFS(Journal!$D$2:$D$3001,Paramètres!$A26,Journal!$H$2:$H$3001,"&gt;="&amp;MAX(Paramètres!$C26,I$4),Journal!$H$2:$H$3001,"&lt;="&amp;IF(Paramètres!$D26="",EOMONTH(I$4,0),MIN(Paramètres!$D26,EOMONTH(I$4,0))),Journal!$K$2:$K$3001,1))</f>
        <v>0</v>
      </c>
      <c r="W20" s="56">
        <f>IF(OR(Paramètres!$A26="",J$3=0),"",COUNTIFS(Journal!$D$2:$D$3001,Paramètres!$A26,Journal!$H$2:$H$3001,"&gt;="&amp;MAX(Paramètres!$C26,J$4),Journal!$H$2:$H$3001,"&lt;="&amp;IF(Paramètres!$D26="",EOMONTH(J$4,0),MIN(Paramètres!$D26,EOMONTH(J$4,0))),Journal!$K$2:$K$3001,1))</f>
        <v>0</v>
      </c>
      <c r="X20" s="56">
        <f>IF(OR(Paramètres!$A26="",K$3=0),"",COUNTIFS(Journal!$D$2:$D$3001,Paramètres!$A26,Journal!$H$2:$H$3001,"&gt;="&amp;MAX(Paramètres!$C26,K$4),Journal!$H$2:$H$3001,"&lt;="&amp;IF(Paramètres!$D26="",EOMONTH(K$4,0),MIN(Paramètres!$D26,EOMONTH(K$4,0))),Journal!$K$2:$K$3001,1))</f>
        <v>0</v>
      </c>
      <c r="Y20" s="56" t="str">
        <f>IF(OR(Paramètres!$A26="",L$3=0),"",COUNTIFS(Journal!$D$2:$D$3001,Paramètres!$A26,Journal!$H$2:$H$3001,"&gt;="&amp;MAX(Paramètres!$C26,L$4),Journal!$H$2:$H$3001,"&lt;="&amp;IF(Paramètres!$D26="",EOMONTH(L$4,0),MIN(Paramètres!$D26,EOMONTH(L$4,0))),Journal!$K$2:$K$3001,1))</f>
        <v/>
      </c>
      <c r="Z20" s="56" t="str">
        <f>IF(OR(Paramètres!$A26="",M$3=0),"",COUNTIFS(Journal!$D$2:$D$3001,Paramètres!$A26,Journal!$H$2:$H$3001,"&gt;="&amp;MAX(Paramètres!$C26,M$4),Journal!$H$2:$H$3001,"&lt;="&amp;IF(Paramètres!$D26="",EOMONTH(M$4,0),MIN(Paramètres!$D26,EOMONTH(M$4,0))),Journal!$K$2:$K$3001,1))</f>
        <v/>
      </c>
      <c r="AA20" s="56" t="str">
        <f>IF(OR(Paramètres!$A26="",N$3=0),"",COUNTIFS(Journal!$D$2:$D$3001,Paramètres!$A26,Journal!$H$2:$H$3001,"&gt;="&amp;MAX(Paramètres!$C26,N$4),Journal!$H$2:$H$3001,"&lt;="&amp;IF(Paramètres!$D26="",EOMONTH(N$4,0),MIN(Paramètres!$D26,EOMONTH(N$4,0))),Journal!$K$2:$K$3001,1))</f>
        <v/>
      </c>
      <c r="AC20" s="57">
        <f t="shared" si="4"/>
        <v>0.42857142857142855</v>
      </c>
      <c r="AD20" s="57">
        <f t="shared" si="5"/>
        <v>0.4</v>
      </c>
      <c r="AE20" s="57">
        <f t="shared" si="6"/>
        <v>0.42857142857142855</v>
      </c>
      <c r="AF20" s="57">
        <f t="shared" si="7"/>
        <v>0.27272727272727271</v>
      </c>
      <c r="AG20" s="57">
        <f t="shared" si="8"/>
        <v>0.11764705882352941</v>
      </c>
      <c r="AH20" s="57">
        <f t="shared" si="9"/>
        <v>0.36363636363636365</v>
      </c>
      <c r="AI20" s="57" t="str">
        <f t="shared" si="10"/>
        <v/>
      </c>
      <c r="AJ20" s="57" t="str">
        <f t="shared" si="11"/>
        <v/>
      </c>
      <c r="AK20" s="57" t="str">
        <f t="shared" si="12"/>
        <v/>
      </c>
      <c r="AL20" s="57" t="str">
        <f t="shared" si="13"/>
        <v/>
      </c>
      <c r="AM20" s="57" t="str">
        <f t="shared" si="14"/>
        <v/>
      </c>
      <c r="AN20" s="57" t="str">
        <f t="shared" si="15"/>
        <v/>
      </c>
      <c r="AP20" s="57">
        <f>IF(C20="","",IF(C20=0,"",MIN(1,P20/MAX(1,ROUND(C20*Paramètres!$E26/5,0)))))</f>
        <v>0.42857142857142855</v>
      </c>
      <c r="AQ20" s="57">
        <f>IF(D20="","",IF(D20=0,"",MIN(1,Q20/MAX(1,ROUND(D20*Paramètres!$E26/5,0)))))</f>
        <v>0.4</v>
      </c>
      <c r="AR20" s="57">
        <f>IF(E20="","",IF(E20=0,"",MIN(1,R20/MAX(1,ROUND(E20*Paramètres!$E26/5,0)))))</f>
        <v>0.42857142857142855</v>
      </c>
      <c r="AS20" s="57">
        <f>IF(F20="","",IF(F20=0,"",MIN(1,S20/MAX(1,ROUND(F20*Paramètres!$E26/5,0)))))</f>
        <v>0.27272727272727271</v>
      </c>
      <c r="AT20" s="57">
        <f>IF(G20="","",IF(G20=0,"",MIN(1,T20/MAX(1,ROUND(G20*Paramètres!$E26/5,0)))))</f>
        <v>0.11764705882352941</v>
      </c>
      <c r="AU20" s="57">
        <f>IF(H20="","",IF(H20=0,"",MIN(1,U20/MAX(1,ROUND(H20*Paramètres!$E26/5,0)))))</f>
        <v>0.36363636363636365</v>
      </c>
      <c r="AV20" s="57" t="str">
        <f>IF(I20="","",IF(I20=0,"",MIN(1,V20/MAX(1,ROUND(I20*Paramètres!$E26/5,0)))))</f>
        <v/>
      </c>
      <c r="AW20" s="57" t="str">
        <f>IF(J20="","",IF(J20=0,"",MIN(1,W20/MAX(1,ROUND(J20*Paramètres!$E26/5,0)))))</f>
        <v/>
      </c>
      <c r="AX20" s="57" t="str">
        <f>IF(K20="","",IF(K20=0,"",MIN(1,X20/MAX(1,ROUND(K20*Paramètres!$E26/5,0)))))</f>
        <v/>
      </c>
      <c r="AY20" s="57" t="str">
        <f>IF(L20="","",IF(L20=0,"",MIN(1,Y20/MAX(1,ROUND(L20*Paramètres!$E26/5,0)))))</f>
        <v/>
      </c>
      <c r="AZ20" s="57" t="str">
        <f>IF(M20="","",IF(M20=0,"",MIN(1,Z20/MAX(1,ROUND(M20*Paramètres!$E26/5,0)))))</f>
        <v/>
      </c>
      <c r="BA20" s="57" t="str">
        <f>IF(N20="","",IF(N20=0,"",MIN(1,AA20/MAX(1,ROUND(N20*Paramètres!$E26/5,0)))))</f>
        <v/>
      </c>
      <c r="BC20" s="56">
        <f t="shared" si="16"/>
        <v>0</v>
      </c>
      <c r="BD20" s="56" t="str">
        <f t="shared" si="17"/>
        <v/>
      </c>
      <c r="BE20" s="56" t="str">
        <f t="shared" si="18"/>
        <v/>
      </c>
      <c r="BF20" s="56" t="str">
        <f t="shared" si="19"/>
        <v/>
      </c>
    </row>
    <row r="21" spans="1:58" x14ac:dyDescent="0.25">
      <c r="A21" s="56" t="str">
        <f>IF(Paramètres!A27="","",Paramètres!A27)</f>
        <v>Wissem Ben Abdalah</v>
      </c>
      <c r="C21" s="56">
        <f>IF(OR(Paramètres!$A27="",C$3=0),"",COUNTIFS(Calendrier!$A$2:$A$367,"&gt;="&amp;MAX(Paramètres!$C27,C$4),Calendrier!$A$2:$A$367,"&lt;="&amp;IF(Paramètres!$D27="",EOMONTH(C$4,0),MIN(Paramètres!$D27,EOMONTH(C$4,0))),Calendrier!$C$2:$C$367,1))</f>
        <v>21</v>
      </c>
      <c r="D21" s="56">
        <f>IF(OR(Paramètres!$A27="",D$3=0),"",COUNTIFS(Calendrier!$A$2:$A$367,"&gt;="&amp;MAX(Paramètres!$C27,D$4),Calendrier!$A$2:$A$367,"&lt;="&amp;IF(Paramètres!$D27="",EOMONTH(D$4,0),MIN(Paramètres!$D27,EOMONTH(D$4,0))),Calendrier!$C$2:$C$367,1))</f>
        <v>20</v>
      </c>
      <c r="E21" s="56">
        <f>IF(OR(Paramètres!$A27="",E$3=0),"",COUNTIFS(Calendrier!$A$2:$A$367,"&gt;="&amp;MAX(Paramètres!$C27,E$4),Calendrier!$A$2:$A$367,"&lt;="&amp;IF(Paramètres!$D27="",EOMONTH(E$4,0),MIN(Paramètres!$D27,EOMONTH(E$4,0))),Calendrier!$C$2:$C$367,1))</f>
        <v>21</v>
      </c>
      <c r="F21" s="56">
        <f>IF(OR(Paramètres!$A27="",F$3=0),"",COUNTIFS(Calendrier!$A$2:$A$367,"&gt;="&amp;MAX(Paramètres!$C27,F$4),Calendrier!$A$2:$A$367,"&lt;="&amp;IF(Paramètres!$D27="",EOMONTH(F$4,0),MIN(Paramètres!$D27,EOMONTH(F$4,0))),Calendrier!$C$2:$C$367,1))</f>
        <v>22</v>
      </c>
      <c r="G21" s="56">
        <f>IF(OR(Paramètres!$A27="",G$3=0),"",COUNTIFS(Calendrier!$A$2:$A$367,"&gt;="&amp;MAX(Paramètres!$C27,G$4),Calendrier!$A$2:$A$367,"&lt;="&amp;IF(Paramètres!$D27="",EOMONTH(G$4,0),MIN(Paramètres!$D27,EOMONTH(G$4,0))),Calendrier!$C$2:$C$367,1))</f>
        <v>17</v>
      </c>
      <c r="H21" s="56">
        <f>IF(OR(Paramètres!$A27="",H$3=0),"",COUNTIFS(Calendrier!$A$2:$A$367,"&gt;="&amp;MAX(Paramètres!$C27,H$4),Calendrier!$A$2:$A$367,"&lt;="&amp;IF(Paramètres!$D27="",EOMONTH(H$4,0),MIN(Paramètres!$D27,EOMONTH(H$4,0))),Calendrier!$C$2:$C$367,1))</f>
        <v>22</v>
      </c>
      <c r="I21" s="56">
        <f>IF(OR(Paramètres!$A27="",I$3=0),"",COUNTIFS(Calendrier!$A$2:$A$367,"&gt;="&amp;MAX(Paramètres!$C27,I$4),Calendrier!$A$2:$A$367,"&lt;="&amp;IF(Paramètres!$D27="",EOMONTH(I$4,0),MIN(Paramètres!$D27,EOMONTH(I$4,0))),Calendrier!$C$2:$C$367,1))</f>
        <v>23</v>
      </c>
      <c r="J21" s="56">
        <f>IF(OR(Paramètres!$A27="",J$3=0),"",COUNTIFS(Calendrier!$A$2:$A$367,"&gt;="&amp;MAX(Paramètres!$C27,J$4),Calendrier!$A$2:$A$367,"&lt;="&amp;IF(Paramètres!$D27="",EOMONTH(J$4,0),MIN(Paramètres!$D27,EOMONTH(J$4,0))),Calendrier!$C$2:$C$367,1))</f>
        <v>8</v>
      </c>
      <c r="K21" s="56">
        <f>IF(OR(Paramètres!$A27="",K$3=0),"",COUNTIFS(Calendrier!$A$2:$A$367,"&gt;="&amp;MAX(Paramètres!$C27,K$4),Calendrier!$A$2:$A$367,"&lt;="&amp;IF(Paramètres!$D27="",EOMONTH(K$4,0),MIN(Paramètres!$D27,EOMONTH(K$4,0))),Calendrier!$C$2:$C$367,1))</f>
        <v>22</v>
      </c>
      <c r="L21" s="56" t="str">
        <f>IF(OR(Paramètres!$A27="",L$3=0),"",COUNTIFS(Calendrier!$A$2:$A$367,"&gt;="&amp;MAX(Paramètres!$C27,L$4),Calendrier!$A$2:$A$367,"&lt;="&amp;IF(Paramètres!$D27="",EOMONTH(L$4,0),MIN(Paramètres!$D27,EOMONTH(L$4,0))),Calendrier!$C$2:$C$367,1))</f>
        <v/>
      </c>
      <c r="M21" s="56" t="str">
        <f>IF(OR(Paramètres!$A27="",M$3=0),"",COUNTIFS(Calendrier!$A$2:$A$367,"&gt;="&amp;MAX(Paramètres!$C27,M$4),Calendrier!$A$2:$A$367,"&lt;="&amp;IF(Paramètres!$D27="",EOMONTH(M$4,0),MIN(Paramètres!$D27,EOMONTH(M$4,0))),Calendrier!$C$2:$C$367,1))</f>
        <v/>
      </c>
      <c r="N21" s="56" t="str">
        <f>IF(OR(Paramètres!$A27="",N$3=0),"",COUNTIFS(Calendrier!$A$2:$A$367,"&gt;="&amp;MAX(Paramètres!$C27,N$4),Calendrier!$A$2:$A$367,"&lt;="&amp;IF(Paramètres!$D27="",EOMONTH(N$4,0),MIN(Paramètres!$D27,EOMONTH(N$4,0))),Calendrier!$C$2:$C$367,1))</f>
        <v/>
      </c>
      <c r="P21" s="56">
        <f>IF(OR(Paramètres!$A27="",C$3=0),"",COUNTIFS(Journal!$D$2:$D$3001,Paramètres!$A27,Journal!$H$2:$H$3001,"&gt;="&amp;MAX(Paramètres!$C27,C$4),Journal!$H$2:$H$3001,"&lt;="&amp;IF(Paramètres!$D27="",EOMONTH(C$4,0),MIN(Paramètres!$D27,EOMONTH(C$4,0))),Journal!$K$2:$K$3001,1))</f>
        <v>0</v>
      </c>
      <c r="Q21" s="56">
        <f>IF(OR(Paramètres!$A27="",D$3=0),"",COUNTIFS(Journal!$D$2:$D$3001,Paramètres!$A27,Journal!$H$2:$H$3001,"&gt;="&amp;MAX(Paramètres!$C27,D$4),Journal!$H$2:$H$3001,"&lt;="&amp;IF(Paramètres!$D27="",EOMONTH(D$4,0),MIN(Paramètres!$D27,EOMONTH(D$4,0))),Journal!$K$2:$K$3001,1))</f>
        <v>1</v>
      </c>
      <c r="R21" s="56">
        <f>IF(OR(Paramètres!$A27="",E$3=0),"",COUNTIFS(Journal!$D$2:$D$3001,Paramètres!$A27,Journal!$H$2:$H$3001,"&gt;="&amp;MAX(Paramètres!$C27,E$4),Journal!$H$2:$H$3001,"&lt;="&amp;IF(Paramètres!$D27="",EOMONTH(E$4,0),MIN(Paramètres!$D27,EOMONTH(E$4,0))),Journal!$K$2:$K$3001,1))</f>
        <v>1</v>
      </c>
      <c r="S21" s="56">
        <f>IF(OR(Paramètres!$A27="",F$3=0),"",COUNTIFS(Journal!$D$2:$D$3001,Paramètres!$A27,Journal!$H$2:$H$3001,"&gt;="&amp;MAX(Paramètres!$C27,F$4),Journal!$H$2:$H$3001,"&lt;="&amp;IF(Paramètres!$D27="",EOMONTH(F$4,0),MIN(Paramètres!$D27,EOMONTH(F$4,0))),Journal!$K$2:$K$3001,1))</f>
        <v>0</v>
      </c>
      <c r="T21" s="56">
        <f>IF(OR(Paramètres!$A27="",G$3=0),"",COUNTIFS(Journal!$D$2:$D$3001,Paramètres!$A27,Journal!$H$2:$H$3001,"&gt;="&amp;MAX(Paramètres!$C27,G$4),Journal!$H$2:$H$3001,"&lt;="&amp;IF(Paramètres!$D27="",EOMONTH(G$4,0),MIN(Paramètres!$D27,EOMONTH(G$4,0))),Journal!$K$2:$K$3001,1))</f>
        <v>1</v>
      </c>
      <c r="U21" s="56">
        <f>IF(OR(Paramètres!$A27="",H$3=0),"",COUNTIFS(Journal!$D$2:$D$3001,Paramètres!$A27,Journal!$H$2:$H$3001,"&gt;="&amp;MAX(Paramètres!$C27,H$4),Journal!$H$2:$H$3001,"&lt;="&amp;IF(Paramètres!$D27="",EOMONTH(H$4,0),MIN(Paramètres!$D27,EOMONTH(H$4,0))),Journal!$K$2:$K$3001,1))</f>
        <v>2</v>
      </c>
      <c r="V21" s="56">
        <f>IF(OR(Paramètres!$A27="",I$3=0),"",COUNTIFS(Journal!$D$2:$D$3001,Paramètres!$A27,Journal!$H$2:$H$3001,"&gt;="&amp;MAX(Paramètres!$C27,I$4),Journal!$H$2:$H$3001,"&lt;="&amp;IF(Paramètres!$D27="",EOMONTH(I$4,0),MIN(Paramètres!$D27,EOMONTH(I$4,0))),Journal!$K$2:$K$3001,1))</f>
        <v>0</v>
      </c>
      <c r="W21" s="56">
        <f>IF(OR(Paramètres!$A27="",J$3=0),"",COUNTIFS(Journal!$D$2:$D$3001,Paramètres!$A27,Journal!$H$2:$H$3001,"&gt;="&amp;MAX(Paramètres!$C27,J$4),Journal!$H$2:$H$3001,"&lt;="&amp;IF(Paramètres!$D27="",EOMONTH(J$4,0),MIN(Paramètres!$D27,EOMONTH(J$4,0))),Journal!$K$2:$K$3001,1))</f>
        <v>1</v>
      </c>
      <c r="X21" s="56">
        <f>IF(OR(Paramètres!$A27="",K$3=0),"",COUNTIFS(Journal!$D$2:$D$3001,Paramètres!$A27,Journal!$H$2:$H$3001,"&gt;="&amp;MAX(Paramètres!$C27,K$4),Journal!$H$2:$H$3001,"&lt;="&amp;IF(Paramètres!$D27="",EOMONTH(K$4,0),MIN(Paramètres!$D27,EOMONTH(K$4,0))),Journal!$K$2:$K$3001,1))</f>
        <v>0</v>
      </c>
      <c r="Y21" s="56" t="str">
        <f>IF(OR(Paramètres!$A27="",L$3=0),"",COUNTIFS(Journal!$D$2:$D$3001,Paramètres!$A27,Journal!$H$2:$H$3001,"&gt;="&amp;MAX(Paramètres!$C27,L$4),Journal!$H$2:$H$3001,"&lt;="&amp;IF(Paramètres!$D27="",EOMONTH(L$4,0),MIN(Paramètres!$D27,EOMONTH(L$4,0))),Journal!$K$2:$K$3001,1))</f>
        <v/>
      </c>
      <c r="Z21" s="56" t="str">
        <f>IF(OR(Paramètres!$A27="",M$3=0),"",COUNTIFS(Journal!$D$2:$D$3001,Paramètres!$A27,Journal!$H$2:$H$3001,"&gt;="&amp;MAX(Paramètres!$C27,M$4),Journal!$H$2:$H$3001,"&lt;="&amp;IF(Paramètres!$D27="",EOMONTH(M$4,0),MIN(Paramètres!$D27,EOMONTH(M$4,0))),Journal!$K$2:$K$3001,1))</f>
        <v/>
      </c>
      <c r="AA21" s="56" t="str">
        <f>IF(OR(Paramètres!$A27="",N$3=0),"",COUNTIFS(Journal!$D$2:$D$3001,Paramètres!$A27,Journal!$H$2:$H$3001,"&gt;="&amp;MAX(Paramètres!$C27,N$4),Journal!$H$2:$H$3001,"&lt;="&amp;IF(Paramètres!$D27="",EOMONTH(N$4,0),MIN(Paramètres!$D27,EOMONTH(N$4,0))),Journal!$K$2:$K$3001,1))</f>
        <v/>
      </c>
      <c r="AC21" s="57">
        <f t="shared" si="4"/>
        <v>0</v>
      </c>
      <c r="AD21" s="57">
        <f t="shared" si="5"/>
        <v>0.05</v>
      </c>
      <c r="AE21" s="57">
        <f t="shared" si="6"/>
        <v>4.7619047619047616E-2</v>
      </c>
      <c r="AF21" s="57">
        <f t="shared" si="7"/>
        <v>0</v>
      </c>
      <c r="AG21" s="57">
        <f t="shared" si="8"/>
        <v>5.8823529411764705E-2</v>
      </c>
      <c r="AH21" s="57">
        <f t="shared" si="9"/>
        <v>9.0909090909090912E-2</v>
      </c>
      <c r="AI21" s="57">
        <f t="shared" si="10"/>
        <v>0</v>
      </c>
      <c r="AJ21" s="57">
        <f t="shared" si="11"/>
        <v>0.125</v>
      </c>
      <c r="AK21" s="57">
        <f t="shared" si="12"/>
        <v>0</v>
      </c>
      <c r="AL21" s="57" t="str">
        <f t="shared" si="13"/>
        <v/>
      </c>
      <c r="AM21" s="57" t="str">
        <f t="shared" si="14"/>
        <v/>
      </c>
      <c r="AN21" s="57" t="str">
        <f t="shared" si="15"/>
        <v/>
      </c>
      <c r="AP21" s="57">
        <f>IF(C21="","",IF(C21=0,"",MIN(1,P21/MAX(1,ROUND(C21*Paramètres!$E27/5,0)))))</f>
        <v>0</v>
      </c>
      <c r="AQ21" s="57">
        <f>IF(D21="","",IF(D21=0,"",MIN(1,Q21/MAX(1,ROUND(D21*Paramètres!$E27/5,0)))))</f>
        <v>0.05</v>
      </c>
      <c r="AR21" s="57">
        <f>IF(E21="","",IF(E21=0,"",MIN(1,R21/MAX(1,ROUND(E21*Paramètres!$E27/5,0)))))</f>
        <v>4.7619047619047616E-2</v>
      </c>
      <c r="AS21" s="57">
        <f>IF(F21="","",IF(F21=0,"",MIN(1,S21/MAX(1,ROUND(F21*Paramètres!$E27/5,0)))))</f>
        <v>0</v>
      </c>
      <c r="AT21" s="57">
        <f>IF(G21="","",IF(G21=0,"",MIN(1,T21/MAX(1,ROUND(G21*Paramètres!$E27/5,0)))))</f>
        <v>5.8823529411764705E-2</v>
      </c>
      <c r="AU21" s="57">
        <f>IF(H21="","",IF(H21=0,"",MIN(1,U21/MAX(1,ROUND(H21*Paramètres!$E27/5,0)))))</f>
        <v>9.0909090909090912E-2</v>
      </c>
      <c r="AV21" s="57">
        <f>IF(I21="","",IF(I21=0,"",MIN(1,V21/MAX(1,ROUND(I21*Paramètres!$E27/5,0)))))</f>
        <v>0</v>
      </c>
      <c r="AW21" s="57">
        <f>IF(J21="","",IF(J21=0,"",MIN(1,W21/MAX(1,ROUND(J21*Paramètres!$E27/5,0)))))</f>
        <v>0.125</v>
      </c>
      <c r="AX21" s="57">
        <f>IF(K21="","",IF(K21=0,"",MIN(1,X21/MAX(1,ROUND(K21*Paramètres!$E27/5,0)))))</f>
        <v>0</v>
      </c>
      <c r="AY21" s="57" t="str">
        <f>IF(L21="","",IF(L21=0,"",MIN(1,Y21/MAX(1,ROUND(L21*Paramètres!$E27/5,0)))))</f>
        <v/>
      </c>
      <c r="AZ21" s="57" t="str">
        <f>IF(M21="","",IF(M21=0,"",MIN(1,Z21/MAX(1,ROUND(M21*Paramètres!$E27/5,0)))))</f>
        <v/>
      </c>
      <c r="BA21" s="57" t="str">
        <f>IF(N21="","",IF(N21=0,"",MIN(1,AA21/MAX(1,ROUND(N21*Paramètres!$E27/5,0)))))</f>
        <v/>
      </c>
      <c r="BC21" s="56">
        <f t="shared" si="16"/>
        <v>1</v>
      </c>
      <c r="BD21" s="57">
        <f t="shared" si="17"/>
        <v>0</v>
      </c>
      <c r="BE21" s="56">
        <f t="shared" si="18"/>
        <v>2.0999999999999999E-5</v>
      </c>
      <c r="BF21" s="56">
        <f t="shared" si="19"/>
        <v>13</v>
      </c>
    </row>
    <row r="22" spans="1:58" x14ac:dyDescent="0.25">
      <c r="A22" s="56" t="str">
        <f>IF(Paramètres!A28="","",Paramètres!A28)</f>
        <v>Zouhour Fathallah</v>
      </c>
      <c r="C22" s="56">
        <f>IF(OR(Paramètres!$A28="",C$3=0),"",COUNTIFS(Calendrier!$A$2:$A$367,"&gt;="&amp;MAX(Paramètres!$C28,C$4),Calendrier!$A$2:$A$367,"&lt;="&amp;IF(Paramètres!$D28="",EOMONTH(C$4,0),MIN(Paramètres!$D28,EOMONTH(C$4,0))),Calendrier!$C$2:$C$367,1))</f>
        <v>21</v>
      </c>
      <c r="D22" s="56">
        <f>IF(OR(Paramètres!$A28="",D$3=0),"",COUNTIFS(Calendrier!$A$2:$A$367,"&gt;="&amp;MAX(Paramètres!$C28,D$4),Calendrier!$A$2:$A$367,"&lt;="&amp;IF(Paramètres!$D28="",EOMONTH(D$4,0),MIN(Paramètres!$D28,EOMONTH(D$4,0))),Calendrier!$C$2:$C$367,1))</f>
        <v>20</v>
      </c>
      <c r="E22" s="56">
        <f>IF(OR(Paramètres!$A28="",E$3=0),"",COUNTIFS(Calendrier!$A$2:$A$367,"&gt;="&amp;MAX(Paramètres!$C28,E$4),Calendrier!$A$2:$A$367,"&lt;="&amp;IF(Paramètres!$D28="",EOMONTH(E$4,0),MIN(Paramètres!$D28,EOMONTH(E$4,0))),Calendrier!$C$2:$C$367,1))</f>
        <v>21</v>
      </c>
      <c r="F22" s="56">
        <f>IF(OR(Paramètres!$A28="",F$3=0),"",COUNTIFS(Calendrier!$A$2:$A$367,"&gt;="&amp;MAX(Paramètres!$C28,F$4),Calendrier!$A$2:$A$367,"&lt;="&amp;IF(Paramètres!$D28="",EOMONTH(F$4,0),MIN(Paramètres!$D28,EOMONTH(F$4,0))),Calendrier!$C$2:$C$367,1))</f>
        <v>22</v>
      </c>
      <c r="G22" s="56">
        <f>IF(OR(Paramètres!$A28="",G$3=0),"",COUNTIFS(Calendrier!$A$2:$A$367,"&gt;="&amp;MAX(Paramètres!$C28,G$4),Calendrier!$A$2:$A$367,"&lt;="&amp;IF(Paramètres!$D28="",EOMONTH(G$4,0),MIN(Paramètres!$D28,EOMONTH(G$4,0))),Calendrier!$C$2:$C$367,1))</f>
        <v>17</v>
      </c>
      <c r="H22" s="56">
        <f>IF(OR(Paramètres!$A28="",H$3=0),"",COUNTIFS(Calendrier!$A$2:$A$367,"&gt;="&amp;MAX(Paramètres!$C28,H$4),Calendrier!$A$2:$A$367,"&lt;="&amp;IF(Paramètres!$D28="",EOMONTH(H$4,0),MIN(Paramètres!$D28,EOMONTH(H$4,0))),Calendrier!$C$2:$C$367,1))</f>
        <v>22</v>
      </c>
      <c r="I22" s="56">
        <f>IF(OR(Paramètres!$A28="",I$3=0),"",COUNTIFS(Calendrier!$A$2:$A$367,"&gt;="&amp;MAX(Paramètres!$C28,I$4),Calendrier!$A$2:$A$367,"&lt;="&amp;IF(Paramètres!$D28="",EOMONTH(I$4,0),MIN(Paramètres!$D28,EOMONTH(I$4,0))),Calendrier!$C$2:$C$367,1))</f>
        <v>23</v>
      </c>
      <c r="J22" s="56">
        <f>IF(OR(Paramètres!$A28="",J$3=0),"",COUNTIFS(Calendrier!$A$2:$A$367,"&gt;="&amp;MAX(Paramètres!$C28,J$4),Calendrier!$A$2:$A$367,"&lt;="&amp;IF(Paramètres!$D28="",EOMONTH(J$4,0),MIN(Paramètres!$D28,EOMONTH(J$4,0))),Calendrier!$C$2:$C$367,1))</f>
        <v>8</v>
      </c>
      <c r="K22" s="56">
        <f>IF(OR(Paramètres!$A28="",K$3=0),"",COUNTIFS(Calendrier!$A$2:$A$367,"&gt;="&amp;MAX(Paramètres!$C28,K$4),Calendrier!$A$2:$A$367,"&lt;="&amp;IF(Paramètres!$D28="",EOMONTH(K$4,0),MIN(Paramètres!$D28,EOMONTH(K$4,0))),Calendrier!$C$2:$C$367,1))</f>
        <v>22</v>
      </c>
      <c r="L22" s="56" t="str">
        <f>IF(OR(Paramètres!$A28="",L$3=0),"",COUNTIFS(Calendrier!$A$2:$A$367,"&gt;="&amp;MAX(Paramètres!$C28,L$4),Calendrier!$A$2:$A$367,"&lt;="&amp;IF(Paramètres!$D28="",EOMONTH(L$4,0),MIN(Paramètres!$D28,EOMONTH(L$4,0))),Calendrier!$C$2:$C$367,1))</f>
        <v/>
      </c>
      <c r="M22" s="56" t="str">
        <f>IF(OR(Paramètres!$A28="",M$3=0),"",COUNTIFS(Calendrier!$A$2:$A$367,"&gt;="&amp;MAX(Paramètres!$C28,M$4),Calendrier!$A$2:$A$367,"&lt;="&amp;IF(Paramètres!$D28="",EOMONTH(M$4,0),MIN(Paramètres!$D28,EOMONTH(M$4,0))),Calendrier!$C$2:$C$367,1))</f>
        <v/>
      </c>
      <c r="N22" s="56" t="str">
        <f>IF(OR(Paramètres!$A28="",N$3=0),"",COUNTIFS(Calendrier!$A$2:$A$367,"&gt;="&amp;MAX(Paramètres!$C28,N$4),Calendrier!$A$2:$A$367,"&lt;="&amp;IF(Paramètres!$D28="",EOMONTH(N$4,0),MIN(Paramètres!$D28,EOMONTH(N$4,0))),Calendrier!$C$2:$C$367,1))</f>
        <v/>
      </c>
      <c r="P22" s="56">
        <f>IF(OR(Paramètres!$A28="",C$3=0),"",COUNTIFS(Journal!$D$2:$D$3001,Paramètres!$A28,Journal!$H$2:$H$3001,"&gt;="&amp;MAX(Paramètres!$C28,C$4),Journal!$H$2:$H$3001,"&lt;="&amp;IF(Paramètres!$D28="",EOMONTH(C$4,0),MIN(Paramètres!$D28,EOMONTH(C$4,0))),Journal!$K$2:$K$3001,1))</f>
        <v>7</v>
      </c>
      <c r="Q22" s="56">
        <f>IF(OR(Paramètres!$A28="",D$3=0),"",COUNTIFS(Journal!$D$2:$D$3001,Paramètres!$A28,Journal!$H$2:$H$3001,"&gt;="&amp;MAX(Paramètres!$C28,D$4),Journal!$H$2:$H$3001,"&lt;="&amp;IF(Paramètres!$D28="",EOMONTH(D$4,0),MIN(Paramètres!$D28,EOMONTH(D$4,0))),Journal!$K$2:$K$3001,1))</f>
        <v>11</v>
      </c>
      <c r="R22" s="56">
        <f>IF(OR(Paramètres!$A28="",E$3=0),"",COUNTIFS(Journal!$D$2:$D$3001,Paramètres!$A28,Journal!$H$2:$H$3001,"&gt;="&amp;MAX(Paramètres!$C28,E$4),Journal!$H$2:$H$3001,"&lt;="&amp;IF(Paramètres!$D28="",EOMONTH(E$4,0),MIN(Paramètres!$D28,EOMONTH(E$4,0))),Journal!$K$2:$K$3001,1))</f>
        <v>11</v>
      </c>
      <c r="S22" s="56">
        <f>IF(OR(Paramètres!$A28="",F$3=0),"",COUNTIFS(Journal!$D$2:$D$3001,Paramètres!$A28,Journal!$H$2:$H$3001,"&gt;="&amp;MAX(Paramètres!$C28,F$4),Journal!$H$2:$H$3001,"&lt;="&amp;IF(Paramètres!$D28="",EOMONTH(F$4,0),MIN(Paramètres!$D28,EOMONTH(F$4,0))),Journal!$K$2:$K$3001,1))</f>
        <v>3</v>
      </c>
      <c r="T22" s="56">
        <f>IF(OR(Paramètres!$A28="",G$3=0),"",COUNTIFS(Journal!$D$2:$D$3001,Paramètres!$A28,Journal!$H$2:$H$3001,"&gt;="&amp;MAX(Paramètres!$C28,G$4),Journal!$H$2:$H$3001,"&lt;="&amp;IF(Paramètres!$D28="",EOMONTH(G$4,0),MIN(Paramètres!$D28,EOMONTH(G$4,0))),Journal!$K$2:$K$3001,1))</f>
        <v>5</v>
      </c>
      <c r="U22" s="56">
        <f>IF(OR(Paramètres!$A28="",H$3=0),"",COUNTIFS(Journal!$D$2:$D$3001,Paramètres!$A28,Journal!$H$2:$H$3001,"&gt;="&amp;MAX(Paramètres!$C28,H$4),Journal!$H$2:$H$3001,"&lt;="&amp;IF(Paramètres!$D28="",EOMONTH(H$4,0),MIN(Paramètres!$D28,EOMONTH(H$4,0))),Journal!$K$2:$K$3001,1))</f>
        <v>6</v>
      </c>
      <c r="V22" s="56">
        <f>IF(OR(Paramètres!$A28="",I$3=0),"",COUNTIFS(Journal!$D$2:$D$3001,Paramètres!$A28,Journal!$H$2:$H$3001,"&gt;="&amp;MAX(Paramètres!$C28,I$4),Journal!$H$2:$H$3001,"&lt;="&amp;IF(Paramètres!$D28="",EOMONTH(I$4,0),MIN(Paramètres!$D28,EOMONTH(I$4,0))),Journal!$K$2:$K$3001,1))</f>
        <v>11</v>
      </c>
      <c r="W22" s="56">
        <f>IF(OR(Paramètres!$A28="",J$3=0),"",COUNTIFS(Journal!$D$2:$D$3001,Paramètres!$A28,Journal!$H$2:$H$3001,"&gt;="&amp;MAX(Paramètres!$C28,J$4),Journal!$H$2:$H$3001,"&lt;="&amp;IF(Paramètres!$D28="",EOMONTH(J$4,0),MIN(Paramètres!$D28,EOMONTH(J$4,0))),Journal!$K$2:$K$3001,1))</f>
        <v>4</v>
      </c>
      <c r="X22" s="56">
        <f>IF(OR(Paramètres!$A28="",K$3=0),"",COUNTIFS(Journal!$D$2:$D$3001,Paramètres!$A28,Journal!$H$2:$H$3001,"&gt;="&amp;MAX(Paramètres!$C28,K$4),Journal!$H$2:$H$3001,"&lt;="&amp;IF(Paramètres!$D28="",EOMONTH(K$4,0),MIN(Paramètres!$D28,EOMONTH(K$4,0))),Journal!$K$2:$K$3001,1))</f>
        <v>7</v>
      </c>
      <c r="Y22" s="56" t="str">
        <f>IF(OR(Paramètres!$A28="",L$3=0),"",COUNTIFS(Journal!$D$2:$D$3001,Paramètres!$A28,Journal!$H$2:$H$3001,"&gt;="&amp;MAX(Paramètres!$C28,L$4),Journal!$H$2:$H$3001,"&lt;="&amp;IF(Paramètres!$D28="",EOMONTH(L$4,0),MIN(Paramètres!$D28,EOMONTH(L$4,0))),Journal!$K$2:$K$3001,1))</f>
        <v/>
      </c>
      <c r="Z22" s="56" t="str">
        <f>IF(OR(Paramètres!$A28="",M$3=0),"",COUNTIFS(Journal!$D$2:$D$3001,Paramètres!$A28,Journal!$H$2:$H$3001,"&gt;="&amp;MAX(Paramètres!$C28,M$4),Journal!$H$2:$H$3001,"&lt;="&amp;IF(Paramètres!$D28="",EOMONTH(M$4,0),MIN(Paramètres!$D28,EOMONTH(M$4,0))),Journal!$K$2:$K$3001,1))</f>
        <v/>
      </c>
      <c r="AA22" s="56" t="str">
        <f>IF(OR(Paramètres!$A28="",N$3=0),"",COUNTIFS(Journal!$D$2:$D$3001,Paramètres!$A28,Journal!$H$2:$H$3001,"&gt;="&amp;MAX(Paramètres!$C28,N$4),Journal!$H$2:$H$3001,"&lt;="&amp;IF(Paramètres!$D28="",EOMONTH(N$4,0),MIN(Paramètres!$D28,EOMONTH(N$4,0))),Journal!$K$2:$K$3001,1))</f>
        <v/>
      </c>
      <c r="AC22" s="57">
        <f t="shared" si="4"/>
        <v>0.33333333333333331</v>
      </c>
      <c r="AD22" s="57">
        <f t="shared" si="5"/>
        <v>0.55000000000000004</v>
      </c>
      <c r="AE22" s="57">
        <f t="shared" si="6"/>
        <v>0.52380952380952384</v>
      </c>
      <c r="AF22" s="57">
        <f t="shared" si="7"/>
        <v>0.13636363636363635</v>
      </c>
      <c r="AG22" s="57">
        <f t="shared" si="8"/>
        <v>0.29411764705882354</v>
      </c>
      <c r="AH22" s="57">
        <f t="shared" si="9"/>
        <v>0.27272727272727271</v>
      </c>
      <c r="AI22" s="57">
        <f t="shared" si="10"/>
        <v>0.47826086956521741</v>
      </c>
      <c r="AJ22" s="57">
        <f t="shared" si="11"/>
        <v>0.5</v>
      </c>
      <c r="AK22" s="57">
        <f t="shared" si="12"/>
        <v>0.31818181818181818</v>
      </c>
      <c r="AL22" s="57" t="str">
        <f t="shared" si="13"/>
        <v/>
      </c>
      <c r="AM22" s="57" t="str">
        <f t="shared" si="14"/>
        <v/>
      </c>
      <c r="AN22" s="57" t="str">
        <f t="shared" si="15"/>
        <v/>
      </c>
      <c r="AP22" s="57">
        <f>IF(C22="","",IF(C22=0,"",MIN(1,P22/MAX(1,ROUND(C22*Paramètres!$E28/5,0)))))</f>
        <v>0.33333333333333331</v>
      </c>
      <c r="AQ22" s="57">
        <f>IF(D22="","",IF(D22=0,"",MIN(1,Q22/MAX(1,ROUND(D22*Paramètres!$E28/5,0)))))</f>
        <v>0.55000000000000004</v>
      </c>
      <c r="AR22" s="57">
        <f>IF(E22="","",IF(E22=0,"",MIN(1,R22/MAX(1,ROUND(E22*Paramètres!$E28/5,0)))))</f>
        <v>0.52380952380952384</v>
      </c>
      <c r="AS22" s="57">
        <f>IF(F22="","",IF(F22=0,"",MIN(1,S22/MAX(1,ROUND(F22*Paramètres!$E28/5,0)))))</f>
        <v>0.13636363636363635</v>
      </c>
      <c r="AT22" s="57">
        <f>IF(G22="","",IF(G22=0,"",MIN(1,T22/MAX(1,ROUND(G22*Paramètres!$E28/5,0)))))</f>
        <v>0.29411764705882354</v>
      </c>
      <c r="AU22" s="57">
        <f>IF(H22="","",IF(H22=0,"",MIN(1,U22/MAX(1,ROUND(H22*Paramètres!$E28/5,0)))))</f>
        <v>0.27272727272727271</v>
      </c>
      <c r="AV22" s="57">
        <f>IF(I22="","",IF(I22=0,"",MIN(1,V22/MAX(1,ROUND(I22*Paramètres!$E28/5,0)))))</f>
        <v>0.47826086956521741</v>
      </c>
      <c r="AW22" s="57">
        <f>IF(J22="","",IF(J22=0,"",MIN(1,W22/MAX(1,ROUND(J22*Paramètres!$E28/5,0)))))</f>
        <v>0.5</v>
      </c>
      <c r="AX22" s="57">
        <f>IF(K22="","",IF(K22=0,"",MIN(1,X22/MAX(1,ROUND(K22*Paramètres!$E28/5,0)))))</f>
        <v>0.31818181818181818</v>
      </c>
      <c r="AY22" s="57" t="str">
        <f>IF(L22="","",IF(L22=0,"",MIN(1,Y22/MAX(1,ROUND(L22*Paramètres!$E28/5,0)))))</f>
        <v/>
      </c>
      <c r="AZ22" s="57" t="str">
        <f>IF(M22="","",IF(M22=0,"",MIN(1,Z22/MAX(1,ROUND(M22*Paramètres!$E28/5,0)))))</f>
        <v/>
      </c>
      <c r="BA22" s="57" t="str">
        <f>IF(N22="","",IF(N22=0,"",MIN(1,AA22/MAX(1,ROUND(N22*Paramètres!$E28/5,0)))))</f>
        <v/>
      </c>
      <c r="BC22" s="56">
        <f t="shared" si="16"/>
        <v>1</v>
      </c>
      <c r="BD22" s="57">
        <f t="shared" si="17"/>
        <v>0.31818181818181818</v>
      </c>
      <c r="BE22" s="56">
        <f t="shared" si="18"/>
        <v>0.3182038181818182</v>
      </c>
      <c r="BF22" s="56">
        <f t="shared" si="19"/>
        <v>3</v>
      </c>
    </row>
    <row r="23" spans="1:58" x14ac:dyDescent="0.25">
      <c r="A23" s="56" t="str">
        <f>IF(Paramètres!A29="","",Paramètres!A29)</f>
        <v/>
      </c>
      <c r="C23" s="56" t="str">
        <f>IF(OR(Paramètres!$A29="",C$3=0),"",COUNTIFS(Calendrier!$A$2:$A$367,"&gt;="&amp;MAX(Paramètres!$C29,C$4),Calendrier!$A$2:$A$367,"&lt;="&amp;IF(Paramètres!$D29="",EOMONTH(C$4,0),MIN(Paramètres!$D29,EOMONTH(C$4,0))),Calendrier!$C$2:$C$367,1))</f>
        <v/>
      </c>
      <c r="D23" s="56" t="str">
        <f>IF(OR(Paramètres!$A29="",D$3=0),"",COUNTIFS(Calendrier!$A$2:$A$367,"&gt;="&amp;MAX(Paramètres!$C29,D$4),Calendrier!$A$2:$A$367,"&lt;="&amp;IF(Paramètres!$D29="",EOMONTH(D$4,0),MIN(Paramètres!$D29,EOMONTH(D$4,0))),Calendrier!$C$2:$C$367,1))</f>
        <v/>
      </c>
      <c r="E23" s="56" t="str">
        <f>IF(OR(Paramètres!$A29="",E$3=0),"",COUNTIFS(Calendrier!$A$2:$A$367,"&gt;="&amp;MAX(Paramètres!$C29,E$4),Calendrier!$A$2:$A$367,"&lt;="&amp;IF(Paramètres!$D29="",EOMONTH(E$4,0),MIN(Paramètres!$D29,EOMONTH(E$4,0))),Calendrier!$C$2:$C$367,1))</f>
        <v/>
      </c>
      <c r="F23" s="56" t="str">
        <f>IF(OR(Paramètres!$A29="",F$3=0),"",COUNTIFS(Calendrier!$A$2:$A$367,"&gt;="&amp;MAX(Paramètres!$C29,F$4),Calendrier!$A$2:$A$367,"&lt;="&amp;IF(Paramètres!$D29="",EOMONTH(F$4,0),MIN(Paramètres!$D29,EOMONTH(F$4,0))),Calendrier!$C$2:$C$367,1))</f>
        <v/>
      </c>
      <c r="G23" s="56" t="str">
        <f>IF(OR(Paramètres!$A29="",G$3=0),"",COUNTIFS(Calendrier!$A$2:$A$367,"&gt;="&amp;MAX(Paramètres!$C29,G$4),Calendrier!$A$2:$A$367,"&lt;="&amp;IF(Paramètres!$D29="",EOMONTH(G$4,0),MIN(Paramètres!$D29,EOMONTH(G$4,0))),Calendrier!$C$2:$C$367,1))</f>
        <v/>
      </c>
      <c r="H23" s="56" t="str">
        <f>IF(OR(Paramètres!$A29="",H$3=0),"",COUNTIFS(Calendrier!$A$2:$A$367,"&gt;="&amp;MAX(Paramètres!$C29,H$4),Calendrier!$A$2:$A$367,"&lt;="&amp;IF(Paramètres!$D29="",EOMONTH(H$4,0),MIN(Paramètres!$D29,EOMONTH(H$4,0))),Calendrier!$C$2:$C$367,1))</f>
        <v/>
      </c>
      <c r="I23" s="56" t="str">
        <f>IF(OR(Paramètres!$A29="",I$3=0),"",COUNTIFS(Calendrier!$A$2:$A$367,"&gt;="&amp;MAX(Paramètres!$C29,I$4),Calendrier!$A$2:$A$367,"&lt;="&amp;IF(Paramètres!$D29="",EOMONTH(I$4,0),MIN(Paramètres!$D29,EOMONTH(I$4,0))),Calendrier!$C$2:$C$367,1))</f>
        <v/>
      </c>
      <c r="J23" s="56" t="str">
        <f>IF(OR(Paramètres!$A29="",J$3=0),"",COUNTIFS(Calendrier!$A$2:$A$367,"&gt;="&amp;MAX(Paramètres!$C29,J$4),Calendrier!$A$2:$A$367,"&lt;="&amp;IF(Paramètres!$D29="",EOMONTH(J$4,0),MIN(Paramètres!$D29,EOMONTH(J$4,0))),Calendrier!$C$2:$C$367,1))</f>
        <v/>
      </c>
      <c r="K23" s="56" t="str">
        <f>IF(OR(Paramètres!$A29="",K$3=0),"",COUNTIFS(Calendrier!$A$2:$A$367,"&gt;="&amp;MAX(Paramètres!$C29,K$4),Calendrier!$A$2:$A$367,"&lt;="&amp;IF(Paramètres!$D29="",EOMONTH(K$4,0),MIN(Paramètres!$D29,EOMONTH(K$4,0))),Calendrier!$C$2:$C$367,1))</f>
        <v/>
      </c>
      <c r="L23" s="56" t="str">
        <f>IF(OR(Paramètres!$A29="",L$3=0),"",COUNTIFS(Calendrier!$A$2:$A$367,"&gt;="&amp;MAX(Paramètres!$C29,L$4),Calendrier!$A$2:$A$367,"&lt;="&amp;IF(Paramètres!$D29="",EOMONTH(L$4,0),MIN(Paramètres!$D29,EOMONTH(L$4,0))),Calendrier!$C$2:$C$367,1))</f>
        <v/>
      </c>
      <c r="M23" s="56" t="str">
        <f>IF(OR(Paramètres!$A29="",M$3=0),"",COUNTIFS(Calendrier!$A$2:$A$367,"&gt;="&amp;MAX(Paramètres!$C29,M$4),Calendrier!$A$2:$A$367,"&lt;="&amp;IF(Paramètres!$D29="",EOMONTH(M$4,0),MIN(Paramètres!$D29,EOMONTH(M$4,0))),Calendrier!$C$2:$C$367,1))</f>
        <v/>
      </c>
      <c r="N23" s="56" t="str">
        <f>IF(OR(Paramètres!$A29="",N$3=0),"",COUNTIFS(Calendrier!$A$2:$A$367,"&gt;="&amp;MAX(Paramètres!$C29,N$4),Calendrier!$A$2:$A$367,"&lt;="&amp;IF(Paramètres!$D29="",EOMONTH(N$4,0),MIN(Paramètres!$D29,EOMONTH(N$4,0))),Calendrier!$C$2:$C$367,1))</f>
        <v/>
      </c>
      <c r="P23" s="56" t="str">
        <f>IF(OR(Paramètres!$A29="",C$3=0),"",COUNTIFS(Journal!$D$2:$D$3001,Paramètres!$A29,Journal!$H$2:$H$3001,"&gt;="&amp;MAX(Paramètres!$C29,C$4),Journal!$H$2:$H$3001,"&lt;="&amp;IF(Paramètres!$D29="",EOMONTH(C$4,0),MIN(Paramètres!$D29,EOMONTH(C$4,0))),Journal!$K$2:$K$3001,1))</f>
        <v/>
      </c>
      <c r="Q23" s="56" t="str">
        <f>IF(OR(Paramètres!$A29="",D$3=0),"",COUNTIFS(Journal!$D$2:$D$3001,Paramètres!$A29,Journal!$H$2:$H$3001,"&gt;="&amp;MAX(Paramètres!$C29,D$4),Journal!$H$2:$H$3001,"&lt;="&amp;IF(Paramètres!$D29="",EOMONTH(D$4,0),MIN(Paramètres!$D29,EOMONTH(D$4,0))),Journal!$K$2:$K$3001,1))</f>
        <v/>
      </c>
      <c r="R23" s="56" t="str">
        <f>IF(OR(Paramètres!$A29="",E$3=0),"",COUNTIFS(Journal!$D$2:$D$3001,Paramètres!$A29,Journal!$H$2:$H$3001,"&gt;="&amp;MAX(Paramètres!$C29,E$4),Journal!$H$2:$H$3001,"&lt;="&amp;IF(Paramètres!$D29="",EOMONTH(E$4,0),MIN(Paramètres!$D29,EOMONTH(E$4,0))),Journal!$K$2:$K$3001,1))</f>
        <v/>
      </c>
      <c r="S23" s="56" t="str">
        <f>IF(OR(Paramètres!$A29="",F$3=0),"",COUNTIFS(Journal!$D$2:$D$3001,Paramètres!$A29,Journal!$H$2:$H$3001,"&gt;="&amp;MAX(Paramètres!$C29,F$4),Journal!$H$2:$H$3001,"&lt;="&amp;IF(Paramètres!$D29="",EOMONTH(F$4,0),MIN(Paramètres!$D29,EOMONTH(F$4,0))),Journal!$K$2:$K$3001,1))</f>
        <v/>
      </c>
      <c r="T23" s="56" t="str">
        <f>IF(OR(Paramètres!$A29="",G$3=0),"",COUNTIFS(Journal!$D$2:$D$3001,Paramètres!$A29,Journal!$H$2:$H$3001,"&gt;="&amp;MAX(Paramètres!$C29,G$4),Journal!$H$2:$H$3001,"&lt;="&amp;IF(Paramètres!$D29="",EOMONTH(G$4,0),MIN(Paramètres!$D29,EOMONTH(G$4,0))),Journal!$K$2:$K$3001,1))</f>
        <v/>
      </c>
      <c r="U23" s="56" t="str">
        <f>IF(OR(Paramètres!$A29="",H$3=0),"",COUNTIFS(Journal!$D$2:$D$3001,Paramètres!$A29,Journal!$H$2:$H$3001,"&gt;="&amp;MAX(Paramètres!$C29,H$4),Journal!$H$2:$H$3001,"&lt;="&amp;IF(Paramètres!$D29="",EOMONTH(H$4,0),MIN(Paramètres!$D29,EOMONTH(H$4,0))),Journal!$K$2:$K$3001,1))</f>
        <v/>
      </c>
      <c r="V23" s="56" t="str">
        <f>IF(OR(Paramètres!$A29="",I$3=0),"",COUNTIFS(Journal!$D$2:$D$3001,Paramètres!$A29,Journal!$H$2:$H$3001,"&gt;="&amp;MAX(Paramètres!$C29,I$4),Journal!$H$2:$H$3001,"&lt;="&amp;IF(Paramètres!$D29="",EOMONTH(I$4,0),MIN(Paramètres!$D29,EOMONTH(I$4,0))),Journal!$K$2:$K$3001,1))</f>
        <v/>
      </c>
      <c r="W23" s="56" t="str">
        <f>IF(OR(Paramètres!$A29="",J$3=0),"",COUNTIFS(Journal!$D$2:$D$3001,Paramètres!$A29,Journal!$H$2:$H$3001,"&gt;="&amp;MAX(Paramètres!$C29,J$4),Journal!$H$2:$H$3001,"&lt;="&amp;IF(Paramètres!$D29="",EOMONTH(J$4,0),MIN(Paramètres!$D29,EOMONTH(J$4,0))),Journal!$K$2:$K$3001,1))</f>
        <v/>
      </c>
      <c r="X23" s="56" t="str">
        <f>IF(OR(Paramètres!$A29="",K$3=0),"",COUNTIFS(Journal!$D$2:$D$3001,Paramètres!$A29,Journal!$H$2:$H$3001,"&gt;="&amp;MAX(Paramètres!$C29,K$4),Journal!$H$2:$H$3001,"&lt;="&amp;IF(Paramètres!$D29="",EOMONTH(K$4,0),MIN(Paramètres!$D29,EOMONTH(K$4,0))),Journal!$K$2:$K$3001,1))</f>
        <v/>
      </c>
      <c r="Y23" s="56" t="str">
        <f>IF(OR(Paramètres!$A29="",L$3=0),"",COUNTIFS(Journal!$D$2:$D$3001,Paramètres!$A29,Journal!$H$2:$H$3001,"&gt;="&amp;MAX(Paramètres!$C29,L$4),Journal!$H$2:$H$3001,"&lt;="&amp;IF(Paramètres!$D29="",EOMONTH(L$4,0),MIN(Paramètres!$D29,EOMONTH(L$4,0))),Journal!$K$2:$K$3001,1))</f>
        <v/>
      </c>
      <c r="Z23" s="56" t="str">
        <f>IF(OR(Paramètres!$A29="",M$3=0),"",COUNTIFS(Journal!$D$2:$D$3001,Paramètres!$A29,Journal!$H$2:$H$3001,"&gt;="&amp;MAX(Paramètres!$C29,M$4),Journal!$H$2:$H$3001,"&lt;="&amp;IF(Paramètres!$D29="",EOMONTH(M$4,0),MIN(Paramètres!$D29,EOMONTH(M$4,0))),Journal!$K$2:$K$3001,1))</f>
        <v/>
      </c>
      <c r="AA23" s="56" t="str">
        <f>IF(OR(Paramètres!$A29="",N$3=0),"",COUNTIFS(Journal!$D$2:$D$3001,Paramètres!$A29,Journal!$H$2:$H$3001,"&gt;="&amp;MAX(Paramètres!$C29,N$4),Journal!$H$2:$H$3001,"&lt;="&amp;IF(Paramètres!$D29="",EOMONTH(N$4,0),MIN(Paramètres!$D29,EOMONTH(N$4,0))),Journal!$K$2:$K$3001,1))</f>
        <v/>
      </c>
      <c r="AC23" s="57" t="str">
        <f t="shared" si="4"/>
        <v/>
      </c>
      <c r="AD23" s="57" t="str">
        <f t="shared" si="5"/>
        <v/>
      </c>
      <c r="AE23" s="57" t="str">
        <f t="shared" si="6"/>
        <v/>
      </c>
      <c r="AF23" s="57" t="str">
        <f t="shared" si="7"/>
        <v/>
      </c>
      <c r="AG23" s="57" t="str">
        <f t="shared" si="8"/>
        <v/>
      </c>
      <c r="AH23" s="57" t="str">
        <f t="shared" si="9"/>
        <v/>
      </c>
      <c r="AI23" s="57" t="str">
        <f t="shared" si="10"/>
        <v/>
      </c>
      <c r="AJ23" s="57" t="str">
        <f t="shared" si="11"/>
        <v/>
      </c>
      <c r="AK23" s="57" t="str">
        <f t="shared" si="12"/>
        <v/>
      </c>
      <c r="AL23" s="57" t="str">
        <f t="shared" si="13"/>
        <v/>
      </c>
      <c r="AM23" s="57" t="str">
        <f t="shared" si="14"/>
        <v/>
      </c>
      <c r="AN23" s="57" t="str">
        <f t="shared" si="15"/>
        <v/>
      </c>
      <c r="AP23" s="57" t="str">
        <f>IF(C23="","",IF(C23=0,"",MIN(1,P23/MAX(1,ROUND(C23*Paramètres!$E29/5,0)))))</f>
        <v/>
      </c>
      <c r="AQ23" s="57" t="str">
        <f>IF(D23="","",IF(D23=0,"",MIN(1,Q23/MAX(1,ROUND(D23*Paramètres!$E29/5,0)))))</f>
        <v/>
      </c>
      <c r="AR23" s="57" t="str">
        <f>IF(E23="","",IF(E23=0,"",MIN(1,R23/MAX(1,ROUND(E23*Paramètres!$E29/5,0)))))</f>
        <v/>
      </c>
      <c r="AS23" s="57" t="str">
        <f>IF(F23="","",IF(F23=0,"",MIN(1,S23/MAX(1,ROUND(F23*Paramètres!$E29/5,0)))))</f>
        <v/>
      </c>
      <c r="AT23" s="57" t="str">
        <f>IF(G23="","",IF(G23=0,"",MIN(1,T23/MAX(1,ROUND(G23*Paramètres!$E29/5,0)))))</f>
        <v/>
      </c>
      <c r="AU23" s="57" t="str">
        <f>IF(H23="","",IF(H23=0,"",MIN(1,U23/MAX(1,ROUND(H23*Paramètres!$E29/5,0)))))</f>
        <v/>
      </c>
      <c r="AV23" s="57" t="str">
        <f>IF(I23="","",IF(I23=0,"",MIN(1,V23/MAX(1,ROUND(I23*Paramètres!$E29/5,0)))))</f>
        <v/>
      </c>
      <c r="AW23" s="57" t="str">
        <f>IF(J23="","",IF(J23=0,"",MIN(1,W23/MAX(1,ROUND(J23*Paramètres!$E29/5,0)))))</f>
        <v/>
      </c>
      <c r="AX23" s="57" t="str">
        <f>IF(K23="","",IF(K23=0,"",MIN(1,X23/MAX(1,ROUND(K23*Paramètres!$E29/5,0)))))</f>
        <v/>
      </c>
      <c r="AY23" s="57" t="str">
        <f>IF(L23="","",IF(L23=0,"",MIN(1,Y23/MAX(1,ROUND(L23*Paramètres!$E29/5,0)))))</f>
        <v/>
      </c>
      <c r="AZ23" s="57" t="str">
        <f>IF(M23="","",IF(M23=0,"",MIN(1,Z23/MAX(1,ROUND(M23*Paramètres!$E29/5,0)))))</f>
        <v/>
      </c>
      <c r="BA23" s="57" t="str">
        <f>IF(N23="","",IF(N23=0,"",MIN(1,AA23/MAX(1,ROUND(N23*Paramètres!$E29/5,0)))))</f>
        <v/>
      </c>
      <c r="BC23" s="56">
        <f t="shared" si="16"/>
        <v>0</v>
      </c>
      <c r="BD23" s="56" t="str">
        <f t="shared" si="17"/>
        <v/>
      </c>
      <c r="BE23" s="56" t="str">
        <f t="shared" si="18"/>
        <v/>
      </c>
      <c r="BF23" s="56" t="str">
        <f t="shared" si="19"/>
        <v/>
      </c>
    </row>
    <row r="24" spans="1:58" x14ac:dyDescent="0.25">
      <c r="A24" s="56" t="str">
        <f>IF(Paramètres!A30="","",Paramètres!A30)</f>
        <v/>
      </c>
      <c r="C24" s="56" t="str">
        <f>IF(OR(Paramètres!$A30="",C$3=0),"",COUNTIFS(Calendrier!$A$2:$A$367,"&gt;="&amp;MAX(Paramètres!$C30,C$4),Calendrier!$A$2:$A$367,"&lt;="&amp;IF(Paramètres!$D30="",EOMONTH(C$4,0),MIN(Paramètres!$D30,EOMONTH(C$4,0))),Calendrier!$C$2:$C$367,1))</f>
        <v/>
      </c>
      <c r="D24" s="56" t="str">
        <f>IF(OR(Paramètres!$A30="",D$3=0),"",COUNTIFS(Calendrier!$A$2:$A$367,"&gt;="&amp;MAX(Paramètres!$C30,D$4),Calendrier!$A$2:$A$367,"&lt;="&amp;IF(Paramètres!$D30="",EOMONTH(D$4,0),MIN(Paramètres!$D30,EOMONTH(D$4,0))),Calendrier!$C$2:$C$367,1))</f>
        <v/>
      </c>
      <c r="E24" s="56" t="str">
        <f>IF(OR(Paramètres!$A30="",E$3=0),"",COUNTIFS(Calendrier!$A$2:$A$367,"&gt;="&amp;MAX(Paramètres!$C30,E$4),Calendrier!$A$2:$A$367,"&lt;="&amp;IF(Paramètres!$D30="",EOMONTH(E$4,0),MIN(Paramètres!$D30,EOMONTH(E$4,0))),Calendrier!$C$2:$C$367,1))</f>
        <v/>
      </c>
      <c r="F24" s="56" t="str">
        <f>IF(OR(Paramètres!$A30="",F$3=0),"",COUNTIFS(Calendrier!$A$2:$A$367,"&gt;="&amp;MAX(Paramètres!$C30,F$4),Calendrier!$A$2:$A$367,"&lt;="&amp;IF(Paramètres!$D30="",EOMONTH(F$4,0),MIN(Paramètres!$D30,EOMONTH(F$4,0))),Calendrier!$C$2:$C$367,1))</f>
        <v/>
      </c>
      <c r="G24" s="56" t="str">
        <f>IF(OR(Paramètres!$A30="",G$3=0),"",COUNTIFS(Calendrier!$A$2:$A$367,"&gt;="&amp;MAX(Paramètres!$C30,G$4),Calendrier!$A$2:$A$367,"&lt;="&amp;IF(Paramètres!$D30="",EOMONTH(G$4,0),MIN(Paramètres!$D30,EOMONTH(G$4,0))),Calendrier!$C$2:$C$367,1))</f>
        <v/>
      </c>
      <c r="H24" s="56" t="str">
        <f>IF(OR(Paramètres!$A30="",H$3=0),"",COUNTIFS(Calendrier!$A$2:$A$367,"&gt;="&amp;MAX(Paramètres!$C30,H$4),Calendrier!$A$2:$A$367,"&lt;="&amp;IF(Paramètres!$D30="",EOMONTH(H$4,0),MIN(Paramètres!$D30,EOMONTH(H$4,0))),Calendrier!$C$2:$C$367,1))</f>
        <v/>
      </c>
      <c r="I24" s="56" t="str">
        <f>IF(OR(Paramètres!$A30="",I$3=0),"",COUNTIFS(Calendrier!$A$2:$A$367,"&gt;="&amp;MAX(Paramètres!$C30,I$4),Calendrier!$A$2:$A$367,"&lt;="&amp;IF(Paramètres!$D30="",EOMONTH(I$4,0),MIN(Paramètres!$D30,EOMONTH(I$4,0))),Calendrier!$C$2:$C$367,1))</f>
        <v/>
      </c>
      <c r="J24" s="56" t="str">
        <f>IF(OR(Paramètres!$A30="",J$3=0),"",COUNTIFS(Calendrier!$A$2:$A$367,"&gt;="&amp;MAX(Paramètres!$C30,J$4),Calendrier!$A$2:$A$367,"&lt;="&amp;IF(Paramètres!$D30="",EOMONTH(J$4,0),MIN(Paramètres!$D30,EOMONTH(J$4,0))),Calendrier!$C$2:$C$367,1))</f>
        <v/>
      </c>
      <c r="K24" s="56" t="str">
        <f>IF(OR(Paramètres!$A30="",K$3=0),"",COUNTIFS(Calendrier!$A$2:$A$367,"&gt;="&amp;MAX(Paramètres!$C30,K$4),Calendrier!$A$2:$A$367,"&lt;="&amp;IF(Paramètres!$D30="",EOMONTH(K$4,0),MIN(Paramètres!$D30,EOMONTH(K$4,0))),Calendrier!$C$2:$C$367,1))</f>
        <v/>
      </c>
      <c r="L24" s="56" t="str">
        <f>IF(OR(Paramètres!$A30="",L$3=0),"",COUNTIFS(Calendrier!$A$2:$A$367,"&gt;="&amp;MAX(Paramètres!$C30,L$4),Calendrier!$A$2:$A$367,"&lt;="&amp;IF(Paramètres!$D30="",EOMONTH(L$4,0),MIN(Paramètres!$D30,EOMONTH(L$4,0))),Calendrier!$C$2:$C$367,1))</f>
        <v/>
      </c>
      <c r="M24" s="56" t="str">
        <f>IF(OR(Paramètres!$A30="",M$3=0),"",COUNTIFS(Calendrier!$A$2:$A$367,"&gt;="&amp;MAX(Paramètres!$C30,M$4),Calendrier!$A$2:$A$367,"&lt;="&amp;IF(Paramètres!$D30="",EOMONTH(M$4,0),MIN(Paramètres!$D30,EOMONTH(M$4,0))),Calendrier!$C$2:$C$367,1))</f>
        <v/>
      </c>
      <c r="N24" s="56" t="str">
        <f>IF(OR(Paramètres!$A30="",N$3=0),"",COUNTIFS(Calendrier!$A$2:$A$367,"&gt;="&amp;MAX(Paramètres!$C30,N$4),Calendrier!$A$2:$A$367,"&lt;="&amp;IF(Paramètres!$D30="",EOMONTH(N$4,0),MIN(Paramètres!$D30,EOMONTH(N$4,0))),Calendrier!$C$2:$C$367,1))</f>
        <v/>
      </c>
      <c r="P24" s="56" t="str">
        <f>IF(OR(Paramètres!$A30="",C$3=0),"",COUNTIFS(Journal!$D$2:$D$3001,Paramètres!$A30,Journal!$H$2:$H$3001,"&gt;="&amp;MAX(Paramètres!$C30,C$4),Journal!$H$2:$H$3001,"&lt;="&amp;IF(Paramètres!$D30="",EOMONTH(C$4,0),MIN(Paramètres!$D30,EOMONTH(C$4,0))),Journal!$K$2:$K$3001,1))</f>
        <v/>
      </c>
      <c r="Q24" s="56" t="str">
        <f>IF(OR(Paramètres!$A30="",D$3=0),"",COUNTIFS(Journal!$D$2:$D$3001,Paramètres!$A30,Journal!$H$2:$H$3001,"&gt;="&amp;MAX(Paramètres!$C30,D$4),Journal!$H$2:$H$3001,"&lt;="&amp;IF(Paramètres!$D30="",EOMONTH(D$4,0),MIN(Paramètres!$D30,EOMONTH(D$4,0))),Journal!$K$2:$K$3001,1))</f>
        <v/>
      </c>
      <c r="R24" s="56" t="str">
        <f>IF(OR(Paramètres!$A30="",E$3=0),"",COUNTIFS(Journal!$D$2:$D$3001,Paramètres!$A30,Journal!$H$2:$H$3001,"&gt;="&amp;MAX(Paramètres!$C30,E$4),Journal!$H$2:$H$3001,"&lt;="&amp;IF(Paramètres!$D30="",EOMONTH(E$4,0),MIN(Paramètres!$D30,EOMONTH(E$4,0))),Journal!$K$2:$K$3001,1))</f>
        <v/>
      </c>
      <c r="S24" s="56" t="str">
        <f>IF(OR(Paramètres!$A30="",F$3=0),"",COUNTIFS(Journal!$D$2:$D$3001,Paramètres!$A30,Journal!$H$2:$H$3001,"&gt;="&amp;MAX(Paramètres!$C30,F$4),Journal!$H$2:$H$3001,"&lt;="&amp;IF(Paramètres!$D30="",EOMONTH(F$4,0),MIN(Paramètres!$D30,EOMONTH(F$4,0))),Journal!$K$2:$K$3001,1))</f>
        <v/>
      </c>
      <c r="T24" s="56" t="str">
        <f>IF(OR(Paramètres!$A30="",G$3=0),"",COUNTIFS(Journal!$D$2:$D$3001,Paramètres!$A30,Journal!$H$2:$H$3001,"&gt;="&amp;MAX(Paramètres!$C30,G$4),Journal!$H$2:$H$3001,"&lt;="&amp;IF(Paramètres!$D30="",EOMONTH(G$4,0),MIN(Paramètres!$D30,EOMONTH(G$4,0))),Journal!$K$2:$K$3001,1))</f>
        <v/>
      </c>
      <c r="U24" s="56" t="str">
        <f>IF(OR(Paramètres!$A30="",H$3=0),"",COUNTIFS(Journal!$D$2:$D$3001,Paramètres!$A30,Journal!$H$2:$H$3001,"&gt;="&amp;MAX(Paramètres!$C30,H$4),Journal!$H$2:$H$3001,"&lt;="&amp;IF(Paramètres!$D30="",EOMONTH(H$4,0),MIN(Paramètres!$D30,EOMONTH(H$4,0))),Journal!$K$2:$K$3001,1))</f>
        <v/>
      </c>
      <c r="V24" s="56" t="str">
        <f>IF(OR(Paramètres!$A30="",I$3=0),"",COUNTIFS(Journal!$D$2:$D$3001,Paramètres!$A30,Journal!$H$2:$H$3001,"&gt;="&amp;MAX(Paramètres!$C30,I$4),Journal!$H$2:$H$3001,"&lt;="&amp;IF(Paramètres!$D30="",EOMONTH(I$4,0),MIN(Paramètres!$D30,EOMONTH(I$4,0))),Journal!$K$2:$K$3001,1))</f>
        <v/>
      </c>
      <c r="W24" s="56" t="str">
        <f>IF(OR(Paramètres!$A30="",J$3=0),"",COUNTIFS(Journal!$D$2:$D$3001,Paramètres!$A30,Journal!$H$2:$H$3001,"&gt;="&amp;MAX(Paramètres!$C30,J$4),Journal!$H$2:$H$3001,"&lt;="&amp;IF(Paramètres!$D30="",EOMONTH(J$4,0),MIN(Paramètres!$D30,EOMONTH(J$4,0))),Journal!$K$2:$K$3001,1))</f>
        <v/>
      </c>
      <c r="X24" s="56" t="str">
        <f>IF(OR(Paramètres!$A30="",K$3=0),"",COUNTIFS(Journal!$D$2:$D$3001,Paramètres!$A30,Journal!$H$2:$H$3001,"&gt;="&amp;MAX(Paramètres!$C30,K$4),Journal!$H$2:$H$3001,"&lt;="&amp;IF(Paramètres!$D30="",EOMONTH(K$4,0),MIN(Paramètres!$D30,EOMONTH(K$4,0))),Journal!$K$2:$K$3001,1))</f>
        <v/>
      </c>
      <c r="Y24" s="56" t="str">
        <f>IF(OR(Paramètres!$A30="",L$3=0),"",COUNTIFS(Journal!$D$2:$D$3001,Paramètres!$A30,Journal!$H$2:$H$3001,"&gt;="&amp;MAX(Paramètres!$C30,L$4),Journal!$H$2:$H$3001,"&lt;="&amp;IF(Paramètres!$D30="",EOMONTH(L$4,0),MIN(Paramètres!$D30,EOMONTH(L$4,0))),Journal!$K$2:$K$3001,1))</f>
        <v/>
      </c>
      <c r="Z24" s="56" t="str">
        <f>IF(OR(Paramètres!$A30="",M$3=0),"",COUNTIFS(Journal!$D$2:$D$3001,Paramètres!$A30,Journal!$H$2:$H$3001,"&gt;="&amp;MAX(Paramètres!$C30,M$4),Journal!$H$2:$H$3001,"&lt;="&amp;IF(Paramètres!$D30="",EOMONTH(M$4,0),MIN(Paramètres!$D30,EOMONTH(M$4,0))),Journal!$K$2:$K$3001,1))</f>
        <v/>
      </c>
      <c r="AA24" s="56" t="str">
        <f>IF(OR(Paramètres!$A30="",N$3=0),"",COUNTIFS(Journal!$D$2:$D$3001,Paramètres!$A30,Journal!$H$2:$H$3001,"&gt;="&amp;MAX(Paramètres!$C30,N$4),Journal!$H$2:$H$3001,"&lt;="&amp;IF(Paramètres!$D30="",EOMONTH(N$4,0),MIN(Paramètres!$D30,EOMONTH(N$4,0))),Journal!$K$2:$K$3001,1))</f>
        <v/>
      </c>
      <c r="AC24" s="57" t="str">
        <f t="shared" si="4"/>
        <v/>
      </c>
      <c r="AD24" s="57" t="str">
        <f t="shared" si="5"/>
        <v/>
      </c>
      <c r="AE24" s="57" t="str">
        <f t="shared" si="6"/>
        <v/>
      </c>
      <c r="AF24" s="57" t="str">
        <f t="shared" si="7"/>
        <v/>
      </c>
      <c r="AG24" s="57" t="str">
        <f t="shared" si="8"/>
        <v/>
      </c>
      <c r="AH24" s="57" t="str">
        <f t="shared" si="9"/>
        <v/>
      </c>
      <c r="AI24" s="57" t="str">
        <f t="shared" si="10"/>
        <v/>
      </c>
      <c r="AJ24" s="57" t="str">
        <f t="shared" si="11"/>
        <v/>
      </c>
      <c r="AK24" s="57" t="str">
        <f t="shared" si="12"/>
        <v/>
      </c>
      <c r="AL24" s="57" t="str">
        <f t="shared" si="13"/>
        <v/>
      </c>
      <c r="AM24" s="57" t="str">
        <f t="shared" si="14"/>
        <v/>
      </c>
      <c r="AN24" s="57" t="str">
        <f t="shared" si="15"/>
        <v/>
      </c>
      <c r="AP24" s="57" t="str">
        <f>IF(C24="","",IF(C24=0,"",MIN(1,P24/MAX(1,ROUND(C24*Paramètres!$E30/5,0)))))</f>
        <v/>
      </c>
      <c r="AQ24" s="57" t="str">
        <f>IF(D24="","",IF(D24=0,"",MIN(1,Q24/MAX(1,ROUND(D24*Paramètres!$E30/5,0)))))</f>
        <v/>
      </c>
      <c r="AR24" s="57" t="str">
        <f>IF(E24="","",IF(E24=0,"",MIN(1,R24/MAX(1,ROUND(E24*Paramètres!$E30/5,0)))))</f>
        <v/>
      </c>
      <c r="AS24" s="57" t="str">
        <f>IF(F24="","",IF(F24=0,"",MIN(1,S24/MAX(1,ROUND(F24*Paramètres!$E30/5,0)))))</f>
        <v/>
      </c>
      <c r="AT24" s="57" t="str">
        <f>IF(G24="","",IF(G24=0,"",MIN(1,T24/MAX(1,ROUND(G24*Paramètres!$E30/5,0)))))</f>
        <v/>
      </c>
      <c r="AU24" s="57" t="str">
        <f>IF(H24="","",IF(H24=0,"",MIN(1,U24/MAX(1,ROUND(H24*Paramètres!$E30/5,0)))))</f>
        <v/>
      </c>
      <c r="AV24" s="57" t="str">
        <f>IF(I24="","",IF(I24=0,"",MIN(1,V24/MAX(1,ROUND(I24*Paramètres!$E30/5,0)))))</f>
        <v/>
      </c>
      <c r="AW24" s="57" t="str">
        <f>IF(J24="","",IF(J24=0,"",MIN(1,W24/MAX(1,ROUND(J24*Paramètres!$E30/5,0)))))</f>
        <v/>
      </c>
      <c r="AX24" s="57" t="str">
        <f>IF(K24="","",IF(K24=0,"",MIN(1,X24/MAX(1,ROUND(K24*Paramètres!$E30/5,0)))))</f>
        <v/>
      </c>
      <c r="AY24" s="57" t="str">
        <f>IF(L24="","",IF(L24=0,"",MIN(1,Y24/MAX(1,ROUND(L24*Paramètres!$E30/5,0)))))</f>
        <v/>
      </c>
      <c r="AZ24" s="57" t="str">
        <f>IF(M24="","",IF(M24=0,"",MIN(1,Z24/MAX(1,ROUND(M24*Paramètres!$E30/5,0)))))</f>
        <v/>
      </c>
      <c r="BA24" s="57" t="str">
        <f>IF(N24="","",IF(N24=0,"",MIN(1,AA24/MAX(1,ROUND(N24*Paramètres!$E30/5,0)))))</f>
        <v/>
      </c>
      <c r="BC24" s="56">
        <f t="shared" si="16"/>
        <v>0</v>
      </c>
      <c r="BD24" s="56" t="str">
        <f t="shared" si="17"/>
        <v/>
      </c>
      <c r="BE24" s="56" t="str">
        <f t="shared" si="18"/>
        <v/>
      </c>
      <c r="BF24" s="56" t="str">
        <f t="shared" si="19"/>
        <v/>
      </c>
    </row>
    <row r="25" spans="1:58" x14ac:dyDescent="0.25">
      <c r="A25" s="56" t="str">
        <f>IF(Paramètres!A31="","",Paramètres!A31)</f>
        <v/>
      </c>
      <c r="C25" s="56" t="str">
        <f>IF(OR(Paramètres!$A31="",C$3=0),"",COUNTIFS(Calendrier!$A$2:$A$367,"&gt;="&amp;MAX(Paramètres!$C31,C$4),Calendrier!$A$2:$A$367,"&lt;="&amp;IF(Paramètres!$D31="",EOMONTH(C$4,0),MIN(Paramètres!$D31,EOMONTH(C$4,0))),Calendrier!$C$2:$C$367,1))</f>
        <v/>
      </c>
      <c r="D25" s="56" t="str">
        <f>IF(OR(Paramètres!$A31="",D$3=0),"",COUNTIFS(Calendrier!$A$2:$A$367,"&gt;="&amp;MAX(Paramètres!$C31,D$4),Calendrier!$A$2:$A$367,"&lt;="&amp;IF(Paramètres!$D31="",EOMONTH(D$4,0),MIN(Paramètres!$D31,EOMONTH(D$4,0))),Calendrier!$C$2:$C$367,1))</f>
        <v/>
      </c>
      <c r="E25" s="56" t="str">
        <f>IF(OR(Paramètres!$A31="",E$3=0),"",COUNTIFS(Calendrier!$A$2:$A$367,"&gt;="&amp;MAX(Paramètres!$C31,E$4),Calendrier!$A$2:$A$367,"&lt;="&amp;IF(Paramètres!$D31="",EOMONTH(E$4,0),MIN(Paramètres!$D31,EOMONTH(E$4,0))),Calendrier!$C$2:$C$367,1))</f>
        <v/>
      </c>
      <c r="F25" s="56" t="str">
        <f>IF(OR(Paramètres!$A31="",F$3=0),"",COUNTIFS(Calendrier!$A$2:$A$367,"&gt;="&amp;MAX(Paramètres!$C31,F$4),Calendrier!$A$2:$A$367,"&lt;="&amp;IF(Paramètres!$D31="",EOMONTH(F$4,0),MIN(Paramètres!$D31,EOMONTH(F$4,0))),Calendrier!$C$2:$C$367,1))</f>
        <v/>
      </c>
      <c r="G25" s="56" t="str">
        <f>IF(OR(Paramètres!$A31="",G$3=0),"",COUNTIFS(Calendrier!$A$2:$A$367,"&gt;="&amp;MAX(Paramètres!$C31,G$4),Calendrier!$A$2:$A$367,"&lt;="&amp;IF(Paramètres!$D31="",EOMONTH(G$4,0),MIN(Paramètres!$D31,EOMONTH(G$4,0))),Calendrier!$C$2:$C$367,1))</f>
        <v/>
      </c>
      <c r="H25" s="56" t="str">
        <f>IF(OR(Paramètres!$A31="",H$3=0),"",COUNTIFS(Calendrier!$A$2:$A$367,"&gt;="&amp;MAX(Paramètres!$C31,H$4),Calendrier!$A$2:$A$367,"&lt;="&amp;IF(Paramètres!$D31="",EOMONTH(H$4,0),MIN(Paramètres!$D31,EOMONTH(H$4,0))),Calendrier!$C$2:$C$367,1))</f>
        <v/>
      </c>
      <c r="I25" s="56" t="str">
        <f>IF(OR(Paramètres!$A31="",I$3=0),"",COUNTIFS(Calendrier!$A$2:$A$367,"&gt;="&amp;MAX(Paramètres!$C31,I$4),Calendrier!$A$2:$A$367,"&lt;="&amp;IF(Paramètres!$D31="",EOMONTH(I$4,0),MIN(Paramètres!$D31,EOMONTH(I$4,0))),Calendrier!$C$2:$C$367,1))</f>
        <v/>
      </c>
      <c r="J25" s="56" t="str">
        <f>IF(OR(Paramètres!$A31="",J$3=0),"",COUNTIFS(Calendrier!$A$2:$A$367,"&gt;="&amp;MAX(Paramètres!$C31,J$4),Calendrier!$A$2:$A$367,"&lt;="&amp;IF(Paramètres!$D31="",EOMONTH(J$4,0),MIN(Paramètres!$D31,EOMONTH(J$4,0))),Calendrier!$C$2:$C$367,1))</f>
        <v/>
      </c>
      <c r="K25" s="56" t="str">
        <f>IF(OR(Paramètres!$A31="",K$3=0),"",COUNTIFS(Calendrier!$A$2:$A$367,"&gt;="&amp;MAX(Paramètres!$C31,K$4),Calendrier!$A$2:$A$367,"&lt;="&amp;IF(Paramètres!$D31="",EOMONTH(K$4,0),MIN(Paramètres!$D31,EOMONTH(K$4,0))),Calendrier!$C$2:$C$367,1))</f>
        <v/>
      </c>
      <c r="L25" s="56" t="str">
        <f>IF(OR(Paramètres!$A31="",L$3=0),"",COUNTIFS(Calendrier!$A$2:$A$367,"&gt;="&amp;MAX(Paramètres!$C31,L$4),Calendrier!$A$2:$A$367,"&lt;="&amp;IF(Paramètres!$D31="",EOMONTH(L$4,0),MIN(Paramètres!$D31,EOMONTH(L$4,0))),Calendrier!$C$2:$C$367,1))</f>
        <v/>
      </c>
      <c r="M25" s="56" t="str">
        <f>IF(OR(Paramètres!$A31="",M$3=0),"",COUNTIFS(Calendrier!$A$2:$A$367,"&gt;="&amp;MAX(Paramètres!$C31,M$4),Calendrier!$A$2:$A$367,"&lt;="&amp;IF(Paramètres!$D31="",EOMONTH(M$4,0),MIN(Paramètres!$D31,EOMONTH(M$4,0))),Calendrier!$C$2:$C$367,1))</f>
        <v/>
      </c>
      <c r="N25" s="56" t="str">
        <f>IF(OR(Paramètres!$A31="",N$3=0),"",COUNTIFS(Calendrier!$A$2:$A$367,"&gt;="&amp;MAX(Paramètres!$C31,N$4),Calendrier!$A$2:$A$367,"&lt;="&amp;IF(Paramètres!$D31="",EOMONTH(N$4,0),MIN(Paramètres!$D31,EOMONTH(N$4,0))),Calendrier!$C$2:$C$367,1))</f>
        <v/>
      </c>
      <c r="P25" s="56" t="str">
        <f>IF(OR(Paramètres!$A31="",C$3=0),"",COUNTIFS(Journal!$D$2:$D$3001,Paramètres!$A31,Journal!$H$2:$H$3001,"&gt;="&amp;MAX(Paramètres!$C31,C$4),Journal!$H$2:$H$3001,"&lt;="&amp;IF(Paramètres!$D31="",EOMONTH(C$4,0),MIN(Paramètres!$D31,EOMONTH(C$4,0))),Journal!$K$2:$K$3001,1))</f>
        <v/>
      </c>
      <c r="Q25" s="56" t="str">
        <f>IF(OR(Paramètres!$A31="",D$3=0),"",COUNTIFS(Journal!$D$2:$D$3001,Paramètres!$A31,Journal!$H$2:$H$3001,"&gt;="&amp;MAX(Paramètres!$C31,D$4),Journal!$H$2:$H$3001,"&lt;="&amp;IF(Paramètres!$D31="",EOMONTH(D$4,0),MIN(Paramètres!$D31,EOMONTH(D$4,0))),Journal!$K$2:$K$3001,1))</f>
        <v/>
      </c>
      <c r="R25" s="56" t="str">
        <f>IF(OR(Paramètres!$A31="",E$3=0),"",COUNTIFS(Journal!$D$2:$D$3001,Paramètres!$A31,Journal!$H$2:$H$3001,"&gt;="&amp;MAX(Paramètres!$C31,E$4),Journal!$H$2:$H$3001,"&lt;="&amp;IF(Paramètres!$D31="",EOMONTH(E$4,0),MIN(Paramètres!$D31,EOMONTH(E$4,0))),Journal!$K$2:$K$3001,1))</f>
        <v/>
      </c>
      <c r="S25" s="56" t="str">
        <f>IF(OR(Paramètres!$A31="",F$3=0),"",COUNTIFS(Journal!$D$2:$D$3001,Paramètres!$A31,Journal!$H$2:$H$3001,"&gt;="&amp;MAX(Paramètres!$C31,F$4),Journal!$H$2:$H$3001,"&lt;="&amp;IF(Paramètres!$D31="",EOMONTH(F$4,0),MIN(Paramètres!$D31,EOMONTH(F$4,0))),Journal!$K$2:$K$3001,1))</f>
        <v/>
      </c>
      <c r="T25" s="56" t="str">
        <f>IF(OR(Paramètres!$A31="",G$3=0),"",COUNTIFS(Journal!$D$2:$D$3001,Paramètres!$A31,Journal!$H$2:$H$3001,"&gt;="&amp;MAX(Paramètres!$C31,G$4),Journal!$H$2:$H$3001,"&lt;="&amp;IF(Paramètres!$D31="",EOMONTH(G$4,0),MIN(Paramètres!$D31,EOMONTH(G$4,0))),Journal!$K$2:$K$3001,1))</f>
        <v/>
      </c>
      <c r="U25" s="56" t="str">
        <f>IF(OR(Paramètres!$A31="",H$3=0),"",COUNTIFS(Journal!$D$2:$D$3001,Paramètres!$A31,Journal!$H$2:$H$3001,"&gt;="&amp;MAX(Paramètres!$C31,H$4),Journal!$H$2:$H$3001,"&lt;="&amp;IF(Paramètres!$D31="",EOMONTH(H$4,0),MIN(Paramètres!$D31,EOMONTH(H$4,0))),Journal!$K$2:$K$3001,1))</f>
        <v/>
      </c>
      <c r="V25" s="56" t="str">
        <f>IF(OR(Paramètres!$A31="",I$3=0),"",COUNTIFS(Journal!$D$2:$D$3001,Paramètres!$A31,Journal!$H$2:$H$3001,"&gt;="&amp;MAX(Paramètres!$C31,I$4),Journal!$H$2:$H$3001,"&lt;="&amp;IF(Paramètres!$D31="",EOMONTH(I$4,0),MIN(Paramètres!$D31,EOMONTH(I$4,0))),Journal!$K$2:$K$3001,1))</f>
        <v/>
      </c>
      <c r="W25" s="56" t="str">
        <f>IF(OR(Paramètres!$A31="",J$3=0),"",COUNTIFS(Journal!$D$2:$D$3001,Paramètres!$A31,Journal!$H$2:$H$3001,"&gt;="&amp;MAX(Paramètres!$C31,J$4),Journal!$H$2:$H$3001,"&lt;="&amp;IF(Paramètres!$D31="",EOMONTH(J$4,0),MIN(Paramètres!$D31,EOMONTH(J$4,0))),Journal!$K$2:$K$3001,1))</f>
        <v/>
      </c>
      <c r="X25" s="56" t="str">
        <f>IF(OR(Paramètres!$A31="",K$3=0),"",COUNTIFS(Journal!$D$2:$D$3001,Paramètres!$A31,Journal!$H$2:$H$3001,"&gt;="&amp;MAX(Paramètres!$C31,K$4),Journal!$H$2:$H$3001,"&lt;="&amp;IF(Paramètres!$D31="",EOMONTH(K$4,0),MIN(Paramètres!$D31,EOMONTH(K$4,0))),Journal!$K$2:$K$3001,1))</f>
        <v/>
      </c>
      <c r="Y25" s="56" t="str">
        <f>IF(OR(Paramètres!$A31="",L$3=0),"",COUNTIFS(Journal!$D$2:$D$3001,Paramètres!$A31,Journal!$H$2:$H$3001,"&gt;="&amp;MAX(Paramètres!$C31,L$4),Journal!$H$2:$H$3001,"&lt;="&amp;IF(Paramètres!$D31="",EOMONTH(L$4,0),MIN(Paramètres!$D31,EOMONTH(L$4,0))),Journal!$K$2:$K$3001,1))</f>
        <v/>
      </c>
      <c r="Z25" s="56" t="str">
        <f>IF(OR(Paramètres!$A31="",M$3=0),"",COUNTIFS(Journal!$D$2:$D$3001,Paramètres!$A31,Journal!$H$2:$H$3001,"&gt;="&amp;MAX(Paramètres!$C31,M$4),Journal!$H$2:$H$3001,"&lt;="&amp;IF(Paramètres!$D31="",EOMONTH(M$4,0),MIN(Paramètres!$D31,EOMONTH(M$4,0))),Journal!$K$2:$K$3001,1))</f>
        <v/>
      </c>
      <c r="AA25" s="56" t="str">
        <f>IF(OR(Paramètres!$A31="",N$3=0),"",COUNTIFS(Journal!$D$2:$D$3001,Paramètres!$A31,Journal!$H$2:$H$3001,"&gt;="&amp;MAX(Paramètres!$C31,N$4),Journal!$H$2:$H$3001,"&lt;="&amp;IF(Paramètres!$D31="",EOMONTH(N$4,0),MIN(Paramètres!$D31,EOMONTH(N$4,0))),Journal!$K$2:$K$3001,1))</f>
        <v/>
      </c>
      <c r="AC25" s="57" t="str">
        <f t="shared" si="4"/>
        <v/>
      </c>
      <c r="AD25" s="57" t="str">
        <f t="shared" si="5"/>
        <v/>
      </c>
      <c r="AE25" s="57" t="str">
        <f t="shared" si="6"/>
        <v/>
      </c>
      <c r="AF25" s="57" t="str">
        <f t="shared" si="7"/>
        <v/>
      </c>
      <c r="AG25" s="57" t="str">
        <f t="shared" si="8"/>
        <v/>
      </c>
      <c r="AH25" s="57" t="str">
        <f t="shared" si="9"/>
        <v/>
      </c>
      <c r="AI25" s="57" t="str">
        <f t="shared" si="10"/>
        <v/>
      </c>
      <c r="AJ25" s="57" t="str">
        <f t="shared" si="11"/>
        <v/>
      </c>
      <c r="AK25" s="57" t="str">
        <f t="shared" si="12"/>
        <v/>
      </c>
      <c r="AL25" s="57" t="str">
        <f t="shared" si="13"/>
        <v/>
      </c>
      <c r="AM25" s="57" t="str">
        <f t="shared" si="14"/>
        <v/>
      </c>
      <c r="AN25" s="57" t="str">
        <f t="shared" si="15"/>
        <v/>
      </c>
      <c r="AP25" s="57" t="str">
        <f>IF(C25="","",IF(C25=0,"",MIN(1,P25/MAX(1,ROUND(C25*Paramètres!$E31/5,0)))))</f>
        <v/>
      </c>
      <c r="AQ25" s="57" t="str">
        <f>IF(D25="","",IF(D25=0,"",MIN(1,Q25/MAX(1,ROUND(D25*Paramètres!$E31/5,0)))))</f>
        <v/>
      </c>
      <c r="AR25" s="57" t="str">
        <f>IF(E25="","",IF(E25=0,"",MIN(1,R25/MAX(1,ROUND(E25*Paramètres!$E31/5,0)))))</f>
        <v/>
      </c>
      <c r="AS25" s="57" t="str">
        <f>IF(F25="","",IF(F25=0,"",MIN(1,S25/MAX(1,ROUND(F25*Paramètres!$E31/5,0)))))</f>
        <v/>
      </c>
      <c r="AT25" s="57" t="str">
        <f>IF(G25="","",IF(G25=0,"",MIN(1,T25/MAX(1,ROUND(G25*Paramètres!$E31/5,0)))))</f>
        <v/>
      </c>
      <c r="AU25" s="57" t="str">
        <f>IF(H25="","",IF(H25=0,"",MIN(1,U25/MAX(1,ROUND(H25*Paramètres!$E31/5,0)))))</f>
        <v/>
      </c>
      <c r="AV25" s="57" t="str">
        <f>IF(I25="","",IF(I25=0,"",MIN(1,V25/MAX(1,ROUND(I25*Paramètres!$E31/5,0)))))</f>
        <v/>
      </c>
      <c r="AW25" s="57" t="str">
        <f>IF(J25="","",IF(J25=0,"",MIN(1,W25/MAX(1,ROUND(J25*Paramètres!$E31/5,0)))))</f>
        <v/>
      </c>
      <c r="AX25" s="57" t="str">
        <f>IF(K25="","",IF(K25=0,"",MIN(1,X25/MAX(1,ROUND(K25*Paramètres!$E31/5,0)))))</f>
        <v/>
      </c>
      <c r="AY25" s="57" t="str">
        <f>IF(L25="","",IF(L25=0,"",MIN(1,Y25/MAX(1,ROUND(L25*Paramètres!$E31/5,0)))))</f>
        <v/>
      </c>
      <c r="AZ25" s="57" t="str">
        <f>IF(M25="","",IF(M25=0,"",MIN(1,Z25/MAX(1,ROUND(M25*Paramètres!$E31/5,0)))))</f>
        <v/>
      </c>
      <c r="BA25" s="57" t="str">
        <f>IF(N25="","",IF(N25=0,"",MIN(1,AA25/MAX(1,ROUND(N25*Paramètres!$E31/5,0)))))</f>
        <v/>
      </c>
      <c r="BC25" s="56">
        <f t="shared" si="16"/>
        <v>0</v>
      </c>
      <c r="BD25" s="56" t="str">
        <f t="shared" si="17"/>
        <v/>
      </c>
      <c r="BE25" s="56" t="str">
        <f t="shared" si="18"/>
        <v/>
      </c>
      <c r="BF25" s="56" t="str">
        <f t="shared" si="19"/>
        <v/>
      </c>
    </row>
    <row r="26" spans="1:58" x14ac:dyDescent="0.25">
      <c r="A26" s="56" t="str">
        <f>IF(Paramètres!A32="","",Paramètres!A32)</f>
        <v/>
      </c>
      <c r="C26" s="56" t="str">
        <f>IF(OR(Paramètres!$A32="",C$3=0),"",COUNTIFS(Calendrier!$A$2:$A$367,"&gt;="&amp;MAX(Paramètres!$C32,C$4),Calendrier!$A$2:$A$367,"&lt;="&amp;IF(Paramètres!$D32="",EOMONTH(C$4,0),MIN(Paramètres!$D32,EOMONTH(C$4,0))),Calendrier!$C$2:$C$367,1))</f>
        <v/>
      </c>
      <c r="D26" s="56" t="str">
        <f>IF(OR(Paramètres!$A32="",D$3=0),"",COUNTIFS(Calendrier!$A$2:$A$367,"&gt;="&amp;MAX(Paramètres!$C32,D$4),Calendrier!$A$2:$A$367,"&lt;="&amp;IF(Paramètres!$D32="",EOMONTH(D$4,0),MIN(Paramètres!$D32,EOMONTH(D$4,0))),Calendrier!$C$2:$C$367,1))</f>
        <v/>
      </c>
      <c r="E26" s="56" t="str">
        <f>IF(OR(Paramètres!$A32="",E$3=0),"",COUNTIFS(Calendrier!$A$2:$A$367,"&gt;="&amp;MAX(Paramètres!$C32,E$4),Calendrier!$A$2:$A$367,"&lt;="&amp;IF(Paramètres!$D32="",EOMONTH(E$4,0),MIN(Paramètres!$D32,EOMONTH(E$4,0))),Calendrier!$C$2:$C$367,1))</f>
        <v/>
      </c>
      <c r="F26" s="56" t="str">
        <f>IF(OR(Paramètres!$A32="",F$3=0),"",COUNTIFS(Calendrier!$A$2:$A$367,"&gt;="&amp;MAX(Paramètres!$C32,F$4),Calendrier!$A$2:$A$367,"&lt;="&amp;IF(Paramètres!$D32="",EOMONTH(F$4,0),MIN(Paramètres!$D32,EOMONTH(F$4,0))),Calendrier!$C$2:$C$367,1))</f>
        <v/>
      </c>
      <c r="G26" s="56" t="str">
        <f>IF(OR(Paramètres!$A32="",G$3=0),"",COUNTIFS(Calendrier!$A$2:$A$367,"&gt;="&amp;MAX(Paramètres!$C32,G$4),Calendrier!$A$2:$A$367,"&lt;="&amp;IF(Paramètres!$D32="",EOMONTH(G$4,0),MIN(Paramètres!$D32,EOMONTH(G$4,0))),Calendrier!$C$2:$C$367,1))</f>
        <v/>
      </c>
      <c r="H26" s="56" t="str">
        <f>IF(OR(Paramètres!$A32="",H$3=0),"",COUNTIFS(Calendrier!$A$2:$A$367,"&gt;="&amp;MAX(Paramètres!$C32,H$4),Calendrier!$A$2:$A$367,"&lt;="&amp;IF(Paramètres!$D32="",EOMONTH(H$4,0),MIN(Paramètres!$D32,EOMONTH(H$4,0))),Calendrier!$C$2:$C$367,1))</f>
        <v/>
      </c>
      <c r="I26" s="56" t="str">
        <f>IF(OR(Paramètres!$A32="",I$3=0),"",COUNTIFS(Calendrier!$A$2:$A$367,"&gt;="&amp;MAX(Paramètres!$C32,I$4),Calendrier!$A$2:$A$367,"&lt;="&amp;IF(Paramètres!$D32="",EOMONTH(I$4,0),MIN(Paramètres!$D32,EOMONTH(I$4,0))),Calendrier!$C$2:$C$367,1))</f>
        <v/>
      </c>
      <c r="J26" s="56" t="str">
        <f>IF(OR(Paramètres!$A32="",J$3=0),"",COUNTIFS(Calendrier!$A$2:$A$367,"&gt;="&amp;MAX(Paramètres!$C32,J$4),Calendrier!$A$2:$A$367,"&lt;="&amp;IF(Paramètres!$D32="",EOMONTH(J$4,0),MIN(Paramètres!$D32,EOMONTH(J$4,0))),Calendrier!$C$2:$C$367,1))</f>
        <v/>
      </c>
      <c r="K26" s="56" t="str">
        <f>IF(OR(Paramètres!$A32="",K$3=0),"",COUNTIFS(Calendrier!$A$2:$A$367,"&gt;="&amp;MAX(Paramètres!$C32,K$4),Calendrier!$A$2:$A$367,"&lt;="&amp;IF(Paramètres!$D32="",EOMONTH(K$4,0),MIN(Paramètres!$D32,EOMONTH(K$4,0))),Calendrier!$C$2:$C$367,1))</f>
        <v/>
      </c>
      <c r="L26" s="56" t="str">
        <f>IF(OR(Paramètres!$A32="",L$3=0),"",COUNTIFS(Calendrier!$A$2:$A$367,"&gt;="&amp;MAX(Paramètres!$C32,L$4),Calendrier!$A$2:$A$367,"&lt;="&amp;IF(Paramètres!$D32="",EOMONTH(L$4,0),MIN(Paramètres!$D32,EOMONTH(L$4,0))),Calendrier!$C$2:$C$367,1))</f>
        <v/>
      </c>
      <c r="M26" s="56" t="str">
        <f>IF(OR(Paramètres!$A32="",M$3=0),"",COUNTIFS(Calendrier!$A$2:$A$367,"&gt;="&amp;MAX(Paramètres!$C32,M$4),Calendrier!$A$2:$A$367,"&lt;="&amp;IF(Paramètres!$D32="",EOMONTH(M$4,0),MIN(Paramètres!$D32,EOMONTH(M$4,0))),Calendrier!$C$2:$C$367,1))</f>
        <v/>
      </c>
      <c r="N26" s="56" t="str">
        <f>IF(OR(Paramètres!$A32="",N$3=0),"",COUNTIFS(Calendrier!$A$2:$A$367,"&gt;="&amp;MAX(Paramètres!$C32,N$4),Calendrier!$A$2:$A$367,"&lt;="&amp;IF(Paramètres!$D32="",EOMONTH(N$4,0),MIN(Paramètres!$D32,EOMONTH(N$4,0))),Calendrier!$C$2:$C$367,1))</f>
        <v/>
      </c>
      <c r="P26" s="56" t="str">
        <f>IF(OR(Paramètres!$A32="",C$3=0),"",COUNTIFS(Journal!$D$2:$D$3001,Paramètres!$A32,Journal!$H$2:$H$3001,"&gt;="&amp;MAX(Paramètres!$C32,C$4),Journal!$H$2:$H$3001,"&lt;="&amp;IF(Paramètres!$D32="",EOMONTH(C$4,0),MIN(Paramètres!$D32,EOMONTH(C$4,0))),Journal!$K$2:$K$3001,1))</f>
        <v/>
      </c>
      <c r="Q26" s="56" t="str">
        <f>IF(OR(Paramètres!$A32="",D$3=0),"",COUNTIFS(Journal!$D$2:$D$3001,Paramètres!$A32,Journal!$H$2:$H$3001,"&gt;="&amp;MAX(Paramètres!$C32,D$4),Journal!$H$2:$H$3001,"&lt;="&amp;IF(Paramètres!$D32="",EOMONTH(D$4,0),MIN(Paramètres!$D32,EOMONTH(D$4,0))),Journal!$K$2:$K$3001,1))</f>
        <v/>
      </c>
      <c r="R26" s="56" t="str">
        <f>IF(OR(Paramètres!$A32="",E$3=0),"",COUNTIFS(Journal!$D$2:$D$3001,Paramètres!$A32,Journal!$H$2:$H$3001,"&gt;="&amp;MAX(Paramètres!$C32,E$4),Journal!$H$2:$H$3001,"&lt;="&amp;IF(Paramètres!$D32="",EOMONTH(E$4,0),MIN(Paramètres!$D32,EOMONTH(E$4,0))),Journal!$K$2:$K$3001,1))</f>
        <v/>
      </c>
      <c r="S26" s="56" t="str">
        <f>IF(OR(Paramètres!$A32="",F$3=0),"",COUNTIFS(Journal!$D$2:$D$3001,Paramètres!$A32,Journal!$H$2:$H$3001,"&gt;="&amp;MAX(Paramètres!$C32,F$4),Journal!$H$2:$H$3001,"&lt;="&amp;IF(Paramètres!$D32="",EOMONTH(F$4,0),MIN(Paramètres!$D32,EOMONTH(F$4,0))),Journal!$K$2:$K$3001,1))</f>
        <v/>
      </c>
      <c r="T26" s="56" t="str">
        <f>IF(OR(Paramètres!$A32="",G$3=0),"",COUNTIFS(Journal!$D$2:$D$3001,Paramètres!$A32,Journal!$H$2:$H$3001,"&gt;="&amp;MAX(Paramètres!$C32,G$4),Journal!$H$2:$H$3001,"&lt;="&amp;IF(Paramètres!$D32="",EOMONTH(G$4,0),MIN(Paramètres!$D32,EOMONTH(G$4,0))),Journal!$K$2:$K$3001,1))</f>
        <v/>
      </c>
      <c r="U26" s="56" t="str">
        <f>IF(OR(Paramètres!$A32="",H$3=0),"",COUNTIFS(Journal!$D$2:$D$3001,Paramètres!$A32,Journal!$H$2:$H$3001,"&gt;="&amp;MAX(Paramètres!$C32,H$4),Journal!$H$2:$H$3001,"&lt;="&amp;IF(Paramètres!$D32="",EOMONTH(H$4,0),MIN(Paramètres!$D32,EOMONTH(H$4,0))),Journal!$K$2:$K$3001,1))</f>
        <v/>
      </c>
      <c r="V26" s="56" t="str">
        <f>IF(OR(Paramètres!$A32="",I$3=0),"",COUNTIFS(Journal!$D$2:$D$3001,Paramètres!$A32,Journal!$H$2:$H$3001,"&gt;="&amp;MAX(Paramètres!$C32,I$4),Journal!$H$2:$H$3001,"&lt;="&amp;IF(Paramètres!$D32="",EOMONTH(I$4,0),MIN(Paramètres!$D32,EOMONTH(I$4,0))),Journal!$K$2:$K$3001,1))</f>
        <v/>
      </c>
      <c r="W26" s="56" t="str">
        <f>IF(OR(Paramètres!$A32="",J$3=0),"",COUNTIFS(Journal!$D$2:$D$3001,Paramètres!$A32,Journal!$H$2:$H$3001,"&gt;="&amp;MAX(Paramètres!$C32,J$4),Journal!$H$2:$H$3001,"&lt;="&amp;IF(Paramètres!$D32="",EOMONTH(J$4,0),MIN(Paramètres!$D32,EOMONTH(J$4,0))),Journal!$K$2:$K$3001,1))</f>
        <v/>
      </c>
      <c r="X26" s="56" t="str">
        <f>IF(OR(Paramètres!$A32="",K$3=0),"",COUNTIFS(Journal!$D$2:$D$3001,Paramètres!$A32,Journal!$H$2:$H$3001,"&gt;="&amp;MAX(Paramètres!$C32,K$4),Journal!$H$2:$H$3001,"&lt;="&amp;IF(Paramètres!$D32="",EOMONTH(K$4,0),MIN(Paramètres!$D32,EOMONTH(K$4,0))),Journal!$K$2:$K$3001,1))</f>
        <v/>
      </c>
      <c r="Y26" s="56" t="str">
        <f>IF(OR(Paramètres!$A32="",L$3=0),"",COUNTIFS(Journal!$D$2:$D$3001,Paramètres!$A32,Journal!$H$2:$H$3001,"&gt;="&amp;MAX(Paramètres!$C32,L$4),Journal!$H$2:$H$3001,"&lt;="&amp;IF(Paramètres!$D32="",EOMONTH(L$4,0),MIN(Paramètres!$D32,EOMONTH(L$4,0))),Journal!$K$2:$K$3001,1))</f>
        <v/>
      </c>
      <c r="Z26" s="56" t="str">
        <f>IF(OR(Paramètres!$A32="",M$3=0),"",COUNTIFS(Journal!$D$2:$D$3001,Paramètres!$A32,Journal!$H$2:$H$3001,"&gt;="&amp;MAX(Paramètres!$C32,M$4),Journal!$H$2:$H$3001,"&lt;="&amp;IF(Paramètres!$D32="",EOMONTH(M$4,0),MIN(Paramètres!$D32,EOMONTH(M$4,0))),Journal!$K$2:$K$3001,1))</f>
        <v/>
      </c>
      <c r="AA26" s="56" t="str">
        <f>IF(OR(Paramètres!$A32="",N$3=0),"",COUNTIFS(Journal!$D$2:$D$3001,Paramètres!$A32,Journal!$H$2:$H$3001,"&gt;="&amp;MAX(Paramètres!$C32,N$4),Journal!$H$2:$H$3001,"&lt;="&amp;IF(Paramètres!$D32="",EOMONTH(N$4,0),MIN(Paramètres!$D32,EOMONTH(N$4,0))),Journal!$K$2:$K$3001,1))</f>
        <v/>
      </c>
      <c r="AC26" s="57" t="str">
        <f t="shared" si="4"/>
        <v/>
      </c>
      <c r="AD26" s="57" t="str">
        <f t="shared" si="5"/>
        <v/>
      </c>
      <c r="AE26" s="57" t="str">
        <f t="shared" si="6"/>
        <v/>
      </c>
      <c r="AF26" s="57" t="str">
        <f t="shared" si="7"/>
        <v/>
      </c>
      <c r="AG26" s="57" t="str">
        <f t="shared" si="8"/>
        <v/>
      </c>
      <c r="AH26" s="57" t="str">
        <f t="shared" si="9"/>
        <v/>
      </c>
      <c r="AI26" s="57" t="str">
        <f t="shared" si="10"/>
        <v/>
      </c>
      <c r="AJ26" s="57" t="str">
        <f t="shared" si="11"/>
        <v/>
      </c>
      <c r="AK26" s="57" t="str">
        <f t="shared" si="12"/>
        <v/>
      </c>
      <c r="AL26" s="57" t="str">
        <f t="shared" si="13"/>
        <v/>
      </c>
      <c r="AM26" s="57" t="str">
        <f t="shared" si="14"/>
        <v/>
      </c>
      <c r="AN26" s="57" t="str">
        <f t="shared" si="15"/>
        <v/>
      </c>
      <c r="AP26" s="57" t="str">
        <f>IF(C26="","",IF(C26=0,"",MIN(1,P26/MAX(1,ROUND(C26*Paramètres!$E32/5,0)))))</f>
        <v/>
      </c>
      <c r="AQ26" s="57" t="str">
        <f>IF(D26="","",IF(D26=0,"",MIN(1,Q26/MAX(1,ROUND(D26*Paramètres!$E32/5,0)))))</f>
        <v/>
      </c>
      <c r="AR26" s="57" t="str">
        <f>IF(E26="","",IF(E26=0,"",MIN(1,R26/MAX(1,ROUND(E26*Paramètres!$E32/5,0)))))</f>
        <v/>
      </c>
      <c r="AS26" s="57" t="str">
        <f>IF(F26="","",IF(F26=0,"",MIN(1,S26/MAX(1,ROUND(F26*Paramètres!$E32/5,0)))))</f>
        <v/>
      </c>
      <c r="AT26" s="57" t="str">
        <f>IF(G26="","",IF(G26=0,"",MIN(1,T26/MAX(1,ROUND(G26*Paramètres!$E32/5,0)))))</f>
        <v/>
      </c>
      <c r="AU26" s="57" t="str">
        <f>IF(H26="","",IF(H26=0,"",MIN(1,U26/MAX(1,ROUND(H26*Paramètres!$E32/5,0)))))</f>
        <v/>
      </c>
      <c r="AV26" s="57" t="str">
        <f>IF(I26="","",IF(I26=0,"",MIN(1,V26/MAX(1,ROUND(I26*Paramètres!$E32/5,0)))))</f>
        <v/>
      </c>
      <c r="AW26" s="57" t="str">
        <f>IF(J26="","",IF(J26=0,"",MIN(1,W26/MAX(1,ROUND(J26*Paramètres!$E32/5,0)))))</f>
        <v/>
      </c>
      <c r="AX26" s="57" t="str">
        <f>IF(K26="","",IF(K26=0,"",MIN(1,X26/MAX(1,ROUND(K26*Paramètres!$E32/5,0)))))</f>
        <v/>
      </c>
      <c r="AY26" s="57" t="str">
        <f>IF(L26="","",IF(L26=0,"",MIN(1,Y26/MAX(1,ROUND(L26*Paramètres!$E32/5,0)))))</f>
        <v/>
      </c>
      <c r="AZ26" s="57" t="str">
        <f>IF(M26="","",IF(M26=0,"",MIN(1,Z26/MAX(1,ROUND(M26*Paramètres!$E32/5,0)))))</f>
        <v/>
      </c>
      <c r="BA26" s="57" t="str">
        <f>IF(N26="","",IF(N26=0,"",MIN(1,AA26/MAX(1,ROUND(N26*Paramètres!$E32/5,0)))))</f>
        <v/>
      </c>
      <c r="BC26" s="56">
        <f t="shared" si="16"/>
        <v>0</v>
      </c>
      <c r="BD26" s="56" t="str">
        <f t="shared" si="17"/>
        <v/>
      </c>
      <c r="BE26" s="56" t="str">
        <f t="shared" si="18"/>
        <v/>
      </c>
      <c r="BF26" s="56" t="str">
        <f t="shared" si="19"/>
        <v/>
      </c>
    </row>
    <row r="27" spans="1:58" x14ac:dyDescent="0.25">
      <c r="A27" s="56" t="str">
        <f>IF(Paramètres!A33="","",Paramètres!A33)</f>
        <v/>
      </c>
      <c r="C27" s="56" t="str">
        <f>IF(OR(Paramètres!$A33="",C$3=0),"",COUNTIFS(Calendrier!$A$2:$A$367,"&gt;="&amp;MAX(Paramètres!$C33,C$4),Calendrier!$A$2:$A$367,"&lt;="&amp;IF(Paramètres!$D33="",EOMONTH(C$4,0),MIN(Paramètres!$D33,EOMONTH(C$4,0))),Calendrier!$C$2:$C$367,1))</f>
        <v/>
      </c>
      <c r="D27" s="56" t="str">
        <f>IF(OR(Paramètres!$A33="",D$3=0),"",COUNTIFS(Calendrier!$A$2:$A$367,"&gt;="&amp;MAX(Paramètres!$C33,D$4),Calendrier!$A$2:$A$367,"&lt;="&amp;IF(Paramètres!$D33="",EOMONTH(D$4,0),MIN(Paramètres!$D33,EOMONTH(D$4,0))),Calendrier!$C$2:$C$367,1))</f>
        <v/>
      </c>
      <c r="E27" s="56" t="str">
        <f>IF(OR(Paramètres!$A33="",E$3=0),"",COUNTIFS(Calendrier!$A$2:$A$367,"&gt;="&amp;MAX(Paramètres!$C33,E$4),Calendrier!$A$2:$A$367,"&lt;="&amp;IF(Paramètres!$D33="",EOMONTH(E$4,0),MIN(Paramètres!$D33,EOMONTH(E$4,0))),Calendrier!$C$2:$C$367,1))</f>
        <v/>
      </c>
      <c r="F27" s="56" t="str">
        <f>IF(OR(Paramètres!$A33="",F$3=0),"",COUNTIFS(Calendrier!$A$2:$A$367,"&gt;="&amp;MAX(Paramètres!$C33,F$4),Calendrier!$A$2:$A$367,"&lt;="&amp;IF(Paramètres!$D33="",EOMONTH(F$4,0),MIN(Paramètres!$D33,EOMONTH(F$4,0))),Calendrier!$C$2:$C$367,1))</f>
        <v/>
      </c>
      <c r="G27" s="56" t="str">
        <f>IF(OR(Paramètres!$A33="",G$3=0),"",COUNTIFS(Calendrier!$A$2:$A$367,"&gt;="&amp;MAX(Paramètres!$C33,G$4),Calendrier!$A$2:$A$367,"&lt;="&amp;IF(Paramètres!$D33="",EOMONTH(G$4,0),MIN(Paramètres!$D33,EOMONTH(G$4,0))),Calendrier!$C$2:$C$367,1))</f>
        <v/>
      </c>
      <c r="H27" s="56" t="str">
        <f>IF(OR(Paramètres!$A33="",H$3=0),"",COUNTIFS(Calendrier!$A$2:$A$367,"&gt;="&amp;MAX(Paramètres!$C33,H$4),Calendrier!$A$2:$A$367,"&lt;="&amp;IF(Paramètres!$D33="",EOMONTH(H$4,0),MIN(Paramètres!$D33,EOMONTH(H$4,0))),Calendrier!$C$2:$C$367,1))</f>
        <v/>
      </c>
      <c r="I27" s="56" t="str">
        <f>IF(OR(Paramètres!$A33="",I$3=0),"",COUNTIFS(Calendrier!$A$2:$A$367,"&gt;="&amp;MAX(Paramètres!$C33,I$4),Calendrier!$A$2:$A$367,"&lt;="&amp;IF(Paramètres!$D33="",EOMONTH(I$4,0),MIN(Paramètres!$D33,EOMONTH(I$4,0))),Calendrier!$C$2:$C$367,1))</f>
        <v/>
      </c>
      <c r="J27" s="56" t="str">
        <f>IF(OR(Paramètres!$A33="",J$3=0),"",COUNTIFS(Calendrier!$A$2:$A$367,"&gt;="&amp;MAX(Paramètres!$C33,J$4),Calendrier!$A$2:$A$367,"&lt;="&amp;IF(Paramètres!$D33="",EOMONTH(J$4,0),MIN(Paramètres!$D33,EOMONTH(J$4,0))),Calendrier!$C$2:$C$367,1))</f>
        <v/>
      </c>
      <c r="K27" s="56" t="str">
        <f>IF(OR(Paramètres!$A33="",K$3=0),"",COUNTIFS(Calendrier!$A$2:$A$367,"&gt;="&amp;MAX(Paramètres!$C33,K$4),Calendrier!$A$2:$A$367,"&lt;="&amp;IF(Paramètres!$D33="",EOMONTH(K$4,0),MIN(Paramètres!$D33,EOMONTH(K$4,0))),Calendrier!$C$2:$C$367,1))</f>
        <v/>
      </c>
      <c r="L27" s="56" t="str">
        <f>IF(OR(Paramètres!$A33="",L$3=0),"",COUNTIFS(Calendrier!$A$2:$A$367,"&gt;="&amp;MAX(Paramètres!$C33,L$4),Calendrier!$A$2:$A$367,"&lt;="&amp;IF(Paramètres!$D33="",EOMONTH(L$4,0),MIN(Paramètres!$D33,EOMONTH(L$4,0))),Calendrier!$C$2:$C$367,1))</f>
        <v/>
      </c>
      <c r="M27" s="56" t="str">
        <f>IF(OR(Paramètres!$A33="",M$3=0),"",COUNTIFS(Calendrier!$A$2:$A$367,"&gt;="&amp;MAX(Paramètres!$C33,M$4),Calendrier!$A$2:$A$367,"&lt;="&amp;IF(Paramètres!$D33="",EOMONTH(M$4,0),MIN(Paramètres!$D33,EOMONTH(M$4,0))),Calendrier!$C$2:$C$367,1))</f>
        <v/>
      </c>
      <c r="N27" s="56" t="str">
        <f>IF(OR(Paramètres!$A33="",N$3=0),"",COUNTIFS(Calendrier!$A$2:$A$367,"&gt;="&amp;MAX(Paramètres!$C33,N$4),Calendrier!$A$2:$A$367,"&lt;="&amp;IF(Paramètres!$D33="",EOMONTH(N$4,0),MIN(Paramètres!$D33,EOMONTH(N$4,0))),Calendrier!$C$2:$C$367,1))</f>
        <v/>
      </c>
      <c r="P27" s="56" t="str">
        <f>IF(OR(Paramètres!$A33="",C$3=0),"",COUNTIFS(Journal!$D$2:$D$3001,Paramètres!$A33,Journal!$H$2:$H$3001,"&gt;="&amp;MAX(Paramètres!$C33,C$4),Journal!$H$2:$H$3001,"&lt;="&amp;IF(Paramètres!$D33="",EOMONTH(C$4,0),MIN(Paramètres!$D33,EOMONTH(C$4,0))),Journal!$K$2:$K$3001,1))</f>
        <v/>
      </c>
      <c r="Q27" s="56" t="str">
        <f>IF(OR(Paramètres!$A33="",D$3=0),"",COUNTIFS(Journal!$D$2:$D$3001,Paramètres!$A33,Journal!$H$2:$H$3001,"&gt;="&amp;MAX(Paramètres!$C33,D$4),Journal!$H$2:$H$3001,"&lt;="&amp;IF(Paramètres!$D33="",EOMONTH(D$4,0),MIN(Paramètres!$D33,EOMONTH(D$4,0))),Journal!$K$2:$K$3001,1))</f>
        <v/>
      </c>
      <c r="R27" s="56" t="str">
        <f>IF(OR(Paramètres!$A33="",E$3=0),"",COUNTIFS(Journal!$D$2:$D$3001,Paramètres!$A33,Journal!$H$2:$H$3001,"&gt;="&amp;MAX(Paramètres!$C33,E$4),Journal!$H$2:$H$3001,"&lt;="&amp;IF(Paramètres!$D33="",EOMONTH(E$4,0),MIN(Paramètres!$D33,EOMONTH(E$4,0))),Journal!$K$2:$K$3001,1))</f>
        <v/>
      </c>
      <c r="S27" s="56" t="str">
        <f>IF(OR(Paramètres!$A33="",F$3=0),"",COUNTIFS(Journal!$D$2:$D$3001,Paramètres!$A33,Journal!$H$2:$H$3001,"&gt;="&amp;MAX(Paramètres!$C33,F$4),Journal!$H$2:$H$3001,"&lt;="&amp;IF(Paramètres!$D33="",EOMONTH(F$4,0),MIN(Paramètres!$D33,EOMONTH(F$4,0))),Journal!$K$2:$K$3001,1))</f>
        <v/>
      </c>
      <c r="T27" s="56" t="str">
        <f>IF(OR(Paramètres!$A33="",G$3=0),"",COUNTIFS(Journal!$D$2:$D$3001,Paramètres!$A33,Journal!$H$2:$H$3001,"&gt;="&amp;MAX(Paramètres!$C33,G$4),Journal!$H$2:$H$3001,"&lt;="&amp;IF(Paramètres!$D33="",EOMONTH(G$4,0),MIN(Paramètres!$D33,EOMONTH(G$4,0))),Journal!$K$2:$K$3001,1))</f>
        <v/>
      </c>
      <c r="U27" s="56" t="str">
        <f>IF(OR(Paramètres!$A33="",H$3=0),"",COUNTIFS(Journal!$D$2:$D$3001,Paramètres!$A33,Journal!$H$2:$H$3001,"&gt;="&amp;MAX(Paramètres!$C33,H$4),Journal!$H$2:$H$3001,"&lt;="&amp;IF(Paramètres!$D33="",EOMONTH(H$4,0),MIN(Paramètres!$D33,EOMONTH(H$4,0))),Journal!$K$2:$K$3001,1))</f>
        <v/>
      </c>
      <c r="V27" s="56" t="str">
        <f>IF(OR(Paramètres!$A33="",I$3=0),"",COUNTIFS(Journal!$D$2:$D$3001,Paramètres!$A33,Journal!$H$2:$H$3001,"&gt;="&amp;MAX(Paramètres!$C33,I$4),Journal!$H$2:$H$3001,"&lt;="&amp;IF(Paramètres!$D33="",EOMONTH(I$4,0),MIN(Paramètres!$D33,EOMONTH(I$4,0))),Journal!$K$2:$K$3001,1))</f>
        <v/>
      </c>
      <c r="W27" s="56" t="str">
        <f>IF(OR(Paramètres!$A33="",J$3=0),"",COUNTIFS(Journal!$D$2:$D$3001,Paramètres!$A33,Journal!$H$2:$H$3001,"&gt;="&amp;MAX(Paramètres!$C33,J$4),Journal!$H$2:$H$3001,"&lt;="&amp;IF(Paramètres!$D33="",EOMONTH(J$4,0),MIN(Paramètres!$D33,EOMONTH(J$4,0))),Journal!$K$2:$K$3001,1))</f>
        <v/>
      </c>
      <c r="X27" s="56" t="str">
        <f>IF(OR(Paramètres!$A33="",K$3=0),"",COUNTIFS(Journal!$D$2:$D$3001,Paramètres!$A33,Journal!$H$2:$H$3001,"&gt;="&amp;MAX(Paramètres!$C33,K$4),Journal!$H$2:$H$3001,"&lt;="&amp;IF(Paramètres!$D33="",EOMONTH(K$4,0),MIN(Paramètres!$D33,EOMONTH(K$4,0))),Journal!$K$2:$K$3001,1))</f>
        <v/>
      </c>
      <c r="Y27" s="56" t="str">
        <f>IF(OR(Paramètres!$A33="",L$3=0),"",COUNTIFS(Journal!$D$2:$D$3001,Paramètres!$A33,Journal!$H$2:$H$3001,"&gt;="&amp;MAX(Paramètres!$C33,L$4),Journal!$H$2:$H$3001,"&lt;="&amp;IF(Paramètres!$D33="",EOMONTH(L$4,0),MIN(Paramètres!$D33,EOMONTH(L$4,0))),Journal!$K$2:$K$3001,1))</f>
        <v/>
      </c>
      <c r="Z27" s="56" t="str">
        <f>IF(OR(Paramètres!$A33="",M$3=0),"",COUNTIFS(Journal!$D$2:$D$3001,Paramètres!$A33,Journal!$H$2:$H$3001,"&gt;="&amp;MAX(Paramètres!$C33,M$4),Journal!$H$2:$H$3001,"&lt;="&amp;IF(Paramètres!$D33="",EOMONTH(M$4,0),MIN(Paramètres!$D33,EOMONTH(M$4,0))),Journal!$K$2:$K$3001,1))</f>
        <v/>
      </c>
      <c r="AA27" s="56" t="str">
        <f>IF(OR(Paramètres!$A33="",N$3=0),"",COUNTIFS(Journal!$D$2:$D$3001,Paramètres!$A33,Journal!$H$2:$H$3001,"&gt;="&amp;MAX(Paramètres!$C33,N$4),Journal!$H$2:$H$3001,"&lt;="&amp;IF(Paramètres!$D33="",EOMONTH(N$4,0),MIN(Paramètres!$D33,EOMONTH(N$4,0))),Journal!$K$2:$K$3001,1))</f>
        <v/>
      </c>
      <c r="AC27" s="57" t="str">
        <f t="shared" si="4"/>
        <v/>
      </c>
      <c r="AD27" s="57" t="str">
        <f t="shared" si="5"/>
        <v/>
      </c>
      <c r="AE27" s="57" t="str">
        <f t="shared" si="6"/>
        <v/>
      </c>
      <c r="AF27" s="57" t="str">
        <f t="shared" si="7"/>
        <v/>
      </c>
      <c r="AG27" s="57" t="str">
        <f t="shared" si="8"/>
        <v/>
      </c>
      <c r="AH27" s="57" t="str">
        <f t="shared" si="9"/>
        <v/>
      </c>
      <c r="AI27" s="57" t="str">
        <f t="shared" si="10"/>
        <v/>
      </c>
      <c r="AJ27" s="57" t="str">
        <f t="shared" si="11"/>
        <v/>
      </c>
      <c r="AK27" s="57" t="str">
        <f t="shared" si="12"/>
        <v/>
      </c>
      <c r="AL27" s="57" t="str">
        <f t="shared" si="13"/>
        <v/>
      </c>
      <c r="AM27" s="57" t="str">
        <f t="shared" si="14"/>
        <v/>
      </c>
      <c r="AN27" s="57" t="str">
        <f t="shared" si="15"/>
        <v/>
      </c>
      <c r="AP27" s="57" t="str">
        <f>IF(C27="","",IF(C27=0,"",MIN(1,P27/MAX(1,ROUND(C27*Paramètres!$E33/5,0)))))</f>
        <v/>
      </c>
      <c r="AQ27" s="57" t="str">
        <f>IF(D27="","",IF(D27=0,"",MIN(1,Q27/MAX(1,ROUND(D27*Paramètres!$E33/5,0)))))</f>
        <v/>
      </c>
      <c r="AR27" s="57" t="str">
        <f>IF(E27="","",IF(E27=0,"",MIN(1,R27/MAX(1,ROUND(E27*Paramètres!$E33/5,0)))))</f>
        <v/>
      </c>
      <c r="AS27" s="57" t="str">
        <f>IF(F27="","",IF(F27=0,"",MIN(1,S27/MAX(1,ROUND(F27*Paramètres!$E33/5,0)))))</f>
        <v/>
      </c>
      <c r="AT27" s="57" t="str">
        <f>IF(G27="","",IF(G27=0,"",MIN(1,T27/MAX(1,ROUND(G27*Paramètres!$E33/5,0)))))</f>
        <v/>
      </c>
      <c r="AU27" s="57" t="str">
        <f>IF(H27="","",IF(H27=0,"",MIN(1,U27/MAX(1,ROUND(H27*Paramètres!$E33/5,0)))))</f>
        <v/>
      </c>
      <c r="AV27" s="57" t="str">
        <f>IF(I27="","",IF(I27=0,"",MIN(1,V27/MAX(1,ROUND(I27*Paramètres!$E33/5,0)))))</f>
        <v/>
      </c>
      <c r="AW27" s="57" t="str">
        <f>IF(J27="","",IF(J27=0,"",MIN(1,W27/MAX(1,ROUND(J27*Paramètres!$E33/5,0)))))</f>
        <v/>
      </c>
      <c r="AX27" s="57" t="str">
        <f>IF(K27="","",IF(K27=0,"",MIN(1,X27/MAX(1,ROUND(K27*Paramètres!$E33/5,0)))))</f>
        <v/>
      </c>
      <c r="AY27" s="57" t="str">
        <f>IF(L27="","",IF(L27=0,"",MIN(1,Y27/MAX(1,ROUND(L27*Paramètres!$E33/5,0)))))</f>
        <v/>
      </c>
      <c r="AZ27" s="57" t="str">
        <f>IF(M27="","",IF(M27=0,"",MIN(1,Z27/MAX(1,ROUND(M27*Paramètres!$E33/5,0)))))</f>
        <v/>
      </c>
      <c r="BA27" s="57" t="str">
        <f>IF(N27="","",IF(N27=0,"",MIN(1,AA27/MAX(1,ROUND(N27*Paramètres!$E33/5,0)))))</f>
        <v/>
      </c>
      <c r="BC27" s="56">
        <f t="shared" si="16"/>
        <v>0</v>
      </c>
      <c r="BD27" s="56" t="str">
        <f t="shared" si="17"/>
        <v/>
      </c>
      <c r="BE27" s="56" t="str">
        <f t="shared" si="18"/>
        <v/>
      </c>
      <c r="BF27" s="56" t="str">
        <f t="shared" si="19"/>
        <v/>
      </c>
    </row>
    <row r="28" spans="1:58" x14ac:dyDescent="0.25">
      <c r="A28" s="56" t="str">
        <f>IF(Paramètres!A34="","",Paramètres!A34)</f>
        <v/>
      </c>
      <c r="C28" s="56" t="str">
        <f>IF(OR(Paramètres!$A34="",C$3=0),"",COUNTIFS(Calendrier!$A$2:$A$367,"&gt;="&amp;MAX(Paramètres!$C34,C$4),Calendrier!$A$2:$A$367,"&lt;="&amp;IF(Paramètres!$D34="",EOMONTH(C$4,0),MIN(Paramètres!$D34,EOMONTH(C$4,0))),Calendrier!$C$2:$C$367,1))</f>
        <v/>
      </c>
      <c r="D28" s="56" t="str">
        <f>IF(OR(Paramètres!$A34="",D$3=0),"",COUNTIFS(Calendrier!$A$2:$A$367,"&gt;="&amp;MAX(Paramètres!$C34,D$4),Calendrier!$A$2:$A$367,"&lt;="&amp;IF(Paramètres!$D34="",EOMONTH(D$4,0),MIN(Paramètres!$D34,EOMONTH(D$4,0))),Calendrier!$C$2:$C$367,1))</f>
        <v/>
      </c>
      <c r="E28" s="56" t="str">
        <f>IF(OR(Paramètres!$A34="",E$3=0),"",COUNTIFS(Calendrier!$A$2:$A$367,"&gt;="&amp;MAX(Paramètres!$C34,E$4),Calendrier!$A$2:$A$367,"&lt;="&amp;IF(Paramètres!$D34="",EOMONTH(E$4,0),MIN(Paramètres!$D34,EOMONTH(E$4,0))),Calendrier!$C$2:$C$367,1))</f>
        <v/>
      </c>
      <c r="F28" s="56" t="str">
        <f>IF(OR(Paramètres!$A34="",F$3=0),"",COUNTIFS(Calendrier!$A$2:$A$367,"&gt;="&amp;MAX(Paramètres!$C34,F$4),Calendrier!$A$2:$A$367,"&lt;="&amp;IF(Paramètres!$D34="",EOMONTH(F$4,0),MIN(Paramètres!$D34,EOMONTH(F$4,0))),Calendrier!$C$2:$C$367,1))</f>
        <v/>
      </c>
      <c r="G28" s="56" t="str">
        <f>IF(OR(Paramètres!$A34="",G$3=0),"",COUNTIFS(Calendrier!$A$2:$A$367,"&gt;="&amp;MAX(Paramètres!$C34,G$4),Calendrier!$A$2:$A$367,"&lt;="&amp;IF(Paramètres!$D34="",EOMONTH(G$4,0),MIN(Paramètres!$D34,EOMONTH(G$4,0))),Calendrier!$C$2:$C$367,1))</f>
        <v/>
      </c>
      <c r="H28" s="56" t="str">
        <f>IF(OR(Paramètres!$A34="",H$3=0),"",COUNTIFS(Calendrier!$A$2:$A$367,"&gt;="&amp;MAX(Paramètres!$C34,H$4),Calendrier!$A$2:$A$367,"&lt;="&amp;IF(Paramètres!$D34="",EOMONTH(H$4,0),MIN(Paramètres!$D34,EOMONTH(H$4,0))),Calendrier!$C$2:$C$367,1))</f>
        <v/>
      </c>
      <c r="I28" s="56" t="str">
        <f>IF(OR(Paramètres!$A34="",I$3=0),"",COUNTIFS(Calendrier!$A$2:$A$367,"&gt;="&amp;MAX(Paramètres!$C34,I$4),Calendrier!$A$2:$A$367,"&lt;="&amp;IF(Paramètres!$D34="",EOMONTH(I$4,0),MIN(Paramètres!$D34,EOMONTH(I$4,0))),Calendrier!$C$2:$C$367,1))</f>
        <v/>
      </c>
      <c r="J28" s="56" t="str">
        <f>IF(OR(Paramètres!$A34="",J$3=0),"",COUNTIFS(Calendrier!$A$2:$A$367,"&gt;="&amp;MAX(Paramètres!$C34,J$4),Calendrier!$A$2:$A$367,"&lt;="&amp;IF(Paramètres!$D34="",EOMONTH(J$4,0),MIN(Paramètres!$D34,EOMONTH(J$4,0))),Calendrier!$C$2:$C$367,1))</f>
        <v/>
      </c>
      <c r="K28" s="56" t="str">
        <f>IF(OR(Paramètres!$A34="",K$3=0),"",COUNTIFS(Calendrier!$A$2:$A$367,"&gt;="&amp;MAX(Paramètres!$C34,K$4),Calendrier!$A$2:$A$367,"&lt;="&amp;IF(Paramètres!$D34="",EOMONTH(K$4,0),MIN(Paramètres!$D34,EOMONTH(K$4,0))),Calendrier!$C$2:$C$367,1))</f>
        <v/>
      </c>
      <c r="L28" s="56" t="str">
        <f>IF(OR(Paramètres!$A34="",L$3=0),"",COUNTIFS(Calendrier!$A$2:$A$367,"&gt;="&amp;MAX(Paramètres!$C34,L$4),Calendrier!$A$2:$A$367,"&lt;="&amp;IF(Paramètres!$D34="",EOMONTH(L$4,0),MIN(Paramètres!$D34,EOMONTH(L$4,0))),Calendrier!$C$2:$C$367,1))</f>
        <v/>
      </c>
      <c r="M28" s="56" t="str">
        <f>IF(OR(Paramètres!$A34="",M$3=0),"",COUNTIFS(Calendrier!$A$2:$A$367,"&gt;="&amp;MAX(Paramètres!$C34,M$4),Calendrier!$A$2:$A$367,"&lt;="&amp;IF(Paramètres!$D34="",EOMONTH(M$4,0),MIN(Paramètres!$D34,EOMONTH(M$4,0))),Calendrier!$C$2:$C$367,1))</f>
        <v/>
      </c>
      <c r="N28" s="56" t="str">
        <f>IF(OR(Paramètres!$A34="",N$3=0),"",COUNTIFS(Calendrier!$A$2:$A$367,"&gt;="&amp;MAX(Paramètres!$C34,N$4),Calendrier!$A$2:$A$367,"&lt;="&amp;IF(Paramètres!$D34="",EOMONTH(N$4,0),MIN(Paramètres!$D34,EOMONTH(N$4,0))),Calendrier!$C$2:$C$367,1))</f>
        <v/>
      </c>
      <c r="P28" s="56" t="str">
        <f>IF(OR(Paramètres!$A34="",C$3=0),"",COUNTIFS(Journal!$D$2:$D$3001,Paramètres!$A34,Journal!$H$2:$H$3001,"&gt;="&amp;MAX(Paramètres!$C34,C$4),Journal!$H$2:$H$3001,"&lt;="&amp;IF(Paramètres!$D34="",EOMONTH(C$4,0),MIN(Paramètres!$D34,EOMONTH(C$4,0))),Journal!$K$2:$K$3001,1))</f>
        <v/>
      </c>
      <c r="Q28" s="56" t="str">
        <f>IF(OR(Paramètres!$A34="",D$3=0),"",COUNTIFS(Journal!$D$2:$D$3001,Paramètres!$A34,Journal!$H$2:$H$3001,"&gt;="&amp;MAX(Paramètres!$C34,D$4),Journal!$H$2:$H$3001,"&lt;="&amp;IF(Paramètres!$D34="",EOMONTH(D$4,0),MIN(Paramètres!$D34,EOMONTH(D$4,0))),Journal!$K$2:$K$3001,1))</f>
        <v/>
      </c>
      <c r="R28" s="56" t="str">
        <f>IF(OR(Paramètres!$A34="",E$3=0),"",COUNTIFS(Journal!$D$2:$D$3001,Paramètres!$A34,Journal!$H$2:$H$3001,"&gt;="&amp;MAX(Paramètres!$C34,E$4),Journal!$H$2:$H$3001,"&lt;="&amp;IF(Paramètres!$D34="",EOMONTH(E$4,0),MIN(Paramètres!$D34,EOMONTH(E$4,0))),Journal!$K$2:$K$3001,1))</f>
        <v/>
      </c>
      <c r="S28" s="56" t="str">
        <f>IF(OR(Paramètres!$A34="",F$3=0),"",COUNTIFS(Journal!$D$2:$D$3001,Paramètres!$A34,Journal!$H$2:$H$3001,"&gt;="&amp;MAX(Paramètres!$C34,F$4),Journal!$H$2:$H$3001,"&lt;="&amp;IF(Paramètres!$D34="",EOMONTH(F$4,0),MIN(Paramètres!$D34,EOMONTH(F$4,0))),Journal!$K$2:$K$3001,1))</f>
        <v/>
      </c>
      <c r="T28" s="56" t="str">
        <f>IF(OR(Paramètres!$A34="",G$3=0),"",COUNTIFS(Journal!$D$2:$D$3001,Paramètres!$A34,Journal!$H$2:$H$3001,"&gt;="&amp;MAX(Paramètres!$C34,G$4),Journal!$H$2:$H$3001,"&lt;="&amp;IF(Paramètres!$D34="",EOMONTH(G$4,0),MIN(Paramètres!$D34,EOMONTH(G$4,0))),Journal!$K$2:$K$3001,1))</f>
        <v/>
      </c>
      <c r="U28" s="56" t="str">
        <f>IF(OR(Paramètres!$A34="",H$3=0),"",COUNTIFS(Journal!$D$2:$D$3001,Paramètres!$A34,Journal!$H$2:$H$3001,"&gt;="&amp;MAX(Paramètres!$C34,H$4),Journal!$H$2:$H$3001,"&lt;="&amp;IF(Paramètres!$D34="",EOMONTH(H$4,0),MIN(Paramètres!$D34,EOMONTH(H$4,0))),Journal!$K$2:$K$3001,1))</f>
        <v/>
      </c>
      <c r="V28" s="56" t="str">
        <f>IF(OR(Paramètres!$A34="",I$3=0),"",COUNTIFS(Journal!$D$2:$D$3001,Paramètres!$A34,Journal!$H$2:$H$3001,"&gt;="&amp;MAX(Paramètres!$C34,I$4),Journal!$H$2:$H$3001,"&lt;="&amp;IF(Paramètres!$D34="",EOMONTH(I$4,0),MIN(Paramètres!$D34,EOMONTH(I$4,0))),Journal!$K$2:$K$3001,1))</f>
        <v/>
      </c>
      <c r="W28" s="56" t="str">
        <f>IF(OR(Paramètres!$A34="",J$3=0),"",COUNTIFS(Journal!$D$2:$D$3001,Paramètres!$A34,Journal!$H$2:$H$3001,"&gt;="&amp;MAX(Paramètres!$C34,J$4),Journal!$H$2:$H$3001,"&lt;="&amp;IF(Paramètres!$D34="",EOMONTH(J$4,0),MIN(Paramètres!$D34,EOMONTH(J$4,0))),Journal!$K$2:$K$3001,1))</f>
        <v/>
      </c>
      <c r="X28" s="56" t="str">
        <f>IF(OR(Paramètres!$A34="",K$3=0),"",COUNTIFS(Journal!$D$2:$D$3001,Paramètres!$A34,Journal!$H$2:$H$3001,"&gt;="&amp;MAX(Paramètres!$C34,K$4),Journal!$H$2:$H$3001,"&lt;="&amp;IF(Paramètres!$D34="",EOMONTH(K$4,0),MIN(Paramètres!$D34,EOMONTH(K$4,0))),Journal!$K$2:$K$3001,1))</f>
        <v/>
      </c>
      <c r="Y28" s="56" t="str">
        <f>IF(OR(Paramètres!$A34="",L$3=0),"",COUNTIFS(Journal!$D$2:$D$3001,Paramètres!$A34,Journal!$H$2:$H$3001,"&gt;="&amp;MAX(Paramètres!$C34,L$4),Journal!$H$2:$H$3001,"&lt;="&amp;IF(Paramètres!$D34="",EOMONTH(L$4,0),MIN(Paramètres!$D34,EOMONTH(L$4,0))),Journal!$K$2:$K$3001,1))</f>
        <v/>
      </c>
      <c r="Z28" s="56" t="str">
        <f>IF(OR(Paramètres!$A34="",M$3=0),"",COUNTIFS(Journal!$D$2:$D$3001,Paramètres!$A34,Journal!$H$2:$H$3001,"&gt;="&amp;MAX(Paramètres!$C34,M$4),Journal!$H$2:$H$3001,"&lt;="&amp;IF(Paramètres!$D34="",EOMONTH(M$4,0),MIN(Paramètres!$D34,EOMONTH(M$4,0))),Journal!$K$2:$K$3001,1))</f>
        <v/>
      </c>
      <c r="AA28" s="56" t="str">
        <f>IF(OR(Paramètres!$A34="",N$3=0),"",COUNTIFS(Journal!$D$2:$D$3001,Paramètres!$A34,Journal!$H$2:$H$3001,"&gt;="&amp;MAX(Paramètres!$C34,N$4),Journal!$H$2:$H$3001,"&lt;="&amp;IF(Paramètres!$D34="",EOMONTH(N$4,0),MIN(Paramètres!$D34,EOMONTH(N$4,0))),Journal!$K$2:$K$3001,1))</f>
        <v/>
      </c>
      <c r="AC28" s="57" t="str">
        <f t="shared" si="4"/>
        <v/>
      </c>
      <c r="AD28" s="57" t="str">
        <f t="shared" si="5"/>
        <v/>
      </c>
      <c r="AE28" s="57" t="str">
        <f t="shared" si="6"/>
        <v/>
      </c>
      <c r="AF28" s="57" t="str">
        <f t="shared" si="7"/>
        <v/>
      </c>
      <c r="AG28" s="57" t="str">
        <f t="shared" si="8"/>
        <v/>
      </c>
      <c r="AH28" s="57" t="str">
        <f t="shared" si="9"/>
        <v/>
      </c>
      <c r="AI28" s="57" t="str">
        <f t="shared" si="10"/>
        <v/>
      </c>
      <c r="AJ28" s="57" t="str">
        <f t="shared" si="11"/>
        <v/>
      </c>
      <c r="AK28" s="57" t="str">
        <f t="shared" si="12"/>
        <v/>
      </c>
      <c r="AL28" s="57" t="str">
        <f t="shared" si="13"/>
        <v/>
      </c>
      <c r="AM28" s="57" t="str">
        <f t="shared" si="14"/>
        <v/>
      </c>
      <c r="AN28" s="57" t="str">
        <f t="shared" si="15"/>
        <v/>
      </c>
      <c r="AP28" s="57" t="str">
        <f>IF(C28="","",IF(C28=0,"",MIN(1,P28/MAX(1,ROUND(C28*Paramètres!$E34/5,0)))))</f>
        <v/>
      </c>
      <c r="AQ28" s="57" t="str">
        <f>IF(D28="","",IF(D28=0,"",MIN(1,Q28/MAX(1,ROUND(D28*Paramètres!$E34/5,0)))))</f>
        <v/>
      </c>
      <c r="AR28" s="57" t="str">
        <f>IF(E28="","",IF(E28=0,"",MIN(1,R28/MAX(1,ROUND(E28*Paramètres!$E34/5,0)))))</f>
        <v/>
      </c>
      <c r="AS28" s="57" t="str">
        <f>IF(F28="","",IF(F28=0,"",MIN(1,S28/MAX(1,ROUND(F28*Paramètres!$E34/5,0)))))</f>
        <v/>
      </c>
      <c r="AT28" s="57" t="str">
        <f>IF(G28="","",IF(G28=0,"",MIN(1,T28/MAX(1,ROUND(G28*Paramètres!$E34/5,0)))))</f>
        <v/>
      </c>
      <c r="AU28" s="57" t="str">
        <f>IF(H28="","",IF(H28=0,"",MIN(1,U28/MAX(1,ROUND(H28*Paramètres!$E34/5,0)))))</f>
        <v/>
      </c>
      <c r="AV28" s="57" t="str">
        <f>IF(I28="","",IF(I28=0,"",MIN(1,V28/MAX(1,ROUND(I28*Paramètres!$E34/5,0)))))</f>
        <v/>
      </c>
      <c r="AW28" s="57" t="str">
        <f>IF(J28="","",IF(J28=0,"",MIN(1,W28/MAX(1,ROUND(J28*Paramètres!$E34/5,0)))))</f>
        <v/>
      </c>
      <c r="AX28" s="57" t="str">
        <f>IF(K28="","",IF(K28=0,"",MIN(1,X28/MAX(1,ROUND(K28*Paramètres!$E34/5,0)))))</f>
        <v/>
      </c>
      <c r="AY28" s="57" t="str">
        <f>IF(L28="","",IF(L28=0,"",MIN(1,Y28/MAX(1,ROUND(L28*Paramètres!$E34/5,0)))))</f>
        <v/>
      </c>
      <c r="AZ28" s="57" t="str">
        <f>IF(M28="","",IF(M28=0,"",MIN(1,Z28/MAX(1,ROUND(M28*Paramètres!$E34/5,0)))))</f>
        <v/>
      </c>
      <c r="BA28" s="57" t="str">
        <f>IF(N28="","",IF(N28=0,"",MIN(1,AA28/MAX(1,ROUND(N28*Paramètres!$E34/5,0)))))</f>
        <v/>
      </c>
      <c r="BC28" s="56">
        <f t="shared" si="16"/>
        <v>0</v>
      </c>
      <c r="BD28" s="56" t="str">
        <f t="shared" si="17"/>
        <v/>
      </c>
      <c r="BE28" s="56" t="str">
        <f t="shared" si="18"/>
        <v/>
      </c>
      <c r="BF28" s="56" t="str">
        <f t="shared" si="19"/>
        <v/>
      </c>
    </row>
    <row r="29" spans="1:58" x14ac:dyDescent="0.25">
      <c r="A29" s="56" t="str">
        <f>IF(Paramètres!A35="","",Paramètres!A35)</f>
        <v/>
      </c>
      <c r="C29" s="56" t="str">
        <f>IF(OR(Paramètres!$A35="",C$3=0),"",COUNTIFS(Calendrier!$A$2:$A$367,"&gt;="&amp;MAX(Paramètres!$C35,C$4),Calendrier!$A$2:$A$367,"&lt;="&amp;IF(Paramètres!$D35="",EOMONTH(C$4,0),MIN(Paramètres!$D35,EOMONTH(C$4,0))),Calendrier!$C$2:$C$367,1))</f>
        <v/>
      </c>
      <c r="D29" s="56" t="str">
        <f>IF(OR(Paramètres!$A35="",D$3=0),"",COUNTIFS(Calendrier!$A$2:$A$367,"&gt;="&amp;MAX(Paramètres!$C35,D$4),Calendrier!$A$2:$A$367,"&lt;="&amp;IF(Paramètres!$D35="",EOMONTH(D$4,0),MIN(Paramètres!$D35,EOMONTH(D$4,0))),Calendrier!$C$2:$C$367,1))</f>
        <v/>
      </c>
      <c r="E29" s="56" t="str">
        <f>IF(OR(Paramètres!$A35="",E$3=0),"",COUNTIFS(Calendrier!$A$2:$A$367,"&gt;="&amp;MAX(Paramètres!$C35,E$4),Calendrier!$A$2:$A$367,"&lt;="&amp;IF(Paramètres!$D35="",EOMONTH(E$4,0),MIN(Paramètres!$D35,EOMONTH(E$4,0))),Calendrier!$C$2:$C$367,1))</f>
        <v/>
      </c>
      <c r="F29" s="56" t="str">
        <f>IF(OR(Paramètres!$A35="",F$3=0),"",COUNTIFS(Calendrier!$A$2:$A$367,"&gt;="&amp;MAX(Paramètres!$C35,F$4),Calendrier!$A$2:$A$367,"&lt;="&amp;IF(Paramètres!$D35="",EOMONTH(F$4,0),MIN(Paramètres!$D35,EOMONTH(F$4,0))),Calendrier!$C$2:$C$367,1))</f>
        <v/>
      </c>
      <c r="G29" s="56" t="str">
        <f>IF(OR(Paramètres!$A35="",G$3=0),"",COUNTIFS(Calendrier!$A$2:$A$367,"&gt;="&amp;MAX(Paramètres!$C35,G$4),Calendrier!$A$2:$A$367,"&lt;="&amp;IF(Paramètres!$D35="",EOMONTH(G$4,0),MIN(Paramètres!$D35,EOMONTH(G$4,0))),Calendrier!$C$2:$C$367,1))</f>
        <v/>
      </c>
      <c r="H29" s="56" t="str">
        <f>IF(OR(Paramètres!$A35="",H$3=0),"",COUNTIFS(Calendrier!$A$2:$A$367,"&gt;="&amp;MAX(Paramètres!$C35,H$4),Calendrier!$A$2:$A$367,"&lt;="&amp;IF(Paramètres!$D35="",EOMONTH(H$4,0),MIN(Paramètres!$D35,EOMONTH(H$4,0))),Calendrier!$C$2:$C$367,1))</f>
        <v/>
      </c>
      <c r="I29" s="56" t="str">
        <f>IF(OR(Paramètres!$A35="",I$3=0),"",COUNTIFS(Calendrier!$A$2:$A$367,"&gt;="&amp;MAX(Paramètres!$C35,I$4),Calendrier!$A$2:$A$367,"&lt;="&amp;IF(Paramètres!$D35="",EOMONTH(I$4,0),MIN(Paramètres!$D35,EOMONTH(I$4,0))),Calendrier!$C$2:$C$367,1))</f>
        <v/>
      </c>
      <c r="J29" s="56" t="str">
        <f>IF(OR(Paramètres!$A35="",J$3=0),"",COUNTIFS(Calendrier!$A$2:$A$367,"&gt;="&amp;MAX(Paramètres!$C35,J$4),Calendrier!$A$2:$A$367,"&lt;="&amp;IF(Paramètres!$D35="",EOMONTH(J$4,0),MIN(Paramètres!$D35,EOMONTH(J$4,0))),Calendrier!$C$2:$C$367,1))</f>
        <v/>
      </c>
      <c r="K29" s="56" t="str">
        <f>IF(OR(Paramètres!$A35="",K$3=0),"",COUNTIFS(Calendrier!$A$2:$A$367,"&gt;="&amp;MAX(Paramètres!$C35,K$4),Calendrier!$A$2:$A$367,"&lt;="&amp;IF(Paramètres!$D35="",EOMONTH(K$4,0),MIN(Paramètres!$D35,EOMONTH(K$4,0))),Calendrier!$C$2:$C$367,1))</f>
        <v/>
      </c>
      <c r="L29" s="56" t="str">
        <f>IF(OR(Paramètres!$A35="",L$3=0),"",COUNTIFS(Calendrier!$A$2:$A$367,"&gt;="&amp;MAX(Paramètres!$C35,L$4),Calendrier!$A$2:$A$367,"&lt;="&amp;IF(Paramètres!$D35="",EOMONTH(L$4,0),MIN(Paramètres!$D35,EOMONTH(L$4,0))),Calendrier!$C$2:$C$367,1))</f>
        <v/>
      </c>
      <c r="M29" s="56" t="str">
        <f>IF(OR(Paramètres!$A35="",M$3=0),"",COUNTIFS(Calendrier!$A$2:$A$367,"&gt;="&amp;MAX(Paramètres!$C35,M$4),Calendrier!$A$2:$A$367,"&lt;="&amp;IF(Paramètres!$D35="",EOMONTH(M$4,0),MIN(Paramètres!$D35,EOMONTH(M$4,0))),Calendrier!$C$2:$C$367,1))</f>
        <v/>
      </c>
      <c r="N29" s="56" t="str">
        <f>IF(OR(Paramètres!$A35="",N$3=0),"",COUNTIFS(Calendrier!$A$2:$A$367,"&gt;="&amp;MAX(Paramètres!$C35,N$4),Calendrier!$A$2:$A$367,"&lt;="&amp;IF(Paramètres!$D35="",EOMONTH(N$4,0),MIN(Paramètres!$D35,EOMONTH(N$4,0))),Calendrier!$C$2:$C$367,1))</f>
        <v/>
      </c>
      <c r="P29" s="56" t="str">
        <f>IF(OR(Paramètres!$A35="",C$3=0),"",COUNTIFS(Journal!$D$2:$D$3001,Paramètres!$A35,Journal!$H$2:$H$3001,"&gt;="&amp;MAX(Paramètres!$C35,C$4),Journal!$H$2:$H$3001,"&lt;="&amp;IF(Paramètres!$D35="",EOMONTH(C$4,0),MIN(Paramètres!$D35,EOMONTH(C$4,0))),Journal!$K$2:$K$3001,1))</f>
        <v/>
      </c>
      <c r="Q29" s="56" t="str">
        <f>IF(OR(Paramètres!$A35="",D$3=0),"",COUNTIFS(Journal!$D$2:$D$3001,Paramètres!$A35,Journal!$H$2:$H$3001,"&gt;="&amp;MAX(Paramètres!$C35,D$4),Journal!$H$2:$H$3001,"&lt;="&amp;IF(Paramètres!$D35="",EOMONTH(D$4,0),MIN(Paramètres!$D35,EOMONTH(D$4,0))),Journal!$K$2:$K$3001,1))</f>
        <v/>
      </c>
      <c r="R29" s="56" t="str">
        <f>IF(OR(Paramètres!$A35="",E$3=0),"",COUNTIFS(Journal!$D$2:$D$3001,Paramètres!$A35,Journal!$H$2:$H$3001,"&gt;="&amp;MAX(Paramètres!$C35,E$4),Journal!$H$2:$H$3001,"&lt;="&amp;IF(Paramètres!$D35="",EOMONTH(E$4,0),MIN(Paramètres!$D35,EOMONTH(E$4,0))),Journal!$K$2:$K$3001,1))</f>
        <v/>
      </c>
      <c r="S29" s="56" t="str">
        <f>IF(OR(Paramètres!$A35="",F$3=0),"",COUNTIFS(Journal!$D$2:$D$3001,Paramètres!$A35,Journal!$H$2:$H$3001,"&gt;="&amp;MAX(Paramètres!$C35,F$4),Journal!$H$2:$H$3001,"&lt;="&amp;IF(Paramètres!$D35="",EOMONTH(F$4,0),MIN(Paramètres!$D35,EOMONTH(F$4,0))),Journal!$K$2:$K$3001,1))</f>
        <v/>
      </c>
      <c r="T29" s="56" t="str">
        <f>IF(OR(Paramètres!$A35="",G$3=0),"",COUNTIFS(Journal!$D$2:$D$3001,Paramètres!$A35,Journal!$H$2:$H$3001,"&gt;="&amp;MAX(Paramètres!$C35,G$4),Journal!$H$2:$H$3001,"&lt;="&amp;IF(Paramètres!$D35="",EOMONTH(G$4,0),MIN(Paramètres!$D35,EOMONTH(G$4,0))),Journal!$K$2:$K$3001,1))</f>
        <v/>
      </c>
      <c r="U29" s="56" t="str">
        <f>IF(OR(Paramètres!$A35="",H$3=0),"",COUNTIFS(Journal!$D$2:$D$3001,Paramètres!$A35,Journal!$H$2:$H$3001,"&gt;="&amp;MAX(Paramètres!$C35,H$4),Journal!$H$2:$H$3001,"&lt;="&amp;IF(Paramètres!$D35="",EOMONTH(H$4,0),MIN(Paramètres!$D35,EOMONTH(H$4,0))),Journal!$K$2:$K$3001,1))</f>
        <v/>
      </c>
      <c r="V29" s="56" t="str">
        <f>IF(OR(Paramètres!$A35="",I$3=0),"",COUNTIFS(Journal!$D$2:$D$3001,Paramètres!$A35,Journal!$H$2:$H$3001,"&gt;="&amp;MAX(Paramètres!$C35,I$4),Journal!$H$2:$H$3001,"&lt;="&amp;IF(Paramètres!$D35="",EOMONTH(I$4,0),MIN(Paramètres!$D35,EOMONTH(I$4,0))),Journal!$K$2:$K$3001,1))</f>
        <v/>
      </c>
      <c r="W29" s="56" t="str">
        <f>IF(OR(Paramètres!$A35="",J$3=0),"",COUNTIFS(Journal!$D$2:$D$3001,Paramètres!$A35,Journal!$H$2:$H$3001,"&gt;="&amp;MAX(Paramètres!$C35,J$4),Journal!$H$2:$H$3001,"&lt;="&amp;IF(Paramètres!$D35="",EOMONTH(J$4,0),MIN(Paramètres!$D35,EOMONTH(J$4,0))),Journal!$K$2:$K$3001,1))</f>
        <v/>
      </c>
      <c r="X29" s="56" t="str">
        <f>IF(OR(Paramètres!$A35="",K$3=0),"",COUNTIFS(Journal!$D$2:$D$3001,Paramètres!$A35,Journal!$H$2:$H$3001,"&gt;="&amp;MAX(Paramètres!$C35,K$4),Journal!$H$2:$H$3001,"&lt;="&amp;IF(Paramètres!$D35="",EOMONTH(K$4,0),MIN(Paramètres!$D35,EOMONTH(K$4,0))),Journal!$K$2:$K$3001,1))</f>
        <v/>
      </c>
      <c r="Y29" s="56" t="str">
        <f>IF(OR(Paramètres!$A35="",L$3=0),"",COUNTIFS(Journal!$D$2:$D$3001,Paramètres!$A35,Journal!$H$2:$H$3001,"&gt;="&amp;MAX(Paramètres!$C35,L$4),Journal!$H$2:$H$3001,"&lt;="&amp;IF(Paramètres!$D35="",EOMONTH(L$4,0),MIN(Paramètres!$D35,EOMONTH(L$4,0))),Journal!$K$2:$K$3001,1))</f>
        <v/>
      </c>
      <c r="Z29" s="56" t="str">
        <f>IF(OR(Paramètres!$A35="",M$3=0),"",COUNTIFS(Journal!$D$2:$D$3001,Paramètres!$A35,Journal!$H$2:$H$3001,"&gt;="&amp;MAX(Paramètres!$C35,M$4),Journal!$H$2:$H$3001,"&lt;="&amp;IF(Paramètres!$D35="",EOMONTH(M$4,0),MIN(Paramètres!$D35,EOMONTH(M$4,0))),Journal!$K$2:$K$3001,1))</f>
        <v/>
      </c>
      <c r="AA29" s="56" t="str">
        <f>IF(OR(Paramètres!$A35="",N$3=0),"",COUNTIFS(Journal!$D$2:$D$3001,Paramètres!$A35,Journal!$H$2:$H$3001,"&gt;="&amp;MAX(Paramètres!$C35,N$4),Journal!$H$2:$H$3001,"&lt;="&amp;IF(Paramètres!$D35="",EOMONTH(N$4,0),MIN(Paramètres!$D35,EOMONTH(N$4,0))),Journal!$K$2:$K$3001,1))</f>
        <v/>
      </c>
      <c r="AC29" s="57" t="str">
        <f t="shared" si="4"/>
        <v/>
      </c>
      <c r="AD29" s="57" t="str">
        <f t="shared" si="5"/>
        <v/>
      </c>
      <c r="AE29" s="57" t="str">
        <f t="shared" si="6"/>
        <v/>
      </c>
      <c r="AF29" s="57" t="str">
        <f t="shared" si="7"/>
        <v/>
      </c>
      <c r="AG29" s="57" t="str">
        <f t="shared" si="8"/>
        <v/>
      </c>
      <c r="AH29" s="57" t="str">
        <f t="shared" si="9"/>
        <v/>
      </c>
      <c r="AI29" s="57" t="str">
        <f t="shared" si="10"/>
        <v/>
      </c>
      <c r="AJ29" s="57" t="str">
        <f t="shared" si="11"/>
        <v/>
      </c>
      <c r="AK29" s="57" t="str">
        <f t="shared" si="12"/>
        <v/>
      </c>
      <c r="AL29" s="57" t="str">
        <f t="shared" si="13"/>
        <v/>
      </c>
      <c r="AM29" s="57" t="str">
        <f t="shared" si="14"/>
        <v/>
      </c>
      <c r="AN29" s="57" t="str">
        <f t="shared" si="15"/>
        <v/>
      </c>
      <c r="AP29" s="57" t="str">
        <f>IF(C29="","",IF(C29=0,"",MIN(1,P29/MAX(1,ROUND(C29*Paramètres!$E35/5,0)))))</f>
        <v/>
      </c>
      <c r="AQ29" s="57" t="str">
        <f>IF(D29="","",IF(D29=0,"",MIN(1,Q29/MAX(1,ROUND(D29*Paramètres!$E35/5,0)))))</f>
        <v/>
      </c>
      <c r="AR29" s="57" t="str">
        <f>IF(E29="","",IF(E29=0,"",MIN(1,R29/MAX(1,ROUND(E29*Paramètres!$E35/5,0)))))</f>
        <v/>
      </c>
      <c r="AS29" s="57" t="str">
        <f>IF(F29="","",IF(F29=0,"",MIN(1,S29/MAX(1,ROUND(F29*Paramètres!$E35/5,0)))))</f>
        <v/>
      </c>
      <c r="AT29" s="57" t="str">
        <f>IF(G29="","",IF(G29=0,"",MIN(1,T29/MAX(1,ROUND(G29*Paramètres!$E35/5,0)))))</f>
        <v/>
      </c>
      <c r="AU29" s="57" t="str">
        <f>IF(H29="","",IF(H29=0,"",MIN(1,U29/MAX(1,ROUND(H29*Paramètres!$E35/5,0)))))</f>
        <v/>
      </c>
      <c r="AV29" s="57" t="str">
        <f>IF(I29="","",IF(I29=0,"",MIN(1,V29/MAX(1,ROUND(I29*Paramètres!$E35/5,0)))))</f>
        <v/>
      </c>
      <c r="AW29" s="57" t="str">
        <f>IF(J29="","",IF(J29=0,"",MIN(1,W29/MAX(1,ROUND(J29*Paramètres!$E35/5,0)))))</f>
        <v/>
      </c>
      <c r="AX29" s="57" t="str">
        <f>IF(K29="","",IF(K29=0,"",MIN(1,X29/MAX(1,ROUND(K29*Paramètres!$E35/5,0)))))</f>
        <v/>
      </c>
      <c r="AY29" s="57" t="str">
        <f>IF(L29="","",IF(L29=0,"",MIN(1,Y29/MAX(1,ROUND(L29*Paramètres!$E35/5,0)))))</f>
        <v/>
      </c>
      <c r="AZ29" s="57" t="str">
        <f>IF(M29="","",IF(M29=0,"",MIN(1,Z29/MAX(1,ROUND(M29*Paramètres!$E35/5,0)))))</f>
        <v/>
      </c>
      <c r="BA29" s="57" t="str">
        <f>IF(N29="","",IF(N29=0,"",MIN(1,AA29/MAX(1,ROUND(N29*Paramètres!$E35/5,0)))))</f>
        <v/>
      </c>
      <c r="BC29" s="56">
        <f t="shared" si="16"/>
        <v>0</v>
      </c>
      <c r="BD29" s="56" t="str">
        <f t="shared" si="17"/>
        <v/>
      </c>
      <c r="BE29" s="56" t="str">
        <f t="shared" si="18"/>
        <v/>
      </c>
      <c r="BF29" s="56" t="str">
        <f t="shared" si="19"/>
        <v/>
      </c>
    </row>
    <row r="30" spans="1:58" x14ac:dyDescent="0.25">
      <c r="A30" s="56" t="str">
        <f>IF(Paramètres!A36="","",Paramètres!A36)</f>
        <v/>
      </c>
      <c r="C30" s="56" t="str">
        <f>IF(OR(Paramètres!$A36="",C$3=0),"",COUNTIFS(Calendrier!$A$2:$A$367,"&gt;="&amp;MAX(Paramètres!$C36,C$4),Calendrier!$A$2:$A$367,"&lt;="&amp;IF(Paramètres!$D36="",EOMONTH(C$4,0),MIN(Paramètres!$D36,EOMONTH(C$4,0))),Calendrier!$C$2:$C$367,1))</f>
        <v/>
      </c>
      <c r="D30" s="56" t="str">
        <f>IF(OR(Paramètres!$A36="",D$3=0),"",COUNTIFS(Calendrier!$A$2:$A$367,"&gt;="&amp;MAX(Paramètres!$C36,D$4),Calendrier!$A$2:$A$367,"&lt;="&amp;IF(Paramètres!$D36="",EOMONTH(D$4,0),MIN(Paramètres!$D36,EOMONTH(D$4,0))),Calendrier!$C$2:$C$367,1))</f>
        <v/>
      </c>
      <c r="E30" s="56" t="str">
        <f>IF(OR(Paramètres!$A36="",E$3=0),"",COUNTIFS(Calendrier!$A$2:$A$367,"&gt;="&amp;MAX(Paramètres!$C36,E$4),Calendrier!$A$2:$A$367,"&lt;="&amp;IF(Paramètres!$D36="",EOMONTH(E$4,0),MIN(Paramètres!$D36,EOMONTH(E$4,0))),Calendrier!$C$2:$C$367,1))</f>
        <v/>
      </c>
      <c r="F30" s="56" t="str">
        <f>IF(OR(Paramètres!$A36="",F$3=0),"",COUNTIFS(Calendrier!$A$2:$A$367,"&gt;="&amp;MAX(Paramètres!$C36,F$4),Calendrier!$A$2:$A$367,"&lt;="&amp;IF(Paramètres!$D36="",EOMONTH(F$4,0),MIN(Paramètres!$D36,EOMONTH(F$4,0))),Calendrier!$C$2:$C$367,1))</f>
        <v/>
      </c>
      <c r="G30" s="56" t="str">
        <f>IF(OR(Paramètres!$A36="",G$3=0),"",COUNTIFS(Calendrier!$A$2:$A$367,"&gt;="&amp;MAX(Paramètres!$C36,G$4),Calendrier!$A$2:$A$367,"&lt;="&amp;IF(Paramètres!$D36="",EOMONTH(G$4,0),MIN(Paramètres!$D36,EOMONTH(G$4,0))),Calendrier!$C$2:$C$367,1))</f>
        <v/>
      </c>
      <c r="H30" s="56" t="str">
        <f>IF(OR(Paramètres!$A36="",H$3=0),"",COUNTIFS(Calendrier!$A$2:$A$367,"&gt;="&amp;MAX(Paramètres!$C36,H$4),Calendrier!$A$2:$A$367,"&lt;="&amp;IF(Paramètres!$D36="",EOMONTH(H$4,0),MIN(Paramètres!$D36,EOMONTH(H$4,0))),Calendrier!$C$2:$C$367,1))</f>
        <v/>
      </c>
      <c r="I30" s="56" t="str">
        <f>IF(OR(Paramètres!$A36="",I$3=0),"",COUNTIFS(Calendrier!$A$2:$A$367,"&gt;="&amp;MAX(Paramètres!$C36,I$4),Calendrier!$A$2:$A$367,"&lt;="&amp;IF(Paramètres!$D36="",EOMONTH(I$4,0),MIN(Paramètres!$D36,EOMONTH(I$4,0))),Calendrier!$C$2:$C$367,1))</f>
        <v/>
      </c>
      <c r="J30" s="56" t="str">
        <f>IF(OR(Paramètres!$A36="",J$3=0),"",COUNTIFS(Calendrier!$A$2:$A$367,"&gt;="&amp;MAX(Paramètres!$C36,J$4),Calendrier!$A$2:$A$367,"&lt;="&amp;IF(Paramètres!$D36="",EOMONTH(J$4,0),MIN(Paramètres!$D36,EOMONTH(J$4,0))),Calendrier!$C$2:$C$367,1))</f>
        <v/>
      </c>
      <c r="K30" s="56" t="str">
        <f>IF(OR(Paramètres!$A36="",K$3=0),"",COUNTIFS(Calendrier!$A$2:$A$367,"&gt;="&amp;MAX(Paramètres!$C36,K$4),Calendrier!$A$2:$A$367,"&lt;="&amp;IF(Paramètres!$D36="",EOMONTH(K$4,0),MIN(Paramètres!$D36,EOMONTH(K$4,0))),Calendrier!$C$2:$C$367,1))</f>
        <v/>
      </c>
      <c r="L30" s="56" t="str">
        <f>IF(OR(Paramètres!$A36="",L$3=0),"",COUNTIFS(Calendrier!$A$2:$A$367,"&gt;="&amp;MAX(Paramètres!$C36,L$4),Calendrier!$A$2:$A$367,"&lt;="&amp;IF(Paramètres!$D36="",EOMONTH(L$4,0),MIN(Paramètres!$D36,EOMONTH(L$4,0))),Calendrier!$C$2:$C$367,1))</f>
        <v/>
      </c>
      <c r="M30" s="56" t="str">
        <f>IF(OR(Paramètres!$A36="",M$3=0),"",COUNTIFS(Calendrier!$A$2:$A$367,"&gt;="&amp;MAX(Paramètres!$C36,M$4),Calendrier!$A$2:$A$367,"&lt;="&amp;IF(Paramètres!$D36="",EOMONTH(M$4,0),MIN(Paramètres!$D36,EOMONTH(M$4,0))),Calendrier!$C$2:$C$367,1))</f>
        <v/>
      </c>
      <c r="N30" s="56" t="str">
        <f>IF(OR(Paramètres!$A36="",N$3=0),"",COUNTIFS(Calendrier!$A$2:$A$367,"&gt;="&amp;MAX(Paramètres!$C36,N$4),Calendrier!$A$2:$A$367,"&lt;="&amp;IF(Paramètres!$D36="",EOMONTH(N$4,0),MIN(Paramètres!$D36,EOMONTH(N$4,0))),Calendrier!$C$2:$C$367,1))</f>
        <v/>
      </c>
      <c r="P30" s="56" t="str">
        <f>IF(OR(Paramètres!$A36="",C$3=0),"",COUNTIFS(Journal!$D$2:$D$3001,Paramètres!$A36,Journal!$H$2:$H$3001,"&gt;="&amp;MAX(Paramètres!$C36,C$4),Journal!$H$2:$H$3001,"&lt;="&amp;IF(Paramètres!$D36="",EOMONTH(C$4,0),MIN(Paramètres!$D36,EOMONTH(C$4,0))),Journal!$K$2:$K$3001,1))</f>
        <v/>
      </c>
      <c r="Q30" s="56" t="str">
        <f>IF(OR(Paramètres!$A36="",D$3=0),"",COUNTIFS(Journal!$D$2:$D$3001,Paramètres!$A36,Journal!$H$2:$H$3001,"&gt;="&amp;MAX(Paramètres!$C36,D$4),Journal!$H$2:$H$3001,"&lt;="&amp;IF(Paramètres!$D36="",EOMONTH(D$4,0),MIN(Paramètres!$D36,EOMONTH(D$4,0))),Journal!$K$2:$K$3001,1))</f>
        <v/>
      </c>
      <c r="R30" s="56" t="str">
        <f>IF(OR(Paramètres!$A36="",E$3=0),"",COUNTIFS(Journal!$D$2:$D$3001,Paramètres!$A36,Journal!$H$2:$H$3001,"&gt;="&amp;MAX(Paramètres!$C36,E$4),Journal!$H$2:$H$3001,"&lt;="&amp;IF(Paramètres!$D36="",EOMONTH(E$4,0),MIN(Paramètres!$D36,EOMONTH(E$4,0))),Journal!$K$2:$K$3001,1))</f>
        <v/>
      </c>
      <c r="S30" s="56" t="str">
        <f>IF(OR(Paramètres!$A36="",F$3=0),"",COUNTIFS(Journal!$D$2:$D$3001,Paramètres!$A36,Journal!$H$2:$H$3001,"&gt;="&amp;MAX(Paramètres!$C36,F$4),Journal!$H$2:$H$3001,"&lt;="&amp;IF(Paramètres!$D36="",EOMONTH(F$4,0),MIN(Paramètres!$D36,EOMONTH(F$4,0))),Journal!$K$2:$K$3001,1))</f>
        <v/>
      </c>
      <c r="T30" s="56" t="str">
        <f>IF(OR(Paramètres!$A36="",G$3=0),"",COUNTIFS(Journal!$D$2:$D$3001,Paramètres!$A36,Journal!$H$2:$H$3001,"&gt;="&amp;MAX(Paramètres!$C36,G$4),Journal!$H$2:$H$3001,"&lt;="&amp;IF(Paramètres!$D36="",EOMONTH(G$4,0),MIN(Paramètres!$D36,EOMONTH(G$4,0))),Journal!$K$2:$K$3001,1))</f>
        <v/>
      </c>
      <c r="U30" s="56" t="str">
        <f>IF(OR(Paramètres!$A36="",H$3=0),"",COUNTIFS(Journal!$D$2:$D$3001,Paramètres!$A36,Journal!$H$2:$H$3001,"&gt;="&amp;MAX(Paramètres!$C36,H$4),Journal!$H$2:$H$3001,"&lt;="&amp;IF(Paramètres!$D36="",EOMONTH(H$4,0),MIN(Paramètres!$D36,EOMONTH(H$4,0))),Journal!$K$2:$K$3001,1))</f>
        <v/>
      </c>
      <c r="V30" s="56" t="str">
        <f>IF(OR(Paramètres!$A36="",I$3=0),"",COUNTIFS(Journal!$D$2:$D$3001,Paramètres!$A36,Journal!$H$2:$H$3001,"&gt;="&amp;MAX(Paramètres!$C36,I$4),Journal!$H$2:$H$3001,"&lt;="&amp;IF(Paramètres!$D36="",EOMONTH(I$4,0),MIN(Paramètres!$D36,EOMONTH(I$4,0))),Journal!$K$2:$K$3001,1))</f>
        <v/>
      </c>
      <c r="W30" s="56" t="str">
        <f>IF(OR(Paramètres!$A36="",J$3=0),"",COUNTIFS(Journal!$D$2:$D$3001,Paramètres!$A36,Journal!$H$2:$H$3001,"&gt;="&amp;MAX(Paramètres!$C36,J$4),Journal!$H$2:$H$3001,"&lt;="&amp;IF(Paramètres!$D36="",EOMONTH(J$4,0),MIN(Paramètres!$D36,EOMONTH(J$4,0))),Journal!$K$2:$K$3001,1))</f>
        <v/>
      </c>
      <c r="X30" s="56" t="str">
        <f>IF(OR(Paramètres!$A36="",K$3=0),"",COUNTIFS(Journal!$D$2:$D$3001,Paramètres!$A36,Journal!$H$2:$H$3001,"&gt;="&amp;MAX(Paramètres!$C36,K$4),Journal!$H$2:$H$3001,"&lt;="&amp;IF(Paramètres!$D36="",EOMONTH(K$4,0),MIN(Paramètres!$D36,EOMONTH(K$4,0))),Journal!$K$2:$K$3001,1))</f>
        <v/>
      </c>
      <c r="Y30" s="56" t="str">
        <f>IF(OR(Paramètres!$A36="",L$3=0),"",COUNTIFS(Journal!$D$2:$D$3001,Paramètres!$A36,Journal!$H$2:$H$3001,"&gt;="&amp;MAX(Paramètres!$C36,L$4),Journal!$H$2:$H$3001,"&lt;="&amp;IF(Paramètres!$D36="",EOMONTH(L$4,0),MIN(Paramètres!$D36,EOMONTH(L$4,0))),Journal!$K$2:$K$3001,1))</f>
        <v/>
      </c>
      <c r="Z30" s="56" t="str">
        <f>IF(OR(Paramètres!$A36="",M$3=0),"",COUNTIFS(Journal!$D$2:$D$3001,Paramètres!$A36,Journal!$H$2:$H$3001,"&gt;="&amp;MAX(Paramètres!$C36,M$4),Journal!$H$2:$H$3001,"&lt;="&amp;IF(Paramètres!$D36="",EOMONTH(M$4,0),MIN(Paramètres!$D36,EOMONTH(M$4,0))),Journal!$K$2:$K$3001,1))</f>
        <v/>
      </c>
      <c r="AA30" s="56" t="str">
        <f>IF(OR(Paramètres!$A36="",N$3=0),"",COUNTIFS(Journal!$D$2:$D$3001,Paramètres!$A36,Journal!$H$2:$H$3001,"&gt;="&amp;MAX(Paramètres!$C36,N$4),Journal!$H$2:$H$3001,"&lt;="&amp;IF(Paramètres!$D36="",EOMONTH(N$4,0),MIN(Paramètres!$D36,EOMONTH(N$4,0))),Journal!$K$2:$K$3001,1))</f>
        <v/>
      </c>
      <c r="AC30" s="57" t="str">
        <f t="shared" si="4"/>
        <v/>
      </c>
      <c r="AD30" s="57" t="str">
        <f t="shared" si="5"/>
        <v/>
      </c>
      <c r="AE30" s="57" t="str">
        <f t="shared" si="6"/>
        <v/>
      </c>
      <c r="AF30" s="57" t="str">
        <f t="shared" si="7"/>
        <v/>
      </c>
      <c r="AG30" s="57" t="str">
        <f t="shared" si="8"/>
        <v/>
      </c>
      <c r="AH30" s="57" t="str">
        <f t="shared" si="9"/>
        <v/>
      </c>
      <c r="AI30" s="57" t="str">
        <f t="shared" si="10"/>
        <v/>
      </c>
      <c r="AJ30" s="57" t="str">
        <f t="shared" si="11"/>
        <v/>
      </c>
      <c r="AK30" s="57" t="str">
        <f t="shared" si="12"/>
        <v/>
      </c>
      <c r="AL30" s="57" t="str">
        <f t="shared" si="13"/>
        <v/>
      </c>
      <c r="AM30" s="57" t="str">
        <f t="shared" si="14"/>
        <v/>
      </c>
      <c r="AN30" s="57" t="str">
        <f t="shared" si="15"/>
        <v/>
      </c>
      <c r="AP30" s="57" t="str">
        <f>IF(C30="","",IF(C30=0,"",MIN(1,P30/MAX(1,ROUND(C30*Paramètres!$E36/5,0)))))</f>
        <v/>
      </c>
      <c r="AQ30" s="57" t="str">
        <f>IF(D30="","",IF(D30=0,"",MIN(1,Q30/MAX(1,ROUND(D30*Paramètres!$E36/5,0)))))</f>
        <v/>
      </c>
      <c r="AR30" s="57" t="str">
        <f>IF(E30="","",IF(E30=0,"",MIN(1,R30/MAX(1,ROUND(E30*Paramètres!$E36/5,0)))))</f>
        <v/>
      </c>
      <c r="AS30" s="57" t="str">
        <f>IF(F30="","",IF(F30=0,"",MIN(1,S30/MAX(1,ROUND(F30*Paramètres!$E36/5,0)))))</f>
        <v/>
      </c>
      <c r="AT30" s="57" t="str">
        <f>IF(G30="","",IF(G30=0,"",MIN(1,T30/MAX(1,ROUND(G30*Paramètres!$E36/5,0)))))</f>
        <v/>
      </c>
      <c r="AU30" s="57" t="str">
        <f>IF(H30="","",IF(H30=0,"",MIN(1,U30/MAX(1,ROUND(H30*Paramètres!$E36/5,0)))))</f>
        <v/>
      </c>
      <c r="AV30" s="57" t="str">
        <f>IF(I30="","",IF(I30=0,"",MIN(1,V30/MAX(1,ROUND(I30*Paramètres!$E36/5,0)))))</f>
        <v/>
      </c>
      <c r="AW30" s="57" t="str">
        <f>IF(J30="","",IF(J30=0,"",MIN(1,W30/MAX(1,ROUND(J30*Paramètres!$E36/5,0)))))</f>
        <v/>
      </c>
      <c r="AX30" s="57" t="str">
        <f>IF(K30="","",IF(K30=0,"",MIN(1,X30/MAX(1,ROUND(K30*Paramètres!$E36/5,0)))))</f>
        <v/>
      </c>
      <c r="AY30" s="57" t="str">
        <f>IF(L30="","",IF(L30=0,"",MIN(1,Y30/MAX(1,ROUND(L30*Paramètres!$E36/5,0)))))</f>
        <v/>
      </c>
      <c r="AZ30" s="57" t="str">
        <f>IF(M30="","",IF(M30=0,"",MIN(1,Z30/MAX(1,ROUND(M30*Paramètres!$E36/5,0)))))</f>
        <v/>
      </c>
      <c r="BA30" s="57" t="str">
        <f>IF(N30="","",IF(N30=0,"",MIN(1,AA30/MAX(1,ROUND(N30*Paramètres!$E36/5,0)))))</f>
        <v/>
      </c>
      <c r="BC30" s="56">
        <f t="shared" si="16"/>
        <v>0</v>
      </c>
      <c r="BD30" s="56" t="str">
        <f t="shared" si="17"/>
        <v/>
      </c>
      <c r="BE30" s="56" t="str">
        <f t="shared" si="18"/>
        <v/>
      </c>
      <c r="BF30" s="56" t="str">
        <f t="shared" si="19"/>
        <v/>
      </c>
    </row>
    <row r="31" spans="1:58" x14ac:dyDescent="0.25">
      <c r="A31" s="56" t="str">
        <f>IF(Paramètres!A37="","",Paramètres!A37)</f>
        <v/>
      </c>
      <c r="C31" s="56" t="str">
        <f>IF(OR(Paramètres!$A37="",C$3=0),"",COUNTIFS(Calendrier!$A$2:$A$367,"&gt;="&amp;MAX(Paramètres!$C37,C$4),Calendrier!$A$2:$A$367,"&lt;="&amp;IF(Paramètres!$D37="",EOMONTH(C$4,0),MIN(Paramètres!$D37,EOMONTH(C$4,0))),Calendrier!$C$2:$C$367,1))</f>
        <v/>
      </c>
      <c r="D31" s="56" t="str">
        <f>IF(OR(Paramètres!$A37="",D$3=0),"",COUNTIFS(Calendrier!$A$2:$A$367,"&gt;="&amp;MAX(Paramètres!$C37,D$4),Calendrier!$A$2:$A$367,"&lt;="&amp;IF(Paramètres!$D37="",EOMONTH(D$4,0),MIN(Paramètres!$D37,EOMONTH(D$4,0))),Calendrier!$C$2:$C$367,1))</f>
        <v/>
      </c>
      <c r="E31" s="56" t="str">
        <f>IF(OR(Paramètres!$A37="",E$3=0),"",COUNTIFS(Calendrier!$A$2:$A$367,"&gt;="&amp;MAX(Paramètres!$C37,E$4),Calendrier!$A$2:$A$367,"&lt;="&amp;IF(Paramètres!$D37="",EOMONTH(E$4,0),MIN(Paramètres!$D37,EOMONTH(E$4,0))),Calendrier!$C$2:$C$367,1))</f>
        <v/>
      </c>
      <c r="F31" s="56" t="str">
        <f>IF(OR(Paramètres!$A37="",F$3=0),"",COUNTIFS(Calendrier!$A$2:$A$367,"&gt;="&amp;MAX(Paramètres!$C37,F$4),Calendrier!$A$2:$A$367,"&lt;="&amp;IF(Paramètres!$D37="",EOMONTH(F$4,0),MIN(Paramètres!$D37,EOMONTH(F$4,0))),Calendrier!$C$2:$C$367,1))</f>
        <v/>
      </c>
      <c r="G31" s="56" t="str">
        <f>IF(OR(Paramètres!$A37="",G$3=0),"",COUNTIFS(Calendrier!$A$2:$A$367,"&gt;="&amp;MAX(Paramètres!$C37,G$4),Calendrier!$A$2:$A$367,"&lt;="&amp;IF(Paramètres!$D37="",EOMONTH(G$4,0),MIN(Paramètres!$D37,EOMONTH(G$4,0))),Calendrier!$C$2:$C$367,1))</f>
        <v/>
      </c>
      <c r="H31" s="56" t="str">
        <f>IF(OR(Paramètres!$A37="",H$3=0),"",COUNTIFS(Calendrier!$A$2:$A$367,"&gt;="&amp;MAX(Paramètres!$C37,H$4),Calendrier!$A$2:$A$367,"&lt;="&amp;IF(Paramètres!$D37="",EOMONTH(H$4,0),MIN(Paramètres!$D37,EOMONTH(H$4,0))),Calendrier!$C$2:$C$367,1))</f>
        <v/>
      </c>
      <c r="I31" s="56" t="str">
        <f>IF(OR(Paramètres!$A37="",I$3=0),"",COUNTIFS(Calendrier!$A$2:$A$367,"&gt;="&amp;MAX(Paramètres!$C37,I$4),Calendrier!$A$2:$A$367,"&lt;="&amp;IF(Paramètres!$D37="",EOMONTH(I$4,0),MIN(Paramètres!$D37,EOMONTH(I$4,0))),Calendrier!$C$2:$C$367,1))</f>
        <v/>
      </c>
      <c r="J31" s="56" t="str">
        <f>IF(OR(Paramètres!$A37="",J$3=0),"",COUNTIFS(Calendrier!$A$2:$A$367,"&gt;="&amp;MAX(Paramètres!$C37,J$4),Calendrier!$A$2:$A$367,"&lt;="&amp;IF(Paramètres!$D37="",EOMONTH(J$4,0),MIN(Paramètres!$D37,EOMONTH(J$4,0))),Calendrier!$C$2:$C$367,1))</f>
        <v/>
      </c>
      <c r="K31" s="56" t="str">
        <f>IF(OR(Paramètres!$A37="",K$3=0),"",COUNTIFS(Calendrier!$A$2:$A$367,"&gt;="&amp;MAX(Paramètres!$C37,K$4),Calendrier!$A$2:$A$367,"&lt;="&amp;IF(Paramètres!$D37="",EOMONTH(K$4,0),MIN(Paramètres!$D37,EOMONTH(K$4,0))),Calendrier!$C$2:$C$367,1))</f>
        <v/>
      </c>
      <c r="L31" s="56" t="str">
        <f>IF(OR(Paramètres!$A37="",L$3=0),"",COUNTIFS(Calendrier!$A$2:$A$367,"&gt;="&amp;MAX(Paramètres!$C37,L$4),Calendrier!$A$2:$A$367,"&lt;="&amp;IF(Paramètres!$D37="",EOMONTH(L$4,0),MIN(Paramètres!$D37,EOMONTH(L$4,0))),Calendrier!$C$2:$C$367,1))</f>
        <v/>
      </c>
      <c r="M31" s="56" t="str">
        <f>IF(OR(Paramètres!$A37="",M$3=0),"",COUNTIFS(Calendrier!$A$2:$A$367,"&gt;="&amp;MAX(Paramètres!$C37,M$4),Calendrier!$A$2:$A$367,"&lt;="&amp;IF(Paramètres!$D37="",EOMONTH(M$4,0),MIN(Paramètres!$D37,EOMONTH(M$4,0))),Calendrier!$C$2:$C$367,1))</f>
        <v/>
      </c>
      <c r="N31" s="56" t="str">
        <f>IF(OR(Paramètres!$A37="",N$3=0),"",COUNTIFS(Calendrier!$A$2:$A$367,"&gt;="&amp;MAX(Paramètres!$C37,N$4),Calendrier!$A$2:$A$367,"&lt;="&amp;IF(Paramètres!$D37="",EOMONTH(N$4,0),MIN(Paramètres!$D37,EOMONTH(N$4,0))),Calendrier!$C$2:$C$367,1))</f>
        <v/>
      </c>
      <c r="P31" s="56" t="str">
        <f>IF(OR(Paramètres!$A37="",C$3=0),"",COUNTIFS(Journal!$D$2:$D$3001,Paramètres!$A37,Journal!$H$2:$H$3001,"&gt;="&amp;MAX(Paramètres!$C37,C$4),Journal!$H$2:$H$3001,"&lt;="&amp;IF(Paramètres!$D37="",EOMONTH(C$4,0),MIN(Paramètres!$D37,EOMONTH(C$4,0))),Journal!$K$2:$K$3001,1))</f>
        <v/>
      </c>
      <c r="Q31" s="56" t="str">
        <f>IF(OR(Paramètres!$A37="",D$3=0),"",COUNTIFS(Journal!$D$2:$D$3001,Paramètres!$A37,Journal!$H$2:$H$3001,"&gt;="&amp;MAX(Paramètres!$C37,D$4),Journal!$H$2:$H$3001,"&lt;="&amp;IF(Paramètres!$D37="",EOMONTH(D$4,0),MIN(Paramètres!$D37,EOMONTH(D$4,0))),Journal!$K$2:$K$3001,1))</f>
        <v/>
      </c>
      <c r="R31" s="56" t="str">
        <f>IF(OR(Paramètres!$A37="",E$3=0),"",COUNTIFS(Journal!$D$2:$D$3001,Paramètres!$A37,Journal!$H$2:$H$3001,"&gt;="&amp;MAX(Paramètres!$C37,E$4),Journal!$H$2:$H$3001,"&lt;="&amp;IF(Paramètres!$D37="",EOMONTH(E$4,0),MIN(Paramètres!$D37,EOMONTH(E$4,0))),Journal!$K$2:$K$3001,1))</f>
        <v/>
      </c>
      <c r="S31" s="56" t="str">
        <f>IF(OR(Paramètres!$A37="",F$3=0),"",COUNTIFS(Journal!$D$2:$D$3001,Paramètres!$A37,Journal!$H$2:$H$3001,"&gt;="&amp;MAX(Paramètres!$C37,F$4),Journal!$H$2:$H$3001,"&lt;="&amp;IF(Paramètres!$D37="",EOMONTH(F$4,0),MIN(Paramètres!$D37,EOMONTH(F$4,0))),Journal!$K$2:$K$3001,1))</f>
        <v/>
      </c>
      <c r="T31" s="56" t="str">
        <f>IF(OR(Paramètres!$A37="",G$3=0),"",COUNTIFS(Journal!$D$2:$D$3001,Paramètres!$A37,Journal!$H$2:$H$3001,"&gt;="&amp;MAX(Paramètres!$C37,G$4),Journal!$H$2:$H$3001,"&lt;="&amp;IF(Paramètres!$D37="",EOMONTH(G$4,0),MIN(Paramètres!$D37,EOMONTH(G$4,0))),Journal!$K$2:$K$3001,1))</f>
        <v/>
      </c>
      <c r="U31" s="56" t="str">
        <f>IF(OR(Paramètres!$A37="",H$3=0),"",COUNTIFS(Journal!$D$2:$D$3001,Paramètres!$A37,Journal!$H$2:$H$3001,"&gt;="&amp;MAX(Paramètres!$C37,H$4),Journal!$H$2:$H$3001,"&lt;="&amp;IF(Paramètres!$D37="",EOMONTH(H$4,0),MIN(Paramètres!$D37,EOMONTH(H$4,0))),Journal!$K$2:$K$3001,1))</f>
        <v/>
      </c>
      <c r="V31" s="56" t="str">
        <f>IF(OR(Paramètres!$A37="",I$3=0),"",COUNTIFS(Journal!$D$2:$D$3001,Paramètres!$A37,Journal!$H$2:$H$3001,"&gt;="&amp;MAX(Paramètres!$C37,I$4),Journal!$H$2:$H$3001,"&lt;="&amp;IF(Paramètres!$D37="",EOMONTH(I$4,0),MIN(Paramètres!$D37,EOMONTH(I$4,0))),Journal!$K$2:$K$3001,1))</f>
        <v/>
      </c>
      <c r="W31" s="56" t="str">
        <f>IF(OR(Paramètres!$A37="",J$3=0),"",COUNTIFS(Journal!$D$2:$D$3001,Paramètres!$A37,Journal!$H$2:$H$3001,"&gt;="&amp;MAX(Paramètres!$C37,J$4),Journal!$H$2:$H$3001,"&lt;="&amp;IF(Paramètres!$D37="",EOMONTH(J$4,0),MIN(Paramètres!$D37,EOMONTH(J$4,0))),Journal!$K$2:$K$3001,1))</f>
        <v/>
      </c>
      <c r="X31" s="56" t="str">
        <f>IF(OR(Paramètres!$A37="",K$3=0),"",COUNTIFS(Journal!$D$2:$D$3001,Paramètres!$A37,Journal!$H$2:$H$3001,"&gt;="&amp;MAX(Paramètres!$C37,K$4),Journal!$H$2:$H$3001,"&lt;="&amp;IF(Paramètres!$D37="",EOMONTH(K$4,0),MIN(Paramètres!$D37,EOMONTH(K$4,0))),Journal!$K$2:$K$3001,1))</f>
        <v/>
      </c>
      <c r="Y31" s="56" t="str">
        <f>IF(OR(Paramètres!$A37="",L$3=0),"",COUNTIFS(Journal!$D$2:$D$3001,Paramètres!$A37,Journal!$H$2:$H$3001,"&gt;="&amp;MAX(Paramètres!$C37,L$4),Journal!$H$2:$H$3001,"&lt;="&amp;IF(Paramètres!$D37="",EOMONTH(L$4,0),MIN(Paramètres!$D37,EOMONTH(L$4,0))),Journal!$K$2:$K$3001,1))</f>
        <v/>
      </c>
      <c r="Z31" s="56" t="str">
        <f>IF(OR(Paramètres!$A37="",M$3=0),"",COUNTIFS(Journal!$D$2:$D$3001,Paramètres!$A37,Journal!$H$2:$H$3001,"&gt;="&amp;MAX(Paramètres!$C37,M$4),Journal!$H$2:$H$3001,"&lt;="&amp;IF(Paramètres!$D37="",EOMONTH(M$4,0),MIN(Paramètres!$D37,EOMONTH(M$4,0))),Journal!$K$2:$K$3001,1))</f>
        <v/>
      </c>
      <c r="AA31" s="56" t="str">
        <f>IF(OR(Paramètres!$A37="",N$3=0),"",COUNTIFS(Journal!$D$2:$D$3001,Paramètres!$A37,Journal!$H$2:$H$3001,"&gt;="&amp;MAX(Paramètres!$C37,N$4),Journal!$H$2:$H$3001,"&lt;="&amp;IF(Paramètres!$D37="",EOMONTH(N$4,0),MIN(Paramètres!$D37,EOMONTH(N$4,0))),Journal!$K$2:$K$3001,1))</f>
        <v/>
      </c>
      <c r="AC31" s="57" t="str">
        <f t="shared" si="4"/>
        <v/>
      </c>
      <c r="AD31" s="57" t="str">
        <f t="shared" si="5"/>
        <v/>
      </c>
      <c r="AE31" s="57" t="str">
        <f t="shared" si="6"/>
        <v/>
      </c>
      <c r="AF31" s="57" t="str">
        <f t="shared" si="7"/>
        <v/>
      </c>
      <c r="AG31" s="57" t="str">
        <f t="shared" si="8"/>
        <v/>
      </c>
      <c r="AH31" s="57" t="str">
        <f t="shared" si="9"/>
        <v/>
      </c>
      <c r="AI31" s="57" t="str">
        <f t="shared" si="10"/>
        <v/>
      </c>
      <c r="AJ31" s="57" t="str">
        <f t="shared" si="11"/>
        <v/>
      </c>
      <c r="AK31" s="57" t="str">
        <f t="shared" si="12"/>
        <v/>
      </c>
      <c r="AL31" s="57" t="str">
        <f t="shared" si="13"/>
        <v/>
      </c>
      <c r="AM31" s="57" t="str">
        <f t="shared" si="14"/>
        <v/>
      </c>
      <c r="AN31" s="57" t="str">
        <f t="shared" si="15"/>
        <v/>
      </c>
      <c r="AP31" s="57" t="str">
        <f>IF(C31="","",IF(C31=0,"",MIN(1,P31/MAX(1,ROUND(C31*Paramètres!$E37/5,0)))))</f>
        <v/>
      </c>
      <c r="AQ31" s="57" t="str">
        <f>IF(D31="","",IF(D31=0,"",MIN(1,Q31/MAX(1,ROUND(D31*Paramètres!$E37/5,0)))))</f>
        <v/>
      </c>
      <c r="AR31" s="57" t="str">
        <f>IF(E31="","",IF(E31=0,"",MIN(1,R31/MAX(1,ROUND(E31*Paramètres!$E37/5,0)))))</f>
        <v/>
      </c>
      <c r="AS31" s="57" t="str">
        <f>IF(F31="","",IF(F31=0,"",MIN(1,S31/MAX(1,ROUND(F31*Paramètres!$E37/5,0)))))</f>
        <v/>
      </c>
      <c r="AT31" s="57" t="str">
        <f>IF(G31="","",IF(G31=0,"",MIN(1,T31/MAX(1,ROUND(G31*Paramètres!$E37/5,0)))))</f>
        <v/>
      </c>
      <c r="AU31" s="57" t="str">
        <f>IF(H31="","",IF(H31=0,"",MIN(1,U31/MAX(1,ROUND(H31*Paramètres!$E37/5,0)))))</f>
        <v/>
      </c>
      <c r="AV31" s="57" t="str">
        <f>IF(I31="","",IF(I31=0,"",MIN(1,V31/MAX(1,ROUND(I31*Paramètres!$E37/5,0)))))</f>
        <v/>
      </c>
      <c r="AW31" s="57" t="str">
        <f>IF(J31="","",IF(J31=0,"",MIN(1,W31/MAX(1,ROUND(J31*Paramètres!$E37/5,0)))))</f>
        <v/>
      </c>
      <c r="AX31" s="57" t="str">
        <f>IF(K31="","",IF(K31=0,"",MIN(1,X31/MAX(1,ROUND(K31*Paramètres!$E37/5,0)))))</f>
        <v/>
      </c>
      <c r="AY31" s="57" t="str">
        <f>IF(L31="","",IF(L31=0,"",MIN(1,Y31/MAX(1,ROUND(L31*Paramètres!$E37/5,0)))))</f>
        <v/>
      </c>
      <c r="AZ31" s="57" t="str">
        <f>IF(M31="","",IF(M31=0,"",MIN(1,Z31/MAX(1,ROUND(M31*Paramètres!$E37/5,0)))))</f>
        <v/>
      </c>
      <c r="BA31" s="57" t="str">
        <f>IF(N31="","",IF(N31=0,"",MIN(1,AA31/MAX(1,ROUND(N31*Paramètres!$E37/5,0)))))</f>
        <v/>
      </c>
      <c r="BC31" s="56">
        <f t="shared" si="16"/>
        <v>0</v>
      </c>
      <c r="BD31" s="56" t="str">
        <f t="shared" si="17"/>
        <v/>
      </c>
      <c r="BE31" s="56" t="str">
        <f t="shared" si="18"/>
        <v/>
      </c>
      <c r="BF31" s="56" t="str">
        <f t="shared" si="19"/>
        <v/>
      </c>
    </row>
    <row r="32" spans="1:58" x14ac:dyDescent="0.25">
      <c r="A32" s="56" t="str">
        <f>IF(Paramètres!A38="","",Paramètres!A38)</f>
        <v/>
      </c>
      <c r="C32" s="56" t="str">
        <f>IF(OR(Paramètres!$A38="",C$3=0),"",COUNTIFS(Calendrier!$A$2:$A$367,"&gt;="&amp;MAX(Paramètres!$C38,C$4),Calendrier!$A$2:$A$367,"&lt;="&amp;IF(Paramètres!$D38="",EOMONTH(C$4,0),MIN(Paramètres!$D38,EOMONTH(C$4,0))),Calendrier!$C$2:$C$367,1))</f>
        <v/>
      </c>
      <c r="D32" s="56" t="str">
        <f>IF(OR(Paramètres!$A38="",D$3=0),"",COUNTIFS(Calendrier!$A$2:$A$367,"&gt;="&amp;MAX(Paramètres!$C38,D$4),Calendrier!$A$2:$A$367,"&lt;="&amp;IF(Paramètres!$D38="",EOMONTH(D$4,0),MIN(Paramètres!$D38,EOMONTH(D$4,0))),Calendrier!$C$2:$C$367,1))</f>
        <v/>
      </c>
      <c r="E32" s="56" t="str">
        <f>IF(OR(Paramètres!$A38="",E$3=0),"",COUNTIFS(Calendrier!$A$2:$A$367,"&gt;="&amp;MAX(Paramètres!$C38,E$4),Calendrier!$A$2:$A$367,"&lt;="&amp;IF(Paramètres!$D38="",EOMONTH(E$4,0),MIN(Paramètres!$D38,EOMONTH(E$4,0))),Calendrier!$C$2:$C$367,1))</f>
        <v/>
      </c>
      <c r="F32" s="56" t="str">
        <f>IF(OR(Paramètres!$A38="",F$3=0),"",COUNTIFS(Calendrier!$A$2:$A$367,"&gt;="&amp;MAX(Paramètres!$C38,F$4),Calendrier!$A$2:$A$367,"&lt;="&amp;IF(Paramètres!$D38="",EOMONTH(F$4,0),MIN(Paramètres!$D38,EOMONTH(F$4,0))),Calendrier!$C$2:$C$367,1))</f>
        <v/>
      </c>
      <c r="G32" s="56" t="str">
        <f>IF(OR(Paramètres!$A38="",G$3=0),"",COUNTIFS(Calendrier!$A$2:$A$367,"&gt;="&amp;MAX(Paramètres!$C38,G$4),Calendrier!$A$2:$A$367,"&lt;="&amp;IF(Paramètres!$D38="",EOMONTH(G$4,0),MIN(Paramètres!$D38,EOMONTH(G$4,0))),Calendrier!$C$2:$C$367,1))</f>
        <v/>
      </c>
      <c r="H32" s="56" t="str">
        <f>IF(OR(Paramètres!$A38="",H$3=0),"",COUNTIFS(Calendrier!$A$2:$A$367,"&gt;="&amp;MAX(Paramètres!$C38,H$4),Calendrier!$A$2:$A$367,"&lt;="&amp;IF(Paramètres!$D38="",EOMONTH(H$4,0),MIN(Paramètres!$D38,EOMONTH(H$4,0))),Calendrier!$C$2:$C$367,1))</f>
        <v/>
      </c>
      <c r="I32" s="56" t="str">
        <f>IF(OR(Paramètres!$A38="",I$3=0),"",COUNTIFS(Calendrier!$A$2:$A$367,"&gt;="&amp;MAX(Paramètres!$C38,I$4),Calendrier!$A$2:$A$367,"&lt;="&amp;IF(Paramètres!$D38="",EOMONTH(I$4,0),MIN(Paramètres!$D38,EOMONTH(I$4,0))),Calendrier!$C$2:$C$367,1))</f>
        <v/>
      </c>
      <c r="J32" s="56" t="str">
        <f>IF(OR(Paramètres!$A38="",J$3=0),"",COUNTIFS(Calendrier!$A$2:$A$367,"&gt;="&amp;MAX(Paramètres!$C38,J$4),Calendrier!$A$2:$A$367,"&lt;="&amp;IF(Paramètres!$D38="",EOMONTH(J$4,0),MIN(Paramètres!$D38,EOMONTH(J$4,0))),Calendrier!$C$2:$C$367,1))</f>
        <v/>
      </c>
      <c r="K32" s="56" t="str">
        <f>IF(OR(Paramètres!$A38="",K$3=0),"",COUNTIFS(Calendrier!$A$2:$A$367,"&gt;="&amp;MAX(Paramètres!$C38,K$4),Calendrier!$A$2:$A$367,"&lt;="&amp;IF(Paramètres!$D38="",EOMONTH(K$4,0),MIN(Paramètres!$D38,EOMONTH(K$4,0))),Calendrier!$C$2:$C$367,1))</f>
        <v/>
      </c>
      <c r="L32" s="56" t="str">
        <f>IF(OR(Paramètres!$A38="",L$3=0),"",COUNTIFS(Calendrier!$A$2:$A$367,"&gt;="&amp;MAX(Paramètres!$C38,L$4),Calendrier!$A$2:$A$367,"&lt;="&amp;IF(Paramètres!$D38="",EOMONTH(L$4,0),MIN(Paramètres!$D38,EOMONTH(L$4,0))),Calendrier!$C$2:$C$367,1))</f>
        <v/>
      </c>
      <c r="M32" s="56" t="str">
        <f>IF(OR(Paramètres!$A38="",M$3=0),"",COUNTIFS(Calendrier!$A$2:$A$367,"&gt;="&amp;MAX(Paramètres!$C38,M$4),Calendrier!$A$2:$A$367,"&lt;="&amp;IF(Paramètres!$D38="",EOMONTH(M$4,0),MIN(Paramètres!$D38,EOMONTH(M$4,0))),Calendrier!$C$2:$C$367,1))</f>
        <v/>
      </c>
      <c r="N32" s="56" t="str">
        <f>IF(OR(Paramètres!$A38="",N$3=0),"",COUNTIFS(Calendrier!$A$2:$A$367,"&gt;="&amp;MAX(Paramètres!$C38,N$4),Calendrier!$A$2:$A$367,"&lt;="&amp;IF(Paramètres!$D38="",EOMONTH(N$4,0),MIN(Paramètres!$D38,EOMONTH(N$4,0))),Calendrier!$C$2:$C$367,1))</f>
        <v/>
      </c>
      <c r="P32" s="56" t="str">
        <f>IF(OR(Paramètres!$A38="",C$3=0),"",COUNTIFS(Journal!$D$2:$D$3001,Paramètres!$A38,Journal!$H$2:$H$3001,"&gt;="&amp;MAX(Paramètres!$C38,C$4),Journal!$H$2:$H$3001,"&lt;="&amp;IF(Paramètres!$D38="",EOMONTH(C$4,0),MIN(Paramètres!$D38,EOMONTH(C$4,0))),Journal!$K$2:$K$3001,1))</f>
        <v/>
      </c>
      <c r="Q32" s="56" t="str">
        <f>IF(OR(Paramètres!$A38="",D$3=0),"",COUNTIFS(Journal!$D$2:$D$3001,Paramètres!$A38,Journal!$H$2:$H$3001,"&gt;="&amp;MAX(Paramètres!$C38,D$4),Journal!$H$2:$H$3001,"&lt;="&amp;IF(Paramètres!$D38="",EOMONTH(D$4,0),MIN(Paramètres!$D38,EOMONTH(D$4,0))),Journal!$K$2:$K$3001,1))</f>
        <v/>
      </c>
      <c r="R32" s="56" t="str">
        <f>IF(OR(Paramètres!$A38="",E$3=0),"",COUNTIFS(Journal!$D$2:$D$3001,Paramètres!$A38,Journal!$H$2:$H$3001,"&gt;="&amp;MAX(Paramètres!$C38,E$4),Journal!$H$2:$H$3001,"&lt;="&amp;IF(Paramètres!$D38="",EOMONTH(E$4,0),MIN(Paramètres!$D38,EOMONTH(E$4,0))),Journal!$K$2:$K$3001,1))</f>
        <v/>
      </c>
      <c r="S32" s="56" t="str">
        <f>IF(OR(Paramètres!$A38="",F$3=0),"",COUNTIFS(Journal!$D$2:$D$3001,Paramètres!$A38,Journal!$H$2:$H$3001,"&gt;="&amp;MAX(Paramètres!$C38,F$4),Journal!$H$2:$H$3001,"&lt;="&amp;IF(Paramètres!$D38="",EOMONTH(F$4,0),MIN(Paramètres!$D38,EOMONTH(F$4,0))),Journal!$K$2:$K$3001,1))</f>
        <v/>
      </c>
      <c r="T32" s="56" t="str">
        <f>IF(OR(Paramètres!$A38="",G$3=0),"",COUNTIFS(Journal!$D$2:$D$3001,Paramètres!$A38,Journal!$H$2:$H$3001,"&gt;="&amp;MAX(Paramètres!$C38,G$4),Journal!$H$2:$H$3001,"&lt;="&amp;IF(Paramètres!$D38="",EOMONTH(G$4,0),MIN(Paramètres!$D38,EOMONTH(G$4,0))),Journal!$K$2:$K$3001,1))</f>
        <v/>
      </c>
      <c r="U32" s="56" t="str">
        <f>IF(OR(Paramètres!$A38="",H$3=0),"",COUNTIFS(Journal!$D$2:$D$3001,Paramètres!$A38,Journal!$H$2:$H$3001,"&gt;="&amp;MAX(Paramètres!$C38,H$4),Journal!$H$2:$H$3001,"&lt;="&amp;IF(Paramètres!$D38="",EOMONTH(H$4,0),MIN(Paramètres!$D38,EOMONTH(H$4,0))),Journal!$K$2:$K$3001,1))</f>
        <v/>
      </c>
      <c r="V32" s="56" t="str">
        <f>IF(OR(Paramètres!$A38="",I$3=0),"",COUNTIFS(Journal!$D$2:$D$3001,Paramètres!$A38,Journal!$H$2:$H$3001,"&gt;="&amp;MAX(Paramètres!$C38,I$4),Journal!$H$2:$H$3001,"&lt;="&amp;IF(Paramètres!$D38="",EOMONTH(I$4,0),MIN(Paramètres!$D38,EOMONTH(I$4,0))),Journal!$K$2:$K$3001,1))</f>
        <v/>
      </c>
      <c r="W32" s="56" t="str">
        <f>IF(OR(Paramètres!$A38="",J$3=0),"",COUNTIFS(Journal!$D$2:$D$3001,Paramètres!$A38,Journal!$H$2:$H$3001,"&gt;="&amp;MAX(Paramètres!$C38,J$4),Journal!$H$2:$H$3001,"&lt;="&amp;IF(Paramètres!$D38="",EOMONTH(J$4,0),MIN(Paramètres!$D38,EOMONTH(J$4,0))),Journal!$K$2:$K$3001,1))</f>
        <v/>
      </c>
      <c r="X32" s="56" t="str">
        <f>IF(OR(Paramètres!$A38="",K$3=0),"",COUNTIFS(Journal!$D$2:$D$3001,Paramètres!$A38,Journal!$H$2:$H$3001,"&gt;="&amp;MAX(Paramètres!$C38,K$4),Journal!$H$2:$H$3001,"&lt;="&amp;IF(Paramètres!$D38="",EOMONTH(K$4,0),MIN(Paramètres!$D38,EOMONTH(K$4,0))),Journal!$K$2:$K$3001,1))</f>
        <v/>
      </c>
      <c r="Y32" s="56" t="str">
        <f>IF(OR(Paramètres!$A38="",L$3=0),"",COUNTIFS(Journal!$D$2:$D$3001,Paramètres!$A38,Journal!$H$2:$H$3001,"&gt;="&amp;MAX(Paramètres!$C38,L$4),Journal!$H$2:$H$3001,"&lt;="&amp;IF(Paramètres!$D38="",EOMONTH(L$4,0),MIN(Paramètres!$D38,EOMONTH(L$4,0))),Journal!$K$2:$K$3001,1))</f>
        <v/>
      </c>
      <c r="Z32" s="56" t="str">
        <f>IF(OR(Paramètres!$A38="",M$3=0),"",COUNTIFS(Journal!$D$2:$D$3001,Paramètres!$A38,Journal!$H$2:$H$3001,"&gt;="&amp;MAX(Paramètres!$C38,M$4),Journal!$H$2:$H$3001,"&lt;="&amp;IF(Paramètres!$D38="",EOMONTH(M$4,0),MIN(Paramètres!$D38,EOMONTH(M$4,0))),Journal!$K$2:$K$3001,1))</f>
        <v/>
      </c>
      <c r="AA32" s="56" t="str">
        <f>IF(OR(Paramètres!$A38="",N$3=0),"",COUNTIFS(Journal!$D$2:$D$3001,Paramètres!$A38,Journal!$H$2:$H$3001,"&gt;="&amp;MAX(Paramètres!$C38,N$4),Journal!$H$2:$H$3001,"&lt;="&amp;IF(Paramètres!$D38="",EOMONTH(N$4,0),MIN(Paramètres!$D38,EOMONTH(N$4,0))),Journal!$K$2:$K$3001,1))</f>
        <v/>
      </c>
      <c r="AC32" s="57" t="str">
        <f t="shared" si="4"/>
        <v/>
      </c>
      <c r="AD32" s="57" t="str">
        <f t="shared" si="5"/>
        <v/>
      </c>
      <c r="AE32" s="57" t="str">
        <f t="shared" si="6"/>
        <v/>
      </c>
      <c r="AF32" s="57" t="str">
        <f t="shared" si="7"/>
        <v/>
      </c>
      <c r="AG32" s="57" t="str">
        <f t="shared" si="8"/>
        <v/>
      </c>
      <c r="AH32" s="57" t="str">
        <f t="shared" si="9"/>
        <v/>
      </c>
      <c r="AI32" s="57" t="str">
        <f t="shared" si="10"/>
        <v/>
      </c>
      <c r="AJ32" s="57" t="str">
        <f t="shared" si="11"/>
        <v/>
      </c>
      <c r="AK32" s="57" t="str">
        <f t="shared" si="12"/>
        <v/>
      </c>
      <c r="AL32" s="57" t="str">
        <f t="shared" si="13"/>
        <v/>
      </c>
      <c r="AM32" s="57" t="str">
        <f t="shared" si="14"/>
        <v/>
      </c>
      <c r="AN32" s="57" t="str">
        <f t="shared" si="15"/>
        <v/>
      </c>
      <c r="AP32" s="57" t="str">
        <f>IF(C32="","",IF(C32=0,"",MIN(1,P32/MAX(1,ROUND(C32*Paramètres!$E38/5,0)))))</f>
        <v/>
      </c>
      <c r="AQ32" s="57" t="str">
        <f>IF(D32="","",IF(D32=0,"",MIN(1,Q32/MAX(1,ROUND(D32*Paramètres!$E38/5,0)))))</f>
        <v/>
      </c>
      <c r="AR32" s="57" t="str">
        <f>IF(E32="","",IF(E32=0,"",MIN(1,R32/MAX(1,ROUND(E32*Paramètres!$E38/5,0)))))</f>
        <v/>
      </c>
      <c r="AS32" s="57" t="str">
        <f>IF(F32="","",IF(F32=0,"",MIN(1,S32/MAX(1,ROUND(F32*Paramètres!$E38/5,0)))))</f>
        <v/>
      </c>
      <c r="AT32" s="57" t="str">
        <f>IF(G32="","",IF(G32=0,"",MIN(1,T32/MAX(1,ROUND(G32*Paramètres!$E38/5,0)))))</f>
        <v/>
      </c>
      <c r="AU32" s="57" t="str">
        <f>IF(H32="","",IF(H32=0,"",MIN(1,U32/MAX(1,ROUND(H32*Paramètres!$E38/5,0)))))</f>
        <v/>
      </c>
      <c r="AV32" s="57" t="str">
        <f>IF(I32="","",IF(I32=0,"",MIN(1,V32/MAX(1,ROUND(I32*Paramètres!$E38/5,0)))))</f>
        <v/>
      </c>
      <c r="AW32" s="57" t="str">
        <f>IF(J32="","",IF(J32=0,"",MIN(1,W32/MAX(1,ROUND(J32*Paramètres!$E38/5,0)))))</f>
        <v/>
      </c>
      <c r="AX32" s="57" t="str">
        <f>IF(K32="","",IF(K32=0,"",MIN(1,X32/MAX(1,ROUND(K32*Paramètres!$E38/5,0)))))</f>
        <v/>
      </c>
      <c r="AY32" s="57" t="str">
        <f>IF(L32="","",IF(L32=0,"",MIN(1,Y32/MAX(1,ROUND(L32*Paramètres!$E38/5,0)))))</f>
        <v/>
      </c>
      <c r="AZ32" s="57" t="str">
        <f>IF(M32="","",IF(M32=0,"",MIN(1,Z32/MAX(1,ROUND(M32*Paramètres!$E38/5,0)))))</f>
        <v/>
      </c>
      <c r="BA32" s="57" t="str">
        <f>IF(N32="","",IF(N32=0,"",MIN(1,AA32/MAX(1,ROUND(N32*Paramètres!$E38/5,0)))))</f>
        <v/>
      </c>
      <c r="BC32" s="56">
        <f t="shared" si="16"/>
        <v>0</v>
      </c>
      <c r="BD32" s="56" t="str">
        <f t="shared" si="17"/>
        <v/>
      </c>
      <c r="BE32" s="56" t="str">
        <f t="shared" si="18"/>
        <v/>
      </c>
      <c r="BF32" s="56" t="str">
        <f t="shared" si="19"/>
        <v/>
      </c>
    </row>
    <row r="33" spans="1:58" x14ac:dyDescent="0.25">
      <c r="A33" s="56" t="str">
        <f>IF(Paramètres!A39="","",Paramètres!A39)</f>
        <v/>
      </c>
      <c r="C33" s="56" t="str">
        <f>IF(OR(Paramètres!$A39="",C$3=0),"",COUNTIFS(Calendrier!$A$2:$A$367,"&gt;="&amp;MAX(Paramètres!$C39,C$4),Calendrier!$A$2:$A$367,"&lt;="&amp;IF(Paramètres!$D39="",EOMONTH(C$4,0),MIN(Paramètres!$D39,EOMONTH(C$4,0))),Calendrier!$C$2:$C$367,1))</f>
        <v/>
      </c>
      <c r="D33" s="56" t="str">
        <f>IF(OR(Paramètres!$A39="",D$3=0),"",COUNTIFS(Calendrier!$A$2:$A$367,"&gt;="&amp;MAX(Paramètres!$C39,D$4),Calendrier!$A$2:$A$367,"&lt;="&amp;IF(Paramètres!$D39="",EOMONTH(D$4,0),MIN(Paramètres!$D39,EOMONTH(D$4,0))),Calendrier!$C$2:$C$367,1))</f>
        <v/>
      </c>
      <c r="E33" s="56" t="str">
        <f>IF(OR(Paramètres!$A39="",E$3=0),"",COUNTIFS(Calendrier!$A$2:$A$367,"&gt;="&amp;MAX(Paramètres!$C39,E$4),Calendrier!$A$2:$A$367,"&lt;="&amp;IF(Paramètres!$D39="",EOMONTH(E$4,0),MIN(Paramètres!$D39,EOMONTH(E$4,0))),Calendrier!$C$2:$C$367,1))</f>
        <v/>
      </c>
      <c r="F33" s="56" t="str">
        <f>IF(OR(Paramètres!$A39="",F$3=0),"",COUNTIFS(Calendrier!$A$2:$A$367,"&gt;="&amp;MAX(Paramètres!$C39,F$4),Calendrier!$A$2:$A$367,"&lt;="&amp;IF(Paramètres!$D39="",EOMONTH(F$4,0),MIN(Paramètres!$D39,EOMONTH(F$4,0))),Calendrier!$C$2:$C$367,1))</f>
        <v/>
      </c>
      <c r="G33" s="56" t="str">
        <f>IF(OR(Paramètres!$A39="",G$3=0),"",COUNTIFS(Calendrier!$A$2:$A$367,"&gt;="&amp;MAX(Paramètres!$C39,G$4),Calendrier!$A$2:$A$367,"&lt;="&amp;IF(Paramètres!$D39="",EOMONTH(G$4,0),MIN(Paramètres!$D39,EOMONTH(G$4,0))),Calendrier!$C$2:$C$367,1))</f>
        <v/>
      </c>
      <c r="H33" s="56" t="str">
        <f>IF(OR(Paramètres!$A39="",H$3=0),"",COUNTIFS(Calendrier!$A$2:$A$367,"&gt;="&amp;MAX(Paramètres!$C39,H$4),Calendrier!$A$2:$A$367,"&lt;="&amp;IF(Paramètres!$D39="",EOMONTH(H$4,0),MIN(Paramètres!$D39,EOMONTH(H$4,0))),Calendrier!$C$2:$C$367,1))</f>
        <v/>
      </c>
      <c r="I33" s="56" t="str">
        <f>IF(OR(Paramètres!$A39="",I$3=0),"",COUNTIFS(Calendrier!$A$2:$A$367,"&gt;="&amp;MAX(Paramètres!$C39,I$4),Calendrier!$A$2:$A$367,"&lt;="&amp;IF(Paramètres!$D39="",EOMONTH(I$4,0),MIN(Paramètres!$D39,EOMONTH(I$4,0))),Calendrier!$C$2:$C$367,1))</f>
        <v/>
      </c>
      <c r="J33" s="56" t="str">
        <f>IF(OR(Paramètres!$A39="",J$3=0),"",COUNTIFS(Calendrier!$A$2:$A$367,"&gt;="&amp;MAX(Paramètres!$C39,J$4),Calendrier!$A$2:$A$367,"&lt;="&amp;IF(Paramètres!$D39="",EOMONTH(J$4,0),MIN(Paramètres!$D39,EOMONTH(J$4,0))),Calendrier!$C$2:$C$367,1))</f>
        <v/>
      </c>
      <c r="K33" s="56" t="str">
        <f>IF(OR(Paramètres!$A39="",K$3=0),"",COUNTIFS(Calendrier!$A$2:$A$367,"&gt;="&amp;MAX(Paramètres!$C39,K$4),Calendrier!$A$2:$A$367,"&lt;="&amp;IF(Paramètres!$D39="",EOMONTH(K$4,0),MIN(Paramètres!$D39,EOMONTH(K$4,0))),Calendrier!$C$2:$C$367,1))</f>
        <v/>
      </c>
      <c r="L33" s="56" t="str">
        <f>IF(OR(Paramètres!$A39="",L$3=0),"",COUNTIFS(Calendrier!$A$2:$A$367,"&gt;="&amp;MAX(Paramètres!$C39,L$4),Calendrier!$A$2:$A$367,"&lt;="&amp;IF(Paramètres!$D39="",EOMONTH(L$4,0),MIN(Paramètres!$D39,EOMONTH(L$4,0))),Calendrier!$C$2:$C$367,1))</f>
        <v/>
      </c>
      <c r="M33" s="56" t="str">
        <f>IF(OR(Paramètres!$A39="",M$3=0),"",COUNTIFS(Calendrier!$A$2:$A$367,"&gt;="&amp;MAX(Paramètres!$C39,M$4),Calendrier!$A$2:$A$367,"&lt;="&amp;IF(Paramètres!$D39="",EOMONTH(M$4,0),MIN(Paramètres!$D39,EOMONTH(M$4,0))),Calendrier!$C$2:$C$367,1))</f>
        <v/>
      </c>
      <c r="N33" s="56" t="str">
        <f>IF(OR(Paramètres!$A39="",N$3=0),"",COUNTIFS(Calendrier!$A$2:$A$367,"&gt;="&amp;MAX(Paramètres!$C39,N$4),Calendrier!$A$2:$A$367,"&lt;="&amp;IF(Paramètres!$D39="",EOMONTH(N$4,0),MIN(Paramètres!$D39,EOMONTH(N$4,0))),Calendrier!$C$2:$C$367,1))</f>
        <v/>
      </c>
      <c r="P33" s="56" t="str">
        <f>IF(OR(Paramètres!$A39="",C$3=0),"",COUNTIFS(Journal!$D$2:$D$3001,Paramètres!$A39,Journal!$H$2:$H$3001,"&gt;="&amp;MAX(Paramètres!$C39,C$4),Journal!$H$2:$H$3001,"&lt;="&amp;IF(Paramètres!$D39="",EOMONTH(C$4,0),MIN(Paramètres!$D39,EOMONTH(C$4,0))),Journal!$K$2:$K$3001,1))</f>
        <v/>
      </c>
      <c r="Q33" s="56" t="str">
        <f>IF(OR(Paramètres!$A39="",D$3=0),"",COUNTIFS(Journal!$D$2:$D$3001,Paramètres!$A39,Journal!$H$2:$H$3001,"&gt;="&amp;MAX(Paramètres!$C39,D$4),Journal!$H$2:$H$3001,"&lt;="&amp;IF(Paramètres!$D39="",EOMONTH(D$4,0),MIN(Paramètres!$D39,EOMONTH(D$4,0))),Journal!$K$2:$K$3001,1))</f>
        <v/>
      </c>
      <c r="R33" s="56" t="str">
        <f>IF(OR(Paramètres!$A39="",E$3=0),"",COUNTIFS(Journal!$D$2:$D$3001,Paramètres!$A39,Journal!$H$2:$H$3001,"&gt;="&amp;MAX(Paramètres!$C39,E$4),Journal!$H$2:$H$3001,"&lt;="&amp;IF(Paramètres!$D39="",EOMONTH(E$4,0),MIN(Paramètres!$D39,EOMONTH(E$4,0))),Journal!$K$2:$K$3001,1))</f>
        <v/>
      </c>
      <c r="S33" s="56" t="str">
        <f>IF(OR(Paramètres!$A39="",F$3=0),"",COUNTIFS(Journal!$D$2:$D$3001,Paramètres!$A39,Journal!$H$2:$H$3001,"&gt;="&amp;MAX(Paramètres!$C39,F$4),Journal!$H$2:$H$3001,"&lt;="&amp;IF(Paramètres!$D39="",EOMONTH(F$4,0),MIN(Paramètres!$D39,EOMONTH(F$4,0))),Journal!$K$2:$K$3001,1))</f>
        <v/>
      </c>
      <c r="T33" s="56" t="str">
        <f>IF(OR(Paramètres!$A39="",G$3=0),"",COUNTIFS(Journal!$D$2:$D$3001,Paramètres!$A39,Journal!$H$2:$H$3001,"&gt;="&amp;MAX(Paramètres!$C39,G$4),Journal!$H$2:$H$3001,"&lt;="&amp;IF(Paramètres!$D39="",EOMONTH(G$4,0),MIN(Paramètres!$D39,EOMONTH(G$4,0))),Journal!$K$2:$K$3001,1))</f>
        <v/>
      </c>
      <c r="U33" s="56" t="str">
        <f>IF(OR(Paramètres!$A39="",H$3=0),"",COUNTIFS(Journal!$D$2:$D$3001,Paramètres!$A39,Journal!$H$2:$H$3001,"&gt;="&amp;MAX(Paramètres!$C39,H$4),Journal!$H$2:$H$3001,"&lt;="&amp;IF(Paramètres!$D39="",EOMONTH(H$4,0),MIN(Paramètres!$D39,EOMONTH(H$4,0))),Journal!$K$2:$K$3001,1))</f>
        <v/>
      </c>
      <c r="V33" s="56" t="str">
        <f>IF(OR(Paramètres!$A39="",I$3=0),"",COUNTIFS(Journal!$D$2:$D$3001,Paramètres!$A39,Journal!$H$2:$H$3001,"&gt;="&amp;MAX(Paramètres!$C39,I$4),Journal!$H$2:$H$3001,"&lt;="&amp;IF(Paramètres!$D39="",EOMONTH(I$4,0),MIN(Paramètres!$D39,EOMONTH(I$4,0))),Journal!$K$2:$K$3001,1))</f>
        <v/>
      </c>
      <c r="W33" s="56" t="str">
        <f>IF(OR(Paramètres!$A39="",J$3=0),"",COUNTIFS(Journal!$D$2:$D$3001,Paramètres!$A39,Journal!$H$2:$H$3001,"&gt;="&amp;MAX(Paramètres!$C39,J$4),Journal!$H$2:$H$3001,"&lt;="&amp;IF(Paramètres!$D39="",EOMONTH(J$4,0),MIN(Paramètres!$D39,EOMONTH(J$4,0))),Journal!$K$2:$K$3001,1))</f>
        <v/>
      </c>
      <c r="X33" s="56" t="str">
        <f>IF(OR(Paramètres!$A39="",K$3=0),"",COUNTIFS(Journal!$D$2:$D$3001,Paramètres!$A39,Journal!$H$2:$H$3001,"&gt;="&amp;MAX(Paramètres!$C39,K$4),Journal!$H$2:$H$3001,"&lt;="&amp;IF(Paramètres!$D39="",EOMONTH(K$4,0),MIN(Paramètres!$D39,EOMONTH(K$4,0))),Journal!$K$2:$K$3001,1))</f>
        <v/>
      </c>
      <c r="Y33" s="56" t="str">
        <f>IF(OR(Paramètres!$A39="",L$3=0),"",COUNTIFS(Journal!$D$2:$D$3001,Paramètres!$A39,Journal!$H$2:$H$3001,"&gt;="&amp;MAX(Paramètres!$C39,L$4),Journal!$H$2:$H$3001,"&lt;="&amp;IF(Paramètres!$D39="",EOMONTH(L$4,0),MIN(Paramètres!$D39,EOMONTH(L$4,0))),Journal!$K$2:$K$3001,1))</f>
        <v/>
      </c>
      <c r="Z33" s="56" t="str">
        <f>IF(OR(Paramètres!$A39="",M$3=0),"",COUNTIFS(Journal!$D$2:$D$3001,Paramètres!$A39,Journal!$H$2:$H$3001,"&gt;="&amp;MAX(Paramètres!$C39,M$4),Journal!$H$2:$H$3001,"&lt;="&amp;IF(Paramètres!$D39="",EOMONTH(M$4,0),MIN(Paramètres!$D39,EOMONTH(M$4,0))),Journal!$K$2:$K$3001,1))</f>
        <v/>
      </c>
      <c r="AA33" s="56" t="str">
        <f>IF(OR(Paramètres!$A39="",N$3=0),"",COUNTIFS(Journal!$D$2:$D$3001,Paramètres!$A39,Journal!$H$2:$H$3001,"&gt;="&amp;MAX(Paramètres!$C39,N$4),Journal!$H$2:$H$3001,"&lt;="&amp;IF(Paramètres!$D39="",EOMONTH(N$4,0),MIN(Paramètres!$D39,EOMONTH(N$4,0))),Journal!$K$2:$K$3001,1))</f>
        <v/>
      </c>
      <c r="AC33" s="57" t="str">
        <f t="shared" si="4"/>
        <v/>
      </c>
      <c r="AD33" s="57" t="str">
        <f t="shared" si="5"/>
        <v/>
      </c>
      <c r="AE33" s="57" t="str">
        <f t="shared" si="6"/>
        <v/>
      </c>
      <c r="AF33" s="57" t="str">
        <f t="shared" si="7"/>
        <v/>
      </c>
      <c r="AG33" s="57" t="str">
        <f t="shared" si="8"/>
        <v/>
      </c>
      <c r="AH33" s="57" t="str">
        <f t="shared" si="9"/>
        <v/>
      </c>
      <c r="AI33" s="57" t="str">
        <f t="shared" si="10"/>
        <v/>
      </c>
      <c r="AJ33" s="57" t="str">
        <f t="shared" si="11"/>
        <v/>
      </c>
      <c r="AK33" s="57" t="str">
        <f t="shared" si="12"/>
        <v/>
      </c>
      <c r="AL33" s="57" t="str">
        <f t="shared" si="13"/>
        <v/>
      </c>
      <c r="AM33" s="57" t="str">
        <f t="shared" si="14"/>
        <v/>
      </c>
      <c r="AN33" s="57" t="str">
        <f t="shared" si="15"/>
        <v/>
      </c>
      <c r="AP33" s="57" t="str">
        <f>IF(C33="","",IF(C33=0,"",MIN(1,P33/MAX(1,ROUND(C33*Paramètres!$E39/5,0)))))</f>
        <v/>
      </c>
      <c r="AQ33" s="57" t="str">
        <f>IF(D33="","",IF(D33=0,"",MIN(1,Q33/MAX(1,ROUND(D33*Paramètres!$E39/5,0)))))</f>
        <v/>
      </c>
      <c r="AR33" s="57" t="str">
        <f>IF(E33="","",IF(E33=0,"",MIN(1,R33/MAX(1,ROUND(E33*Paramètres!$E39/5,0)))))</f>
        <v/>
      </c>
      <c r="AS33" s="57" t="str">
        <f>IF(F33="","",IF(F33=0,"",MIN(1,S33/MAX(1,ROUND(F33*Paramètres!$E39/5,0)))))</f>
        <v/>
      </c>
      <c r="AT33" s="57" t="str">
        <f>IF(G33="","",IF(G33=0,"",MIN(1,T33/MAX(1,ROUND(G33*Paramètres!$E39/5,0)))))</f>
        <v/>
      </c>
      <c r="AU33" s="57" t="str">
        <f>IF(H33="","",IF(H33=0,"",MIN(1,U33/MAX(1,ROUND(H33*Paramètres!$E39/5,0)))))</f>
        <v/>
      </c>
      <c r="AV33" s="57" t="str">
        <f>IF(I33="","",IF(I33=0,"",MIN(1,V33/MAX(1,ROUND(I33*Paramètres!$E39/5,0)))))</f>
        <v/>
      </c>
      <c r="AW33" s="57" t="str">
        <f>IF(J33="","",IF(J33=0,"",MIN(1,W33/MAX(1,ROUND(J33*Paramètres!$E39/5,0)))))</f>
        <v/>
      </c>
      <c r="AX33" s="57" t="str">
        <f>IF(K33="","",IF(K33=0,"",MIN(1,X33/MAX(1,ROUND(K33*Paramètres!$E39/5,0)))))</f>
        <v/>
      </c>
      <c r="AY33" s="57" t="str">
        <f>IF(L33="","",IF(L33=0,"",MIN(1,Y33/MAX(1,ROUND(L33*Paramètres!$E39/5,0)))))</f>
        <v/>
      </c>
      <c r="AZ33" s="57" t="str">
        <f>IF(M33="","",IF(M33=0,"",MIN(1,Z33/MAX(1,ROUND(M33*Paramètres!$E39/5,0)))))</f>
        <v/>
      </c>
      <c r="BA33" s="57" t="str">
        <f>IF(N33="","",IF(N33=0,"",MIN(1,AA33/MAX(1,ROUND(N33*Paramètres!$E39/5,0)))))</f>
        <v/>
      </c>
      <c r="BC33" s="56">
        <f t="shared" si="16"/>
        <v>0</v>
      </c>
      <c r="BD33" s="56" t="str">
        <f t="shared" si="17"/>
        <v/>
      </c>
      <c r="BE33" s="56" t="str">
        <f t="shared" si="18"/>
        <v/>
      </c>
      <c r="BF33" s="56" t="str">
        <f t="shared" si="19"/>
        <v/>
      </c>
    </row>
    <row r="34" spans="1:58" x14ac:dyDescent="0.25">
      <c r="A34" s="56" t="str">
        <f>IF(Paramètres!A40="","",Paramètres!A40)</f>
        <v/>
      </c>
      <c r="C34" s="56" t="str">
        <f>IF(OR(Paramètres!$A40="",C$3=0),"",COUNTIFS(Calendrier!$A$2:$A$367,"&gt;="&amp;MAX(Paramètres!$C40,C$4),Calendrier!$A$2:$A$367,"&lt;="&amp;IF(Paramètres!$D40="",EOMONTH(C$4,0),MIN(Paramètres!$D40,EOMONTH(C$4,0))),Calendrier!$C$2:$C$367,1))</f>
        <v/>
      </c>
      <c r="D34" s="56" t="str">
        <f>IF(OR(Paramètres!$A40="",D$3=0),"",COUNTIFS(Calendrier!$A$2:$A$367,"&gt;="&amp;MAX(Paramètres!$C40,D$4),Calendrier!$A$2:$A$367,"&lt;="&amp;IF(Paramètres!$D40="",EOMONTH(D$4,0),MIN(Paramètres!$D40,EOMONTH(D$4,0))),Calendrier!$C$2:$C$367,1))</f>
        <v/>
      </c>
      <c r="E34" s="56" t="str">
        <f>IF(OR(Paramètres!$A40="",E$3=0),"",COUNTIFS(Calendrier!$A$2:$A$367,"&gt;="&amp;MAX(Paramètres!$C40,E$4),Calendrier!$A$2:$A$367,"&lt;="&amp;IF(Paramètres!$D40="",EOMONTH(E$4,0),MIN(Paramètres!$D40,EOMONTH(E$4,0))),Calendrier!$C$2:$C$367,1))</f>
        <v/>
      </c>
      <c r="F34" s="56" t="str">
        <f>IF(OR(Paramètres!$A40="",F$3=0),"",COUNTIFS(Calendrier!$A$2:$A$367,"&gt;="&amp;MAX(Paramètres!$C40,F$4),Calendrier!$A$2:$A$367,"&lt;="&amp;IF(Paramètres!$D40="",EOMONTH(F$4,0),MIN(Paramètres!$D40,EOMONTH(F$4,0))),Calendrier!$C$2:$C$367,1))</f>
        <v/>
      </c>
      <c r="G34" s="56" t="str">
        <f>IF(OR(Paramètres!$A40="",G$3=0),"",COUNTIFS(Calendrier!$A$2:$A$367,"&gt;="&amp;MAX(Paramètres!$C40,G$4),Calendrier!$A$2:$A$367,"&lt;="&amp;IF(Paramètres!$D40="",EOMONTH(G$4,0),MIN(Paramètres!$D40,EOMONTH(G$4,0))),Calendrier!$C$2:$C$367,1))</f>
        <v/>
      </c>
      <c r="H34" s="56" t="str">
        <f>IF(OR(Paramètres!$A40="",H$3=0),"",COUNTIFS(Calendrier!$A$2:$A$367,"&gt;="&amp;MAX(Paramètres!$C40,H$4),Calendrier!$A$2:$A$367,"&lt;="&amp;IF(Paramètres!$D40="",EOMONTH(H$4,0),MIN(Paramètres!$D40,EOMONTH(H$4,0))),Calendrier!$C$2:$C$367,1))</f>
        <v/>
      </c>
      <c r="I34" s="56" t="str">
        <f>IF(OR(Paramètres!$A40="",I$3=0),"",COUNTIFS(Calendrier!$A$2:$A$367,"&gt;="&amp;MAX(Paramètres!$C40,I$4),Calendrier!$A$2:$A$367,"&lt;="&amp;IF(Paramètres!$D40="",EOMONTH(I$4,0),MIN(Paramètres!$D40,EOMONTH(I$4,0))),Calendrier!$C$2:$C$367,1))</f>
        <v/>
      </c>
      <c r="J34" s="56" t="str">
        <f>IF(OR(Paramètres!$A40="",J$3=0),"",COUNTIFS(Calendrier!$A$2:$A$367,"&gt;="&amp;MAX(Paramètres!$C40,J$4),Calendrier!$A$2:$A$367,"&lt;="&amp;IF(Paramètres!$D40="",EOMONTH(J$4,0),MIN(Paramètres!$D40,EOMONTH(J$4,0))),Calendrier!$C$2:$C$367,1))</f>
        <v/>
      </c>
      <c r="K34" s="56" t="str">
        <f>IF(OR(Paramètres!$A40="",K$3=0),"",COUNTIFS(Calendrier!$A$2:$A$367,"&gt;="&amp;MAX(Paramètres!$C40,K$4),Calendrier!$A$2:$A$367,"&lt;="&amp;IF(Paramètres!$D40="",EOMONTH(K$4,0),MIN(Paramètres!$D40,EOMONTH(K$4,0))),Calendrier!$C$2:$C$367,1))</f>
        <v/>
      </c>
      <c r="L34" s="56" t="str">
        <f>IF(OR(Paramètres!$A40="",L$3=0),"",COUNTIFS(Calendrier!$A$2:$A$367,"&gt;="&amp;MAX(Paramètres!$C40,L$4),Calendrier!$A$2:$A$367,"&lt;="&amp;IF(Paramètres!$D40="",EOMONTH(L$4,0),MIN(Paramètres!$D40,EOMONTH(L$4,0))),Calendrier!$C$2:$C$367,1))</f>
        <v/>
      </c>
      <c r="M34" s="56" t="str">
        <f>IF(OR(Paramètres!$A40="",M$3=0),"",COUNTIFS(Calendrier!$A$2:$A$367,"&gt;="&amp;MAX(Paramètres!$C40,M$4),Calendrier!$A$2:$A$367,"&lt;="&amp;IF(Paramètres!$D40="",EOMONTH(M$4,0),MIN(Paramètres!$D40,EOMONTH(M$4,0))),Calendrier!$C$2:$C$367,1))</f>
        <v/>
      </c>
      <c r="N34" s="56" t="str">
        <f>IF(OR(Paramètres!$A40="",N$3=0),"",COUNTIFS(Calendrier!$A$2:$A$367,"&gt;="&amp;MAX(Paramètres!$C40,N$4),Calendrier!$A$2:$A$367,"&lt;="&amp;IF(Paramètres!$D40="",EOMONTH(N$4,0),MIN(Paramètres!$D40,EOMONTH(N$4,0))),Calendrier!$C$2:$C$367,1))</f>
        <v/>
      </c>
      <c r="P34" s="56" t="str">
        <f>IF(OR(Paramètres!$A40="",C$3=0),"",COUNTIFS(Journal!$D$2:$D$3001,Paramètres!$A40,Journal!$H$2:$H$3001,"&gt;="&amp;MAX(Paramètres!$C40,C$4),Journal!$H$2:$H$3001,"&lt;="&amp;IF(Paramètres!$D40="",EOMONTH(C$4,0),MIN(Paramètres!$D40,EOMONTH(C$4,0))),Journal!$K$2:$K$3001,1))</f>
        <v/>
      </c>
      <c r="Q34" s="56" t="str">
        <f>IF(OR(Paramètres!$A40="",D$3=0),"",COUNTIFS(Journal!$D$2:$D$3001,Paramètres!$A40,Journal!$H$2:$H$3001,"&gt;="&amp;MAX(Paramètres!$C40,D$4),Journal!$H$2:$H$3001,"&lt;="&amp;IF(Paramètres!$D40="",EOMONTH(D$4,0),MIN(Paramètres!$D40,EOMONTH(D$4,0))),Journal!$K$2:$K$3001,1))</f>
        <v/>
      </c>
      <c r="R34" s="56" t="str">
        <f>IF(OR(Paramètres!$A40="",E$3=0),"",COUNTIFS(Journal!$D$2:$D$3001,Paramètres!$A40,Journal!$H$2:$H$3001,"&gt;="&amp;MAX(Paramètres!$C40,E$4),Journal!$H$2:$H$3001,"&lt;="&amp;IF(Paramètres!$D40="",EOMONTH(E$4,0),MIN(Paramètres!$D40,EOMONTH(E$4,0))),Journal!$K$2:$K$3001,1))</f>
        <v/>
      </c>
      <c r="S34" s="56" t="str">
        <f>IF(OR(Paramètres!$A40="",F$3=0),"",COUNTIFS(Journal!$D$2:$D$3001,Paramètres!$A40,Journal!$H$2:$H$3001,"&gt;="&amp;MAX(Paramètres!$C40,F$4),Journal!$H$2:$H$3001,"&lt;="&amp;IF(Paramètres!$D40="",EOMONTH(F$4,0),MIN(Paramètres!$D40,EOMONTH(F$4,0))),Journal!$K$2:$K$3001,1))</f>
        <v/>
      </c>
      <c r="T34" s="56" t="str">
        <f>IF(OR(Paramètres!$A40="",G$3=0),"",COUNTIFS(Journal!$D$2:$D$3001,Paramètres!$A40,Journal!$H$2:$H$3001,"&gt;="&amp;MAX(Paramètres!$C40,G$4),Journal!$H$2:$H$3001,"&lt;="&amp;IF(Paramètres!$D40="",EOMONTH(G$4,0),MIN(Paramètres!$D40,EOMONTH(G$4,0))),Journal!$K$2:$K$3001,1))</f>
        <v/>
      </c>
      <c r="U34" s="56" t="str">
        <f>IF(OR(Paramètres!$A40="",H$3=0),"",COUNTIFS(Journal!$D$2:$D$3001,Paramètres!$A40,Journal!$H$2:$H$3001,"&gt;="&amp;MAX(Paramètres!$C40,H$4),Journal!$H$2:$H$3001,"&lt;="&amp;IF(Paramètres!$D40="",EOMONTH(H$4,0),MIN(Paramètres!$D40,EOMONTH(H$4,0))),Journal!$K$2:$K$3001,1))</f>
        <v/>
      </c>
      <c r="V34" s="56" t="str">
        <f>IF(OR(Paramètres!$A40="",I$3=0),"",COUNTIFS(Journal!$D$2:$D$3001,Paramètres!$A40,Journal!$H$2:$H$3001,"&gt;="&amp;MAX(Paramètres!$C40,I$4),Journal!$H$2:$H$3001,"&lt;="&amp;IF(Paramètres!$D40="",EOMONTH(I$4,0),MIN(Paramètres!$D40,EOMONTH(I$4,0))),Journal!$K$2:$K$3001,1))</f>
        <v/>
      </c>
      <c r="W34" s="56" t="str">
        <f>IF(OR(Paramètres!$A40="",J$3=0),"",COUNTIFS(Journal!$D$2:$D$3001,Paramètres!$A40,Journal!$H$2:$H$3001,"&gt;="&amp;MAX(Paramètres!$C40,J$4),Journal!$H$2:$H$3001,"&lt;="&amp;IF(Paramètres!$D40="",EOMONTH(J$4,0),MIN(Paramètres!$D40,EOMONTH(J$4,0))),Journal!$K$2:$K$3001,1))</f>
        <v/>
      </c>
      <c r="X34" s="56" t="str">
        <f>IF(OR(Paramètres!$A40="",K$3=0),"",COUNTIFS(Journal!$D$2:$D$3001,Paramètres!$A40,Journal!$H$2:$H$3001,"&gt;="&amp;MAX(Paramètres!$C40,K$4),Journal!$H$2:$H$3001,"&lt;="&amp;IF(Paramètres!$D40="",EOMONTH(K$4,0),MIN(Paramètres!$D40,EOMONTH(K$4,0))),Journal!$K$2:$K$3001,1))</f>
        <v/>
      </c>
      <c r="Y34" s="56" t="str">
        <f>IF(OR(Paramètres!$A40="",L$3=0),"",COUNTIFS(Journal!$D$2:$D$3001,Paramètres!$A40,Journal!$H$2:$H$3001,"&gt;="&amp;MAX(Paramètres!$C40,L$4),Journal!$H$2:$H$3001,"&lt;="&amp;IF(Paramètres!$D40="",EOMONTH(L$4,0),MIN(Paramètres!$D40,EOMONTH(L$4,0))),Journal!$K$2:$K$3001,1))</f>
        <v/>
      </c>
      <c r="Z34" s="56" t="str">
        <f>IF(OR(Paramètres!$A40="",M$3=0),"",COUNTIFS(Journal!$D$2:$D$3001,Paramètres!$A40,Journal!$H$2:$H$3001,"&gt;="&amp;MAX(Paramètres!$C40,M$4),Journal!$H$2:$H$3001,"&lt;="&amp;IF(Paramètres!$D40="",EOMONTH(M$4,0),MIN(Paramètres!$D40,EOMONTH(M$4,0))),Journal!$K$2:$K$3001,1))</f>
        <v/>
      </c>
      <c r="AA34" s="56" t="str">
        <f>IF(OR(Paramètres!$A40="",N$3=0),"",COUNTIFS(Journal!$D$2:$D$3001,Paramètres!$A40,Journal!$H$2:$H$3001,"&gt;="&amp;MAX(Paramètres!$C40,N$4),Journal!$H$2:$H$3001,"&lt;="&amp;IF(Paramètres!$D40="",EOMONTH(N$4,0),MIN(Paramètres!$D40,EOMONTH(N$4,0))),Journal!$K$2:$K$3001,1))</f>
        <v/>
      </c>
      <c r="AC34" s="57" t="str">
        <f t="shared" si="4"/>
        <v/>
      </c>
      <c r="AD34" s="57" t="str">
        <f t="shared" si="5"/>
        <v/>
      </c>
      <c r="AE34" s="57" t="str">
        <f t="shared" si="6"/>
        <v/>
      </c>
      <c r="AF34" s="57" t="str">
        <f t="shared" si="7"/>
        <v/>
      </c>
      <c r="AG34" s="57" t="str">
        <f t="shared" si="8"/>
        <v/>
      </c>
      <c r="AH34" s="57" t="str">
        <f t="shared" si="9"/>
        <v/>
      </c>
      <c r="AI34" s="57" t="str">
        <f t="shared" si="10"/>
        <v/>
      </c>
      <c r="AJ34" s="57" t="str">
        <f t="shared" si="11"/>
        <v/>
      </c>
      <c r="AK34" s="57" t="str">
        <f t="shared" si="12"/>
        <v/>
      </c>
      <c r="AL34" s="57" t="str">
        <f t="shared" si="13"/>
        <v/>
      </c>
      <c r="AM34" s="57" t="str">
        <f t="shared" si="14"/>
        <v/>
      </c>
      <c r="AN34" s="57" t="str">
        <f t="shared" si="15"/>
        <v/>
      </c>
      <c r="AP34" s="57" t="str">
        <f>IF(C34="","",IF(C34=0,"",MIN(1,P34/MAX(1,ROUND(C34*Paramètres!$E40/5,0)))))</f>
        <v/>
      </c>
      <c r="AQ34" s="57" t="str">
        <f>IF(D34="","",IF(D34=0,"",MIN(1,Q34/MAX(1,ROUND(D34*Paramètres!$E40/5,0)))))</f>
        <v/>
      </c>
      <c r="AR34" s="57" t="str">
        <f>IF(E34="","",IF(E34=0,"",MIN(1,R34/MAX(1,ROUND(E34*Paramètres!$E40/5,0)))))</f>
        <v/>
      </c>
      <c r="AS34" s="57" t="str">
        <f>IF(F34="","",IF(F34=0,"",MIN(1,S34/MAX(1,ROUND(F34*Paramètres!$E40/5,0)))))</f>
        <v/>
      </c>
      <c r="AT34" s="57" t="str">
        <f>IF(G34="","",IF(G34=0,"",MIN(1,T34/MAX(1,ROUND(G34*Paramètres!$E40/5,0)))))</f>
        <v/>
      </c>
      <c r="AU34" s="57" t="str">
        <f>IF(H34="","",IF(H34=0,"",MIN(1,U34/MAX(1,ROUND(H34*Paramètres!$E40/5,0)))))</f>
        <v/>
      </c>
      <c r="AV34" s="57" t="str">
        <f>IF(I34="","",IF(I34=0,"",MIN(1,V34/MAX(1,ROUND(I34*Paramètres!$E40/5,0)))))</f>
        <v/>
      </c>
      <c r="AW34" s="57" t="str">
        <f>IF(J34="","",IF(J34=0,"",MIN(1,W34/MAX(1,ROUND(J34*Paramètres!$E40/5,0)))))</f>
        <v/>
      </c>
      <c r="AX34" s="57" t="str">
        <f>IF(K34="","",IF(K34=0,"",MIN(1,X34/MAX(1,ROUND(K34*Paramètres!$E40/5,0)))))</f>
        <v/>
      </c>
      <c r="AY34" s="57" t="str">
        <f>IF(L34="","",IF(L34=0,"",MIN(1,Y34/MAX(1,ROUND(L34*Paramètres!$E40/5,0)))))</f>
        <v/>
      </c>
      <c r="AZ34" s="57" t="str">
        <f>IF(M34="","",IF(M34=0,"",MIN(1,Z34/MAX(1,ROUND(M34*Paramètres!$E40/5,0)))))</f>
        <v/>
      </c>
      <c r="BA34" s="57" t="str">
        <f>IF(N34="","",IF(N34=0,"",MIN(1,AA34/MAX(1,ROUND(N34*Paramètres!$E40/5,0)))))</f>
        <v/>
      </c>
      <c r="BC34" s="56">
        <f t="shared" si="16"/>
        <v>0</v>
      </c>
      <c r="BD34" s="56" t="str">
        <f t="shared" si="17"/>
        <v/>
      </c>
      <c r="BE34" s="56" t="str">
        <f t="shared" si="18"/>
        <v/>
      </c>
      <c r="BF34" s="56" t="str">
        <f t="shared" si="19"/>
        <v/>
      </c>
    </row>
    <row r="35" spans="1:58" x14ac:dyDescent="0.25">
      <c r="A35" s="58" t="s">
        <v>991</v>
      </c>
      <c r="C35" s="58">
        <f t="shared" ref="C35:N35" si="20">SUM(C5:C34)</f>
        <v>315</v>
      </c>
      <c r="D35" s="58">
        <f t="shared" si="20"/>
        <v>300</v>
      </c>
      <c r="E35" s="58">
        <f t="shared" si="20"/>
        <v>315</v>
      </c>
      <c r="F35" s="58">
        <f t="shared" si="20"/>
        <v>308</v>
      </c>
      <c r="G35" s="58">
        <f t="shared" si="20"/>
        <v>221</v>
      </c>
      <c r="H35" s="58">
        <f t="shared" si="20"/>
        <v>286</v>
      </c>
      <c r="I35" s="58">
        <f t="shared" si="20"/>
        <v>345</v>
      </c>
      <c r="J35" s="58">
        <f t="shared" si="20"/>
        <v>120</v>
      </c>
      <c r="K35" s="58">
        <f t="shared" si="20"/>
        <v>330</v>
      </c>
      <c r="L35" s="58">
        <f t="shared" si="20"/>
        <v>0</v>
      </c>
      <c r="M35" s="58">
        <f t="shared" si="20"/>
        <v>0</v>
      </c>
      <c r="N35" s="58">
        <f t="shared" si="20"/>
        <v>0</v>
      </c>
      <c r="P35" s="58">
        <f t="shared" ref="P35:AA35" si="21">SUM(P5:P34)</f>
        <v>95</v>
      </c>
      <c r="Q35" s="58">
        <f t="shared" si="21"/>
        <v>92</v>
      </c>
      <c r="R35" s="58">
        <f t="shared" si="21"/>
        <v>88</v>
      </c>
      <c r="S35" s="58">
        <f t="shared" si="21"/>
        <v>83</v>
      </c>
      <c r="T35" s="58">
        <f t="shared" si="21"/>
        <v>62</v>
      </c>
      <c r="U35" s="58">
        <f t="shared" si="21"/>
        <v>83</v>
      </c>
      <c r="V35" s="58">
        <f t="shared" si="21"/>
        <v>84</v>
      </c>
      <c r="W35" s="58">
        <f t="shared" si="21"/>
        <v>26</v>
      </c>
      <c r="X35" s="58">
        <f t="shared" si="21"/>
        <v>68</v>
      </c>
      <c r="Y35" s="58">
        <f t="shared" si="21"/>
        <v>0</v>
      </c>
      <c r="Z35" s="58">
        <f t="shared" si="21"/>
        <v>0</v>
      </c>
      <c r="AA35" s="58">
        <f t="shared" si="21"/>
        <v>0</v>
      </c>
      <c r="AC35" s="59">
        <f t="shared" ref="AC35:AN35" si="22">IF(C$3=0,"",IF(C35=0,"",P35/C35))</f>
        <v>0.30158730158730157</v>
      </c>
      <c r="AD35" s="59">
        <f t="shared" si="22"/>
        <v>0.30666666666666664</v>
      </c>
      <c r="AE35" s="59">
        <f t="shared" si="22"/>
        <v>0.27936507936507937</v>
      </c>
      <c r="AF35" s="59">
        <f t="shared" si="22"/>
        <v>0.26948051948051949</v>
      </c>
      <c r="AG35" s="59">
        <f t="shared" si="22"/>
        <v>0.28054298642533937</v>
      </c>
      <c r="AH35" s="59">
        <f t="shared" si="22"/>
        <v>0.29020979020979021</v>
      </c>
      <c r="AI35" s="59">
        <f t="shared" si="22"/>
        <v>0.24347826086956523</v>
      </c>
      <c r="AJ35" s="59">
        <f t="shared" si="22"/>
        <v>0.21666666666666667</v>
      </c>
      <c r="AK35" s="59">
        <f t="shared" si="22"/>
        <v>0.20606060606060606</v>
      </c>
      <c r="AL35" s="59" t="str">
        <f t="shared" si="22"/>
        <v/>
      </c>
      <c r="AM35" s="59" t="str">
        <f t="shared" si="22"/>
        <v/>
      </c>
      <c r="AN35" s="59" t="str">
        <f t="shared" si="22"/>
        <v/>
      </c>
      <c r="AP35" s="59">
        <f t="shared" ref="AP35:BA35" si="23">IF(COUNT(AP5:AP34)=0,"",AVERAGE(AP5:AP34))</f>
        <v>0.30158730158730152</v>
      </c>
      <c r="AQ35" s="59">
        <f t="shared" si="23"/>
        <v>0.30666666666666664</v>
      </c>
      <c r="AR35" s="59">
        <f t="shared" si="23"/>
        <v>0.27936507936507932</v>
      </c>
      <c r="AS35" s="59">
        <f t="shared" si="23"/>
        <v>0.26948051948051943</v>
      </c>
      <c r="AT35" s="59">
        <f t="shared" si="23"/>
        <v>0.28054298642533931</v>
      </c>
      <c r="AU35" s="59">
        <f t="shared" si="23"/>
        <v>0.29020979020979021</v>
      </c>
      <c r="AV35" s="59">
        <f t="shared" si="23"/>
        <v>0.24347826086956523</v>
      </c>
      <c r="AW35" s="59">
        <f t="shared" si="23"/>
        <v>0.21666666666666667</v>
      </c>
      <c r="AX35" s="59">
        <f t="shared" si="23"/>
        <v>0.20606060606060606</v>
      </c>
      <c r="AY35" s="59" t="str">
        <f t="shared" si="23"/>
        <v/>
      </c>
      <c r="AZ35" s="59" t="str">
        <f t="shared" si="23"/>
        <v/>
      </c>
      <c r="BA35" s="59" t="str">
        <f t="shared" si="23"/>
        <v/>
      </c>
    </row>
    <row r="36" spans="1:58" x14ac:dyDescent="0.25">
      <c r="A36" s="58" t="s">
        <v>992</v>
      </c>
      <c r="C36" s="56">
        <f t="shared" ref="C36:N36" si="24">COUNTIF(C5:C34,"&gt;0")</f>
        <v>15</v>
      </c>
      <c r="D36" s="56">
        <f t="shared" si="24"/>
        <v>15</v>
      </c>
      <c r="E36" s="56">
        <f t="shared" si="24"/>
        <v>15</v>
      </c>
      <c r="F36" s="56">
        <f t="shared" si="24"/>
        <v>14</v>
      </c>
      <c r="G36" s="56">
        <f t="shared" si="24"/>
        <v>13</v>
      </c>
      <c r="H36" s="56">
        <f t="shared" si="24"/>
        <v>13</v>
      </c>
      <c r="I36" s="56">
        <f t="shared" si="24"/>
        <v>15</v>
      </c>
      <c r="J36" s="56">
        <f t="shared" si="24"/>
        <v>15</v>
      </c>
      <c r="K36" s="56">
        <f t="shared" si="24"/>
        <v>15</v>
      </c>
      <c r="L36" s="56">
        <f t="shared" si="24"/>
        <v>0</v>
      </c>
      <c r="M36" s="56">
        <f t="shared" si="24"/>
        <v>0</v>
      </c>
      <c r="N36" s="56">
        <f t="shared" si="24"/>
        <v>0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8" x14ac:dyDescent="0.25">
      <c r="A37" s="58" t="s">
        <v>993</v>
      </c>
      <c r="C37" s="56">
        <f t="shared" ref="C37:N37" si="25">COUNTIFS(C5:C34,"&gt;0",P5:P34,0)</f>
        <v>1</v>
      </c>
      <c r="D37" s="56">
        <f t="shared" si="25"/>
        <v>1</v>
      </c>
      <c r="E37" s="56">
        <f t="shared" si="25"/>
        <v>0</v>
      </c>
      <c r="F37" s="56">
        <f t="shared" si="25"/>
        <v>2</v>
      </c>
      <c r="G37" s="56">
        <f t="shared" si="25"/>
        <v>0</v>
      </c>
      <c r="H37" s="56">
        <f t="shared" si="25"/>
        <v>0</v>
      </c>
      <c r="I37" s="56">
        <f t="shared" si="25"/>
        <v>1</v>
      </c>
      <c r="J37" s="56">
        <f t="shared" si="25"/>
        <v>2</v>
      </c>
      <c r="K37" s="56">
        <f t="shared" si="25"/>
        <v>3</v>
      </c>
      <c r="L37" s="56">
        <f t="shared" si="25"/>
        <v>0</v>
      </c>
      <c r="M37" s="56">
        <f t="shared" si="25"/>
        <v>0</v>
      </c>
      <c r="N37" s="56">
        <f t="shared" si="25"/>
        <v>0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8" x14ac:dyDescent="0.25">
      <c r="A38" s="58" t="s">
        <v>994</v>
      </c>
      <c r="C38" s="56">
        <f>COUNTIF(AC5:AC34,"&gt;="&amp;Paramètres!$B$5)</f>
        <v>2</v>
      </c>
      <c r="D38" s="56">
        <f>COUNTIF(AD5:AD34,"&gt;="&amp;Paramètres!$B$5)</f>
        <v>0</v>
      </c>
      <c r="E38" s="56">
        <f>COUNTIF(AE5:AE34,"&gt;="&amp;Paramètres!$B$5)</f>
        <v>0</v>
      </c>
      <c r="F38" s="56">
        <f>COUNTIF(AF5:AF34,"&gt;="&amp;Paramètres!$B$5)</f>
        <v>0</v>
      </c>
      <c r="G38" s="56">
        <f>COUNTIF(AG5:AG34,"&gt;="&amp;Paramètres!$B$5)</f>
        <v>0</v>
      </c>
      <c r="H38" s="56">
        <f>COUNTIF(AH5:AH34,"&gt;="&amp;Paramètres!$B$5)</f>
        <v>0</v>
      </c>
      <c r="I38" s="56">
        <f>COUNTIF(AI5:AI34,"&gt;="&amp;Paramètres!$B$5)</f>
        <v>0</v>
      </c>
      <c r="J38" s="56">
        <f>COUNTIF(AJ5:AJ34,"&gt;="&amp;Paramètres!$B$5)</f>
        <v>0</v>
      </c>
      <c r="K38" s="56">
        <f>COUNTIF(AK5:AK34,"&gt;="&amp;Paramètres!$B$5)</f>
        <v>0</v>
      </c>
      <c r="L38" s="56">
        <f>COUNTIF(AL5:AL34,"&gt;="&amp;Paramètres!$B$5)</f>
        <v>0</v>
      </c>
      <c r="M38" s="56">
        <f>COUNTIF(AM5:AM34,"&gt;="&amp;Paramètres!$B$5)</f>
        <v>0</v>
      </c>
      <c r="N38" s="56">
        <f>COUNTIF(AN5:AN34,"&gt;="&amp;Paramètres!$B$5)</f>
        <v>0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8" x14ac:dyDescent="0.25">
      <c r="A39" s="58" t="s">
        <v>995</v>
      </c>
      <c r="C39" s="56">
        <f>COUNTIFS(AC5:AC34,"&gt;="&amp;Paramètres!$B$6,AC5:AC34,"&lt;"&amp;Paramètres!$B$5)</f>
        <v>2</v>
      </c>
      <c r="D39" s="56">
        <f>COUNTIFS(AD5:AD34,"&gt;="&amp;Paramètres!$B$6,AD5:AD34,"&lt;"&amp;Paramètres!$B$5)</f>
        <v>5</v>
      </c>
      <c r="E39" s="56">
        <f>COUNTIFS(AE5:AE34,"&gt;="&amp;Paramètres!$B$6,AE5:AE34,"&lt;"&amp;Paramètres!$B$5)</f>
        <v>6</v>
      </c>
      <c r="F39" s="56">
        <f>COUNTIFS(AF5:AF34,"&gt;="&amp;Paramètres!$B$6,AF5:AF34,"&lt;"&amp;Paramètres!$B$5)</f>
        <v>4</v>
      </c>
      <c r="G39" s="56">
        <f>COUNTIFS(AG5:AG34,"&gt;="&amp;Paramètres!$B$6,AG5:AG34,"&lt;"&amp;Paramètres!$B$5)</f>
        <v>4</v>
      </c>
      <c r="H39" s="56">
        <f>COUNTIFS(AH5:AH34,"&gt;="&amp;Paramètres!$B$6,AH5:AH34,"&lt;"&amp;Paramètres!$B$5)</f>
        <v>3</v>
      </c>
      <c r="I39" s="56">
        <f>COUNTIFS(AI5:AI34,"&gt;="&amp;Paramètres!$B$6,AI5:AI34,"&lt;"&amp;Paramètres!$B$5)</f>
        <v>3</v>
      </c>
      <c r="J39" s="56">
        <f>COUNTIFS(AJ5:AJ34,"&gt;="&amp;Paramètres!$B$6,AJ5:AJ34,"&lt;"&amp;Paramètres!$B$5)</f>
        <v>2</v>
      </c>
      <c r="K39" s="56">
        <f>COUNTIFS(AK5:AK34,"&gt;="&amp;Paramètres!$B$6,AK5:AK34,"&lt;"&amp;Paramètres!$B$5)</f>
        <v>2</v>
      </c>
      <c r="L39" s="56">
        <f>COUNTIFS(AL5:AL34,"&gt;="&amp;Paramètres!$B$6,AL5:AL34,"&lt;"&amp;Paramètres!$B$5)</f>
        <v>0</v>
      </c>
      <c r="M39" s="56">
        <f>COUNTIFS(AM5:AM34,"&gt;="&amp;Paramètres!$B$6,AM5:AM34,"&lt;"&amp;Paramètres!$B$5)</f>
        <v>0</v>
      </c>
      <c r="N39" s="56">
        <f>COUNTIFS(AN5:AN34,"&gt;="&amp;Paramètres!$B$6,AN5:AN34,"&lt;"&amp;Paramètres!$B$5)</f>
        <v>0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8" x14ac:dyDescent="0.25">
      <c r="A40" s="58" t="s">
        <v>996</v>
      </c>
      <c r="C40" s="56">
        <f>COUNTIF(AC5:AC34,"&lt;"&amp;Paramètres!$B$6)</f>
        <v>11</v>
      </c>
      <c r="D40" s="56">
        <f>COUNTIF(AD5:AD34,"&lt;"&amp;Paramètres!$B$6)</f>
        <v>10</v>
      </c>
      <c r="E40" s="56">
        <f>COUNTIF(AE5:AE34,"&lt;"&amp;Paramètres!$B$6)</f>
        <v>9</v>
      </c>
      <c r="F40" s="56">
        <f>COUNTIF(AF5:AF34,"&lt;"&amp;Paramètres!$B$6)</f>
        <v>10</v>
      </c>
      <c r="G40" s="56">
        <f>COUNTIF(AG5:AG34,"&lt;"&amp;Paramètres!$B$6)</f>
        <v>9</v>
      </c>
      <c r="H40" s="56">
        <f>COUNTIF(AH5:AH34,"&lt;"&amp;Paramètres!$B$6)</f>
        <v>10</v>
      </c>
      <c r="I40" s="56">
        <f>COUNTIF(AI5:AI34,"&lt;"&amp;Paramètres!$B$6)</f>
        <v>12</v>
      </c>
      <c r="J40" s="56">
        <f>COUNTIF(AJ5:AJ34,"&lt;"&amp;Paramètres!$B$6)</f>
        <v>13</v>
      </c>
      <c r="K40" s="56">
        <f>COUNTIF(AK5:AK34,"&lt;"&amp;Paramètres!$B$6)</f>
        <v>13</v>
      </c>
      <c r="L40" s="56">
        <f>COUNTIF(AL5:AL34,"&lt;"&amp;Paramètres!$B$6)</f>
        <v>0</v>
      </c>
      <c r="M40" s="56">
        <f>COUNTIF(AM5:AM34,"&lt;"&amp;Paramètres!$B$6)</f>
        <v>0</v>
      </c>
      <c r="N40" s="56">
        <f>COUNTIF(AN5:AN34,"&lt;"&amp;Paramètres!$B$6)</f>
        <v>0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</row>
    <row r="41" spans="1:58" x14ac:dyDescent="0.25"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8" x14ac:dyDescent="0.25">
      <c r="A42" s="58" t="s">
        <v>997</v>
      </c>
      <c r="C42" s="74" t="str">
        <f t="shared" ref="C42:N42" si="26">CHOOSE(MONTH(C$4),"Janvier","Février","Mars","Avril","Mai","Juin","Juillet","Août","Septembre","Octobre","Novembre","Décembre")&amp;" "&amp;YEAR(C$4)</f>
        <v>Janvier 2026</v>
      </c>
      <c r="D42" s="74" t="str">
        <f t="shared" si="26"/>
        <v>Février 2026</v>
      </c>
      <c r="E42" s="74" t="str">
        <f t="shared" si="26"/>
        <v>Mars 2026</v>
      </c>
      <c r="F42" s="74" t="str">
        <f t="shared" si="26"/>
        <v>Avril 2026</v>
      </c>
      <c r="G42" s="74" t="str">
        <f t="shared" si="26"/>
        <v>Mai 2026</v>
      </c>
      <c r="H42" s="74" t="str">
        <f t="shared" si="26"/>
        <v>Juin 2026</v>
      </c>
      <c r="I42" s="74" t="str">
        <f t="shared" si="26"/>
        <v>Juillet 2026</v>
      </c>
      <c r="J42" s="74" t="str">
        <f t="shared" si="26"/>
        <v>Août 2026</v>
      </c>
      <c r="K42" s="74" t="str">
        <f t="shared" si="26"/>
        <v>Septembre 2026</v>
      </c>
      <c r="L42" s="74" t="str">
        <f t="shared" si="26"/>
        <v>Octobre 2026</v>
      </c>
      <c r="M42" s="74" t="str">
        <f t="shared" si="26"/>
        <v>Novembre 2026</v>
      </c>
      <c r="N42" s="74" t="str">
        <f t="shared" si="26"/>
        <v>Décembre 2026</v>
      </c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8" x14ac:dyDescent="0.25">
      <c r="A43" s="58" t="s">
        <v>998</v>
      </c>
      <c r="C43" s="73">
        <f>COUNTIFS(Calendrier!$B$2:$B$367,C$4,Calendrier!$C$2:$C$367,1)</f>
        <v>21</v>
      </c>
      <c r="D43" s="73">
        <f>COUNTIFS(Calendrier!$B$2:$B$367,D$4,Calendrier!$C$2:$C$367,1)</f>
        <v>20</v>
      </c>
      <c r="E43" s="73">
        <f>COUNTIFS(Calendrier!$B$2:$B$367,E$4,Calendrier!$C$2:$C$367,1)</f>
        <v>21</v>
      </c>
      <c r="F43" s="73">
        <f>COUNTIFS(Calendrier!$B$2:$B$367,F$4,Calendrier!$C$2:$C$367,1)</f>
        <v>22</v>
      </c>
      <c r="G43" s="73">
        <f>COUNTIFS(Calendrier!$B$2:$B$367,G$4,Calendrier!$C$2:$C$367,1)</f>
        <v>17</v>
      </c>
      <c r="H43" s="73">
        <f>COUNTIFS(Calendrier!$B$2:$B$367,H$4,Calendrier!$C$2:$C$367,1)</f>
        <v>22</v>
      </c>
      <c r="I43" s="73">
        <f>COUNTIFS(Calendrier!$B$2:$B$367,I$4,Calendrier!$C$2:$C$367,1)</f>
        <v>23</v>
      </c>
      <c r="J43" s="73">
        <f>COUNTIFS(Calendrier!$B$2:$B$367,J$4,Calendrier!$C$2:$C$367,1)</f>
        <v>8</v>
      </c>
      <c r="K43" s="73">
        <f>COUNTIFS(Calendrier!$B$2:$B$367,K$4,Calendrier!$C$2:$C$367,1)</f>
        <v>22</v>
      </c>
      <c r="L43" s="73">
        <f>COUNTIFS(Calendrier!$B$2:$B$367,L$4,Calendrier!$C$2:$C$367,1)</f>
        <v>22</v>
      </c>
      <c r="M43" s="73">
        <f>COUNTIFS(Calendrier!$B$2:$B$367,M$4,Calendrier!$C$2:$C$367,1)</f>
        <v>21</v>
      </c>
      <c r="N43" s="73">
        <f>COUNTIFS(Calendrier!$B$2:$B$367,N$4,Calendrier!$C$2:$C$367,1)</f>
        <v>23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8" x14ac:dyDescent="0.25">
      <c r="A44" s="58" t="s">
        <v>999</v>
      </c>
      <c r="C44" s="56">
        <f>COUNTIFS(Journal!$H$2:$H$3001,"&gt;="&amp;C$4,Journal!$H$2:$H$3001,"&lt;="&amp;EOMONTH(C$4,0),Journal!$I$2:$I$3001,1,Journal!$J$2:$J$3001,0)</f>
        <v>10</v>
      </c>
      <c r="D44" s="56">
        <f>COUNTIFS(Journal!$H$2:$H$3001,"&gt;="&amp;D$4,Journal!$H$2:$H$3001,"&lt;="&amp;EOMONTH(D$4,0),Journal!$I$2:$I$3001,1,Journal!$J$2:$J$3001,0)</f>
        <v>8</v>
      </c>
      <c r="E44" s="56">
        <f>COUNTIFS(Journal!$H$2:$H$3001,"&gt;="&amp;E$4,Journal!$H$2:$H$3001,"&lt;="&amp;EOMONTH(E$4,0),Journal!$I$2:$I$3001,1,Journal!$J$2:$J$3001,0)</f>
        <v>8</v>
      </c>
      <c r="F44" s="56">
        <f>COUNTIFS(Journal!$H$2:$H$3001,"&gt;="&amp;F$4,Journal!$H$2:$H$3001,"&lt;="&amp;EOMONTH(F$4,0),Journal!$I$2:$I$3001,1,Journal!$J$2:$J$3001,0)</f>
        <v>6</v>
      </c>
      <c r="G44" s="56">
        <f>COUNTIFS(Journal!$H$2:$H$3001,"&gt;="&amp;G$4,Journal!$H$2:$H$3001,"&lt;="&amp;EOMONTH(G$4,0),Journal!$I$2:$I$3001,1,Journal!$J$2:$J$3001,0)</f>
        <v>7</v>
      </c>
      <c r="H44" s="56">
        <f>COUNTIFS(Journal!$H$2:$H$3001,"&gt;="&amp;H$4,Journal!$H$2:$H$3001,"&lt;="&amp;EOMONTH(H$4,0),Journal!$I$2:$I$3001,1,Journal!$J$2:$J$3001,0)</f>
        <v>4</v>
      </c>
      <c r="I44" s="56">
        <f>COUNTIFS(Journal!$H$2:$H$3001,"&gt;="&amp;I$4,Journal!$H$2:$H$3001,"&lt;="&amp;EOMONTH(I$4,0),Journal!$I$2:$I$3001,1,Journal!$J$2:$J$3001,0)</f>
        <v>7</v>
      </c>
      <c r="J44" s="56">
        <f>COUNTIFS(Journal!$H$2:$H$3001,"&gt;="&amp;J$4,Journal!$H$2:$H$3001,"&lt;="&amp;EOMONTH(J$4,0),Journal!$I$2:$I$3001,1,Journal!$J$2:$J$3001,0)</f>
        <v>6</v>
      </c>
      <c r="K44" s="56">
        <f>COUNTIFS(Journal!$H$2:$H$3001,"&gt;="&amp;K$4,Journal!$H$2:$H$3001,"&lt;="&amp;EOMONTH(K$4,0),Journal!$I$2:$I$3001,1,Journal!$J$2:$J$3001,0)</f>
        <v>6</v>
      </c>
      <c r="L44" s="56">
        <f>COUNTIFS(Journal!$H$2:$H$3001,"&gt;="&amp;L$4,Journal!$H$2:$H$3001,"&lt;="&amp;EOMONTH(L$4,0),Journal!$I$2:$I$3001,1,Journal!$J$2:$J$3001,0)</f>
        <v>0</v>
      </c>
      <c r="M44" s="56">
        <f>COUNTIFS(Journal!$H$2:$H$3001,"&gt;="&amp;M$4,Journal!$H$2:$H$3001,"&lt;="&amp;EOMONTH(M$4,0),Journal!$I$2:$I$3001,1,Journal!$J$2:$J$3001,0)</f>
        <v>0</v>
      </c>
      <c r="N44" s="56">
        <f>COUNTIFS(Journal!$H$2:$H$3001,"&gt;="&amp;N$4,Journal!$H$2:$H$3001,"&lt;="&amp;EOMONTH(N$4,0),Journal!$I$2:$I$3001,1,Journal!$J$2:$J$3001,0)</f>
        <v>0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8" x14ac:dyDescent="0.25">
      <c r="A45" s="58" t="s">
        <v>1000</v>
      </c>
      <c r="C45" s="60">
        <f>Paramètres!$B$5</f>
        <v>0.7</v>
      </c>
      <c r="D45" s="60">
        <f>Paramètres!$B$5</f>
        <v>0.7</v>
      </c>
      <c r="E45" s="60">
        <f>Paramètres!$B$5</f>
        <v>0.7</v>
      </c>
      <c r="F45" s="60">
        <f>Paramètres!$B$5</f>
        <v>0.7</v>
      </c>
      <c r="G45" s="60">
        <f>Paramètres!$B$5</f>
        <v>0.7</v>
      </c>
      <c r="H45" s="60">
        <f>Paramètres!$B$5</f>
        <v>0.7</v>
      </c>
      <c r="I45" s="60">
        <f>Paramètres!$B$5</f>
        <v>0.7</v>
      </c>
      <c r="J45" s="60">
        <f>Paramètres!$B$5</f>
        <v>0.7</v>
      </c>
      <c r="K45" s="60">
        <f>Paramètres!$B$5</f>
        <v>0.7</v>
      </c>
      <c r="L45" s="60">
        <f>Paramètres!$B$5</f>
        <v>0.7</v>
      </c>
      <c r="M45" s="60">
        <f>Paramètres!$B$5</f>
        <v>0.7</v>
      </c>
      <c r="N45" s="60">
        <f>Paramètres!$B$5</f>
        <v>0.7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</row>
    <row r="46" spans="1:58" x14ac:dyDescent="0.25">
      <c r="A46" s="58" t="s">
        <v>1001</v>
      </c>
      <c r="C46" s="60">
        <f>Paramètres!$B$6</f>
        <v>0.4</v>
      </c>
      <c r="D46" s="60">
        <f>Paramètres!$B$6</f>
        <v>0.4</v>
      </c>
      <c r="E46" s="60">
        <f>Paramètres!$B$6</f>
        <v>0.4</v>
      </c>
      <c r="F46" s="60">
        <f>Paramètres!$B$6</f>
        <v>0.4</v>
      </c>
      <c r="G46" s="60">
        <f>Paramètres!$B$6</f>
        <v>0.4</v>
      </c>
      <c r="H46" s="60">
        <f>Paramètres!$B$6</f>
        <v>0.4</v>
      </c>
      <c r="I46" s="60">
        <f>Paramètres!$B$6</f>
        <v>0.4</v>
      </c>
      <c r="J46" s="60">
        <f>Paramètres!$B$6</f>
        <v>0.4</v>
      </c>
      <c r="K46" s="60">
        <f>Paramètres!$B$6</f>
        <v>0.4</v>
      </c>
      <c r="L46" s="60">
        <f>Paramètres!$B$6</f>
        <v>0.4</v>
      </c>
      <c r="M46" s="60">
        <f>Paramètres!$B$6</f>
        <v>0.4</v>
      </c>
      <c r="N46" s="60">
        <f>Paramètres!$B$6</f>
        <v>0.4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</row>
    <row r="48" spans="1:58" x14ac:dyDescent="0.25">
      <c r="A48" s="58" t="s">
        <v>1002</v>
      </c>
      <c r="C48" s="15">
        <f>IFERROR(MATCH(État!$C$4,$C$42:$N$42,0),1)</f>
        <v>9</v>
      </c>
    </row>
  </sheetData>
  <mergeCells count="4">
    <mergeCell ref="E2:M2"/>
    <mergeCell ref="P2:U2"/>
    <mergeCell ref="AC2:AG2"/>
    <mergeCell ref="AP2:AT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749992370372631"/>
  </sheetPr>
  <dimension ref="A1:E367"/>
  <sheetViews>
    <sheetView zoomScaleNormal="100" workbookViewId="0">
      <pane ySplit="1" topLeftCell="A14" activePane="bottomLeft" state="frozen"/>
      <selection pane="bottomLeft" activeCell="C23" sqref="C23"/>
    </sheetView>
  </sheetViews>
  <sheetFormatPr baseColWidth="10" defaultColWidth="8.7109375" defaultRowHeight="15" x14ac:dyDescent="0.25"/>
  <cols>
    <col min="1" max="1" width="10.140625" bestFit="1" customWidth="1"/>
    <col min="2" max="2" width="15.5703125" bestFit="1" customWidth="1"/>
    <col min="3" max="3" width="17.140625" bestFit="1" customWidth="1"/>
  </cols>
  <sheetData>
    <row r="1" spans="1:5" x14ac:dyDescent="0.25">
      <c r="A1" s="30" t="s">
        <v>41</v>
      </c>
      <c r="B1" s="30" t="s">
        <v>1003</v>
      </c>
      <c r="C1" s="30" t="s">
        <v>1004</v>
      </c>
      <c r="E1" s="29" t="s">
        <v>1005</v>
      </c>
    </row>
    <row r="2" spans="1:5" x14ac:dyDescent="0.25">
      <c r="A2" s="61">
        <f>DATE(Paramètres!$B$8,1,1)</f>
        <v>46023</v>
      </c>
      <c r="B2" s="61">
        <f t="shared" ref="B2:B65" si="0">DATE(YEAR(A2),MONTH(A2),1)</f>
        <v>46023</v>
      </c>
      <c r="C2" s="56">
        <f>IF(AND(WEEKDAY(A2,2)&lt;6,COUNTIF(Paramètres!$H$11:$H$70,A2)=0),1,0)</f>
        <v>0</v>
      </c>
    </row>
    <row r="3" spans="1:5" x14ac:dyDescent="0.25">
      <c r="A3" s="61">
        <f t="shared" ref="A3:A66" si="1">A2+1</f>
        <v>46024</v>
      </c>
      <c r="B3" s="61">
        <f t="shared" si="0"/>
        <v>46023</v>
      </c>
      <c r="C3" s="56">
        <f>IF(AND(WEEKDAY(A3,2)&lt;6,COUNTIF(Paramètres!$H$11:$H$70,A3)=0),1,0)</f>
        <v>1</v>
      </c>
    </row>
    <row r="4" spans="1:5" x14ac:dyDescent="0.25">
      <c r="A4" s="61">
        <f t="shared" si="1"/>
        <v>46025</v>
      </c>
      <c r="B4" s="61">
        <f t="shared" si="0"/>
        <v>46023</v>
      </c>
      <c r="C4" s="56">
        <f>IF(AND(WEEKDAY(A4,2)&lt;6,COUNTIF(Paramètres!$H$11:$H$70,A4)=0),1,0)</f>
        <v>0</v>
      </c>
    </row>
    <row r="5" spans="1:5" x14ac:dyDescent="0.25">
      <c r="A5" s="61">
        <f t="shared" si="1"/>
        <v>46026</v>
      </c>
      <c r="B5" s="61">
        <f t="shared" si="0"/>
        <v>46023</v>
      </c>
      <c r="C5" s="56">
        <f>IF(AND(WEEKDAY(A5,2)&lt;6,COUNTIF(Paramètres!$H$11:$H$70,A5)=0),1,0)</f>
        <v>0</v>
      </c>
    </row>
    <row r="6" spans="1:5" x14ac:dyDescent="0.25">
      <c r="A6" s="61">
        <f t="shared" si="1"/>
        <v>46027</v>
      </c>
      <c r="B6" s="61">
        <f t="shared" si="0"/>
        <v>46023</v>
      </c>
      <c r="C6" s="56">
        <f>IF(AND(WEEKDAY(A6,2)&lt;6,COUNTIF(Paramètres!$H$11:$H$70,A6)=0),1,0)</f>
        <v>1</v>
      </c>
    </row>
    <row r="7" spans="1:5" x14ac:dyDescent="0.25">
      <c r="A7" s="61">
        <f t="shared" si="1"/>
        <v>46028</v>
      </c>
      <c r="B7" s="61">
        <f t="shared" si="0"/>
        <v>46023</v>
      </c>
      <c r="C7" s="56">
        <f>IF(AND(WEEKDAY(A7,2)&lt;6,COUNTIF(Paramètres!$H$11:$H$70,A7)=0),1,0)</f>
        <v>1</v>
      </c>
    </row>
    <row r="8" spans="1:5" x14ac:dyDescent="0.25">
      <c r="A8" s="61">
        <f t="shared" si="1"/>
        <v>46029</v>
      </c>
      <c r="B8" s="61">
        <f t="shared" si="0"/>
        <v>46023</v>
      </c>
      <c r="C8" s="56">
        <f>IF(AND(WEEKDAY(A8,2)&lt;6,COUNTIF(Paramètres!$H$11:$H$70,A8)=0),1,0)</f>
        <v>1</v>
      </c>
    </row>
    <row r="9" spans="1:5" x14ac:dyDescent="0.25">
      <c r="A9" s="61">
        <f t="shared" si="1"/>
        <v>46030</v>
      </c>
      <c r="B9" s="61">
        <f t="shared" si="0"/>
        <v>46023</v>
      </c>
      <c r="C9" s="56">
        <f>IF(AND(WEEKDAY(A9,2)&lt;6,COUNTIF(Paramètres!$H$11:$H$70,A9)=0),1,0)</f>
        <v>1</v>
      </c>
    </row>
    <row r="10" spans="1:5" x14ac:dyDescent="0.25">
      <c r="A10" s="61">
        <f t="shared" si="1"/>
        <v>46031</v>
      </c>
      <c r="B10" s="61">
        <f t="shared" si="0"/>
        <v>46023</v>
      </c>
      <c r="C10" s="56">
        <f>IF(AND(WEEKDAY(A10,2)&lt;6,COUNTIF(Paramètres!$H$11:$H$70,A10)=0),1,0)</f>
        <v>1</v>
      </c>
    </row>
    <row r="11" spans="1:5" x14ac:dyDescent="0.25">
      <c r="A11" s="61">
        <f t="shared" si="1"/>
        <v>46032</v>
      </c>
      <c r="B11" s="61">
        <f t="shared" si="0"/>
        <v>46023</v>
      </c>
      <c r="C11" s="56">
        <f>IF(AND(WEEKDAY(A11,2)&lt;6,COUNTIF(Paramètres!$H$11:$H$70,A11)=0),1,0)</f>
        <v>0</v>
      </c>
    </row>
    <row r="12" spans="1:5" x14ac:dyDescent="0.25">
      <c r="A12" s="61">
        <f t="shared" si="1"/>
        <v>46033</v>
      </c>
      <c r="B12" s="61">
        <f t="shared" si="0"/>
        <v>46023</v>
      </c>
      <c r="C12" s="56">
        <f>IF(AND(WEEKDAY(A12,2)&lt;6,COUNTIF(Paramètres!$H$11:$H$70,A12)=0),1,0)</f>
        <v>0</v>
      </c>
    </row>
    <row r="13" spans="1:5" x14ac:dyDescent="0.25">
      <c r="A13" s="61">
        <f t="shared" si="1"/>
        <v>46034</v>
      </c>
      <c r="B13" s="61">
        <f t="shared" si="0"/>
        <v>46023</v>
      </c>
      <c r="C13" s="56">
        <f>IF(AND(WEEKDAY(A13,2)&lt;6,COUNTIF(Paramètres!$H$11:$H$70,A13)=0),1,0)</f>
        <v>1</v>
      </c>
    </row>
    <row r="14" spans="1:5" x14ac:dyDescent="0.25">
      <c r="A14" s="61">
        <f t="shared" si="1"/>
        <v>46035</v>
      </c>
      <c r="B14" s="61">
        <f t="shared" si="0"/>
        <v>46023</v>
      </c>
      <c r="C14" s="56">
        <f>IF(AND(WEEKDAY(A14,2)&lt;6,COUNTIF(Paramètres!$H$11:$H$70,A14)=0),1,0)</f>
        <v>1</v>
      </c>
    </row>
    <row r="15" spans="1:5" x14ac:dyDescent="0.25">
      <c r="A15" s="61">
        <f t="shared" si="1"/>
        <v>46036</v>
      </c>
      <c r="B15" s="61">
        <f t="shared" si="0"/>
        <v>46023</v>
      </c>
      <c r="C15" s="56">
        <f>IF(AND(WEEKDAY(A15,2)&lt;6,COUNTIF(Paramètres!$H$11:$H$70,A15)=0),1,0)</f>
        <v>1</v>
      </c>
    </row>
    <row r="16" spans="1:5" x14ac:dyDescent="0.25">
      <c r="A16" s="61">
        <f t="shared" si="1"/>
        <v>46037</v>
      </c>
      <c r="B16" s="61">
        <f t="shared" si="0"/>
        <v>46023</v>
      </c>
      <c r="C16" s="56">
        <f>IF(AND(WEEKDAY(A16,2)&lt;6,COUNTIF(Paramètres!$H$11:$H$70,A16)=0),1,0)</f>
        <v>1</v>
      </c>
    </row>
    <row r="17" spans="1:3" x14ac:dyDescent="0.25">
      <c r="A17" s="61">
        <f t="shared" si="1"/>
        <v>46038</v>
      </c>
      <c r="B17" s="61">
        <f t="shared" si="0"/>
        <v>46023</v>
      </c>
      <c r="C17" s="56">
        <f>IF(AND(WEEKDAY(A17,2)&lt;6,COUNTIF(Paramètres!$H$11:$H$70,A17)=0),1,0)</f>
        <v>1</v>
      </c>
    </row>
    <row r="18" spans="1:3" x14ac:dyDescent="0.25">
      <c r="A18" s="61">
        <f t="shared" si="1"/>
        <v>46039</v>
      </c>
      <c r="B18" s="61">
        <f t="shared" si="0"/>
        <v>46023</v>
      </c>
      <c r="C18" s="56">
        <f>IF(AND(WEEKDAY(A18,2)&lt;6,COUNTIF(Paramètres!$H$11:$H$70,A18)=0),1,0)</f>
        <v>0</v>
      </c>
    </row>
    <row r="19" spans="1:3" x14ac:dyDescent="0.25">
      <c r="A19" s="61">
        <f t="shared" si="1"/>
        <v>46040</v>
      </c>
      <c r="B19" s="61">
        <f t="shared" si="0"/>
        <v>46023</v>
      </c>
      <c r="C19" s="56">
        <f>IF(AND(WEEKDAY(A19,2)&lt;6,COUNTIF(Paramètres!$H$11:$H$70,A19)=0),1,0)</f>
        <v>0</v>
      </c>
    </row>
    <row r="20" spans="1:3" x14ac:dyDescent="0.25">
      <c r="A20" s="61">
        <f t="shared" si="1"/>
        <v>46041</v>
      </c>
      <c r="B20" s="61">
        <f t="shared" si="0"/>
        <v>46023</v>
      </c>
      <c r="C20" s="56">
        <f>IF(AND(WEEKDAY(A20,2)&lt;6,COUNTIF(Paramètres!$H$11:$H$70,A20)=0),1,0)</f>
        <v>1</v>
      </c>
    </row>
    <row r="21" spans="1:3" x14ac:dyDescent="0.25">
      <c r="A21" s="61">
        <f t="shared" si="1"/>
        <v>46042</v>
      </c>
      <c r="B21" s="61">
        <f t="shared" si="0"/>
        <v>46023</v>
      </c>
      <c r="C21" s="56">
        <f>IF(AND(WEEKDAY(A21,2)&lt;6,COUNTIF(Paramètres!$H$11:$H$70,A21)=0),1,0)</f>
        <v>1</v>
      </c>
    </row>
    <row r="22" spans="1:3" x14ac:dyDescent="0.25">
      <c r="A22" s="61">
        <f t="shared" si="1"/>
        <v>46043</v>
      </c>
      <c r="B22" s="61">
        <f t="shared" si="0"/>
        <v>46023</v>
      </c>
      <c r="C22" s="56">
        <f>IF(AND(WEEKDAY(A22,2)&lt;6,COUNTIF(Paramètres!$H$11:$H$70,A22)=0),1,0)</f>
        <v>1</v>
      </c>
    </row>
    <row r="23" spans="1:3" x14ac:dyDescent="0.25">
      <c r="A23" s="61">
        <f t="shared" si="1"/>
        <v>46044</v>
      </c>
      <c r="B23" s="61">
        <f t="shared" si="0"/>
        <v>46023</v>
      </c>
      <c r="C23" s="56">
        <f>IF(AND(WEEKDAY(A23,2)&lt;6,COUNTIF(Paramètres!$H$11:$H$70,A23)=0),1,0)</f>
        <v>1</v>
      </c>
    </row>
    <row r="24" spans="1:3" x14ac:dyDescent="0.25">
      <c r="A24" s="61">
        <f t="shared" si="1"/>
        <v>46045</v>
      </c>
      <c r="B24" s="61">
        <f t="shared" si="0"/>
        <v>46023</v>
      </c>
      <c r="C24" s="56">
        <f>IF(AND(WEEKDAY(A24,2)&lt;6,COUNTIF(Paramètres!$H$11:$H$70,A24)=0),1,0)</f>
        <v>1</v>
      </c>
    </row>
    <row r="25" spans="1:3" x14ac:dyDescent="0.25">
      <c r="A25" s="61">
        <f t="shared" si="1"/>
        <v>46046</v>
      </c>
      <c r="B25" s="61">
        <f t="shared" si="0"/>
        <v>46023</v>
      </c>
      <c r="C25" s="56">
        <f>IF(AND(WEEKDAY(A25,2)&lt;6,COUNTIF(Paramètres!$H$11:$H$70,A25)=0),1,0)</f>
        <v>0</v>
      </c>
    </row>
    <row r="26" spans="1:3" x14ac:dyDescent="0.25">
      <c r="A26" s="61">
        <f t="shared" si="1"/>
        <v>46047</v>
      </c>
      <c r="B26" s="61">
        <f t="shared" si="0"/>
        <v>46023</v>
      </c>
      <c r="C26" s="56">
        <f>IF(AND(WEEKDAY(A26,2)&lt;6,COUNTIF(Paramètres!$H$11:$H$70,A26)=0),1,0)</f>
        <v>0</v>
      </c>
    </row>
    <row r="27" spans="1:3" x14ac:dyDescent="0.25">
      <c r="A27" s="61">
        <f t="shared" si="1"/>
        <v>46048</v>
      </c>
      <c r="B27" s="61">
        <f t="shared" si="0"/>
        <v>46023</v>
      </c>
      <c r="C27" s="56">
        <f>IF(AND(WEEKDAY(A27,2)&lt;6,COUNTIF(Paramètres!$H$11:$H$70,A27)=0),1,0)</f>
        <v>1</v>
      </c>
    </row>
    <row r="28" spans="1:3" x14ac:dyDescent="0.25">
      <c r="A28" s="61">
        <f t="shared" si="1"/>
        <v>46049</v>
      </c>
      <c r="B28" s="61">
        <f t="shared" si="0"/>
        <v>46023</v>
      </c>
      <c r="C28" s="56">
        <f>IF(AND(WEEKDAY(A28,2)&lt;6,COUNTIF(Paramètres!$H$11:$H$70,A28)=0),1,0)</f>
        <v>1</v>
      </c>
    </row>
    <row r="29" spans="1:3" x14ac:dyDescent="0.25">
      <c r="A29" s="61">
        <f t="shared" si="1"/>
        <v>46050</v>
      </c>
      <c r="B29" s="61">
        <f t="shared" si="0"/>
        <v>46023</v>
      </c>
      <c r="C29" s="56">
        <f>IF(AND(WEEKDAY(A29,2)&lt;6,COUNTIF(Paramètres!$H$11:$H$70,A29)=0),1,0)</f>
        <v>1</v>
      </c>
    </row>
    <row r="30" spans="1:3" x14ac:dyDescent="0.25">
      <c r="A30" s="61">
        <f t="shared" si="1"/>
        <v>46051</v>
      </c>
      <c r="B30" s="61">
        <f t="shared" si="0"/>
        <v>46023</v>
      </c>
      <c r="C30" s="56">
        <f>IF(AND(WEEKDAY(A30,2)&lt;6,COUNTIF(Paramètres!$H$11:$H$70,A30)=0),1,0)</f>
        <v>1</v>
      </c>
    </row>
    <row r="31" spans="1:3" x14ac:dyDescent="0.25">
      <c r="A31" s="61">
        <f t="shared" si="1"/>
        <v>46052</v>
      </c>
      <c r="B31" s="61">
        <f t="shared" si="0"/>
        <v>46023</v>
      </c>
      <c r="C31" s="56">
        <f>IF(AND(WEEKDAY(A31,2)&lt;6,COUNTIF(Paramètres!$H$11:$H$70,A31)=0),1,0)</f>
        <v>1</v>
      </c>
    </row>
    <row r="32" spans="1:3" x14ac:dyDescent="0.25">
      <c r="A32" s="61">
        <f t="shared" si="1"/>
        <v>46053</v>
      </c>
      <c r="B32" s="61">
        <f t="shared" si="0"/>
        <v>46023</v>
      </c>
      <c r="C32" s="56">
        <f>IF(AND(WEEKDAY(A32,2)&lt;6,COUNTIF(Paramètres!$H$11:$H$70,A32)=0),1,0)</f>
        <v>0</v>
      </c>
    </row>
    <row r="33" spans="1:3" x14ac:dyDescent="0.25">
      <c r="A33" s="61">
        <f t="shared" si="1"/>
        <v>46054</v>
      </c>
      <c r="B33" s="61">
        <f t="shared" si="0"/>
        <v>46054</v>
      </c>
      <c r="C33" s="56">
        <f>IF(AND(WEEKDAY(A33,2)&lt;6,COUNTIF(Paramètres!$H$11:$H$70,A33)=0),1,0)</f>
        <v>0</v>
      </c>
    </row>
    <row r="34" spans="1:3" x14ac:dyDescent="0.25">
      <c r="A34" s="61">
        <f t="shared" si="1"/>
        <v>46055</v>
      </c>
      <c r="B34" s="61">
        <f t="shared" si="0"/>
        <v>46054</v>
      </c>
      <c r="C34" s="56">
        <f>IF(AND(WEEKDAY(A34,2)&lt;6,COUNTIF(Paramètres!$H$11:$H$70,A34)=0),1,0)</f>
        <v>1</v>
      </c>
    </row>
    <row r="35" spans="1:3" x14ac:dyDescent="0.25">
      <c r="A35" s="61">
        <f t="shared" si="1"/>
        <v>46056</v>
      </c>
      <c r="B35" s="61">
        <f t="shared" si="0"/>
        <v>46054</v>
      </c>
      <c r="C35" s="56">
        <f>IF(AND(WEEKDAY(A35,2)&lt;6,COUNTIF(Paramètres!$H$11:$H$70,A35)=0),1,0)</f>
        <v>1</v>
      </c>
    </row>
    <row r="36" spans="1:3" x14ac:dyDescent="0.25">
      <c r="A36" s="61">
        <f t="shared" si="1"/>
        <v>46057</v>
      </c>
      <c r="B36" s="61">
        <f t="shared" si="0"/>
        <v>46054</v>
      </c>
      <c r="C36" s="56">
        <f>IF(AND(WEEKDAY(A36,2)&lt;6,COUNTIF(Paramètres!$H$11:$H$70,A36)=0),1,0)</f>
        <v>1</v>
      </c>
    </row>
    <row r="37" spans="1:3" x14ac:dyDescent="0.25">
      <c r="A37" s="61">
        <f t="shared" si="1"/>
        <v>46058</v>
      </c>
      <c r="B37" s="61">
        <f t="shared" si="0"/>
        <v>46054</v>
      </c>
      <c r="C37" s="56">
        <f>IF(AND(WEEKDAY(A37,2)&lt;6,COUNTIF(Paramètres!$H$11:$H$70,A37)=0),1,0)</f>
        <v>1</v>
      </c>
    </row>
    <row r="38" spans="1:3" x14ac:dyDescent="0.25">
      <c r="A38" s="61">
        <f t="shared" si="1"/>
        <v>46059</v>
      </c>
      <c r="B38" s="61">
        <f t="shared" si="0"/>
        <v>46054</v>
      </c>
      <c r="C38" s="56">
        <f>IF(AND(WEEKDAY(A38,2)&lt;6,COUNTIF(Paramètres!$H$11:$H$70,A38)=0),1,0)</f>
        <v>1</v>
      </c>
    </row>
    <row r="39" spans="1:3" x14ac:dyDescent="0.25">
      <c r="A39" s="61">
        <f t="shared" si="1"/>
        <v>46060</v>
      </c>
      <c r="B39" s="61">
        <f t="shared" si="0"/>
        <v>46054</v>
      </c>
      <c r="C39" s="56">
        <f>IF(AND(WEEKDAY(A39,2)&lt;6,COUNTIF(Paramètres!$H$11:$H$70,A39)=0),1,0)</f>
        <v>0</v>
      </c>
    </row>
    <row r="40" spans="1:3" x14ac:dyDescent="0.25">
      <c r="A40" s="61">
        <f t="shared" si="1"/>
        <v>46061</v>
      </c>
      <c r="B40" s="61">
        <f t="shared" si="0"/>
        <v>46054</v>
      </c>
      <c r="C40" s="56">
        <f>IF(AND(WEEKDAY(A40,2)&lt;6,COUNTIF(Paramètres!$H$11:$H$70,A40)=0),1,0)</f>
        <v>0</v>
      </c>
    </row>
    <row r="41" spans="1:3" x14ac:dyDescent="0.25">
      <c r="A41" s="61">
        <f t="shared" si="1"/>
        <v>46062</v>
      </c>
      <c r="B41" s="61">
        <f t="shared" si="0"/>
        <v>46054</v>
      </c>
      <c r="C41" s="56">
        <f>IF(AND(WEEKDAY(A41,2)&lt;6,COUNTIF(Paramètres!$H$11:$H$70,A41)=0),1,0)</f>
        <v>1</v>
      </c>
    </row>
    <row r="42" spans="1:3" x14ac:dyDescent="0.25">
      <c r="A42" s="61">
        <f t="shared" si="1"/>
        <v>46063</v>
      </c>
      <c r="B42" s="61">
        <f t="shared" si="0"/>
        <v>46054</v>
      </c>
      <c r="C42" s="56">
        <f>IF(AND(WEEKDAY(A42,2)&lt;6,COUNTIF(Paramètres!$H$11:$H$70,A42)=0),1,0)</f>
        <v>1</v>
      </c>
    </row>
    <row r="43" spans="1:3" x14ac:dyDescent="0.25">
      <c r="A43" s="61">
        <f t="shared" si="1"/>
        <v>46064</v>
      </c>
      <c r="B43" s="61">
        <f t="shared" si="0"/>
        <v>46054</v>
      </c>
      <c r="C43" s="56">
        <f>IF(AND(WEEKDAY(A43,2)&lt;6,COUNTIF(Paramètres!$H$11:$H$70,A43)=0),1,0)</f>
        <v>1</v>
      </c>
    </row>
    <row r="44" spans="1:3" x14ac:dyDescent="0.25">
      <c r="A44" s="61">
        <f t="shared" si="1"/>
        <v>46065</v>
      </c>
      <c r="B44" s="61">
        <f t="shared" si="0"/>
        <v>46054</v>
      </c>
      <c r="C44" s="56">
        <f>IF(AND(WEEKDAY(A44,2)&lt;6,COUNTIF(Paramètres!$H$11:$H$70,A44)=0),1,0)</f>
        <v>1</v>
      </c>
    </row>
    <row r="45" spans="1:3" x14ac:dyDescent="0.25">
      <c r="A45" s="61">
        <f t="shared" si="1"/>
        <v>46066</v>
      </c>
      <c r="B45" s="61">
        <f t="shared" si="0"/>
        <v>46054</v>
      </c>
      <c r="C45" s="56">
        <f>IF(AND(WEEKDAY(A45,2)&lt;6,COUNTIF(Paramètres!$H$11:$H$70,A45)=0),1,0)</f>
        <v>1</v>
      </c>
    </row>
    <row r="46" spans="1:3" x14ac:dyDescent="0.25">
      <c r="A46" s="61">
        <f t="shared" si="1"/>
        <v>46067</v>
      </c>
      <c r="B46" s="61">
        <f t="shared" si="0"/>
        <v>46054</v>
      </c>
      <c r="C46" s="56">
        <f>IF(AND(WEEKDAY(A46,2)&lt;6,COUNTIF(Paramètres!$H$11:$H$70,A46)=0),1,0)</f>
        <v>0</v>
      </c>
    </row>
    <row r="47" spans="1:3" x14ac:dyDescent="0.25">
      <c r="A47" s="61">
        <f t="shared" si="1"/>
        <v>46068</v>
      </c>
      <c r="B47" s="61">
        <f t="shared" si="0"/>
        <v>46054</v>
      </c>
      <c r="C47" s="56">
        <f>IF(AND(WEEKDAY(A47,2)&lt;6,COUNTIF(Paramètres!$H$11:$H$70,A47)=0),1,0)</f>
        <v>0</v>
      </c>
    </row>
    <row r="48" spans="1:3" x14ac:dyDescent="0.25">
      <c r="A48" s="61">
        <f t="shared" si="1"/>
        <v>46069</v>
      </c>
      <c r="B48" s="61">
        <f t="shared" si="0"/>
        <v>46054</v>
      </c>
      <c r="C48" s="56">
        <f>IF(AND(WEEKDAY(A48,2)&lt;6,COUNTIF(Paramètres!$H$11:$H$70,A48)=0),1,0)</f>
        <v>1</v>
      </c>
    </row>
    <row r="49" spans="1:3" x14ac:dyDescent="0.25">
      <c r="A49" s="61">
        <f t="shared" si="1"/>
        <v>46070</v>
      </c>
      <c r="B49" s="61">
        <f t="shared" si="0"/>
        <v>46054</v>
      </c>
      <c r="C49" s="56">
        <f>IF(AND(WEEKDAY(A49,2)&lt;6,COUNTIF(Paramètres!$H$11:$H$70,A49)=0),1,0)</f>
        <v>1</v>
      </c>
    </row>
    <row r="50" spans="1:3" x14ac:dyDescent="0.25">
      <c r="A50" s="61">
        <f t="shared" si="1"/>
        <v>46071</v>
      </c>
      <c r="B50" s="61">
        <f t="shared" si="0"/>
        <v>46054</v>
      </c>
      <c r="C50" s="56">
        <f>IF(AND(WEEKDAY(A50,2)&lt;6,COUNTIF(Paramètres!$H$11:$H$70,A50)=0),1,0)</f>
        <v>1</v>
      </c>
    </row>
    <row r="51" spans="1:3" x14ac:dyDescent="0.25">
      <c r="A51" s="61">
        <f t="shared" si="1"/>
        <v>46072</v>
      </c>
      <c r="B51" s="61">
        <f t="shared" si="0"/>
        <v>46054</v>
      </c>
      <c r="C51" s="56">
        <f>IF(AND(WEEKDAY(A51,2)&lt;6,COUNTIF(Paramètres!$H$11:$H$70,A51)=0),1,0)</f>
        <v>1</v>
      </c>
    </row>
    <row r="52" spans="1:3" x14ac:dyDescent="0.25">
      <c r="A52" s="61">
        <f t="shared" si="1"/>
        <v>46073</v>
      </c>
      <c r="B52" s="61">
        <f t="shared" si="0"/>
        <v>46054</v>
      </c>
      <c r="C52" s="56">
        <f>IF(AND(WEEKDAY(A52,2)&lt;6,COUNTIF(Paramètres!$H$11:$H$70,A52)=0),1,0)</f>
        <v>1</v>
      </c>
    </row>
    <row r="53" spans="1:3" x14ac:dyDescent="0.25">
      <c r="A53" s="61">
        <f t="shared" si="1"/>
        <v>46074</v>
      </c>
      <c r="B53" s="61">
        <f t="shared" si="0"/>
        <v>46054</v>
      </c>
      <c r="C53" s="56">
        <f>IF(AND(WEEKDAY(A53,2)&lt;6,COUNTIF(Paramètres!$H$11:$H$70,A53)=0),1,0)</f>
        <v>0</v>
      </c>
    </row>
    <row r="54" spans="1:3" x14ac:dyDescent="0.25">
      <c r="A54" s="61">
        <f t="shared" si="1"/>
        <v>46075</v>
      </c>
      <c r="B54" s="61">
        <f t="shared" si="0"/>
        <v>46054</v>
      </c>
      <c r="C54" s="56">
        <f>IF(AND(WEEKDAY(A54,2)&lt;6,COUNTIF(Paramètres!$H$11:$H$70,A54)=0),1,0)</f>
        <v>0</v>
      </c>
    </row>
    <row r="55" spans="1:3" x14ac:dyDescent="0.25">
      <c r="A55" s="61">
        <f t="shared" si="1"/>
        <v>46076</v>
      </c>
      <c r="B55" s="61">
        <f t="shared" si="0"/>
        <v>46054</v>
      </c>
      <c r="C55" s="56">
        <f>IF(AND(WEEKDAY(A55,2)&lt;6,COUNTIF(Paramètres!$H$11:$H$70,A55)=0),1,0)</f>
        <v>1</v>
      </c>
    </row>
    <row r="56" spans="1:3" x14ac:dyDescent="0.25">
      <c r="A56" s="61">
        <f t="shared" si="1"/>
        <v>46077</v>
      </c>
      <c r="B56" s="61">
        <f t="shared" si="0"/>
        <v>46054</v>
      </c>
      <c r="C56" s="56">
        <f>IF(AND(WEEKDAY(A56,2)&lt;6,COUNTIF(Paramètres!$H$11:$H$70,A56)=0),1,0)</f>
        <v>1</v>
      </c>
    </row>
    <row r="57" spans="1:3" x14ac:dyDescent="0.25">
      <c r="A57" s="61">
        <f t="shared" si="1"/>
        <v>46078</v>
      </c>
      <c r="B57" s="61">
        <f t="shared" si="0"/>
        <v>46054</v>
      </c>
      <c r="C57" s="56">
        <f>IF(AND(WEEKDAY(A57,2)&lt;6,COUNTIF(Paramètres!$H$11:$H$70,A57)=0),1,0)</f>
        <v>1</v>
      </c>
    </row>
    <row r="58" spans="1:3" x14ac:dyDescent="0.25">
      <c r="A58" s="61">
        <f t="shared" si="1"/>
        <v>46079</v>
      </c>
      <c r="B58" s="61">
        <f t="shared" si="0"/>
        <v>46054</v>
      </c>
      <c r="C58" s="56">
        <f>IF(AND(WEEKDAY(A58,2)&lt;6,COUNTIF(Paramètres!$H$11:$H$70,A58)=0),1,0)</f>
        <v>1</v>
      </c>
    </row>
    <row r="59" spans="1:3" x14ac:dyDescent="0.25">
      <c r="A59" s="61">
        <f t="shared" si="1"/>
        <v>46080</v>
      </c>
      <c r="B59" s="61">
        <f t="shared" si="0"/>
        <v>46054</v>
      </c>
      <c r="C59" s="56">
        <f>IF(AND(WEEKDAY(A59,2)&lt;6,COUNTIF(Paramètres!$H$11:$H$70,A59)=0),1,0)</f>
        <v>1</v>
      </c>
    </row>
    <row r="60" spans="1:3" x14ac:dyDescent="0.25">
      <c r="A60" s="61">
        <f t="shared" si="1"/>
        <v>46081</v>
      </c>
      <c r="B60" s="61">
        <f t="shared" si="0"/>
        <v>46054</v>
      </c>
      <c r="C60" s="56">
        <f>IF(AND(WEEKDAY(A60,2)&lt;6,COUNTIF(Paramètres!$H$11:$H$70,A60)=0),1,0)</f>
        <v>0</v>
      </c>
    </row>
    <row r="61" spans="1:3" x14ac:dyDescent="0.25">
      <c r="A61" s="61">
        <f t="shared" si="1"/>
        <v>46082</v>
      </c>
      <c r="B61" s="61">
        <f t="shared" si="0"/>
        <v>46082</v>
      </c>
      <c r="C61" s="56">
        <f>IF(AND(WEEKDAY(A61,2)&lt;6,COUNTIF(Paramètres!$H$11:$H$70,A61)=0),1,0)</f>
        <v>0</v>
      </c>
    </row>
    <row r="62" spans="1:3" x14ac:dyDescent="0.25">
      <c r="A62" s="61">
        <f t="shared" si="1"/>
        <v>46083</v>
      </c>
      <c r="B62" s="61">
        <f t="shared" si="0"/>
        <v>46082</v>
      </c>
      <c r="C62" s="56">
        <f>IF(AND(WEEKDAY(A62,2)&lt;6,COUNTIF(Paramètres!$H$11:$H$70,A62)=0),1,0)</f>
        <v>1</v>
      </c>
    </row>
    <row r="63" spans="1:3" x14ac:dyDescent="0.25">
      <c r="A63" s="61">
        <f t="shared" si="1"/>
        <v>46084</v>
      </c>
      <c r="B63" s="61">
        <f t="shared" si="0"/>
        <v>46082</v>
      </c>
      <c r="C63" s="56">
        <f>IF(AND(WEEKDAY(A63,2)&lt;6,COUNTIF(Paramètres!$H$11:$H$70,A63)=0),1,0)</f>
        <v>1</v>
      </c>
    </row>
    <row r="64" spans="1:3" x14ac:dyDescent="0.25">
      <c r="A64" s="61">
        <f t="shared" si="1"/>
        <v>46085</v>
      </c>
      <c r="B64" s="61">
        <f t="shared" si="0"/>
        <v>46082</v>
      </c>
      <c r="C64" s="56">
        <f>IF(AND(WEEKDAY(A64,2)&lt;6,COUNTIF(Paramètres!$H$11:$H$70,A64)=0),1,0)</f>
        <v>1</v>
      </c>
    </row>
    <row r="65" spans="1:3" x14ac:dyDescent="0.25">
      <c r="A65" s="61">
        <f t="shared" si="1"/>
        <v>46086</v>
      </c>
      <c r="B65" s="61">
        <f t="shared" si="0"/>
        <v>46082</v>
      </c>
      <c r="C65" s="56">
        <f>IF(AND(WEEKDAY(A65,2)&lt;6,COUNTIF(Paramètres!$H$11:$H$70,A65)=0),1,0)</f>
        <v>1</v>
      </c>
    </row>
    <row r="66" spans="1:3" x14ac:dyDescent="0.25">
      <c r="A66" s="61">
        <f t="shared" si="1"/>
        <v>46087</v>
      </c>
      <c r="B66" s="61">
        <f t="shared" ref="B66:B129" si="2">DATE(YEAR(A66),MONTH(A66),1)</f>
        <v>46082</v>
      </c>
      <c r="C66" s="56">
        <f>IF(AND(WEEKDAY(A66,2)&lt;6,COUNTIF(Paramètres!$H$11:$H$70,A66)=0),1,0)</f>
        <v>1</v>
      </c>
    </row>
    <row r="67" spans="1:3" x14ac:dyDescent="0.25">
      <c r="A67" s="61">
        <f t="shared" ref="A67:A130" si="3">A66+1</f>
        <v>46088</v>
      </c>
      <c r="B67" s="61">
        <f t="shared" si="2"/>
        <v>46082</v>
      </c>
      <c r="C67" s="56">
        <f>IF(AND(WEEKDAY(A67,2)&lt;6,COUNTIF(Paramètres!$H$11:$H$70,A67)=0),1,0)</f>
        <v>0</v>
      </c>
    </row>
    <row r="68" spans="1:3" x14ac:dyDescent="0.25">
      <c r="A68" s="61">
        <f t="shared" si="3"/>
        <v>46089</v>
      </c>
      <c r="B68" s="61">
        <f t="shared" si="2"/>
        <v>46082</v>
      </c>
      <c r="C68" s="56">
        <f>IF(AND(WEEKDAY(A68,2)&lt;6,COUNTIF(Paramètres!$H$11:$H$70,A68)=0),1,0)</f>
        <v>0</v>
      </c>
    </row>
    <row r="69" spans="1:3" x14ac:dyDescent="0.25">
      <c r="A69" s="61">
        <f t="shared" si="3"/>
        <v>46090</v>
      </c>
      <c r="B69" s="61">
        <f t="shared" si="2"/>
        <v>46082</v>
      </c>
      <c r="C69" s="56">
        <f>IF(AND(WEEKDAY(A69,2)&lt;6,COUNTIF(Paramètres!$H$11:$H$70,A69)=0),1,0)</f>
        <v>1</v>
      </c>
    </row>
    <row r="70" spans="1:3" x14ac:dyDescent="0.25">
      <c r="A70" s="61">
        <f t="shared" si="3"/>
        <v>46091</v>
      </c>
      <c r="B70" s="61">
        <f t="shared" si="2"/>
        <v>46082</v>
      </c>
      <c r="C70" s="56">
        <f>IF(AND(WEEKDAY(A70,2)&lt;6,COUNTIF(Paramètres!$H$11:$H$70,A70)=0),1,0)</f>
        <v>1</v>
      </c>
    </row>
    <row r="71" spans="1:3" x14ac:dyDescent="0.25">
      <c r="A71" s="61">
        <f t="shared" si="3"/>
        <v>46092</v>
      </c>
      <c r="B71" s="61">
        <f t="shared" si="2"/>
        <v>46082</v>
      </c>
      <c r="C71" s="56">
        <f>IF(AND(WEEKDAY(A71,2)&lt;6,COUNTIF(Paramètres!$H$11:$H$70,A71)=0),1,0)</f>
        <v>1</v>
      </c>
    </row>
    <row r="72" spans="1:3" x14ac:dyDescent="0.25">
      <c r="A72" s="61">
        <f t="shared" si="3"/>
        <v>46093</v>
      </c>
      <c r="B72" s="61">
        <f t="shared" si="2"/>
        <v>46082</v>
      </c>
      <c r="C72" s="56">
        <f>IF(AND(WEEKDAY(A72,2)&lt;6,COUNTIF(Paramètres!$H$11:$H$70,A72)=0),1,0)</f>
        <v>1</v>
      </c>
    </row>
    <row r="73" spans="1:3" x14ac:dyDescent="0.25">
      <c r="A73" s="61">
        <f t="shared" si="3"/>
        <v>46094</v>
      </c>
      <c r="B73" s="61">
        <f t="shared" si="2"/>
        <v>46082</v>
      </c>
      <c r="C73" s="56">
        <f>IF(AND(WEEKDAY(A73,2)&lt;6,COUNTIF(Paramètres!$H$11:$H$70,A73)=0),1,0)</f>
        <v>1</v>
      </c>
    </row>
    <row r="74" spans="1:3" x14ac:dyDescent="0.25">
      <c r="A74" s="61">
        <f t="shared" si="3"/>
        <v>46095</v>
      </c>
      <c r="B74" s="61">
        <f t="shared" si="2"/>
        <v>46082</v>
      </c>
      <c r="C74" s="56">
        <f>IF(AND(WEEKDAY(A74,2)&lt;6,COUNTIF(Paramètres!$H$11:$H$70,A74)=0),1,0)</f>
        <v>0</v>
      </c>
    </row>
    <row r="75" spans="1:3" x14ac:dyDescent="0.25">
      <c r="A75" s="61">
        <f t="shared" si="3"/>
        <v>46096</v>
      </c>
      <c r="B75" s="61">
        <f t="shared" si="2"/>
        <v>46082</v>
      </c>
      <c r="C75" s="56">
        <f>IF(AND(WEEKDAY(A75,2)&lt;6,COUNTIF(Paramètres!$H$11:$H$70,A75)=0),1,0)</f>
        <v>0</v>
      </c>
    </row>
    <row r="76" spans="1:3" x14ac:dyDescent="0.25">
      <c r="A76" s="61">
        <f t="shared" si="3"/>
        <v>46097</v>
      </c>
      <c r="B76" s="61">
        <f t="shared" si="2"/>
        <v>46082</v>
      </c>
      <c r="C76" s="56">
        <f>IF(AND(WEEKDAY(A76,2)&lt;6,COUNTIF(Paramètres!$H$11:$H$70,A76)=0),1,0)</f>
        <v>1</v>
      </c>
    </row>
    <row r="77" spans="1:3" x14ac:dyDescent="0.25">
      <c r="A77" s="61">
        <f t="shared" si="3"/>
        <v>46098</v>
      </c>
      <c r="B77" s="61">
        <f t="shared" si="2"/>
        <v>46082</v>
      </c>
      <c r="C77" s="56">
        <f>IF(AND(WEEKDAY(A77,2)&lt;6,COUNTIF(Paramètres!$H$11:$H$70,A77)=0),1,0)</f>
        <v>1</v>
      </c>
    </row>
    <row r="78" spans="1:3" x14ac:dyDescent="0.25">
      <c r="A78" s="61">
        <f t="shared" si="3"/>
        <v>46099</v>
      </c>
      <c r="B78" s="61">
        <f t="shared" si="2"/>
        <v>46082</v>
      </c>
      <c r="C78" s="56">
        <f>IF(AND(WEEKDAY(A78,2)&lt;6,COUNTIF(Paramètres!$H$11:$H$70,A78)=0),1,0)</f>
        <v>1</v>
      </c>
    </row>
    <row r="79" spans="1:3" x14ac:dyDescent="0.25">
      <c r="A79" s="61">
        <f t="shared" si="3"/>
        <v>46100</v>
      </c>
      <c r="B79" s="61">
        <f t="shared" si="2"/>
        <v>46082</v>
      </c>
      <c r="C79" s="56">
        <f>IF(AND(WEEKDAY(A79,2)&lt;6,COUNTIF(Paramètres!$H$11:$H$70,A79)=0),1,0)</f>
        <v>1</v>
      </c>
    </row>
    <row r="80" spans="1:3" x14ac:dyDescent="0.25">
      <c r="A80" s="61">
        <f t="shared" si="3"/>
        <v>46101</v>
      </c>
      <c r="B80" s="61">
        <f t="shared" si="2"/>
        <v>46082</v>
      </c>
      <c r="C80" s="56">
        <f>IF(AND(WEEKDAY(A80,2)&lt;6,COUNTIF(Paramètres!$H$11:$H$70,A80)=0),1,0)</f>
        <v>0</v>
      </c>
    </row>
    <row r="81" spans="1:3" x14ac:dyDescent="0.25">
      <c r="A81" s="61">
        <f t="shared" si="3"/>
        <v>46102</v>
      </c>
      <c r="B81" s="61">
        <f t="shared" si="2"/>
        <v>46082</v>
      </c>
      <c r="C81" s="56">
        <f>IF(AND(WEEKDAY(A81,2)&lt;6,COUNTIF(Paramètres!$H$11:$H$70,A81)=0),1,0)</f>
        <v>0</v>
      </c>
    </row>
    <row r="82" spans="1:3" x14ac:dyDescent="0.25">
      <c r="A82" s="61">
        <f t="shared" si="3"/>
        <v>46103</v>
      </c>
      <c r="B82" s="61">
        <f t="shared" si="2"/>
        <v>46082</v>
      </c>
      <c r="C82" s="56">
        <f>IF(AND(WEEKDAY(A82,2)&lt;6,COUNTIF(Paramètres!$H$11:$H$70,A82)=0),1,0)</f>
        <v>0</v>
      </c>
    </row>
    <row r="83" spans="1:3" x14ac:dyDescent="0.25">
      <c r="A83" s="61">
        <f t="shared" si="3"/>
        <v>46104</v>
      </c>
      <c r="B83" s="61">
        <f t="shared" si="2"/>
        <v>46082</v>
      </c>
      <c r="C83" s="56">
        <f>IF(AND(WEEKDAY(A83,2)&lt;6,COUNTIF(Paramètres!$H$11:$H$70,A83)=0),1,0)</f>
        <v>1</v>
      </c>
    </row>
    <row r="84" spans="1:3" x14ac:dyDescent="0.25">
      <c r="A84" s="61">
        <f t="shared" si="3"/>
        <v>46105</v>
      </c>
      <c r="B84" s="61">
        <f t="shared" si="2"/>
        <v>46082</v>
      </c>
      <c r="C84" s="56">
        <f>IF(AND(WEEKDAY(A84,2)&lt;6,COUNTIF(Paramètres!$H$11:$H$70,A84)=0),1,0)</f>
        <v>1</v>
      </c>
    </row>
    <row r="85" spans="1:3" x14ac:dyDescent="0.25">
      <c r="A85" s="61">
        <f t="shared" si="3"/>
        <v>46106</v>
      </c>
      <c r="B85" s="61">
        <f t="shared" si="2"/>
        <v>46082</v>
      </c>
      <c r="C85" s="56">
        <f>IF(AND(WEEKDAY(A85,2)&lt;6,COUNTIF(Paramètres!$H$11:$H$70,A85)=0),1,0)</f>
        <v>1</v>
      </c>
    </row>
    <row r="86" spans="1:3" x14ac:dyDescent="0.25">
      <c r="A86" s="61">
        <f t="shared" si="3"/>
        <v>46107</v>
      </c>
      <c r="B86" s="61">
        <f t="shared" si="2"/>
        <v>46082</v>
      </c>
      <c r="C86" s="56">
        <f>IF(AND(WEEKDAY(A86,2)&lt;6,COUNTIF(Paramètres!$H$11:$H$70,A86)=0),1,0)</f>
        <v>1</v>
      </c>
    </row>
    <row r="87" spans="1:3" x14ac:dyDescent="0.25">
      <c r="A87" s="61">
        <f t="shared" si="3"/>
        <v>46108</v>
      </c>
      <c r="B87" s="61">
        <f t="shared" si="2"/>
        <v>46082</v>
      </c>
      <c r="C87" s="56">
        <f>IF(AND(WEEKDAY(A87,2)&lt;6,COUNTIF(Paramètres!$H$11:$H$70,A87)=0),1,0)</f>
        <v>1</v>
      </c>
    </row>
    <row r="88" spans="1:3" x14ac:dyDescent="0.25">
      <c r="A88" s="61">
        <f t="shared" si="3"/>
        <v>46109</v>
      </c>
      <c r="B88" s="61">
        <f t="shared" si="2"/>
        <v>46082</v>
      </c>
      <c r="C88" s="56">
        <f>IF(AND(WEEKDAY(A88,2)&lt;6,COUNTIF(Paramètres!$H$11:$H$70,A88)=0),1,0)</f>
        <v>0</v>
      </c>
    </row>
    <row r="89" spans="1:3" x14ac:dyDescent="0.25">
      <c r="A89" s="61">
        <f t="shared" si="3"/>
        <v>46110</v>
      </c>
      <c r="B89" s="61">
        <f t="shared" si="2"/>
        <v>46082</v>
      </c>
      <c r="C89" s="56">
        <f>IF(AND(WEEKDAY(A89,2)&lt;6,COUNTIF(Paramètres!$H$11:$H$70,A89)=0),1,0)</f>
        <v>0</v>
      </c>
    </row>
    <row r="90" spans="1:3" x14ac:dyDescent="0.25">
      <c r="A90" s="61">
        <f t="shared" si="3"/>
        <v>46111</v>
      </c>
      <c r="B90" s="61">
        <f t="shared" si="2"/>
        <v>46082</v>
      </c>
      <c r="C90" s="56">
        <f>IF(AND(WEEKDAY(A90,2)&lt;6,COUNTIF(Paramètres!$H$11:$H$70,A90)=0),1,0)</f>
        <v>1</v>
      </c>
    </row>
    <row r="91" spans="1:3" x14ac:dyDescent="0.25">
      <c r="A91" s="61">
        <f t="shared" si="3"/>
        <v>46112</v>
      </c>
      <c r="B91" s="61">
        <f t="shared" si="2"/>
        <v>46082</v>
      </c>
      <c r="C91" s="56">
        <f>IF(AND(WEEKDAY(A91,2)&lt;6,COUNTIF(Paramètres!$H$11:$H$70,A91)=0),1,0)</f>
        <v>1</v>
      </c>
    </row>
    <row r="92" spans="1:3" x14ac:dyDescent="0.25">
      <c r="A92" s="61">
        <f t="shared" si="3"/>
        <v>46113</v>
      </c>
      <c r="B92" s="61">
        <f t="shared" si="2"/>
        <v>46113</v>
      </c>
      <c r="C92" s="56">
        <f>IF(AND(WEEKDAY(A92,2)&lt;6,COUNTIF(Paramètres!$H$11:$H$70,A92)=0),1,0)</f>
        <v>1</v>
      </c>
    </row>
    <row r="93" spans="1:3" x14ac:dyDescent="0.25">
      <c r="A93" s="61">
        <f t="shared" si="3"/>
        <v>46114</v>
      </c>
      <c r="B93" s="61">
        <f t="shared" si="2"/>
        <v>46113</v>
      </c>
      <c r="C93" s="56">
        <f>IF(AND(WEEKDAY(A93,2)&lt;6,COUNTIF(Paramètres!$H$11:$H$70,A93)=0),1,0)</f>
        <v>1</v>
      </c>
    </row>
    <row r="94" spans="1:3" x14ac:dyDescent="0.25">
      <c r="A94" s="61">
        <f t="shared" si="3"/>
        <v>46115</v>
      </c>
      <c r="B94" s="61">
        <f t="shared" si="2"/>
        <v>46113</v>
      </c>
      <c r="C94" s="56">
        <f>IF(AND(WEEKDAY(A94,2)&lt;6,COUNTIF(Paramètres!$H$11:$H$70,A94)=0),1,0)</f>
        <v>1</v>
      </c>
    </row>
    <row r="95" spans="1:3" x14ac:dyDescent="0.25">
      <c r="A95" s="61">
        <f t="shared" si="3"/>
        <v>46116</v>
      </c>
      <c r="B95" s="61">
        <f t="shared" si="2"/>
        <v>46113</v>
      </c>
      <c r="C95" s="56">
        <f>IF(AND(WEEKDAY(A95,2)&lt;6,COUNTIF(Paramètres!$H$11:$H$70,A95)=0),1,0)</f>
        <v>0</v>
      </c>
    </row>
    <row r="96" spans="1:3" x14ac:dyDescent="0.25">
      <c r="A96" s="61">
        <f t="shared" si="3"/>
        <v>46117</v>
      </c>
      <c r="B96" s="61">
        <f t="shared" si="2"/>
        <v>46113</v>
      </c>
      <c r="C96" s="56">
        <f>IF(AND(WEEKDAY(A96,2)&lt;6,COUNTIF(Paramètres!$H$11:$H$70,A96)=0),1,0)</f>
        <v>0</v>
      </c>
    </row>
    <row r="97" spans="1:3" x14ac:dyDescent="0.25">
      <c r="A97" s="61">
        <f t="shared" si="3"/>
        <v>46118</v>
      </c>
      <c r="B97" s="61">
        <f t="shared" si="2"/>
        <v>46113</v>
      </c>
      <c r="C97" s="56">
        <f>IF(AND(WEEKDAY(A97,2)&lt;6,COUNTIF(Paramètres!$H$11:$H$70,A97)=0),1,0)</f>
        <v>1</v>
      </c>
    </row>
    <row r="98" spans="1:3" x14ac:dyDescent="0.25">
      <c r="A98" s="61">
        <f t="shared" si="3"/>
        <v>46119</v>
      </c>
      <c r="B98" s="61">
        <f t="shared" si="2"/>
        <v>46113</v>
      </c>
      <c r="C98" s="56">
        <f>IF(AND(WEEKDAY(A98,2)&lt;6,COUNTIF(Paramètres!$H$11:$H$70,A98)=0),1,0)</f>
        <v>1</v>
      </c>
    </row>
    <row r="99" spans="1:3" x14ac:dyDescent="0.25">
      <c r="A99" s="61">
        <f t="shared" si="3"/>
        <v>46120</v>
      </c>
      <c r="B99" s="61">
        <f t="shared" si="2"/>
        <v>46113</v>
      </c>
      <c r="C99" s="56">
        <f>IF(AND(WEEKDAY(A99,2)&lt;6,COUNTIF(Paramètres!$H$11:$H$70,A99)=0),1,0)</f>
        <v>1</v>
      </c>
    </row>
    <row r="100" spans="1:3" x14ac:dyDescent="0.25">
      <c r="A100" s="61">
        <f t="shared" si="3"/>
        <v>46121</v>
      </c>
      <c r="B100" s="61">
        <f t="shared" si="2"/>
        <v>46113</v>
      </c>
      <c r="C100" s="56">
        <f>IF(AND(WEEKDAY(A100,2)&lt;6,COUNTIF(Paramètres!$H$11:$H$70,A100)=0),1,0)</f>
        <v>1</v>
      </c>
    </row>
    <row r="101" spans="1:3" x14ac:dyDescent="0.25">
      <c r="A101" s="61">
        <f t="shared" si="3"/>
        <v>46122</v>
      </c>
      <c r="B101" s="61">
        <f t="shared" si="2"/>
        <v>46113</v>
      </c>
      <c r="C101" s="56">
        <f>IF(AND(WEEKDAY(A101,2)&lt;6,COUNTIF(Paramètres!$H$11:$H$70,A101)=0),1,0)</f>
        <v>1</v>
      </c>
    </row>
    <row r="102" spans="1:3" x14ac:dyDescent="0.25">
      <c r="A102" s="61">
        <f t="shared" si="3"/>
        <v>46123</v>
      </c>
      <c r="B102" s="61">
        <f t="shared" si="2"/>
        <v>46113</v>
      </c>
      <c r="C102" s="56">
        <f>IF(AND(WEEKDAY(A102,2)&lt;6,COUNTIF(Paramètres!$H$11:$H$70,A102)=0),1,0)</f>
        <v>0</v>
      </c>
    </row>
    <row r="103" spans="1:3" x14ac:dyDescent="0.25">
      <c r="A103" s="61">
        <f t="shared" si="3"/>
        <v>46124</v>
      </c>
      <c r="B103" s="61">
        <f t="shared" si="2"/>
        <v>46113</v>
      </c>
      <c r="C103" s="56">
        <f>IF(AND(WEEKDAY(A103,2)&lt;6,COUNTIF(Paramètres!$H$11:$H$70,A103)=0),1,0)</f>
        <v>0</v>
      </c>
    </row>
    <row r="104" spans="1:3" x14ac:dyDescent="0.25">
      <c r="A104" s="61">
        <f t="shared" si="3"/>
        <v>46125</v>
      </c>
      <c r="B104" s="61">
        <f t="shared" si="2"/>
        <v>46113</v>
      </c>
      <c r="C104" s="56">
        <f>IF(AND(WEEKDAY(A104,2)&lt;6,COUNTIF(Paramètres!$H$11:$H$70,A104)=0),1,0)</f>
        <v>1</v>
      </c>
    </row>
    <row r="105" spans="1:3" x14ac:dyDescent="0.25">
      <c r="A105" s="61">
        <f t="shared" si="3"/>
        <v>46126</v>
      </c>
      <c r="B105" s="61">
        <f t="shared" si="2"/>
        <v>46113</v>
      </c>
      <c r="C105" s="56">
        <f>IF(AND(WEEKDAY(A105,2)&lt;6,COUNTIF(Paramètres!$H$11:$H$70,A105)=0),1,0)</f>
        <v>1</v>
      </c>
    </row>
    <row r="106" spans="1:3" x14ac:dyDescent="0.25">
      <c r="A106" s="61">
        <f t="shared" si="3"/>
        <v>46127</v>
      </c>
      <c r="B106" s="61">
        <f t="shared" si="2"/>
        <v>46113</v>
      </c>
      <c r="C106" s="56">
        <f>IF(AND(WEEKDAY(A106,2)&lt;6,COUNTIF(Paramètres!$H$11:$H$70,A106)=0),1,0)</f>
        <v>1</v>
      </c>
    </row>
    <row r="107" spans="1:3" x14ac:dyDescent="0.25">
      <c r="A107" s="61">
        <f t="shared" si="3"/>
        <v>46128</v>
      </c>
      <c r="B107" s="61">
        <f t="shared" si="2"/>
        <v>46113</v>
      </c>
      <c r="C107" s="56">
        <f>IF(AND(WEEKDAY(A107,2)&lt;6,COUNTIF(Paramètres!$H$11:$H$70,A107)=0),1,0)</f>
        <v>1</v>
      </c>
    </row>
    <row r="108" spans="1:3" x14ac:dyDescent="0.25">
      <c r="A108" s="61">
        <f t="shared" si="3"/>
        <v>46129</v>
      </c>
      <c r="B108" s="61">
        <f t="shared" si="2"/>
        <v>46113</v>
      </c>
      <c r="C108" s="56">
        <f>IF(AND(WEEKDAY(A108,2)&lt;6,COUNTIF(Paramètres!$H$11:$H$70,A108)=0),1,0)</f>
        <v>1</v>
      </c>
    </row>
    <row r="109" spans="1:3" x14ac:dyDescent="0.25">
      <c r="A109" s="61">
        <f t="shared" si="3"/>
        <v>46130</v>
      </c>
      <c r="B109" s="61">
        <f t="shared" si="2"/>
        <v>46113</v>
      </c>
      <c r="C109" s="56">
        <f>IF(AND(WEEKDAY(A109,2)&lt;6,COUNTIF(Paramètres!$H$11:$H$70,A109)=0),1,0)</f>
        <v>0</v>
      </c>
    </row>
    <row r="110" spans="1:3" x14ac:dyDescent="0.25">
      <c r="A110" s="61">
        <f t="shared" si="3"/>
        <v>46131</v>
      </c>
      <c r="B110" s="61">
        <f t="shared" si="2"/>
        <v>46113</v>
      </c>
      <c r="C110" s="56">
        <f>IF(AND(WEEKDAY(A110,2)&lt;6,COUNTIF(Paramètres!$H$11:$H$70,A110)=0),1,0)</f>
        <v>0</v>
      </c>
    </row>
    <row r="111" spans="1:3" x14ac:dyDescent="0.25">
      <c r="A111" s="61">
        <f t="shared" si="3"/>
        <v>46132</v>
      </c>
      <c r="B111" s="61">
        <f t="shared" si="2"/>
        <v>46113</v>
      </c>
      <c r="C111" s="56">
        <f>IF(AND(WEEKDAY(A111,2)&lt;6,COUNTIF(Paramètres!$H$11:$H$70,A111)=0),1,0)</f>
        <v>1</v>
      </c>
    </row>
    <row r="112" spans="1:3" x14ac:dyDescent="0.25">
      <c r="A112" s="61">
        <f t="shared" si="3"/>
        <v>46133</v>
      </c>
      <c r="B112" s="61">
        <f t="shared" si="2"/>
        <v>46113</v>
      </c>
      <c r="C112" s="56">
        <f>IF(AND(WEEKDAY(A112,2)&lt;6,COUNTIF(Paramètres!$H$11:$H$70,A112)=0),1,0)</f>
        <v>1</v>
      </c>
    </row>
    <row r="113" spans="1:3" x14ac:dyDescent="0.25">
      <c r="A113" s="61">
        <f t="shared" si="3"/>
        <v>46134</v>
      </c>
      <c r="B113" s="61">
        <f t="shared" si="2"/>
        <v>46113</v>
      </c>
      <c r="C113" s="56">
        <f>IF(AND(WEEKDAY(A113,2)&lt;6,COUNTIF(Paramètres!$H$11:$H$70,A113)=0),1,0)</f>
        <v>1</v>
      </c>
    </row>
    <row r="114" spans="1:3" x14ac:dyDescent="0.25">
      <c r="A114" s="61">
        <f t="shared" si="3"/>
        <v>46135</v>
      </c>
      <c r="B114" s="61">
        <f t="shared" si="2"/>
        <v>46113</v>
      </c>
      <c r="C114" s="56">
        <f>IF(AND(WEEKDAY(A114,2)&lt;6,COUNTIF(Paramètres!$H$11:$H$70,A114)=0),1,0)</f>
        <v>1</v>
      </c>
    </row>
    <row r="115" spans="1:3" x14ac:dyDescent="0.25">
      <c r="A115" s="61">
        <f t="shared" si="3"/>
        <v>46136</v>
      </c>
      <c r="B115" s="61">
        <f t="shared" si="2"/>
        <v>46113</v>
      </c>
      <c r="C115" s="56">
        <f>IF(AND(WEEKDAY(A115,2)&lt;6,COUNTIF(Paramètres!$H$11:$H$70,A115)=0),1,0)</f>
        <v>1</v>
      </c>
    </row>
    <row r="116" spans="1:3" x14ac:dyDescent="0.25">
      <c r="A116" s="61">
        <f t="shared" si="3"/>
        <v>46137</v>
      </c>
      <c r="B116" s="61">
        <f t="shared" si="2"/>
        <v>46113</v>
      </c>
      <c r="C116" s="56">
        <f>IF(AND(WEEKDAY(A116,2)&lt;6,COUNTIF(Paramètres!$H$11:$H$70,A116)=0),1,0)</f>
        <v>0</v>
      </c>
    </row>
    <row r="117" spans="1:3" x14ac:dyDescent="0.25">
      <c r="A117" s="61">
        <f t="shared" si="3"/>
        <v>46138</v>
      </c>
      <c r="B117" s="61">
        <f t="shared" si="2"/>
        <v>46113</v>
      </c>
      <c r="C117" s="56">
        <f>IF(AND(WEEKDAY(A117,2)&lt;6,COUNTIF(Paramètres!$H$11:$H$70,A117)=0),1,0)</f>
        <v>0</v>
      </c>
    </row>
    <row r="118" spans="1:3" x14ac:dyDescent="0.25">
      <c r="A118" s="61">
        <f t="shared" si="3"/>
        <v>46139</v>
      </c>
      <c r="B118" s="61">
        <f t="shared" si="2"/>
        <v>46113</v>
      </c>
      <c r="C118" s="56">
        <f>IF(AND(WEEKDAY(A118,2)&lt;6,COUNTIF(Paramètres!$H$11:$H$70,A118)=0),1,0)</f>
        <v>1</v>
      </c>
    </row>
    <row r="119" spans="1:3" x14ac:dyDescent="0.25">
      <c r="A119" s="61">
        <f t="shared" si="3"/>
        <v>46140</v>
      </c>
      <c r="B119" s="61">
        <f t="shared" si="2"/>
        <v>46113</v>
      </c>
      <c r="C119" s="56">
        <f>IF(AND(WEEKDAY(A119,2)&lt;6,COUNTIF(Paramètres!$H$11:$H$70,A119)=0),1,0)</f>
        <v>1</v>
      </c>
    </row>
    <row r="120" spans="1:3" x14ac:dyDescent="0.25">
      <c r="A120" s="61">
        <f t="shared" si="3"/>
        <v>46141</v>
      </c>
      <c r="B120" s="61">
        <f t="shared" si="2"/>
        <v>46113</v>
      </c>
      <c r="C120" s="56">
        <f>IF(AND(WEEKDAY(A120,2)&lt;6,COUNTIF(Paramètres!$H$11:$H$70,A120)=0),1,0)</f>
        <v>1</v>
      </c>
    </row>
    <row r="121" spans="1:3" x14ac:dyDescent="0.25">
      <c r="A121" s="61">
        <f t="shared" si="3"/>
        <v>46142</v>
      </c>
      <c r="B121" s="61">
        <f t="shared" si="2"/>
        <v>46113</v>
      </c>
      <c r="C121" s="56">
        <f>IF(AND(WEEKDAY(A121,2)&lt;6,COUNTIF(Paramètres!$H$11:$H$70,A121)=0),1,0)</f>
        <v>1</v>
      </c>
    </row>
    <row r="122" spans="1:3" x14ac:dyDescent="0.25">
      <c r="A122" s="61">
        <f t="shared" si="3"/>
        <v>46143</v>
      </c>
      <c r="B122" s="61">
        <f t="shared" si="2"/>
        <v>46143</v>
      </c>
      <c r="C122" s="56">
        <f>IF(AND(WEEKDAY(A122,2)&lt;6,COUNTIF(Paramètres!$H$11:$H$70,A122)=0),1,0)</f>
        <v>0</v>
      </c>
    </row>
    <row r="123" spans="1:3" x14ac:dyDescent="0.25">
      <c r="A123" s="61">
        <f t="shared" si="3"/>
        <v>46144</v>
      </c>
      <c r="B123" s="61">
        <f t="shared" si="2"/>
        <v>46143</v>
      </c>
      <c r="C123" s="56">
        <f>IF(AND(WEEKDAY(A123,2)&lt;6,COUNTIF(Paramètres!$H$11:$H$70,A123)=0),1,0)</f>
        <v>0</v>
      </c>
    </row>
    <row r="124" spans="1:3" x14ac:dyDescent="0.25">
      <c r="A124" s="61">
        <f t="shared" si="3"/>
        <v>46145</v>
      </c>
      <c r="B124" s="61">
        <f t="shared" si="2"/>
        <v>46143</v>
      </c>
      <c r="C124" s="56">
        <f>IF(AND(WEEKDAY(A124,2)&lt;6,COUNTIF(Paramètres!$H$11:$H$70,A124)=0),1,0)</f>
        <v>0</v>
      </c>
    </row>
    <row r="125" spans="1:3" x14ac:dyDescent="0.25">
      <c r="A125" s="61">
        <f t="shared" si="3"/>
        <v>46146</v>
      </c>
      <c r="B125" s="61">
        <f t="shared" si="2"/>
        <v>46143</v>
      </c>
      <c r="C125" s="56">
        <f>IF(AND(WEEKDAY(A125,2)&lt;6,COUNTIF(Paramètres!$H$11:$H$70,A125)=0),1,0)</f>
        <v>1</v>
      </c>
    </row>
    <row r="126" spans="1:3" x14ac:dyDescent="0.25">
      <c r="A126" s="61">
        <f t="shared" si="3"/>
        <v>46147</v>
      </c>
      <c r="B126" s="61">
        <f t="shared" si="2"/>
        <v>46143</v>
      </c>
      <c r="C126" s="56">
        <f>IF(AND(WEEKDAY(A126,2)&lt;6,COUNTIF(Paramètres!$H$11:$H$70,A126)=0),1,0)</f>
        <v>1</v>
      </c>
    </row>
    <row r="127" spans="1:3" x14ac:dyDescent="0.25">
      <c r="A127" s="61">
        <f t="shared" si="3"/>
        <v>46148</v>
      </c>
      <c r="B127" s="61">
        <f t="shared" si="2"/>
        <v>46143</v>
      </c>
      <c r="C127" s="56">
        <f>IF(AND(WEEKDAY(A127,2)&lt;6,COUNTIF(Paramètres!$H$11:$H$70,A127)=0),1,0)</f>
        <v>1</v>
      </c>
    </row>
    <row r="128" spans="1:3" x14ac:dyDescent="0.25">
      <c r="A128" s="61">
        <f t="shared" si="3"/>
        <v>46149</v>
      </c>
      <c r="B128" s="61">
        <f t="shared" si="2"/>
        <v>46143</v>
      </c>
      <c r="C128" s="56">
        <f>IF(AND(WEEKDAY(A128,2)&lt;6,COUNTIF(Paramètres!$H$11:$H$70,A128)=0),1,0)</f>
        <v>1</v>
      </c>
    </row>
    <row r="129" spans="1:3" x14ac:dyDescent="0.25">
      <c r="A129" s="61">
        <f t="shared" si="3"/>
        <v>46150</v>
      </c>
      <c r="B129" s="61">
        <f t="shared" si="2"/>
        <v>46143</v>
      </c>
      <c r="C129" s="56">
        <f>IF(AND(WEEKDAY(A129,2)&lt;6,COUNTIF(Paramètres!$H$11:$H$70,A129)=0),1,0)</f>
        <v>1</v>
      </c>
    </row>
    <row r="130" spans="1:3" x14ac:dyDescent="0.25">
      <c r="A130" s="61">
        <f t="shared" si="3"/>
        <v>46151</v>
      </c>
      <c r="B130" s="61">
        <f t="shared" ref="B130:B193" si="4">DATE(YEAR(A130),MONTH(A130),1)</f>
        <v>46143</v>
      </c>
      <c r="C130" s="56">
        <f>IF(AND(WEEKDAY(A130,2)&lt;6,COUNTIF(Paramètres!$H$11:$H$70,A130)=0),1,0)</f>
        <v>0</v>
      </c>
    </row>
    <row r="131" spans="1:3" x14ac:dyDescent="0.25">
      <c r="A131" s="61">
        <f t="shared" ref="A131:A194" si="5">A130+1</f>
        <v>46152</v>
      </c>
      <c r="B131" s="61">
        <f t="shared" si="4"/>
        <v>46143</v>
      </c>
      <c r="C131" s="56">
        <f>IF(AND(WEEKDAY(A131,2)&lt;6,COUNTIF(Paramètres!$H$11:$H$70,A131)=0),1,0)</f>
        <v>0</v>
      </c>
    </row>
    <row r="132" spans="1:3" x14ac:dyDescent="0.25">
      <c r="A132" s="61">
        <f t="shared" si="5"/>
        <v>46153</v>
      </c>
      <c r="B132" s="61">
        <f t="shared" si="4"/>
        <v>46143</v>
      </c>
      <c r="C132" s="56">
        <f>IF(AND(WEEKDAY(A132,2)&lt;6,COUNTIF(Paramètres!$H$11:$H$70,A132)=0),1,0)</f>
        <v>1</v>
      </c>
    </row>
    <row r="133" spans="1:3" x14ac:dyDescent="0.25">
      <c r="A133" s="61">
        <f t="shared" si="5"/>
        <v>46154</v>
      </c>
      <c r="B133" s="61">
        <f t="shared" si="4"/>
        <v>46143</v>
      </c>
      <c r="C133" s="56">
        <f>IF(AND(WEEKDAY(A133,2)&lt;6,COUNTIF(Paramètres!$H$11:$H$70,A133)=0),1,0)</f>
        <v>1</v>
      </c>
    </row>
    <row r="134" spans="1:3" x14ac:dyDescent="0.25">
      <c r="A134" s="61">
        <f t="shared" si="5"/>
        <v>46155</v>
      </c>
      <c r="B134" s="61">
        <f t="shared" si="4"/>
        <v>46143</v>
      </c>
      <c r="C134" s="56">
        <f>IF(AND(WEEKDAY(A134,2)&lt;6,COUNTIF(Paramètres!$H$11:$H$70,A134)=0),1,0)</f>
        <v>1</v>
      </c>
    </row>
    <row r="135" spans="1:3" x14ac:dyDescent="0.25">
      <c r="A135" s="61">
        <f t="shared" si="5"/>
        <v>46156</v>
      </c>
      <c r="B135" s="61">
        <f t="shared" si="4"/>
        <v>46143</v>
      </c>
      <c r="C135" s="56">
        <f>IF(AND(WEEKDAY(A135,2)&lt;6,COUNTIF(Paramètres!$H$11:$H$70,A135)=0),1,0)</f>
        <v>1</v>
      </c>
    </row>
    <row r="136" spans="1:3" x14ac:dyDescent="0.25">
      <c r="A136" s="61">
        <f t="shared" si="5"/>
        <v>46157</v>
      </c>
      <c r="B136" s="61">
        <f t="shared" si="4"/>
        <v>46143</v>
      </c>
      <c r="C136" s="56">
        <f>IF(AND(WEEKDAY(A136,2)&lt;6,COUNTIF(Paramètres!$H$11:$H$70,A136)=0),1,0)</f>
        <v>1</v>
      </c>
    </row>
    <row r="137" spans="1:3" x14ac:dyDescent="0.25">
      <c r="A137" s="61">
        <f t="shared" si="5"/>
        <v>46158</v>
      </c>
      <c r="B137" s="61">
        <f t="shared" si="4"/>
        <v>46143</v>
      </c>
      <c r="C137" s="56">
        <f>IF(AND(WEEKDAY(A137,2)&lt;6,COUNTIF(Paramètres!$H$11:$H$70,A137)=0),1,0)</f>
        <v>0</v>
      </c>
    </row>
    <row r="138" spans="1:3" x14ac:dyDescent="0.25">
      <c r="A138" s="61">
        <f t="shared" si="5"/>
        <v>46159</v>
      </c>
      <c r="B138" s="61">
        <f t="shared" si="4"/>
        <v>46143</v>
      </c>
      <c r="C138" s="56">
        <f>IF(AND(WEEKDAY(A138,2)&lt;6,COUNTIF(Paramètres!$H$11:$H$70,A138)=0),1,0)</f>
        <v>0</v>
      </c>
    </row>
    <row r="139" spans="1:3" x14ac:dyDescent="0.25">
      <c r="A139" s="61">
        <f t="shared" si="5"/>
        <v>46160</v>
      </c>
      <c r="B139" s="61">
        <f t="shared" si="4"/>
        <v>46143</v>
      </c>
      <c r="C139" s="56">
        <f>IF(AND(WEEKDAY(A139,2)&lt;6,COUNTIF(Paramètres!$H$11:$H$70,A139)=0),1,0)</f>
        <v>1</v>
      </c>
    </row>
    <row r="140" spans="1:3" x14ac:dyDescent="0.25">
      <c r="A140" s="61">
        <f t="shared" si="5"/>
        <v>46161</v>
      </c>
      <c r="B140" s="61">
        <f t="shared" si="4"/>
        <v>46143</v>
      </c>
      <c r="C140" s="56">
        <f>IF(AND(WEEKDAY(A140,2)&lt;6,COUNTIF(Paramètres!$H$11:$H$70,A140)=0),1,0)</f>
        <v>1</v>
      </c>
    </row>
    <row r="141" spans="1:3" x14ac:dyDescent="0.25">
      <c r="A141" s="61">
        <f t="shared" si="5"/>
        <v>46162</v>
      </c>
      <c r="B141" s="61">
        <f t="shared" si="4"/>
        <v>46143</v>
      </c>
      <c r="C141" s="56">
        <f>IF(AND(WEEKDAY(A141,2)&lt;6,COUNTIF(Paramètres!$H$11:$H$70,A141)=0),1,0)</f>
        <v>1</v>
      </c>
    </row>
    <row r="142" spans="1:3" x14ac:dyDescent="0.25">
      <c r="A142" s="61">
        <f t="shared" si="5"/>
        <v>46163</v>
      </c>
      <c r="B142" s="61">
        <f t="shared" si="4"/>
        <v>46143</v>
      </c>
      <c r="C142" s="56">
        <f>IF(AND(WEEKDAY(A142,2)&lt;6,COUNTIF(Paramètres!$H$11:$H$70,A142)=0),1,0)</f>
        <v>1</v>
      </c>
    </row>
    <row r="143" spans="1:3" x14ac:dyDescent="0.25">
      <c r="A143" s="61">
        <f t="shared" si="5"/>
        <v>46164</v>
      </c>
      <c r="B143" s="61">
        <f t="shared" si="4"/>
        <v>46143</v>
      </c>
      <c r="C143" s="56">
        <f>IF(AND(WEEKDAY(A143,2)&lt;6,COUNTIF(Paramètres!$H$11:$H$70,A143)=0),1,0)</f>
        <v>1</v>
      </c>
    </row>
    <row r="144" spans="1:3" x14ac:dyDescent="0.25">
      <c r="A144" s="61">
        <f t="shared" si="5"/>
        <v>46165</v>
      </c>
      <c r="B144" s="61">
        <f t="shared" si="4"/>
        <v>46143</v>
      </c>
      <c r="C144" s="56">
        <f>IF(AND(WEEKDAY(A144,2)&lt;6,COUNTIF(Paramètres!$H$11:$H$70,A144)=0),1,0)</f>
        <v>0</v>
      </c>
    </row>
    <row r="145" spans="1:3" x14ac:dyDescent="0.25">
      <c r="A145" s="61">
        <f t="shared" si="5"/>
        <v>46166</v>
      </c>
      <c r="B145" s="61">
        <f t="shared" si="4"/>
        <v>46143</v>
      </c>
      <c r="C145" s="56">
        <f>IF(AND(WEEKDAY(A145,2)&lt;6,COUNTIF(Paramètres!$H$11:$H$70,A145)=0),1,0)</f>
        <v>0</v>
      </c>
    </row>
    <row r="146" spans="1:3" x14ac:dyDescent="0.25">
      <c r="A146" s="61">
        <f t="shared" si="5"/>
        <v>46167</v>
      </c>
      <c r="B146" s="61">
        <f t="shared" si="4"/>
        <v>46143</v>
      </c>
      <c r="C146" s="56">
        <f>IF(AND(WEEKDAY(A146,2)&lt;6,COUNTIF(Paramètres!$H$11:$H$70,A146)=0),1,0)</f>
        <v>1</v>
      </c>
    </row>
    <row r="147" spans="1:3" x14ac:dyDescent="0.25">
      <c r="A147" s="61">
        <f t="shared" si="5"/>
        <v>46168</v>
      </c>
      <c r="B147" s="61">
        <f t="shared" si="4"/>
        <v>46143</v>
      </c>
      <c r="C147" s="56">
        <f>IF(AND(WEEKDAY(A147,2)&lt;6,COUNTIF(Paramètres!$H$11:$H$70,A147)=0),1,0)</f>
        <v>1</v>
      </c>
    </row>
    <row r="148" spans="1:3" x14ac:dyDescent="0.25">
      <c r="A148" s="61">
        <f t="shared" si="5"/>
        <v>46169</v>
      </c>
      <c r="B148" s="61">
        <f t="shared" si="4"/>
        <v>46143</v>
      </c>
      <c r="C148" s="56">
        <f>IF(AND(WEEKDAY(A148,2)&lt;6,COUNTIF(Paramètres!$H$11:$H$70,A148)=0),1,0)</f>
        <v>0</v>
      </c>
    </row>
    <row r="149" spans="1:3" x14ac:dyDescent="0.25">
      <c r="A149" s="61">
        <f t="shared" si="5"/>
        <v>46170</v>
      </c>
      <c r="B149" s="61">
        <f t="shared" si="4"/>
        <v>46143</v>
      </c>
      <c r="C149" s="56">
        <f>IF(AND(WEEKDAY(A149,2)&lt;6,COUNTIF(Paramètres!$H$11:$H$70,A149)=0),1,0)</f>
        <v>0</v>
      </c>
    </row>
    <row r="150" spans="1:3" x14ac:dyDescent="0.25">
      <c r="A150" s="61">
        <f t="shared" si="5"/>
        <v>46171</v>
      </c>
      <c r="B150" s="61">
        <f t="shared" si="4"/>
        <v>46143</v>
      </c>
      <c r="C150" s="56">
        <f>IF(AND(WEEKDAY(A150,2)&lt;6,COUNTIF(Paramètres!$H$11:$H$70,A150)=0),1,0)</f>
        <v>0</v>
      </c>
    </row>
    <row r="151" spans="1:3" x14ac:dyDescent="0.25">
      <c r="A151" s="61">
        <f t="shared" si="5"/>
        <v>46172</v>
      </c>
      <c r="B151" s="61">
        <f t="shared" si="4"/>
        <v>46143</v>
      </c>
      <c r="C151" s="56">
        <f>IF(AND(WEEKDAY(A151,2)&lt;6,COUNTIF(Paramètres!$H$11:$H$70,A151)=0),1,0)</f>
        <v>0</v>
      </c>
    </row>
    <row r="152" spans="1:3" x14ac:dyDescent="0.25">
      <c r="A152" s="61">
        <f t="shared" si="5"/>
        <v>46173</v>
      </c>
      <c r="B152" s="61">
        <f t="shared" si="4"/>
        <v>46143</v>
      </c>
      <c r="C152" s="56">
        <f>IF(AND(WEEKDAY(A152,2)&lt;6,COUNTIF(Paramètres!$H$11:$H$70,A152)=0),1,0)</f>
        <v>0</v>
      </c>
    </row>
    <row r="153" spans="1:3" x14ac:dyDescent="0.25">
      <c r="A153" s="61">
        <f t="shared" si="5"/>
        <v>46174</v>
      </c>
      <c r="B153" s="61">
        <f t="shared" si="4"/>
        <v>46174</v>
      </c>
      <c r="C153" s="56">
        <f>IF(AND(WEEKDAY(A153,2)&lt;6,COUNTIF(Paramètres!$H$11:$H$70,A153)=0),1,0)</f>
        <v>1</v>
      </c>
    </row>
    <row r="154" spans="1:3" x14ac:dyDescent="0.25">
      <c r="A154" s="61">
        <f t="shared" si="5"/>
        <v>46175</v>
      </c>
      <c r="B154" s="61">
        <f t="shared" si="4"/>
        <v>46174</v>
      </c>
      <c r="C154" s="56">
        <f>IF(AND(WEEKDAY(A154,2)&lt;6,COUNTIF(Paramètres!$H$11:$H$70,A154)=0),1,0)</f>
        <v>1</v>
      </c>
    </row>
    <row r="155" spans="1:3" x14ac:dyDescent="0.25">
      <c r="A155" s="61">
        <f t="shared" si="5"/>
        <v>46176</v>
      </c>
      <c r="B155" s="61">
        <f t="shared" si="4"/>
        <v>46174</v>
      </c>
      <c r="C155" s="56">
        <f>IF(AND(WEEKDAY(A155,2)&lt;6,COUNTIF(Paramètres!$H$11:$H$70,A155)=0),1,0)</f>
        <v>1</v>
      </c>
    </row>
    <row r="156" spans="1:3" x14ac:dyDescent="0.25">
      <c r="A156" s="61">
        <f t="shared" si="5"/>
        <v>46177</v>
      </c>
      <c r="B156" s="61">
        <f t="shared" si="4"/>
        <v>46174</v>
      </c>
      <c r="C156" s="56">
        <f>IF(AND(WEEKDAY(A156,2)&lt;6,COUNTIF(Paramètres!$H$11:$H$70,A156)=0),1,0)</f>
        <v>1</v>
      </c>
    </row>
    <row r="157" spans="1:3" x14ac:dyDescent="0.25">
      <c r="A157" s="61">
        <f t="shared" si="5"/>
        <v>46178</v>
      </c>
      <c r="B157" s="61">
        <f t="shared" si="4"/>
        <v>46174</v>
      </c>
      <c r="C157" s="56">
        <f>IF(AND(WEEKDAY(A157,2)&lt;6,COUNTIF(Paramètres!$H$11:$H$70,A157)=0),1,0)</f>
        <v>1</v>
      </c>
    </row>
    <row r="158" spans="1:3" x14ac:dyDescent="0.25">
      <c r="A158" s="61">
        <f t="shared" si="5"/>
        <v>46179</v>
      </c>
      <c r="B158" s="61">
        <f t="shared" si="4"/>
        <v>46174</v>
      </c>
      <c r="C158" s="56">
        <f>IF(AND(WEEKDAY(A158,2)&lt;6,COUNTIF(Paramètres!$H$11:$H$70,A158)=0),1,0)</f>
        <v>0</v>
      </c>
    </row>
    <row r="159" spans="1:3" x14ac:dyDescent="0.25">
      <c r="A159" s="61">
        <f t="shared" si="5"/>
        <v>46180</v>
      </c>
      <c r="B159" s="61">
        <f t="shared" si="4"/>
        <v>46174</v>
      </c>
      <c r="C159" s="56">
        <f>IF(AND(WEEKDAY(A159,2)&lt;6,COUNTIF(Paramètres!$H$11:$H$70,A159)=0),1,0)</f>
        <v>0</v>
      </c>
    </row>
    <row r="160" spans="1:3" x14ac:dyDescent="0.25">
      <c r="A160" s="61">
        <f t="shared" si="5"/>
        <v>46181</v>
      </c>
      <c r="B160" s="61">
        <f t="shared" si="4"/>
        <v>46174</v>
      </c>
      <c r="C160" s="56">
        <f>IF(AND(WEEKDAY(A160,2)&lt;6,COUNTIF(Paramètres!$H$11:$H$70,A160)=0),1,0)</f>
        <v>1</v>
      </c>
    </row>
    <row r="161" spans="1:3" x14ac:dyDescent="0.25">
      <c r="A161" s="61">
        <f t="shared" si="5"/>
        <v>46182</v>
      </c>
      <c r="B161" s="61">
        <f t="shared" si="4"/>
        <v>46174</v>
      </c>
      <c r="C161" s="56">
        <f>IF(AND(WEEKDAY(A161,2)&lt;6,COUNTIF(Paramètres!$H$11:$H$70,A161)=0),1,0)</f>
        <v>1</v>
      </c>
    </row>
    <row r="162" spans="1:3" x14ac:dyDescent="0.25">
      <c r="A162" s="61">
        <f t="shared" si="5"/>
        <v>46183</v>
      </c>
      <c r="B162" s="61">
        <f t="shared" si="4"/>
        <v>46174</v>
      </c>
      <c r="C162" s="56">
        <f>IF(AND(WEEKDAY(A162,2)&lt;6,COUNTIF(Paramètres!$H$11:$H$70,A162)=0),1,0)</f>
        <v>1</v>
      </c>
    </row>
    <row r="163" spans="1:3" x14ac:dyDescent="0.25">
      <c r="A163" s="61">
        <f t="shared" si="5"/>
        <v>46184</v>
      </c>
      <c r="B163" s="61">
        <f t="shared" si="4"/>
        <v>46174</v>
      </c>
      <c r="C163" s="56">
        <f>IF(AND(WEEKDAY(A163,2)&lt;6,COUNTIF(Paramètres!$H$11:$H$70,A163)=0),1,0)</f>
        <v>1</v>
      </c>
    </row>
    <row r="164" spans="1:3" x14ac:dyDescent="0.25">
      <c r="A164" s="61">
        <f t="shared" si="5"/>
        <v>46185</v>
      </c>
      <c r="B164" s="61">
        <f t="shared" si="4"/>
        <v>46174</v>
      </c>
      <c r="C164" s="56">
        <f>IF(AND(WEEKDAY(A164,2)&lt;6,COUNTIF(Paramètres!$H$11:$H$70,A164)=0),1,0)</f>
        <v>1</v>
      </c>
    </row>
    <row r="165" spans="1:3" x14ac:dyDescent="0.25">
      <c r="A165" s="61">
        <f t="shared" si="5"/>
        <v>46186</v>
      </c>
      <c r="B165" s="61">
        <f t="shared" si="4"/>
        <v>46174</v>
      </c>
      <c r="C165" s="56">
        <f>IF(AND(WEEKDAY(A165,2)&lt;6,COUNTIF(Paramètres!$H$11:$H$70,A165)=0),1,0)</f>
        <v>0</v>
      </c>
    </row>
    <row r="166" spans="1:3" x14ac:dyDescent="0.25">
      <c r="A166" s="61">
        <f t="shared" si="5"/>
        <v>46187</v>
      </c>
      <c r="B166" s="61">
        <f t="shared" si="4"/>
        <v>46174</v>
      </c>
      <c r="C166" s="56">
        <f>IF(AND(WEEKDAY(A166,2)&lt;6,COUNTIF(Paramètres!$H$11:$H$70,A166)=0),1,0)</f>
        <v>0</v>
      </c>
    </row>
    <row r="167" spans="1:3" x14ac:dyDescent="0.25">
      <c r="A167" s="61">
        <f t="shared" si="5"/>
        <v>46188</v>
      </c>
      <c r="B167" s="61">
        <f t="shared" si="4"/>
        <v>46174</v>
      </c>
      <c r="C167" s="56">
        <f>IF(AND(WEEKDAY(A167,2)&lt;6,COUNTIF(Paramètres!$H$11:$H$70,A167)=0),1,0)</f>
        <v>1</v>
      </c>
    </row>
    <row r="168" spans="1:3" x14ac:dyDescent="0.25">
      <c r="A168" s="61">
        <f t="shared" si="5"/>
        <v>46189</v>
      </c>
      <c r="B168" s="61">
        <f t="shared" si="4"/>
        <v>46174</v>
      </c>
      <c r="C168" s="56">
        <f>IF(AND(WEEKDAY(A168,2)&lt;6,COUNTIF(Paramètres!$H$11:$H$70,A168)=0),1,0)</f>
        <v>1</v>
      </c>
    </row>
    <row r="169" spans="1:3" x14ac:dyDescent="0.25">
      <c r="A169" s="61">
        <f t="shared" si="5"/>
        <v>46190</v>
      </c>
      <c r="B169" s="61">
        <f t="shared" si="4"/>
        <v>46174</v>
      </c>
      <c r="C169" s="56">
        <f>IF(AND(WEEKDAY(A169,2)&lt;6,COUNTIF(Paramètres!$H$11:$H$70,A169)=0),1,0)</f>
        <v>1</v>
      </c>
    </row>
    <row r="170" spans="1:3" x14ac:dyDescent="0.25">
      <c r="A170" s="61">
        <f t="shared" si="5"/>
        <v>46191</v>
      </c>
      <c r="B170" s="61">
        <f t="shared" si="4"/>
        <v>46174</v>
      </c>
      <c r="C170" s="56">
        <f>IF(AND(WEEKDAY(A170,2)&lt;6,COUNTIF(Paramètres!$H$11:$H$70,A170)=0),1,0)</f>
        <v>1</v>
      </c>
    </row>
    <row r="171" spans="1:3" x14ac:dyDescent="0.25">
      <c r="A171" s="61">
        <f t="shared" si="5"/>
        <v>46192</v>
      </c>
      <c r="B171" s="61">
        <f t="shared" si="4"/>
        <v>46174</v>
      </c>
      <c r="C171" s="56">
        <f>IF(AND(WEEKDAY(A171,2)&lt;6,COUNTIF(Paramètres!$H$11:$H$70,A171)=0),1,0)</f>
        <v>1</v>
      </c>
    </row>
    <row r="172" spans="1:3" x14ac:dyDescent="0.25">
      <c r="A172" s="61">
        <f t="shared" si="5"/>
        <v>46193</v>
      </c>
      <c r="B172" s="61">
        <f t="shared" si="4"/>
        <v>46174</v>
      </c>
      <c r="C172" s="56">
        <f>IF(AND(WEEKDAY(A172,2)&lt;6,COUNTIF(Paramètres!$H$11:$H$70,A172)=0),1,0)</f>
        <v>0</v>
      </c>
    </row>
    <row r="173" spans="1:3" x14ac:dyDescent="0.25">
      <c r="A173" s="61">
        <f t="shared" si="5"/>
        <v>46194</v>
      </c>
      <c r="B173" s="61">
        <f t="shared" si="4"/>
        <v>46174</v>
      </c>
      <c r="C173" s="56">
        <f>IF(AND(WEEKDAY(A173,2)&lt;6,COUNTIF(Paramètres!$H$11:$H$70,A173)=0),1,0)</f>
        <v>0</v>
      </c>
    </row>
    <row r="174" spans="1:3" x14ac:dyDescent="0.25">
      <c r="A174" s="61">
        <f t="shared" si="5"/>
        <v>46195</v>
      </c>
      <c r="B174" s="61">
        <f t="shared" si="4"/>
        <v>46174</v>
      </c>
      <c r="C174" s="56">
        <f>IF(AND(WEEKDAY(A174,2)&lt;6,COUNTIF(Paramètres!$H$11:$H$70,A174)=0),1,0)</f>
        <v>1</v>
      </c>
    </row>
    <row r="175" spans="1:3" x14ac:dyDescent="0.25">
      <c r="A175" s="61">
        <f t="shared" si="5"/>
        <v>46196</v>
      </c>
      <c r="B175" s="61">
        <f t="shared" si="4"/>
        <v>46174</v>
      </c>
      <c r="C175" s="56">
        <f>IF(AND(WEEKDAY(A175,2)&lt;6,COUNTIF(Paramètres!$H$11:$H$70,A175)=0),1,0)</f>
        <v>1</v>
      </c>
    </row>
    <row r="176" spans="1:3" x14ac:dyDescent="0.25">
      <c r="A176" s="61">
        <f t="shared" si="5"/>
        <v>46197</v>
      </c>
      <c r="B176" s="61">
        <f t="shared" si="4"/>
        <v>46174</v>
      </c>
      <c r="C176" s="56">
        <f>IF(AND(WEEKDAY(A176,2)&lt;6,COUNTIF(Paramètres!$H$11:$H$70,A176)=0),1,0)</f>
        <v>1</v>
      </c>
    </row>
    <row r="177" spans="1:3" x14ac:dyDescent="0.25">
      <c r="A177" s="61">
        <f t="shared" si="5"/>
        <v>46198</v>
      </c>
      <c r="B177" s="61">
        <f t="shared" si="4"/>
        <v>46174</v>
      </c>
      <c r="C177" s="56">
        <f>IF(AND(WEEKDAY(A177,2)&lt;6,COUNTIF(Paramètres!$H$11:$H$70,A177)=0),1,0)</f>
        <v>1</v>
      </c>
    </row>
    <row r="178" spans="1:3" x14ac:dyDescent="0.25">
      <c r="A178" s="61">
        <f t="shared" si="5"/>
        <v>46199</v>
      </c>
      <c r="B178" s="61">
        <f t="shared" si="4"/>
        <v>46174</v>
      </c>
      <c r="C178" s="56">
        <f>IF(AND(WEEKDAY(A178,2)&lt;6,COUNTIF(Paramètres!$H$11:$H$70,A178)=0),1,0)</f>
        <v>1</v>
      </c>
    </row>
    <row r="179" spans="1:3" x14ac:dyDescent="0.25">
      <c r="A179" s="61">
        <f t="shared" si="5"/>
        <v>46200</v>
      </c>
      <c r="B179" s="61">
        <f t="shared" si="4"/>
        <v>46174</v>
      </c>
      <c r="C179" s="56">
        <f>IF(AND(WEEKDAY(A179,2)&lt;6,COUNTIF(Paramètres!$H$11:$H$70,A179)=0),1,0)</f>
        <v>0</v>
      </c>
    </row>
    <row r="180" spans="1:3" x14ac:dyDescent="0.25">
      <c r="A180" s="61">
        <f t="shared" si="5"/>
        <v>46201</v>
      </c>
      <c r="B180" s="61">
        <f t="shared" si="4"/>
        <v>46174</v>
      </c>
      <c r="C180" s="56">
        <f>IF(AND(WEEKDAY(A180,2)&lt;6,COUNTIF(Paramètres!$H$11:$H$70,A180)=0),1,0)</f>
        <v>0</v>
      </c>
    </row>
    <row r="181" spans="1:3" x14ac:dyDescent="0.25">
      <c r="A181" s="61">
        <f t="shared" si="5"/>
        <v>46202</v>
      </c>
      <c r="B181" s="61">
        <f t="shared" si="4"/>
        <v>46174</v>
      </c>
      <c r="C181" s="56">
        <f>IF(AND(WEEKDAY(A181,2)&lt;6,COUNTIF(Paramètres!$H$11:$H$70,A181)=0),1,0)</f>
        <v>1</v>
      </c>
    </row>
    <row r="182" spans="1:3" x14ac:dyDescent="0.25">
      <c r="A182" s="61">
        <f t="shared" si="5"/>
        <v>46203</v>
      </c>
      <c r="B182" s="61">
        <f t="shared" si="4"/>
        <v>46174</v>
      </c>
      <c r="C182" s="56">
        <f>IF(AND(WEEKDAY(A182,2)&lt;6,COUNTIF(Paramètres!$H$11:$H$70,A182)=0),1,0)</f>
        <v>1</v>
      </c>
    </row>
    <row r="183" spans="1:3" x14ac:dyDescent="0.25">
      <c r="A183" s="61">
        <f t="shared" si="5"/>
        <v>46204</v>
      </c>
      <c r="B183" s="61">
        <f t="shared" si="4"/>
        <v>46204</v>
      </c>
      <c r="C183" s="56">
        <f>IF(AND(WEEKDAY(A183,2)&lt;6,COUNTIF(Paramètres!$H$11:$H$70,A183)=0),1,0)</f>
        <v>1</v>
      </c>
    </row>
    <row r="184" spans="1:3" x14ac:dyDescent="0.25">
      <c r="A184" s="61">
        <f t="shared" si="5"/>
        <v>46205</v>
      </c>
      <c r="B184" s="61">
        <f t="shared" si="4"/>
        <v>46204</v>
      </c>
      <c r="C184" s="56">
        <f>IF(AND(WEEKDAY(A184,2)&lt;6,COUNTIF(Paramètres!$H$11:$H$70,A184)=0),1,0)</f>
        <v>1</v>
      </c>
    </row>
    <row r="185" spans="1:3" x14ac:dyDescent="0.25">
      <c r="A185" s="61">
        <f t="shared" si="5"/>
        <v>46206</v>
      </c>
      <c r="B185" s="61">
        <f t="shared" si="4"/>
        <v>46204</v>
      </c>
      <c r="C185" s="56">
        <f>IF(AND(WEEKDAY(A185,2)&lt;6,COUNTIF(Paramètres!$H$11:$H$70,A185)=0),1,0)</f>
        <v>1</v>
      </c>
    </row>
    <row r="186" spans="1:3" x14ac:dyDescent="0.25">
      <c r="A186" s="61">
        <f t="shared" si="5"/>
        <v>46207</v>
      </c>
      <c r="B186" s="61">
        <f t="shared" si="4"/>
        <v>46204</v>
      </c>
      <c r="C186" s="56">
        <f>IF(AND(WEEKDAY(A186,2)&lt;6,COUNTIF(Paramètres!$H$11:$H$70,A186)=0),1,0)</f>
        <v>0</v>
      </c>
    </row>
    <row r="187" spans="1:3" x14ac:dyDescent="0.25">
      <c r="A187" s="61">
        <f t="shared" si="5"/>
        <v>46208</v>
      </c>
      <c r="B187" s="61">
        <f t="shared" si="4"/>
        <v>46204</v>
      </c>
      <c r="C187" s="56">
        <f>IF(AND(WEEKDAY(A187,2)&lt;6,COUNTIF(Paramètres!$H$11:$H$70,A187)=0),1,0)</f>
        <v>0</v>
      </c>
    </row>
    <row r="188" spans="1:3" x14ac:dyDescent="0.25">
      <c r="A188" s="61">
        <f t="shared" si="5"/>
        <v>46209</v>
      </c>
      <c r="B188" s="61">
        <f t="shared" si="4"/>
        <v>46204</v>
      </c>
      <c r="C188" s="56">
        <f>IF(AND(WEEKDAY(A188,2)&lt;6,COUNTIF(Paramètres!$H$11:$H$70,A188)=0),1,0)</f>
        <v>1</v>
      </c>
    </row>
    <row r="189" spans="1:3" x14ac:dyDescent="0.25">
      <c r="A189" s="61">
        <f t="shared" si="5"/>
        <v>46210</v>
      </c>
      <c r="B189" s="61">
        <f t="shared" si="4"/>
        <v>46204</v>
      </c>
      <c r="C189" s="56">
        <f>IF(AND(WEEKDAY(A189,2)&lt;6,COUNTIF(Paramètres!$H$11:$H$70,A189)=0),1,0)</f>
        <v>1</v>
      </c>
    </row>
    <row r="190" spans="1:3" x14ac:dyDescent="0.25">
      <c r="A190" s="61">
        <f t="shared" si="5"/>
        <v>46211</v>
      </c>
      <c r="B190" s="61">
        <f t="shared" si="4"/>
        <v>46204</v>
      </c>
      <c r="C190" s="56">
        <f>IF(AND(WEEKDAY(A190,2)&lt;6,COUNTIF(Paramètres!$H$11:$H$70,A190)=0),1,0)</f>
        <v>1</v>
      </c>
    </row>
    <row r="191" spans="1:3" x14ac:dyDescent="0.25">
      <c r="A191" s="61">
        <f t="shared" si="5"/>
        <v>46212</v>
      </c>
      <c r="B191" s="61">
        <f t="shared" si="4"/>
        <v>46204</v>
      </c>
      <c r="C191" s="56">
        <f>IF(AND(WEEKDAY(A191,2)&lt;6,COUNTIF(Paramètres!$H$11:$H$70,A191)=0),1,0)</f>
        <v>1</v>
      </c>
    </row>
    <row r="192" spans="1:3" x14ac:dyDescent="0.25">
      <c r="A192" s="61">
        <f t="shared" si="5"/>
        <v>46213</v>
      </c>
      <c r="B192" s="61">
        <f t="shared" si="4"/>
        <v>46204</v>
      </c>
      <c r="C192" s="56">
        <f>IF(AND(WEEKDAY(A192,2)&lt;6,COUNTIF(Paramètres!$H$11:$H$70,A192)=0),1,0)</f>
        <v>1</v>
      </c>
    </row>
    <row r="193" spans="1:3" x14ac:dyDescent="0.25">
      <c r="A193" s="61">
        <f t="shared" si="5"/>
        <v>46214</v>
      </c>
      <c r="B193" s="61">
        <f t="shared" si="4"/>
        <v>46204</v>
      </c>
      <c r="C193" s="56">
        <f>IF(AND(WEEKDAY(A193,2)&lt;6,COUNTIF(Paramètres!$H$11:$H$70,A193)=0),1,0)</f>
        <v>0</v>
      </c>
    </row>
    <row r="194" spans="1:3" x14ac:dyDescent="0.25">
      <c r="A194" s="61">
        <f t="shared" si="5"/>
        <v>46215</v>
      </c>
      <c r="B194" s="61">
        <f t="shared" ref="B194:B257" si="6">DATE(YEAR(A194),MONTH(A194),1)</f>
        <v>46204</v>
      </c>
      <c r="C194" s="56">
        <f>IF(AND(WEEKDAY(A194,2)&lt;6,COUNTIF(Paramètres!$H$11:$H$70,A194)=0),1,0)</f>
        <v>0</v>
      </c>
    </row>
    <row r="195" spans="1:3" x14ac:dyDescent="0.25">
      <c r="A195" s="61">
        <f t="shared" ref="A195:A258" si="7">A194+1</f>
        <v>46216</v>
      </c>
      <c r="B195" s="61">
        <f t="shared" si="6"/>
        <v>46204</v>
      </c>
      <c r="C195" s="56">
        <f>IF(AND(WEEKDAY(A195,2)&lt;6,COUNTIF(Paramètres!$H$11:$H$70,A195)=0),1,0)</f>
        <v>1</v>
      </c>
    </row>
    <row r="196" spans="1:3" x14ac:dyDescent="0.25">
      <c r="A196" s="61">
        <f t="shared" si="7"/>
        <v>46217</v>
      </c>
      <c r="B196" s="61">
        <f t="shared" si="6"/>
        <v>46204</v>
      </c>
      <c r="C196" s="56">
        <f>IF(AND(WEEKDAY(A196,2)&lt;6,COUNTIF(Paramètres!$H$11:$H$70,A196)=0),1,0)</f>
        <v>1</v>
      </c>
    </row>
    <row r="197" spans="1:3" x14ac:dyDescent="0.25">
      <c r="A197" s="61">
        <f t="shared" si="7"/>
        <v>46218</v>
      </c>
      <c r="B197" s="61">
        <f t="shared" si="6"/>
        <v>46204</v>
      </c>
      <c r="C197" s="56">
        <f>IF(AND(WEEKDAY(A197,2)&lt;6,COUNTIF(Paramètres!$H$11:$H$70,A197)=0),1,0)</f>
        <v>1</v>
      </c>
    </row>
    <row r="198" spans="1:3" x14ac:dyDescent="0.25">
      <c r="A198" s="61">
        <f t="shared" si="7"/>
        <v>46219</v>
      </c>
      <c r="B198" s="61">
        <f t="shared" si="6"/>
        <v>46204</v>
      </c>
      <c r="C198" s="56">
        <f>IF(AND(WEEKDAY(A198,2)&lt;6,COUNTIF(Paramètres!$H$11:$H$70,A198)=0),1,0)</f>
        <v>1</v>
      </c>
    </row>
    <row r="199" spans="1:3" x14ac:dyDescent="0.25">
      <c r="A199" s="61">
        <f t="shared" si="7"/>
        <v>46220</v>
      </c>
      <c r="B199" s="61">
        <f t="shared" si="6"/>
        <v>46204</v>
      </c>
      <c r="C199" s="56">
        <f>IF(AND(WEEKDAY(A199,2)&lt;6,COUNTIF(Paramètres!$H$11:$H$70,A199)=0),1,0)</f>
        <v>1</v>
      </c>
    </row>
    <row r="200" spans="1:3" x14ac:dyDescent="0.25">
      <c r="A200" s="61">
        <f t="shared" si="7"/>
        <v>46221</v>
      </c>
      <c r="B200" s="61">
        <f t="shared" si="6"/>
        <v>46204</v>
      </c>
      <c r="C200" s="56">
        <f>IF(AND(WEEKDAY(A200,2)&lt;6,COUNTIF(Paramètres!$H$11:$H$70,A200)=0),1,0)</f>
        <v>0</v>
      </c>
    </row>
    <row r="201" spans="1:3" x14ac:dyDescent="0.25">
      <c r="A201" s="61">
        <f t="shared" si="7"/>
        <v>46222</v>
      </c>
      <c r="B201" s="61">
        <f t="shared" si="6"/>
        <v>46204</v>
      </c>
      <c r="C201" s="56">
        <f>IF(AND(WEEKDAY(A201,2)&lt;6,COUNTIF(Paramètres!$H$11:$H$70,A201)=0),1,0)</f>
        <v>0</v>
      </c>
    </row>
    <row r="202" spans="1:3" x14ac:dyDescent="0.25">
      <c r="A202" s="61">
        <f t="shared" si="7"/>
        <v>46223</v>
      </c>
      <c r="B202" s="61">
        <f t="shared" si="6"/>
        <v>46204</v>
      </c>
      <c r="C202" s="56">
        <f>IF(AND(WEEKDAY(A202,2)&lt;6,COUNTIF(Paramètres!$H$11:$H$70,A202)=0),1,0)</f>
        <v>1</v>
      </c>
    </row>
    <row r="203" spans="1:3" x14ac:dyDescent="0.25">
      <c r="A203" s="61">
        <f t="shared" si="7"/>
        <v>46224</v>
      </c>
      <c r="B203" s="61">
        <f t="shared" si="6"/>
        <v>46204</v>
      </c>
      <c r="C203" s="56">
        <f>IF(AND(WEEKDAY(A203,2)&lt;6,COUNTIF(Paramètres!$H$11:$H$70,A203)=0),1,0)</f>
        <v>1</v>
      </c>
    </row>
    <row r="204" spans="1:3" x14ac:dyDescent="0.25">
      <c r="A204" s="61">
        <f t="shared" si="7"/>
        <v>46225</v>
      </c>
      <c r="B204" s="61">
        <f t="shared" si="6"/>
        <v>46204</v>
      </c>
      <c r="C204" s="56">
        <f>IF(AND(WEEKDAY(A204,2)&lt;6,COUNTIF(Paramètres!$H$11:$H$70,A204)=0),1,0)</f>
        <v>1</v>
      </c>
    </row>
    <row r="205" spans="1:3" x14ac:dyDescent="0.25">
      <c r="A205" s="61">
        <f t="shared" si="7"/>
        <v>46226</v>
      </c>
      <c r="B205" s="61">
        <f t="shared" si="6"/>
        <v>46204</v>
      </c>
      <c r="C205" s="56">
        <f>IF(AND(WEEKDAY(A205,2)&lt;6,COUNTIF(Paramètres!$H$11:$H$70,A205)=0),1,0)</f>
        <v>1</v>
      </c>
    </row>
    <row r="206" spans="1:3" x14ac:dyDescent="0.25">
      <c r="A206" s="61">
        <f t="shared" si="7"/>
        <v>46227</v>
      </c>
      <c r="B206" s="61">
        <f t="shared" si="6"/>
        <v>46204</v>
      </c>
      <c r="C206" s="56">
        <f>IF(AND(WEEKDAY(A206,2)&lt;6,COUNTIF(Paramètres!$H$11:$H$70,A206)=0),1,0)</f>
        <v>1</v>
      </c>
    </row>
    <row r="207" spans="1:3" x14ac:dyDescent="0.25">
      <c r="A207" s="61">
        <f t="shared" si="7"/>
        <v>46228</v>
      </c>
      <c r="B207" s="61">
        <f t="shared" si="6"/>
        <v>46204</v>
      </c>
      <c r="C207" s="56">
        <f>IF(AND(WEEKDAY(A207,2)&lt;6,COUNTIF(Paramètres!$H$11:$H$70,A207)=0),1,0)</f>
        <v>0</v>
      </c>
    </row>
    <row r="208" spans="1:3" x14ac:dyDescent="0.25">
      <c r="A208" s="61">
        <f t="shared" si="7"/>
        <v>46229</v>
      </c>
      <c r="B208" s="61">
        <f t="shared" si="6"/>
        <v>46204</v>
      </c>
      <c r="C208" s="56">
        <f>IF(AND(WEEKDAY(A208,2)&lt;6,COUNTIF(Paramètres!$H$11:$H$70,A208)=0),1,0)</f>
        <v>0</v>
      </c>
    </row>
    <row r="209" spans="1:3" x14ac:dyDescent="0.25">
      <c r="A209" s="61">
        <f t="shared" si="7"/>
        <v>46230</v>
      </c>
      <c r="B209" s="61">
        <f t="shared" si="6"/>
        <v>46204</v>
      </c>
      <c r="C209" s="56">
        <f>IF(AND(WEEKDAY(A209,2)&lt;6,COUNTIF(Paramètres!$H$11:$H$70,A209)=0),1,0)</f>
        <v>1</v>
      </c>
    </row>
    <row r="210" spans="1:3" x14ac:dyDescent="0.25">
      <c r="A210" s="61">
        <f t="shared" si="7"/>
        <v>46231</v>
      </c>
      <c r="B210" s="61">
        <f t="shared" si="6"/>
        <v>46204</v>
      </c>
      <c r="C210" s="56">
        <f>IF(AND(WEEKDAY(A210,2)&lt;6,COUNTIF(Paramètres!$H$11:$H$70,A210)=0),1,0)</f>
        <v>1</v>
      </c>
    </row>
    <row r="211" spans="1:3" x14ac:dyDescent="0.25">
      <c r="A211" s="61">
        <f t="shared" si="7"/>
        <v>46232</v>
      </c>
      <c r="B211" s="61">
        <f t="shared" si="6"/>
        <v>46204</v>
      </c>
      <c r="C211" s="56">
        <f>IF(AND(WEEKDAY(A211,2)&lt;6,COUNTIF(Paramètres!$H$11:$H$70,A211)=0),1,0)</f>
        <v>1</v>
      </c>
    </row>
    <row r="212" spans="1:3" x14ac:dyDescent="0.25">
      <c r="A212" s="61">
        <f t="shared" si="7"/>
        <v>46233</v>
      </c>
      <c r="B212" s="61">
        <f t="shared" si="6"/>
        <v>46204</v>
      </c>
      <c r="C212" s="56">
        <f>IF(AND(WEEKDAY(A212,2)&lt;6,COUNTIF(Paramètres!$H$11:$H$70,A212)=0),1,0)</f>
        <v>1</v>
      </c>
    </row>
    <row r="213" spans="1:3" x14ac:dyDescent="0.25">
      <c r="A213" s="61">
        <f t="shared" si="7"/>
        <v>46234</v>
      </c>
      <c r="B213" s="61">
        <f t="shared" si="6"/>
        <v>46204</v>
      </c>
      <c r="C213" s="56">
        <f>IF(AND(WEEKDAY(A213,2)&lt;6,COUNTIF(Paramètres!$H$11:$H$70,A213)=0),1,0)</f>
        <v>1</v>
      </c>
    </row>
    <row r="214" spans="1:3" x14ac:dyDescent="0.25">
      <c r="A214" s="61">
        <f t="shared" si="7"/>
        <v>46235</v>
      </c>
      <c r="B214" s="61">
        <f t="shared" si="6"/>
        <v>46235</v>
      </c>
      <c r="C214" s="56">
        <f>IF(AND(WEEKDAY(A214,2)&lt;6,COUNTIF(Paramètres!$H$11:$H$70,A214)=0),1,0)</f>
        <v>0</v>
      </c>
    </row>
    <row r="215" spans="1:3" x14ac:dyDescent="0.25">
      <c r="A215" s="61">
        <f t="shared" si="7"/>
        <v>46236</v>
      </c>
      <c r="B215" s="61">
        <f t="shared" si="6"/>
        <v>46235</v>
      </c>
      <c r="C215" s="56">
        <f>IF(AND(WEEKDAY(A215,2)&lt;6,COUNTIF(Paramètres!$H$11:$H$70,A215)=0),1,0)</f>
        <v>0</v>
      </c>
    </row>
    <row r="216" spans="1:3" x14ac:dyDescent="0.25">
      <c r="A216" s="61">
        <f t="shared" si="7"/>
        <v>46237</v>
      </c>
      <c r="B216" s="61">
        <f t="shared" si="6"/>
        <v>46235</v>
      </c>
      <c r="C216" s="56">
        <f>IF(AND(WEEKDAY(A216,2)&lt;6,COUNTIF(Paramètres!$H$11:$H$70,A216)=0),1,0)</f>
        <v>1</v>
      </c>
    </row>
    <row r="217" spans="1:3" x14ac:dyDescent="0.25">
      <c r="A217" s="61">
        <f t="shared" si="7"/>
        <v>46238</v>
      </c>
      <c r="B217" s="61">
        <f t="shared" si="6"/>
        <v>46235</v>
      </c>
      <c r="C217" s="56">
        <f>IF(AND(WEEKDAY(A217,2)&lt;6,COUNTIF(Paramètres!$H$11:$H$70,A217)=0),1,0)</f>
        <v>1</v>
      </c>
    </row>
    <row r="218" spans="1:3" x14ac:dyDescent="0.25">
      <c r="A218" s="61">
        <f t="shared" si="7"/>
        <v>46239</v>
      </c>
      <c r="B218" s="61">
        <f t="shared" si="6"/>
        <v>46235</v>
      </c>
      <c r="C218" s="56">
        <f>IF(AND(WEEKDAY(A218,2)&lt;6,COUNTIF(Paramètres!$H$11:$H$70,A218)=0),1,0)</f>
        <v>1</v>
      </c>
    </row>
    <row r="219" spans="1:3" x14ac:dyDescent="0.25">
      <c r="A219" s="61">
        <f t="shared" si="7"/>
        <v>46240</v>
      </c>
      <c r="B219" s="61">
        <f t="shared" si="6"/>
        <v>46235</v>
      </c>
      <c r="C219" s="56">
        <f>IF(AND(WEEKDAY(A219,2)&lt;6,COUNTIF(Paramètres!$H$11:$H$70,A219)=0),1,0)</f>
        <v>1</v>
      </c>
    </row>
    <row r="220" spans="1:3" x14ac:dyDescent="0.25">
      <c r="A220" s="61">
        <f t="shared" si="7"/>
        <v>46241</v>
      </c>
      <c r="B220" s="61">
        <f t="shared" si="6"/>
        <v>46235</v>
      </c>
      <c r="C220" s="56">
        <f>IF(AND(WEEKDAY(A220,2)&lt;6,COUNTIF(Paramètres!$H$11:$H$70,A220)=0),1,0)</f>
        <v>1</v>
      </c>
    </row>
    <row r="221" spans="1:3" x14ac:dyDescent="0.25">
      <c r="A221" s="61">
        <f t="shared" si="7"/>
        <v>46242</v>
      </c>
      <c r="B221" s="61">
        <f t="shared" si="6"/>
        <v>46235</v>
      </c>
      <c r="C221" s="56">
        <f>IF(AND(WEEKDAY(A221,2)&lt;6,COUNTIF(Paramètres!$H$11:$H$70,A221)=0),1,0)</f>
        <v>0</v>
      </c>
    </row>
    <row r="222" spans="1:3" x14ac:dyDescent="0.25">
      <c r="A222" s="61">
        <f t="shared" si="7"/>
        <v>46243</v>
      </c>
      <c r="B222" s="61">
        <f t="shared" si="6"/>
        <v>46235</v>
      </c>
      <c r="C222" s="56">
        <f>IF(AND(WEEKDAY(A222,2)&lt;6,COUNTIF(Paramètres!$H$11:$H$70,A222)=0),1,0)</f>
        <v>0</v>
      </c>
    </row>
    <row r="223" spans="1:3" x14ac:dyDescent="0.25">
      <c r="A223" s="61">
        <f t="shared" si="7"/>
        <v>46244</v>
      </c>
      <c r="B223" s="61">
        <f t="shared" si="6"/>
        <v>46235</v>
      </c>
      <c r="C223" s="56">
        <f>IF(AND(WEEKDAY(A223,2)&lt;6,COUNTIF(Paramètres!$H$11:$H$70,A223)=0),1,0)</f>
        <v>0</v>
      </c>
    </row>
    <row r="224" spans="1:3" x14ac:dyDescent="0.25">
      <c r="A224" s="61">
        <f t="shared" si="7"/>
        <v>46245</v>
      </c>
      <c r="B224" s="61">
        <f t="shared" si="6"/>
        <v>46235</v>
      </c>
      <c r="C224" s="56">
        <f>IF(AND(WEEKDAY(A224,2)&lt;6,COUNTIF(Paramètres!$H$11:$H$70,A224)=0),1,0)</f>
        <v>0</v>
      </c>
    </row>
    <row r="225" spans="1:3" x14ac:dyDescent="0.25">
      <c r="A225" s="61">
        <f t="shared" si="7"/>
        <v>46246</v>
      </c>
      <c r="B225" s="61">
        <f t="shared" si="6"/>
        <v>46235</v>
      </c>
      <c r="C225" s="56">
        <f>IF(AND(WEEKDAY(A225,2)&lt;6,COUNTIF(Paramètres!$H$11:$H$70,A225)=0),1,0)</f>
        <v>0</v>
      </c>
    </row>
    <row r="226" spans="1:3" x14ac:dyDescent="0.25">
      <c r="A226" s="61">
        <f t="shared" si="7"/>
        <v>46247</v>
      </c>
      <c r="B226" s="61">
        <f t="shared" si="6"/>
        <v>46235</v>
      </c>
      <c r="C226" s="56">
        <f>IF(AND(WEEKDAY(A226,2)&lt;6,COUNTIF(Paramètres!$H$11:$H$70,A226)=0),1,0)</f>
        <v>0</v>
      </c>
    </row>
    <row r="227" spans="1:3" x14ac:dyDescent="0.25">
      <c r="A227" s="61">
        <f t="shared" si="7"/>
        <v>46248</v>
      </c>
      <c r="B227" s="61">
        <f t="shared" si="6"/>
        <v>46235</v>
      </c>
      <c r="C227" s="56">
        <f>IF(AND(WEEKDAY(A227,2)&lt;6,COUNTIF(Paramètres!$H$11:$H$70,A227)=0),1,0)</f>
        <v>0</v>
      </c>
    </row>
    <row r="228" spans="1:3" x14ac:dyDescent="0.25">
      <c r="A228" s="61">
        <f t="shared" si="7"/>
        <v>46249</v>
      </c>
      <c r="B228" s="61">
        <f t="shared" si="6"/>
        <v>46235</v>
      </c>
      <c r="C228" s="56">
        <f>IF(AND(WEEKDAY(A228,2)&lt;6,COUNTIF(Paramètres!$H$11:$H$70,A228)=0),1,0)</f>
        <v>0</v>
      </c>
    </row>
    <row r="229" spans="1:3" x14ac:dyDescent="0.25">
      <c r="A229" s="61">
        <f t="shared" si="7"/>
        <v>46250</v>
      </c>
      <c r="B229" s="61">
        <f t="shared" si="6"/>
        <v>46235</v>
      </c>
      <c r="C229" s="56">
        <f>IF(AND(WEEKDAY(A229,2)&lt;6,COUNTIF(Paramètres!$H$11:$H$70,A229)=0),1,0)</f>
        <v>0</v>
      </c>
    </row>
    <row r="230" spans="1:3" x14ac:dyDescent="0.25">
      <c r="A230" s="61">
        <f t="shared" si="7"/>
        <v>46251</v>
      </c>
      <c r="B230" s="61">
        <f t="shared" si="6"/>
        <v>46235</v>
      </c>
      <c r="C230" s="56">
        <f>IF(AND(WEEKDAY(A230,2)&lt;6,COUNTIF(Paramètres!$H$11:$H$70,A230)=0),1,0)</f>
        <v>0</v>
      </c>
    </row>
    <row r="231" spans="1:3" x14ac:dyDescent="0.25">
      <c r="A231" s="61">
        <f t="shared" si="7"/>
        <v>46252</v>
      </c>
      <c r="B231" s="61">
        <f t="shared" si="6"/>
        <v>46235</v>
      </c>
      <c r="C231" s="56">
        <f>IF(AND(WEEKDAY(A231,2)&lt;6,COUNTIF(Paramètres!$H$11:$H$70,A231)=0),1,0)</f>
        <v>0</v>
      </c>
    </row>
    <row r="232" spans="1:3" x14ac:dyDescent="0.25">
      <c r="A232" s="61">
        <f t="shared" si="7"/>
        <v>46253</v>
      </c>
      <c r="B232" s="61">
        <f t="shared" si="6"/>
        <v>46235</v>
      </c>
      <c r="C232" s="56">
        <f>IF(AND(WEEKDAY(A232,2)&lt;6,COUNTIF(Paramètres!$H$11:$H$70,A232)=0),1,0)</f>
        <v>0</v>
      </c>
    </row>
    <row r="233" spans="1:3" x14ac:dyDescent="0.25">
      <c r="A233" s="61">
        <f t="shared" si="7"/>
        <v>46254</v>
      </c>
      <c r="B233" s="61">
        <f t="shared" si="6"/>
        <v>46235</v>
      </c>
      <c r="C233" s="56">
        <f>IF(AND(WEEKDAY(A233,2)&lt;6,COUNTIF(Paramètres!$H$11:$H$70,A233)=0),1,0)</f>
        <v>0</v>
      </c>
    </row>
    <row r="234" spans="1:3" x14ac:dyDescent="0.25">
      <c r="A234" s="61">
        <f t="shared" si="7"/>
        <v>46255</v>
      </c>
      <c r="B234" s="61">
        <f t="shared" si="6"/>
        <v>46235</v>
      </c>
      <c r="C234" s="56">
        <f>IF(AND(WEEKDAY(A234,2)&lt;6,COUNTIF(Paramètres!$H$11:$H$70,A234)=0),1,0)</f>
        <v>0</v>
      </c>
    </row>
    <row r="235" spans="1:3" x14ac:dyDescent="0.25">
      <c r="A235" s="61">
        <f t="shared" si="7"/>
        <v>46256</v>
      </c>
      <c r="B235" s="61">
        <f t="shared" si="6"/>
        <v>46235</v>
      </c>
      <c r="C235" s="56">
        <f>IF(AND(WEEKDAY(A235,2)&lt;6,COUNTIF(Paramètres!$H$11:$H$70,A235)=0),1,0)</f>
        <v>0</v>
      </c>
    </row>
    <row r="236" spans="1:3" x14ac:dyDescent="0.25">
      <c r="A236" s="61">
        <f t="shared" si="7"/>
        <v>46257</v>
      </c>
      <c r="B236" s="61">
        <f t="shared" si="6"/>
        <v>46235</v>
      </c>
      <c r="C236" s="56">
        <f>IF(AND(WEEKDAY(A236,2)&lt;6,COUNTIF(Paramètres!$H$11:$H$70,A236)=0),1,0)</f>
        <v>0</v>
      </c>
    </row>
    <row r="237" spans="1:3" x14ac:dyDescent="0.25">
      <c r="A237" s="61">
        <f t="shared" si="7"/>
        <v>46258</v>
      </c>
      <c r="B237" s="61">
        <f t="shared" si="6"/>
        <v>46235</v>
      </c>
      <c r="C237" s="56">
        <f>IF(AND(WEEKDAY(A237,2)&lt;6,COUNTIF(Paramètres!$H$11:$H$70,A237)=0),1,0)</f>
        <v>0</v>
      </c>
    </row>
    <row r="238" spans="1:3" x14ac:dyDescent="0.25">
      <c r="A238" s="61">
        <f t="shared" si="7"/>
        <v>46259</v>
      </c>
      <c r="B238" s="61">
        <f t="shared" si="6"/>
        <v>46235</v>
      </c>
      <c r="C238" s="56">
        <f>IF(AND(WEEKDAY(A238,2)&lt;6,COUNTIF(Paramètres!$H$11:$H$70,A238)=0),1,0)</f>
        <v>0</v>
      </c>
    </row>
    <row r="239" spans="1:3" x14ac:dyDescent="0.25">
      <c r="A239" s="61">
        <f t="shared" si="7"/>
        <v>46260</v>
      </c>
      <c r="B239" s="61">
        <f t="shared" si="6"/>
        <v>46235</v>
      </c>
      <c r="C239" s="56">
        <f>IF(AND(WEEKDAY(A239,2)&lt;6,COUNTIF(Paramètres!$H$11:$H$70,A239)=0),1,0)</f>
        <v>0</v>
      </c>
    </row>
    <row r="240" spans="1:3" x14ac:dyDescent="0.25">
      <c r="A240" s="61">
        <f t="shared" si="7"/>
        <v>46261</v>
      </c>
      <c r="B240" s="61">
        <f t="shared" si="6"/>
        <v>46235</v>
      </c>
      <c r="C240" s="56">
        <f>IF(AND(WEEKDAY(A240,2)&lt;6,COUNTIF(Paramètres!$H$11:$H$70,A240)=0),1,0)</f>
        <v>1</v>
      </c>
    </row>
    <row r="241" spans="1:3" x14ac:dyDescent="0.25">
      <c r="A241" s="61">
        <f t="shared" si="7"/>
        <v>46262</v>
      </c>
      <c r="B241" s="61">
        <f t="shared" si="6"/>
        <v>46235</v>
      </c>
      <c r="C241" s="56">
        <f>IF(AND(WEEKDAY(A241,2)&lt;6,COUNTIF(Paramètres!$H$11:$H$70,A241)=0),1,0)</f>
        <v>1</v>
      </c>
    </row>
    <row r="242" spans="1:3" x14ac:dyDescent="0.25">
      <c r="A242" s="61">
        <f t="shared" si="7"/>
        <v>46263</v>
      </c>
      <c r="B242" s="61">
        <f t="shared" si="6"/>
        <v>46235</v>
      </c>
      <c r="C242" s="56">
        <f>IF(AND(WEEKDAY(A242,2)&lt;6,COUNTIF(Paramètres!$H$11:$H$70,A242)=0),1,0)</f>
        <v>0</v>
      </c>
    </row>
    <row r="243" spans="1:3" x14ac:dyDescent="0.25">
      <c r="A243" s="61">
        <f t="shared" si="7"/>
        <v>46264</v>
      </c>
      <c r="B243" s="61">
        <f t="shared" si="6"/>
        <v>46235</v>
      </c>
      <c r="C243" s="56">
        <f>IF(AND(WEEKDAY(A243,2)&lt;6,COUNTIF(Paramètres!$H$11:$H$70,A243)=0),1,0)</f>
        <v>0</v>
      </c>
    </row>
    <row r="244" spans="1:3" x14ac:dyDescent="0.25">
      <c r="A244" s="61">
        <f t="shared" si="7"/>
        <v>46265</v>
      </c>
      <c r="B244" s="61">
        <f t="shared" si="6"/>
        <v>46235</v>
      </c>
      <c r="C244" s="56">
        <f>IF(AND(WEEKDAY(A244,2)&lt;6,COUNTIF(Paramètres!$H$11:$H$70,A244)=0),1,0)</f>
        <v>1</v>
      </c>
    </row>
    <row r="245" spans="1:3" x14ac:dyDescent="0.25">
      <c r="A245" s="61">
        <f t="shared" si="7"/>
        <v>46266</v>
      </c>
      <c r="B245" s="61">
        <f t="shared" si="6"/>
        <v>46266</v>
      </c>
      <c r="C245" s="56">
        <f>IF(AND(WEEKDAY(A245,2)&lt;6,COUNTIF(Paramètres!$H$11:$H$70,A245)=0),1,0)</f>
        <v>1</v>
      </c>
    </row>
    <row r="246" spans="1:3" x14ac:dyDescent="0.25">
      <c r="A246" s="61">
        <f t="shared" si="7"/>
        <v>46267</v>
      </c>
      <c r="B246" s="61">
        <f t="shared" si="6"/>
        <v>46266</v>
      </c>
      <c r="C246" s="56">
        <f>IF(AND(WEEKDAY(A246,2)&lt;6,COUNTIF(Paramètres!$H$11:$H$70,A246)=0),1,0)</f>
        <v>1</v>
      </c>
    </row>
    <row r="247" spans="1:3" x14ac:dyDescent="0.25">
      <c r="A247" s="61">
        <f t="shared" si="7"/>
        <v>46268</v>
      </c>
      <c r="B247" s="61">
        <f t="shared" si="6"/>
        <v>46266</v>
      </c>
      <c r="C247" s="56">
        <f>IF(AND(WEEKDAY(A247,2)&lt;6,COUNTIF(Paramètres!$H$11:$H$70,A247)=0),1,0)</f>
        <v>1</v>
      </c>
    </row>
    <row r="248" spans="1:3" x14ac:dyDescent="0.25">
      <c r="A248" s="61">
        <f t="shared" si="7"/>
        <v>46269</v>
      </c>
      <c r="B248" s="61">
        <f t="shared" si="6"/>
        <v>46266</v>
      </c>
      <c r="C248" s="56">
        <f>IF(AND(WEEKDAY(A248,2)&lt;6,COUNTIF(Paramètres!$H$11:$H$70,A248)=0),1,0)</f>
        <v>1</v>
      </c>
    </row>
    <row r="249" spans="1:3" x14ac:dyDescent="0.25">
      <c r="A249" s="61">
        <f t="shared" si="7"/>
        <v>46270</v>
      </c>
      <c r="B249" s="61">
        <f t="shared" si="6"/>
        <v>46266</v>
      </c>
      <c r="C249" s="56">
        <f>IF(AND(WEEKDAY(A249,2)&lt;6,COUNTIF(Paramètres!$H$11:$H$70,A249)=0),1,0)</f>
        <v>0</v>
      </c>
    </row>
    <row r="250" spans="1:3" x14ac:dyDescent="0.25">
      <c r="A250" s="61">
        <f t="shared" si="7"/>
        <v>46271</v>
      </c>
      <c r="B250" s="61">
        <f t="shared" si="6"/>
        <v>46266</v>
      </c>
      <c r="C250" s="56">
        <f>IF(AND(WEEKDAY(A250,2)&lt;6,COUNTIF(Paramètres!$H$11:$H$70,A250)=0),1,0)</f>
        <v>0</v>
      </c>
    </row>
    <row r="251" spans="1:3" x14ac:dyDescent="0.25">
      <c r="A251" s="61">
        <f t="shared" si="7"/>
        <v>46272</v>
      </c>
      <c r="B251" s="61">
        <f t="shared" si="6"/>
        <v>46266</v>
      </c>
      <c r="C251" s="56">
        <f>IF(AND(WEEKDAY(A251,2)&lt;6,COUNTIF(Paramètres!$H$11:$H$70,A251)=0),1,0)</f>
        <v>1</v>
      </c>
    </row>
    <row r="252" spans="1:3" x14ac:dyDescent="0.25">
      <c r="A252" s="61">
        <f t="shared" si="7"/>
        <v>46273</v>
      </c>
      <c r="B252" s="61">
        <f t="shared" si="6"/>
        <v>46266</v>
      </c>
      <c r="C252" s="56">
        <f>IF(AND(WEEKDAY(A252,2)&lt;6,COUNTIF(Paramètres!$H$11:$H$70,A252)=0),1,0)</f>
        <v>1</v>
      </c>
    </row>
    <row r="253" spans="1:3" x14ac:dyDescent="0.25">
      <c r="A253" s="61">
        <f t="shared" si="7"/>
        <v>46274</v>
      </c>
      <c r="B253" s="61">
        <f t="shared" si="6"/>
        <v>46266</v>
      </c>
      <c r="C253" s="56">
        <f>IF(AND(WEEKDAY(A253,2)&lt;6,COUNTIF(Paramètres!$H$11:$H$70,A253)=0),1,0)</f>
        <v>1</v>
      </c>
    </row>
    <row r="254" spans="1:3" x14ac:dyDescent="0.25">
      <c r="A254" s="61">
        <f t="shared" si="7"/>
        <v>46275</v>
      </c>
      <c r="B254" s="61">
        <f t="shared" si="6"/>
        <v>46266</v>
      </c>
      <c r="C254" s="56">
        <f>IF(AND(WEEKDAY(A254,2)&lt;6,COUNTIF(Paramètres!$H$11:$H$70,A254)=0),1,0)</f>
        <v>1</v>
      </c>
    </row>
    <row r="255" spans="1:3" x14ac:dyDescent="0.25">
      <c r="A255" s="61">
        <f t="shared" si="7"/>
        <v>46276</v>
      </c>
      <c r="B255" s="61">
        <f t="shared" si="6"/>
        <v>46266</v>
      </c>
      <c r="C255" s="56">
        <f>IF(AND(WEEKDAY(A255,2)&lt;6,COUNTIF(Paramètres!$H$11:$H$70,A255)=0),1,0)</f>
        <v>1</v>
      </c>
    </row>
    <row r="256" spans="1:3" x14ac:dyDescent="0.25">
      <c r="A256" s="61">
        <f t="shared" si="7"/>
        <v>46277</v>
      </c>
      <c r="B256" s="61">
        <f t="shared" si="6"/>
        <v>46266</v>
      </c>
      <c r="C256" s="56">
        <f>IF(AND(WEEKDAY(A256,2)&lt;6,COUNTIF(Paramètres!$H$11:$H$70,A256)=0),1,0)</f>
        <v>0</v>
      </c>
    </row>
    <row r="257" spans="1:3" x14ac:dyDescent="0.25">
      <c r="A257" s="61">
        <f t="shared" si="7"/>
        <v>46278</v>
      </c>
      <c r="B257" s="61">
        <f t="shared" si="6"/>
        <v>46266</v>
      </c>
      <c r="C257" s="56">
        <f>IF(AND(WEEKDAY(A257,2)&lt;6,COUNTIF(Paramètres!$H$11:$H$70,A257)=0),1,0)</f>
        <v>0</v>
      </c>
    </row>
    <row r="258" spans="1:3" x14ac:dyDescent="0.25">
      <c r="A258" s="61">
        <f t="shared" si="7"/>
        <v>46279</v>
      </c>
      <c r="B258" s="61">
        <f t="shared" ref="B258:B321" si="8">DATE(YEAR(A258),MONTH(A258),1)</f>
        <v>46266</v>
      </c>
      <c r="C258" s="56">
        <f>IF(AND(WEEKDAY(A258,2)&lt;6,COUNTIF(Paramètres!$H$11:$H$70,A258)=0),1,0)</f>
        <v>1</v>
      </c>
    </row>
    <row r="259" spans="1:3" x14ac:dyDescent="0.25">
      <c r="A259" s="61">
        <f t="shared" ref="A259:A322" si="9">A258+1</f>
        <v>46280</v>
      </c>
      <c r="B259" s="61">
        <f t="shared" si="8"/>
        <v>46266</v>
      </c>
      <c r="C259" s="56">
        <f>IF(AND(WEEKDAY(A259,2)&lt;6,COUNTIF(Paramètres!$H$11:$H$70,A259)=0),1,0)</f>
        <v>1</v>
      </c>
    </row>
    <row r="260" spans="1:3" x14ac:dyDescent="0.25">
      <c r="A260" s="61">
        <f t="shared" si="9"/>
        <v>46281</v>
      </c>
      <c r="B260" s="61">
        <f t="shared" si="8"/>
        <v>46266</v>
      </c>
      <c r="C260" s="56">
        <f>IF(AND(WEEKDAY(A260,2)&lt;6,COUNTIF(Paramètres!$H$11:$H$70,A260)=0),1,0)</f>
        <v>1</v>
      </c>
    </row>
    <row r="261" spans="1:3" x14ac:dyDescent="0.25">
      <c r="A261" s="61">
        <f t="shared" si="9"/>
        <v>46282</v>
      </c>
      <c r="B261" s="61">
        <f t="shared" si="8"/>
        <v>46266</v>
      </c>
      <c r="C261" s="56">
        <f>IF(AND(WEEKDAY(A261,2)&lt;6,COUNTIF(Paramètres!$H$11:$H$70,A261)=0),1,0)</f>
        <v>1</v>
      </c>
    </row>
    <row r="262" spans="1:3" x14ac:dyDescent="0.25">
      <c r="A262" s="61">
        <f t="shared" si="9"/>
        <v>46283</v>
      </c>
      <c r="B262" s="61">
        <f t="shared" si="8"/>
        <v>46266</v>
      </c>
      <c r="C262" s="56">
        <f>IF(AND(WEEKDAY(A262,2)&lt;6,COUNTIF(Paramètres!$H$11:$H$70,A262)=0),1,0)</f>
        <v>1</v>
      </c>
    </row>
    <row r="263" spans="1:3" x14ac:dyDescent="0.25">
      <c r="A263" s="61">
        <f t="shared" si="9"/>
        <v>46284</v>
      </c>
      <c r="B263" s="61">
        <f t="shared" si="8"/>
        <v>46266</v>
      </c>
      <c r="C263" s="56">
        <f>IF(AND(WEEKDAY(A263,2)&lt;6,COUNTIF(Paramètres!$H$11:$H$70,A263)=0),1,0)</f>
        <v>0</v>
      </c>
    </row>
    <row r="264" spans="1:3" x14ac:dyDescent="0.25">
      <c r="A264" s="61">
        <f t="shared" si="9"/>
        <v>46285</v>
      </c>
      <c r="B264" s="61">
        <f t="shared" si="8"/>
        <v>46266</v>
      </c>
      <c r="C264" s="56">
        <f>IF(AND(WEEKDAY(A264,2)&lt;6,COUNTIF(Paramètres!$H$11:$H$70,A264)=0),1,0)</f>
        <v>0</v>
      </c>
    </row>
    <row r="265" spans="1:3" x14ac:dyDescent="0.25">
      <c r="A265" s="61">
        <f t="shared" si="9"/>
        <v>46286</v>
      </c>
      <c r="B265" s="61">
        <f t="shared" si="8"/>
        <v>46266</v>
      </c>
      <c r="C265" s="56">
        <f>IF(AND(WEEKDAY(A265,2)&lt;6,COUNTIF(Paramètres!$H$11:$H$70,A265)=0),1,0)</f>
        <v>1</v>
      </c>
    </row>
    <row r="266" spans="1:3" x14ac:dyDescent="0.25">
      <c r="A266" s="61">
        <f t="shared" si="9"/>
        <v>46287</v>
      </c>
      <c r="B266" s="61">
        <f t="shared" si="8"/>
        <v>46266</v>
      </c>
      <c r="C266" s="56">
        <f>IF(AND(WEEKDAY(A266,2)&lt;6,COUNTIF(Paramètres!$H$11:$H$70,A266)=0),1,0)</f>
        <v>1</v>
      </c>
    </row>
    <row r="267" spans="1:3" x14ac:dyDescent="0.25">
      <c r="A267" s="61">
        <f t="shared" si="9"/>
        <v>46288</v>
      </c>
      <c r="B267" s="61">
        <f t="shared" si="8"/>
        <v>46266</v>
      </c>
      <c r="C267" s="56">
        <f>IF(AND(WEEKDAY(A267,2)&lt;6,COUNTIF(Paramètres!$H$11:$H$70,A267)=0),1,0)</f>
        <v>1</v>
      </c>
    </row>
    <row r="268" spans="1:3" x14ac:dyDescent="0.25">
      <c r="A268" s="61">
        <f t="shared" si="9"/>
        <v>46289</v>
      </c>
      <c r="B268" s="61">
        <f t="shared" si="8"/>
        <v>46266</v>
      </c>
      <c r="C268" s="56">
        <f>IF(AND(WEEKDAY(A268,2)&lt;6,COUNTIF(Paramètres!$H$11:$H$70,A268)=0),1,0)</f>
        <v>1</v>
      </c>
    </row>
    <row r="269" spans="1:3" x14ac:dyDescent="0.25">
      <c r="A269" s="61">
        <f t="shared" si="9"/>
        <v>46290</v>
      </c>
      <c r="B269" s="61">
        <f t="shared" si="8"/>
        <v>46266</v>
      </c>
      <c r="C269" s="56">
        <f>IF(AND(WEEKDAY(A269,2)&lt;6,COUNTIF(Paramètres!$H$11:$H$70,A269)=0),1,0)</f>
        <v>1</v>
      </c>
    </row>
    <row r="270" spans="1:3" x14ac:dyDescent="0.25">
      <c r="A270" s="61">
        <f t="shared" si="9"/>
        <v>46291</v>
      </c>
      <c r="B270" s="61">
        <f t="shared" si="8"/>
        <v>46266</v>
      </c>
      <c r="C270" s="56">
        <f>IF(AND(WEEKDAY(A270,2)&lt;6,COUNTIF(Paramètres!$H$11:$H$70,A270)=0),1,0)</f>
        <v>0</v>
      </c>
    </row>
    <row r="271" spans="1:3" x14ac:dyDescent="0.25">
      <c r="A271" s="61">
        <f t="shared" si="9"/>
        <v>46292</v>
      </c>
      <c r="B271" s="61">
        <f t="shared" si="8"/>
        <v>46266</v>
      </c>
      <c r="C271" s="56">
        <f>IF(AND(WEEKDAY(A271,2)&lt;6,COUNTIF(Paramètres!$H$11:$H$70,A271)=0),1,0)</f>
        <v>0</v>
      </c>
    </row>
    <row r="272" spans="1:3" x14ac:dyDescent="0.25">
      <c r="A272" s="61">
        <f t="shared" si="9"/>
        <v>46293</v>
      </c>
      <c r="B272" s="61">
        <f t="shared" si="8"/>
        <v>46266</v>
      </c>
      <c r="C272" s="56">
        <f>IF(AND(WEEKDAY(A272,2)&lt;6,COUNTIF(Paramètres!$H$11:$H$70,A272)=0),1,0)</f>
        <v>1</v>
      </c>
    </row>
    <row r="273" spans="1:3" x14ac:dyDescent="0.25">
      <c r="A273" s="61">
        <f t="shared" si="9"/>
        <v>46294</v>
      </c>
      <c r="B273" s="61">
        <f t="shared" si="8"/>
        <v>46266</v>
      </c>
      <c r="C273" s="56">
        <f>IF(AND(WEEKDAY(A273,2)&lt;6,COUNTIF(Paramètres!$H$11:$H$70,A273)=0),1,0)</f>
        <v>1</v>
      </c>
    </row>
    <row r="274" spans="1:3" x14ac:dyDescent="0.25">
      <c r="A274" s="61">
        <f t="shared" si="9"/>
        <v>46295</v>
      </c>
      <c r="B274" s="61">
        <f t="shared" si="8"/>
        <v>46266</v>
      </c>
      <c r="C274" s="56">
        <f>IF(AND(WEEKDAY(A274,2)&lt;6,COUNTIF(Paramètres!$H$11:$H$70,A274)=0),1,0)</f>
        <v>1</v>
      </c>
    </row>
    <row r="275" spans="1:3" x14ac:dyDescent="0.25">
      <c r="A275" s="61">
        <f t="shared" si="9"/>
        <v>46296</v>
      </c>
      <c r="B275" s="61">
        <f t="shared" si="8"/>
        <v>46296</v>
      </c>
      <c r="C275" s="56">
        <f>IF(AND(WEEKDAY(A275,2)&lt;6,COUNTIF(Paramètres!$H$11:$H$70,A275)=0),1,0)</f>
        <v>1</v>
      </c>
    </row>
    <row r="276" spans="1:3" x14ac:dyDescent="0.25">
      <c r="A276" s="61">
        <f t="shared" si="9"/>
        <v>46297</v>
      </c>
      <c r="B276" s="61">
        <f t="shared" si="8"/>
        <v>46296</v>
      </c>
      <c r="C276" s="56">
        <f>IF(AND(WEEKDAY(A276,2)&lt;6,COUNTIF(Paramètres!$H$11:$H$70,A276)=0),1,0)</f>
        <v>1</v>
      </c>
    </row>
    <row r="277" spans="1:3" x14ac:dyDescent="0.25">
      <c r="A277" s="61">
        <f t="shared" si="9"/>
        <v>46298</v>
      </c>
      <c r="B277" s="61">
        <f t="shared" si="8"/>
        <v>46296</v>
      </c>
      <c r="C277" s="56">
        <f>IF(AND(WEEKDAY(A277,2)&lt;6,COUNTIF(Paramètres!$H$11:$H$70,A277)=0),1,0)</f>
        <v>0</v>
      </c>
    </row>
    <row r="278" spans="1:3" x14ac:dyDescent="0.25">
      <c r="A278" s="61">
        <f t="shared" si="9"/>
        <v>46299</v>
      </c>
      <c r="B278" s="61">
        <f t="shared" si="8"/>
        <v>46296</v>
      </c>
      <c r="C278" s="56">
        <f>IF(AND(WEEKDAY(A278,2)&lt;6,COUNTIF(Paramètres!$H$11:$H$70,A278)=0),1,0)</f>
        <v>0</v>
      </c>
    </row>
    <row r="279" spans="1:3" x14ac:dyDescent="0.25">
      <c r="A279" s="61">
        <f t="shared" si="9"/>
        <v>46300</v>
      </c>
      <c r="B279" s="61">
        <f t="shared" si="8"/>
        <v>46296</v>
      </c>
      <c r="C279" s="56">
        <f>IF(AND(WEEKDAY(A279,2)&lt;6,COUNTIF(Paramètres!$H$11:$H$70,A279)=0),1,0)</f>
        <v>1</v>
      </c>
    </row>
    <row r="280" spans="1:3" x14ac:dyDescent="0.25">
      <c r="A280" s="61">
        <f t="shared" si="9"/>
        <v>46301</v>
      </c>
      <c r="B280" s="61">
        <f t="shared" si="8"/>
        <v>46296</v>
      </c>
      <c r="C280" s="56">
        <f>IF(AND(WEEKDAY(A280,2)&lt;6,COUNTIF(Paramètres!$H$11:$H$70,A280)=0),1,0)</f>
        <v>1</v>
      </c>
    </row>
    <row r="281" spans="1:3" x14ac:dyDescent="0.25">
      <c r="A281" s="61">
        <f t="shared" si="9"/>
        <v>46302</v>
      </c>
      <c r="B281" s="61">
        <f t="shared" si="8"/>
        <v>46296</v>
      </c>
      <c r="C281" s="56">
        <f>IF(AND(WEEKDAY(A281,2)&lt;6,COUNTIF(Paramètres!$H$11:$H$70,A281)=0),1,0)</f>
        <v>1</v>
      </c>
    </row>
    <row r="282" spans="1:3" x14ac:dyDescent="0.25">
      <c r="A282" s="61">
        <f t="shared" si="9"/>
        <v>46303</v>
      </c>
      <c r="B282" s="61">
        <f t="shared" si="8"/>
        <v>46296</v>
      </c>
      <c r="C282" s="56">
        <f>IF(AND(WEEKDAY(A282,2)&lt;6,COUNTIF(Paramètres!$H$11:$H$70,A282)=0),1,0)</f>
        <v>1</v>
      </c>
    </row>
    <row r="283" spans="1:3" x14ac:dyDescent="0.25">
      <c r="A283" s="61">
        <f t="shared" si="9"/>
        <v>46304</v>
      </c>
      <c r="B283" s="61">
        <f t="shared" si="8"/>
        <v>46296</v>
      </c>
      <c r="C283" s="56">
        <f>IF(AND(WEEKDAY(A283,2)&lt;6,COUNTIF(Paramètres!$H$11:$H$70,A283)=0),1,0)</f>
        <v>1</v>
      </c>
    </row>
    <row r="284" spans="1:3" x14ac:dyDescent="0.25">
      <c r="A284" s="61">
        <f t="shared" si="9"/>
        <v>46305</v>
      </c>
      <c r="B284" s="61">
        <f t="shared" si="8"/>
        <v>46296</v>
      </c>
      <c r="C284" s="56">
        <f>IF(AND(WEEKDAY(A284,2)&lt;6,COUNTIF(Paramètres!$H$11:$H$70,A284)=0),1,0)</f>
        <v>0</v>
      </c>
    </row>
    <row r="285" spans="1:3" x14ac:dyDescent="0.25">
      <c r="A285" s="61">
        <f t="shared" si="9"/>
        <v>46306</v>
      </c>
      <c r="B285" s="61">
        <f t="shared" si="8"/>
        <v>46296</v>
      </c>
      <c r="C285" s="56">
        <f>IF(AND(WEEKDAY(A285,2)&lt;6,COUNTIF(Paramètres!$H$11:$H$70,A285)=0),1,0)</f>
        <v>0</v>
      </c>
    </row>
    <row r="286" spans="1:3" x14ac:dyDescent="0.25">
      <c r="A286" s="61">
        <f t="shared" si="9"/>
        <v>46307</v>
      </c>
      <c r="B286" s="61">
        <f t="shared" si="8"/>
        <v>46296</v>
      </c>
      <c r="C286" s="56">
        <f>IF(AND(WEEKDAY(A286,2)&lt;6,COUNTIF(Paramètres!$H$11:$H$70,A286)=0),1,0)</f>
        <v>1</v>
      </c>
    </row>
    <row r="287" spans="1:3" x14ac:dyDescent="0.25">
      <c r="A287" s="61">
        <f t="shared" si="9"/>
        <v>46308</v>
      </c>
      <c r="B287" s="61">
        <f t="shared" si="8"/>
        <v>46296</v>
      </c>
      <c r="C287" s="56">
        <f>IF(AND(WEEKDAY(A287,2)&lt;6,COUNTIF(Paramètres!$H$11:$H$70,A287)=0),1,0)</f>
        <v>1</v>
      </c>
    </row>
    <row r="288" spans="1:3" x14ac:dyDescent="0.25">
      <c r="A288" s="61">
        <f t="shared" si="9"/>
        <v>46309</v>
      </c>
      <c r="B288" s="61">
        <f t="shared" si="8"/>
        <v>46296</v>
      </c>
      <c r="C288" s="56">
        <f>IF(AND(WEEKDAY(A288,2)&lt;6,COUNTIF(Paramètres!$H$11:$H$70,A288)=0),1,0)</f>
        <v>1</v>
      </c>
    </row>
    <row r="289" spans="1:3" x14ac:dyDescent="0.25">
      <c r="A289" s="61">
        <f t="shared" si="9"/>
        <v>46310</v>
      </c>
      <c r="B289" s="61">
        <f t="shared" si="8"/>
        <v>46296</v>
      </c>
      <c r="C289" s="56">
        <f>IF(AND(WEEKDAY(A289,2)&lt;6,COUNTIF(Paramètres!$H$11:$H$70,A289)=0),1,0)</f>
        <v>1</v>
      </c>
    </row>
    <row r="290" spans="1:3" x14ac:dyDescent="0.25">
      <c r="A290" s="61">
        <f t="shared" si="9"/>
        <v>46311</v>
      </c>
      <c r="B290" s="61">
        <f t="shared" si="8"/>
        <v>46296</v>
      </c>
      <c r="C290" s="56">
        <f>IF(AND(WEEKDAY(A290,2)&lt;6,COUNTIF(Paramètres!$H$11:$H$70,A290)=0),1,0)</f>
        <v>1</v>
      </c>
    </row>
    <row r="291" spans="1:3" x14ac:dyDescent="0.25">
      <c r="A291" s="61">
        <f t="shared" si="9"/>
        <v>46312</v>
      </c>
      <c r="B291" s="61">
        <f t="shared" si="8"/>
        <v>46296</v>
      </c>
      <c r="C291" s="56">
        <f>IF(AND(WEEKDAY(A291,2)&lt;6,COUNTIF(Paramètres!$H$11:$H$70,A291)=0),1,0)</f>
        <v>0</v>
      </c>
    </row>
    <row r="292" spans="1:3" x14ac:dyDescent="0.25">
      <c r="A292" s="61">
        <f t="shared" si="9"/>
        <v>46313</v>
      </c>
      <c r="B292" s="61">
        <f t="shared" si="8"/>
        <v>46296</v>
      </c>
      <c r="C292" s="56">
        <f>IF(AND(WEEKDAY(A292,2)&lt;6,COUNTIF(Paramètres!$H$11:$H$70,A292)=0),1,0)</f>
        <v>0</v>
      </c>
    </row>
    <row r="293" spans="1:3" x14ac:dyDescent="0.25">
      <c r="A293" s="61">
        <f t="shared" si="9"/>
        <v>46314</v>
      </c>
      <c r="B293" s="61">
        <f t="shared" si="8"/>
        <v>46296</v>
      </c>
      <c r="C293" s="56">
        <f>IF(AND(WEEKDAY(A293,2)&lt;6,COUNTIF(Paramètres!$H$11:$H$70,A293)=0),1,0)</f>
        <v>1</v>
      </c>
    </row>
    <row r="294" spans="1:3" x14ac:dyDescent="0.25">
      <c r="A294" s="61">
        <f t="shared" si="9"/>
        <v>46315</v>
      </c>
      <c r="B294" s="61">
        <f t="shared" si="8"/>
        <v>46296</v>
      </c>
      <c r="C294" s="56">
        <f>IF(AND(WEEKDAY(A294,2)&lt;6,COUNTIF(Paramètres!$H$11:$H$70,A294)=0),1,0)</f>
        <v>1</v>
      </c>
    </row>
    <row r="295" spans="1:3" x14ac:dyDescent="0.25">
      <c r="A295" s="61">
        <f t="shared" si="9"/>
        <v>46316</v>
      </c>
      <c r="B295" s="61">
        <f t="shared" si="8"/>
        <v>46296</v>
      </c>
      <c r="C295" s="56">
        <f>IF(AND(WEEKDAY(A295,2)&lt;6,COUNTIF(Paramètres!$H$11:$H$70,A295)=0),1,0)</f>
        <v>1</v>
      </c>
    </row>
    <row r="296" spans="1:3" x14ac:dyDescent="0.25">
      <c r="A296" s="61">
        <f t="shared" si="9"/>
        <v>46317</v>
      </c>
      <c r="B296" s="61">
        <f t="shared" si="8"/>
        <v>46296</v>
      </c>
      <c r="C296" s="56">
        <f>IF(AND(WEEKDAY(A296,2)&lt;6,COUNTIF(Paramètres!$H$11:$H$70,A296)=0),1,0)</f>
        <v>1</v>
      </c>
    </row>
    <row r="297" spans="1:3" x14ac:dyDescent="0.25">
      <c r="A297" s="61">
        <f t="shared" si="9"/>
        <v>46318</v>
      </c>
      <c r="B297" s="61">
        <f t="shared" si="8"/>
        <v>46296</v>
      </c>
      <c r="C297" s="56">
        <f>IF(AND(WEEKDAY(A297,2)&lt;6,COUNTIF(Paramètres!$H$11:$H$70,A297)=0),1,0)</f>
        <v>1</v>
      </c>
    </row>
    <row r="298" spans="1:3" x14ac:dyDescent="0.25">
      <c r="A298" s="61">
        <f t="shared" si="9"/>
        <v>46319</v>
      </c>
      <c r="B298" s="61">
        <f t="shared" si="8"/>
        <v>46296</v>
      </c>
      <c r="C298" s="56">
        <f>IF(AND(WEEKDAY(A298,2)&lt;6,COUNTIF(Paramètres!$H$11:$H$70,A298)=0),1,0)</f>
        <v>0</v>
      </c>
    </row>
    <row r="299" spans="1:3" x14ac:dyDescent="0.25">
      <c r="A299" s="61">
        <f t="shared" si="9"/>
        <v>46320</v>
      </c>
      <c r="B299" s="61">
        <f t="shared" si="8"/>
        <v>46296</v>
      </c>
      <c r="C299" s="56">
        <f>IF(AND(WEEKDAY(A299,2)&lt;6,COUNTIF(Paramètres!$H$11:$H$70,A299)=0),1,0)</f>
        <v>0</v>
      </c>
    </row>
    <row r="300" spans="1:3" x14ac:dyDescent="0.25">
      <c r="A300" s="61">
        <f t="shared" si="9"/>
        <v>46321</v>
      </c>
      <c r="B300" s="61">
        <f t="shared" si="8"/>
        <v>46296</v>
      </c>
      <c r="C300" s="56">
        <f>IF(AND(WEEKDAY(A300,2)&lt;6,COUNTIF(Paramètres!$H$11:$H$70,A300)=0),1,0)</f>
        <v>1</v>
      </c>
    </row>
    <row r="301" spans="1:3" x14ac:dyDescent="0.25">
      <c r="A301" s="61">
        <f t="shared" si="9"/>
        <v>46322</v>
      </c>
      <c r="B301" s="61">
        <f t="shared" si="8"/>
        <v>46296</v>
      </c>
      <c r="C301" s="56">
        <f>IF(AND(WEEKDAY(A301,2)&lt;6,COUNTIF(Paramètres!$H$11:$H$70,A301)=0),1,0)</f>
        <v>1</v>
      </c>
    </row>
    <row r="302" spans="1:3" x14ac:dyDescent="0.25">
      <c r="A302" s="61">
        <f t="shared" si="9"/>
        <v>46323</v>
      </c>
      <c r="B302" s="61">
        <f t="shared" si="8"/>
        <v>46296</v>
      </c>
      <c r="C302" s="56">
        <f>IF(AND(WEEKDAY(A302,2)&lt;6,COUNTIF(Paramètres!$H$11:$H$70,A302)=0),1,0)</f>
        <v>1</v>
      </c>
    </row>
    <row r="303" spans="1:3" x14ac:dyDescent="0.25">
      <c r="A303" s="61">
        <f t="shared" si="9"/>
        <v>46324</v>
      </c>
      <c r="B303" s="61">
        <f t="shared" si="8"/>
        <v>46296</v>
      </c>
      <c r="C303" s="56">
        <f>IF(AND(WEEKDAY(A303,2)&lt;6,COUNTIF(Paramètres!$H$11:$H$70,A303)=0),1,0)</f>
        <v>1</v>
      </c>
    </row>
    <row r="304" spans="1:3" x14ac:dyDescent="0.25">
      <c r="A304" s="61">
        <f t="shared" si="9"/>
        <v>46325</v>
      </c>
      <c r="B304" s="61">
        <f t="shared" si="8"/>
        <v>46296</v>
      </c>
      <c r="C304" s="56">
        <f>IF(AND(WEEKDAY(A304,2)&lt;6,COUNTIF(Paramètres!$H$11:$H$70,A304)=0),1,0)</f>
        <v>1</v>
      </c>
    </row>
    <row r="305" spans="1:3" x14ac:dyDescent="0.25">
      <c r="A305" s="61">
        <f t="shared" si="9"/>
        <v>46326</v>
      </c>
      <c r="B305" s="61">
        <f t="shared" si="8"/>
        <v>46296</v>
      </c>
      <c r="C305" s="56">
        <f>IF(AND(WEEKDAY(A305,2)&lt;6,COUNTIF(Paramètres!$H$11:$H$70,A305)=0),1,0)</f>
        <v>0</v>
      </c>
    </row>
    <row r="306" spans="1:3" x14ac:dyDescent="0.25">
      <c r="A306" s="61">
        <f t="shared" si="9"/>
        <v>46327</v>
      </c>
      <c r="B306" s="61">
        <f t="shared" si="8"/>
        <v>46327</v>
      </c>
      <c r="C306" s="56">
        <f>IF(AND(WEEKDAY(A306,2)&lt;6,COUNTIF(Paramètres!$H$11:$H$70,A306)=0),1,0)</f>
        <v>0</v>
      </c>
    </row>
    <row r="307" spans="1:3" x14ac:dyDescent="0.25">
      <c r="A307" s="61">
        <f t="shared" si="9"/>
        <v>46328</v>
      </c>
      <c r="B307" s="61">
        <f t="shared" si="8"/>
        <v>46327</v>
      </c>
      <c r="C307" s="56">
        <f>IF(AND(WEEKDAY(A307,2)&lt;6,COUNTIF(Paramètres!$H$11:$H$70,A307)=0),1,0)</f>
        <v>1</v>
      </c>
    </row>
    <row r="308" spans="1:3" x14ac:dyDescent="0.25">
      <c r="A308" s="61">
        <f t="shared" si="9"/>
        <v>46329</v>
      </c>
      <c r="B308" s="61">
        <f t="shared" si="8"/>
        <v>46327</v>
      </c>
      <c r="C308" s="56">
        <f>IF(AND(WEEKDAY(A308,2)&lt;6,COUNTIF(Paramètres!$H$11:$H$70,A308)=0),1,0)</f>
        <v>1</v>
      </c>
    </row>
    <row r="309" spans="1:3" x14ac:dyDescent="0.25">
      <c r="A309" s="61">
        <f t="shared" si="9"/>
        <v>46330</v>
      </c>
      <c r="B309" s="61">
        <f t="shared" si="8"/>
        <v>46327</v>
      </c>
      <c r="C309" s="56">
        <f>IF(AND(WEEKDAY(A309,2)&lt;6,COUNTIF(Paramètres!$H$11:$H$70,A309)=0),1,0)</f>
        <v>1</v>
      </c>
    </row>
    <row r="310" spans="1:3" x14ac:dyDescent="0.25">
      <c r="A310" s="61">
        <f t="shared" si="9"/>
        <v>46331</v>
      </c>
      <c r="B310" s="61">
        <f t="shared" si="8"/>
        <v>46327</v>
      </c>
      <c r="C310" s="56">
        <f>IF(AND(WEEKDAY(A310,2)&lt;6,COUNTIF(Paramètres!$H$11:$H$70,A310)=0),1,0)</f>
        <v>1</v>
      </c>
    </row>
    <row r="311" spans="1:3" x14ac:dyDescent="0.25">
      <c r="A311" s="61">
        <f t="shared" si="9"/>
        <v>46332</v>
      </c>
      <c r="B311" s="61">
        <f t="shared" si="8"/>
        <v>46327</v>
      </c>
      <c r="C311" s="56">
        <f>IF(AND(WEEKDAY(A311,2)&lt;6,COUNTIF(Paramètres!$H$11:$H$70,A311)=0),1,0)</f>
        <v>1</v>
      </c>
    </row>
    <row r="312" spans="1:3" x14ac:dyDescent="0.25">
      <c r="A312" s="61">
        <f t="shared" si="9"/>
        <v>46333</v>
      </c>
      <c r="B312" s="61">
        <f t="shared" si="8"/>
        <v>46327</v>
      </c>
      <c r="C312" s="56">
        <f>IF(AND(WEEKDAY(A312,2)&lt;6,COUNTIF(Paramètres!$H$11:$H$70,A312)=0),1,0)</f>
        <v>0</v>
      </c>
    </row>
    <row r="313" spans="1:3" x14ac:dyDescent="0.25">
      <c r="A313" s="61">
        <f t="shared" si="9"/>
        <v>46334</v>
      </c>
      <c r="B313" s="61">
        <f t="shared" si="8"/>
        <v>46327</v>
      </c>
      <c r="C313" s="56">
        <f>IF(AND(WEEKDAY(A313,2)&lt;6,COUNTIF(Paramètres!$H$11:$H$70,A313)=0),1,0)</f>
        <v>0</v>
      </c>
    </row>
    <row r="314" spans="1:3" x14ac:dyDescent="0.25">
      <c r="A314" s="61">
        <f t="shared" si="9"/>
        <v>46335</v>
      </c>
      <c r="B314" s="61">
        <f t="shared" si="8"/>
        <v>46327</v>
      </c>
      <c r="C314" s="56">
        <f>IF(AND(WEEKDAY(A314,2)&lt;6,COUNTIF(Paramètres!$H$11:$H$70,A314)=0),1,0)</f>
        <v>1</v>
      </c>
    </row>
    <row r="315" spans="1:3" x14ac:dyDescent="0.25">
      <c r="A315" s="61">
        <f t="shared" si="9"/>
        <v>46336</v>
      </c>
      <c r="B315" s="61">
        <f t="shared" si="8"/>
        <v>46327</v>
      </c>
      <c r="C315" s="56">
        <f>IF(AND(WEEKDAY(A315,2)&lt;6,COUNTIF(Paramètres!$H$11:$H$70,A315)=0),1,0)</f>
        <v>1</v>
      </c>
    </row>
    <row r="316" spans="1:3" x14ac:dyDescent="0.25">
      <c r="A316" s="61">
        <f t="shared" si="9"/>
        <v>46337</v>
      </c>
      <c r="B316" s="61">
        <f t="shared" si="8"/>
        <v>46327</v>
      </c>
      <c r="C316" s="56">
        <f>IF(AND(WEEKDAY(A316,2)&lt;6,COUNTIF(Paramètres!$H$11:$H$70,A316)=0),1,0)</f>
        <v>1</v>
      </c>
    </row>
    <row r="317" spans="1:3" x14ac:dyDescent="0.25">
      <c r="A317" s="61">
        <f t="shared" si="9"/>
        <v>46338</v>
      </c>
      <c r="B317" s="61">
        <f t="shared" si="8"/>
        <v>46327</v>
      </c>
      <c r="C317" s="56">
        <f>IF(AND(WEEKDAY(A317,2)&lt;6,COUNTIF(Paramètres!$H$11:$H$70,A317)=0),1,0)</f>
        <v>1</v>
      </c>
    </row>
    <row r="318" spans="1:3" x14ac:dyDescent="0.25">
      <c r="A318" s="61">
        <f t="shared" si="9"/>
        <v>46339</v>
      </c>
      <c r="B318" s="61">
        <f t="shared" si="8"/>
        <v>46327</v>
      </c>
      <c r="C318" s="56">
        <f>IF(AND(WEEKDAY(A318,2)&lt;6,COUNTIF(Paramètres!$H$11:$H$70,A318)=0),1,0)</f>
        <v>1</v>
      </c>
    </row>
    <row r="319" spans="1:3" x14ac:dyDescent="0.25">
      <c r="A319" s="61">
        <f t="shared" si="9"/>
        <v>46340</v>
      </c>
      <c r="B319" s="61">
        <f t="shared" si="8"/>
        <v>46327</v>
      </c>
      <c r="C319" s="56">
        <f>IF(AND(WEEKDAY(A319,2)&lt;6,COUNTIF(Paramètres!$H$11:$H$70,A319)=0),1,0)</f>
        <v>0</v>
      </c>
    </row>
    <row r="320" spans="1:3" x14ac:dyDescent="0.25">
      <c r="A320" s="61">
        <f t="shared" si="9"/>
        <v>46341</v>
      </c>
      <c r="B320" s="61">
        <f t="shared" si="8"/>
        <v>46327</v>
      </c>
      <c r="C320" s="56">
        <f>IF(AND(WEEKDAY(A320,2)&lt;6,COUNTIF(Paramètres!$H$11:$H$70,A320)=0),1,0)</f>
        <v>0</v>
      </c>
    </row>
    <row r="321" spans="1:3" x14ac:dyDescent="0.25">
      <c r="A321" s="61">
        <f t="shared" si="9"/>
        <v>46342</v>
      </c>
      <c r="B321" s="61">
        <f t="shared" si="8"/>
        <v>46327</v>
      </c>
      <c r="C321" s="56">
        <f>IF(AND(WEEKDAY(A321,2)&lt;6,COUNTIF(Paramètres!$H$11:$H$70,A321)=0),1,0)</f>
        <v>1</v>
      </c>
    </row>
    <row r="322" spans="1:3" x14ac:dyDescent="0.25">
      <c r="A322" s="61">
        <f t="shared" si="9"/>
        <v>46343</v>
      </c>
      <c r="B322" s="61">
        <f t="shared" ref="B322:B385" si="10">DATE(YEAR(A322),MONTH(A322),1)</f>
        <v>46327</v>
      </c>
      <c r="C322" s="56">
        <f>IF(AND(WEEKDAY(A322,2)&lt;6,COUNTIF(Paramètres!$H$11:$H$70,A322)=0),1,0)</f>
        <v>1</v>
      </c>
    </row>
    <row r="323" spans="1:3" x14ac:dyDescent="0.25">
      <c r="A323" s="61">
        <f t="shared" ref="A323:A367" si="11">A322+1</f>
        <v>46344</v>
      </c>
      <c r="B323" s="61">
        <f t="shared" si="10"/>
        <v>46327</v>
      </c>
      <c r="C323" s="56">
        <f>IF(AND(WEEKDAY(A323,2)&lt;6,COUNTIF(Paramètres!$H$11:$H$70,A323)=0),1,0)</f>
        <v>1</v>
      </c>
    </row>
    <row r="324" spans="1:3" x14ac:dyDescent="0.25">
      <c r="A324" s="61">
        <f t="shared" si="11"/>
        <v>46345</v>
      </c>
      <c r="B324" s="61">
        <f t="shared" si="10"/>
        <v>46327</v>
      </c>
      <c r="C324" s="56">
        <f>IF(AND(WEEKDAY(A324,2)&lt;6,COUNTIF(Paramètres!$H$11:$H$70,A324)=0),1,0)</f>
        <v>1</v>
      </c>
    </row>
    <row r="325" spans="1:3" x14ac:dyDescent="0.25">
      <c r="A325" s="61">
        <f t="shared" si="11"/>
        <v>46346</v>
      </c>
      <c r="B325" s="61">
        <f t="shared" si="10"/>
        <v>46327</v>
      </c>
      <c r="C325" s="56">
        <f>IF(AND(WEEKDAY(A325,2)&lt;6,COUNTIF(Paramètres!$H$11:$H$70,A325)=0),1,0)</f>
        <v>1</v>
      </c>
    </row>
    <row r="326" spans="1:3" x14ac:dyDescent="0.25">
      <c r="A326" s="61">
        <f t="shared" si="11"/>
        <v>46347</v>
      </c>
      <c r="B326" s="61">
        <f t="shared" si="10"/>
        <v>46327</v>
      </c>
      <c r="C326" s="56">
        <f>IF(AND(WEEKDAY(A326,2)&lt;6,COUNTIF(Paramètres!$H$11:$H$70,A326)=0),1,0)</f>
        <v>0</v>
      </c>
    </row>
    <row r="327" spans="1:3" x14ac:dyDescent="0.25">
      <c r="A327" s="61">
        <f t="shared" si="11"/>
        <v>46348</v>
      </c>
      <c r="B327" s="61">
        <f t="shared" si="10"/>
        <v>46327</v>
      </c>
      <c r="C327" s="56">
        <f>IF(AND(WEEKDAY(A327,2)&lt;6,COUNTIF(Paramètres!$H$11:$H$70,A327)=0),1,0)</f>
        <v>0</v>
      </c>
    </row>
    <row r="328" spans="1:3" x14ac:dyDescent="0.25">
      <c r="A328" s="61">
        <f t="shared" si="11"/>
        <v>46349</v>
      </c>
      <c r="B328" s="61">
        <f t="shared" si="10"/>
        <v>46327</v>
      </c>
      <c r="C328" s="56">
        <f>IF(AND(WEEKDAY(A328,2)&lt;6,COUNTIF(Paramètres!$H$11:$H$70,A328)=0),1,0)</f>
        <v>1</v>
      </c>
    </row>
    <row r="329" spans="1:3" x14ac:dyDescent="0.25">
      <c r="A329" s="61">
        <f t="shared" si="11"/>
        <v>46350</v>
      </c>
      <c r="B329" s="61">
        <f t="shared" si="10"/>
        <v>46327</v>
      </c>
      <c r="C329" s="56">
        <f>IF(AND(WEEKDAY(A329,2)&lt;6,COUNTIF(Paramètres!$H$11:$H$70,A329)=0),1,0)</f>
        <v>1</v>
      </c>
    </row>
    <row r="330" spans="1:3" x14ac:dyDescent="0.25">
      <c r="A330" s="61">
        <f t="shared" si="11"/>
        <v>46351</v>
      </c>
      <c r="B330" s="61">
        <f t="shared" si="10"/>
        <v>46327</v>
      </c>
      <c r="C330" s="56">
        <f>IF(AND(WEEKDAY(A330,2)&lt;6,COUNTIF(Paramètres!$H$11:$H$70,A330)=0),1,0)</f>
        <v>1</v>
      </c>
    </row>
    <row r="331" spans="1:3" x14ac:dyDescent="0.25">
      <c r="A331" s="61">
        <f t="shared" si="11"/>
        <v>46352</v>
      </c>
      <c r="B331" s="61">
        <f t="shared" si="10"/>
        <v>46327</v>
      </c>
      <c r="C331" s="56">
        <f>IF(AND(WEEKDAY(A331,2)&lt;6,COUNTIF(Paramètres!$H$11:$H$70,A331)=0),1,0)</f>
        <v>1</v>
      </c>
    </row>
    <row r="332" spans="1:3" x14ac:dyDescent="0.25">
      <c r="A332" s="61">
        <f t="shared" si="11"/>
        <v>46353</v>
      </c>
      <c r="B332" s="61">
        <f t="shared" si="10"/>
        <v>46327</v>
      </c>
      <c r="C332" s="56">
        <f>IF(AND(WEEKDAY(A332,2)&lt;6,COUNTIF(Paramètres!$H$11:$H$70,A332)=0),1,0)</f>
        <v>1</v>
      </c>
    </row>
    <row r="333" spans="1:3" x14ac:dyDescent="0.25">
      <c r="A333" s="61">
        <f t="shared" si="11"/>
        <v>46354</v>
      </c>
      <c r="B333" s="61">
        <f t="shared" si="10"/>
        <v>46327</v>
      </c>
      <c r="C333" s="56">
        <f>IF(AND(WEEKDAY(A333,2)&lt;6,COUNTIF(Paramètres!$H$11:$H$70,A333)=0),1,0)</f>
        <v>0</v>
      </c>
    </row>
    <row r="334" spans="1:3" x14ac:dyDescent="0.25">
      <c r="A334" s="61">
        <f t="shared" si="11"/>
        <v>46355</v>
      </c>
      <c r="B334" s="61">
        <f t="shared" si="10"/>
        <v>46327</v>
      </c>
      <c r="C334" s="56">
        <f>IF(AND(WEEKDAY(A334,2)&lt;6,COUNTIF(Paramètres!$H$11:$H$70,A334)=0),1,0)</f>
        <v>0</v>
      </c>
    </row>
    <row r="335" spans="1:3" x14ac:dyDescent="0.25">
      <c r="A335" s="61">
        <f t="shared" si="11"/>
        <v>46356</v>
      </c>
      <c r="B335" s="61">
        <f t="shared" si="10"/>
        <v>46327</v>
      </c>
      <c r="C335" s="56">
        <f>IF(AND(WEEKDAY(A335,2)&lt;6,COUNTIF(Paramètres!$H$11:$H$70,A335)=0),1,0)</f>
        <v>1</v>
      </c>
    </row>
    <row r="336" spans="1:3" x14ac:dyDescent="0.25">
      <c r="A336" s="61">
        <f t="shared" si="11"/>
        <v>46357</v>
      </c>
      <c r="B336" s="61">
        <f t="shared" si="10"/>
        <v>46357</v>
      </c>
      <c r="C336" s="56">
        <f>IF(AND(WEEKDAY(A336,2)&lt;6,COUNTIF(Paramètres!$H$11:$H$70,A336)=0),1,0)</f>
        <v>1</v>
      </c>
    </row>
    <row r="337" spans="1:3" x14ac:dyDescent="0.25">
      <c r="A337" s="61">
        <f t="shared" si="11"/>
        <v>46358</v>
      </c>
      <c r="B337" s="61">
        <f t="shared" si="10"/>
        <v>46357</v>
      </c>
      <c r="C337" s="56">
        <f>IF(AND(WEEKDAY(A337,2)&lt;6,COUNTIF(Paramètres!$H$11:$H$70,A337)=0),1,0)</f>
        <v>1</v>
      </c>
    </row>
    <row r="338" spans="1:3" x14ac:dyDescent="0.25">
      <c r="A338" s="61">
        <f t="shared" si="11"/>
        <v>46359</v>
      </c>
      <c r="B338" s="61">
        <f t="shared" si="10"/>
        <v>46357</v>
      </c>
      <c r="C338" s="56">
        <f>IF(AND(WEEKDAY(A338,2)&lt;6,COUNTIF(Paramètres!$H$11:$H$70,A338)=0),1,0)</f>
        <v>1</v>
      </c>
    </row>
    <row r="339" spans="1:3" x14ac:dyDescent="0.25">
      <c r="A339" s="61">
        <f t="shared" si="11"/>
        <v>46360</v>
      </c>
      <c r="B339" s="61">
        <f t="shared" si="10"/>
        <v>46357</v>
      </c>
      <c r="C339" s="56">
        <f>IF(AND(WEEKDAY(A339,2)&lt;6,COUNTIF(Paramètres!$H$11:$H$70,A339)=0),1,0)</f>
        <v>1</v>
      </c>
    </row>
    <row r="340" spans="1:3" x14ac:dyDescent="0.25">
      <c r="A340" s="61">
        <f t="shared" si="11"/>
        <v>46361</v>
      </c>
      <c r="B340" s="61">
        <f t="shared" si="10"/>
        <v>46357</v>
      </c>
      <c r="C340" s="56">
        <f>IF(AND(WEEKDAY(A340,2)&lt;6,COUNTIF(Paramètres!$H$11:$H$70,A340)=0),1,0)</f>
        <v>0</v>
      </c>
    </row>
    <row r="341" spans="1:3" x14ac:dyDescent="0.25">
      <c r="A341" s="61">
        <f t="shared" si="11"/>
        <v>46362</v>
      </c>
      <c r="B341" s="61">
        <f t="shared" si="10"/>
        <v>46357</v>
      </c>
      <c r="C341" s="56">
        <f>IF(AND(WEEKDAY(A341,2)&lt;6,COUNTIF(Paramètres!$H$11:$H$70,A341)=0),1,0)</f>
        <v>0</v>
      </c>
    </row>
    <row r="342" spans="1:3" x14ac:dyDescent="0.25">
      <c r="A342" s="61">
        <f t="shared" si="11"/>
        <v>46363</v>
      </c>
      <c r="B342" s="61">
        <f t="shared" si="10"/>
        <v>46357</v>
      </c>
      <c r="C342" s="56">
        <f>IF(AND(WEEKDAY(A342,2)&lt;6,COUNTIF(Paramètres!$H$11:$H$70,A342)=0),1,0)</f>
        <v>1</v>
      </c>
    </row>
    <row r="343" spans="1:3" x14ac:dyDescent="0.25">
      <c r="A343" s="61">
        <f t="shared" si="11"/>
        <v>46364</v>
      </c>
      <c r="B343" s="61">
        <f t="shared" si="10"/>
        <v>46357</v>
      </c>
      <c r="C343" s="56">
        <f>IF(AND(WEEKDAY(A343,2)&lt;6,COUNTIF(Paramètres!$H$11:$H$70,A343)=0),1,0)</f>
        <v>1</v>
      </c>
    </row>
    <row r="344" spans="1:3" x14ac:dyDescent="0.25">
      <c r="A344" s="61">
        <f t="shared" si="11"/>
        <v>46365</v>
      </c>
      <c r="B344" s="61">
        <f t="shared" si="10"/>
        <v>46357</v>
      </c>
      <c r="C344" s="56">
        <f>IF(AND(WEEKDAY(A344,2)&lt;6,COUNTIF(Paramètres!$H$11:$H$70,A344)=0),1,0)</f>
        <v>1</v>
      </c>
    </row>
    <row r="345" spans="1:3" x14ac:dyDescent="0.25">
      <c r="A345" s="61">
        <f t="shared" si="11"/>
        <v>46366</v>
      </c>
      <c r="B345" s="61">
        <f t="shared" si="10"/>
        <v>46357</v>
      </c>
      <c r="C345" s="56">
        <f>IF(AND(WEEKDAY(A345,2)&lt;6,COUNTIF(Paramètres!$H$11:$H$70,A345)=0),1,0)</f>
        <v>1</v>
      </c>
    </row>
    <row r="346" spans="1:3" x14ac:dyDescent="0.25">
      <c r="A346" s="61">
        <f t="shared" si="11"/>
        <v>46367</v>
      </c>
      <c r="B346" s="61">
        <f t="shared" si="10"/>
        <v>46357</v>
      </c>
      <c r="C346" s="56">
        <f>IF(AND(WEEKDAY(A346,2)&lt;6,COUNTIF(Paramètres!$H$11:$H$70,A346)=0),1,0)</f>
        <v>1</v>
      </c>
    </row>
    <row r="347" spans="1:3" x14ac:dyDescent="0.25">
      <c r="A347" s="61">
        <f t="shared" si="11"/>
        <v>46368</v>
      </c>
      <c r="B347" s="61">
        <f t="shared" si="10"/>
        <v>46357</v>
      </c>
      <c r="C347" s="56">
        <f>IF(AND(WEEKDAY(A347,2)&lt;6,COUNTIF(Paramètres!$H$11:$H$70,A347)=0),1,0)</f>
        <v>0</v>
      </c>
    </row>
    <row r="348" spans="1:3" x14ac:dyDescent="0.25">
      <c r="A348" s="61">
        <f t="shared" si="11"/>
        <v>46369</v>
      </c>
      <c r="B348" s="61">
        <f t="shared" si="10"/>
        <v>46357</v>
      </c>
      <c r="C348" s="56">
        <f>IF(AND(WEEKDAY(A348,2)&lt;6,COUNTIF(Paramètres!$H$11:$H$70,A348)=0),1,0)</f>
        <v>0</v>
      </c>
    </row>
    <row r="349" spans="1:3" x14ac:dyDescent="0.25">
      <c r="A349" s="61">
        <f t="shared" si="11"/>
        <v>46370</v>
      </c>
      <c r="B349" s="61">
        <f t="shared" si="10"/>
        <v>46357</v>
      </c>
      <c r="C349" s="56">
        <f>IF(AND(WEEKDAY(A349,2)&lt;6,COUNTIF(Paramètres!$H$11:$H$70,A349)=0),1,0)</f>
        <v>1</v>
      </c>
    </row>
    <row r="350" spans="1:3" x14ac:dyDescent="0.25">
      <c r="A350" s="61">
        <f t="shared" si="11"/>
        <v>46371</v>
      </c>
      <c r="B350" s="61">
        <f t="shared" si="10"/>
        <v>46357</v>
      </c>
      <c r="C350" s="56">
        <f>IF(AND(WEEKDAY(A350,2)&lt;6,COUNTIF(Paramètres!$H$11:$H$70,A350)=0),1,0)</f>
        <v>1</v>
      </c>
    </row>
    <row r="351" spans="1:3" x14ac:dyDescent="0.25">
      <c r="A351" s="61">
        <f t="shared" si="11"/>
        <v>46372</v>
      </c>
      <c r="B351" s="61">
        <f t="shared" si="10"/>
        <v>46357</v>
      </c>
      <c r="C351" s="56">
        <f>IF(AND(WEEKDAY(A351,2)&lt;6,COUNTIF(Paramètres!$H$11:$H$70,A351)=0),1,0)</f>
        <v>1</v>
      </c>
    </row>
    <row r="352" spans="1:3" x14ac:dyDescent="0.25">
      <c r="A352" s="61">
        <f t="shared" si="11"/>
        <v>46373</v>
      </c>
      <c r="B352" s="61">
        <f t="shared" si="10"/>
        <v>46357</v>
      </c>
      <c r="C352" s="56">
        <f>IF(AND(WEEKDAY(A352,2)&lt;6,COUNTIF(Paramètres!$H$11:$H$70,A352)=0),1,0)</f>
        <v>1</v>
      </c>
    </row>
    <row r="353" spans="1:3" x14ac:dyDescent="0.25">
      <c r="A353" s="61">
        <f t="shared" si="11"/>
        <v>46374</v>
      </c>
      <c r="B353" s="61">
        <f t="shared" si="10"/>
        <v>46357</v>
      </c>
      <c r="C353" s="56">
        <f>IF(AND(WEEKDAY(A353,2)&lt;6,COUNTIF(Paramètres!$H$11:$H$70,A353)=0),1,0)</f>
        <v>1</v>
      </c>
    </row>
    <row r="354" spans="1:3" x14ac:dyDescent="0.25">
      <c r="A354" s="61">
        <f t="shared" si="11"/>
        <v>46375</v>
      </c>
      <c r="B354" s="61">
        <f t="shared" si="10"/>
        <v>46357</v>
      </c>
      <c r="C354" s="56">
        <f>IF(AND(WEEKDAY(A354,2)&lt;6,COUNTIF(Paramètres!$H$11:$H$70,A354)=0),1,0)</f>
        <v>0</v>
      </c>
    </row>
    <row r="355" spans="1:3" x14ac:dyDescent="0.25">
      <c r="A355" s="61">
        <f t="shared" si="11"/>
        <v>46376</v>
      </c>
      <c r="B355" s="61">
        <f t="shared" si="10"/>
        <v>46357</v>
      </c>
      <c r="C355" s="56">
        <f>IF(AND(WEEKDAY(A355,2)&lt;6,COUNTIF(Paramètres!$H$11:$H$70,A355)=0),1,0)</f>
        <v>0</v>
      </c>
    </row>
    <row r="356" spans="1:3" x14ac:dyDescent="0.25">
      <c r="A356" s="61">
        <f t="shared" si="11"/>
        <v>46377</v>
      </c>
      <c r="B356" s="61">
        <f t="shared" si="10"/>
        <v>46357</v>
      </c>
      <c r="C356" s="56">
        <f>IF(AND(WEEKDAY(A356,2)&lt;6,COUNTIF(Paramètres!$H$11:$H$70,A356)=0),1,0)</f>
        <v>1</v>
      </c>
    </row>
    <row r="357" spans="1:3" x14ac:dyDescent="0.25">
      <c r="A357" s="61">
        <f t="shared" si="11"/>
        <v>46378</v>
      </c>
      <c r="B357" s="61">
        <f t="shared" si="10"/>
        <v>46357</v>
      </c>
      <c r="C357" s="56">
        <f>IF(AND(WEEKDAY(A357,2)&lt;6,COUNTIF(Paramètres!$H$11:$H$70,A357)=0),1,0)</f>
        <v>1</v>
      </c>
    </row>
    <row r="358" spans="1:3" x14ac:dyDescent="0.25">
      <c r="A358" s="61">
        <f t="shared" si="11"/>
        <v>46379</v>
      </c>
      <c r="B358" s="61">
        <f t="shared" si="10"/>
        <v>46357</v>
      </c>
      <c r="C358" s="56">
        <f>IF(AND(WEEKDAY(A358,2)&lt;6,COUNTIF(Paramètres!$H$11:$H$70,A358)=0),1,0)</f>
        <v>1</v>
      </c>
    </row>
    <row r="359" spans="1:3" x14ac:dyDescent="0.25">
      <c r="A359" s="61">
        <f t="shared" si="11"/>
        <v>46380</v>
      </c>
      <c r="B359" s="61">
        <f t="shared" si="10"/>
        <v>46357</v>
      </c>
      <c r="C359" s="56">
        <f>IF(AND(WEEKDAY(A359,2)&lt;6,COUNTIF(Paramètres!$H$11:$H$70,A359)=0),1,0)</f>
        <v>1</v>
      </c>
    </row>
    <row r="360" spans="1:3" x14ac:dyDescent="0.25">
      <c r="A360" s="61">
        <f t="shared" si="11"/>
        <v>46381</v>
      </c>
      <c r="B360" s="61">
        <f t="shared" si="10"/>
        <v>46357</v>
      </c>
      <c r="C360" s="56">
        <f>IF(AND(WEEKDAY(A360,2)&lt;6,COUNTIF(Paramètres!$H$11:$H$70,A360)=0),1,0)</f>
        <v>1</v>
      </c>
    </row>
    <row r="361" spans="1:3" x14ac:dyDescent="0.25">
      <c r="A361" s="61">
        <f t="shared" si="11"/>
        <v>46382</v>
      </c>
      <c r="B361" s="61">
        <f t="shared" si="10"/>
        <v>46357</v>
      </c>
      <c r="C361" s="56">
        <f>IF(AND(WEEKDAY(A361,2)&lt;6,COUNTIF(Paramètres!$H$11:$H$70,A361)=0),1,0)</f>
        <v>0</v>
      </c>
    </row>
    <row r="362" spans="1:3" x14ac:dyDescent="0.25">
      <c r="A362" s="61">
        <f t="shared" si="11"/>
        <v>46383</v>
      </c>
      <c r="B362" s="61">
        <f t="shared" si="10"/>
        <v>46357</v>
      </c>
      <c r="C362" s="56">
        <f>IF(AND(WEEKDAY(A362,2)&lt;6,COUNTIF(Paramètres!$H$11:$H$70,A362)=0),1,0)</f>
        <v>0</v>
      </c>
    </row>
    <row r="363" spans="1:3" x14ac:dyDescent="0.25">
      <c r="A363" s="61">
        <f t="shared" si="11"/>
        <v>46384</v>
      </c>
      <c r="B363" s="61">
        <f t="shared" si="10"/>
        <v>46357</v>
      </c>
      <c r="C363" s="56">
        <f>IF(AND(WEEKDAY(A363,2)&lt;6,COUNTIF(Paramètres!$H$11:$H$70,A363)=0),1,0)</f>
        <v>1</v>
      </c>
    </row>
    <row r="364" spans="1:3" x14ac:dyDescent="0.25">
      <c r="A364" s="61">
        <f t="shared" si="11"/>
        <v>46385</v>
      </c>
      <c r="B364" s="61">
        <f t="shared" si="10"/>
        <v>46357</v>
      </c>
      <c r="C364" s="56">
        <f>IF(AND(WEEKDAY(A364,2)&lt;6,COUNTIF(Paramètres!$H$11:$H$70,A364)=0),1,0)</f>
        <v>1</v>
      </c>
    </row>
    <row r="365" spans="1:3" x14ac:dyDescent="0.25">
      <c r="A365" s="61">
        <f t="shared" si="11"/>
        <v>46386</v>
      </c>
      <c r="B365" s="61">
        <f t="shared" si="10"/>
        <v>46357</v>
      </c>
      <c r="C365" s="56">
        <f>IF(AND(WEEKDAY(A365,2)&lt;6,COUNTIF(Paramètres!$H$11:$H$70,A365)=0),1,0)</f>
        <v>1</v>
      </c>
    </row>
    <row r="366" spans="1:3" x14ac:dyDescent="0.25">
      <c r="A366" s="61">
        <f t="shared" si="11"/>
        <v>46387</v>
      </c>
      <c r="B366" s="61">
        <f t="shared" si="10"/>
        <v>46357</v>
      </c>
      <c r="C366" s="56">
        <f>IF(AND(WEEKDAY(A366,2)&lt;6,COUNTIF(Paramètres!$H$11:$H$70,A366)=0),1,0)</f>
        <v>1</v>
      </c>
    </row>
    <row r="367" spans="1:3" x14ac:dyDescent="0.25">
      <c r="A367" s="61">
        <f t="shared" si="11"/>
        <v>46388</v>
      </c>
      <c r="B367" s="61">
        <f t="shared" si="10"/>
        <v>46388</v>
      </c>
      <c r="C367" s="56">
        <f>IF(AND(WEEKDAY(A367,2)&lt;6,COUNTIF(Paramètres!$H$11:$H$70,A367)=0),1,0)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B1:B20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120" customWidth="1"/>
  </cols>
  <sheetData>
    <row r="1" spans="2:2" ht="18" x14ac:dyDescent="0.25">
      <c r="B1" s="62" t="s">
        <v>1006</v>
      </c>
    </row>
    <row r="2" spans="2:2" x14ac:dyDescent="0.25">
      <c r="B2" s="63" t="s">
        <v>1007</v>
      </c>
    </row>
    <row r="3" spans="2:2" ht="33" customHeight="1" x14ac:dyDescent="0.25">
      <c r="B3" s="64" t="s">
        <v>1008</v>
      </c>
    </row>
    <row r="4" spans="2:2" ht="33" customHeight="1" x14ac:dyDescent="0.25">
      <c r="B4" s="64" t="s">
        <v>1009</v>
      </c>
    </row>
    <row r="5" spans="2:2" x14ac:dyDescent="0.25">
      <c r="B5" s="63" t="s">
        <v>1010</v>
      </c>
    </row>
    <row r="6" spans="2:2" ht="18" customHeight="1" x14ac:dyDescent="0.25">
      <c r="B6" s="64" t="s">
        <v>1011</v>
      </c>
    </row>
    <row r="7" spans="2:2" ht="33" customHeight="1" x14ac:dyDescent="0.25">
      <c r="B7" s="64" t="s">
        <v>1012</v>
      </c>
    </row>
    <row r="8" spans="2:2" ht="33" customHeight="1" x14ac:dyDescent="0.25">
      <c r="B8" s="64" t="s">
        <v>1013</v>
      </c>
    </row>
    <row r="9" spans="2:2" ht="18" customHeight="1" x14ac:dyDescent="0.25">
      <c r="B9" s="64" t="s">
        <v>1014</v>
      </c>
    </row>
    <row r="10" spans="2:2" x14ac:dyDescent="0.25">
      <c r="B10" s="63" t="s">
        <v>1015</v>
      </c>
    </row>
    <row r="11" spans="2:2" ht="48" customHeight="1" x14ac:dyDescent="0.25">
      <c r="B11" s="64" t="s">
        <v>1016</v>
      </c>
    </row>
    <row r="12" spans="2:2" x14ac:dyDescent="0.25">
      <c r="B12" s="63" t="s">
        <v>1017</v>
      </c>
    </row>
    <row r="13" spans="2:2" ht="33" customHeight="1" x14ac:dyDescent="0.25">
      <c r="B13" s="64" t="s">
        <v>1018</v>
      </c>
    </row>
    <row r="14" spans="2:2" ht="48" customHeight="1" x14ac:dyDescent="0.25">
      <c r="B14" s="64" t="s">
        <v>1019</v>
      </c>
    </row>
    <row r="15" spans="2:2" ht="63" customHeight="1" x14ac:dyDescent="0.25">
      <c r="B15" s="64" t="s">
        <v>1020</v>
      </c>
    </row>
    <row r="16" spans="2:2" ht="33" customHeight="1" x14ac:dyDescent="0.25">
      <c r="B16" s="64" t="s">
        <v>1021</v>
      </c>
    </row>
    <row r="17" spans="2:2" x14ac:dyDescent="0.25">
      <c r="B17" s="63" t="s">
        <v>1022</v>
      </c>
    </row>
    <row r="18" spans="2:2" ht="33" customHeight="1" x14ac:dyDescent="0.25">
      <c r="B18" s="64" t="s">
        <v>1023</v>
      </c>
    </row>
    <row r="19" spans="2:2" ht="33" customHeight="1" x14ac:dyDescent="0.25">
      <c r="B19" s="64" t="s">
        <v>1024</v>
      </c>
    </row>
    <row r="20" spans="2:2" ht="33" customHeight="1" x14ac:dyDescent="0.25">
      <c r="B20" s="64" t="s">
        <v>1025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État</vt:lpstr>
      <vt:lpstr>Paramètres</vt:lpstr>
      <vt:lpstr>Journal</vt:lpstr>
      <vt:lpstr>Calcul</vt:lpstr>
      <vt:lpstr>Calendrier</vt:lpstr>
      <vt:lpstr>Méthode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QHSE</cp:lastModifiedBy>
  <cp:revision>1</cp:revision>
  <dcterms:created xsi:type="dcterms:W3CDTF">2026-10-13T13:00:43Z</dcterms:created>
  <dcterms:modified xsi:type="dcterms:W3CDTF">2026-10-13T15:28:00Z</dcterms:modified>
  <dc:language>en-US</dc:language>
</cp:coreProperties>
</file>